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qi/Library/CloudStorage/GoogleDrive-leeqi@uw.edu/My Drive/SPRFMO/jjm/assessment/data/"/>
    </mc:Choice>
  </mc:AlternateContent>
  <xr:revisionPtr revIDLastSave="0" documentId="13_ncr:1_{2090BE10-30DF-6F4A-AA92-D9B9CF835594}" xr6:coauthVersionLast="47" xr6:coauthVersionMax="47" xr10:uidLastSave="{00000000-0000-0000-0000-000000000000}"/>
  <bookViews>
    <workbookView xWindow="15120" yWindow="760" windowWidth="15120" windowHeight="18880" activeTab="4" xr2:uid="{11C67D07-EBA6-4D97-A3E6-A5FACAECFD42}"/>
  </bookViews>
  <sheets>
    <sheet name="ageComps" sheetId="1" r:id="rId1"/>
    <sheet name="wtAtAge" sheetId="2" r:id="rId2"/>
    <sheet name="lengthComps" sheetId="3" r:id="rId3"/>
    <sheet name="CPUE" sheetId="4" r:id="rId4"/>
    <sheet name="Catch" sheetId="6" r:id="rId5"/>
    <sheet name="Acoustic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2" i="6"/>
  <c r="D2" i="6"/>
  <c r="D3" i="6"/>
</calcChain>
</file>

<file path=xl/sharedStrings.xml><?xml version="1.0" encoding="utf-8"?>
<sst xmlns="http://schemas.openxmlformats.org/spreadsheetml/2006/main" count="66" uniqueCount="11">
  <si>
    <t>year</t>
  </si>
  <si>
    <t>age</t>
  </si>
  <si>
    <t>F1</t>
  </si>
  <si>
    <t>F2</t>
  </si>
  <si>
    <t>F3</t>
  </si>
  <si>
    <t>F4</t>
  </si>
  <si>
    <t/>
  </si>
  <si>
    <t>forklength</t>
  </si>
  <si>
    <t>type</t>
  </si>
  <si>
    <t>agecomp</t>
  </si>
  <si>
    <t>wtatage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</si>
</sst>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.\ ###"/>
    <numFmt numFmtId="165" formatCode="###\ ###\ ###"/>
  </numFmts>
  <fonts count="4" x14ac:knownFonts="1">
    <font>
      <sz val="11"/>
      <color theme="1"/>
      <name val="Calibri"/>
      <family val="2"/>
      <scheme val="minor"/>
    </font>
    <font>
      <sz val="10"/>
      <color indexed="12"/>
      <name val="Geneva"/>
      <family val="2"/>
    </font>
    <font>
      <sz val="11"/>
      <color rgb="FF000000"/>
      <name val="Calibri"/>
      <family val="2"/>
      <scheme val="minor"/>
    </font>
    <font>
      <sz val="10"/>
      <color indexed="18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2" borderId="0" xfId="0" applyFill="1"/>
    <xf numFmtId="164" fontId="1" fillId="0" borderId="0" xfId="0" applyNumberFormat="1" applyFont="1" applyAlignment="1">
      <alignment horizontal="center"/>
    </xf>
    <xf numFmtId="0" fontId="2" fillId="2" borderId="0" xfId="1" applyFill="1"/>
    <xf numFmtId="165" fontId="3" fillId="0" borderId="0" xfId="0" applyNumberFormat="1" applyFont="1" applyAlignment="1" applyProtection="1">
      <alignment vertical="center"/>
      <protection locked="0"/>
    </xf>
    <xf numFmtId="1" fontId="0" fillId="2" borderId="0" xfId="0" applyNumberFormat="1" applyFill="1"/>
  </cellXfs>
  <cellStyles count="2">
    <cellStyle name="Normal" xfId="0" builtinId="0"/>
    <cellStyle name="Normal 2" xfId="1" xr:uid="{AC837FF7-52FA-4EFD-8030-01534540C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2C38-8F7E-48D4-BE42-B6D35726D79C}">
  <dimension ref="A1:F27"/>
  <sheetViews>
    <sheetView workbookViewId="0">
      <selection activeCell="H29" sqref="H29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2024</v>
      </c>
      <c r="B2" s="1">
        <v>0</v>
      </c>
      <c r="C2" s="1">
        <v>321.32912868017769</v>
      </c>
      <c r="D2" s="1">
        <v>0</v>
      </c>
      <c r="E2" s="1"/>
      <c r="F2" s="1">
        <v>684.01015679363297</v>
      </c>
    </row>
    <row r="3" spans="1:6" x14ac:dyDescent="0.2">
      <c r="A3" s="1">
        <v>2024</v>
      </c>
      <c r="B3" s="1">
        <v>1</v>
      </c>
      <c r="C3" s="1">
        <v>3.3487611584752637</v>
      </c>
      <c r="D3" s="1">
        <v>0</v>
      </c>
      <c r="E3" s="1"/>
      <c r="F3" s="1">
        <v>849718.49680912797</v>
      </c>
    </row>
    <row r="4" spans="1:6" x14ac:dyDescent="0.2">
      <c r="A4" s="1">
        <v>2024</v>
      </c>
      <c r="B4" s="1">
        <v>2</v>
      </c>
      <c r="C4" s="1">
        <v>1660.208270928169</v>
      </c>
      <c r="D4" s="1">
        <v>44722.803958380646</v>
      </c>
      <c r="E4" s="1"/>
      <c r="F4" s="1">
        <v>10264519.436635699</v>
      </c>
    </row>
    <row r="5" spans="1:6" x14ac:dyDescent="0.2">
      <c r="A5" s="1">
        <v>2024</v>
      </c>
      <c r="B5" s="1">
        <v>3</v>
      </c>
      <c r="C5" s="1">
        <v>13666.940055904497</v>
      </c>
      <c r="D5" s="1">
        <v>150344.96319196731</v>
      </c>
      <c r="E5" s="1"/>
      <c r="F5" s="1">
        <v>23767540.7880303</v>
      </c>
    </row>
    <row r="6" spans="1:6" x14ac:dyDescent="0.2">
      <c r="A6" s="1">
        <v>2024</v>
      </c>
      <c r="B6" s="1">
        <v>4</v>
      </c>
      <c r="C6" s="1">
        <v>18794.035422030207</v>
      </c>
      <c r="D6" s="1">
        <v>294828.49391997064</v>
      </c>
      <c r="E6" s="1"/>
      <c r="F6" s="1">
        <v>35082894.172636501</v>
      </c>
    </row>
    <row r="7" spans="1:6" x14ac:dyDescent="0.2">
      <c r="A7" s="1">
        <v>2024</v>
      </c>
      <c r="B7" s="1">
        <v>5</v>
      </c>
      <c r="C7" s="1">
        <v>17039.849930743476</v>
      </c>
      <c r="D7" s="1">
        <v>343069.96934886836</v>
      </c>
      <c r="E7" s="1"/>
      <c r="F7" s="1">
        <v>19992316.978908401</v>
      </c>
    </row>
    <row r="8" spans="1:6" x14ac:dyDescent="0.2">
      <c r="A8" s="1">
        <v>2024</v>
      </c>
      <c r="B8" s="1">
        <v>6</v>
      </c>
      <c r="C8" s="1">
        <v>24674.982599858577</v>
      </c>
      <c r="D8" s="1">
        <v>283430.44906047848</v>
      </c>
      <c r="E8" s="1"/>
      <c r="F8" s="1">
        <v>5909407.8209226802</v>
      </c>
    </row>
    <row r="9" spans="1:6" x14ac:dyDescent="0.2">
      <c r="A9" s="1">
        <v>2024</v>
      </c>
      <c r="B9" s="1">
        <v>7</v>
      </c>
      <c r="C9" s="1">
        <v>27540.667054780486</v>
      </c>
      <c r="D9" s="1">
        <v>214557.97939032008</v>
      </c>
      <c r="E9" s="1"/>
      <c r="F9" s="1">
        <v>2130581.5763764302</v>
      </c>
    </row>
    <row r="10" spans="1:6" x14ac:dyDescent="0.2">
      <c r="A10" s="1">
        <v>2024</v>
      </c>
      <c r="B10" s="1">
        <v>8</v>
      </c>
      <c r="C10" s="1">
        <v>18001.797200086497</v>
      </c>
      <c r="D10" s="1">
        <v>94077.204330830908</v>
      </c>
      <c r="E10" s="1"/>
      <c r="F10" s="1">
        <v>366718.95372359297</v>
      </c>
    </row>
    <row r="11" spans="1:6" x14ac:dyDescent="0.2">
      <c r="A11" s="1">
        <v>2024</v>
      </c>
      <c r="B11" s="1">
        <v>9</v>
      </c>
      <c r="C11" s="1">
        <v>9110.1285362989638</v>
      </c>
      <c r="D11" s="1">
        <v>36308.714224807693</v>
      </c>
      <c r="E11" s="1"/>
      <c r="F11" s="1">
        <v>92763.828228730199</v>
      </c>
    </row>
    <row r="12" spans="1:6" x14ac:dyDescent="0.2">
      <c r="A12" s="1">
        <v>2024</v>
      </c>
      <c r="B12" s="1">
        <v>10</v>
      </c>
      <c r="C12" s="1">
        <v>1757.9692824112799</v>
      </c>
      <c r="D12" s="1">
        <v>13184.174429407325</v>
      </c>
      <c r="E12" s="1"/>
      <c r="F12" s="1">
        <v>210.51227036432101</v>
      </c>
    </row>
    <row r="13" spans="1:6" x14ac:dyDescent="0.2">
      <c r="A13" s="1">
        <v>2024</v>
      </c>
      <c r="B13" s="1">
        <v>11</v>
      </c>
      <c r="C13" s="1">
        <v>546.77758414898335</v>
      </c>
      <c r="D13" s="1">
        <v>1344.9057460945942</v>
      </c>
      <c r="E13" s="1"/>
      <c r="F13" s="1">
        <v>2439.3180937807101</v>
      </c>
    </row>
    <row r="14" spans="1:6" x14ac:dyDescent="0.2">
      <c r="A14" s="1">
        <v>2024</v>
      </c>
      <c r="B14" s="1">
        <v>12</v>
      </c>
      <c r="C14" s="1">
        <v>0</v>
      </c>
      <c r="D14" s="1">
        <v>1973.347205494259</v>
      </c>
      <c r="E14" s="1"/>
      <c r="F14" s="1">
        <v>0</v>
      </c>
    </row>
    <row r="15" spans="1:6" x14ac:dyDescent="0.2">
      <c r="A15" s="1">
        <v>2025</v>
      </c>
      <c r="B15" s="1">
        <v>0</v>
      </c>
      <c r="C15" s="1">
        <v>0</v>
      </c>
      <c r="D15" s="1">
        <v>0</v>
      </c>
      <c r="E15" s="1"/>
      <c r="F15" s="1">
        <v>0</v>
      </c>
    </row>
    <row r="16" spans="1:6" x14ac:dyDescent="0.2">
      <c r="A16" s="1">
        <v>2025</v>
      </c>
      <c r="B16" s="1">
        <v>1</v>
      </c>
      <c r="C16" s="1">
        <v>124.17100000000001</v>
      </c>
      <c r="D16" s="1">
        <v>0</v>
      </c>
      <c r="E16" s="1"/>
      <c r="F16" s="1">
        <v>6426318.5385032399</v>
      </c>
    </row>
    <row r="17" spans="1:6" x14ac:dyDescent="0.2">
      <c r="A17" s="1">
        <v>2025</v>
      </c>
      <c r="B17" s="1">
        <v>2</v>
      </c>
      <c r="C17" s="1">
        <v>878.90934236828025</v>
      </c>
      <c r="D17" s="1">
        <v>269.98399999999998</v>
      </c>
      <c r="E17" s="1"/>
      <c r="F17" s="1">
        <v>37778997.748609602</v>
      </c>
    </row>
    <row r="18" spans="1:6" x14ac:dyDescent="0.2">
      <c r="A18" s="1">
        <v>2025</v>
      </c>
      <c r="B18" s="1">
        <v>3</v>
      </c>
      <c r="C18" s="1">
        <v>4848.4398125255811</v>
      </c>
      <c r="D18" s="1">
        <v>74190.733851743891</v>
      </c>
      <c r="E18" s="1"/>
      <c r="F18" s="1">
        <v>1397603.1026187199</v>
      </c>
    </row>
    <row r="19" spans="1:6" x14ac:dyDescent="0.2">
      <c r="A19" s="1">
        <v>2025</v>
      </c>
      <c r="B19" s="1">
        <v>4</v>
      </c>
      <c r="C19" s="1">
        <v>4693.1918172674041</v>
      </c>
      <c r="D19" s="1">
        <v>190902.58261772539</v>
      </c>
      <c r="E19" s="1"/>
      <c r="F19" s="1">
        <v>1150478.4358027801</v>
      </c>
    </row>
    <row r="20" spans="1:6" x14ac:dyDescent="0.2">
      <c r="A20" s="1">
        <v>2025</v>
      </c>
      <c r="B20" s="1">
        <v>5</v>
      </c>
      <c r="C20" s="1">
        <v>10926.785253992244</v>
      </c>
      <c r="D20" s="1">
        <v>209832.80050441108</v>
      </c>
      <c r="E20" s="1"/>
      <c r="F20" s="1">
        <v>844417.88012824999</v>
      </c>
    </row>
    <row r="21" spans="1:6" x14ac:dyDescent="0.2">
      <c r="A21" s="1">
        <v>2025</v>
      </c>
      <c r="B21" s="1">
        <v>6</v>
      </c>
      <c r="C21" s="1">
        <v>6231.953313253799</v>
      </c>
      <c r="D21" s="1">
        <v>120589.94939291399</v>
      </c>
      <c r="E21" s="1"/>
      <c r="F21" s="1">
        <v>299720.005248776</v>
      </c>
    </row>
    <row r="22" spans="1:6" x14ac:dyDescent="0.2">
      <c r="A22" s="1">
        <v>2025</v>
      </c>
      <c r="B22" s="1">
        <v>7</v>
      </c>
      <c r="C22" s="1">
        <v>5808.667238319289</v>
      </c>
      <c r="D22" s="1">
        <v>71972.150138129073</v>
      </c>
      <c r="E22" s="1"/>
      <c r="F22" s="1">
        <v>94809.124389094097</v>
      </c>
    </row>
    <row r="23" spans="1:6" x14ac:dyDescent="0.2">
      <c r="A23" s="1">
        <v>2025</v>
      </c>
      <c r="B23" s="1">
        <v>8</v>
      </c>
      <c r="C23" s="1">
        <v>8245.2379507074074</v>
      </c>
      <c r="D23" s="1">
        <v>30461.820086367308</v>
      </c>
      <c r="E23" s="1"/>
      <c r="F23" s="1">
        <v>8137.1398771107397</v>
      </c>
    </row>
    <row r="24" spans="1:6" x14ac:dyDescent="0.2">
      <c r="A24" s="1">
        <v>2025</v>
      </c>
      <c r="B24" s="1">
        <v>9</v>
      </c>
      <c r="C24" s="1">
        <v>4678.173741248519</v>
      </c>
      <c r="D24" s="1">
        <v>8628.5851129584171</v>
      </c>
      <c r="E24" s="1"/>
      <c r="F24" s="1">
        <v>0</v>
      </c>
    </row>
    <row r="25" spans="1:6" x14ac:dyDescent="0.2">
      <c r="A25" s="1">
        <v>2025</v>
      </c>
      <c r="B25" s="1">
        <v>10</v>
      </c>
      <c r="C25" s="1">
        <v>1244.8699213854725</v>
      </c>
      <c r="D25" s="1">
        <v>2543.0518199999997</v>
      </c>
      <c r="E25" s="1"/>
      <c r="F25" s="1">
        <v>0</v>
      </c>
    </row>
    <row r="26" spans="1:6" x14ac:dyDescent="0.2">
      <c r="A26" s="1">
        <v>2025</v>
      </c>
      <c r="B26" s="1">
        <v>11</v>
      </c>
      <c r="C26" s="1">
        <v>98.34762746904309</v>
      </c>
      <c r="D26" s="1">
        <v>452.38929999999999</v>
      </c>
      <c r="E26" s="1"/>
      <c r="F26" s="1">
        <v>0</v>
      </c>
    </row>
    <row r="27" spans="1:6" x14ac:dyDescent="0.2">
      <c r="A27" s="1">
        <v>2025</v>
      </c>
      <c r="B27" s="1">
        <v>12</v>
      </c>
      <c r="C27" s="1">
        <v>5.3819999999999997</v>
      </c>
      <c r="D27" s="1">
        <v>583.07781999999997</v>
      </c>
      <c r="E27" s="1"/>
      <c r="F2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BF9-A1A2-42A3-B429-B839E2C11906}">
  <dimension ref="A1:F27"/>
  <sheetViews>
    <sheetView workbookViewId="0">
      <selection activeCell="I22" sqref="I2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2024</v>
      </c>
      <c r="B2" s="1">
        <v>0</v>
      </c>
      <c r="C2" s="1">
        <v>1.9043267556036102E-2</v>
      </c>
      <c r="D2" s="1" t="s">
        <v>6</v>
      </c>
      <c r="E2" s="1"/>
      <c r="F2" s="1">
        <v>9.8148080595736598E-2</v>
      </c>
    </row>
    <row r="3" spans="1:6" x14ac:dyDescent="0.2">
      <c r="A3" s="1">
        <v>2024</v>
      </c>
      <c r="B3" s="1">
        <v>1</v>
      </c>
      <c r="C3" s="1">
        <v>0.13498497448725572</v>
      </c>
      <c r="D3" s="1" t="s">
        <v>6</v>
      </c>
      <c r="E3" s="1"/>
      <c r="F3" s="1">
        <v>0.20889568563807501</v>
      </c>
    </row>
    <row r="4" spans="1:6" x14ac:dyDescent="0.2">
      <c r="A4" s="1">
        <v>2024</v>
      </c>
      <c r="B4" s="1">
        <v>2</v>
      </c>
      <c r="C4" s="1">
        <v>0.2432607605517931</v>
      </c>
      <c r="D4" s="1">
        <v>0.32494148630362851</v>
      </c>
      <c r="E4" s="1"/>
      <c r="F4" s="1">
        <v>0.22830556931253401</v>
      </c>
    </row>
    <row r="5" spans="1:6" x14ac:dyDescent="0.2">
      <c r="A5" s="1">
        <v>2024</v>
      </c>
      <c r="B5" s="1">
        <v>3</v>
      </c>
      <c r="C5" s="1">
        <v>0.30551331285163769</v>
      </c>
      <c r="D5" s="1">
        <v>0.34946065585959674</v>
      </c>
      <c r="E5" s="1"/>
      <c r="F5" s="1">
        <v>0.27230220267291899</v>
      </c>
    </row>
    <row r="6" spans="1:6" x14ac:dyDescent="0.2">
      <c r="A6" s="1">
        <v>2024</v>
      </c>
      <c r="B6" s="1">
        <v>4</v>
      </c>
      <c r="C6" s="1">
        <v>0.37508516286907201</v>
      </c>
      <c r="D6" s="1">
        <v>0.4156977854227597</v>
      </c>
      <c r="E6" s="1"/>
      <c r="F6" s="1">
        <v>0.31037836086653597</v>
      </c>
    </row>
    <row r="7" spans="1:6" x14ac:dyDescent="0.2">
      <c r="A7" s="1">
        <v>2024</v>
      </c>
      <c r="B7" s="1">
        <v>5</v>
      </c>
      <c r="C7" s="1">
        <v>0.5069849389984673</v>
      </c>
      <c r="D7" s="1">
        <v>0.50544345216609532</v>
      </c>
      <c r="E7" s="1"/>
      <c r="F7" s="1">
        <v>0.34859042363369802</v>
      </c>
    </row>
    <row r="8" spans="1:6" x14ac:dyDescent="0.2">
      <c r="A8" s="1">
        <v>2024</v>
      </c>
      <c r="B8" s="1">
        <v>6</v>
      </c>
      <c r="C8" s="1">
        <v>0.68575171877591179</v>
      </c>
      <c r="D8" s="1">
        <v>0.6083469177211599</v>
      </c>
      <c r="E8" s="1"/>
      <c r="F8" s="1">
        <v>0.40514343258794699</v>
      </c>
    </row>
    <row r="9" spans="1:6" x14ac:dyDescent="0.2">
      <c r="A9" s="1">
        <v>2024</v>
      </c>
      <c r="B9" s="1">
        <v>7</v>
      </c>
      <c r="C9" s="1">
        <v>0.84240575022837849</v>
      </c>
      <c r="D9" s="1">
        <v>0.79957859924278774</v>
      </c>
      <c r="E9" s="1"/>
      <c r="F9" s="1">
        <v>0.469871836981202</v>
      </c>
    </row>
    <row r="10" spans="1:6" x14ac:dyDescent="0.2">
      <c r="A10" s="1">
        <v>2024</v>
      </c>
      <c r="B10" s="1">
        <v>8</v>
      </c>
      <c r="C10" s="1">
        <v>0.97192439994894997</v>
      </c>
      <c r="D10" s="1">
        <v>0.94099356377570142</v>
      </c>
      <c r="E10" s="1"/>
      <c r="F10" s="1">
        <v>0.48195760758982897</v>
      </c>
    </row>
    <row r="11" spans="1:6" x14ac:dyDescent="0.2">
      <c r="A11" s="1">
        <v>2024</v>
      </c>
      <c r="B11" s="1">
        <v>9</v>
      </c>
      <c r="C11" s="1">
        <v>1.0550625167438181</v>
      </c>
      <c r="D11" s="1">
        <v>1.1817828891692541</v>
      </c>
      <c r="E11" s="1"/>
      <c r="F11" s="1">
        <v>0.56119424691536701</v>
      </c>
    </row>
    <row r="12" spans="1:6" x14ac:dyDescent="0.2">
      <c r="A12" s="1">
        <v>2024</v>
      </c>
      <c r="B12" s="1">
        <v>10</v>
      </c>
      <c r="C12" s="1">
        <v>1.2518007367228701</v>
      </c>
      <c r="D12" s="1">
        <v>1.3109793436628161</v>
      </c>
      <c r="E12" s="1"/>
      <c r="F12" s="1">
        <v>0.97725609756097598</v>
      </c>
    </row>
    <row r="13" spans="1:6" x14ac:dyDescent="0.2">
      <c r="A13" s="1">
        <v>2024</v>
      </c>
      <c r="B13" s="1">
        <v>11</v>
      </c>
      <c r="C13" s="1">
        <v>1.313557304753828</v>
      </c>
      <c r="D13" s="1">
        <v>1.4833618510861331</v>
      </c>
      <c r="E13" s="1"/>
      <c r="F13" s="1">
        <v>1.29665479095106</v>
      </c>
    </row>
    <row r="14" spans="1:6" x14ac:dyDescent="0.2">
      <c r="A14" s="1">
        <v>2024</v>
      </c>
      <c r="B14" s="1">
        <v>12</v>
      </c>
      <c r="C14" s="1"/>
      <c r="D14" s="1">
        <v>1.8952302286913765</v>
      </c>
      <c r="E14" s="1"/>
      <c r="F14" s="1"/>
    </row>
    <row r="15" spans="1:6" x14ac:dyDescent="0.2">
      <c r="A15" s="1">
        <v>2025</v>
      </c>
      <c r="B15" s="1">
        <v>0</v>
      </c>
      <c r="C15" s="1" t="s">
        <v>6</v>
      </c>
      <c r="D15" s="1" t="s">
        <v>6</v>
      </c>
      <c r="E15" s="1"/>
      <c r="F15" s="1"/>
    </row>
    <row r="16" spans="1:6" x14ac:dyDescent="0.2">
      <c r="A16" s="1">
        <v>2025</v>
      </c>
      <c r="B16" s="1">
        <v>1</v>
      </c>
      <c r="C16" s="1">
        <v>9.7531846260409838E-2</v>
      </c>
      <c r="D16" s="1" t="s">
        <v>6</v>
      </c>
      <c r="E16" s="1"/>
      <c r="F16" s="1">
        <v>5.8643778526118601E-2</v>
      </c>
    </row>
    <row r="17" spans="1:6" x14ac:dyDescent="0.2">
      <c r="A17" s="1">
        <v>2025</v>
      </c>
      <c r="B17" s="1">
        <v>2</v>
      </c>
      <c r="C17" s="1">
        <v>0.32821833650905419</v>
      </c>
      <c r="D17" s="1">
        <v>0.18377613823140973</v>
      </c>
      <c r="E17" s="1"/>
      <c r="F17" s="1">
        <v>0.130590531590805</v>
      </c>
    </row>
    <row r="18" spans="1:6" x14ac:dyDescent="0.2">
      <c r="A18" s="1">
        <v>2025</v>
      </c>
      <c r="B18" s="1">
        <v>3</v>
      </c>
      <c r="C18" s="1">
        <v>0.40216848939286509</v>
      </c>
      <c r="D18" s="1">
        <v>0.40500072725668657</v>
      </c>
      <c r="E18" s="1"/>
      <c r="F18" s="1">
        <v>0.26262093006864101</v>
      </c>
    </row>
    <row r="19" spans="1:6" x14ac:dyDescent="0.2">
      <c r="A19" s="1">
        <v>2025</v>
      </c>
      <c r="B19" s="1">
        <v>4</v>
      </c>
      <c r="C19" s="1">
        <v>0.4034087203113228</v>
      </c>
      <c r="D19" s="1">
        <v>0.43340414159167906</v>
      </c>
      <c r="E19" s="1"/>
      <c r="F19" s="1">
        <v>0.37892439256675697</v>
      </c>
    </row>
    <row r="20" spans="1:6" x14ac:dyDescent="0.2">
      <c r="A20" s="1">
        <v>2025</v>
      </c>
      <c r="B20" s="1">
        <v>5</v>
      </c>
      <c r="C20" s="1">
        <v>0.51100801819925734</v>
      </c>
      <c r="D20" s="1">
        <v>0.48758043028526421</v>
      </c>
      <c r="E20" s="1"/>
      <c r="F20" s="1">
        <v>0.42020519784205301</v>
      </c>
    </row>
    <row r="21" spans="1:6" x14ac:dyDescent="0.2">
      <c r="A21" s="1">
        <v>2025</v>
      </c>
      <c r="B21" s="1">
        <v>6</v>
      </c>
      <c r="C21" s="1">
        <v>0.59482006349577021</v>
      </c>
      <c r="D21" s="1">
        <v>0.54509806797302818</v>
      </c>
      <c r="E21" s="1"/>
      <c r="F21" s="1">
        <v>0.45996109133318003</v>
      </c>
    </row>
    <row r="22" spans="1:6" x14ac:dyDescent="0.2">
      <c r="A22" s="1">
        <v>2025</v>
      </c>
      <c r="B22" s="1">
        <v>7</v>
      </c>
      <c r="C22" s="1">
        <v>0.8634061764472668</v>
      </c>
      <c r="D22" s="1">
        <v>0.66012770482562277</v>
      </c>
      <c r="E22" s="1"/>
      <c r="F22" s="1">
        <v>0.47342137617841201</v>
      </c>
    </row>
    <row r="23" spans="1:6" x14ac:dyDescent="0.2">
      <c r="A23" s="1">
        <v>2025</v>
      </c>
      <c r="B23" s="1">
        <v>8</v>
      </c>
      <c r="C23" s="1">
        <v>0.89988947914299244</v>
      </c>
      <c r="D23" s="1">
        <v>0.84570035309067226</v>
      </c>
      <c r="E23" s="1"/>
      <c r="F23" s="1">
        <v>0.49155374434799698</v>
      </c>
    </row>
    <row r="24" spans="1:6" x14ac:dyDescent="0.2">
      <c r="A24" s="1">
        <v>2025</v>
      </c>
      <c r="B24" s="1">
        <v>9</v>
      </c>
      <c r="C24" s="1">
        <v>0.99863613565060416</v>
      </c>
      <c r="D24" s="1">
        <v>1.1120528476746978</v>
      </c>
      <c r="E24" s="1"/>
      <c r="F24" s="1"/>
    </row>
    <row r="25" spans="1:6" x14ac:dyDescent="0.2">
      <c r="A25" s="1">
        <v>2025</v>
      </c>
      <c r="B25" s="1">
        <v>10</v>
      </c>
      <c r="C25" s="1">
        <v>1.0937157975469753</v>
      </c>
      <c r="D25" s="1">
        <v>1.3009837200244692</v>
      </c>
      <c r="E25" s="1"/>
      <c r="F25" s="1"/>
    </row>
    <row r="26" spans="1:6" x14ac:dyDescent="0.2">
      <c r="A26" s="1">
        <v>2025</v>
      </c>
      <c r="B26" s="1">
        <v>11</v>
      </c>
      <c r="C26" s="1">
        <v>1.431443465311518</v>
      </c>
      <c r="D26" s="1">
        <v>1.7087686947001024</v>
      </c>
      <c r="E26" s="1"/>
      <c r="F26" s="1"/>
    </row>
    <row r="27" spans="1:6" x14ac:dyDescent="0.2">
      <c r="A27" s="1">
        <v>2025</v>
      </c>
      <c r="B27" s="1">
        <v>12</v>
      </c>
      <c r="C27" s="1">
        <v>1.5917822929619647</v>
      </c>
      <c r="D27" s="1">
        <v>1.7561598137698964</v>
      </c>
      <c r="E27" s="1"/>
      <c r="F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14A7-CC75-44C0-8FF4-8DE7C82A1AA5}">
  <dimension ref="A1:F201"/>
  <sheetViews>
    <sheetView workbookViewId="0">
      <selection activeCell="E102" sqref="E102:E195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2024</v>
      </c>
      <c r="B2">
        <v>1</v>
      </c>
      <c r="E2" s="1">
        <v>0</v>
      </c>
    </row>
    <row r="3" spans="1:6" x14ac:dyDescent="0.2">
      <c r="A3">
        <v>2024</v>
      </c>
      <c r="B3">
        <v>2</v>
      </c>
      <c r="E3" s="1">
        <v>0</v>
      </c>
    </row>
    <row r="4" spans="1:6" x14ac:dyDescent="0.2">
      <c r="A4">
        <v>2024</v>
      </c>
      <c r="B4">
        <v>3</v>
      </c>
      <c r="E4" s="1">
        <v>0</v>
      </c>
    </row>
    <row r="5" spans="1:6" x14ac:dyDescent="0.2">
      <c r="A5">
        <v>2024</v>
      </c>
      <c r="B5">
        <v>4</v>
      </c>
      <c r="E5" s="1">
        <v>0</v>
      </c>
    </row>
    <row r="6" spans="1:6" x14ac:dyDescent="0.2">
      <c r="A6">
        <v>2024</v>
      </c>
      <c r="B6">
        <v>5</v>
      </c>
      <c r="E6" s="1">
        <v>0</v>
      </c>
    </row>
    <row r="7" spans="1:6" x14ac:dyDescent="0.2">
      <c r="A7">
        <v>2024</v>
      </c>
      <c r="B7">
        <v>6</v>
      </c>
      <c r="E7" s="1">
        <v>0</v>
      </c>
    </row>
    <row r="8" spans="1:6" x14ac:dyDescent="0.2">
      <c r="A8">
        <v>2024</v>
      </c>
      <c r="B8">
        <v>7</v>
      </c>
      <c r="E8" s="1">
        <v>0</v>
      </c>
    </row>
    <row r="9" spans="1:6" x14ac:dyDescent="0.2">
      <c r="A9">
        <v>2024</v>
      </c>
      <c r="B9">
        <v>8</v>
      </c>
      <c r="E9" s="1">
        <v>0</v>
      </c>
    </row>
    <row r="10" spans="1:6" x14ac:dyDescent="0.2">
      <c r="A10">
        <v>2024</v>
      </c>
      <c r="B10">
        <v>9</v>
      </c>
      <c r="E10" s="1">
        <v>0</v>
      </c>
    </row>
    <row r="11" spans="1:6" x14ac:dyDescent="0.2">
      <c r="A11">
        <v>2024</v>
      </c>
      <c r="B11">
        <v>10</v>
      </c>
      <c r="E11" s="1">
        <v>0</v>
      </c>
    </row>
    <row r="12" spans="1:6" x14ac:dyDescent="0.2">
      <c r="A12">
        <v>2024</v>
      </c>
      <c r="B12">
        <v>11</v>
      </c>
      <c r="E12" s="1">
        <v>0</v>
      </c>
    </row>
    <row r="13" spans="1:6" x14ac:dyDescent="0.2">
      <c r="A13">
        <v>2024</v>
      </c>
      <c r="B13">
        <v>12</v>
      </c>
      <c r="E13" s="1">
        <v>0</v>
      </c>
    </row>
    <row r="14" spans="1:6" x14ac:dyDescent="0.2">
      <c r="A14">
        <v>2024</v>
      </c>
      <c r="B14">
        <v>13</v>
      </c>
      <c r="E14" s="1">
        <v>0</v>
      </c>
    </row>
    <row r="15" spans="1:6" x14ac:dyDescent="0.2">
      <c r="A15">
        <v>2024</v>
      </c>
      <c r="B15">
        <v>14</v>
      </c>
      <c r="E15" s="1">
        <v>0</v>
      </c>
    </row>
    <row r="16" spans="1:6" x14ac:dyDescent="0.2">
      <c r="A16">
        <v>2024</v>
      </c>
      <c r="B16">
        <v>15</v>
      </c>
      <c r="E16" s="1">
        <v>0</v>
      </c>
    </row>
    <row r="17" spans="1:5" x14ac:dyDescent="0.2">
      <c r="A17">
        <v>2024</v>
      </c>
      <c r="B17">
        <v>16</v>
      </c>
      <c r="E17" s="1">
        <v>0.84960902793892701</v>
      </c>
    </row>
    <row r="18" spans="1:5" x14ac:dyDescent="0.2">
      <c r="A18">
        <v>2024</v>
      </c>
      <c r="B18">
        <v>17</v>
      </c>
      <c r="E18" s="1">
        <v>3.5342666692370184</v>
      </c>
    </row>
    <row r="19" spans="1:5" x14ac:dyDescent="0.2">
      <c r="A19">
        <v>2024</v>
      </c>
      <c r="B19">
        <v>18</v>
      </c>
      <c r="E19" s="1">
        <v>4.1318014986995806</v>
      </c>
    </row>
    <row r="20" spans="1:5" x14ac:dyDescent="0.2">
      <c r="A20">
        <v>2024</v>
      </c>
      <c r="B20">
        <v>19</v>
      </c>
      <c r="E20" s="1">
        <v>10.165056066805301</v>
      </c>
    </row>
    <row r="21" spans="1:5" x14ac:dyDescent="0.2">
      <c r="A21">
        <v>2024</v>
      </c>
      <c r="B21">
        <v>20</v>
      </c>
      <c r="E21" s="1">
        <v>52.514784256307507</v>
      </c>
    </row>
    <row r="22" spans="1:5" x14ac:dyDescent="0.2">
      <c r="A22">
        <v>2024</v>
      </c>
      <c r="B22">
        <v>21</v>
      </c>
      <c r="E22" s="1">
        <v>162.04234276975168</v>
      </c>
    </row>
    <row r="23" spans="1:5" x14ac:dyDescent="0.2">
      <c r="A23">
        <v>2024</v>
      </c>
      <c r="B23">
        <v>22</v>
      </c>
      <c r="E23" s="1">
        <v>232.41226880483111</v>
      </c>
    </row>
    <row r="24" spans="1:5" x14ac:dyDescent="0.2">
      <c r="A24">
        <v>2024</v>
      </c>
      <c r="B24">
        <v>23</v>
      </c>
      <c r="E24" s="1">
        <v>266.70350270487364</v>
      </c>
    </row>
    <row r="25" spans="1:5" x14ac:dyDescent="0.2">
      <c r="A25">
        <v>2024</v>
      </c>
      <c r="B25">
        <v>24</v>
      </c>
      <c r="E25" s="1">
        <v>467.65719458741756</v>
      </c>
    </row>
    <row r="26" spans="1:5" x14ac:dyDescent="0.2">
      <c r="A26">
        <v>2024</v>
      </c>
      <c r="B26">
        <v>25</v>
      </c>
      <c r="E26" s="1">
        <v>742.3679677712239</v>
      </c>
    </row>
    <row r="27" spans="1:5" x14ac:dyDescent="0.2">
      <c r="A27">
        <v>2024</v>
      </c>
      <c r="B27">
        <v>26</v>
      </c>
      <c r="E27" s="1">
        <v>943.03582494187606</v>
      </c>
    </row>
    <row r="28" spans="1:5" x14ac:dyDescent="0.2">
      <c r="A28">
        <v>2024</v>
      </c>
      <c r="B28">
        <v>27</v>
      </c>
      <c r="E28" s="1">
        <v>996.11340829670905</v>
      </c>
    </row>
    <row r="29" spans="1:5" x14ac:dyDescent="0.2">
      <c r="A29">
        <v>2024</v>
      </c>
      <c r="B29">
        <v>28</v>
      </c>
      <c r="E29" s="1">
        <v>1025.8448923314747</v>
      </c>
    </row>
    <row r="30" spans="1:5" x14ac:dyDescent="0.2">
      <c r="A30">
        <v>2024</v>
      </c>
      <c r="B30">
        <v>29</v>
      </c>
      <c r="E30" s="1">
        <v>807.80836385218981</v>
      </c>
    </row>
    <row r="31" spans="1:5" x14ac:dyDescent="0.2">
      <c r="A31">
        <v>2024</v>
      </c>
      <c r="B31">
        <v>30</v>
      </c>
      <c r="E31" s="1">
        <v>879.09552703375198</v>
      </c>
    </row>
    <row r="32" spans="1:5" x14ac:dyDescent="0.2">
      <c r="A32">
        <v>2024</v>
      </c>
      <c r="B32">
        <v>31</v>
      </c>
      <c r="E32" s="1">
        <v>1150.0355073486235</v>
      </c>
    </row>
    <row r="33" spans="1:5" x14ac:dyDescent="0.2">
      <c r="A33">
        <v>2024</v>
      </c>
      <c r="B33">
        <v>32</v>
      </c>
      <c r="E33" s="1">
        <v>1781.0907351995666</v>
      </c>
    </row>
    <row r="34" spans="1:5" x14ac:dyDescent="0.2">
      <c r="A34">
        <v>2024</v>
      </c>
      <c r="B34">
        <v>33</v>
      </c>
      <c r="E34" s="1">
        <v>2538.0518365489324</v>
      </c>
    </row>
    <row r="35" spans="1:5" x14ac:dyDescent="0.2">
      <c r="A35">
        <v>2024</v>
      </c>
      <c r="B35">
        <v>34</v>
      </c>
      <c r="E35" s="1">
        <v>3350.7839338598142</v>
      </c>
    </row>
    <row r="36" spans="1:5" x14ac:dyDescent="0.2">
      <c r="A36">
        <v>2024</v>
      </c>
      <c r="B36">
        <v>35</v>
      </c>
      <c r="E36" s="1">
        <v>5861.4020097467328</v>
      </c>
    </row>
    <row r="37" spans="1:5" x14ac:dyDescent="0.2">
      <c r="A37">
        <v>2024</v>
      </c>
      <c r="B37">
        <v>36</v>
      </c>
      <c r="E37" s="1">
        <v>9498.3843136135019</v>
      </c>
    </row>
    <row r="38" spans="1:5" x14ac:dyDescent="0.2">
      <c r="A38">
        <v>2024</v>
      </c>
      <c r="B38">
        <v>37</v>
      </c>
      <c r="E38" s="1">
        <v>11282.240355523309</v>
      </c>
    </row>
    <row r="39" spans="1:5" x14ac:dyDescent="0.2">
      <c r="A39">
        <v>2024</v>
      </c>
      <c r="B39">
        <v>38</v>
      </c>
      <c r="E39" s="1">
        <v>12255.126581905228</v>
      </c>
    </row>
    <row r="40" spans="1:5" x14ac:dyDescent="0.2">
      <c r="A40">
        <v>2024</v>
      </c>
      <c r="B40">
        <v>39</v>
      </c>
      <c r="E40" s="1">
        <v>13264.624888100849</v>
      </c>
    </row>
    <row r="41" spans="1:5" x14ac:dyDescent="0.2">
      <c r="A41">
        <v>2024</v>
      </c>
      <c r="B41">
        <v>40</v>
      </c>
      <c r="E41" s="1">
        <v>12300.429644018446</v>
      </c>
    </row>
    <row r="42" spans="1:5" x14ac:dyDescent="0.2">
      <c r="A42">
        <v>2024</v>
      </c>
      <c r="B42">
        <v>41</v>
      </c>
      <c r="E42" s="1">
        <v>13991.483750152765</v>
      </c>
    </row>
    <row r="43" spans="1:5" x14ac:dyDescent="0.2">
      <c r="A43">
        <v>2024</v>
      </c>
      <c r="B43">
        <v>42</v>
      </c>
      <c r="E43" s="1">
        <v>15298.996901337798</v>
      </c>
    </row>
    <row r="44" spans="1:5" x14ac:dyDescent="0.2">
      <c r="A44">
        <v>2024</v>
      </c>
      <c r="B44">
        <v>43</v>
      </c>
      <c r="E44" s="1">
        <v>15407.367436968798</v>
      </c>
    </row>
    <row r="45" spans="1:5" x14ac:dyDescent="0.2">
      <c r="A45">
        <v>2024</v>
      </c>
      <c r="B45">
        <v>44</v>
      </c>
      <c r="E45" s="1">
        <v>14656.840370535692</v>
      </c>
    </row>
    <row r="46" spans="1:5" x14ac:dyDescent="0.2">
      <c r="A46">
        <v>2024</v>
      </c>
      <c r="B46">
        <v>45</v>
      </c>
      <c r="E46" s="1">
        <v>12925.320477529207</v>
      </c>
    </row>
    <row r="47" spans="1:5" x14ac:dyDescent="0.2">
      <c r="A47">
        <v>2024</v>
      </c>
      <c r="B47">
        <v>46</v>
      </c>
      <c r="E47" s="1">
        <v>10665.458099977848</v>
      </c>
    </row>
    <row r="48" spans="1:5" x14ac:dyDescent="0.2">
      <c r="A48">
        <v>2024</v>
      </c>
      <c r="B48">
        <v>47</v>
      </c>
      <c r="E48" s="1">
        <v>9715.7917682414391</v>
      </c>
    </row>
    <row r="49" spans="1:5" x14ac:dyDescent="0.2">
      <c r="A49">
        <v>2024</v>
      </c>
      <c r="B49">
        <v>48</v>
      </c>
      <c r="E49" s="1">
        <v>9492.4715916019813</v>
      </c>
    </row>
    <row r="50" spans="1:5" x14ac:dyDescent="0.2">
      <c r="A50">
        <v>2024</v>
      </c>
      <c r="B50">
        <v>49</v>
      </c>
      <c r="E50" s="1">
        <v>9648.2685454957391</v>
      </c>
    </row>
    <row r="51" spans="1:5" x14ac:dyDescent="0.2">
      <c r="A51">
        <v>2024</v>
      </c>
      <c r="B51">
        <v>50</v>
      </c>
      <c r="E51" s="1">
        <v>8588.7095944178654</v>
      </c>
    </row>
    <row r="52" spans="1:5" x14ac:dyDescent="0.2">
      <c r="A52">
        <v>2024</v>
      </c>
      <c r="B52">
        <v>51</v>
      </c>
      <c r="E52" s="1">
        <v>8206.3756471401612</v>
      </c>
    </row>
    <row r="53" spans="1:5" x14ac:dyDescent="0.2">
      <c r="A53">
        <v>2024</v>
      </c>
      <c r="B53">
        <v>52</v>
      </c>
      <c r="E53" s="1">
        <v>6883.1944468400307</v>
      </c>
    </row>
    <row r="54" spans="1:5" x14ac:dyDescent="0.2">
      <c r="A54">
        <v>2024</v>
      </c>
      <c r="B54">
        <v>53</v>
      </c>
      <c r="E54" s="1">
        <v>4938.6452843424368</v>
      </c>
    </row>
    <row r="55" spans="1:5" x14ac:dyDescent="0.2">
      <c r="A55">
        <v>2024</v>
      </c>
      <c r="B55">
        <v>54</v>
      </c>
      <c r="E55" s="1">
        <v>3479.5235686119399</v>
      </c>
    </row>
    <row r="56" spans="1:5" x14ac:dyDescent="0.2">
      <c r="A56">
        <v>2024</v>
      </c>
      <c r="B56">
        <v>55</v>
      </c>
      <c r="E56" s="1">
        <v>1874.0967468358338</v>
      </c>
    </row>
    <row r="57" spans="1:5" x14ac:dyDescent="0.2">
      <c r="A57">
        <v>2024</v>
      </c>
      <c r="B57">
        <v>56</v>
      </c>
      <c r="E57" s="1">
        <v>971.06029562010576</v>
      </c>
    </row>
    <row r="58" spans="1:5" x14ac:dyDescent="0.2">
      <c r="A58">
        <v>2024</v>
      </c>
      <c r="B58">
        <v>57</v>
      </c>
      <c r="E58" s="1">
        <v>468.87664894543303</v>
      </c>
    </row>
    <row r="59" spans="1:5" x14ac:dyDescent="0.2">
      <c r="A59">
        <v>2024</v>
      </c>
      <c r="B59">
        <v>58</v>
      </c>
      <c r="E59" s="1">
        <v>145.64430836799093</v>
      </c>
    </row>
    <row r="60" spans="1:5" x14ac:dyDescent="0.2">
      <c r="A60">
        <v>2024</v>
      </c>
      <c r="B60">
        <v>59</v>
      </c>
      <c r="E60" s="1">
        <v>81.911182343682711</v>
      </c>
    </row>
    <row r="61" spans="1:5" x14ac:dyDescent="0.2">
      <c r="A61">
        <v>2024</v>
      </c>
      <c r="B61">
        <v>60</v>
      </c>
      <c r="E61" s="1">
        <v>19.691858778045699</v>
      </c>
    </row>
    <row r="62" spans="1:5" x14ac:dyDescent="0.2">
      <c r="A62">
        <v>2024</v>
      </c>
      <c r="B62">
        <v>61</v>
      </c>
      <c r="E62" s="1">
        <v>0</v>
      </c>
    </row>
    <row r="63" spans="1:5" x14ac:dyDescent="0.2">
      <c r="A63">
        <v>2024</v>
      </c>
      <c r="B63">
        <v>62</v>
      </c>
      <c r="E63" s="1">
        <v>0</v>
      </c>
    </row>
    <row r="64" spans="1:5" x14ac:dyDescent="0.2">
      <c r="A64">
        <v>2024</v>
      </c>
      <c r="B64">
        <v>63</v>
      </c>
      <c r="E64" s="1">
        <v>0</v>
      </c>
    </row>
    <row r="65" spans="1:5" x14ac:dyDescent="0.2">
      <c r="A65">
        <v>2024</v>
      </c>
      <c r="B65">
        <v>64</v>
      </c>
      <c r="E65" s="1">
        <v>0</v>
      </c>
    </row>
    <row r="66" spans="1:5" x14ac:dyDescent="0.2">
      <c r="A66">
        <v>2024</v>
      </c>
      <c r="B66">
        <v>65</v>
      </c>
      <c r="E66" s="1">
        <v>0</v>
      </c>
    </row>
    <row r="67" spans="1:5" x14ac:dyDescent="0.2">
      <c r="A67">
        <v>2024</v>
      </c>
      <c r="B67">
        <v>66</v>
      </c>
      <c r="E67" s="1">
        <v>0</v>
      </c>
    </row>
    <row r="68" spans="1:5" x14ac:dyDescent="0.2">
      <c r="A68">
        <v>2024</v>
      </c>
      <c r="B68">
        <v>67</v>
      </c>
      <c r="E68" s="1">
        <v>0</v>
      </c>
    </row>
    <row r="69" spans="1:5" x14ac:dyDescent="0.2">
      <c r="A69">
        <v>2024</v>
      </c>
      <c r="B69">
        <v>68</v>
      </c>
      <c r="E69" s="1">
        <v>0</v>
      </c>
    </row>
    <row r="70" spans="1:5" x14ac:dyDescent="0.2">
      <c r="A70">
        <v>2024</v>
      </c>
      <c r="B70">
        <v>69</v>
      </c>
      <c r="E70" s="1">
        <v>0</v>
      </c>
    </row>
    <row r="71" spans="1:5" x14ac:dyDescent="0.2">
      <c r="A71">
        <v>2024</v>
      </c>
      <c r="B71">
        <v>70</v>
      </c>
      <c r="E71" s="1">
        <v>0</v>
      </c>
    </row>
    <row r="72" spans="1:5" x14ac:dyDescent="0.2">
      <c r="A72">
        <v>2024</v>
      </c>
      <c r="B72">
        <v>71</v>
      </c>
      <c r="E72" s="1">
        <v>0</v>
      </c>
    </row>
    <row r="73" spans="1:5" x14ac:dyDescent="0.2">
      <c r="A73">
        <v>2024</v>
      </c>
      <c r="B73">
        <v>72</v>
      </c>
      <c r="E73" s="1">
        <v>0</v>
      </c>
    </row>
    <row r="74" spans="1:5" x14ac:dyDescent="0.2">
      <c r="A74">
        <v>2024</v>
      </c>
      <c r="B74">
        <v>73</v>
      </c>
      <c r="E74" s="1">
        <v>0</v>
      </c>
    </row>
    <row r="75" spans="1:5" x14ac:dyDescent="0.2">
      <c r="A75">
        <v>2024</v>
      </c>
      <c r="B75">
        <v>74</v>
      </c>
      <c r="E75" s="1">
        <v>0</v>
      </c>
    </row>
    <row r="76" spans="1:5" x14ac:dyDescent="0.2">
      <c r="A76">
        <v>2024</v>
      </c>
      <c r="B76">
        <v>75</v>
      </c>
      <c r="E76" s="1">
        <v>0</v>
      </c>
    </row>
    <row r="77" spans="1:5" x14ac:dyDescent="0.2">
      <c r="A77">
        <v>2024</v>
      </c>
      <c r="B77">
        <v>76</v>
      </c>
      <c r="E77" s="1">
        <v>0</v>
      </c>
    </row>
    <row r="78" spans="1:5" x14ac:dyDescent="0.2">
      <c r="A78">
        <v>2024</v>
      </c>
      <c r="B78">
        <v>77</v>
      </c>
      <c r="E78" s="1">
        <v>0</v>
      </c>
    </row>
    <row r="79" spans="1:5" x14ac:dyDescent="0.2">
      <c r="A79">
        <v>2024</v>
      </c>
      <c r="B79">
        <v>78</v>
      </c>
      <c r="E79" s="1">
        <v>0</v>
      </c>
    </row>
    <row r="80" spans="1:5" x14ac:dyDescent="0.2">
      <c r="A80">
        <v>2024</v>
      </c>
      <c r="B80">
        <v>79</v>
      </c>
      <c r="E80" s="1">
        <v>0</v>
      </c>
    </row>
    <row r="81" spans="1:5" x14ac:dyDescent="0.2">
      <c r="A81">
        <v>2024</v>
      </c>
      <c r="B81">
        <v>80</v>
      </c>
      <c r="E81" s="1">
        <v>0</v>
      </c>
    </row>
    <row r="82" spans="1:5" x14ac:dyDescent="0.2">
      <c r="A82">
        <v>2024</v>
      </c>
      <c r="B82">
        <v>81</v>
      </c>
      <c r="E82" s="1">
        <v>0</v>
      </c>
    </row>
    <row r="83" spans="1:5" x14ac:dyDescent="0.2">
      <c r="A83">
        <v>2024</v>
      </c>
      <c r="B83">
        <v>82</v>
      </c>
      <c r="E83" s="1">
        <v>0</v>
      </c>
    </row>
    <row r="84" spans="1:5" x14ac:dyDescent="0.2">
      <c r="A84">
        <v>2024</v>
      </c>
      <c r="B84">
        <v>83</v>
      </c>
      <c r="E84" s="1">
        <v>0</v>
      </c>
    </row>
    <row r="85" spans="1:5" x14ac:dyDescent="0.2">
      <c r="A85">
        <v>2024</v>
      </c>
      <c r="B85">
        <v>84</v>
      </c>
      <c r="E85" s="1">
        <v>0</v>
      </c>
    </row>
    <row r="86" spans="1:5" x14ac:dyDescent="0.2">
      <c r="A86">
        <v>2024</v>
      </c>
      <c r="B86">
        <v>85</v>
      </c>
      <c r="E86" s="1">
        <v>0</v>
      </c>
    </row>
    <row r="87" spans="1:5" x14ac:dyDescent="0.2">
      <c r="A87">
        <v>2024</v>
      </c>
      <c r="B87">
        <v>86</v>
      </c>
      <c r="E87" s="1">
        <v>0</v>
      </c>
    </row>
    <row r="88" spans="1:5" x14ac:dyDescent="0.2">
      <c r="A88">
        <v>2024</v>
      </c>
      <c r="B88">
        <v>87</v>
      </c>
      <c r="E88" s="1">
        <v>0</v>
      </c>
    </row>
    <row r="89" spans="1:5" x14ac:dyDescent="0.2">
      <c r="A89">
        <v>2024</v>
      </c>
      <c r="B89">
        <v>88</v>
      </c>
      <c r="E89" s="1">
        <v>0</v>
      </c>
    </row>
    <row r="90" spans="1:5" x14ac:dyDescent="0.2">
      <c r="A90">
        <v>2024</v>
      </c>
      <c r="B90">
        <v>89</v>
      </c>
      <c r="E90" s="1">
        <v>0</v>
      </c>
    </row>
    <row r="91" spans="1:5" x14ac:dyDescent="0.2">
      <c r="A91">
        <v>2024</v>
      </c>
      <c r="B91">
        <v>90</v>
      </c>
      <c r="E91" s="1">
        <v>0</v>
      </c>
    </row>
    <row r="92" spans="1:5" x14ac:dyDescent="0.2">
      <c r="A92">
        <v>2024</v>
      </c>
      <c r="B92">
        <v>91</v>
      </c>
      <c r="E92" s="1">
        <v>0</v>
      </c>
    </row>
    <row r="93" spans="1:5" x14ac:dyDescent="0.2">
      <c r="A93">
        <v>2024</v>
      </c>
      <c r="B93">
        <v>92</v>
      </c>
      <c r="E93" s="1">
        <v>0</v>
      </c>
    </row>
    <row r="94" spans="1:5" x14ac:dyDescent="0.2">
      <c r="A94">
        <v>2024</v>
      </c>
      <c r="B94">
        <v>93</v>
      </c>
      <c r="E94" s="1">
        <v>0</v>
      </c>
    </row>
    <row r="95" spans="1:5" x14ac:dyDescent="0.2">
      <c r="A95">
        <v>2024</v>
      </c>
      <c r="B95">
        <v>94</v>
      </c>
      <c r="E95" s="1">
        <v>0</v>
      </c>
    </row>
    <row r="96" spans="1:5" x14ac:dyDescent="0.2">
      <c r="A96">
        <v>2024</v>
      </c>
      <c r="B96">
        <v>95</v>
      </c>
      <c r="E96" s="1">
        <v>0</v>
      </c>
    </row>
    <row r="97" spans="1:5" x14ac:dyDescent="0.2">
      <c r="A97">
        <v>2024</v>
      </c>
      <c r="B97">
        <v>96</v>
      </c>
      <c r="E97" s="1">
        <v>0</v>
      </c>
    </row>
    <row r="98" spans="1:5" x14ac:dyDescent="0.2">
      <c r="A98">
        <v>2024</v>
      </c>
      <c r="B98">
        <v>97</v>
      </c>
      <c r="E98" s="1">
        <v>0</v>
      </c>
    </row>
    <row r="99" spans="1:5" x14ac:dyDescent="0.2">
      <c r="A99">
        <v>2024</v>
      </c>
      <c r="B99">
        <v>98</v>
      </c>
      <c r="E99" s="1">
        <v>0</v>
      </c>
    </row>
    <row r="100" spans="1:5" x14ac:dyDescent="0.2">
      <c r="A100">
        <v>2024</v>
      </c>
      <c r="B100">
        <v>99</v>
      </c>
      <c r="E100" s="1">
        <v>0</v>
      </c>
    </row>
    <row r="101" spans="1:5" x14ac:dyDescent="0.2">
      <c r="A101">
        <v>2024</v>
      </c>
      <c r="B101">
        <v>100</v>
      </c>
      <c r="E101" s="1">
        <v>0</v>
      </c>
    </row>
    <row r="102" spans="1:5" x14ac:dyDescent="0.2">
      <c r="A102">
        <v>2025</v>
      </c>
      <c r="B102">
        <v>1</v>
      </c>
      <c r="E102" s="1">
        <v>0</v>
      </c>
    </row>
    <row r="103" spans="1:5" x14ac:dyDescent="0.2">
      <c r="A103">
        <v>2025</v>
      </c>
      <c r="B103">
        <v>2</v>
      </c>
      <c r="E103" s="1">
        <v>0</v>
      </c>
    </row>
    <row r="104" spans="1:5" x14ac:dyDescent="0.2">
      <c r="A104">
        <v>2025</v>
      </c>
      <c r="B104">
        <v>3</v>
      </c>
      <c r="E104" s="1">
        <v>0</v>
      </c>
    </row>
    <row r="105" spans="1:5" x14ac:dyDescent="0.2">
      <c r="A105">
        <v>2025</v>
      </c>
      <c r="B105">
        <v>4</v>
      </c>
      <c r="E105" s="1">
        <v>0</v>
      </c>
    </row>
    <row r="106" spans="1:5" x14ac:dyDescent="0.2">
      <c r="A106">
        <v>2025</v>
      </c>
      <c r="B106">
        <v>5</v>
      </c>
      <c r="E106" s="1">
        <v>0</v>
      </c>
    </row>
    <row r="107" spans="1:5" x14ac:dyDescent="0.2">
      <c r="A107">
        <v>2025</v>
      </c>
      <c r="B107">
        <v>6</v>
      </c>
      <c r="E107" s="1">
        <v>0</v>
      </c>
    </row>
    <row r="108" spans="1:5" x14ac:dyDescent="0.2">
      <c r="A108">
        <v>2025</v>
      </c>
      <c r="B108">
        <v>7</v>
      </c>
      <c r="E108" s="1">
        <v>0</v>
      </c>
    </row>
    <row r="109" spans="1:5" x14ac:dyDescent="0.2">
      <c r="A109">
        <v>2025</v>
      </c>
      <c r="B109">
        <v>8</v>
      </c>
      <c r="E109" s="1">
        <v>0</v>
      </c>
    </row>
    <row r="110" spans="1:5" x14ac:dyDescent="0.2">
      <c r="A110">
        <v>2025</v>
      </c>
      <c r="B110">
        <v>9</v>
      </c>
      <c r="E110" s="1">
        <v>0</v>
      </c>
    </row>
    <row r="111" spans="1:5" x14ac:dyDescent="0.2">
      <c r="A111">
        <v>2025</v>
      </c>
      <c r="B111">
        <v>10</v>
      </c>
      <c r="E111" s="1">
        <v>0</v>
      </c>
    </row>
    <row r="112" spans="1:5" x14ac:dyDescent="0.2">
      <c r="A112">
        <v>2025</v>
      </c>
      <c r="B112">
        <v>11</v>
      </c>
      <c r="E112" s="1">
        <v>0</v>
      </c>
    </row>
    <row r="113" spans="1:5" x14ac:dyDescent="0.2">
      <c r="A113">
        <v>2025</v>
      </c>
      <c r="B113">
        <v>12</v>
      </c>
      <c r="E113" s="1">
        <v>1.25241884722278</v>
      </c>
    </row>
    <row r="114" spans="1:5" x14ac:dyDescent="0.2">
      <c r="A114">
        <v>2025</v>
      </c>
      <c r="B114">
        <v>13</v>
      </c>
      <c r="E114" s="1">
        <v>0.66994315925884995</v>
      </c>
    </row>
    <row r="115" spans="1:5" x14ac:dyDescent="0.2">
      <c r="A115">
        <v>2025</v>
      </c>
      <c r="B115">
        <v>14</v>
      </c>
      <c r="E115" s="1">
        <v>0</v>
      </c>
    </row>
    <row r="116" spans="1:5" x14ac:dyDescent="0.2">
      <c r="A116">
        <v>2025</v>
      </c>
      <c r="B116">
        <v>15</v>
      </c>
      <c r="E116" s="1">
        <v>0</v>
      </c>
    </row>
    <row r="117" spans="1:5" x14ac:dyDescent="0.2">
      <c r="A117">
        <v>2025</v>
      </c>
      <c r="B117">
        <v>16</v>
      </c>
      <c r="E117" s="1">
        <v>3.8578052468232902</v>
      </c>
    </row>
    <row r="118" spans="1:5" x14ac:dyDescent="0.2">
      <c r="A118">
        <v>2025</v>
      </c>
      <c r="B118">
        <v>17</v>
      </c>
      <c r="E118" s="1">
        <v>1.05395468870745</v>
      </c>
    </row>
    <row r="119" spans="1:5" x14ac:dyDescent="0.2">
      <c r="A119">
        <v>2025</v>
      </c>
      <c r="B119">
        <v>18</v>
      </c>
      <c r="E119" s="1">
        <v>1.95775161060993</v>
      </c>
    </row>
    <row r="120" spans="1:5" x14ac:dyDescent="0.2">
      <c r="A120">
        <v>2025</v>
      </c>
      <c r="B120">
        <v>19</v>
      </c>
      <c r="E120" s="1">
        <v>1.88111975189064</v>
      </c>
    </row>
    <row r="121" spans="1:5" x14ac:dyDescent="0.2">
      <c r="A121">
        <v>2025</v>
      </c>
      <c r="B121">
        <v>20</v>
      </c>
      <c r="E121" s="1">
        <v>5.0909587319712797</v>
      </c>
    </row>
    <row r="122" spans="1:5" x14ac:dyDescent="0.2">
      <c r="A122">
        <v>2025</v>
      </c>
      <c r="B122">
        <v>21</v>
      </c>
      <c r="E122" s="1">
        <v>13.031545969326251</v>
      </c>
    </row>
    <row r="123" spans="1:5" x14ac:dyDescent="0.2">
      <c r="A123">
        <v>2025</v>
      </c>
      <c r="B123">
        <v>22</v>
      </c>
      <c r="E123" s="1">
        <v>56.558021271237699</v>
      </c>
    </row>
    <row r="124" spans="1:5" x14ac:dyDescent="0.2">
      <c r="A124">
        <v>2025</v>
      </c>
      <c r="B124">
        <v>23</v>
      </c>
      <c r="E124" s="1">
        <v>142.2141890801432</v>
      </c>
    </row>
    <row r="125" spans="1:5" x14ac:dyDescent="0.2">
      <c r="A125">
        <v>2025</v>
      </c>
      <c r="B125">
        <v>24</v>
      </c>
      <c r="E125" s="1">
        <v>385.24203248662798</v>
      </c>
    </row>
    <row r="126" spans="1:5" x14ac:dyDescent="0.2">
      <c r="A126">
        <v>2025</v>
      </c>
      <c r="B126">
        <v>25</v>
      </c>
      <c r="E126" s="1">
        <v>505.22548319307299</v>
      </c>
    </row>
    <row r="127" spans="1:5" x14ac:dyDescent="0.2">
      <c r="A127">
        <v>2025</v>
      </c>
      <c r="B127">
        <v>26</v>
      </c>
      <c r="E127" s="1">
        <v>583.76205886594107</v>
      </c>
    </row>
    <row r="128" spans="1:5" x14ac:dyDescent="0.2">
      <c r="A128">
        <v>2025</v>
      </c>
      <c r="B128">
        <v>27</v>
      </c>
      <c r="E128" s="1">
        <v>717.70829307256304</v>
      </c>
    </row>
    <row r="129" spans="1:5" x14ac:dyDescent="0.2">
      <c r="A129">
        <v>2025</v>
      </c>
      <c r="B129">
        <v>28</v>
      </c>
      <c r="E129" s="1">
        <v>923.23711727315504</v>
      </c>
    </row>
    <row r="130" spans="1:5" x14ac:dyDescent="0.2">
      <c r="A130">
        <v>2025</v>
      </c>
      <c r="B130">
        <v>29</v>
      </c>
      <c r="E130" s="1">
        <v>1111.4946371284959</v>
      </c>
    </row>
    <row r="131" spans="1:5" x14ac:dyDescent="0.2">
      <c r="A131">
        <v>2025</v>
      </c>
      <c r="B131">
        <v>30</v>
      </c>
      <c r="E131" s="1">
        <v>953.14384893290298</v>
      </c>
    </row>
    <row r="132" spans="1:5" x14ac:dyDescent="0.2">
      <c r="A132">
        <v>2025</v>
      </c>
      <c r="B132">
        <v>31</v>
      </c>
      <c r="E132" s="1">
        <v>988.66864640494998</v>
      </c>
    </row>
    <row r="133" spans="1:5" x14ac:dyDescent="0.2">
      <c r="A133">
        <v>2025</v>
      </c>
      <c r="B133">
        <v>32</v>
      </c>
      <c r="E133" s="1">
        <v>972.64642739774592</v>
      </c>
    </row>
    <row r="134" spans="1:5" x14ac:dyDescent="0.2">
      <c r="A134">
        <v>2025</v>
      </c>
      <c r="B134">
        <v>33</v>
      </c>
      <c r="E134" s="1">
        <v>1056.6525887951379</v>
      </c>
    </row>
    <row r="135" spans="1:5" x14ac:dyDescent="0.2">
      <c r="A135">
        <v>2025</v>
      </c>
      <c r="B135">
        <v>34</v>
      </c>
      <c r="E135" s="1">
        <v>1300.6812304538821</v>
      </c>
    </row>
    <row r="136" spans="1:5" x14ac:dyDescent="0.2">
      <c r="A136">
        <v>2025</v>
      </c>
      <c r="B136">
        <v>35</v>
      </c>
      <c r="E136" s="1">
        <v>1349.8774849897059</v>
      </c>
    </row>
    <row r="137" spans="1:5" x14ac:dyDescent="0.2">
      <c r="A137">
        <v>2025</v>
      </c>
      <c r="B137">
        <v>36</v>
      </c>
      <c r="E137" s="1">
        <v>1614.6338366215759</v>
      </c>
    </row>
    <row r="138" spans="1:5" x14ac:dyDescent="0.2">
      <c r="A138">
        <v>2025</v>
      </c>
      <c r="B138">
        <v>37</v>
      </c>
      <c r="E138" s="1">
        <v>1914.1346600208449</v>
      </c>
    </row>
    <row r="139" spans="1:5" x14ac:dyDescent="0.2">
      <c r="A139">
        <v>2025</v>
      </c>
      <c r="B139">
        <v>38</v>
      </c>
      <c r="E139" s="1">
        <v>2122.3711389640539</v>
      </c>
    </row>
    <row r="140" spans="1:5" x14ac:dyDescent="0.2">
      <c r="A140">
        <v>2025</v>
      </c>
      <c r="B140">
        <v>39</v>
      </c>
      <c r="E140" s="1">
        <v>3104.271850910895</v>
      </c>
    </row>
    <row r="141" spans="1:5" x14ac:dyDescent="0.2">
      <c r="A141">
        <v>2025</v>
      </c>
      <c r="B141">
        <v>40</v>
      </c>
      <c r="E141" s="1">
        <v>4733.4372134021733</v>
      </c>
    </row>
    <row r="142" spans="1:5" x14ac:dyDescent="0.2">
      <c r="A142">
        <v>2025</v>
      </c>
      <c r="B142">
        <v>41</v>
      </c>
      <c r="E142" s="1">
        <v>6733.3898585710103</v>
      </c>
    </row>
    <row r="143" spans="1:5" x14ac:dyDescent="0.2">
      <c r="A143">
        <v>2025</v>
      </c>
      <c r="B143">
        <v>42</v>
      </c>
      <c r="E143" s="1">
        <v>8655.1652580815735</v>
      </c>
    </row>
    <row r="144" spans="1:5" x14ac:dyDescent="0.2">
      <c r="A144">
        <v>2025</v>
      </c>
      <c r="B144">
        <v>43</v>
      </c>
      <c r="E144" s="1">
        <v>10263.338258015896</v>
      </c>
    </row>
    <row r="145" spans="1:5" x14ac:dyDescent="0.2">
      <c r="A145">
        <v>2025</v>
      </c>
      <c r="B145">
        <v>44</v>
      </c>
      <c r="E145" s="1">
        <v>12364.305133464979</v>
      </c>
    </row>
    <row r="146" spans="1:5" x14ac:dyDescent="0.2">
      <c r="A146">
        <v>2025</v>
      </c>
      <c r="B146">
        <v>45</v>
      </c>
      <c r="E146" s="1">
        <v>12662.696575518616</v>
      </c>
    </row>
    <row r="147" spans="1:5" x14ac:dyDescent="0.2">
      <c r="A147">
        <v>2025</v>
      </c>
      <c r="B147">
        <v>46</v>
      </c>
      <c r="E147" s="1">
        <v>10485.476319088079</v>
      </c>
    </row>
    <row r="148" spans="1:5" x14ac:dyDescent="0.2">
      <c r="A148">
        <v>2025</v>
      </c>
      <c r="B148">
        <v>47</v>
      </c>
      <c r="E148" s="1">
        <v>8171.811638238908</v>
      </c>
    </row>
    <row r="149" spans="1:5" x14ac:dyDescent="0.2">
      <c r="A149">
        <v>2025</v>
      </c>
      <c r="B149">
        <v>48</v>
      </c>
      <c r="E149" s="1">
        <v>5411.2100456039789</v>
      </c>
    </row>
    <row r="150" spans="1:5" x14ac:dyDescent="0.2">
      <c r="A150">
        <v>2025</v>
      </c>
      <c r="B150">
        <v>49</v>
      </c>
      <c r="E150" s="1">
        <v>3714.5740628967583</v>
      </c>
    </row>
    <row r="151" spans="1:5" x14ac:dyDescent="0.2">
      <c r="A151">
        <v>2025</v>
      </c>
      <c r="B151">
        <v>50</v>
      </c>
      <c r="E151" s="1">
        <v>2418.0105299282577</v>
      </c>
    </row>
    <row r="152" spans="1:5" x14ac:dyDescent="0.2">
      <c r="A152">
        <v>2025</v>
      </c>
      <c r="B152">
        <v>51</v>
      </c>
      <c r="E152" s="1">
        <v>1614.3334032253051</v>
      </c>
    </row>
    <row r="153" spans="1:5" x14ac:dyDescent="0.2">
      <c r="A153">
        <v>2025</v>
      </c>
      <c r="B153">
        <v>52</v>
      </c>
      <c r="E153" s="1">
        <v>759.11159249837146</v>
      </c>
    </row>
    <row r="154" spans="1:5" x14ac:dyDescent="0.2">
      <c r="A154">
        <v>2025</v>
      </c>
      <c r="B154">
        <v>53</v>
      </c>
      <c r="E154" s="1">
        <v>412.55480767016439</v>
      </c>
    </row>
    <row r="155" spans="1:5" x14ac:dyDescent="0.2">
      <c r="A155">
        <v>2025</v>
      </c>
      <c r="B155">
        <v>54</v>
      </c>
      <c r="E155" s="1">
        <v>183.96575907184891</v>
      </c>
    </row>
    <row r="156" spans="1:5" x14ac:dyDescent="0.2">
      <c r="A156">
        <v>2025</v>
      </c>
      <c r="B156">
        <v>55</v>
      </c>
      <c r="E156" s="1">
        <v>183.64387743770902</v>
      </c>
    </row>
    <row r="157" spans="1:5" x14ac:dyDescent="0.2">
      <c r="A157">
        <v>2025</v>
      </c>
      <c r="B157">
        <v>56</v>
      </c>
      <c r="E157" s="1">
        <v>72.997599135848063</v>
      </c>
    </row>
    <row r="158" spans="1:5" x14ac:dyDescent="0.2">
      <c r="A158">
        <v>2025</v>
      </c>
      <c r="B158">
        <v>57</v>
      </c>
      <c r="E158" s="1">
        <v>11.084896760308064</v>
      </c>
    </row>
    <row r="159" spans="1:5" x14ac:dyDescent="0.2">
      <c r="A159">
        <v>2025</v>
      </c>
      <c r="B159">
        <v>58</v>
      </c>
      <c r="E159" s="1">
        <v>2.8371150310508844</v>
      </c>
    </row>
    <row r="160" spans="1:5" x14ac:dyDescent="0.2">
      <c r="A160">
        <v>2025</v>
      </c>
      <c r="B160">
        <v>59</v>
      </c>
      <c r="E160" s="1">
        <v>1.1676592211684671</v>
      </c>
    </row>
    <row r="161" spans="1:5" x14ac:dyDescent="0.2">
      <c r="A161">
        <v>2025</v>
      </c>
      <c r="B161">
        <v>60</v>
      </c>
      <c r="E161" s="1">
        <v>6.2480357029153298E-2</v>
      </c>
    </row>
    <row r="162" spans="1:5" x14ac:dyDescent="0.2">
      <c r="A162">
        <v>2025</v>
      </c>
      <c r="B162">
        <v>61</v>
      </c>
      <c r="E162" s="1">
        <v>0</v>
      </c>
    </row>
    <row r="163" spans="1:5" x14ac:dyDescent="0.2">
      <c r="A163">
        <v>2025</v>
      </c>
      <c r="B163">
        <v>62</v>
      </c>
      <c r="E163" s="1">
        <v>0</v>
      </c>
    </row>
    <row r="164" spans="1:5" x14ac:dyDescent="0.2">
      <c r="A164">
        <v>2025</v>
      </c>
      <c r="B164">
        <v>63</v>
      </c>
      <c r="E164" s="1">
        <v>0</v>
      </c>
    </row>
    <row r="165" spans="1:5" x14ac:dyDescent="0.2">
      <c r="A165">
        <v>2025</v>
      </c>
      <c r="B165">
        <v>64</v>
      </c>
      <c r="E165" s="1">
        <v>0</v>
      </c>
    </row>
    <row r="166" spans="1:5" x14ac:dyDescent="0.2">
      <c r="A166">
        <v>2025</v>
      </c>
      <c r="B166">
        <v>65</v>
      </c>
      <c r="E166" s="1">
        <v>0</v>
      </c>
    </row>
    <row r="167" spans="1:5" x14ac:dyDescent="0.2">
      <c r="A167">
        <v>2025</v>
      </c>
      <c r="B167">
        <v>66</v>
      </c>
      <c r="E167" s="1">
        <v>0</v>
      </c>
    </row>
    <row r="168" spans="1:5" x14ac:dyDescent="0.2">
      <c r="A168">
        <v>2025</v>
      </c>
      <c r="B168">
        <v>67</v>
      </c>
      <c r="E168" s="1">
        <v>0</v>
      </c>
    </row>
    <row r="169" spans="1:5" x14ac:dyDescent="0.2">
      <c r="A169">
        <v>2025</v>
      </c>
      <c r="B169">
        <v>68</v>
      </c>
      <c r="E169" s="1">
        <v>0</v>
      </c>
    </row>
    <row r="170" spans="1:5" x14ac:dyDescent="0.2">
      <c r="A170">
        <v>2025</v>
      </c>
      <c r="B170">
        <v>69</v>
      </c>
      <c r="E170" s="1">
        <v>0</v>
      </c>
    </row>
    <row r="171" spans="1:5" x14ac:dyDescent="0.2">
      <c r="A171">
        <v>2025</v>
      </c>
      <c r="B171">
        <v>70</v>
      </c>
      <c r="E171" s="1">
        <v>0</v>
      </c>
    </row>
    <row r="172" spans="1:5" x14ac:dyDescent="0.2">
      <c r="A172">
        <v>2025</v>
      </c>
      <c r="B172">
        <v>71</v>
      </c>
      <c r="E172" s="1">
        <v>0</v>
      </c>
    </row>
    <row r="173" spans="1:5" x14ac:dyDescent="0.2">
      <c r="A173">
        <v>2025</v>
      </c>
      <c r="B173">
        <v>72</v>
      </c>
      <c r="E173" s="1">
        <v>0</v>
      </c>
    </row>
    <row r="174" spans="1:5" x14ac:dyDescent="0.2">
      <c r="A174">
        <v>2025</v>
      </c>
      <c r="B174">
        <v>73</v>
      </c>
      <c r="E174" s="1">
        <v>0</v>
      </c>
    </row>
    <row r="175" spans="1:5" x14ac:dyDescent="0.2">
      <c r="A175">
        <v>2025</v>
      </c>
      <c r="B175">
        <v>74</v>
      </c>
      <c r="E175" s="1">
        <v>0</v>
      </c>
    </row>
    <row r="176" spans="1:5" x14ac:dyDescent="0.2">
      <c r="A176">
        <v>2025</v>
      </c>
      <c r="B176">
        <v>75</v>
      </c>
      <c r="E176" s="1">
        <v>0</v>
      </c>
    </row>
    <row r="177" spans="1:5" x14ac:dyDescent="0.2">
      <c r="A177">
        <v>2025</v>
      </c>
      <c r="B177">
        <v>76</v>
      </c>
      <c r="E177" s="1">
        <v>0</v>
      </c>
    </row>
    <row r="178" spans="1:5" x14ac:dyDescent="0.2">
      <c r="A178">
        <v>2025</v>
      </c>
      <c r="B178">
        <v>77</v>
      </c>
      <c r="E178" s="1">
        <v>0</v>
      </c>
    </row>
    <row r="179" spans="1:5" x14ac:dyDescent="0.2">
      <c r="A179">
        <v>2025</v>
      </c>
      <c r="B179">
        <v>78</v>
      </c>
      <c r="E179" s="1">
        <v>0</v>
      </c>
    </row>
    <row r="180" spans="1:5" x14ac:dyDescent="0.2">
      <c r="A180">
        <v>2025</v>
      </c>
      <c r="B180">
        <v>79</v>
      </c>
      <c r="E180" s="1">
        <v>0</v>
      </c>
    </row>
    <row r="181" spans="1:5" x14ac:dyDescent="0.2">
      <c r="A181">
        <v>2025</v>
      </c>
      <c r="B181">
        <v>80</v>
      </c>
      <c r="E181" s="1">
        <v>0</v>
      </c>
    </row>
    <row r="182" spans="1:5" x14ac:dyDescent="0.2">
      <c r="A182">
        <v>2025</v>
      </c>
      <c r="B182">
        <v>81</v>
      </c>
      <c r="E182" s="1">
        <v>0</v>
      </c>
    </row>
    <row r="183" spans="1:5" x14ac:dyDescent="0.2">
      <c r="A183">
        <v>2025</v>
      </c>
      <c r="B183">
        <v>82</v>
      </c>
      <c r="E183" s="1">
        <v>0</v>
      </c>
    </row>
    <row r="184" spans="1:5" x14ac:dyDescent="0.2">
      <c r="A184">
        <v>2025</v>
      </c>
      <c r="B184">
        <v>83</v>
      </c>
      <c r="E184" s="1">
        <v>0</v>
      </c>
    </row>
    <row r="185" spans="1:5" x14ac:dyDescent="0.2">
      <c r="A185">
        <v>2025</v>
      </c>
      <c r="B185">
        <v>84</v>
      </c>
      <c r="E185" s="1">
        <v>0</v>
      </c>
    </row>
    <row r="186" spans="1:5" x14ac:dyDescent="0.2">
      <c r="A186">
        <v>2025</v>
      </c>
      <c r="B186">
        <v>85</v>
      </c>
      <c r="E186" s="1">
        <v>0</v>
      </c>
    </row>
    <row r="187" spans="1:5" x14ac:dyDescent="0.2">
      <c r="A187">
        <v>2025</v>
      </c>
      <c r="B187">
        <v>86</v>
      </c>
      <c r="E187" s="1">
        <v>0</v>
      </c>
    </row>
    <row r="188" spans="1:5" x14ac:dyDescent="0.2">
      <c r="A188">
        <v>2025</v>
      </c>
      <c r="B188">
        <v>87</v>
      </c>
      <c r="E188" s="1">
        <v>0</v>
      </c>
    </row>
    <row r="189" spans="1:5" x14ac:dyDescent="0.2">
      <c r="A189">
        <v>2025</v>
      </c>
      <c r="B189">
        <v>88</v>
      </c>
      <c r="E189" s="1">
        <v>0</v>
      </c>
    </row>
    <row r="190" spans="1:5" x14ac:dyDescent="0.2">
      <c r="A190">
        <v>2025</v>
      </c>
      <c r="B190">
        <v>89</v>
      </c>
      <c r="E190" s="1">
        <v>0</v>
      </c>
    </row>
    <row r="191" spans="1:5" x14ac:dyDescent="0.2">
      <c r="A191">
        <v>2025</v>
      </c>
      <c r="B191">
        <v>90</v>
      </c>
      <c r="E191" s="1">
        <v>0</v>
      </c>
    </row>
    <row r="192" spans="1:5" x14ac:dyDescent="0.2">
      <c r="A192">
        <v>2025</v>
      </c>
      <c r="B192">
        <v>91</v>
      </c>
      <c r="E192" s="1">
        <v>0</v>
      </c>
    </row>
    <row r="193" spans="1:5" x14ac:dyDescent="0.2">
      <c r="A193">
        <v>2025</v>
      </c>
      <c r="B193">
        <v>92</v>
      </c>
      <c r="E193" s="1">
        <v>0</v>
      </c>
    </row>
    <row r="194" spans="1:5" x14ac:dyDescent="0.2">
      <c r="A194">
        <v>2025</v>
      </c>
      <c r="B194">
        <v>93</v>
      </c>
      <c r="E194" s="1">
        <v>0</v>
      </c>
    </row>
    <row r="195" spans="1:5" x14ac:dyDescent="0.2">
      <c r="A195">
        <v>2025</v>
      </c>
      <c r="B195">
        <v>94</v>
      </c>
      <c r="E195" s="1">
        <v>0</v>
      </c>
    </row>
    <row r="196" spans="1:5" x14ac:dyDescent="0.2">
      <c r="A196">
        <v>2025</v>
      </c>
      <c r="B196">
        <v>95</v>
      </c>
      <c r="E196" s="1">
        <v>0</v>
      </c>
    </row>
    <row r="197" spans="1:5" x14ac:dyDescent="0.2">
      <c r="A197">
        <v>2025</v>
      </c>
      <c r="B197">
        <v>96</v>
      </c>
      <c r="E197" s="1">
        <v>0</v>
      </c>
    </row>
    <row r="198" spans="1:5" x14ac:dyDescent="0.2">
      <c r="A198">
        <v>2025</v>
      </c>
      <c r="B198">
        <v>97</v>
      </c>
      <c r="E198" s="1">
        <v>0</v>
      </c>
    </row>
    <row r="199" spans="1:5" x14ac:dyDescent="0.2">
      <c r="A199">
        <v>2025</v>
      </c>
      <c r="B199">
        <v>98</v>
      </c>
      <c r="E199" s="1">
        <v>0</v>
      </c>
    </row>
    <row r="200" spans="1:5" x14ac:dyDescent="0.2">
      <c r="A200">
        <v>2025</v>
      </c>
      <c r="B200">
        <v>99</v>
      </c>
      <c r="E200" s="1">
        <v>0</v>
      </c>
    </row>
    <row r="201" spans="1:5" x14ac:dyDescent="0.2">
      <c r="A201">
        <v>2025</v>
      </c>
      <c r="B201">
        <v>100</v>
      </c>
      <c r="E2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E624-8038-4FB5-9240-586936FC87C7}">
  <dimension ref="A1:H57"/>
  <sheetViews>
    <sheetView topLeftCell="A31" workbookViewId="0">
      <selection activeCell="I49" sqref="I49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8" x14ac:dyDescent="0.2">
      <c r="A2">
        <v>1970</v>
      </c>
    </row>
    <row r="3" spans="1:8" x14ac:dyDescent="0.2">
      <c r="A3">
        <v>1971</v>
      </c>
    </row>
    <row r="4" spans="1:8" x14ac:dyDescent="0.2">
      <c r="A4">
        <v>1972</v>
      </c>
    </row>
    <row r="5" spans="1:8" x14ac:dyDescent="0.2">
      <c r="A5">
        <v>1973</v>
      </c>
    </row>
    <row r="6" spans="1:8" x14ac:dyDescent="0.2">
      <c r="A6">
        <v>1974</v>
      </c>
    </row>
    <row r="7" spans="1:8" x14ac:dyDescent="0.2">
      <c r="A7">
        <v>1975</v>
      </c>
    </row>
    <row r="8" spans="1:8" x14ac:dyDescent="0.2">
      <c r="A8">
        <v>1976</v>
      </c>
    </row>
    <row r="9" spans="1:8" x14ac:dyDescent="0.2">
      <c r="A9">
        <v>1977</v>
      </c>
    </row>
    <row r="10" spans="1:8" x14ac:dyDescent="0.2">
      <c r="A10">
        <v>1978</v>
      </c>
    </row>
    <row r="11" spans="1:8" x14ac:dyDescent="0.2">
      <c r="A11">
        <v>1979</v>
      </c>
    </row>
    <row r="12" spans="1:8" x14ac:dyDescent="0.2">
      <c r="A12">
        <v>1980</v>
      </c>
    </row>
    <row r="13" spans="1:8" x14ac:dyDescent="0.2">
      <c r="A13">
        <v>1981</v>
      </c>
    </row>
    <row r="14" spans="1:8" x14ac:dyDescent="0.2">
      <c r="A14">
        <v>1982</v>
      </c>
      <c r="C14" s="1"/>
    </row>
    <row r="15" spans="1:8" x14ac:dyDescent="0.2">
      <c r="A15">
        <v>1983</v>
      </c>
      <c r="C15" s="1">
        <v>0.82109442933028443</v>
      </c>
      <c r="H15" s="2"/>
    </row>
    <row r="16" spans="1:8" x14ac:dyDescent="0.2">
      <c r="A16">
        <v>1984</v>
      </c>
      <c r="C16" s="1">
        <v>0.75490806292304458</v>
      </c>
      <c r="H16" s="2"/>
    </row>
    <row r="17" spans="1:8" x14ac:dyDescent="0.2">
      <c r="A17">
        <v>1985</v>
      </c>
      <c r="C17" s="1">
        <v>0.66164553725862441</v>
      </c>
      <c r="H17" s="2"/>
    </row>
    <row r="18" spans="1:8" x14ac:dyDescent="0.2">
      <c r="A18">
        <v>1986</v>
      </c>
      <c r="C18" s="1">
        <v>0.55673543110428458</v>
      </c>
      <c r="H18" s="2"/>
    </row>
    <row r="19" spans="1:8" x14ac:dyDescent="0.2">
      <c r="A19">
        <v>1987</v>
      </c>
      <c r="C19" s="1">
        <v>0.65401830416960893</v>
      </c>
      <c r="H19" s="2"/>
    </row>
    <row r="20" spans="1:8" x14ac:dyDescent="0.2">
      <c r="A20">
        <v>1988</v>
      </c>
      <c r="C20" s="1">
        <v>0.57476631574842507</v>
      </c>
      <c r="H20" s="2"/>
    </row>
    <row r="21" spans="1:8" x14ac:dyDescent="0.2">
      <c r="A21">
        <v>1989</v>
      </c>
      <c r="C21" s="1">
        <v>0.56028782630369456</v>
      </c>
      <c r="H21" s="2"/>
    </row>
    <row r="22" spans="1:8" x14ac:dyDescent="0.2">
      <c r="A22">
        <v>1990</v>
      </c>
      <c r="C22" s="1">
        <v>0.48105121684298718</v>
      </c>
      <c r="H22" s="2"/>
    </row>
    <row r="23" spans="1:8" x14ac:dyDescent="0.2">
      <c r="A23">
        <v>1991</v>
      </c>
      <c r="C23" s="1">
        <v>0.53102637170223632</v>
      </c>
      <c r="H23" s="2"/>
    </row>
    <row r="24" spans="1:8" x14ac:dyDescent="0.2">
      <c r="A24">
        <v>1992</v>
      </c>
      <c r="C24" s="1">
        <v>0.48707073085378078</v>
      </c>
      <c r="H24" s="2"/>
    </row>
    <row r="25" spans="1:8" x14ac:dyDescent="0.2">
      <c r="A25">
        <v>1993</v>
      </c>
      <c r="C25" s="1">
        <v>0.43690521013553524</v>
      </c>
      <c r="H25" s="2"/>
    </row>
    <row r="26" spans="1:8" x14ac:dyDescent="0.2">
      <c r="A26">
        <v>1994</v>
      </c>
      <c r="C26" s="1">
        <v>0.47043814034615744</v>
      </c>
      <c r="H26" s="2"/>
    </row>
    <row r="27" spans="1:8" x14ac:dyDescent="0.2">
      <c r="A27">
        <v>1995</v>
      </c>
      <c r="C27" s="1">
        <v>0.41995959647559183</v>
      </c>
      <c r="H27" s="2"/>
    </row>
    <row r="28" spans="1:8" x14ac:dyDescent="0.2">
      <c r="A28">
        <v>1996</v>
      </c>
      <c r="C28" s="1">
        <v>0.41346122926477935</v>
      </c>
      <c r="H28" s="2"/>
    </row>
    <row r="29" spans="1:8" x14ac:dyDescent="0.2">
      <c r="A29">
        <v>1997</v>
      </c>
      <c r="C29" s="1">
        <v>0.33958606163143373</v>
      </c>
      <c r="H29" s="2"/>
    </row>
    <row r="30" spans="1:8" x14ac:dyDescent="0.2">
      <c r="A30">
        <v>1998</v>
      </c>
      <c r="C30" s="1">
        <v>0.28971181581723165</v>
      </c>
      <c r="H30" s="2"/>
    </row>
    <row r="31" spans="1:8" x14ac:dyDescent="0.2">
      <c r="A31">
        <v>1999</v>
      </c>
      <c r="C31" s="1">
        <v>0.29512235765236022</v>
      </c>
      <c r="H31" s="2"/>
    </row>
    <row r="32" spans="1:8" x14ac:dyDescent="0.2">
      <c r="A32">
        <v>2000</v>
      </c>
      <c r="C32" s="1">
        <v>0.28492513228446986</v>
      </c>
      <c r="D32" s="1"/>
      <c r="H32" s="2"/>
    </row>
    <row r="33" spans="1:8" x14ac:dyDescent="0.2">
      <c r="A33">
        <v>2001</v>
      </c>
      <c r="C33" s="1">
        <v>0.33965497795483235</v>
      </c>
      <c r="D33" s="1"/>
      <c r="H33" s="2"/>
    </row>
    <row r="34" spans="1:8" x14ac:dyDescent="0.2">
      <c r="A34">
        <v>2002</v>
      </c>
      <c r="C34" s="1">
        <v>0.29751903155579679</v>
      </c>
      <c r="D34" s="1">
        <v>4.0350815385149197</v>
      </c>
      <c r="H34" s="2"/>
    </row>
    <row r="35" spans="1:8" x14ac:dyDescent="0.2">
      <c r="A35">
        <v>2003</v>
      </c>
      <c r="C35" s="1">
        <v>0.25976987176563943</v>
      </c>
      <c r="D35" s="1">
        <v>4.789916553508891</v>
      </c>
      <c r="H35" s="2"/>
    </row>
    <row r="36" spans="1:8" x14ac:dyDescent="0.2">
      <c r="A36">
        <v>2004</v>
      </c>
      <c r="C36" s="1">
        <v>0.28137960264663187</v>
      </c>
      <c r="D36" s="1">
        <v>5.1438130355370335</v>
      </c>
      <c r="H36" s="2"/>
    </row>
    <row r="37" spans="1:8" x14ac:dyDescent="0.2">
      <c r="A37">
        <v>2005</v>
      </c>
      <c r="C37" s="1">
        <v>0.25620688922355378</v>
      </c>
      <c r="D37" s="1">
        <v>4.0567475579982419</v>
      </c>
      <c r="H37" s="2"/>
    </row>
    <row r="38" spans="1:8" x14ac:dyDescent="0.2">
      <c r="A38">
        <v>2006</v>
      </c>
      <c r="C38" s="1">
        <v>0.27772890069301709</v>
      </c>
      <c r="D38" s="1">
        <v>5.400086929732435</v>
      </c>
      <c r="H38" s="2"/>
    </row>
    <row r="39" spans="1:8" x14ac:dyDescent="0.2">
      <c r="A39">
        <v>2007</v>
      </c>
      <c r="C39" s="1">
        <v>0.20800172991981827</v>
      </c>
      <c r="D39" s="1">
        <v>7.3198627079145524</v>
      </c>
      <c r="H39" s="2"/>
    </row>
    <row r="40" spans="1:8" x14ac:dyDescent="0.2">
      <c r="A40">
        <v>2008</v>
      </c>
      <c r="C40" s="1">
        <v>0.13672928591587755</v>
      </c>
      <c r="D40" s="1">
        <v>3.7732270334335336</v>
      </c>
      <c r="E40" s="1">
        <v>1304.0412888470401</v>
      </c>
    </row>
    <row r="41" spans="1:8" x14ac:dyDescent="0.2">
      <c r="A41">
        <v>2009</v>
      </c>
      <c r="C41" s="1">
        <v>0.11317000075100579</v>
      </c>
      <c r="D41" s="1">
        <v>1.3187595388743807</v>
      </c>
      <c r="E41" s="1">
        <v>1090.1116000110401</v>
      </c>
    </row>
    <row r="42" spans="1:8" x14ac:dyDescent="0.2">
      <c r="A42">
        <v>2010</v>
      </c>
      <c r="C42" s="1">
        <v>8.7412731279935152E-2</v>
      </c>
      <c r="D42" s="1">
        <v>2.443799298800204</v>
      </c>
      <c r="E42" s="1">
        <v>674.45032052385295</v>
      </c>
    </row>
    <row r="43" spans="1:8" x14ac:dyDescent="0.2">
      <c r="A43">
        <v>2011</v>
      </c>
      <c r="C43" s="1">
        <v>4.8409175156047764E-2</v>
      </c>
      <c r="D43" s="1">
        <v>6.3607135016804497</v>
      </c>
      <c r="E43" s="1">
        <v>558.38282787933497</v>
      </c>
    </row>
    <row r="44" spans="1:8" x14ac:dyDescent="0.2">
      <c r="A44">
        <v>2012</v>
      </c>
      <c r="C44" s="1">
        <v>0.14621114752709372</v>
      </c>
      <c r="D44" s="1">
        <v>5.5001559483715727</v>
      </c>
      <c r="E44" s="1">
        <v>439.62925603105799</v>
      </c>
    </row>
    <row r="45" spans="1:8" x14ac:dyDescent="0.2">
      <c r="A45">
        <v>2013</v>
      </c>
      <c r="C45" s="1">
        <v>0.1282843819323034</v>
      </c>
      <c r="D45" s="1">
        <v>2.4182608022703969</v>
      </c>
      <c r="E45" s="1">
        <v>519.64865518855299</v>
      </c>
    </row>
    <row r="46" spans="1:8" x14ac:dyDescent="0.2">
      <c r="A46">
        <v>2014</v>
      </c>
      <c r="C46" s="1">
        <v>0.10205817390425896</v>
      </c>
      <c r="D46" s="1">
        <v>3.2299627368622903</v>
      </c>
      <c r="E46" s="1">
        <v>487.124914106365</v>
      </c>
    </row>
    <row r="47" spans="1:8" x14ac:dyDescent="0.2">
      <c r="A47">
        <v>2015</v>
      </c>
      <c r="C47" s="1">
        <v>8.4312697949666948E-2</v>
      </c>
      <c r="D47" s="1">
        <v>2.6038850643919318</v>
      </c>
      <c r="E47" s="1">
        <v>690.55074529739795</v>
      </c>
    </row>
    <row r="48" spans="1:8" x14ac:dyDescent="0.2">
      <c r="A48">
        <v>2016</v>
      </c>
      <c r="C48" s="1">
        <v>0.1512500387926447</v>
      </c>
      <c r="D48" s="1">
        <v>2.2209459174942525</v>
      </c>
      <c r="E48" s="1">
        <v>496.37052994915302</v>
      </c>
    </row>
    <row r="49" spans="1:8" x14ac:dyDescent="0.2">
      <c r="A49">
        <v>2017</v>
      </c>
      <c r="C49" s="1">
        <v>0.17999460942484655</v>
      </c>
      <c r="D49" s="1">
        <v>2.8086602741311002</v>
      </c>
      <c r="E49" s="1">
        <v>598.73152862763095</v>
      </c>
    </row>
    <row r="50" spans="1:8" x14ac:dyDescent="0.2">
      <c r="A50">
        <v>2018</v>
      </c>
      <c r="C50" s="1">
        <v>0.11347143689003014</v>
      </c>
      <c r="D50" s="1">
        <v>8.2687654528308006</v>
      </c>
      <c r="E50" s="1">
        <v>522.80215935328499</v>
      </c>
    </row>
    <row r="51" spans="1:8" x14ac:dyDescent="0.2">
      <c r="A51">
        <v>2019</v>
      </c>
      <c r="C51" s="1">
        <v>0.19677272387205336</v>
      </c>
      <c r="D51" s="1">
        <v>14.166656349209715</v>
      </c>
      <c r="E51" s="1">
        <v>605.28571485513999</v>
      </c>
    </row>
    <row r="52" spans="1:8" x14ac:dyDescent="0.2">
      <c r="A52">
        <v>2020</v>
      </c>
      <c r="C52" s="1">
        <v>0.2561553302396411</v>
      </c>
      <c r="D52" s="1">
        <v>14.485950698519428</v>
      </c>
      <c r="E52" s="1">
        <v>651.88018916890996</v>
      </c>
    </row>
    <row r="53" spans="1:8" x14ac:dyDescent="0.2">
      <c r="A53">
        <v>2021</v>
      </c>
      <c r="C53" s="1">
        <v>0.2703112593892168</v>
      </c>
      <c r="D53" s="1">
        <v>17.699664285895587</v>
      </c>
      <c r="E53" s="1">
        <v>921.80326395554096</v>
      </c>
    </row>
    <row r="54" spans="1:8" x14ac:dyDescent="0.2">
      <c r="A54">
        <v>2022</v>
      </c>
      <c r="C54" s="1">
        <v>0.27506247569932096</v>
      </c>
      <c r="D54" s="1">
        <v>22.263339314326537</v>
      </c>
      <c r="E54" s="1">
        <v>1339.6932873959599</v>
      </c>
    </row>
    <row r="55" spans="1:8" x14ac:dyDescent="0.2">
      <c r="A55">
        <v>2023</v>
      </c>
      <c r="C55" s="1">
        <v>0.2626467624907553</v>
      </c>
      <c r="D55" s="1">
        <v>21.747255423188896</v>
      </c>
      <c r="E55" s="1">
        <v>1169.4024838693799</v>
      </c>
    </row>
    <row r="56" spans="1:8" x14ac:dyDescent="0.2">
      <c r="A56">
        <v>2024</v>
      </c>
      <c r="C56" s="1">
        <v>0.24956486468849515</v>
      </c>
      <c r="D56" s="1">
        <v>21.633868789213089</v>
      </c>
      <c r="E56" s="1">
        <v>428.05367705713201</v>
      </c>
    </row>
    <row r="57" spans="1:8" x14ac:dyDescent="0.2">
      <c r="A57">
        <v>2025</v>
      </c>
      <c r="C57" s="1">
        <v>0.27154863341358609</v>
      </c>
      <c r="D57" s="1">
        <v>11.556506313996469</v>
      </c>
      <c r="E57" s="1"/>
      <c r="H5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6FE5-9B92-4435-B67D-4EE55A2A4B01}">
  <dimension ref="A1:E3"/>
  <sheetViews>
    <sheetView tabSelected="1" zoomScaleNormal="100" workbookViewId="0">
      <selection activeCell="B6" sqref="B6:E19"/>
    </sheetView>
  </sheetViews>
  <sheetFormatPr baseColWidth="10" defaultColWidth="8.83203125" defaultRowHeight="15" x14ac:dyDescent="0.2"/>
  <cols>
    <col min="7" max="7" width="15.5" bestFit="1" customWidth="1"/>
    <col min="8" max="8" width="9.164062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>
        <v>2024</v>
      </c>
      <c r="B2" s="5">
        <v>105308.75252952188</v>
      </c>
      <c r="C2" s="5">
        <v>977040.24747047806</v>
      </c>
      <c r="D2" s="3">
        <f>217212+30</f>
        <v>217242</v>
      </c>
      <c r="E2" s="3">
        <f>30479</f>
        <v>30479</v>
      </c>
    </row>
    <row r="3" spans="1:5" x14ac:dyDescent="0.2">
      <c r="A3">
        <v>2025</v>
      </c>
      <c r="B3" s="3">
        <v>94340.628966960227</v>
      </c>
      <c r="C3" s="3">
        <v>1068425.3710330399</v>
      </c>
      <c r="D3" s="3">
        <f>75+208000</f>
        <v>208075</v>
      </c>
      <c r="E3" s="1">
        <f>11055+2508</f>
        <v>13563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CE45-3DDC-4861-A006-F4C4C7145E6D}">
  <dimension ref="A1:H27"/>
  <sheetViews>
    <sheetView workbookViewId="0">
      <selection activeCell="G39" sqref="G39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 s="1">
        <v>2025</v>
      </c>
      <c r="B2">
        <v>0</v>
      </c>
      <c r="C2" t="s">
        <v>9</v>
      </c>
      <c r="D2" s="1"/>
      <c r="E2" s="1"/>
    </row>
    <row r="3" spans="1:8" x14ac:dyDescent="0.2">
      <c r="A3" s="1">
        <v>2025</v>
      </c>
      <c r="B3">
        <v>1</v>
      </c>
      <c r="C3" t="s">
        <v>9</v>
      </c>
      <c r="D3" s="1">
        <v>9959485.1337763816</v>
      </c>
      <c r="E3" s="1"/>
      <c r="H3" s="4"/>
    </row>
    <row r="4" spans="1:8" x14ac:dyDescent="0.2">
      <c r="A4" s="1">
        <v>2025</v>
      </c>
      <c r="B4">
        <v>2</v>
      </c>
      <c r="C4" t="s">
        <v>9</v>
      </c>
      <c r="D4" s="1">
        <v>23435.150038411433</v>
      </c>
      <c r="E4" s="1"/>
      <c r="H4" s="4"/>
    </row>
    <row r="5" spans="1:8" x14ac:dyDescent="0.2">
      <c r="A5" s="1">
        <v>2025</v>
      </c>
      <c r="B5">
        <v>3</v>
      </c>
      <c r="C5" t="s">
        <v>9</v>
      </c>
      <c r="D5" s="1">
        <v>1278268.4240857672</v>
      </c>
      <c r="E5" s="1"/>
      <c r="H5" s="4"/>
    </row>
    <row r="6" spans="1:8" x14ac:dyDescent="0.2">
      <c r="A6" s="1">
        <v>2025</v>
      </c>
      <c r="B6">
        <v>4</v>
      </c>
      <c r="C6" t="s">
        <v>9</v>
      </c>
      <c r="D6" s="1">
        <v>1891829.8850381691</v>
      </c>
      <c r="E6" s="1"/>
      <c r="H6" s="4"/>
    </row>
    <row r="7" spans="1:8" x14ac:dyDescent="0.2">
      <c r="A7" s="1">
        <v>2025</v>
      </c>
      <c r="B7">
        <v>5</v>
      </c>
      <c r="C7" t="s">
        <v>9</v>
      </c>
      <c r="D7" s="1">
        <v>1834474.8631663583</v>
      </c>
      <c r="E7" s="1"/>
      <c r="H7" s="4"/>
    </row>
    <row r="8" spans="1:8" x14ac:dyDescent="0.2">
      <c r="A8" s="1">
        <v>2025</v>
      </c>
      <c r="B8">
        <v>6</v>
      </c>
      <c r="C8" t="s">
        <v>9</v>
      </c>
      <c r="D8" s="1">
        <v>643082.19212927623</v>
      </c>
      <c r="E8" s="1"/>
      <c r="H8" s="4"/>
    </row>
    <row r="9" spans="1:8" x14ac:dyDescent="0.2">
      <c r="A9" s="1">
        <v>2025</v>
      </c>
      <c r="B9">
        <v>7</v>
      </c>
      <c r="C9" t="s">
        <v>9</v>
      </c>
      <c r="D9" s="1">
        <v>250506.74181723429</v>
      </c>
      <c r="E9" s="1"/>
      <c r="H9" s="4"/>
    </row>
    <row r="10" spans="1:8" x14ac:dyDescent="0.2">
      <c r="A10" s="1">
        <v>2025</v>
      </c>
      <c r="B10">
        <v>8</v>
      </c>
      <c r="C10" t="s">
        <v>9</v>
      </c>
      <c r="D10" s="1">
        <v>175281.39987671433</v>
      </c>
      <c r="E10" s="1"/>
      <c r="H10" s="4"/>
    </row>
    <row r="11" spans="1:8" x14ac:dyDescent="0.2">
      <c r="A11" s="1">
        <v>2025</v>
      </c>
      <c r="B11">
        <v>9</v>
      </c>
      <c r="C11" t="s">
        <v>9</v>
      </c>
      <c r="D11" s="1">
        <v>29577.222577898454</v>
      </c>
      <c r="E11" s="1"/>
      <c r="H11" s="4"/>
    </row>
    <row r="12" spans="1:8" x14ac:dyDescent="0.2">
      <c r="A12" s="1">
        <v>2025</v>
      </c>
      <c r="B12">
        <v>10</v>
      </c>
      <c r="C12" t="s">
        <v>9</v>
      </c>
      <c r="D12" s="1">
        <v>7113.5287331508707</v>
      </c>
      <c r="E12" s="1"/>
      <c r="H12" s="4"/>
    </row>
    <row r="13" spans="1:8" x14ac:dyDescent="0.2">
      <c r="A13" s="1">
        <v>2025</v>
      </c>
      <c r="B13">
        <v>11</v>
      </c>
      <c r="C13" t="s">
        <v>9</v>
      </c>
      <c r="D13" s="1"/>
      <c r="E13" s="1"/>
    </row>
    <row r="14" spans="1:8" x14ac:dyDescent="0.2">
      <c r="A14" s="1">
        <v>2025</v>
      </c>
      <c r="B14">
        <v>12</v>
      </c>
      <c r="C14" t="s">
        <v>9</v>
      </c>
      <c r="D14" s="1"/>
      <c r="E14" s="1"/>
    </row>
    <row r="15" spans="1:8" x14ac:dyDescent="0.2">
      <c r="A15" s="1">
        <v>2025</v>
      </c>
      <c r="B15">
        <v>0</v>
      </c>
      <c r="C15" t="s">
        <v>10</v>
      </c>
      <c r="D15" s="1"/>
      <c r="E15" s="1"/>
    </row>
    <row r="16" spans="1:8" x14ac:dyDescent="0.2">
      <c r="A16" s="1">
        <v>2025</v>
      </c>
      <c r="B16">
        <v>1</v>
      </c>
      <c r="C16" t="s">
        <v>10</v>
      </c>
      <c r="D16" s="1">
        <v>4.1666279226832734E-2</v>
      </c>
      <c r="E16" s="1"/>
    </row>
    <row r="17" spans="1:5" x14ac:dyDescent="0.2">
      <c r="A17" s="1">
        <v>2025</v>
      </c>
      <c r="B17">
        <v>2</v>
      </c>
      <c r="C17" t="s">
        <v>10</v>
      </c>
      <c r="D17" s="1">
        <v>0.22736086602808661</v>
      </c>
      <c r="E17" s="1"/>
    </row>
    <row r="18" spans="1:5" x14ac:dyDescent="0.2">
      <c r="A18" s="1">
        <v>2025</v>
      </c>
      <c r="B18">
        <v>3</v>
      </c>
      <c r="C18" t="s">
        <v>10</v>
      </c>
      <c r="D18" s="1">
        <v>0.34666721100667619</v>
      </c>
      <c r="E18" s="1"/>
    </row>
    <row r="19" spans="1:5" x14ac:dyDescent="0.2">
      <c r="A19" s="1">
        <v>2025</v>
      </c>
      <c r="B19">
        <v>4</v>
      </c>
      <c r="C19" t="s">
        <v>10</v>
      </c>
      <c r="D19" s="1">
        <v>0.37816902426329763</v>
      </c>
      <c r="E19" s="1"/>
    </row>
    <row r="20" spans="1:5" x14ac:dyDescent="0.2">
      <c r="A20" s="1">
        <v>2025</v>
      </c>
      <c r="B20">
        <v>5</v>
      </c>
      <c r="C20" t="s">
        <v>10</v>
      </c>
      <c r="D20" s="1">
        <v>0.42796740100800917</v>
      </c>
      <c r="E20" s="1"/>
    </row>
    <row r="21" spans="1:5" x14ac:dyDescent="0.2">
      <c r="A21" s="1">
        <v>2025</v>
      </c>
      <c r="B21">
        <v>6</v>
      </c>
      <c r="C21" t="s">
        <v>10</v>
      </c>
      <c r="D21" s="1">
        <v>0.52688185420393419</v>
      </c>
      <c r="E21" s="1"/>
    </row>
    <row r="22" spans="1:5" x14ac:dyDescent="0.2">
      <c r="A22" s="1">
        <v>2025</v>
      </c>
      <c r="B22">
        <v>7</v>
      </c>
      <c r="C22" t="s">
        <v>10</v>
      </c>
      <c r="D22" s="1">
        <v>0.64648837560903216</v>
      </c>
      <c r="E22" s="1"/>
    </row>
    <row r="23" spans="1:5" x14ac:dyDescent="0.2">
      <c r="A23" s="1">
        <v>2025</v>
      </c>
      <c r="B23">
        <v>8</v>
      </c>
      <c r="C23" t="s">
        <v>10</v>
      </c>
      <c r="D23" s="1">
        <v>0.89543989551872172</v>
      </c>
      <c r="E23" s="1"/>
    </row>
    <row r="24" spans="1:5" x14ac:dyDescent="0.2">
      <c r="A24" s="1">
        <v>2025</v>
      </c>
      <c r="B24">
        <v>9</v>
      </c>
      <c r="C24" t="s">
        <v>10</v>
      </c>
      <c r="D24" s="1">
        <v>0.98042569936566693</v>
      </c>
      <c r="E24" s="1"/>
    </row>
    <row r="25" spans="1:5" x14ac:dyDescent="0.2">
      <c r="A25" s="1">
        <v>2025</v>
      </c>
      <c r="B25">
        <v>10</v>
      </c>
      <c r="C25" t="s">
        <v>10</v>
      </c>
      <c r="D25" s="1">
        <v>1.1455236948933927</v>
      </c>
      <c r="E25" s="1"/>
    </row>
    <row r="26" spans="1:5" x14ac:dyDescent="0.2">
      <c r="A26" s="1">
        <v>2025</v>
      </c>
      <c r="B26">
        <v>11</v>
      </c>
      <c r="C26" t="s">
        <v>10</v>
      </c>
      <c r="D26" s="1"/>
      <c r="E26" s="1"/>
    </row>
    <row r="27" spans="1:5" x14ac:dyDescent="0.2">
      <c r="A27" s="1">
        <v>2025</v>
      </c>
      <c r="B27">
        <v>12</v>
      </c>
      <c r="C27" t="s">
        <v>10</v>
      </c>
      <c r="D27" s="1"/>
      <c r="E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12" ma:contentTypeDescription="Create a new document." ma:contentTypeScope="" ma:versionID="53e5abc0267b36fb4b4009f6291778a2">
  <xsd:schema xmlns:xsd="http://www.w3.org/2001/XMLSchema" xmlns:xs="http://www.w3.org/2001/XMLSchema" xmlns:p="http://schemas.microsoft.com/office/2006/metadata/properties" xmlns:ns2="f419981a-ca0a-4e56-9512-575f16b7ea2d" xmlns:ns3="5ce05999-5605-4258-98fc-62ff4522b5fb" targetNamespace="http://schemas.microsoft.com/office/2006/metadata/properties" ma:root="true" ma:fieldsID="2d299d2548571e9774994fb9c4dbbeb8" ns2:_="" ns3:_="">
    <xsd:import namespace="f419981a-ca0a-4e56-9512-575f16b7ea2d"/>
    <xsd:import namespace="5ce05999-5605-4258-98fc-62ff4522b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5999-5605-4258-98fc-62ff4522b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FB9C7-A01A-423B-A442-B6889BA2E5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8CE105-4287-40ED-B72B-E33A77B67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E542F3-5C46-43FB-860A-90AC96253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9981a-ca0a-4e56-9512-575f16b7ea2d"/>
    <ds:schemaRef ds:uri="5ce05999-5605-4258-98fc-62ff4522b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ageComps</vt:lpstr>
      <vt:lpstr>wtAtAge</vt:lpstr>
      <vt:lpstr>lengthComps</vt:lpstr>
      <vt:lpstr>CPUE</vt:lpstr>
      <vt:lpstr>Catch</vt:lpstr>
      <vt:lpstr>Acoustic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Hintzen, Niels</dc:creator>
  <cp:keywords/>
  <dc:description/>
  <cp:lastModifiedBy>Qi Lee</cp:lastModifiedBy>
  <cp:revision/>
  <dcterms:created xsi:type="dcterms:W3CDTF">2022-09-14T07:19:28Z</dcterms:created>
  <dcterms:modified xsi:type="dcterms:W3CDTF">2025-09-11T23:59:02Z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