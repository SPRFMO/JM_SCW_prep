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leeqi/Library/CloudStorage/GoogleDrive-leeqi@uw.edu/My Drive/SPRFMO/jjm/assessment/data/"/>
    </mc:Choice>
  </mc:AlternateContent>
  <xr:revisionPtr revIDLastSave="0" documentId="13_ncr:1_{EEFEDEBF-5FD6-7D45-BC34-AB0A37C49A53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Fwtatage" sheetId="4" r:id="rId1"/>
    <sheet name="2022" sheetId="1" r:id="rId2"/>
    <sheet name="2023" sheetId="2" r:id="rId3"/>
    <sheet name="2024" sheetId="3" r:id="rId4"/>
    <sheet name="2025" sheetId="5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5" l="1"/>
  <c r="M6" i="5" s="1"/>
  <c r="M7" i="5" s="1"/>
  <c r="L2" i="5"/>
  <c r="L6" i="5" s="1"/>
  <c r="L7" i="5" s="1"/>
  <c r="K2" i="5"/>
  <c r="K6" i="5" s="1"/>
  <c r="K7" i="5" s="1"/>
  <c r="J2" i="5"/>
  <c r="J6" i="5" s="1"/>
  <c r="J7" i="5" s="1"/>
  <c r="I2" i="5"/>
  <c r="I6" i="5" s="1"/>
  <c r="I7" i="5" s="1"/>
  <c r="H2" i="5"/>
  <c r="H6" i="5" s="1"/>
  <c r="H7" i="5" s="1"/>
  <c r="G2" i="5"/>
  <c r="G6" i="5" s="1"/>
  <c r="G7" i="5" s="1"/>
  <c r="F2" i="5"/>
  <c r="F6" i="5" s="1"/>
  <c r="F7" i="5" s="1"/>
  <c r="A54" i="4" l="1"/>
  <c r="A53" i="4" s="1"/>
  <c r="A52" i="4" s="1"/>
  <c r="A51" i="4" s="1"/>
  <c r="A50" i="4" s="1"/>
  <c r="A49" i="4" s="1"/>
  <c r="A48" i="4" s="1"/>
  <c r="A47" i="4" s="1"/>
  <c r="A46" i="4" s="1"/>
  <c r="A45" i="4" s="1"/>
  <c r="A44" i="4" s="1"/>
  <c r="A43" i="4" s="1"/>
  <c r="A42" i="4" s="1"/>
  <c r="A41" i="4" s="1"/>
  <c r="A40" i="4" s="1"/>
  <c r="A39" i="4" s="1"/>
  <c r="A38" i="4" s="1"/>
  <c r="A37" i="4" s="1"/>
  <c r="A36" i="4" s="1"/>
  <c r="A35" i="4" s="1"/>
  <c r="A34" i="4" s="1"/>
  <c r="A33" i="4" s="1"/>
  <c r="A32" i="4" s="1"/>
  <c r="A31" i="4" s="1"/>
  <c r="A30" i="4" s="1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A2" i="4" s="1"/>
  <c r="M2" i="3" l="1"/>
  <c r="M6" i="3" s="1"/>
  <c r="M7" i="3" s="1"/>
  <c r="L2" i="3"/>
  <c r="L6" i="3" s="1"/>
  <c r="L7" i="3" s="1"/>
  <c r="K2" i="3"/>
  <c r="K6" i="3" s="1"/>
  <c r="K7" i="3" s="1"/>
  <c r="J2" i="3"/>
  <c r="J6" i="3" s="1"/>
  <c r="J7" i="3" s="1"/>
  <c r="I2" i="3"/>
  <c r="I6" i="3" s="1"/>
  <c r="I7" i="3" s="1"/>
  <c r="H2" i="3"/>
  <c r="H6" i="3" s="1"/>
  <c r="H7" i="3" s="1"/>
  <c r="G2" i="3"/>
  <c r="G6" i="3" s="1"/>
  <c r="G7" i="3" s="1"/>
  <c r="F2" i="3"/>
  <c r="M2" i="2"/>
  <c r="M6" i="2" s="1"/>
  <c r="M7" i="2" s="1"/>
  <c r="L2" i="2"/>
  <c r="L6" i="2" s="1"/>
  <c r="L7" i="2" s="1"/>
  <c r="K2" i="2"/>
  <c r="K6" i="2" s="1"/>
  <c r="K7" i="2" s="1"/>
  <c r="J2" i="2"/>
  <c r="J6" i="2" s="1"/>
  <c r="J7" i="2" s="1"/>
  <c r="I2" i="2"/>
  <c r="I6" i="2" s="1"/>
  <c r="I7" i="2" s="1"/>
  <c r="H2" i="2"/>
  <c r="H6" i="2" s="1"/>
  <c r="H7" i="2" s="1"/>
  <c r="G2" i="2"/>
  <c r="G6" i="2" s="1"/>
  <c r="G7" i="2" s="1"/>
  <c r="F2" i="2"/>
  <c r="F6" i="2" s="1"/>
  <c r="F7" i="2" s="1"/>
  <c r="M2" i="1"/>
  <c r="M6" i="1" s="1"/>
  <c r="M7" i="1" s="1"/>
  <c r="L2" i="1"/>
  <c r="L6" i="1" s="1"/>
  <c r="L7" i="1" s="1"/>
  <c r="K2" i="1"/>
  <c r="K6" i="1" s="1"/>
  <c r="K7" i="1" s="1"/>
  <c r="J2" i="1"/>
  <c r="J6" i="1" s="1"/>
  <c r="J7" i="1" s="1"/>
  <c r="I2" i="1"/>
  <c r="I6" i="1" s="1"/>
  <c r="I7" i="1" s="1"/>
  <c r="H2" i="1"/>
  <c r="H6" i="1" s="1"/>
  <c r="H7" i="1" s="1"/>
  <c r="G2" i="1"/>
  <c r="G6" i="1" s="1"/>
  <c r="G7" i="1" s="1"/>
  <c r="F2" i="1"/>
  <c r="F6" i="1" s="1"/>
  <c r="F7" i="1" s="1"/>
  <c r="F6" i="3" l="1"/>
  <c r="F7" i="3" s="1"/>
</calcChain>
</file>

<file path=xl/sharedStrings.xml><?xml version="1.0" encoding="utf-8"?>
<sst xmlns="http://schemas.openxmlformats.org/spreadsheetml/2006/main" count="49" uniqueCount="12">
  <si>
    <t>Linf</t>
  </si>
  <si>
    <t>años</t>
  </si>
  <si>
    <t>t</t>
  </si>
  <si>
    <t>t0</t>
  </si>
  <si>
    <t>cm</t>
  </si>
  <si>
    <t xml:space="preserve">Lt </t>
  </si>
  <si>
    <t>k</t>
  </si>
  <si>
    <t>L0</t>
  </si>
  <si>
    <t xml:space="preserve">a </t>
  </si>
  <si>
    <t xml:space="preserve">W </t>
  </si>
  <si>
    <t>b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</si>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</sst>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rgb="FF000000"/>
      <name val="Calibri"/>
      <family val="2"/>
      <charset val="1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51" workbookViewId="0">
      <selection activeCell="A58" sqref="A58"/>
    </sheetView>
  </sheetViews>
  <sheetFormatPr baseColWidth="10" defaultRowHeight="15" x14ac:dyDescent="0.2"/>
  <cols>
    <col min="1" max="9" width="11.5" style="2"/>
  </cols>
  <sheetData>
    <row r="1" spans="1:9" x14ac:dyDescent="0.2">
      <c r="A1" s="2" t="s">
        <v>11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9" x14ac:dyDescent="0.2">
      <c r="A2" s="2">
        <f t="shared" ref="A2:A53" si="0">A3-1</f>
        <v>1970</v>
      </c>
      <c r="B2" s="2">
        <v>4.4999999999999998E-2</v>
      </c>
      <c r="C2" s="2">
        <v>0.17100000000000001</v>
      </c>
      <c r="D2" s="2">
        <v>0.377</v>
      </c>
      <c r="E2" s="2">
        <v>0.64200000000000002</v>
      </c>
      <c r="F2" s="2">
        <v>0.94499999999999995</v>
      </c>
      <c r="G2" s="2">
        <v>1.2649999999999999</v>
      </c>
      <c r="H2" s="2">
        <v>1.587</v>
      </c>
      <c r="I2" s="2">
        <v>1.9</v>
      </c>
    </row>
    <row r="3" spans="1:9" x14ac:dyDescent="0.2">
      <c r="A3" s="2">
        <f t="shared" si="0"/>
        <v>1971</v>
      </c>
      <c r="B3" s="2">
        <v>4.4999999999999998E-2</v>
      </c>
      <c r="C3" s="2">
        <v>0.17100000000000001</v>
      </c>
      <c r="D3" s="2">
        <v>0.377</v>
      </c>
      <c r="E3" s="2">
        <v>0.64300000000000002</v>
      </c>
      <c r="F3" s="2">
        <v>0.94599999999999995</v>
      </c>
      <c r="G3" s="2">
        <v>1.266</v>
      </c>
      <c r="H3" s="2">
        <v>1.5880000000000001</v>
      </c>
      <c r="I3" s="2">
        <v>1.9019999999999999</v>
      </c>
    </row>
    <row r="4" spans="1:9" x14ac:dyDescent="0.2">
      <c r="A4" s="2">
        <f t="shared" si="0"/>
        <v>1972</v>
      </c>
      <c r="B4" s="2">
        <v>0.03</v>
      </c>
      <c r="C4" s="2">
        <v>0.13</v>
      </c>
      <c r="D4" s="2">
        <v>0.30599999999999999</v>
      </c>
      <c r="E4" s="2">
        <v>0.54800000000000004</v>
      </c>
      <c r="F4" s="2">
        <v>0.83499999999999996</v>
      </c>
      <c r="G4" s="2">
        <v>1.1479999999999999</v>
      </c>
      <c r="H4" s="2">
        <v>1.47</v>
      </c>
      <c r="I4" s="2">
        <v>1.7889999999999999</v>
      </c>
    </row>
    <row r="5" spans="1:9" x14ac:dyDescent="0.2">
      <c r="A5" s="2">
        <f t="shared" si="0"/>
        <v>1973</v>
      </c>
      <c r="B5" s="2">
        <v>3.6999999999999998E-2</v>
      </c>
      <c r="C5" s="2">
        <v>0.14699999999999999</v>
      </c>
      <c r="D5" s="2">
        <v>0.33</v>
      </c>
      <c r="E5" s="2">
        <v>0.56799999999999995</v>
      </c>
      <c r="F5" s="2">
        <v>0.84199999999999997</v>
      </c>
      <c r="G5" s="2">
        <v>1.1339999999999999</v>
      </c>
      <c r="H5" s="2">
        <v>1.43</v>
      </c>
      <c r="I5" s="2">
        <v>1.718</v>
      </c>
    </row>
    <row r="6" spans="1:9" x14ac:dyDescent="0.2">
      <c r="A6" s="2">
        <f t="shared" si="0"/>
        <v>1974</v>
      </c>
      <c r="B6" s="2">
        <v>3.7999999999999999E-2</v>
      </c>
      <c r="C6" s="2">
        <v>0.14699999999999999</v>
      </c>
      <c r="D6" s="2">
        <v>0.32600000000000001</v>
      </c>
      <c r="E6" s="2">
        <v>0.55800000000000005</v>
      </c>
      <c r="F6" s="2">
        <v>0.82499999999999996</v>
      </c>
      <c r="G6" s="2">
        <v>1.1080000000000001</v>
      </c>
      <c r="H6" s="2">
        <v>1.393</v>
      </c>
      <c r="I6" s="2">
        <v>1.671</v>
      </c>
    </row>
    <row r="7" spans="1:9" x14ac:dyDescent="0.2">
      <c r="A7" s="2">
        <f t="shared" si="0"/>
        <v>1975</v>
      </c>
      <c r="B7" s="2">
        <v>3.4000000000000002E-2</v>
      </c>
      <c r="C7" s="2">
        <v>0.13600000000000001</v>
      </c>
      <c r="D7" s="2">
        <v>0.31</v>
      </c>
      <c r="E7" s="2">
        <v>0.54</v>
      </c>
      <c r="F7" s="2">
        <v>0.80800000000000005</v>
      </c>
      <c r="G7" s="2">
        <v>1.095</v>
      </c>
      <c r="H7" s="2">
        <v>1.387</v>
      </c>
      <c r="I7" s="2">
        <v>1.6739999999999999</v>
      </c>
    </row>
    <row r="8" spans="1:9" x14ac:dyDescent="0.2">
      <c r="A8" s="2">
        <f t="shared" si="0"/>
        <v>1976</v>
      </c>
      <c r="B8" s="2">
        <v>4.3999999999999997E-2</v>
      </c>
      <c r="C8" s="2">
        <v>0.16</v>
      </c>
      <c r="D8" s="2">
        <v>0.34</v>
      </c>
      <c r="E8" s="2">
        <v>0.56699999999999995</v>
      </c>
      <c r="F8" s="2">
        <v>0.82199999999999995</v>
      </c>
      <c r="G8" s="2">
        <v>1.087</v>
      </c>
      <c r="H8" s="2">
        <v>1.351</v>
      </c>
      <c r="I8" s="2">
        <v>1.6060000000000001</v>
      </c>
    </row>
    <row r="9" spans="1:9" x14ac:dyDescent="0.2">
      <c r="A9" s="2">
        <f t="shared" si="0"/>
        <v>1977</v>
      </c>
      <c r="B9" s="2">
        <v>3.2000000000000001E-2</v>
      </c>
      <c r="C9" s="2">
        <v>0.13</v>
      </c>
      <c r="D9" s="2">
        <v>0.29399999999999998</v>
      </c>
      <c r="E9" s="2">
        <v>0.51</v>
      </c>
      <c r="F9" s="2">
        <v>0.76</v>
      </c>
      <c r="G9" s="2">
        <v>1.028</v>
      </c>
      <c r="H9" s="2">
        <v>1.3</v>
      </c>
      <c r="I9" s="2">
        <v>1.5660000000000001</v>
      </c>
    </row>
    <row r="10" spans="1:9" x14ac:dyDescent="0.2">
      <c r="A10" s="2">
        <f t="shared" si="0"/>
        <v>1978</v>
      </c>
      <c r="B10" s="2">
        <v>3.2000000000000001E-2</v>
      </c>
      <c r="C10" s="2">
        <v>0.129</v>
      </c>
      <c r="D10" s="2">
        <v>0.29499999999999998</v>
      </c>
      <c r="E10" s="2">
        <v>0.51600000000000001</v>
      </c>
      <c r="F10" s="2">
        <v>0.77400000000000002</v>
      </c>
      <c r="G10" s="2">
        <v>1.05</v>
      </c>
      <c r="H10" s="2">
        <v>1.3320000000000001</v>
      </c>
      <c r="I10" s="2">
        <v>1.6080000000000001</v>
      </c>
    </row>
    <row r="11" spans="1:9" x14ac:dyDescent="0.2">
      <c r="A11" s="2">
        <f t="shared" si="0"/>
        <v>1979</v>
      </c>
      <c r="B11" s="2">
        <v>3.5999999999999997E-2</v>
      </c>
      <c r="C11" s="2">
        <v>0.13800000000000001</v>
      </c>
      <c r="D11" s="2">
        <v>0.30399999999999999</v>
      </c>
      <c r="E11" s="2">
        <v>0.51800000000000002</v>
      </c>
      <c r="F11" s="2">
        <v>0.76200000000000001</v>
      </c>
      <c r="G11" s="2">
        <v>1.02</v>
      </c>
      <c r="H11" s="2">
        <v>1.28</v>
      </c>
      <c r="I11" s="2">
        <v>1.532</v>
      </c>
    </row>
    <row r="12" spans="1:9" x14ac:dyDescent="0.2">
      <c r="A12" s="2">
        <f t="shared" si="0"/>
        <v>1980</v>
      </c>
      <c r="B12" s="2">
        <v>3.5999999999999997E-2</v>
      </c>
      <c r="C12" s="2">
        <v>0.13600000000000001</v>
      </c>
      <c r="D12" s="2">
        <v>0.29799999999999999</v>
      </c>
      <c r="E12" s="2">
        <v>0.50600000000000001</v>
      </c>
      <c r="F12" s="2">
        <v>0.74299999999999999</v>
      </c>
      <c r="G12" s="2">
        <v>0.99399999999999999</v>
      </c>
      <c r="H12" s="2">
        <v>1.2450000000000001</v>
      </c>
      <c r="I12" s="2">
        <v>1.49</v>
      </c>
    </row>
    <row r="13" spans="1:9" x14ac:dyDescent="0.2">
      <c r="A13" s="2">
        <f t="shared" si="0"/>
        <v>1981</v>
      </c>
      <c r="B13" s="2">
        <v>4.1000000000000002E-2</v>
      </c>
      <c r="C13" s="2">
        <v>0.14799999999999999</v>
      </c>
      <c r="D13" s="2">
        <v>0.314</v>
      </c>
      <c r="E13" s="2">
        <v>0.52400000000000002</v>
      </c>
      <c r="F13" s="2">
        <v>0.75800000000000001</v>
      </c>
      <c r="G13" s="2">
        <v>1.0029999999999999</v>
      </c>
      <c r="H13" s="2">
        <v>1.2470000000000001</v>
      </c>
      <c r="I13" s="2">
        <v>1.4810000000000001</v>
      </c>
    </row>
    <row r="14" spans="1:9" x14ac:dyDescent="0.2">
      <c r="A14" s="2">
        <f t="shared" si="0"/>
        <v>1982</v>
      </c>
      <c r="B14" s="2">
        <v>3.9E-2</v>
      </c>
      <c r="C14" s="2">
        <v>0.14399999999999999</v>
      </c>
      <c r="D14" s="2">
        <v>0.309</v>
      </c>
      <c r="E14" s="2">
        <v>0.51900000000000002</v>
      </c>
      <c r="F14" s="2">
        <v>0.755</v>
      </c>
      <c r="G14" s="2">
        <v>1.002</v>
      </c>
      <c r="H14" s="2">
        <v>1.2490000000000001</v>
      </c>
      <c r="I14" s="2">
        <v>1.488</v>
      </c>
    </row>
    <row r="15" spans="1:9" x14ac:dyDescent="0.2">
      <c r="A15" s="2">
        <f t="shared" si="0"/>
        <v>1983</v>
      </c>
      <c r="B15" s="2">
        <v>4.2000000000000003E-2</v>
      </c>
      <c r="C15" s="2">
        <v>0.13800000000000001</v>
      </c>
      <c r="D15" s="2">
        <v>0.28000000000000003</v>
      </c>
      <c r="E15" s="2">
        <v>0.45100000000000001</v>
      </c>
      <c r="F15" s="2">
        <v>0.63800000000000001</v>
      </c>
      <c r="G15" s="2">
        <v>0.82799999999999996</v>
      </c>
      <c r="H15" s="2">
        <v>1.014</v>
      </c>
      <c r="I15" s="2">
        <v>1.1910000000000001</v>
      </c>
    </row>
    <row r="16" spans="1:9" x14ac:dyDescent="0.2">
      <c r="A16" s="2">
        <f t="shared" si="0"/>
        <v>1984</v>
      </c>
      <c r="B16" s="2">
        <v>4.3999999999999997E-2</v>
      </c>
      <c r="C16" s="2">
        <v>0.156</v>
      </c>
      <c r="D16" s="2">
        <v>0.32800000000000001</v>
      </c>
      <c r="E16" s="2">
        <v>0.54100000000000004</v>
      </c>
      <c r="F16" s="2">
        <v>0.77800000000000002</v>
      </c>
      <c r="G16" s="2">
        <v>1.024</v>
      </c>
      <c r="H16" s="2">
        <v>1.2669999999999999</v>
      </c>
      <c r="I16" s="2">
        <v>1.5009999999999999</v>
      </c>
    </row>
    <row r="17" spans="1:9" x14ac:dyDescent="0.2">
      <c r="A17" s="2">
        <f t="shared" si="0"/>
        <v>1985</v>
      </c>
      <c r="B17" s="2">
        <v>0.04</v>
      </c>
      <c r="C17" s="2">
        <v>0.14899999999999999</v>
      </c>
      <c r="D17" s="2">
        <v>0.32200000000000001</v>
      </c>
      <c r="E17" s="2">
        <v>0.54100000000000004</v>
      </c>
      <c r="F17" s="2">
        <v>0.78900000000000003</v>
      </c>
      <c r="G17" s="2">
        <v>1.048</v>
      </c>
      <c r="H17" s="2">
        <v>1.3080000000000001</v>
      </c>
      <c r="I17" s="2">
        <v>1.5580000000000001</v>
      </c>
    </row>
    <row r="18" spans="1:9" x14ac:dyDescent="0.2">
      <c r="A18" s="2">
        <f t="shared" si="0"/>
        <v>1986</v>
      </c>
      <c r="B18" s="2">
        <v>4.2000000000000003E-2</v>
      </c>
      <c r="C18" s="2">
        <v>0.151</v>
      </c>
      <c r="D18" s="2">
        <v>0.32300000000000001</v>
      </c>
      <c r="E18" s="2">
        <v>0.53900000000000003</v>
      </c>
      <c r="F18" s="2">
        <v>0.78100000000000003</v>
      </c>
      <c r="G18" s="2">
        <v>1.0329999999999999</v>
      </c>
      <c r="H18" s="2">
        <v>1.2849999999999999</v>
      </c>
      <c r="I18" s="2">
        <v>1.5269999999999999</v>
      </c>
    </row>
    <row r="19" spans="1:9" x14ac:dyDescent="0.2">
      <c r="A19" s="2">
        <f t="shared" si="0"/>
        <v>1987</v>
      </c>
      <c r="B19" s="2">
        <v>3.4000000000000002E-2</v>
      </c>
      <c r="C19" s="2">
        <v>0.13200000000000001</v>
      </c>
      <c r="D19" s="2">
        <v>0.29399999999999998</v>
      </c>
      <c r="E19" s="2">
        <v>0.504</v>
      </c>
      <c r="F19" s="2">
        <v>0.745</v>
      </c>
      <c r="G19" s="2">
        <v>1.0009999999999999</v>
      </c>
      <c r="H19" s="2">
        <v>1.26</v>
      </c>
      <c r="I19" s="2">
        <v>1.512</v>
      </c>
    </row>
    <row r="20" spans="1:9" x14ac:dyDescent="0.2">
      <c r="A20" s="2">
        <f t="shared" si="0"/>
        <v>1988</v>
      </c>
      <c r="B20" s="2">
        <v>3.7999999999999999E-2</v>
      </c>
      <c r="C20" s="2">
        <v>0.14499999999999999</v>
      </c>
      <c r="D20" s="2">
        <v>0.315</v>
      </c>
      <c r="E20" s="2">
        <v>0.53300000000000003</v>
      </c>
      <c r="F20" s="2">
        <v>0.78</v>
      </c>
      <c r="G20" s="2">
        <v>1.0409999999999999</v>
      </c>
      <c r="H20" s="2">
        <v>1.302</v>
      </c>
      <c r="I20" s="2">
        <v>1.554</v>
      </c>
    </row>
    <row r="21" spans="1:9" x14ac:dyDescent="0.2">
      <c r="A21" s="2">
        <f t="shared" si="0"/>
        <v>1989</v>
      </c>
      <c r="B21" s="2">
        <v>4.3999999999999997E-2</v>
      </c>
      <c r="C21" s="2">
        <v>0.158</v>
      </c>
      <c r="D21" s="2">
        <v>0.33700000000000002</v>
      </c>
      <c r="E21" s="2">
        <v>0.56100000000000005</v>
      </c>
      <c r="F21" s="2">
        <v>0.81200000000000006</v>
      </c>
      <c r="G21" s="2">
        <v>1.0740000000000001</v>
      </c>
      <c r="H21" s="2">
        <v>1.3340000000000001</v>
      </c>
      <c r="I21" s="2">
        <v>1.585</v>
      </c>
    </row>
    <row r="22" spans="1:9" x14ac:dyDescent="0.2">
      <c r="A22" s="2">
        <f t="shared" si="0"/>
        <v>1990</v>
      </c>
      <c r="B22" s="2">
        <v>4.2000000000000003E-2</v>
      </c>
      <c r="C22" s="2">
        <v>0.15</v>
      </c>
      <c r="D22" s="2">
        <v>0.32</v>
      </c>
      <c r="E22" s="2">
        <v>0.53200000000000003</v>
      </c>
      <c r="F22" s="2">
        <v>0.76900000000000002</v>
      </c>
      <c r="G22" s="2">
        <v>1.0169999999999999</v>
      </c>
      <c r="H22" s="2">
        <v>1.2629999999999999</v>
      </c>
      <c r="I22" s="2">
        <v>1.4990000000000001</v>
      </c>
    </row>
    <row r="23" spans="1:9" x14ac:dyDescent="0.2">
      <c r="A23" s="2">
        <f t="shared" si="0"/>
        <v>1991</v>
      </c>
      <c r="B23" s="2">
        <v>3.9E-2</v>
      </c>
      <c r="C23" s="2">
        <v>0.14199999999999999</v>
      </c>
      <c r="D23" s="2">
        <v>0.30499999999999999</v>
      </c>
      <c r="E23" s="2">
        <v>0.51100000000000001</v>
      </c>
      <c r="F23" s="2">
        <v>0.74299999999999999</v>
      </c>
      <c r="G23" s="2">
        <v>0.98499999999999999</v>
      </c>
      <c r="H23" s="2">
        <v>1.2270000000000001</v>
      </c>
      <c r="I23" s="2">
        <v>1.4610000000000001</v>
      </c>
    </row>
    <row r="24" spans="1:9" x14ac:dyDescent="0.2">
      <c r="A24" s="2">
        <f t="shared" si="0"/>
        <v>1992</v>
      </c>
      <c r="B24" s="2">
        <v>0.04</v>
      </c>
      <c r="C24" s="2">
        <v>0.14799999999999999</v>
      </c>
      <c r="D24" s="2">
        <v>0.318</v>
      </c>
      <c r="E24" s="2">
        <v>0.53400000000000003</v>
      </c>
      <c r="F24" s="2">
        <v>0.77600000000000002</v>
      </c>
      <c r="G24" s="2">
        <v>1.0309999999999999</v>
      </c>
      <c r="H24" s="2">
        <v>1.286</v>
      </c>
      <c r="I24" s="2">
        <v>1.5309999999999999</v>
      </c>
    </row>
    <row r="25" spans="1:9" x14ac:dyDescent="0.2">
      <c r="A25" s="2">
        <f t="shared" si="0"/>
        <v>1993</v>
      </c>
      <c r="B25" s="2">
        <v>3.9E-2</v>
      </c>
      <c r="C25" s="2">
        <v>0.14699999999999999</v>
      </c>
      <c r="D25" s="2">
        <v>0.32300000000000001</v>
      </c>
      <c r="E25" s="2">
        <v>0.54900000000000004</v>
      </c>
      <c r="F25" s="2">
        <v>0.80700000000000005</v>
      </c>
      <c r="G25" s="2">
        <v>1.08</v>
      </c>
      <c r="H25" s="2">
        <v>1.3540000000000001</v>
      </c>
      <c r="I25" s="2">
        <v>1.62</v>
      </c>
    </row>
    <row r="26" spans="1:9" x14ac:dyDescent="0.2">
      <c r="A26" s="2">
        <f t="shared" si="0"/>
        <v>1994</v>
      </c>
      <c r="B26" s="2">
        <v>3.5999999999999997E-2</v>
      </c>
      <c r="C26" s="2">
        <v>0.14699999999999999</v>
      </c>
      <c r="D26" s="2">
        <v>0.33500000000000002</v>
      </c>
      <c r="E26" s="2">
        <v>0.58399999999999996</v>
      </c>
      <c r="F26" s="2">
        <v>0.874</v>
      </c>
      <c r="G26" s="2">
        <v>1.1859999999999999</v>
      </c>
      <c r="H26" s="2">
        <v>1.5029999999999999</v>
      </c>
      <c r="I26" s="2">
        <v>1.8129999999999999</v>
      </c>
    </row>
    <row r="27" spans="1:9" x14ac:dyDescent="0.2">
      <c r="A27" s="2">
        <f t="shared" si="0"/>
        <v>1995</v>
      </c>
      <c r="B27" s="2">
        <v>3.7999999999999999E-2</v>
      </c>
      <c r="C27" s="2">
        <v>0.14599999999999999</v>
      </c>
      <c r="D27" s="2">
        <v>0.318</v>
      </c>
      <c r="E27" s="2">
        <v>0.54</v>
      </c>
      <c r="F27" s="2">
        <v>0.79200000000000004</v>
      </c>
      <c r="G27" s="2">
        <v>1.0580000000000001</v>
      </c>
      <c r="H27" s="2">
        <v>1.325</v>
      </c>
      <c r="I27" s="2">
        <v>1.583</v>
      </c>
    </row>
    <row r="28" spans="1:9" x14ac:dyDescent="0.2">
      <c r="A28" s="2">
        <f t="shared" si="0"/>
        <v>1996</v>
      </c>
      <c r="B28" s="2">
        <v>3.7999999999999999E-2</v>
      </c>
      <c r="C28" s="2">
        <v>0.14499999999999999</v>
      </c>
      <c r="D28" s="2">
        <v>0.317</v>
      </c>
      <c r="E28" s="2">
        <v>0.53700000000000003</v>
      </c>
      <c r="F28" s="2">
        <v>0.78800000000000003</v>
      </c>
      <c r="G28" s="2">
        <v>1.0529999999999999</v>
      </c>
      <c r="H28" s="2">
        <v>1.3180000000000001</v>
      </c>
      <c r="I28" s="2">
        <v>1.5760000000000001</v>
      </c>
    </row>
    <row r="29" spans="1:9" x14ac:dyDescent="0.2">
      <c r="A29" s="2">
        <f t="shared" si="0"/>
        <v>1997</v>
      </c>
      <c r="B29" s="2">
        <v>4.4999999999999998E-2</v>
      </c>
      <c r="C29" s="2">
        <v>0.152</v>
      </c>
      <c r="D29" s="2">
        <v>0.312</v>
      </c>
      <c r="E29" s="2">
        <v>0.50600000000000001</v>
      </c>
      <c r="F29" s="2">
        <v>0.72</v>
      </c>
      <c r="G29" s="2">
        <v>0.94</v>
      </c>
      <c r="H29" s="2">
        <v>1.155</v>
      </c>
      <c r="I29" s="2">
        <v>1.361</v>
      </c>
    </row>
    <row r="30" spans="1:9" x14ac:dyDescent="0.2">
      <c r="A30" s="2">
        <f t="shared" si="0"/>
        <v>1998</v>
      </c>
      <c r="B30" s="2">
        <v>0.04</v>
      </c>
      <c r="C30" s="2">
        <v>0.14000000000000001</v>
      </c>
      <c r="D30" s="2">
        <v>0.29399999999999998</v>
      </c>
      <c r="E30" s="2">
        <v>0.48299999999999998</v>
      </c>
      <c r="F30" s="2">
        <v>0.69299999999999995</v>
      </c>
      <c r="G30" s="2">
        <v>0.91100000000000003</v>
      </c>
      <c r="H30" s="2">
        <v>1.1259999999999999</v>
      </c>
      <c r="I30" s="2">
        <v>1.333</v>
      </c>
    </row>
    <row r="31" spans="1:9" x14ac:dyDescent="0.2">
      <c r="A31" s="2">
        <f t="shared" si="0"/>
        <v>1999</v>
      </c>
      <c r="B31" s="2">
        <v>3.6999999999999998E-2</v>
      </c>
      <c r="C31" s="2">
        <v>0.14599999999999999</v>
      </c>
      <c r="D31" s="2">
        <v>0.32400000000000001</v>
      </c>
      <c r="E31" s="2">
        <v>0.55700000000000005</v>
      </c>
      <c r="F31" s="2">
        <v>0.82399999999999995</v>
      </c>
      <c r="G31" s="2">
        <v>1.107</v>
      </c>
      <c r="H31" s="2">
        <v>1.3939999999999999</v>
      </c>
      <c r="I31" s="2">
        <v>1.673</v>
      </c>
    </row>
    <row r="32" spans="1:9" x14ac:dyDescent="0.2">
      <c r="A32" s="2">
        <f t="shared" si="0"/>
        <v>2000</v>
      </c>
      <c r="B32" s="2">
        <v>3.5000000000000003E-2</v>
      </c>
      <c r="C32" s="2">
        <v>0.14499999999999999</v>
      </c>
      <c r="D32" s="2">
        <v>0.33600000000000002</v>
      </c>
      <c r="E32" s="2">
        <v>0.59199999999999997</v>
      </c>
      <c r="F32" s="2">
        <v>0.89300000000000002</v>
      </c>
      <c r="G32" s="2">
        <v>1.218</v>
      </c>
      <c r="H32" s="2">
        <v>1.55</v>
      </c>
      <c r="I32" s="2">
        <v>1.877</v>
      </c>
    </row>
    <row r="33" spans="1:9" x14ac:dyDescent="0.2">
      <c r="A33" s="2">
        <f t="shared" si="0"/>
        <v>2001</v>
      </c>
      <c r="B33" s="2">
        <v>3.3000000000000002E-2</v>
      </c>
      <c r="C33" s="2">
        <v>0.13900000000000001</v>
      </c>
      <c r="D33" s="2">
        <v>0.32400000000000001</v>
      </c>
      <c r="E33" s="2">
        <v>0.57199999999999995</v>
      </c>
      <c r="F33" s="2">
        <v>0.86399999999999999</v>
      </c>
      <c r="G33" s="2">
        <v>1.18</v>
      </c>
      <c r="H33" s="2">
        <v>1.504</v>
      </c>
      <c r="I33" s="2">
        <v>1.8220000000000001</v>
      </c>
    </row>
    <row r="34" spans="1:9" x14ac:dyDescent="0.2">
      <c r="A34" s="2">
        <f t="shared" si="0"/>
        <v>2002</v>
      </c>
      <c r="B34" s="2">
        <v>3.5999999999999997E-2</v>
      </c>
      <c r="C34" s="2">
        <v>0.14499999999999999</v>
      </c>
      <c r="D34" s="2">
        <v>0.33</v>
      </c>
      <c r="E34" s="2">
        <v>0.57599999999999996</v>
      </c>
      <c r="F34" s="2">
        <v>0.86099999999999999</v>
      </c>
      <c r="G34" s="2">
        <v>1.167</v>
      </c>
      <c r="H34" s="2">
        <v>1.478</v>
      </c>
      <c r="I34" s="2">
        <v>1.7829999999999999</v>
      </c>
    </row>
    <row r="35" spans="1:9" x14ac:dyDescent="0.2">
      <c r="A35" s="2">
        <f t="shared" si="0"/>
        <v>2003</v>
      </c>
      <c r="B35" s="2">
        <v>0.04</v>
      </c>
      <c r="C35" s="2">
        <v>0.154</v>
      </c>
      <c r="D35" s="2">
        <v>0.34100000000000003</v>
      </c>
      <c r="E35" s="2">
        <v>0.58399999999999996</v>
      </c>
      <c r="F35" s="2">
        <v>0.86199999999999999</v>
      </c>
      <c r="G35" s="2">
        <v>1.157</v>
      </c>
      <c r="H35" s="2">
        <v>1.454</v>
      </c>
      <c r="I35" s="2">
        <v>1.7430000000000001</v>
      </c>
    </row>
    <row r="36" spans="1:9" x14ac:dyDescent="0.2">
      <c r="A36" s="2">
        <f t="shared" si="0"/>
        <v>2004</v>
      </c>
      <c r="B36" s="2">
        <v>3.7999999999999999E-2</v>
      </c>
      <c r="C36" s="2">
        <v>0.14899999999999999</v>
      </c>
      <c r="D36" s="2">
        <v>0.33300000000000002</v>
      </c>
      <c r="E36" s="2">
        <v>0.57399999999999995</v>
      </c>
      <c r="F36" s="2">
        <v>0.85199999999999998</v>
      </c>
      <c r="G36" s="2">
        <v>1.1479999999999999</v>
      </c>
      <c r="H36" s="2">
        <v>1.4470000000000001</v>
      </c>
      <c r="I36" s="2">
        <v>1.74</v>
      </c>
    </row>
    <row r="37" spans="1:9" x14ac:dyDescent="0.2">
      <c r="A37" s="2">
        <f t="shared" si="0"/>
        <v>2005</v>
      </c>
      <c r="B37" s="2">
        <v>3.6999999999999998E-2</v>
      </c>
      <c r="C37" s="2">
        <v>0.15</v>
      </c>
      <c r="D37" s="2">
        <v>0.34100000000000003</v>
      </c>
      <c r="E37" s="2">
        <v>0.59499999999999997</v>
      </c>
      <c r="F37" s="2">
        <v>0.89</v>
      </c>
      <c r="G37" s="2">
        <v>1.206</v>
      </c>
      <c r="H37" s="2">
        <v>1.5269999999999999</v>
      </c>
      <c r="I37" s="2">
        <v>1.8420000000000001</v>
      </c>
    </row>
    <row r="38" spans="1:9" x14ac:dyDescent="0.2">
      <c r="A38" s="2">
        <f t="shared" si="0"/>
        <v>2006</v>
      </c>
      <c r="B38" s="2">
        <v>3.7999999999999999E-2</v>
      </c>
      <c r="C38" s="2">
        <v>0.152</v>
      </c>
      <c r="D38" s="2">
        <v>0.34699999999999998</v>
      </c>
      <c r="E38" s="2">
        <v>0.60599999999999998</v>
      </c>
      <c r="F38" s="2">
        <v>0.90700000000000003</v>
      </c>
      <c r="G38" s="2">
        <v>1.23</v>
      </c>
      <c r="H38" s="2">
        <v>1.5580000000000001</v>
      </c>
      <c r="I38" s="2">
        <v>1.88</v>
      </c>
    </row>
    <row r="39" spans="1:9" x14ac:dyDescent="0.2">
      <c r="A39" s="2">
        <f t="shared" si="0"/>
        <v>2007</v>
      </c>
      <c r="B39" s="2">
        <v>3.7999999999999999E-2</v>
      </c>
      <c r="C39" s="2">
        <v>0.14899999999999999</v>
      </c>
      <c r="D39" s="2">
        <v>0.33500000000000002</v>
      </c>
      <c r="E39" s="2">
        <v>0.57899999999999996</v>
      </c>
      <c r="F39" s="2">
        <v>0.86099999999999999</v>
      </c>
      <c r="G39" s="2">
        <v>1.161</v>
      </c>
      <c r="H39" s="2">
        <v>1.4650000000000001</v>
      </c>
      <c r="I39" s="2">
        <v>1.762</v>
      </c>
    </row>
    <row r="40" spans="1:9" x14ac:dyDescent="0.2">
      <c r="A40" s="2">
        <f t="shared" si="0"/>
        <v>2008</v>
      </c>
      <c r="B40" s="2">
        <v>3.5999999999999997E-2</v>
      </c>
      <c r="C40" s="2">
        <v>0.14599999999999999</v>
      </c>
      <c r="D40" s="2">
        <v>0.33400000000000002</v>
      </c>
      <c r="E40" s="2">
        <v>0.58499999999999996</v>
      </c>
      <c r="F40" s="2">
        <v>0.876</v>
      </c>
      <c r="G40" s="2">
        <v>1.19</v>
      </c>
      <c r="H40" s="2">
        <v>1.51</v>
      </c>
      <c r="I40" s="2">
        <v>1.823</v>
      </c>
    </row>
    <row r="41" spans="1:9" x14ac:dyDescent="0.2">
      <c r="A41" s="2">
        <f t="shared" si="0"/>
        <v>2009</v>
      </c>
      <c r="B41" s="2">
        <v>3.7999999999999999E-2</v>
      </c>
      <c r="C41" s="2">
        <v>0.15</v>
      </c>
      <c r="D41" s="2">
        <v>0.33700000000000002</v>
      </c>
      <c r="E41" s="2">
        <v>0.58199999999999996</v>
      </c>
      <c r="F41" s="2">
        <v>0.86499999999999999</v>
      </c>
      <c r="G41" s="2">
        <v>1.167</v>
      </c>
      <c r="H41" s="2">
        <v>1.474</v>
      </c>
      <c r="I41" s="2">
        <v>1.7729999999999999</v>
      </c>
    </row>
    <row r="42" spans="1:9" x14ac:dyDescent="0.2">
      <c r="A42" s="2">
        <f t="shared" si="0"/>
        <v>2010</v>
      </c>
      <c r="B42" s="2">
        <v>3.9E-2</v>
      </c>
      <c r="C42" s="2">
        <v>0.15</v>
      </c>
      <c r="D42" s="2">
        <v>0.33200000000000002</v>
      </c>
      <c r="E42" s="2">
        <v>0.56699999999999995</v>
      </c>
      <c r="F42" s="2">
        <v>0.83699999999999997</v>
      </c>
      <c r="G42" s="2">
        <v>1.123</v>
      </c>
      <c r="H42" s="2">
        <v>1.411</v>
      </c>
      <c r="I42" s="2">
        <v>1.6910000000000001</v>
      </c>
    </row>
    <row r="43" spans="1:9" x14ac:dyDescent="0.2">
      <c r="A43" s="2">
        <f t="shared" si="0"/>
        <v>2011</v>
      </c>
      <c r="B43" s="2">
        <v>3.1E-2</v>
      </c>
      <c r="C43" s="2">
        <v>0.14299999999999999</v>
      </c>
      <c r="D43" s="2">
        <v>0.35099999999999998</v>
      </c>
      <c r="E43" s="2">
        <v>0.64400000000000002</v>
      </c>
      <c r="F43" s="2">
        <v>1</v>
      </c>
      <c r="G43" s="2">
        <v>1.395</v>
      </c>
      <c r="H43" s="2">
        <v>1.806</v>
      </c>
      <c r="I43" s="2">
        <v>2.2170000000000001</v>
      </c>
    </row>
    <row r="44" spans="1:9" x14ac:dyDescent="0.2">
      <c r="A44" s="2">
        <f t="shared" si="0"/>
        <v>2012</v>
      </c>
      <c r="B44" s="2">
        <v>3.2000000000000001E-2</v>
      </c>
      <c r="C44" s="2">
        <v>0.14499999999999999</v>
      </c>
      <c r="D44" s="2">
        <v>0.34899999999999998</v>
      </c>
      <c r="E44" s="2">
        <v>0.63200000000000001</v>
      </c>
      <c r="F44" s="2">
        <v>0.97099999999999997</v>
      </c>
      <c r="G44" s="2">
        <v>1.3440000000000001</v>
      </c>
      <c r="H44" s="2">
        <v>1.7310000000000001</v>
      </c>
      <c r="I44" s="2">
        <v>2.1150000000000002</v>
      </c>
    </row>
    <row r="45" spans="1:9" x14ac:dyDescent="0.2">
      <c r="A45" s="2">
        <f t="shared" si="0"/>
        <v>2013</v>
      </c>
      <c r="B45" s="2">
        <v>3.020403E-2</v>
      </c>
      <c r="C45" s="2">
        <v>0.13582820000000001</v>
      </c>
      <c r="D45" s="2">
        <v>0.3293468</v>
      </c>
      <c r="E45" s="2">
        <v>0.60003079999999998</v>
      </c>
      <c r="F45" s="2">
        <v>0.92791279999999998</v>
      </c>
      <c r="G45" s="2">
        <v>1.291452</v>
      </c>
      <c r="H45" s="2">
        <v>1.6713249999999999</v>
      </c>
      <c r="I45" s="2">
        <v>2.0519159999999999</v>
      </c>
    </row>
    <row r="46" spans="1:9" x14ac:dyDescent="0.2">
      <c r="A46" s="2">
        <f t="shared" si="0"/>
        <v>2014</v>
      </c>
      <c r="B46" s="2">
        <v>2.9474340000000002E-2</v>
      </c>
      <c r="C46" s="2">
        <v>0.13698389999999999</v>
      </c>
      <c r="D46" s="2">
        <v>0.33865519999999999</v>
      </c>
      <c r="E46" s="2">
        <v>0.62514919999999996</v>
      </c>
      <c r="F46" s="2">
        <v>0.97603209999999996</v>
      </c>
      <c r="G46" s="2">
        <v>1.368295</v>
      </c>
      <c r="H46" s="2">
        <v>1.780799</v>
      </c>
      <c r="I46" s="2">
        <v>2.1961650000000001</v>
      </c>
    </row>
    <row r="47" spans="1:9" x14ac:dyDescent="0.2">
      <c r="A47" s="2">
        <f t="shared" si="0"/>
        <v>2015</v>
      </c>
      <c r="B47" s="2">
        <v>3.279675E-2</v>
      </c>
      <c r="C47" s="2">
        <v>0.1396165</v>
      </c>
      <c r="D47" s="2">
        <v>0.32776880000000003</v>
      </c>
      <c r="E47" s="2">
        <v>0.58422980000000002</v>
      </c>
      <c r="F47" s="2">
        <v>0.88922219999999996</v>
      </c>
      <c r="G47" s="2">
        <v>1.2227680000000001</v>
      </c>
      <c r="H47" s="2">
        <v>1.5676220000000001</v>
      </c>
      <c r="I47" s="2">
        <v>1.910247</v>
      </c>
    </row>
    <row r="48" spans="1:9" x14ac:dyDescent="0.2">
      <c r="A48" s="2">
        <f t="shared" si="0"/>
        <v>2016</v>
      </c>
      <c r="B48" s="2">
        <v>3.6558149999999998E-2</v>
      </c>
      <c r="C48" s="2">
        <v>0.14329500000000001</v>
      </c>
      <c r="D48" s="2">
        <v>0.3204321</v>
      </c>
      <c r="E48" s="2">
        <v>0.55264250000000004</v>
      </c>
      <c r="F48" s="2">
        <v>0.82124470000000005</v>
      </c>
      <c r="G48" s="2">
        <v>1.1089739999999999</v>
      </c>
      <c r="H48" s="2">
        <v>1.401743</v>
      </c>
      <c r="I48" s="2">
        <v>1.688976</v>
      </c>
    </row>
    <row r="49" spans="1:9" x14ac:dyDescent="0.2">
      <c r="A49" s="2">
        <f t="shared" si="0"/>
        <v>2017</v>
      </c>
      <c r="B49" s="2">
        <v>2.9501619999999999E-2</v>
      </c>
      <c r="C49" s="2">
        <v>0.13175200000000001</v>
      </c>
      <c r="D49" s="2">
        <v>0.31815979999999999</v>
      </c>
      <c r="E49" s="2">
        <v>0.57804670000000002</v>
      </c>
      <c r="F49" s="2">
        <v>0.89211879999999999</v>
      </c>
      <c r="G49" s="2">
        <v>1.2397419999999999</v>
      </c>
      <c r="H49" s="2">
        <v>1.6024959999999999</v>
      </c>
      <c r="I49" s="2">
        <v>1.965551</v>
      </c>
    </row>
    <row r="50" spans="1:9" x14ac:dyDescent="0.2">
      <c r="A50" s="2">
        <f t="shared" si="0"/>
        <v>2018</v>
      </c>
      <c r="B50" s="2">
        <v>3.0703000000000001E-2</v>
      </c>
      <c r="C50" s="2">
        <v>0.13589580000000001</v>
      </c>
      <c r="D50" s="2">
        <v>0.32644079999999998</v>
      </c>
      <c r="E50" s="2">
        <v>0.59097809999999995</v>
      </c>
      <c r="F50" s="2">
        <v>0.90971250000000003</v>
      </c>
      <c r="G50" s="2">
        <v>1.261706</v>
      </c>
      <c r="H50" s="2">
        <v>1.6283859999999999</v>
      </c>
      <c r="I50" s="2">
        <v>1.994869</v>
      </c>
    </row>
    <row r="51" spans="1:9" x14ac:dyDescent="0.2">
      <c r="A51" s="2">
        <f t="shared" si="0"/>
        <v>2019</v>
      </c>
      <c r="B51" s="2">
        <v>2.9903260000000001E-2</v>
      </c>
      <c r="C51" s="2">
        <v>0.1335201</v>
      </c>
      <c r="D51" s="2">
        <v>0.32239309999999999</v>
      </c>
      <c r="E51" s="2">
        <v>0.58569309999999997</v>
      </c>
      <c r="F51" s="2">
        <v>0.90386949999999999</v>
      </c>
      <c r="G51" s="2">
        <v>1.2560180000000001</v>
      </c>
      <c r="H51" s="2">
        <v>1.6234820000000001</v>
      </c>
      <c r="I51" s="2">
        <v>1.991239</v>
      </c>
    </row>
    <row r="52" spans="1:9" x14ac:dyDescent="0.2">
      <c r="A52" s="2">
        <f t="shared" si="0"/>
        <v>2020</v>
      </c>
      <c r="B52" s="2">
        <v>2.8781859999999999E-2</v>
      </c>
      <c r="C52" s="2">
        <v>0.1307623</v>
      </c>
      <c r="D52" s="2">
        <v>0.31897809999999999</v>
      </c>
      <c r="E52" s="2">
        <v>0.5835148</v>
      </c>
      <c r="F52" s="2">
        <v>0.90505000000000002</v>
      </c>
      <c r="G52" s="2">
        <v>1.2624660000000001</v>
      </c>
      <c r="H52" s="2">
        <v>1.636679</v>
      </c>
      <c r="I52" s="2">
        <v>2.0121850000000001</v>
      </c>
    </row>
    <row r="53" spans="1:9" x14ac:dyDescent="0.2">
      <c r="A53" s="2">
        <f t="shared" si="0"/>
        <v>2021</v>
      </c>
      <c r="B53" s="2">
        <v>3.1083889999999999E-2</v>
      </c>
      <c r="C53" s="2">
        <v>0.13355449999999999</v>
      </c>
      <c r="D53" s="2">
        <v>0.31525049999999999</v>
      </c>
      <c r="E53" s="2">
        <v>0.56399440000000001</v>
      </c>
      <c r="F53" s="2">
        <v>0.86072870000000001</v>
      </c>
      <c r="G53" s="2">
        <v>1.1859960000000001</v>
      </c>
      <c r="H53" s="2">
        <v>1.522894</v>
      </c>
      <c r="I53" s="2">
        <v>1.858087</v>
      </c>
    </row>
    <row r="54" spans="1:9" x14ac:dyDescent="0.2">
      <c r="A54" s="2">
        <f>A55-1</f>
        <v>2022</v>
      </c>
      <c r="B54" s="2">
        <v>3.2161810261708446E-2</v>
      </c>
      <c r="C54" s="2">
        <v>0.13519814420967155</v>
      </c>
      <c r="D54" s="2">
        <v>0.31504712457064143</v>
      </c>
      <c r="E54" s="2">
        <v>0.5587362180127069</v>
      </c>
      <c r="F54" s="2">
        <v>0.84731637725202058</v>
      </c>
      <c r="G54" s="2">
        <v>1.1619172667554434</v>
      </c>
      <c r="H54" s="2">
        <v>1.4863922923495583</v>
      </c>
      <c r="I54" s="2">
        <v>1.8081499316210232</v>
      </c>
    </row>
    <row r="55" spans="1:9" x14ac:dyDescent="0.2">
      <c r="A55" s="2">
        <v>2023</v>
      </c>
      <c r="B55" s="2">
        <v>3.4295587257570329E-2</v>
      </c>
      <c r="C55" s="2">
        <v>0.13726060575678722</v>
      </c>
      <c r="D55" s="2">
        <v>0.31073397647459472</v>
      </c>
      <c r="E55" s="2">
        <v>0.54039614344405529</v>
      </c>
      <c r="F55" s="2">
        <v>0.8079192367034469</v>
      </c>
      <c r="G55" s="2">
        <v>1.0959959456924551</v>
      </c>
      <c r="H55" s="2">
        <v>1.3903052775452409</v>
      </c>
      <c r="I55" s="2">
        <v>1.6799697934141109</v>
      </c>
    </row>
    <row r="56" spans="1:9" x14ac:dyDescent="0.2">
      <c r="A56" s="2">
        <v>2024</v>
      </c>
      <c r="B56" s="2">
        <v>3.7543238600047532E-2</v>
      </c>
      <c r="C56" s="2">
        <v>0.14531303852639416</v>
      </c>
      <c r="D56" s="2">
        <v>0.32254060091984282</v>
      </c>
      <c r="E56" s="2">
        <v>0.55348828225679991</v>
      </c>
      <c r="F56" s="2">
        <v>0.81950077412646438</v>
      </c>
      <c r="G56" s="2">
        <v>1.1035558479021335</v>
      </c>
      <c r="H56" s="2">
        <v>1.3918828617501553</v>
      </c>
      <c r="I56" s="2">
        <v>1.6742124161275387</v>
      </c>
    </row>
    <row r="57" spans="1:9" x14ac:dyDescent="0.2">
      <c r="A57" s="2">
        <v>2025</v>
      </c>
      <c r="B57" s="2">
        <v>3.6930148162235651E-2</v>
      </c>
      <c r="C57" s="2">
        <v>0.14660679111659197</v>
      </c>
      <c r="D57" s="2">
        <v>0.33030453191738979</v>
      </c>
      <c r="E57" s="2">
        <v>0.57256882437052004</v>
      </c>
      <c r="F57" s="2">
        <v>0.85400112400027606</v>
      </c>
      <c r="G57" s="2">
        <v>1.1564376272267238</v>
      </c>
      <c r="H57" s="2">
        <v>1.4649311597035362</v>
      </c>
      <c r="I57" s="2">
        <v>1.7681788055823084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workbookViewId="0">
      <selection activeCell="F7" sqref="F7:M7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80.77</v>
      </c>
      <c r="D1" t="s">
        <v>1</v>
      </c>
      <c r="E1" t="s">
        <v>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2">
      <c r="A2" t="s">
        <v>3</v>
      </c>
      <c r="B2">
        <v>-0.35599999999999998</v>
      </c>
      <c r="D2" t="s">
        <v>4</v>
      </c>
      <c r="E2" t="s">
        <v>5</v>
      </c>
      <c r="F2">
        <f t="shared" ref="F2:M2" si="0">$B$1*(1-EXP(-$B$3*(F1-$B$2)))</f>
        <v>15.310894152541676</v>
      </c>
      <c r="G2">
        <f t="shared" si="0"/>
        <v>24.709828247730332</v>
      </c>
      <c r="H2">
        <f t="shared" si="0"/>
        <v>32.75921805901811</v>
      </c>
      <c r="I2">
        <f t="shared" si="0"/>
        <v>39.652837662886924</v>
      </c>
      <c r="J2">
        <f t="shared" si="0"/>
        <v>45.556638119438759</v>
      </c>
      <c r="K2">
        <f t="shared" si="0"/>
        <v>50.612742435264437</v>
      </c>
      <c r="L2">
        <f t="shared" si="0"/>
        <v>54.942866910277942</v>
      </c>
      <c r="M2">
        <f t="shared" si="0"/>
        <v>58.651251231072777</v>
      </c>
    </row>
    <row r="3" spans="1:13" x14ac:dyDescent="0.2">
      <c r="A3" t="s">
        <v>6</v>
      </c>
      <c r="B3">
        <v>0.155</v>
      </c>
    </row>
    <row r="4" spans="1:13" x14ac:dyDescent="0.2">
      <c r="A4" t="s">
        <v>7</v>
      </c>
      <c r="B4">
        <v>15.31</v>
      </c>
    </row>
    <row r="6" spans="1:13" x14ac:dyDescent="0.2">
      <c r="A6" t="s">
        <v>8</v>
      </c>
      <c r="B6" s="1">
        <v>8.95796297339016E-3</v>
      </c>
      <c r="E6" t="s">
        <v>9</v>
      </c>
      <c r="F6">
        <f t="shared" ref="F6:M6" si="1">$B$6*(POWER(F2,$B$7))</f>
        <v>32.161810261708446</v>
      </c>
      <c r="G6">
        <f t="shared" si="1"/>
        <v>135.19814420967154</v>
      </c>
      <c r="H6">
        <f t="shared" si="1"/>
        <v>315.04712457064142</v>
      </c>
      <c r="I6">
        <f t="shared" si="1"/>
        <v>558.7362180127069</v>
      </c>
      <c r="J6">
        <f t="shared" si="1"/>
        <v>847.31637725202063</v>
      </c>
      <c r="K6">
        <f t="shared" si="1"/>
        <v>1161.9172667554433</v>
      </c>
      <c r="L6">
        <f t="shared" si="1"/>
        <v>1486.3922923495584</v>
      </c>
      <c r="M6">
        <f t="shared" si="1"/>
        <v>1808.1499316210231</v>
      </c>
    </row>
    <row r="7" spans="1:13" x14ac:dyDescent="0.2">
      <c r="A7" t="s">
        <v>10</v>
      </c>
      <c r="B7" s="1">
        <v>3.0001093333526301</v>
      </c>
      <c r="E7" t="s">
        <v>9</v>
      </c>
      <c r="F7">
        <f t="shared" ref="F7:M7" si="2">F6/1000</f>
        <v>3.2161810261708446E-2</v>
      </c>
      <c r="G7">
        <f t="shared" si="2"/>
        <v>0.13519814420967155</v>
      </c>
      <c r="H7">
        <f t="shared" si="2"/>
        <v>0.31504712457064143</v>
      </c>
      <c r="I7">
        <f t="shared" si="2"/>
        <v>0.5587362180127069</v>
      </c>
      <c r="J7">
        <f t="shared" si="2"/>
        <v>0.84731637725202058</v>
      </c>
      <c r="K7">
        <f t="shared" si="2"/>
        <v>1.1619172667554434</v>
      </c>
      <c r="L7">
        <f t="shared" si="2"/>
        <v>1.4863922923495583</v>
      </c>
      <c r="M7">
        <f t="shared" si="2"/>
        <v>1.8081499316210232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zoomScaleNormal="100" workbookViewId="0">
      <selection activeCell="F7" sqref="F7:M7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80.77</v>
      </c>
      <c r="D1" t="s">
        <v>1</v>
      </c>
      <c r="E1" t="s">
        <v>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2">
      <c r="A2" t="s">
        <v>3</v>
      </c>
      <c r="B2">
        <v>-0.35599999999999998</v>
      </c>
      <c r="D2" t="s">
        <v>4</v>
      </c>
      <c r="E2" t="s">
        <v>5</v>
      </c>
      <c r="F2">
        <f t="shared" ref="F2:M2" si="0">$B$1*(1-EXP(-$B$3*(F1-$B$2)))</f>
        <v>15.310894152541676</v>
      </c>
      <c r="G2">
        <f t="shared" si="0"/>
        <v>24.709828247730332</v>
      </c>
      <c r="H2">
        <f t="shared" si="0"/>
        <v>32.75921805901811</v>
      </c>
      <c r="I2">
        <f t="shared" si="0"/>
        <v>39.652837662886924</v>
      </c>
      <c r="J2">
        <f t="shared" si="0"/>
        <v>45.556638119438759</v>
      </c>
      <c r="K2">
        <f t="shared" si="0"/>
        <v>50.612742435264437</v>
      </c>
      <c r="L2">
        <f t="shared" si="0"/>
        <v>54.942866910277942</v>
      </c>
      <c r="M2">
        <f t="shared" si="0"/>
        <v>58.651251231072777</v>
      </c>
    </row>
    <row r="3" spans="1:13" x14ac:dyDescent="0.2">
      <c r="A3" t="s">
        <v>6</v>
      </c>
      <c r="B3">
        <v>0.155</v>
      </c>
    </row>
    <row r="4" spans="1:13" x14ac:dyDescent="0.2">
      <c r="A4" t="s">
        <v>7</v>
      </c>
      <c r="B4">
        <v>15.31</v>
      </c>
    </row>
    <row r="6" spans="1:13" x14ac:dyDescent="0.2">
      <c r="A6" t="s">
        <v>8</v>
      </c>
      <c r="B6" s="1">
        <v>1.26374868641E-2</v>
      </c>
      <c r="E6" t="s">
        <v>9</v>
      </c>
      <c r="F6">
        <f t="shared" ref="F6:M6" si="1">$B$6*(POWER(F2,$B$7))</f>
        <v>34.295587257570325</v>
      </c>
      <c r="G6">
        <f t="shared" si="1"/>
        <v>137.26060575678721</v>
      </c>
      <c r="H6">
        <f t="shared" si="1"/>
        <v>310.73397647459473</v>
      </c>
      <c r="I6">
        <f t="shared" si="1"/>
        <v>540.39614344405527</v>
      </c>
      <c r="J6">
        <f t="shared" si="1"/>
        <v>807.91923670344693</v>
      </c>
      <c r="K6">
        <f t="shared" si="1"/>
        <v>1095.9959456924551</v>
      </c>
      <c r="L6">
        <f t="shared" si="1"/>
        <v>1390.3052775452409</v>
      </c>
      <c r="M6">
        <f t="shared" si="1"/>
        <v>1679.9697934141109</v>
      </c>
    </row>
    <row r="7" spans="1:13" x14ac:dyDescent="0.2">
      <c r="A7" t="s">
        <v>10</v>
      </c>
      <c r="B7" s="1">
        <v>2.8975324228437498</v>
      </c>
      <c r="E7" t="s">
        <v>9</v>
      </c>
      <c r="F7">
        <f t="shared" ref="F7:M7" si="2">F6/1000</f>
        <v>3.4295587257570329E-2</v>
      </c>
      <c r="G7">
        <f t="shared" si="2"/>
        <v>0.13726060575678722</v>
      </c>
      <c r="H7">
        <f t="shared" si="2"/>
        <v>0.31073397647459472</v>
      </c>
      <c r="I7">
        <f t="shared" si="2"/>
        <v>0.54039614344405529</v>
      </c>
      <c r="J7">
        <f t="shared" si="2"/>
        <v>0.8079192367034469</v>
      </c>
      <c r="K7">
        <f t="shared" si="2"/>
        <v>1.0959959456924551</v>
      </c>
      <c r="L7">
        <f t="shared" si="2"/>
        <v>1.3903052775452409</v>
      </c>
      <c r="M7">
        <f t="shared" si="2"/>
        <v>1.6799697934141109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selection activeCell="F7" sqref="F7:M7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80.77</v>
      </c>
      <c r="D1" t="s">
        <v>1</v>
      </c>
      <c r="E1" t="s">
        <v>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2">
      <c r="A2" t="s">
        <v>3</v>
      </c>
      <c r="B2">
        <v>-0.35599999999999998</v>
      </c>
      <c r="D2" t="s">
        <v>4</v>
      </c>
      <c r="E2" t="s">
        <v>5</v>
      </c>
      <c r="F2">
        <f t="shared" ref="F2:M2" si="0">$B$1*(1-EXP(-$B$3*(F1-$B$2)))</f>
        <v>15.310894152541676</v>
      </c>
      <c r="G2">
        <f t="shared" si="0"/>
        <v>24.709828247730332</v>
      </c>
      <c r="H2">
        <f t="shared" si="0"/>
        <v>32.75921805901811</v>
      </c>
      <c r="I2">
        <f t="shared" si="0"/>
        <v>39.652837662886924</v>
      </c>
      <c r="J2">
        <f t="shared" si="0"/>
        <v>45.556638119438759</v>
      </c>
      <c r="K2">
        <f t="shared" si="0"/>
        <v>50.612742435264437</v>
      </c>
      <c r="L2">
        <f t="shared" si="0"/>
        <v>54.942866910277942</v>
      </c>
      <c r="M2">
        <f t="shared" si="0"/>
        <v>58.651251231072777</v>
      </c>
    </row>
    <row r="3" spans="1:13" x14ac:dyDescent="0.2">
      <c r="A3" t="s">
        <v>6</v>
      </c>
      <c r="B3">
        <v>0.155</v>
      </c>
    </row>
    <row r="4" spans="1:13" x14ac:dyDescent="0.2">
      <c r="A4" t="s">
        <v>7</v>
      </c>
      <c r="B4">
        <v>15.31</v>
      </c>
    </row>
    <row r="6" spans="1:13" x14ac:dyDescent="0.2">
      <c r="A6" t="s">
        <v>8</v>
      </c>
      <c r="B6" s="1">
        <v>1.6742214055029792E-2</v>
      </c>
      <c r="E6" t="s">
        <v>9</v>
      </c>
      <c r="F6">
        <f t="shared" ref="F6:M6" si="1">$B$6*(POWER(F2,$B$7))</f>
        <v>37.54323860004753</v>
      </c>
      <c r="G6">
        <f t="shared" si="1"/>
        <v>145.31303852639417</v>
      </c>
      <c r="H6">
        <f t="shared" si="1"/>
        <v>322.5406009198428</v>
      </c>
      <c r="I6">
        <f t="shared" si="1"/>
        <v>553.48828225679995</v>
      </c>
      <c r="J6">
        <f t="shared" si="1"/>
        <v>819.50077412646442</v>
      </c>
      <c r="K6">
        <f t="shared" si="1"/>
        <v>1103.5558479021336</v>
      </c>
      <c r="L6">
        <f t="shared" si="1"/>
        <v>1391.8828617501554</v>
      </c>
      <c r="M6">
        <f t="shared" si="1"/>
        <v>1674.2124161275387</v>
      </c>
    </row>
    <row r="7" spans="1:13" x14ac:dyDescent="0.2">
      <c r="A7" t="s">
        <v>10</v>
      </c>
      <c r="B7" s="1">
        <v>2.8276095159752113</v>
      </c>
      <c r="E7" t="s">
        <v>9</v>
      </c>
      <c r="F7">
        <f t="shared" ref="F7:M7" si="2">F6/1000</f>
        <v>3.7543238600047532E-2</v>
      </c>
      <c r="G7">
        <f t="shared" si="2"/>
        <v>0.14531303852639416</v>
      </c>
      <c r="H7">
        <f t="shared" si="2"/>
        <v>0.32254060091984282</v>
      </c>
      <c r="I7">
        <f t="shared" si="2"/>
        <v>0.55348828225679991</v>
      </c>
      <c r="J7">
        <f t="shared" si="2"/>
        <v>0.81950077412646438</v>
      </c>
      <c r="K7">
        <f t="shared" si="2"/>
        <v>1.1035558479021335</v>
      </c>
      <c r="L7">
        <f t="shared" si="2"/>
        <v>1.3918828617501553</v>
      </c>
      <c r="M7">
        <f t="shared" si="2"/>
        <v>1.6742124161275387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selection activeCell="F7" sqref="F7:M7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80.77</v>
      </c>
      <c r="D1" t="s">
        <v>1</v>
      </c>
      <c r="E1" t="s">
        <v>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2">
      <c r="A2" t="s">
        <v>3</v>
      </c>
      <c r="B2">
        <v>-0.35599999999999998</v>
      </c>
      <c r="D2" t="s">
        <v>4</v>
      </c>
      <c r="E2" t="s">
        <v>5</v>
      </c>
      <c r="F2">
        <f t="shared" ref="F2:M2" si="0">$B$1*(1-EXP(-$B$3*(F1-$B$2)))</f>
        <v>15.310894152541676</v>
      </c>
      <c r="G2">
        <f t="shared" si="0"/>
        <v>24.709828247730332</v>
      </c>
      <c r="H2">
        <f t="shared" si="0"/>
        <v>32.75921805901811</v>
      </c>
      <c r="I2">
        <f t="shared" si="0"/>
        <v>39.652837662886924</v>
      </c>
      <c r="J2">
        <f t="shared" si="0"/>
        <v>45.556638119438759</v>
      </c>
      <c r="K2">
        <f t="shared" si="0"/>
        <v>50.612742435264437</v>
      </c>
      <c r="L2">
        <f t="shared" si="0"/>
        <v>54.942866910277942</v>
      </c>
      <c r="M2">
        <f t="shared" si="0"/>
        <v>58.651251231072777</v>
      </c>
    </row>
    <row r="3" spans="1:13" x14ac:dyDescent="0.2">
      <c r="A3" t="s">
        <v>6</v>
      </c>
      <c r="B3">
        <v>0.155</v>
      </c>
    </row>
    <row r="4" spans="1:13" x14ac:dyDescent="0.2">
      <c r="A4" t="s">
        <v>7</v>
      </c>
      <c r="B4">
        <v>15.31</v>
      </c>
    </row>
    <row r="6" spans="1:13" x14ac:dyDescent="0.2">
      <c r="A6" t="s">
        <v>8</v>
      </c>
      <c r="B6" s="3">
        <v>1.4254546234211605E-2</v>
      </c>
      <c r="E6" t="s">
        <v>9</v>
      </c>
      <c r="F6">
        <f t="shared" ref="F6:M6" si="1">$B$6*(POWER(F2,$B$7))</f>
        <v>36.930148162235653</v>
      </c>
      <c r="G6">
        <f t="shared" si="1"/>
        <v>146.60679111659198</v>
      </c>
      <c r="H6">
        <f t="shared" si="1"/>
        <v>330.3045319173898</v>
      </c>
      <c r="I6">
        <f t="shared" si="1"/>
        <v>572.56882437052002</v>
      </c>
      <c r="J6">
        <f t="shared" si="1"/>
        <v>854.00112400027604</v>
      </c>
      <c r="K6">
        <f t="shared" si="1"/>
        <v>1156.4376272267239</v>
      </c>
      <c r="L6">
        <f t="shared" si="1"/>
        <v>1464.9311597035362</v>
      </c>
      <c r="M6">
        <f t="shared" si="1"/>
        <v>1768.1788055823085</v>
      </c>
    </row>
    <row r="7" spans="1:13" x14ac:dyDescent="0.2">
      <c r="A7" t="s">
        <v>10</v>
      </c>
      <c r="B7" s="3">
        <v>2.8805283180488304</v>
      </c>
      <c r="E7" t="s">
        <v>9</v>
      </c>
      <c r="F7">
        <f t="shared" ref="F7:M7" si="2">F6/1000</f>
        <v>3.6930148162235651E-2</v>
      </c>
      <c r="G7">
        <f t="shared" si="2"/>
        <v>0.14660679111659197</v>
      </c>
      <c r="H7">
        <f t="shared" si="2"/>
        <v>0.33030453191738979</v>
      </c>
      <c r="I7">
        <f t="shared" si="2"/>
        <v>0.57256882437052004</v>
      </c>
      <c r="J7">
        <f t="shared" si="2"/>
        <v>0.85400112400027606</v>
      </c>
      <c r="K7">
        <f t="shared" si="2"/>
        <v>1.1564376272267238</v>
      </c>
      <c r="L7">
        <f t="shared" si="2"/>
        <v>1.4649311597035362</v>
      </c>
      <c r="M7">
        <f t="shared" si="2"/>
        <v>1.7681788055823084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Fwtatage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Qi Lee</cp:lastModifiedBy>
  <cp:revision>1</cp:revision>
  <dcterms:created xsi:type="dcterms:W3CDTF">2015-06-05T18:19:34Z</dcterms:created>
  <dcterms:modified xsi:type="dcterms:W3CDTF">2025-09-08T09:40:41Z</dcterms:modified>
  <dc:language>en-GB</dc:language>
</cp:coreProperties>
</file>