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uthpacificrfmo.sharepoint.com/sites/SPRFMOSC9/Shared Documents/Jack Mackerel/04 Data/"/>
    </mc:Choice>
  </mc:AlternateContent>
  <xr:revisionPtr revIDLastSave="38" documentId="8_{0052A06F-68CE-5949-BA30-E11052FD85F6}" xr6:coauthVersionLast="47" xr6:coauthVersionMax="47" xr10:uidLastSave="{9C584A58-B02F-8F45-BDF4-E7D5001286A7}"/>
  <bookViews>
    <workbookView xWindow="1400" yWindow="-20820" windowWidth="33600" windowHeight="20540" xr2:uid="{CD9F50C1-D2BC-8142-98D4-1F221DE7E1EE}"/>
  </bookViews>
  <sheets>
    <sheet name="README.md" sheetId="19" r:id="rId1"/>
    <sheet name="mod0.00" sheetId="1" r:id="rId2"/>
    <sheet name="mod0.01" sheetId="1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19" l="1"/>
  <c r="A5" i="19"/>
  <c r="A7" i="19"/>
  <c r="A8" i="19"/>
  <c r="A9" i="19"/>
  <c r="A10" i="19"/>
  <c r="A11" i="19"/>
  <c r="A12" i="19"/>
  <c r="A13" i="19"/>
  <c r="A14" i="19"/>
  <c r="A15" i="19"/>
  <c r="A16" i="19"/>
  <c r="A17" i="19"/>
  <c r="A6" i="19"/>
  <c r="M923" i="18"/>
  <c r="L923" i="18"/>
  <c r="K923" i="18"/>
  <c r="J923" i="18"/>
  <c r="I923" i="18"/>
  <c r="H923" i="18"/>
  <c r="G923" i="18"/>
  <c r="F923" i="18"/>
  <c r="E923" i="18"/>
  <c r="D923" i="18"/>
  <c r="C923" i="18"/>
  <c r="B923" i="18"/>
  <c r="M922" i="18"/>
  <c r="L922" i="18"/>
  <c r="K922" i="18"/>
  <c r="J922" i="18"/>
  <c r="I922" i="18"/>
  <c r="H922" i="18"/>
  <c r="G922" i="18"/>
  <c r="F922" i="18"/>
  <c r="E922" i="18"/>
  <c r="D922" i="18"/>
  <c r="C922" i="18"/>
  <c r="B922" i="18"/>
  <c r="M919" i="18"/>
  <c r="L919" i="18"/>
  <c r="K919" i="18"/>
  <c r="J919" i="18"/>
  <c r="I919" i="18"/>
  <c r="H919" i="18"/>
  <c r="G919" i="18"/>
  <c r="F919" i="18"/>
  <c r="E919" i="18"/>
  <c r="D919" i="18"/>
  <c r="C919" i="18"/>
  <c r="B919" i="18"/>
  <c r="B922" i="1" l="1"/>
  <c r="B923" i="1"/>
  <c r="M923" i="1" l="1"/>
  <c r="L923" i="1"/>
  <c r="K923" i="1"/>
  <c r="J923" i="1"/>
  <c r="I923" i="1"/>
  <c r="H923" i="1"/>
  <c r="G923" i="1"/>
  <c r="F923" i="1"/>
  <c r="E923" i="1"/>
  <c r="D923" i="1"/>
  <c r="C923" i="1"/>
  <c r="M922" i="1"/>
  <c r="L922" i="1"/>
  <c r="K922" i="1"/>
  <c r="J922" i="1"/>
  <c r="I922" i="1"/>
  <c r="H922" i="1"/>
  <c r="G922" i="1"/>
  <c r="F922" i="1"/>
  <c r="E922" i="1"/>
  <c r="D922" i="1"/>
  <c r="C922" i="1"/>
  <c r="M919" i="1"/>
  <c r="L919" i="1"/>
  <c r="K919" i="1"/>
  <c r="J919" i="1"/>
  <c r="I919" i="1"/>
  <c r="H919" i="1"/>
  <c r="G919" i="1"/>
  <c r="F919" i="1"/>
  <c r="E919" i="1"/>
  <c r="D919" i="1"/>
  <c r="C919" i="1"/>
  <c r="B919" i="1"/>
</calcChain>
</file>

<file path=xl/sharedStrings.xml><?xml version="1.0" encoding="utf-8"?>
<sst xmlns="http://schemas.openxmlformats.org/spreadsheetml/2006/main" count="330" uniqueCount="96">
  <si>
    <t>#years</t>
  </si>
  <si>
    <t>#ages</t>
  </si>
  <si>
    <t>#nbins</t>
  </si>
  <si>
    <t>#lengthbin</t>
  </si>
  <si>
    <t>#Fnum</t>
  </si>
  <si>
    <t>#Fnames</t>
  </si>
  <si>
    <t>N_Chile%SC_Chile_PS%FarNorth%Offshore_Trawl</t>
  </si>
  <si>
    <t>#Fcaton</t>
  </si>
  <si>
    <t>N_Chile</t>
  </si>
  <si>
    <t>SC_Chile</t>
  </si>
  <si>
    <t>FarNorth</t>
  </si>
  <si>
    <t>Offshore_Trawl</t>
  </si>
  <si>
    <t>#Fcatonerr</t>
  </si>
  <si>
    <t>#FnumyearsA</t>
  </si>
  <si>
    <t>#FnumyearsL</t>
  </si>
  <si>
    <t>#Fageyears</t>
  </si>
  <si>
    <t>#Flengthyears</t>
  </si>
  <si>
    <t>#Fagesample</t>
  </si>
  <si>
    <t># 0.796825 * 0.680464 * 50 (except for final year)</t>
  </si>
  <si>
    <t># 0.613822 * 0.425883 * 50</t>
  </si>
  <si>
    <t>#Flengthsample</t>
  </si>
  <si>
    <t xml:space="preserve">     </t>
  </si>
  <si>
    <t>#Fagecomp</t>
  </si>
  <si>
    <t>N_Chile_1975</t>
  </si>
  <si>
    <t>SC_Chile_1975</t>
  </si>
  <si>
    <t>Offshore_Trawl_1979</t>
  </si>
  <si>
    <t>#Flengthcomp</t>
  </si>
  <si>
    <t>FarNorth_1980</t>
  </si>
  <si>
    <t>#Fwtatage</t>
  </si>
  <si>
    <t>N_Chile1970</t>
  </si>
  <si>
    <t>SC_Chile_1970</t>
  </si>
  <si>
    <t>FarNorth_1970</t>
  </si>
  <si>
    <t>Offshore_Trawl_1970</t>
  </si>
  <si>
    <t>#Inum</t>
  </si>
  <si>
    <t>#Inames</t>
  </si>
  <si>
    <t>#Inumyears</t>
  </si>
  <si>
    <t>Chile_AcousCS</t>
  </si>
  <si>
    <t>Chile_AcousN</t>
  </si>
  <si>
    <t>Chile_CPUE</t>
  </si>
  <si>
    <t>DEPM</t>
  </si>
  <si>
    <t>Peru_Acoustic</t>
  </si>
  <si>
    <t>Peru_CPUE</t>
  </si>
  <si>
    <t>Chinese_CPUE</t>
  </si>
  <si>
    <t>Offshore_CPUE</t>
  </si>
  <si>
    <t>#Iyears</t>
  </si>
  <si>
    <t>#Imonths</t>
  </si>
  <si>
    <t>#Index</t>
  </si>
  <si>
    <t># CV 0.5</t>
  </si>
  <si>
    <t>#Indexerr</t>
  </si>
  <si>
    <t># CV 0.2</t>
  </si>
  <si>
    <t>#Inumageyears</t>
  </si>
  <si>
    <t>#Inumlengthyears</t>
  </si>
  <si>
    <t>#Iyearslength</t>
  </si>
  <si>
    <t>#Iyearsage</t>
  </si>
  <si>
    <t>Index_1</t>
  </si>
  <si>
    <t>Index_2</t>
  </si>
  <si>
    <t>Index_4</t>
  </si>
  <si>
    <t>#Iagesample</t>
  </si>
  <si>
    <t># 0.75506 * 0.179725 * 30</t>
  </si>
  <si>
    <t># 1.0885 * 0.164413 * 30</t>
  </si>
  <si>
    <t># 0.983952 * 1.32571 * 20</t>
  </si>
  <si>
    <t>#Ipropage</t>
  </si>
  <si>
    <t>Index_1_1997</t>
  </si>
  <si>
    <t>Index_2_2006</t>
  </si>
  <si>
    <t>Index_4_2001</t>
  </si>
  <si>
    <t>#Ilengthsample</t>
  </si>
  <si>
    <t>#Iproplength</t>
  </si>
  <si>
    <t>#Iwtatage</t>
  </si>
  <si>
    <t>Index_1_1970</t>
  </si>
  <si>
    <t>Index_2_1970</t>
  </si>
  <si>
    <t>Index_3_1970</t>
  </si>
  <si>
    <t>Index_4_1970</t>
  </si>
  <si>
    <t>Index_5_1970</t>
  </si>
  <si>
    <t>Index_6_1970</t>
  </si>
  <si>
    <t>Index_7_1970</t>
  </si>
  <si>
    <t>Index_8_1970</t>
  </si>
  <si>
    <t>#Pspwn</t>
  </si>
  <si>
    <t>#Pageerr</t>
  </si>
  <si>
    <t>To 2020</t>
  </si>
  <si>
    <t># 0.984771 * 0.782024 * 20 (except for final year)</t>
  </si>
  <si>
    <t>Mod from SC08</t>
  </si>
  <si>
    <t># mod0.13 Take out Chinese_CPUE</t>
  </si>
  <si>
    <t>Chile_AcousCS%Chile_AcousN%Chile_CPUE%DEPM%Peru_Acoustic%Peru_CPUE%Offshore_CPUE</t>
  </si>
  <si>
    <t>Mod 0.13</t>
  </si>
  <si>
    <t># mod0.00 but updated Chilean  CPUE to 2020</t>
  </si>
  <si>
    <t># Models</t>
  </si>
  <si>
    <t>mod0.00</t>
  </si>
  <si>
    <t>As at SC08 (datafile 1.00)</t>
  </si>
  <si>
    <t>Updated Chilean trip CPUE</t>
  </si>
  <si>
    <t>Updated catch biomass</t>
  </si>
  <si>
    <t>Feature</t>
  </si>
  <si>
    <t>Completed?</t>
  </si>
  <si>
    <t>Yes</t>
  </si>
  <si>
    <t>no</t>
  </si>
  <si>
    <t>Updated Offshore CPUE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</si>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</sst>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ont="1" applyFill="1"/>
    <xf numFmtId="0" fontId="0" fillId="0" borderId="0" xfId="0" applyFont="1"/>
    <xf numFmtId="0" fontId="0" fillId="3" borderId="1" xfId="0" applyFont="1" applyFill="1" applyBorder="1"/>
    <xf numFmtId="0" fontId="0" fillId="4" borderId="1" xfId="0" applyFont="1" applyFill="1" applyBorder="1"/>
    <xf numFmtId="11" fontId="0" fillId="0" borderId="0" xfId="0" applyNumberFormat="1" applyFont="1"/>
    <xf numFmtId="0" fontId="0" fillId="0" borderId="0" xfId="1" applyFont="1" applyFill="1" applyBorder="1"/>
    <xf numFmtId="11" fontId="0" fillId="0" borderId="0" xfId="1" applyNumberFormat="1" applyFont="1" applyFill="1" applyBorder="1"/>
    <xf numFmtId="0" fontId="2" fillId="0" borderId="0" xfId="0" applyFont="1"/>
  </cellXfs>
  <cellStyles count="2">
    <cellStyle name="20% - Accent2" xfId="1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E539-0E68-464E-ABE5-B36559C3D20A}">
  <dimension ref="A1:C17"/>
  <sheetViews>
    <sheetView showGridLines="0" tabSelected="1" workbookViewId="0">
      <selection activeCell="B7" sqref="B7"/>
    </sheetView>
  </sheetViews>
  <sheetFormatPr baseColWidth="10" defaultRowHeight="16" x14ac:dyDescent="0.2"/>
  <cols>
    <col min="2" max="2" width="40.6640625" customWidth="1"/>
  </cols>
  <sheetData>
    <row r="1" spans="1:3" x14ac:dyDescent="0.2">
      <c r="A1" t="s">
        <v>85</v>
      </c>
    </row>
    <row r="2" spans="1:3" x14ac:dyDescent="0.2">
      <c r="B2" s="8" t="s">
        <v>90</v>
      </c>
      <c r="C2" t="s">
        <v>91</v>
      </c>
    </row>
    <row r="3" spans="1:3" x14ac:dyDescent="0.2">
      <c r="A3" t="s">
        <v>86</v>
      </c>
      <c r="B3" t="s">
        <v>87</v>
      </c>
      <c r="C3" t="s">
        <v>92</v>
      </c>
    </row>
    <row r="4" spans="1:3" x14ac:dyDescent="0.2">
      <c r="A4" t="str">
        <f>"mod"&amp;ROWS($A$3:A3)/100</f>
        <v>mod0.01</v>
      </c>
      <c r="B4" t="s">
        <v>89</v>
      </c>
      <c r="C4" t="s">
        <v>93</v>
      </c>
    </row>
    <row r="5" spans="1:3" x14ac:dyDescent="0.2">
      <c r="A5" t="str">
        <f>"mod"&amp;ROWS($A$3:A4)/100</f>
        <v>mod0.02</v>
      </c>
      <c r="B5" t="s">
        <v>88</v>
      </c>
      <c r="C5" t="s">
        <v>93</v>
      </c>
    </row>
    <row r="6" spans="1:3" x14ac:dyDescent="0.2">
      <c r="A6" t="str">
        <f>"mod"&amp;ROWS($A$3:A5)/100</f>
        <v>mod0.03</v>
      </c>
      <c r="B6" t="s">
        <v>94</v>
      </c>
    </row>
    <row r="7" spans="1:3" x14ac:dyDescent="0.2">
      <c r="A7" t="str">
        <f>"mod"&amp;ROWS($A$3:A6)/100</f>
        <v>mod0.04</v>
      </c>
      <c r="B7" t="s">
        <v>95</v>
      </c>
    </row>
    <row r="8" spans="1:3" x14ac:dyDescent="0.2">
      <c r="A8" t="str">
        <f>"mod"&amp;ROWS($A$3:A7)/100</f>
        <v>mod0.05</v>
      </c>
    </row>
    <row r="9" spans="1:3" x14ac:dyDescent="0.2">
      <c r="A9" t="str">
        <f>"mod"&amp;ROWS($A$3:A8)/100</f>
        <v>mod0.06</v>
      </c>
    </row>
    <row r="10" spans="1:3" x14ac:dyDescent="0.2">
      <c r="A10" t="str">
        <f>"mod"&amp;ROWS($A$3:A9)/100</f>
        <v>mod0.07</v>
      </c>
    </row>
    <row r="11" spans="1:3" x14ac:dyDescent="0.2">
      <c r="A11" t="str">
        <f>"mod"&amp;ROWS($A$3:A10)/100</f>
        <v>mod0.08</v>
      </c>
    </row>
    <row r="12" spans="1:3" x14ac:dyDescent="0.2">
      <c r="A12" t="str">
        <f>"mod"&amp;ROWS($A$3:A11)/100</f>
        <v>mod0.09</v>
      </c>
    </row>
    <row r="13" spans="1:3" x14ac:dyDescent="0.2">
      <c r="A13" t="str">
        <f>"mod"&amp;ROWS($A$3:A12)/100</f>
        <v>mod0.1</v>
      </c>
    </row>
    <row r="14" spans="1:3" x14ac:dyDescent="0.2">
      <c r="A14" t="str">
        <f>"mod"&amp;ROWS($A$3:A13)/100</f>
        <v>mod0.11</v>
      </c>
    </row>
    <row r="15" spans="1:3" x14ac:dyDescent="0.2">
      <c r="A15" t="str">
        <f>"mod"&amp;ROWS($A$3:A14)/100</f>
        <v>mod0.12</v>
      </c>
    </row>
    <row r="16" spans="1:3" x14ac:dyDescent="0.2">
      <c r="A16" t="str">
        <f>"mod"&amp;ROWS($A$3:A15)/100</f>
        <v>mod0.13</v>
      </c>
    </row>
    <row r="17" spans="1:1" x14ac:dyDescent="0.2">
      <c r="A17" t="str">
        <f>"mod"&amp;ROWS($A$3:A16)/100</f>
        <v>mod0.14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B421-613B-C346-A759-F2DD1FDD4B25}">
  <dimension ref="A1:AZ938"/>
  <sheetViews>
    <sheetView workbookViewId="0"/>
  </sheetViews>
  <sheetFormatPr baseColWidth="10" defaultColWidth="11" defaultRowHeight="16" x14ac:dyDescent="0.2"/>
  <cols>
    <col min="1" max="1" width="11" bestFit="1" customWidth="1"/>
    <col min="2" max="3" width="11.1640625" bestFit="1" customWidth="1"/>
    <col min="4" max="4" width="12.1640625" bestFit="1" customWidth="1"/>
    <col min="5" max="51" width="11" bestFit="1" customWidth="1"/>
  </cols>
  <sheetData>
    <row r="1" spans="1:51" x14ac:dyDescent="0.2">
      <c r="A1" s="1"/>
      <c r="B1" s="2" t="s">
        <v>81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x14ac:dyDescent="0.2">
      <c r="A2" s="3" t="s">
        <v>83</v>
      </c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2">
      <c r="A3" s="3" t="s">
        <v>80</v>
      </c>
      <c r="B3" s="2">
        <v>1970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2">
      <c r="A4" s="3" t="s">
        <v>78</v>
      </c>
      <c r="B4" s="2">
        <v>2020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2">
      <c r="A5" s="4"/>
      <c r="B5" s="2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x14ac:dyDescent="0.2">
      <c r="A6" s="4"/>
      <c r="B6" s="2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1:51" x14ac:dyDescent="0.2">
      <c r="A7" s="4"/>
      <c r="B7" s="2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1:51" x14ac:dyDescent="0.2">
      <c r="A8" s="4"/>
      <c r="B8" s="2" t="s">
        <v>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1:51" x14ac:dyDescent="0.2">
      <c r="A9" s="4"/>
      <c r="B9" s="2">
        <v>41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spans="1:51" x14ac:dyDescent="0.2">
      <c r="A10" s="4"/>
      <c r="B10" s="2" t="s">
        <v>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1:51" x14ac:dyDescent="0.2">
      <c r="A11" s="4"/>
      <c r="B11" s="2">
        <v>10</v>
      </c>
      <c r="C11" s="2">
        <v>11</v>
      </c>
      <c r="D11" s="2">
        <v>12</v>
      </c>
      <c r="E11" s="2">
        <v>13</v>
      </c>
      <c r="F11" s="2">
        <v>14</v>
      </c>
      <c r="G11" s="2">
        <v>15</v>
      </c>
      <c r="H11" s="2">
        <v>16</v>
      </c>
      <c r="I11" s="2">
        <v>17</v>
      </c>
      <c r="J11" s="2">
        <v>18</v>
      </c>
      <c r="K11" s="2">
        <v>19</v>
      </c>
      <c r="L11" s="2">
        <v>20</v>
      </c>
      <c r="M11" s="2">
        <v>21</v>
      </c>
      <c r="N11" s="2">
        <v>22</v>
      </c>
      <c r="O11" s="2">
        <v>23</v>
      </c>
      <c r="P11" s="2">
        <v>24</v>
      </c>
      <c r="Q11" s="2">
        <v>25</v>
      </c>
      <c r="R11" s="2">
        <v>26</v>
      </c>
      <c r="S11" s="2">
        <v>27</v>
      </c>
      <c r="T11" s="2">
        <v>28</v>
      </c>
      <c r="U11" s="2">
        <v>29</v>
      </c>
      <c r="V11" s="2">
        <v>30</v>
      </c>
      <c r="W11" s="2">
        <v>31</v>
      </c>
      <c r="X11" s="2">
        <v>32</v>
      </c>
      <c r="Y11" s="2">
        <v>33</v>
      </c>
      <c r="Z11" s="2">
        <v>34</v>
      </c>
      <c r="AA11" s="2">
        <v>35</v>
      </c>
      <c r="AB11" s="2">
        <v>36</v>
      </c>
      <c r="AC11" s="2">
        <v>37</v>
      </c>
      <c r="AD11" s="2">
        <v>38</v>
      </c>
      <c r="AE11" s="2">
        <v>39</v>
      </c>
      <c r="AF11" s="2">
        <v>40</v>
      </c>
      <c r="AG11" s="2">
        <v>41</v>
      </c>
      <c r="AH11" s="2">
        <v>42</v>
      </c>
      <c r="AI11" s="2">
        <v>43</v>
      </c>
      <c r="AJ11" s="2">
        <v>44</v>
      </c>
      <c r="AK11" s="2">
        <v>45</v>
      </c>
      <c r="AL11" s="2">
        <v>46</v>
      </c>
      <c r="AM11" s="2">
        <v>47</v>
      </c>
      <c r="AN11" s="2">
        <v>48</v>
      </c>
      <c r="AO11" s="2">
        <v>49</v>
      </c>
      <c r="AP11" s="2">
        <v>50</v>
      </c>
      <c r="AQ11" s="2"/>
      <c r="AR11" s="2"/>
      <c r="AS11" s="2"/>
      <c r="AT11" s="2"/>
      <c r="AU11" s="2"/>
      <c r="AV11" s="2"/>
      <c r="AW11" s="2"/>
      <c r="AX11" s="2"/>
      <c r="AY11" s="2"/>
    </row>
    <row r="12" spans="1:51" x14ac:dyDescent="0.2">
      <c r="A12" s="4"/>
      <c r="B12" s="2" t="s">
        <v>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1:51" x14ac:dyDescent="0.2">
      <c r="A13" s="4"/>
      <c r="B13" s="2">
        <v>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1:51" x14ac:dyDescent="0.2">
      <c r="A14" s="4"/>
      <c r="B14" s="2" t="s">
        <v>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1:51" x14ac:dyDescent="0.2">
      <c r="A15" s="4"/>
      <c r="B15" s="2" t="s">
        <v>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1:51" x14ac:dyDescent="0.2">
      <c r="A16" s="4"/>
      <c r="B16" s="2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spans="1:52" x14ac:dyDescent="0.2">
      <c r="A17" s="4" t="s">
        <v>8</v>
      </c>
      <c r="B17" s="2">
        <v>101.69</v>
      </c>
      <c r="C17" s="2">
        <v>143.44999999999999</v>
      </c>
      <c r="D17" s="2">
        <v>64.459999999999994</v>
      </c>
      <c r="E17" s="2">
        <v>83.2</v>
      </c>
      <c r="F17" s="2">
        <v>164.76</v>
      </c>
      <c r="G17" s="2">
        <v>207.33</v>
      </c>
      <c r="H17" s="2">
        <v>257.7</v>
      </c>
      <c r="I17" s="2">
        <v>226.23</v>
      </c>
      <c r="J17" s="2">
        <v>398.41</v>
      </c>
      <c r="K17" s="2">
        <v>344.05</v>
      </c>
      <c r="L17" s="2">
        <v>288.81</v>
      </c>
      <c r="M17" s="2">
        <v>474.82</v>
      </c>
      <c r="N17" s="2">
        <v>789.91</v>
      </c>
      <c r="O17" s="2">
        <v>301.93</v>
      </c>
      <c r="P17" s="2">
        <v>727</v>
      </c>
      <c r="Q17" s="2">
        <v>511.15</v>
      </c>
      <c r="R17" s="2">
        <v>55.21</v>
      </c>
      <c r="S17" s="2">
        <v>313.31</v>
      </c>
      <c r="T17" s="2">
        <v>325.45999999999998</v>
      </c>
      <c r="U17" s="2">
        <v>338.6</v>
      </c>
      <c r="V17" s="2">
        <v>323.08999999999997</v>
      </c>
      <c r="W17" s="2">
        <v>346.25</v>
      </c>
      <c r="X17" s="2">
        <v>304.24</v>
      </c>
      <c r="Y17" s="2">
        <v>379.47</v>
      </c>
      <c r="Z17" s="2">
        <v>222.25</v>
      </c>
      <c r="AA17" s="2">
        <v>230.18</v>
      </c>
      <c r="AB17" s="2">
        <v>278.44</v>
      </c>
      <c r="AC17" s="2">
        <v>104.2</v>
      </c>
      <c r="AD17" s="2">
        <v>30.27</v>
      </c>
      <c r="AE17" s="2">
        <v>55.65</v>
      </c>
      <c r="AF17" s="2">
        <v>118.73</v>
      </c>
      <c r="AG17" s="2">
        <v>248.1</v>
      </c>
      <c r="AH17" s="2">
        <v>108.73</v>
      </c>
      <c r="AI17" s="2">
        <v>143.28</v>
      </c>
      <c r="AJ17" s="2">
        <v>158.66</v>
      </c>
      <c r="AK17" s="2">
        <v>165.63</v>
      </c>
      <c r="AL17" s="2">
        <v>155.26</v>
      </c>
      <c r="AM17" s="2">
        <v>172.70099999999999</v>
      </c>
      <c r="AN17" s="2">
        <v>167.25800000000001</v>
      </c>
      <c r="AO17" s="2">
        <v>134.02199999999999</v>
      </c>
      <c r="AP17" s="2">
        <v>169.012</v>
      </c>
      <c r="AQ17" s="2">
        <v>30.824999999999999</v>
      </c>
      <c r="AR17" s="2">
        <v>13.256</v>
      </c>
      <c r="AS17" s="2">
        <v>16.361000000000001</v>
      </c>
      <c r="AT17" s="2">
        <v>18.219000000000001</v>
      </c>
      <c r="AU17" s="2">
        <v>34.886000000000003</v>
      </c>
      <c r="AV17" s="2">
        <v>24.657</v>
      </c>
      <c r="AW17" s="2">
        <v>35.002000000000002</v>
      </c>
      <c r="AX17" s="2">
        <v>11.551</v>
      </c>
      <c r="AY17" s="2">
        <v>11.875</v>
      </c>
      <c r="AZ17">
        <v>45.048999999999999</v>
      </c>
    </row>
    <row r="18" spans="1:52" x14ac:dyDescent="0.2">
      <c r="A18" s="4" t="s">
        <v>9</v>
      </c>
      <c r="B18" s="2">
        <v>10.31</v>
      </c>
      <c r="C18" s="2">
        <v>14.99</v>
      </c>
      <c r="D18" s="2">
        <v>22.55</v>
      </c>
      <c r="E18" s="2">
        <v>38.39</v>
      </c>
      <c r="F18" s="2">
        <v>28.75</v>
      </c>
      <c r="G18" s="2">
        <v>53.88</v>
      </c>
      <c r="H18" s="2">
        <v>84.57</v>
      </c>
      <c r="I18" s="2">
        <v>114.57</v>
      </c>
      <c r="J18" s="2">
        <v>188.27</v>
      </c>
      <c r="K18" s="2">
        <v>253.46</v>
      </c>
      <c r="L18" s="2">
        <v>273.45</v>
      </c>
      <c r="M18" s="2">
        <v>586.09</v>
      </c>
      <c r="N18" s="2">
        <v>704.77</v>
      </c>
      <c r="O18" s="2">
        <v>563.34</v>
      </c>
      <c r="P18" s="2">
        <v>699.3</v>
      </c>
      <c r="Q18" s="2">
        <v>945.84</v>
      </c>
      <c r="R18" s="2">
        <v>1129.1099999999999</v>
      </c>
      <c r="S18" s="2">
        <v>1456.73</v>
      </c>
      <c r="T18" s="2">
        <v>1812.79</v>
      </c>
      <c r="U18" s="2">
        <v>2051.52</v>
      </c>
      <c r="V18" s="2">
        <v>2148.79</v>
      </c>
      <c r="W18" s="2">
        <v>2674.27</v>
      </c>
      <c r="X18" s="2">
        <v>2907.82</v>
      </c>
      <c r="Y18" s="2">
        <v>2856.78</v>
      </c>
      <c r="Z18" s="2">
        <v>3819.19</v>
      </c>
      <c r="AA18" s="2">
        <v>4174.0200000000004</v>
      </c>
      <c r="AB18" s="2">
        <v>3604.89</v>
      </c>
      <c r="AC18" s="2">
        <v>2812.87</v>
      </c>
      <c r="AD18" s="2">
        <v>1582.64</v>
      </c>
      <c r="AE18" s="2">
        <v>1164.04</v>
      </c>
      <c r="AF18" s="2">
        <v>1115.57</v>
      </c>
      <c r="AG18" s="2">
        <v>1401.84</v>
      </c>
      <c r="AH18" s="2">
        <v>1410.27</v>
      </c>
      <c r="AI18" s="2">
        <v>1278.02</v>
      </c>
      <c r="AJ18" s="2">
        <v>1292.94</v>
      </c>
      <c r="AK18" s="2">
        <v>1264.81</v>
      </c>
      <c r="AL18" s="2">
        <v>1224.69</v>
      </c>
      <c r="AM18" s="2">
        <v>1130.0830000000001</v>
      </c>
      <c r="AN18" s="2">
        <v>728.85</v>
      </c>
      <c r="AO18" s="2">
        <v>700.90499999999997</v>
      </c>
      <c r="AP18" s="2">
        <v>295.79599999999999</v>
      </c>
      <c r="AQ18" s="2">
        <v>216.47</v>
      </c>
      <c r="AR18" s="2">
        <v>214.20400000000001</v>
      </c>
      <c r="AS18" s="2">
        <v>214.999</v>
      </c>
      <c r="AT18" s="2">
        <v>254.29499999999999</v>
      </c>
      <c r="AU18" s="2">
        <v>250.327</v>
      </c>
      <c r="AV18" s="2">
        <v>295.16000000000003</v>
      </c>
      <c r="AW18" s="2">
        <v>311.863</v>
      </c>
      <c r="AX18" s="2">
        <v>415.149</v>
      </c>
      <c r="AY18" s="2">
        <v>432.447</v>
      </c>
      <c r="AZ18">
        <v>465</v>
      </c>
    </row>
    <row r="19" spans="1:52" x14ac:dyDescent="0.2">
      <c r="A19" s="4" t="s">
        <v>10</v>
      </c>
      <c r="B19" s="2">
        <v>4.71</v>
      </c>
      <c r="C19" s="2">
        <v>9.19</v>
      </c>
      <c r="D19" s="2">
        <v>18.78</v>
      </c>
      <c r="E19" s="2">
        <v>42.78</v>
      </c>
      <c r="F19" s="2">
        <v>129.21</v>
      </c>
      <c r="G19" s="2">
        <v>37.9</v>
      </c>
      <c r="H19" s="2">
        <v>54.15</v>
      </c>
      <c r="I19" s="2">
        <v>504.99</v>
      </c>
      <c r="J19" s="2">
        <v>386.79</v>
      </c>
      <c r="K19" s="2">
        <v>333.81</v>
      </c>
      <c r="L19" s="2">
        <v>414.3</v>
      </c>
      <c r="M19" s="2">
        <v>445.64</v>
      </c>
      <c r="N19" s="2">
        <v>143.72</v>
      </c>
      <c r="O19" s="2">
        <v>110.69</v>
      </c>
      <c r="P19" s="2">
        <v>200.67</v>
      </c>
      <c r="Q19" s="2">
        <v>114.62</v>
      </c>
      <c r="R19" s="2">
        <v>51.03</v>
      </c>
      <c r="S19" s="2">
        <v>46.3</v>
      </c>
      <c r="T19" s="2">
        <v>244.23</v>
      </c>
      <c r="U19" s="2">
        <v>316.25</v>
      </c>
      <c r="V19" s="2">
        <v>370.82</v>
      </c>
      <c r="W19" s="2">
        <v>213.45</v>
      </c>
      <c r="X19" s="2">
        <v>111.68</v>
      </c>
      <c r="Y19" s="2">
        <v>133.35</v>
      </c>
      <c r="Z19" s="2">
        <v>233.35</v>
      </c>
      <c r="AA19" s="2">
        <v>550.99</v>
      </c>
      <c r="AB19" s="2">
        <v>495.52</v>
      </c>
      <c r="AC19" s="2">
        <v>680.05</v>
      </c>
      <c r="AD19" s="2">
        <v>412.85</v>
      </c>
      <c r="AE19" s="2">
        <v>203.75</v>
      </c>
      <c r="AF19" s="2">
        <v>303.7</v>
      </c>
      <c r="AG19" s="2">
        <v>857.74</v>
      </c>
      <c r="AH19" s="2">
        <v>154.82</v>
      </c>
      <c r="AI19" s="2">
        <v>217.73</v>
      </c>
      <c r="AJ19" s="2">
        <v>187.37</v>
      </c>
      <c r="AK19" s="2">
        <v>80.66</v>
      </c>
      <c r="AL19" s="2">
        <v>277.57</v>
      </c>
      <c r="AM19" s="2">
        <v>255.36</v>
      </c>
      <c r="AN19" s="2">
        <v>169.53700000000001</v>
      </c>
      <c r="AO19" s="2">
        <v>76.629000000000005</v>
      </c>
      <c r="AP19" s="2">
        <v>22.172000000000001</v>
      </c>
      <c r="AQ19" s="2">
        <v>326.39400000000001</v>
      </c>
      <c r="AR19" s="2">
        <v>187.39599999999999</v>
      </c>
      <c r="AS19" s="2">
        <v>80.585999999999999</v>
      </c>
      <c r="AT19" s="2">
        <v>74.531999999999996</v>
      </c>
      <c r="AU19" s="2">
        <v>22.446999999999999</v>
      </c>
      <c r="AV19" s="2">
        <v>15.087999999999999</v>
      </c>
      <c r="AW19" s="2">
        <v>8.8670000000000009</v>
      </c>
      <c r="AX19" s="2">
        <v>57.162999999999997</v>
      </c>
      <c r="AY19" s="2">
        <v>135.78399999999999</v>
      </c>
      <c r="AZ19">
        <v>137</v>
      </c>
    </row>
    <row r="20" spans="1:52" x14ac:dyDescent="0.2">
      <c r="A20" s="4" t="s">
        <v>11</v>
      </c>
      <c r="B20" s="2">
        <v>0</v>
      </c>
      <c r="C20" s="2">
        <v>0</v>
      </c>
      <c r="D20" s="2">
        <v>5.5</v>
      </c>
      <c r="E20" s="2">
        <v>0</v>
      </c>
      <c r="F20" s="2">
        <v>0</v>
      </c>
      <c r="G20" s="2">
        <v>0</v>
      </c>
      <c r="H20" s="2">
        <v>0.04</v>
      </c>
      <c r="I20" s="2">
        <v>2.27</v>
      </c>
      <c r="J20" s="2">
        <v>51.29</v>
      </c>
      <c r="K20" s="2">
        <v>370.29</v>
      </c>
      <c r="L20" s="2">
        <v>339.8</v>
      </c>
      <c r="M20" s="2">
        <v>438.12</v>
      </c>
      <c r="N20" s="2">
        <v>733.2</v>
      </c>
      <c r="O20" s="2">
        <v>894.3</v>
      </c>
      <c r="P20" s="2">
        <v>1059.93</v>
      </c>
      <c r="Q20" s="2">
        <v>799.32</v>
      </c>
      <c r="R20" s="2">
        <v>837.5</v>
      </c>
      <c r="S20" s="2">
        <v>863.42</v>
      </c>
      <c r="T20" s="2">
        <v>863.22</v>
      </c>
      <c r="U20" s="2">
        <v>875.82</v>
      </c>
      <c r="V20" s="2">
        <v>872.06</v>
      </c>
      <c r="W20" s="2">
        <v>543.66</v>
      </c>
      <c r="X20" s="2">
        <v>37.93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0.01</v>
      </c>
      <c r="AF20" s="2">
        <v>2.3199999999999998</v>
      </c>
      <c r="AG20" s="2">
        <v>20.09</v>
      </c>
      <c r="AH20" s="2">
        <v>76.260000000000005</v>
      </c>
      <c r="AI20" s="2">
        <v>158.19999999999999</v>
      </c>
      <c r="AJ20" s="2">
        <v>295.44</v>
      </c>
      <c r="AK20" s="2">
        <v>243.58</v>
      </c>
      <c r="AL20" s="2">
        <v>362.63</v>
      </c>
      <c r="AM20" s="2">
        <v>438.8306</v>
      </c>
      <c r="AN20" s="2">
        <v>406.9864</v>
      </c>
      <c r="AO20" s="2">
        <v>371.91759999999999</v>
      </c>
      <c r="AP20" s="2">
        <v>239.59299999999999</v>
      </c>
      <c r="AQ20" s="2">
        <v>60.891309999999997</v>
      </c>
      <c r="AR20" s="2">
        <v>39.917859999999997</v>
      </c>
      <c r="AS20" s="2">
        <v>41.177</v>
      </c>
      <c r="AT20" s="2">
        <v>63.652000000000001</v>
      </c>
      <c r="AU20" s="2">
        <v>86.671999999999997</v>
      </c>
      <c r="AV20" s="2">
        <v>54.162999999999997</v>
      </c>
      <c r="AW20" s="2">
        <v>49.113</v>
      </c>
      <c r="AX20" s="2">
        <v>42.46</v>
      </c>
      <c r="AY20" s="2">
        <v>51.439</v>
      </c>
      <c r="AZ20">
        <v>2.867</v>
      </c>
    </row>
    <row r="21" spans="1:52" x14ac:dyDescent="0.2">
      <c r="A21" s="4"/>
      <c r="B21" s="2" t="s">
        <v>12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1:52" x14ac:dyDescent="0.2">
      <c r="A22" s="4" t="s">
        <v>8</v>
      </c>
      <c r="B22" s="2">
        <v>0.05</v>
      </c>
      <c r="C22" s="2">
        <v>0.05</v>
      </c>
      <c r="D22" s="2">
        <v>0.05</v>
      </c>
      <c r="E22" s="2">
        <v>0.05</v>
      </c>
      <c r="F22" s="2">
        <v>0.05</v>
      </c>
      <c r="G22" s="2">
        <v>0.05</v>
      </c>
      <c r="H22" s="2">
        <v>0.05</v>
      </c>
      <c r="I22" s="2">
        <v>0.05</v>
      </c>
      <c r="J22" s="2">
        <v>0.05</v>
      </c>
      <c r="K22" s="2">
        <v>0.05</v>
      </c>
      <c r="L22" s="2">
        <v>0.05</v>
      </c>
      <c r="M22" s="2">
        <v>0.05</v>
      </c>
      <c r="N22" s="2">
        <v>0.05</v>
      </c>
      <c r="O22" s="2">
        <v>0.05</v>
      </c>
      <c r="P22" s="2">
        <v>0.05</v>
      </c>
      <c r="Q22" s="2">
        <v>0.05</v>
      </c>
      <c r="R22" s="2">
        <v>0.05</v>
      </c>
      <c r="S22" s="2">
        <v>0.05</v>
      </c>
      <c r="T22" s="2">
        <v>0.05</v>
      </c>
      <c r="U22" s="2">
        <v>0.05</v>
      </c>
      <c r="V22" s="2">
        <v>0.05</v>
      </c>
      <c r="W22" s="2">
        <v>0.05</v>
      </c>
      <c r="X22" s="2">
        <v>0.05</v>
      </c>
      <c r="Y22" s="2">
        <v>0.05</v>
      </c>
      <c r="Z22" s="2">
        <v>0.05</v>
      </c>
      <c r="AA22" s="2">
        <v>0.05</v>
      </c>
      <c r="AB22" s="2">
        <v>0.05</v>
      </c>
      <c r="AC22" s="2">
        <v>0.05</v>
      </c>
      <c r="AD22" s="2">
        <v>0.05</v>
      </c>
      <c r="AE22" s="2">
        <v>0.05</v>
      </c>
      <c r="AF22" s="2">
        <v>0.05</v>
      </c>
      <c r="AG22" s="2">
        <v>0.05</v>
      </c>
      <c r="AH22" s="2">
        <v>0.05</v>
      </c>
      <c r="AI22" s="2">
        <v>0.05</v>
      </c>
      <c r="AJ22" s="2">
        <v>0.05</v>
      </c>
      <c r="AK22" s="2">
        <v>0.05</v>
      </c>
      <c r="AL22" s="2">
        <v>0.05</v>
      </c>
      <c r="AM22" s="2">
        <v>0.05</v>
      </c>
      <c r="AN22" s="2">
        <v>0.05</v>
      </c>
      <c r="AO22" s="2">
        <v>0.05</v>
      </c>
      <c r="AP22" s="2">
        <v>0.05</v>
      </c>
      <c r="AQ22" s="2">
        <v>0.05</v>
      </c>
      <c r="AR22" s="2">
        <v>0.05</v>
      </c>
      <c r="AS22" s="2">
        <v>0.05</v>
      </c>
      <c r="AT22" s="2">
        <v>0.05</v>
      </c>
      <c r="AU22" s="2">
        <v>0.05</v>
      </c>
      <c r="AV22" s="2">
        <v>0.05</v>
      </c>
      <c r="AW22" s="2">
        <v>0.05</v>
      </c>
      <c r="AX22" s="2">
        <v>0.05</v>
      </c>
      <c r="AY22" s="2">
        <v>0.05</v>
      </c>
      <c r="AZ22">
        <v>0.05</v>
      </c>
    </row>
    <row r="23" spans="1:52" x14ac:dyDescent="0.2">
      <c r="A23" s="4" t="s">
        <v>9</v>
      </c>
      <c r="B23" s="2">
        <v>0.05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0.05</v>
      </c>
      <c r="R23" s="2">
        <v>0.05</v>
      </c>
      <c r="S23" s="2">
        <v>0.05</v>
      </c>
      <c r="T23" s="2">
        <v>0.05</v>
      </c>
      <c r="U23" s="2">
        <v>0.05</v>
      </c>
      <c r="V23" s="2">
        <v>0.05</v>
      </c>
      <c r="W23" s="2">
        <v>0.05</v>
      </c>
      <c r="X23" s="2">
        <v>0.05</v>
      </c>
      <c r="Y23" s="2">
        <v>0.05</v>
      </c>
      <c r="Z23" s="2">
        <v>0.05</v>
      </c>
      <c r="AA23" s="2">
        <v>0.05</v>
      </c>
      <c r="AB23" s="2">
        <v>0.05</v>
      </c>
      <c r="AC23" s="2">
        <v>0.05</v>
      </c>
      <c r="AD23" s="2">
        <v>0.05</v>
      </c>
      <c r="AE23" s="2">
        <v>0.05</v>
      </c>
      <c r="AF23" s="2">
        <v>0.05</v>
      </c>
      <c r="AG23" s="2">
        <v>0.05</v>
      </c>
      <c r="AH23" s="2">
        <v>0.05</v>
      </c>
      <c r="AI23" s="2">
        <v>0.05</v>
      </c>
      <c r="AJ23" s="2">
        <v>0.05</v>
      </c>
      <c r="AK23" s="2">
        <v>0.05</v>
      </c>
      <c r="AL23" s="2">
        <v>0.05</v>
      </c>
      <c r="AM23" s="2">
        <v>0.05</v>
      </c>
      <c r="AN23" s="2">
        <v>0.05</v>
      </c>
      <c r="AO23" s="2">
        <v>0.05</v>
      </c>
      <c r="AP23" s="2">
        <v>0.05</v>
      </c>
      <c r="AQ23" s="2">
        <v>0.05</v>
      </c>
      <c r="AR23" s="2">
        <v>0.05</v>
      </c>
      <c r="AS23" s="2">
        <v>0.05</v>
      </c>
      <c r="AT23" s="2">
        <v>0.05</v>
      </c>
      <c r="AU23" s="2">
        <v>0.05</v>
      </c>
      <c r="AV23" s="2">
        <v>0.05</v>
      </c>
      <c r="AW23" s="2">
        <v>0.05</v>
      </c>
      <c r="AX23" s="2">
        <v>0.05</v>
      </c>
      <c r="AY23" s="2">
        <v>0.05</v>
      </c>
      <c r="AZ23">
        <v>0.05</v>
      </c>
    </row>
    <row r="24" spans="1:52" x14ac:dyDescent="0.2">
      <c r="A24" s="4" t="s">
        <v>10</v>
      </c>
      <c r="B24" s="2">
        <v>0.05</v>
      </c>
      <c r="C24" s="2">
        <v>0.05</v>
      </c>
      <c r="D24" s="2">
        <v>0.05</v>
      </c>
      <c r="E24" s="2">
        <v>0.05</v>
      </c>
      <c r="F24" s="2">
        <v>0.05</v>
      </c>
      <c r="G24" s="2">
        <v>0.05</v>
      </c>
      <c r="H24" s="2">
        <v>0.05</v>
      </c>
      <c r="I24" s="2">
        <v>0.05</v>
      </c>
      <c r="J24" s="2">
        <v>0.05</v>
      </c>
      <c r="K24" s="2">
        <v>0.05</v>
      </c>
      <c r="L24" s="2">
        <v>0.05</v>
      </c>
      <c r="M24" s="2">
        <v>0.05</v>
      </c>
      <c r="N24" s="2">
        <v>0.05</v>
      </c>
      <c r="O24" s="2">
        <v>0.05</v>
      </c>
      <c r="P24" s="2">
        <v>0.05</v>
      </c>
      <c r="Q24" s="2">
        <v>0.05</v>
      </c>
      <c r="R24" s="2">
        <v>0.05</v>
      </c>
      <c r="S24" s="2">
        <v>0.05</v>
      </c>
      <c r="T24" s="2">
        <v>0.05</v>
      </c>
      <c r="U24" s="2">
        <v>0.05</v>
      </c>
      <c r="V24" s="2">
        <v>0.05</v>
      </c>
      <c r="W24" s="2">
        <v>0.05</v>
      </c>
      <c r="X24" s="2">
        <v>0.05</v>
      </c>
      <c r="Y24" s="2">
        <v>0.05</v>
      </c>
      <c r="Z24" s="2">
        <v>0.05</v>
      </c>
      <c r="AA24" s="2">
        <v>0.05</v>
      </c>
      <c r="AB24" s="2">
        <v>0.05</v>
      </c>
      <c r="AC24" s="2">
        <v>0.05</v>
      </c>
      <c r="AD24" s="2">
        <v>0.05</v>
      </c>
      <c r="AE24" s="2">
        <v>0.05</v>
      </c>
      <c r="AF24" s="2">
        <v>0.05</v>
      </c>
      <c r="AG24" s="2">
        <v>0.05</v>
      </c>
      <c r="AH24" s="2">
        <v>0.05</v>
      </c>
      <c r="AI24" s="2">
        <v>0.05</v>
      </c>
      <c r="AJ24" s="2">
        <v>0.05</v>
      </c>
      <c r="AK24" s="2">
        <v>0.05</v>
      </c>
      <c r="AL24" s="2">
        <v>0.05</v>
      </c>
      <c r="AM24" s="2">
        <v>0.05</v>
      </c>
      <c r="AN24" s="2">
        <v>0.05</v>
      </c>
      <c r="AO24" s="2">
        <v>0.05</v>
      </c>
      <c r="AP24" s="2">
        <v>0.05</v>
      </c>
      <c r="AQ24" s="2">
        <v>0.05</v>
      </c>
      <c r="AR24" s="2">
        <v>0.05</v>
      </c>
      <c r="AS24" s="2">
        <v>0.05</v>
      </c>
      <c r="AT24" s="2">
        <v>0.05</v>
      </c>
      <c r="AU24" s="2">
        <v>0.05</v>
      </c>
      <c r="AV24" s="2">
        <v>0.05</v>
      </c>
      <c r="AW24" s="2">
        <v>0.05</v>
      </c>
      <c r="AX24" s="2">
        <v>0.05</v>
      </c>
      <c r="AY24" s="2">
        <v>0.05</v>
      </c>
      <c r="AZ24">
        <v>0.05</v>
      </c>
    </row>
    <row r="25" spans="1:52" x14ac:dyDescent="0.2">
      <c r="A25" s="4" t="s">
        <v>11</v>
      </c>
      <c r="B25" s="2">
        <v>0.05</v>
      </c>
      <c r="C25" s="2">
        <v>0.05</v>
      </c>
      <c r="D25" s="2">
        <v>0.05</v>
      </c>
      <c r="E25" s="2">
        <v>0.05</v>
      </c>
      <c r="F25" s="2">
        <v>0.05</v>
      </c>
      <c r="G25" s="2">
        <v>0.05</v>
      </c>
      <c r="H25" s="2">
        <v>0.05</v>
      </c>
      <c r="I25" s="2">
        <v>0.05</v>
      </c>
      <c r="J25" s="2">
        <v>0.05</v>
      </c>
      <c r="K25" s="2">
        <v>0.05</v>
      </c>
      <c r="L25" s="2">
        <v>0.05</v>
      </c>
      <c r="M25" s="2">
        <v>0.05</v>
      </c>
      <c r="N25" s="2">
        <v>0.05</v>
      </c>
      <c r="O25" s="2">
        <v>0.05</v>
      </c>
      <c r="P25" s="2">
        <v>0.05</v>
      </c>
      <c r="Q25" s="2">
        <v>0.05</v>
      </c>
      <c r="R25" s="2">
        <v>0.05</v>
      </c>
      <c r="S25" s="2">
        <v>0.05</v>
      </c>
      <c r="T25" s="2">
        <v>0.05</v>
      </c>
      <c r="U25" s="2">
        <v>0.05</v>
      </c>
      <c r="V25" s="2">
        <v>0.05</v>
      </c>
      <c r="W25" s="2">
        <v>0.05</v>
      </c>
      <c r="X25" s="2">
        <v>0.05</v>
      </c>
      <c r="Y25" s="2">
        <v>0.05</v>
      </c>
      <c r="Z25" s="2">
        <v>0.05</v>
      </c>
      <c r="AA25" s="2">
        <v>0.05</v>
      </c>
      <c r="AB25" s="2">
        <v>0.05</v>
      </c>
      <c r="AC25" s="2">
        <v>0.05</v>
      </c>
      <c r="AD25" s="2">
        <v>0.05</v>
      </c>
      <c r="AE25" s="2">
        <v>0.05</v>
      </c>
      <c r="AF25" s="2">
        <v>0.05</v>
      </c>
      <c r="AG25" s="2">
        <v>0.05</v>
      </c>
      <c r="AH25" s="2">
        <v>0.05</v>
      </c>
      <c r="AI25" s="2">
        <v>0.05</v>
      </c>
      <c r="AJ25" s="2">
        <v>0.05</v>
      </c>
      <c r="AK25" s="2">
        <v>0.05</v>
      </c>
      <c r="AL25" s="2">
        <v>0.05</v>
      </c>
      <c r="AM25" s="2">
        <v>0.05</v>
      </c>
      <c r="AN25" s="2">
        <v>0.05</v>
      </c>
      <c r="AO25" s="2">
        <v>0.05</v>
      </c>
      <c r="AP25" s="2">
        <v>0.05</v>
      </c>
      <c r="AQ25" s="2">
        <v>0.05</v>
      </c>
      <c r="AR25" s="2">
        <v>0.05</v>
      </c>
      <c r="AS25" s="2">
        <v>0.05</v>
      </c>
      <c r="AT25" s="2">
        <v>0.05</v>
      </c>
      <c r="AU25" s="2">
        <v>0.05</v>
      </c>
      <c r="AV25" s="2">
        <v>0.05</v>
      </c>
      <c r="AW25" s="2">
        <v>0.05</v>
      </c>
      <c r="AX25" s="2">
        <v>0.05</v>
      </c>
      <c r="AY25" s="2">
        <v>0.05</v>
      </c>
      <c r="AZ25">
        <v>0.05</v>
      </c>
    </row>
    <row r="26" spans="1:52" x14ac:dyDescent="0.2">
      <c r="A26" s="4"/>
      <c r="B26" s="2" t="s">
        <v>13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spans="1:52" x14ac:dyDescent="0.2">
      <c r="A27" s="4" t="s">
        <v>8</v>
      </c>
      <c r="B27" s="2">
        <v>46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spans="1:52" x14ac:dyDescent="0.2">
      <c r="A28" s="4" t="s">
        <v>9</v>
      </c>
      <c r="B28" s="2">
        <v>46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spans="1:52" x14ac:dyDescent="0.2">
      <c r="A29" s="4" t="s">
        <v>10</v>
      </c>
      <c r="B29" s="2"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spans="1:52" x14ac:dyDescent="0.2">
      <c r="A30" s="4" t="s">
        <v>11</v>
      </c>
      <c r="B30" s="2">
        <v>31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spans="1:52" x14ac:dyDescent="0.2">
      <c r="A31" s="4"/>
      <c r="B31" s="2" t="s">
        <v>14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1:52" x14ac:dyDescent="0.2">
      <c r="A32" s="4" t="s">
        <v>8</v>
      </c>
      <c r="B32" s="2"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1:51" x14ac:dyDescent="0.2">
      <c r="A33" s="4" t="s">
        <v>9</v>
      </c>
      <c r="B33" s="2"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x14ac:dyDescent="0.2">
      <c r="A34" s="4" t="s">
        <v>10</v>
      </c>
      <c r="B34" s="2">
        <v>41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x14ac:dyDescent="0.2">
      <c r="A35" s="4" t="s">
        <v>11</v>
      </c>
      <c r="B35" s="2"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x14ac:dyDescent="0.2">
      <c r="A36" s="4"/>
      <c r="B36" s="2" t="s">
        <v>15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x14ac:dyDescent="0.2">
      <c r="A37" s="4" t="s">
        <v>8</v>
      </c>
      <c r="B37" s="2">
        <v>1975</v>
      </c>
      <c r="C37" s="2">
        <v>1976</v>
      </c>
      <c r="D37" s="2">
        <v>1977</v>
      </c>
      <c r="E37" s="2">
        <v>1978</v>
      </c>
      <c r="F37" s="2">
        <v>1979</v>
      </c>
      <c r="G37" s="2">
        <v>1980</v>
      </c>
      <c r="H37" s="2">
        <v>1981</v>
      </c>
      <c r="I37" s="2">
        <v>1982</v>
      </c>
      <c r="J37" s="2">
        <v>1983</v>
      </c>
      <c r="K37" s="2">
        <v>1984</v>
      </c>
      <c r="L37" s="2">
        <v>1985</v>
      </c>
      <c r="M37" s="2">
        <v>1986</v>
      </c>
      <c r="N37" s="2">
        <v>1987</v>
      </c>
      <c r="O37" s="2">
        <v>1988</v>
      </c>
      <c r="P37" s="2">
        <v>1989</v>
      </c>
      <c r="Q37" s="2">
        <v>1990</v>
      </c>
      <c r="R37" s="2">
        <v>1991</v>
      </c>
      <c r="S37" s="2">
        <v>1992</v>
      </c>
      <c r="T37" s="2">
        <v>1993</v>
      </c>
      <c r="U37" s="2">
        <v>1994</v>
      </c>
      <c r="V37" s="2">
        <v>1995</v>
      </c>
      <c r="W37" s="2">
        <v>1996</v>
      </c>
      <c r="X37" s="2">
        <v>1997</v>
      </c>
      <c r="Y37" s="2">
        <v>1998</v>
      </c>
      <c r="Z37" s="2">
        <v>1999</v>
      </c>
      <c r="AA37" s="2">
        <v>2000</v>
      </c>
      <c r="AB37" s="2">
        <v>2001</v>
      </c>
      <c r="AC37" s="2">
        <v>2002</v>
      </c>
      <c r="AD37" s="2">
        <v>2003</v>
      </c>
      <c r="AE37" s="2">
        <v>2004</v>
      </c>
      <c r="AF37" s="2">
        <v>2005</v>
      </c>
      <c r="AG37" s="2">
        <v>2006</v>
      </c>
      <c r="AH37" s="2">
        <v>2007</v>
      </c>
      <c r="AI37" s="2">
        <v>2008</v>
      </c>
      <c r="AJ37" s="2">
        <v>2009</v>
      </c>
      <c r="AK37" s="2">
        <v>2010</v>
      </c>
      <c r="AL37" s="2">
        <v>2011</v>
      </c>
      <c r="AM37" s="2">
        <v>2012</v>
      </c>
      <c r="AN37" s="2">
        <v>2013</v>
      </c>
      <c r="AO37" s="2">
        <v>2014</v>
      </c>
      <c r="AP37" s="2">
        <v>2015</v>
      </c>
      <c r="AQ37" s="2">
        <v>2016</v>
      </c>
      <c r="AR37" s="2">
        <v>2017</v>
      </c>
      <c r="AS37" s="2">
        <v>2018</v>
      </c>
      <c r="AT37" s="2">
        <v>2019</v>
      </c>
      <c r="AU37" s="2">
        <v>2020</v>
      </c>
      <c r="AV37" s="2"/>
      <c r="AW37" s="2"/>
      <c r="AX37" s="2"/>
      <c r="AY37" s="2"/>
    </row>
    <row r="38" spans="1:51" x14ac:dyDescent="0.2">
      <c r="A38" s="4" t="s">
        <v>9</v>
      </c>
      <c r="B38" s="2">
        <v>1975</v>
      </c>
      <c r="C38" s="2">
        <v>1976</v>
      </c>
      <c r="D38" s="2">
        <v>1977</v>
      </c>
      <c r="E38" s="2">
        <v>1978</v>
      </c>
      <c r="F38" s="2">
        <v>1979</v>
      </c>
      <c r="G38" s="2">
        <v>1980</v>
      </c>
      <c r="H38" s="2">
        <v>1981</v>
      </c>
      <c r="I38" s="2">
        <v>1982</v>
      </c>
      <c r="J38" s="2">
        <v>1983</v>
      </c>
      <c r="K38" s="2">
        <v>1984</v>
      </c>
      <c r="L38" s="2">
        <v>1985</v>
      </c>
      <c r="M38" s="2">
        <v>1986</v>
      </c>
      <c r="N38" s="2">
        <v>1987</v>
      </c>
      <c r="O38" s="2">
        <v>1988</v>
      </c>
      <c r="P38" s="2">
        <v>1989</v>
      </c>
      <c r="Q38" s="2">
        <v>1990</v>
      </c>
      <c r="R38" s="2">
        <v>1991</v>
      </c>
      <c r="S38" s="2">
        <v>1992</v>
      </c>
      <c r="T38" s="2">
        <v>1993</v>
      </c>
      <c r="U38" s="2">
        <v>1994</v>
      </c>
      <c r="V38" s="2">
        <v>1995</v>
      </c>
      <c r="W38" s="2">
        <v>1996</v>
      </c>
      <c r="X38" s="2">
        <v>1997</v>
      </c>
      <c r="Y38" s="2">
        <v>1998</v>
      </c>
      <c r="Z38" s="2">
        <v>1999</v>
      </c>
      <c r="AA38" s="2">
        <v>2000</v>
      </c>
      <c r="AB38" s="2">
        <v>2001</v>
      </c>
      <c r="AC38" s="2">
        <v>2002</v>
      </c>
      <c r="AD38" s="2">
        <v>2003</v>
      </c>
      <c r="AE38" s="2">
        <v>2004</v>
      </c>
      <c r="AF38" s="2">
        <v>2005</v>
      </c>
      <c r="AG38" s="2">
        <v>2006</v>
      </c>
      <c r="AH38" s="2">
        <v>2007</v>
      </c>
      <c r="AI38" s="2">
        <v>2008</v>
      </c>
      <c r="AJ38" s="2">
        <v>2009</v>
      </c>
      <c r="AK38" s="2">
        <v>2010</v>
      </c>
      <c r="AL38" s="2">
        <v>2011</v>
      </c>
      <c r="AM38" s="2">
        <v>2012</v>
      </c>
      <c r="AN38" s="2">
        <v>2013</v>
      </c>
      <c r="AO38" s="2">
        <v>2014</v>
      </c>
      <c r="AP38" s="2">
        <v>2015</v>
      </c>
      <c r="AQ38" s="2">
        <v>2016</v>
      </c>
      <c r="AR38" s="2">
        <v>2017</v>
      </c>
      <c r="AS38" s="2">
        <v>2018</v>
      </c>
      <c r="AT38" s="2">
        <v>2019</v>
      </c>
      <c r="AU38" s="2">
        <v>2020</v>
      </c>
      <c r="AV38" s="2"/>
      <c r="AW38" s="2"/>
      <c r="AX38" s="2"/>
      <c r="AY38" s="2"/>
    </row>
    <row r="39" spans="1:51" x14ac:dyDescent="0.2">
      <c r="A39" s="4" t="s">
        <v>11</v>
      </c>
      <c r="B39" s="2">
        <v>1979</v>
      </c>
      <c r="C39" s="2">
        <v>1980</v>
      </c>
      <c r="D39" s="2">
        <v>1981</v>
      </c>
      <c r="E39" s="2">
        <v>1982</v>
      </c>
      <c r="F39" s="2">
        <v>1983</v>
      </c>
      <c r="G39" s="2">
        <v>1984</v>
      </c>
      <c r="H39" s="2">
        <v>1985</v>
      </c>
      <c r="I39" s="2">
        <v>1986</v>
      </c>
      <c r="J39" s="2">
        <v>1987</v>
      </c>
      <c r="K39" s="2">
        <v>1988</v>
      </c>
      <c r="L39" s="2">
        <v>1989</v>
      </c>
      <c r="M39" s="2">
        <v>1990</v>
      </c>
      <c r="N39" s="2">
        <v>1991</v>
      </c>
      <c r="O39" s="2">
        <v>2000</v>
      </c>
      <c r="P39" s="2">
        <v>2001</v>
      </c>
      <c r="Q39" s="2">
        <v>2002</v>
      </c>
      <c r="R39" s="2">
        <v>2003</v>
      </c>
      <c r="S39" s="2">
        <v>2006</v>
      </c>
      <c r="T39" s="2">
        <v>2007</v>
      </c>
      <c r="U39" s="2">
        <v>2008</v>
      </c>
      <c r="V39" s="2">
        <v>2009</v>
      </c>
      <c r="W39" s="2">
        <v>2010</v>
      </c>
      <c r="X39" s="2">
        <v>2011</v>
      </c>
      <c r="Y39" s="2">
        <v>2012</v>
      </c>
      <c r="Z39" s="2">
        <v>2013</v>
      </c>
      <c r="AA39" s="2">
        <v>2014</v>
      </c>
      <c r="AB39" s="2">
        <v>2015</v>
      </c>
      <c r="AC39" s="2">
        <v>2016</v>
      </c>
      <c r="AD39" s="2">
        <v>2017</v>
      </c>
      <c r="AE39" s="2">
        <v>2018</v>
      </c>
      <c r="AF39" s="2">
        <v>2019</v>
      </c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x14ac:dyDescent="0.2">
      <c r="A40" s="4"/>
      <c r="B40" s="2" t="s">
        <v>16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x14ac:dyDescent="0.2">
      <c r="A41" s="4" t="s">
        <v>10</v>
      </c>
      <c r="B41" s="2">
        <v>1980</v>
      </c>
      <c r="C41" s="2">
        <v>1981</v>
      </c>
      <c r="D41" s="2">
        <v>1982</v>
      </c>
      <c r="E41" s="2">
        <v>1983</v>
      </c>
      <c r="F41" s="2">
        <v>1984</v>
      </c>
      <c r="G41" s="2">
        <v>1985</v>
      </c>
      <c r="H41" s="2">
        <v>1986</v>
      </c>
      <c r="I41" s="2">
        <v>1987</v>
      </c>
      <c r="J41" s="2">
        <v>1988</v>
      </c>
      <c r="K41" s="2">
        <v>1989</v>
      </c>
      <c r="L41" s="2">
        <v>1990</v>
      </c>
      <c r="M41" s="2">
        <v>1991</v>
      </c>
      <c r="N41" s="2">
        <v>1992</v>
      </c>
      <c r="O41" s="2">
        <v>1993</v>
      </c>
      <c r="P41" s="2">
        <v>1994</v>
      </c>
      <c r="Q41" s="2">
        <v>1995</v>
      </c>
      <c r="R41" s="2">
        <v>1996</v>
      </c>
      <c r="S41" s="2">
        <v>1997</v>
      </c>
      <c r="T41" s="2">
        <v>1998</v>
      </c>
      <c r="U41" s="2">
        <v>1999</v>
      </c>
      <c r="V41" s="2">
        <v>2000</v>
      </c>
      <c r="W41" s="2">
        <v>2001</v>
      </c>
      <c r="X41" s="2">
        <v>2002</v>
      </c>
      <c r="Y41" s="2">
        <v>2003</v>
      </c>
      <c r="Z41" s="2">
        <v>2004</v>
      </c>
      <c r="AA41" s="2">
        <v>2005</v>
      </c>
      <c r="AB41" s="2">
        <v>2006</v>
      </c>
      <c r="AC41" s="2">
        <v>2007</v>
      </c>
      <c r="AD41" s="2">
        <v>2008</v>
      </c>
      <c r="AE41" s="2">
        <v>2009</v>
      </c>
      <c r="AF41" s="2">
        <v>2010</v>
      </c>
      <c r="AG41" s="2">
        <v>2011</v>
      </c>
      <c r="AH41" s="2">
        <v>2012</v>
      </c>
      <c r="AI41" s="2">
        <v>2013</v>
      </c>
      <c r="AJ41" s="2">
        <v>2014</v>
      </c>
      <c r="AK41" s="2">
        <v>2015</v>
      </c>
      <c r="AL41" s="2">
        <v>2016</v>
      </c>
      <c r="AM41" s="2">
        <v>2017</v>
      </c>
      <c r="AN41" s="2">
        <v>2018</v>
      </c>
      <c r="AO41" s="2">
        <v>2019</v>
      </c>
      <c r="AP41" s="2">
        <v>2020</v>
      </c>
      <c r="AQ41" s="2"/>
      <c r="AR41" s="2"/>
      <c r="AS41" s="2"/>
      <c r="AT41" s="2"/>
      <c r="AU41" s="2"/>
      <c r="AV41" s="2"/>
      <c r="AW41" s="2"/>
      <c r="AX41" s="2"/>
      <c r="AY41" s="2"/>
    </row>
    <row r="42" spans="1:51" x14ac:dyDescent="0.2">
      <c r="A42" s="4"/>
      <c r="B42" s="2" t="s">
        <v>17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x14ac:dyDescent="0.2">
      <c r="A43" s="4" t="s">
        <v>8</v>
      </c>
      <c r="B43" s="2">
        <v>15.40229113</v>
      </c>
      <c r="C43" s="2">
        <v>15.40229113</v>
      </c>
      <c r="D43" s="2">
        <v>15.40229113</v>
      </c>
      <c r="E43" s="2">
        <v>15.40229113</v>
      </c>
      <c r="F43" s="2">
        <v>15.40229113</v>
      </c>
      <c r="G43" s="2">
        <v>15.40229113</v>
      </c>
      <c r="H43" s="2">
        <v>15.40229113</v>
      </c>
      <c r="I43" s="2">
        <v>15.40229113</v>
      </c>
      <c r="J43" s="2">
        <v>15.40229113</v>
      </c>
      <c r="K43" s="2">
        <v>15.40229113</v>
      </c>
      <c r="L43" s="2">
        <v>15.40229113</v>
      </c>
      <c r="M43" s="2">
        <v>15.40229113</v>
      </c>
      <c r="N43" s="2">
        <v>15.40229113</v>
      </c>
      <c r="O43" s="2">
        <v>15.40229113</v>
      </c>
      <c r="P43" s="2">
        <v>15.40229113</v>
      </c>
      <c r="Q43" s="2">
        <v>15.40229113</v>
      </c>
      <c r="R43" s="2">
        <v>15.40229113</v>
      </c>
      <c r="S43" s="2">
        <v>15.40229113</v>
      </c>
      <c r="T43" s="2">
        <v>15.40229113</v>
      </c>
      <c r="U43" s="2">
        <v>15.40229113</v>
      </c>
      <c r="V43" s="2">
        <v>15.40229113</v>
      </c>
      <c r="W43" s="2">
        <v>15.40229113</v>
      </c>
      <c r="X43" s="2">
        <v>15.40229113</v>
      </c>
      <c r="Y43" s="2">
        <v>15.40229113</v>
      </c>
      <c r="Z43" s="2">
        <v>15.40229113</v>
      </c>
      <c r="AA43" s="2">
        <v>15.40229113</v>
      </c>
      <c r="AB43" s="2">
        <v>15.40229113</v>
      </c>
      <c r="AC43" s="2">
        <v>15.40229113</v>
      </c>
      <c r="AD43" s="2">
        <v>15.40229113</v>
      </c>
      <c r="AE43" s="2">
        <v>15.40229113</v>
      </c>
      <c r="AF43" s="2">
        <v>15.40229113</v>
      </c>
      <c r="AG43" s="2">
        <v>15.40229113</v>
      </c>
      <c r="AH43" s="2">
        <v>15.40229113</v>
      </c>
      <c r="AI43" s="2">
        <v>15.40229113</v>
      </c>
      <c r="AJ43" s="2">
        <v>15.40229113</v>
      </c>
      <c r="AK43" s="2">
        <v>15.40229113</v>
      </c>
      <c r="AL43" s="2">
        <v>15.40229113</v>
      </c>
      <c r="AM43" s="2">
        <v>15.40229113</v>
      </c>
      <c r="AN43" s="2">
        <v>15.40229113</v>
      </c>
      <c r="AO43" s="2">
        <v>15.40229113</v>
      </c>
      <c r="AP43" s="2">
        <v>15.40229113</v>
      </c>
      <c r="AQ43" s="2">
        <v>15.40229113</v>
      </c>
      <c r="AR43" s="2">
        <v>15.40229113</v>
      </c>
      <c r="AS43" s="2">
        <v>15.40229113</v>
      </c>
      <c r="AT43" s="2">
        <v>15.40229113</v>
      </c>
      <c r="AU43" s="2">
        <v>0.15402291100000001</v>
      </c>
      <c r="AV43" s="2" t="s">
        <v>79</v>
      </c>
      <c r="AW43" s="2"/>
      <c r="AX43" s="2"/>
      <c r="AY43" s="2"/>
    </row>
    <row r="44" spans="1:51" x14ac:dyDescent="0.2">
      <c r="A44" s="4" t="s">
        <v>9</v>
      </c>
      <c r="B44" s="2">
        <v>27.110536339999999</v>
      </c>
      <c r="C44" s="2">
        <v>27.110536339999999</v>
      </c>
      <c r="D44" s="2">
        <v>27.110536339999999</v>
      </c>
      <c r="E44" s="2">
        <v>27.110536339999999</v>
      </c>
      <c r="F44" s="2">
        <v>27.110536339999999</v>
      </c>
      <c r="G44" s="2">
        <v>27.110536339999999</v>
      </c>
      <c r="H44" s="2">
        <v>27.110536339999999</v>
      </c>
      <c r="I44" s="2">
        <v>27.110536339999999</v>
      </c>
      <c r="J44" s="2">
        <v>27.110536339999999</v>
      </c>
      <c r="K44" s="2">
        <v>27.110536339999999</v>
      </c>
      <c r="L44" s="2">
        <v>27.110536339999999</v>
      </c>
      <c r="M44" s="2">
        <v>27.110536339999999</v>
      </c>
      <c r="N44" s="2">
        <v>27.110536339999999</v>
      </c>
      <c r="O44" s="2">
        <v>27.110536339999999</v>
      </c>
      <c r="P44" s="2">
        <v>27.110536339999999</v>
      </c>
      <c r="Q44" s="2">
        <v>27.110536339999999</v>
      </c>
      <c r="R44" s="2">
        <v>27.110536339999999</v>
      </c>
      <c r="S44" s="2">
        <v>27.110536339999999</v>
      </c>
      <c r="T44" s="2">
        <v>27.110536339999999</v>
      </c>
      <c r="U44" s="2">
        <v>27.110536339999999</v>
      </c>
      <c r="V44" s="2">
        <v>27.110536339999999</v>
      </c>
      <c r="W44" s="2">
        <v>27.110536339999999</v>
      </c>
      <c r="X44" s="2">
        <v>27.110536339999999</v>
      </c>
      <c r="Y44" s="2">
        <v>27.110536339999999</v>
      </c>
      <c r="Z44" s="2">
        <v>27.110536339999999</v>
      </c>
      <c r="AA44" s="2">
        <v>27.110536339999999</v>
      </c>
      <c r="AB44" s="2">
        <v>27.110536339999999</v>
      </c>
      <c r="AC44" s="2">
        <v>27.110536339999999</v>
      </c>
      <c r="AD44" s="2">
        <v>27.110536339999999</v>
      </c>
      <c r="AE44" s="2">
        <v>27.110536339999999</v>
      </c>
      <c r="AF44" s="2">
        <v>27.110536339999999</v>
      </c>
      <c r="AG44" s="2">
        <v>27.110536339999999</v>
      </c>
      <c r="AH44" s="2">
        <v>27.110536339999999</v>
      </c>
      <c r="AI44" s="2">
        <v>27.110536339999999</v>
      </c>
      <c r="AJ44" s="2">
        <v>27.110536339999999</v>
      </c>
      <c r="AK44" s="2">
        <v>27.110536339999999</v>
      </c>
      <c r="AL44" s="2">
        <v>27.110536339999999</v>
      </c>
      <c r="AM44" s="2">
        <v>27.110536339999999</v>
      </c>
      <c r="AN44" s="2">
        <v>27.110536339999999</v>
      </c>
      <c r="AO44" s="2">
        <v>27.110536339999999</v>
      </c>
      <c r="AP44" s="2">
        <v>27.110536339999999</v>
      </c>
      <c r="AQ44" s="2">
        <v>27.110536339999999</v>
      </c>
      <c r="AR44" s="2">
        <v>27.110536339999999</v>
      </c>
      <c r="AS44" s="2">
        <v>27.110536339999999</v>
      </c>
      <c r="AT44" s="2">
        <v>27.110536339999999</v>
      </c>
      <c r="AU44" s="2">
        <v>2.7110536340000002</v>
      </c>
      <c r="AV44" s="2" t="s">
        <v>18</v>
      </c>
      <c r="AW44" s="2"/>
      <c r="AX44" s="2"/>
      <c r="AY44" s="2"/>
    </row>
    <row r="45" spans="1:51" x14ac:dyDescent="0.2">
      <c r="A45" s="4" t="s">
        <v>11</v>
      </c>
      <c r="B45" s="2">
        <v>13.070817740000001</v>
      </c>
      <c r="C45" s="2">
        <v>13.070817740000001</v>
      </c>
      <c r="D45" s="2">
        <v>13.070817740000001</v>
      </c>
      <c r="E45" s="2">
        <v>13.070817740000001</v>
      </c>
      <c r="F45" s="2">
        <v>13.070817740000001</v>
      </c>
      <c r="G45" s="2">
        <v>13.070817740000001</v>
      </c>
      <c r="H45" s="2">
        <v>13.070817740000001</v>
      </c>
      <c r="I45" s="2">
        <v>13.070817740000001</v>
      </c>
      <c r="J45" s="2">
        <v>13.070817740000001</v>
      </c>
      <c r="K45" s="2">
        <v>13.070817740000001</v>
      </c>
      <c r="L45" s="2">
        <v>13.070817740000001</v>
      </c>
      <c r="M45" s="2">
        <v>13.070817740000001</v>
      </c>
      <c r="N45" s="2">
        <v>13.070817740000001</v>
      </c>
      <c r="O45" s="2">
        <v>13.070817740000001</v>
      </c>
      <c r="P45" s="2">
        <v>13.070817740000001</v>
      </c>
      <c r="Q45" s="2">
        <v>13.070817740000001</v>
      </c>
      <c r="R45" s="2">
        <v>13.070817740000001</v>
      </c>
      <c r="S45" s="2">
        <v>13.070817740000001</v>
      </c>
      <c r="T45" s="2">
        <v>13.070817740000001</v>
      </c>
      <c r="U45" s="2">
        <v>13.070817740000001</v>
      </c>
      <c r="V45" s="2">
        <v>13.070817740000001</v>
      </c>
      <c r="W45" s="2">
        <v>13.070817740000001</v>
      </c>
      <c r="X45" s="2">
        <v>13.070817740000001</v>
      </c>
      <c r="Y45" s="2">
        <v>13.070817740000001</v>
      </c>
      <c r="Z45" s="2">
        <v>13.070817740000001</v>
      </c>
      <c r="AA45" s="2">
        <v>13.070817740000001</v>
      </c>
      <c r="AB45" s="2">
        <v>13.070817740000001</v>
      </c>
      <c r="AC45" s="2">
        <v>13.070817740000001</v>
      </c>
      <c r="AD45" s="2">
        <v>13.070817740000001</v>
      </c>
      <c r="AE45" s="2">
        <v>13.070817740000001</v>
      </c>
      <c r="AF45" s="2">
        <v>13.070817740000001</v>
      </c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 t="s">
        <v>19</v>
      </c>
      <c r="AW45" s="2"/>
      <c r="AX45" s="2"/>
      <c r="AY45" s="2"/>
    </row>
    <row r="46" spans="1:51" x14ac:dyDescent="0.2">
      <c r="A46" s="4"/>
      <c r="B46" s="2" t="s">
        <v>20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 t="s">
        <v>21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x14ac:dyDescent="0.2">
      <c r="A47" s="4" t="s">
        <v>10</v>
      </c>
      <c r="B47" s="2">
        <v>30</v>
      </c>
      <c r="C47" s="2">
        <v>30</v>
      </c>
      <c r="D47" s="2">
        <v>30</v>
      </c>
      <c r="E47" s="2">
        <v>30</v>
      </c>
      <c r="F47" s="2">
        <v>30</v>
      </c>
      <c r="G47" s="2">
        <v>30</v>
      </c>
      <c r="H47" s="2">
        <v>30</v>
      </c>
      <c r="I47" s="2">
        <v>30</v>
      </c>
      <c r="J47" s="2">
        <v>30</v>
      </c>
      <c r="K47" s="2">
        <v>30</v>
      </c>
      <c r="L47" s="2">
        <v>30</v>
      </c>
      <c r="M47" s="2">
        <v>30</v>
      </c>
      <c r="N47" s="2">
        <v>30</v>
      </c>
      <c r="O47" s="2">
        <v>30</v>
      </c>
      <c r="P47" s="2">
        <v>30</v>
      </c>
      <c r="Q47" s="2">
        <v>30</v>
      </c>
      <c r="R47" s="2">
        <v>30</v>
      </c>
      <c r="S47" s="2">
        <v>30</v>
      </c>
      <c r="T47" s="2">
        <v>30</v>
      </c>
      <c r="U47" s="2">
        <v>30</v>
      </c>
      <c r="V47" s="2">
        <v>30</v>
      </c>
      <c r="W47" s="2">
        <v>30</v>
      </c>
      <c r="X47" s="2">
        <v>30</v>
      </c>
      <c r="Y47" s="2">
        <v>30</v>
      </c>
      <c r="Z47" s="2">
        <v>30</v>
      </c>
      <c r="AA47" s="2">
        <v>30</v>
      </c>
      <c r="AB47" s="2">
        <v>30</v>
      </c>
      <c r="AC47" s="2">
        <v>30</v>
      </c>
      <c r="AD47" s="2">
        <v>30</v>
      </c>
      <c r="AE47" s="2">
        <v>30</v>
      </c>
      <c r="AF47" s="2">
        <v>30</v>
      </c>
      <c r="AG47" s="2">
        <v>30</v>
      </c>
      <c r="AH47" s="2">
        <v>30</v>
      </c>
      <c r="AI47" s="2">
        <v>30</v>
      </c>
      <c r="AJ47" s="2">
        <v>30</v>
      </c>
      <c r="AK47" s="2">
        <v>30</v>
      </c>
      <c r="AL47" s="2">
        <v>30</v>
      </c>
      <c r="AM47" s="2">
        <v>30</v>
      </c>
      <c r="AN47" s="2">
        <v>30</v>
      </c>
      <c r="AO47" s="2">
        <v>30</v>
      </c>
      <c r="AP47" s="2">
        <v>30</v>
      </c>
      <c r="AQ47" s="2"/>
      <c r="AR47" s="2"/>
      <c r="AS47" s="2"/>
      <c r="AT47" s="2"/>
      <c r="AU47" s="2"/>
      <c r="AV47" s="2"/>
      <c r="AW47" s="2"/>
      <c r="AX47" s="2"/>
      <c r="AY47" s="2"/>
    </row>
    <row r="48" spans="1:51" x14ac:dyDescent="0.2">
      <c r="A48" s="4"/>
      <c r="B48" s="2" t="s">
        <v>22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x14ac:dyDescent="0.2">
      <c r="A49" s="4" t="s">
        <v>23</v>
      </c>
      <c r="B49" s="2">
        <v>0</v>
      </c>
      <c r="C49" s="2">
        <v>4073</v>
      </c>
      <c r="D49" s="2">
        <v>13776</v>
      </c>
      <c r="E49" s="2">
        <v>44143</v>
      </c>
      <c r="F49" s="2">
        <v>60659</v>
      </c>
      <c r="G49" s="2">
        <v>166146</v>
      </c>
      <c r="H49" s="2">
        <v>171002</v>
      </c>
      <c r="I49" s="2">
        <v>81053</v>
      </c>
      <c r="J49" s="2">
        <v>29641</v>
      </c>
      <c r="K49" s="2">
        <v>8253</v>
      </c>
      <c r="L49" s="2">
        <v>4552</v>
      </c>
      <c r="M49" s="2">
        <v>1070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x14ac:dyDescent="0.2">
      <c r="A50" s="4">
        <v>1976</v>
      </c>
      <c r="B50" s="2">
        <v>0</v>
      </c>
      <c r="C50" s="2">
        <v>27</v>
      </c>
      <c r="D50" s="2">
        <v>1676</v>
      </c>
      <c r="E50" s="2">
        <v>10342</v>
      </c>
      <c r="F50" s="2">
        <v>62211</v>
      </c>
      <c r="G50" s="2">
        <v>190616</v>
      </c>
      <c r="H50" s="2">
        <v>229530</v>
      </c>
      <c r="I50" s="2">
        <v>109553</v>
      </c>
      <c r="J50" s="2">
        <v>17356</v>
      </c>
      <c r="K50" s="2">
        <v>4612</v>
      </c>
      <c r="L50" s="2">
        <v>104</v>
      </c>
      <c r="M50" s="2"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x14ac:dyDescent="0.2">
      <c r="A51" s="4">
        <v>1977</v>
      </c>
      <c r="B51" s="2">
        <v>122</v>
      </c>
      <c r="C51" s="2">
        <v>12767</v>
      </c>
      <c r="D51" s="2">
        <v>20036</v>
      </c>
      <c r="E51" s="2">
        <v>48155</v>
      </c>
      <c r="F51" s="2">
        <v>149760</v>
      </c>
      <c r="G51" s="2">
        <v>239459</v>
      </c>
      <c r="H51" s="2">
        <v>184136</v>
      </c>
      <c r="I51" s="2">
        <v>68069</v>
      </c>
      <c r="J51" s="2">
        <v>10018</v>
      </c>
      <c r="K51" s="2">
        <v>155</v>
      </c>
      <c r="L51" s="2">
        <v>0</v>
      </c>
      <c r="M51" s="2"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2">
      <c r="A52" s="4">
        <v>1978</v>
      </c>
      <c r="B52" s="2">
        <v>0</v>
      </c>
      <c r="C52" s="2">
        <v>5910</v>
      </c>
      <c r="D52" s="2">
        <v>92821</v>
      </c>
      <c r="E52" s="2">
        <v>171908</v>
      </c>
      <c r="F52" s="2">
        <v>149947</v>
      </c>
      <c r="G52" s="2">
        <v>99992</v>
      </c>
      <c r="H52" s="2">
        <v>274829</v>
      </c>
      <c r="I52" s="2">
        <v>227407</v>
      </c>
      <c r="J52" s="2">
        <v>75025</v>
      </c>
      <c r="K52" s="2">
        <v>11649</v>
      </c>
      <c r="L52" s="2">
        <v>99</v>
      </c>
      <c r="M52" s="2"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r="53" spans="1:51" x14ac:dyDescent="0.2">
      <c r="A53" s="4">
        <v>1979</v>
      </c>
      <c r="B53" s="2">
        <v>0</v>
      </c>
      <c r="C53" s="2">
        <v>0</v>
      </c>
      <c r="D53" s="2">
        <v>40320</v>
      </c>
      <c r="E53" s="2">
        <v>104406</v>
      </c>
      <c r="F53" s="2">
        <v>202313</v>
      </c>
      <c r="G53" s="2">
        <v>247236</v>
      </c>
      <c r="H53" s="2">
        <v>261704</v>
      </c>
      <c r="I53" s="2">
        <v>212251</v>
      </c>
      <c r="J53" s="2">
        <v>72124</v>
      </c>
      <c r="K53" s="2">
        <v>7503</v>
      </c>
      <c r="L53" s="2">
        <v>87</v>
      </c>
      <c r="M53" s="2"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spans="1:51" x14ac:dyDescent="0.2">
      <c r="A54" s="4">
        <v>1980</v>
      </c>
      <c r="B54" s="2">
        <v>0</v>
      </c>
      <c r="C54" s="2">
        <v>5663</v>
      </c>
      <c r="D54" s="2">
        <v>19209</v>
      </c>
      <c r="E54" s="2">
        <v>39611</v>
      </c>
      <c r="F54" s="2">
        <v>120365</v>
      </c>
      <c r="G54" s="2">
        <v>158767</v>
      </c>
      <c r="H54" s="2">
        <v>188736</v>
      </c>
      <c r="I54" s="2">
        <v>133955</v>
      </c>
      <c r="J54" s="2">
        <v>25201</v>
      </c>
      <c r="K54" s="2">
        <v>792</v>
      </c>
      <c r="L54" s="2">
        <v>0</v>
      </c>
      <c r="M54" s="2"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x14ac:dyDescent="0.2">
      <c r="A55" s="4">
        <v>1981</v>
      </c>
      <c r="B55" s="2">
        <v>0</v>
      </c>
      <c r="C55" s="2">
        <v>0</v>
      </c>
      <c r="D55" s="2">
        <v>17592</v>
      </c>
      <c r="E55" s="2">
        <v>107026</v>
      </c>
      <c r="F55" s="2">
        <v>226852</v>
      </c>
      <c r="G55" s="2">
        <v>272757</v>
      </c>
      <c r="H55" s="2">
        <v>332572</v>
      </c>
      <c r="I55" s="2">
        <v>167387</v>
      </c>
      <c r="J55" s="2">
        <v>32014</v>
      </c>
      <c r="K55" s="2">
        <v>4135</v>
      </c>
      <c r="L55" s="2">
        <v>31</v>
      </c>
      <c r="M55" s="2"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</row>
    <row r="56" spans="1:51" x14ac:dyDescent="0.2">
      <c r="A56" s="4">
        <v>1982</v>
      </c>
      <c r="B56" s="2">
        <v>0</v>
      </c>
      <c r="C56" s="2">
        <v>1674</v>
      </c>
      <c r="D56" s="2">
        <v>29021</v>
      </c>
      <c r="E56" s="2">
        <v>332623</v>
      </c>
      <c r="F56" s="2">
        <v>362536</v>
      </c>
      <c r="G56" s="2">
        <v>484944</v>
      </c>
      <c r="H56" s="2">
        <v>639872</v>
      </c>
      <c r="I56" s="2">
        <v>367034</v>
      </c>
      <c r="J56" s="2">
        <v>127157</v>
      </c>
      <c r="K56" s="2">
        <v>21795</v>
      </c>
      <c r="L56" s="2">
        <v>225</v>
      </c>
      <c r="M56" s="2"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spans="1:51" x14ac:dyDescent="0.2">
      <c r="A57" s="4">
        <v>1983</v>
      </c>
      <c r="B57" s="2">
        <v>0</v>
      </c>
      <c r="C57" s="2">
        <v>102</v>
      </c>
      <c r="D57" s="2">
        <v>1966</v>
      </c>
      <c r="E57" s="2">
        <v>49812</v>
      </c>
      <c r="F57" s="2">
        <v>151839</v>
      </c>
      <c r="G57" s="2">
        <v>222327</v>
      </c>
      <c r="H57" s="2">
        <v>205704</v>
      </c>
      <c r="I57" s="2">
        <v>103468</v>
      </c>
      <c r="J57" s="2">
        <v>21178</v>
      </c>
      <c r="K57" s="2">
        <v>556</v>
      </c>
      <c r="L57" s="2">
        <v>27</v>
      </c>
      <c r="M57" s="2"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spans="1:51" x14ac:dyDescent="0.2">
      <c r="A58" s="4">
        <v>1984</v>
      </c>
      <c r="B58" s="2">
        <v>0</v>
      </c>
      <c r="C58" s="2">
        <v>4148</v>
      </c>
      <c r="D58" s="2">
        <v>232259</v>
      </c>
      <c r="E58" s="2">
        <v>599923</v>
      </c>
      <c r="F58" s="2">
        <v>284517</v>
      </c>
      <c r="G58" s="2">
        <v>284809</v>
      </c>
      <c r="H58" s="2">
        <v>377052</v>
      </c>
      <c r="I58" s="2">
        <v>318705</v>
      </c>
      <c r="J58" s="2">
        <v>67881</v>
      </c>
      <c r="K58" s="2">
        <v>4009</v>
      </c>
      <c r="L58" s="2">
        <v>0</v>
      </c>
      <c r="M58" s="2"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x14ac:dyDescent="0.2">
      <c r="A59" s="4">
        <v>1985</v>
      </c>
      <c r="B59" s="2">
        <v>0</v>
      </c>
      <c r="C59" s="2">
        <v>886</v>
      </c>
      <c r="D59" s="2">
        <v>53397</v>
      </c>
      <c r="E59" s="2">
        <v>255301</v>
      </c>
      <c r="F59" s="2">
        <v>400091</v>
      </c>
      <c r="G59" s="2">
        <v>427340</v>
      </c>
      <c r="H59" s="2">
        <v>252577</v>
      </c>
      <c r="I59" s="2">
        <v>73876</v>
      </c>
      <c r="J59" s="2">
        <v>12239</v>
      </c>
      <c r="K59" s="2">
        <v>1256</v>
      </c>
      <c r="L59" s="2">
        <v>0</v>
      </c>
      <c r="M59" s="2"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x14ac:dyDescent="0.2">
      <c r="A60" s="4">
        <v>1986</v>
      </c>
      <c r="B60" s="2">
        <v>4646</v>
      </c>
      <c r="C60" s="2">
        <v>15143</v>
      </c>
      <c r="D60" s="2">
        <v>14153</v>
      </c>
      <c r="E60" s="2">
        <v>8069</v>
      </c>
      <c r="F60" s="2">
        <v>9791</v>
      </c>
      <c r="G60" s="2">
        <v>17324</v>
      </c>
      <c r="H60" s="2">
        <v>26790</v>
      </c>
      <c r="I60" s="2">
        <v>15727</v>
      </c>
      <c r="J60" s="2">
        <v>6358</v>
      </c>
      <c r="K60" s="2">
        <v>1078</v>
      </c>
      <c r="L60" s="2">
        <v>0</v>
      </c>
      <c r="M60" s="2"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x14ac:dyDescent="0.2">
      <c r="A61" s="4">
        <v>1987</v>
      </c>
      <c r="B61" s="2">
        <v>940</v>
      </c>
      <c r="C61" s="2">
        <v>69685</v>
      </c>
      <c r="D61" s="2">
        <v>612169</v>
      </c>
      <c r="E61" s="2">
        <v>638980</v>
      </c>
      <c r="F61" s="2">
        <v>149771</v>
      </c>
      <c r="G61" s="2">
        <v>36285</v>
      </c>
      <c r="H61" s="2">
        <v>27361</v>
      </c>
      <c r="I61" s="2">
        <v>8978</v>
      </c>
      <c r="J61" s="2">
        <v>428</v>
      </c>
      <c r="K61" s="2">
        <v>431</v>
      </c>
      <c r="L61" s="2">
        <v>16</v>
      </c>
      <c r="M61" s="2"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r="62" spans="1:51" x14ac:dyDescent="0.2">
      <c r="A62" s="4">
        <v>1988</v>
      </c>
      <c r="B62" s="2">
        <v>0</v>
      </c>
      <c r="C62" s="2">
        <v>3652</v>
      </c>
      <c r="D62" s="2">
        <v>130324</v>
      </c>
      <c r="E62" s="2">
        <v>489772</v>
      </c>
      <c r="F62" s="2">
        <v>452240</v>
      </c>
      <c r="G62" s="2">
        <v>105585</v>
      </c>
      <c r="H62" s="2">
        <v>5445</v>
      </c>
      <c r="I62" s="2">
        <v>647</v>
      </c>
      <c r="J62" s="2">
        <v>14</v>
      </c>
      <c r="K62" s="2">
        <v>0</v>
      </c>
      <c r="L62" s="2">
        <v>0</v>
      </c>
      <c r="M62" s="2"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spans="1:51" x14ac:dyDescent="0.2">
      <c r="A63" s="4">
        <v>1989</v>
      </c>
      <c r="B63" s="2">
        <v>0</v>
      </c>
      <c r="C63" s="2">
        <v>7901</v>
      </c>
      <c r="D63" s="2">
        <v>4867</v>
      </c>
      <c r="E63" s="2">
        <v>43820</v>
      </c>
      <c r="F63" s="2">
        <v>326596</v>
      </c>
      <c r="G63" s="2">
        <v>271953</v>
      </c>
      <c r="H63" s="2">
        <v>55735</v>
      </c>
      <c r="I63" s="2">
        <v>9161</v>
      </c>
      <c r="J63" s="2">
        <v>2786</v>
      </c>
      <c r="K63" s="2">
        <v>295</v>
      </c>
      <c r="L63" s="2">
        <v>47</v>
      </c>
      <c r="M63" s="2"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spans="1:51" x14ac:dyDescent="0.2">
      <c r="A64" s="4">
        <v>1990</v>
      </c>
      <c r="B64" s="2">
        <v>6262</v>
      </c>
      <c r="C64" s="2">
        <v>77422</v>
      </c>
      <c r="D64" s="2">
        <v>5668</v>
      </c>
      <c r="E64" s="2">
        <v>27866</v>
      </c>
      <c r="F64" s="2">
        <v>236685</v>
      </c>
      <c r="G64" s="2">
        <v>412335</v>
      </c>
      <c r="H64" s="2">
        <v>84292</v>
      </c>
      <c r="I64" s="2">
        <v>8079</v>
      </c>
      <c r="J64" s="2">
        <v>388</v>
      </c>
      <c r="K64" s="2">
        <v>94</v>
      </c>
      <c r="L64" s="2">
        <v>3</v>
      </c>
      <c r="M64" s="2"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spans="1:51" x14ac:dyDescent="0.2">
      <c r="A65" s="4">
        <v>1991</v>
      </c>
      <c r="B65" s="2">
        <v>21</v>
      </c>
      <c r="C65" s="2">
        <v>17154</v>
      </c>
      <c r="D65" s="2">
        <v>218253</v>
      </c>
      <c r="E65" s="2">
        <v>217953</v>
      </c>
      <c r="F65" s="2">
        <v>121225</v>
      </c>
      <c r="G65" s="2">
        <v>180648</v>
      </c>
      <c r="H65" s="2">
        <v>259236</v>
      </c>
      <c r="I65" s="2">
        <v>64615</v>
      </c>
      <c r="J65" s="2">
        <v>5402</v>
      </c>
      <c r="K65" s="2">
        <v>5551</v>
      </c>
      <c r="L65" s="2">
        <v>1113</v>
      </c>
      <c r="M65" s="2">
        <v>542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spans="1:51" x14ac:dyDescent="0.2">
      <c r="A66" s="4">
        <v>1992</v>
      </c>
      <c r="B66" s="2">
        <v>1787</v>
      </c>
      <c r="C66" s="2">
        <v>30253</v>
      </c>
      <c r="D66" s="2">
        <v>252037</v>
      </c>
      <c r="E66" s="2">
        <v>142917</v>
      </c>
      <c r="F66" s="2">
        <v>268721</v>
      </c>
      <c r="G66" s="2">
        <v>274311</v>
      </c>
      <c r="H66" s="2">
        <v>149879</v>
      </c>
      <c r="I66" s="2">
        <v>60020</v>
      </c>
      <c r="J66" s="2">
        <v>8877</v>
      </c>
      <c r="K66" s="2">
        <v>790</v>
      </c>
      <c r="L66" s="2">
        <v>39</v>
      </c>
      <c r="M66" s="2"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spans="1:51" x14ac:dyDescent="0.2">
      <c r="A67" s="4">
        <v>1993</v>
      </c>
      <c r="B67" s="2">
        <v>2413</v>
      </c>
      <c r="C67" s="2">
        <v>66476</v>
      </c>
      <c r="D67" s="2">
        <v>1485903</v>
      </c>
      <c r="E67" s="2">
        <v>597010</v>
      </c>
      <c r="F67" s="2">
        <v>115335</v>
      </c>
      <c r="G67" s="2">
        <v>99352</v>
      </c>
      <c r="H67" s="2">
        <v>19235</v>
      </c>
      <c r="I67" s="2">
        <v>7088</v>
      </c>
      <c r="J67" s="2">
        <v>2161</v>
      </c>
      <c r="K67" s="2">
        <v>730</v>
      </c>
      <c r="L67" s="2">
        <v>123</v>
      </c>
      <c r="M67" s="2">
        <v>77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spans="1:51" x14ac:dyDescent="0.2">
      <c r="A68" s="4">
        <v>1994</v>
      </c>
      <c r="B68" s="2">
        <v>431</v>
      </c>
      <c r="C68" s="2">
        <v>139526</v>
      </c>
      <c r="D68" s="2">
        <v>339253</v>
      </c>
      <c r="E68" s="2">
        <v>101904</v>
      </c>
      <c r="F68" s="2">
        <v>266129</v>
      </c>
      <c r="G68" s="2">
        <v>131505</v>
      </c>
      <c r="H68" s="2">
        <v>23152</v>
      </c>
      <c r="I68" s="2">
        <v>3211</v>
      </c>
      <c r="J68" s="2">
        <v>1618</v>
      </c>
      <c r="K68" s="2">
        <v>68</v>
      </c>
      <c r="L68" s="2">
        <v>0</v>
      </c>
      <c r="M68" s="2"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spans="1:51" x14ac:dyDescent="0.2">
      <c r="A69" s="4">
        <v>1995</v>
      </c>
      <c r="B69" s="2">
        <v>2315</v>
      </c>
      <c r="C69" s="2">
        <v>170501</v>
      </c>
      <c r="D69" s="2">
        <v>345192</v>
      </c>
      <c r="E69" s="2">
        <v>296965</v>
      </c>
      <c r="F69" s="2">
        <v>146207</v>
      </c>
      <c r="G69" s="2">
        <v>84328</v>
      </c>
      <c r="H69" s="2">
        <v>17213</v>
      </c>
      <c r="I69" s="2">
        <v>801</v>
      </c>
      <c r="J69" s="2">
        <v>82</v>
      </c>
      <c r="K69" s="2">
        <v>0</v>
      </c>
      <c r="L69" s="2">
        <v>0</v>
      </c>
      <c r="M69" s="2"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spans="1:51" x14ac:dyDescent="0.2">
      <c r="A70" s="4">
        <v>1996</v>
      </c>
      <c r="B70" s="2">
        <v>131844</v>
      </c>
      <c r="C70" s="2">
        <v>269877</v>
      </c>
      <c r="D70" s="2">
        <v>533140</v>
      </c>
      <c r="E70" s="2">
        <v>572880</v>
      </c>
      <c r="F70" s="2">
        <v>155446</v>
      </c>
      <c r="G70" s="2">
        <v>30636</v>
      </c>
      <c r="H70" s="2">
        <v>7068</v>
      </c>
      <c r="I70" s="2">
        <v>63</v>
      </c>
      <c r="J70" s="2">
        <v>68</v>
      </c>
      <c r="K70" s="2">
        <v>0</v>
      </c>
      <c r="L70" s="2">
        <v>0</v>
      </c>
      <c r="M70" s="2"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spans="1:51" x14ac:dyDescent="0.2">
      <c r="A71" s="4">
        <v>1997</v>
      </c>
      <c r="B71" s="2">
        <v>191</v>
      </c>
      <c r="C71" s="2">
        <v>26244</v>
      </c>
      <c r="D71" s="2">
        <v>307207</v>
      </c>
      <c r="E71" s="2">
        <v>204870</v>
      </c>
      <c r="F71" s="2">
        <v>23575</v>
      </c>
      <c r="G71" s="2">
        <v>694</v>
      </c>
      <c r="H71" s="2">
        <v>72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spans="1:51" x14ac:dyDescent="0.2">
      <c r="A72" s="4">
        <v>1998</v>
      </c>
      <c r="B72" s="2">
        <v>0</v>
      </c>
      <c r="C72" s="2">
        <v>3406</v>
      </c>
      <c r="D72" s="2">
        <v>89297</v>
      </c>
      <c r="E72" s="2">
        <v>37875</v>
      </c>
      <c r="F72" s="2">
        <v>18933</v>
      </c>
      <c r="G72" s="2">
        <v>5847</v>
      </c>
      <c r="H72" s="2">
        <v>285</v>
      </c>
      <c r="I72" s="2">
        <v>1</v>
      </c>
      <c r="J72" s="2">
        <v>0</v>
      </c>
      <c r="K72" s="2">
        <v>0</v>
      </c>
      <c r="L72" s="2">
        <v>0</v>
      </c>
      <c r="M72" s="2"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spans="1:51" x14ac:dyDescent="0.2">
      <c r="A73" s="4">
        <v>1999</v>
      </c>
      <c r="B73" s="2">
        <v>38</v>
      </c>
      <c r="C73" s="2">
        <v>24289</v>
      </c>
      <c r="D73" s="2">
        <v>319634</v>
      </c>
      <c r="E73" s="2">
        <v>75711</v>
      </c>
      <c r="F73" s="2">
        <v>15598</v>
      </c>
      <c r="G73" s="2">
        <v>5394</v>
      </c>
      <c r="H73" s="2">
        <v>392</v>
      </c>
      <c r="I73" s="2">
        <v>7</v>
      </c>
      <c r="J73" s="2">
        <v>0</v>
      </c>
      <c r="K73" s="2">
        <v>0</v>
      </c>
      <c r="L73" s="2">
        <v>0</v>
      </c>
      <c r="M73" s="2"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spans="1:51" x14ac:dyDescent="0.2">
      <c r="A74" s="4">
        <v>2000</v>
      </c>
      <c r="B74" s="2">
        <v>57122</v>
      </c>
      <c r="C74" s="2">
        <v>235887</v>
      </c>
      <c r="D74" s="2">
        <v>136283</v>
      </c>
      <c r="E74" s="2">
        <v>236690</v>
      </c>
      <c r="F74" s="2">
        <v>110317</v>
      </c>
      <c r="G74" s="2">
        <v>15424</v>
      </c>
      <c r="H74" s="2">
        <v>39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spans="1:51" x14ac:dyDescent="0.2">
      <c r="A75" s="4">
        <v>2001</v>
      </c>
      <c r="B75" s="2">
        <v>1568</v>
      </c>
      <c r="C75" s="2">
        <v>256795</v>
      </c>
      <c r="D75" s="2">
        <v>1326138</v>
      </c>
      <c r="E75" s="2">
        <v>491732</v>
      </c>
      <c r="F75" s="2">
        <v>25070</v>
      </c>
      <c r="G75" s="2">
        <v>1848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r="76" spans="1:51" x14ac:dyDescent="0.2">
      <c r="A76" s="4">
        <v>2002</v>
      </c>
      <c r="B76" s="2">
        <v>48483</v>
      </c>
      <c r="C76" s="2">
        <v>98920</v>
      </c>
      <c r="D76" s="2">
        <v>391463</v>
      </c>
      <c r="E76" s="2">
        <v>176981</v>
      </c>
      <c r="F76" s="2">
        <v>92150</v>
      </c>
      <c r="G76" s="2">
        <v>18789</v>
      </c>
      <c r="H76" s="2">
        <v>4497</v>
      </c>
      <c r="I76" s="2">
        <v>276</v>
      </c>
      <c r="J76" s="2">
        <v>26</v>
      </c>
      <c r="K76" s="2">
        <v>0</v>
      </c>
      <c r="L76" s="2">
        <v>0</v>
      </c>
      <c r="M76" s="2"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spans="1:51" x14ac:dyDescent="0.2">
      <c r="A77" s="4">
        <v>2003</v>
      </c>
      <c r="B77" s="2">
        <v>7504</v>
      </c>
      <c r="C77" s="2">
        <v>158188</v>
      </c>
      <c r="D77" s="2">
        <v>604518</v>
      </c>
      <c r="E77" s="2">
        <v>242543</v>
      </c>
      <c r="F77" s="2">
        <v>53916</v>
      </c>
      <c r="G77" s="2">
        <v>21616</v>
      </c>
      <c r="H77" s="2">
        <v>9440</v>
      </c>
      <c r="I77" s="2">
        <v>1894</v>
      </c>
      <c r="J77" s="2">
        <v>295</v>
      </c>
      <c r="K77" s="2">
        <v>0</v>
      </c>
      <c r="L77" s="2">
        <v>0</v>
      </c>
      <c r="M77" s="2"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spans="1:51" x14ac:dyDescent="0.2">
      <c r="A78" s="4">
        <v>2004</v>
      </c>
      <c r="B78" s="2">
        <v>747</v>
      </c>
      <c r="C78" s="2">
        <v>17164</v>
      </c>
      <c r="D78" s="2">
        <v>103070</v>
      </c>
      <c r="E78" s="2">
        <v>464915</v>
      </c>
      <c r="F78" s="2">
        <v>191312</v>
      </c>
      <c r="G78" s="2">
        <v>7389</v>
      </c>
      <c r="H78" s="2">
        <v>275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spans="1:51" x14ac:dyDescent="0.2">
      <c r="A79" s="4">
        <v>2005</v>
      </c>
      <c r="B79" s="2">
        <v>43804</v>
      </c>
      <c r="C79" s="2">
        <v>324087</v>
      </c>
      <c r="D79" s="2">
        <v>476065</v>
      </c>
      <c r="E79" s="2">
        <v>193396</v>
      </c>
      <c r="F79" s="2">
        <v>151443</v>
      </c>
      <c r="G79" s="2">
        <v>43843</v>
      </c>
      <c r="H79" s="2">
        <v>5150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</row>
    <row r="80" spans="1:51" x14ac:dyDescent="0.2">
      <c r="A80" s="4">
        <v>2006</v>
      </c>
      <c r="B80" s="2">
        <v>27386</v>
      </c>
      <c r="C80" s="2">
        <v>38392</v>
      </c>
      <c r="D80" s="2">
        <v>390068</v>
      </c>
      <c r="E80" s="2">
        <v>607711</v>
      </c>
      <c r="F80" s="2">
        <v>68098</v>
      </c>
      <c r="G80" s="2">
        <v>25256</v>
      </c>
      <c r="H80" s="2">
        <v>8161</v>
      </c>
      <c r="I80" s="2">
        <v>1256</v>
      </c>
      <c r="J80" s="2">
        <v>49</v>
      </c>
      <c r="K80" s="2">
        <v>0</v>
      </c>
      <c r="L80" s="2">
        <v>0</v>
      </c>
      <c r="M80" s="2"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spans="1:51" x14ac:dyDescent="0.2">
      <c r="A81" s="4">
        <v>2007</v>
      </c>
      <c r="B81" s="2">
        <v>681</v>
      </c>
      <c r="C81" s="2">
        <v>93552</v>
      </c>
      <c r="D81" s="2">
        <v>346671</v>
      </c>
      <c r="E81" s="2">
        <v>475258</v>
      </c>
      <c r="F81" s="2">
        <v>113550</v>
      </c>
      <c r="G81" s="2">
        <v>27460</v>
      </c>
      <c r="H81" s="2">
        <v>17712</v>
      </c>
      <c r="I81" s="2">
        <v>7169</v>
      </c>
      <c r="J81" s="2">
        <v>1191</v>
      </c>
      <c r="K81" s="2">
        <v>165</v>
      </c>
      <c r="L81" s="2">
        <v>165</v>
      </c>
      <c r="M81" s="2">
        <v>66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r="82" spans="1:51" x14ac:dyDescent="0.2">
      <c r="A82" s="4">
        <v>2008</v>
      </c>
      <c r="B82" s="2">
        <v>14499</v>
      </c>
      <c r="C82" s="2">
        <v>712726</v>
      </c>
      <c r="D82" s="2">
        <v>359139</v>
      </c>
      <c r="E82" s="2">
        <v>117862</v>
      </c>
      <c r="F82" s="2">
        <v>138886</v>
      </c>
      <c r="G82" s="2">
        <v>110359</v>
      </c>
      <c r="H82" s="2">
        <v>12931</v>
      </c>
      <c r="I82" s="2">
        <v>844</v>
      </c>
      <c r="J82" s="2">
        <v>191</v>
      </c>
      <c r="K82" s="2">
        <v>41</v>
      </c>
      <c r="L82" s="2">
        <v>0</v>
      </c>
      <c r="M82" s="2"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spans="1:51" x14ac:dyDescent="0.2">
      <c r="A83" s="4">
        <v>2009</v>
      </c>
      <c r="B83" s="2">
        <v>569</v>
      </c>
      <c r="C83" s="2">
        <v>58921</v>
      </c>
      <c r="D83" s="2">
        <v>250894</v>
      </c>
      <c r="E83" s="2">
        <v>432581</v>
      </c>
      <c r="F83" s="2">
        <v>34649</v>
      </c>
      <c r="G83" s="2">
        <v>70639</v>
      </c>
      <c r="H83" s="2">
        <v>3089</v>
      </c>
      <c r="I83" s="2">
        <v>78</v>
      </c>
      <c r="J83" s="2">
        <v>0</v>
      </c>
      <c r="K83" s="2">
        <v>0</v>
      </c>
      <c r="L83" s="2">
        <v>0</v>
      </c>
      <c r="M83" s="2"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spans="1:51" x14ac:dyDescent="0.2">
      <c r="A84" s="4">
        <v>2010</v>
      </c>
      <c r="B84" s="2">
        <v>4</v>
      </c>
      <c r="C84" s="2">
        <v>524298</v>
      </c>
      <c r="D84" s="2">
        <v>57658</v>
      </c>
      <c r="E84" s="2">
        <v>360130</v>
      </c>
      <c r="F84" s="2">
        <v>140820</v>
      </c>
      <c r="G84" s="2">
        <v>36448</v>
      </c>
      <c r="H84" s="2">
        <v>9825</v>
      </c>
      <c r="I84" s="2">
        <v>1044</v>
      </c>
      <c r="J84" s="2">
        <v>506</v>
      </c>
      <c r="K84" s="2">
        <v>146</v>
      </c>
      <c r="L84" s="2">
        <v>0</v>
      </c>
      <c r="M84" s="2"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spans="1:51" x14ac:dyDescent="0.2">
      <c r="A85" s="4">
        <v>2011</v>
      </c>
      <c r="B85" s="2">
        <v>20901</v>
      </c>
      <c r="C85" s="2">
        <v>199846</v>
      </c>
      <c r="D85" s="2">
        <v>94185</v>
      </c>
      <c r="E85" s="2">
        <v>11650</v>
      </c>
      <c r="F85" s="2">
        <v>3387</v>
      </c>
      <c r="G85" s="2">
        <v>5921</v>
      </c>
      <c r="H85" s="2">
        <v>383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spans="1:51" x14ac:dyDescent="0.2">
      <c r="A86" s="4">
        <v>2012</v>
      </c>
      <c r="B86" s="2">
        <v>2080455</v>
      </c>
      <c r="C86" s="2">
        <v>6700598</v>
      </c>
      <c r="D86" s="2">
        <v>8465934</v>
      </c>
      <c r="E86" s="2">
        <v>34863481</v>
      </c>
      <c r="F86" s="2">
        <v>4648381</v>
      </c>
      <c r="G86" s="2">
        <v>106332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51" x14ac:dyDescent="0.2">
      <c r="A87" s="4">
        <v>2013</v>
      </c>
      <c r="B87" s="2">
        <v>5232401</v>
      </c>
      <c r="C87" s="2">
        <v>86320606</v>
      </c>
      <c r="D87" s="2">
        <v>33345959</v>
      </c>
      <c r="E87" s="2">
        <v>861630</v>
      </c>
      <c r="F87" s="2">
        <v>357301</v>
      </c>
      <c r="G87" s="2">
        <v>415201</v>
      </c>
      <c r="H87" s="2">
        <v>245386</v>
      </c>
      <c r="I87" s="2">
        <v>34652</v>
      </c>
      <c r="J87" s="2">
        <v>14421</v>
      </c>
      <c r="K87" s="2">
        <v>0</v>
      </c>
      <c r="L87" s="2">
        <v>0</v>
      </c>
      <c r="M87" s="2"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spans="1:51" x14ac:dyDescent="0.2">
      <c r="A88" s="4">
        <v>2014</v>
      </c>
      <c r="B88" s="2">
        <v>3621810</v>
      </c>
      <c r="C88" s="2">
        <v>55355737</v>
      </c>
      <c r="D88" s="2">
        <v>597793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spans="1:51" x14ac:dyDescent="0.2">
      <c r="A89" s="4">
        <v>2015</v>
      </c>
      <c r="B89" s="2">
        <v>0.1070686</v>
      </c>
      <c r="C89" s="2">
        <v>2.6543560000000001E-2</v>
      </c>
      <c r="D89" s="2">
        <v>0.1050483</v>
      </c>
      <c r="E89" s="2">
        <v>0.48918610000000001</v>
      </c>
      <c r="F89" s="2">
        <v>0.2000989</v>
      </c>
      <c r="G89" s="2">
        <v>5.6453400000000001E-2</v>
      </c>
      <c r="H89" s="2">
        <v>1.083955E-2</v>
      </c>
      <c r="I89" s="2">
        <v>4.7616680000000002E-3</v>
      </c>
      <c r="J89" s="2">
        <v>0</v>
      </c>
      <c r="K89" s="2">
        <v>0</v>
      </c>
      <c r="L89" s="2">
        <v>0</v>
      </c>
      <c r="M89" s="2"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spans="1:51" x14ac:dyDescent="0.2">
      <c r="A90" s="4">
        <v>2016</v>
      </c>
      <c r="B90" s="2">
        <v>0</v>
      </c>
      <c r="C90" s="2">
        <v>0</v>
      </c>
      <c r="D90" s="2">
        <v>0.11949622999999999</v>
      </c>
      <c r="E90" s="2">
        <v>0.19185400899999999</v>
      </c>
      <c r="F90" s="2">
        <v>0.12836256400000001</v>
      </c>
      <c r="G90" s="2">
        <v>0.21069754800000001</v>
      </c>
      <c r="H90" s="2">
        <v>0.15136514300000001</v>
      </c>
      <c r="I90" s="2">
        <v>8.1497640999999996E-2</v>
      </c>
      <c r="J90" s="2">
        <v>7.5119213000000004E-2</v>
      </c>
      <c r="K90" s="2">
        <v>2.6336113000000001E-2</v>
      </c>
      <c r="L90" s="2">
        <v>9.8881139999999999E-3</v>
      </c>
      <c r="M90" s="2">
        <v>5.3834249999999998E-3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spans="1:51" x14ac:dyDescent="0.2">
      <c r="A91" s="4">
        <v>2017</v>
      </c>
      <c r="B91" s="2">
        <v>281849.40210000001</v>
      </c>
      <c r="C91" s="2">
        <v>35099113.25</v>
      </c>
      <c r="D91" s="2">
        <v>29604246.739999998</v>
      </c>
      <c r="E91" s="2">
        <v>85994703.120000005</v>
      </c>
      <c r="F91" s="2">
        <v>29768537.66</v>
      </c>
      <c r="G91" s="2">
        <v>8548291.7229999993</v>
      </c>
      <c r="H91" s="2">
        <v>1249244.088</v>
      </c>
      <c r="I91" s="2">
        <v>269457.34570000001</v>
      </c>
      <c r="J91" s="2">
        <v>137070</v>
      </c>
      <c r="K91" s="2">
        <v>68535</v>
      </c>
      <c r="L91" s="2">
        <v>0</v>
      </c>
      <c r="M91" s="2"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spans="1:51" x14ac:dyDescent="0.2">
      <c r="A92" s="4">
        <v>2018</v>
      </c>
      <c r="B92" s="2">
        <v>34460803.899999999</v>
      </c>
      <c r="C92" s="2">
        <v>105594754.90000001</v>
      </c>
      <c r="D92" s="2">
        <v>283814.32949999999</v>
      </c>
      <c r="E92" s="2">
        <v>62878.780509999997</v>
      </c>
      <c r="F92" s="2">
        <v>51789.740010000001</v>
      </c>
      <c r="G92" s="2">
        <v>75156.281130000003</v>
      </c>
      <c r="H92" s="2">
        <v>31725.13639</v>
      </c>
      <c r="I92" s="2">
        <v>2316.5488420000001</v>
      </c>
      <c r="J92" s="2">
        <v>1158.2744210000001</v>
      </c>
      <c r="K92" s="2">
        <v>0</v>
      </c>
      <c r="L92" s="2">
        <v>0</v>
      </c>
      <c r="M92" s="2"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spans="1:51" x14ac:dyDescent="0.2">
      <c r="A93" s="4">
        <v>2019</v>
      </c>
      <c r="B93" s="2">
        <v>12421.02267</v>
      </c>
      <c r="C93" s="2">
        <v>2520.6487659999998</v>
      </c>
      <c r="D93" s="2">
        <v>165.1260867</v>
      </c>
      <c r="E93" s="2">
        <v>5536.08169</v>
      </c>
      <c r="F93" s="2">
        <v>1834.633178</v>
      </c>
      <c r="G93" s="2">
        <v>5947.3240759999999</v>
      </c>
      <c r="H93" s="2">
        <v>4527.6279690000001</v>
      </c>
      <c r="I93" s="2">
        <v>2293.8953240000001</v>
      </c>
      <c r="J93" s="2">
        <v>2377.1657049999999</v>
      </c>
      <c r="K93" s="2">
        <v>1436.434242</v>
      </c>
      <c r="L93" s="2">
        <v>971.00675090000004</v>
      </c>
      <c r="M93" s="2">
        <v>1735.606781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spans="1:51" x14ac:dyDescent="0.2">
      <c r="A94" s="4" t="s">
        <v>24</v>
      </c>
      <c r="B94" s="2">
        <v>0</v>
      </c>
      <c r="C94" s="2">
        <v>0</v>
      </c>
      <c r="D94" s="2">
        <v>0</v>
      </c>
      <c r="E94" s="2">
        <v>15151.34742</v>
      </c>
      <c r="F94" s="2">
        <v>11722.96322</v>
      </c>
      <c r="G94" s="2">
        <v>19870.441790000001</v>
      </c>
      <c r="H94" s="2">
        <v>33209.819499999998</v>
      </c>
      <c r="I94" s="2">
        <v>11625.6317</v>
      </c>
      <c r="J94" s="2">
        <v>3300.668999</v>
      </c>
      <c r="K94" s="2">
        <v>170.36981489999999</v>
      </c>
      <c r="L94" s="2">
        <v>0</v>
      </c>
      <c r="M94" s="2"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spans="1:51" x14ac:dyDescent="0.2">
      <c r="A95" s="4">
        <v>1976</v>
      </c>
      <c r="B95" s="2">
        <v>0</v>
      </c>
      <c r="C95" s="2">
        <v>0</v>
      </c>
      <c r="D95" s="2">
        <v>355</v>
      </c>
      <c r="E95" s="2">
        <v>633</v>
      </c>
      <c r="F95" s="2">
        <v>2259</v>
      </c>
      <c r="G95" s="2">
        <v>7108</v>
      </c>
      <c r="H95" s="2">
        <v>11305</v>
      </c>
      <c r="I95" s="2">
        <v>10032</v>
      </c>
      <c r="J95" s="2">
        <v>5551</v>
      </c>
      <c r="K95" s="2">
        <v>1867</v>
      </c>
      <c r="L95" s="2">
        <v>999</v>
      </c>
      <c r="M95" s="2">
        <v>190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spans="1:51" x14ac:dyDescent="0.2">
      <c r="A96" s="4">
        <v>1977</v>
      </c>
      <c r="B96" s="2">
        <v>0</v>
      </c>
      <c r="C96" s="2">
        <v>1272</v>
      </c>
      <c r="D96" s="2">
        <v>364</v>
      </c>
      <c r="E96" s="2">
        <v>353</v>
      </c>
      <c r="F96" s="2">
        <v>1550</v>
      </c>
      <c r="G96" s="2">
        <v>17545</v>
      </c>
      <c r="H96" s="2">
        <v>45885</v>
      </c>
      <c r="I96" s="2">
        <v>38920</v>
      </c>
      <c r="J96" s="2">
        <v>18306</v>
      </c>
      <c r="K96" s="2">
        <v>2707</v>
      </c>
      <c r="L96" s="2">
        <v>37</v>
      </c>
      <c r="M96" s="2"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spans="1:51" x14ac:dyDescent="0.2">
      <c r="A97" s="4">
        <v>1978</v>
      </c>
      <c r="B97" s="2">
        <v>1</v>
      </c>
      <c r="C97" s="2">
        <v>223</v>
      </c>
      <c r="D97" s="2">
        <v>462</v>
      </c>
      <c r="E97" s="2">
        <v>5493</v>
      </c>
      <c r="F97" s="2">
        <v>19717</v>
      </c>
      <c r="G97" s="2">
        <v>34341</v>
      </c>
      <c r="H97" s="2">
        <v>61594</v>
      </c>
      <c r="I97" s="2">
        <v>47567</v>
      </c>
      <c r="J97" s="2">
        <v>7128</v>
      </c>
      <c r="K97" s="2">
        <v>684</v>
      </c>
      <c r="L97" s="2">
        <v>70</v>
      </c>
      <c r="M97" s="2">
        <v>4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spans="1:51" x14ac:dyDescent="0.2">
      <c r="A98" s="4">
        <v>1979</v>
      </c>
      <c r="B98" s="2">
        <v>0</v>
      </c>
      <c r="C98" s="2">
        <v>595</v>
      </c>
      <c r="D98" s="2">
        <v>4226</v>
      </c>
      <c r="E98" s="2">
        <v>20574</v>
      </c>
      <c r="F98" s="2">
        <v>70250</v>
      </c>
      <c r="G98" s="2">
        <v>115605</v>
      </c>
      <c r="H98" s="2">
        <v>96857</v>
      </c>
      <c r="I98" s="2">
        <v>45404</v>
      </c>
      <c r="J98" s="2">
        <v>12171</v>
      </c>
      <c r="K98" s="2">
        <v>1330</v>
      </c>
      <c r="L98" s="2">
        <v>0</v>
      </c>
      <c r="M98" s="2"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spans="1:51" x14ac:dyDescent="0.2">
      <c r="A99" s="4">
        <v>1980</v>
      </c>
      <c r="B99" s="2">
        <v>0</v>
      </c>
      <c r="C99" s="2">
        <v>20</v>
      </c>
      <c r="D99" s="2">
        <v>13439</v>
      </c>
      <c r="E99" s="2">
        <v>147552</v>
      </c>
      <c r="F99" s="2">
        <v>206176</v>
      </c>
      <c r="G99" s="2">
        <v>210012</v>
      </c>
      <c r="H99" s="2">
        <v>208192</v>
      </c>
      <c r="I99" s="2">
        <v>180490</v>
      </c>
      <c r="J99" s="2">
        <v>120831</v>
      </c>
      <c r="K99" s="2">
        <v>48163</v>
      </c>
      <c r="L99" s="2">
        <v>4206</v>
      </c>
      <c r="M99" s="2">
        <v>904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spans="1:51" x14ac:dyDescent="0.2">
      <c r="A100" s="4">
        <v>1981</v>
      </c>
      <c r="B100" s="2">
        <v>2152</v>
      </c>
      <c r="C100" s="2">
        <v>3996</v>
      </c>
      <c r="D100" s="2">
        <v>8314</v>
      </c>
      <c r="E100" s="2">
        <v>128820</v>
      </c>
      <c r="F100" s="2">
        <v>322829</v>
      </c>
      <c r="G100" s="2">
        <v>356395</v>
      </c>
      <c r="H100" s="2">
        <v>311998</v>
      </c>
      <c r="I100" s="2">
        <v>166713</v>
      </c>
      <c r="J100" s="2">
        <v>78325</v>
      </c>
      <c r="K100" s="2">
        <v>17706</v>
      </c>
      <c r="L100" s="2">
        <v>686</v>
      </c>
      <c r="M100" s="2">
        <v>995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spans="1:51" x14ac:dyDescent="0.2">
      <c r="A101" s="4">
        <v>1982</v>
      </c>
      <c r="B101" s="2">
        <v>0</v>
      </c>
      <c r="C101" s="2">
        <v>2419</v>
      </c>
      <c r="D101" s="2">
        <v>8973</v>
      </c>
      <c r="E101" s="2">
        <v>83655</v>
      </c>
      <c r="F101" s="2">
        <v>392031</v>
      </c>
      <c r="G101" s="2">
        <v>696981</v>
      </c>
      <c r="H101" s="2">
        <v>627159</v>
      </c>
      <c r="I101" s="2">
        <v>326988</v>
      </c>
      <c r="J101" s="2">
        <v>99193</v>
      </c>
      <c r="K101" s="2">
        <v>23220</v>
      </c>
      <c r="L101" s="2">
        <v>3581</v>
      </c>
      <c r="M101" s="2">
        <v>800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spans="1:51" x14ac:dyDescent="0.2">
      <c r="A102" s="4">
        <v>1983</v>
      </c>
      <c r="B102" s="2">
        <v>1324</v>
      </c>
      <c r="C102" s="2">
        <v>4221</v>
      </c>
      <c r="D102" s="2">
        <v>8889</v>
      </c>
      <c r="E102" s="2">
        <v>118067</v>
      </c>
      <c r="F102" s="2">
        <v>618244</v>
      </c>
      <c r="G102" s="2">
        <v>826235</v>
      </c>
      <c r="H102" s="2">
        <v>877968</v>
      </c>
      <c r="I102" s="2">
        <v>626789</v>
      </c>
      <c r="J102" s="2">
        <v>224844</v>
      </c>
      <c r="K102" s="2">
        <v>57471</v>
      </c>
      <c r="L102" s="2">
        <v>10391</v>
      </c>
      <c r="M102" s="2">
        <v>13914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spans="1:51" x14ac:dyDescent="0.2">
      <c r="A103" s="4">
        <v>1984</v>
      </c>
      <c r="B103" s="2">
        <v>1624</v>
      </c>
      <c r="C103" s="2">
        <v>98937</v>
      </c>
      <c r="D103" s="2">
        <v>191076</v>
      </c>
      <c r="E103" s="2">
        <v>314984</v>
      </c>
      <c r="F103" s="2">
        <v>749070</v>
      </c>
      <c r="G103" s="2">
        <v>1084641</v>
      </c>
      <c r="H103" s="2">
        <v>1113032</v>
      </c>
      <c r="I103" s="2">
        <v>548218</v>
      </c>
      <c r="J103" s="2">
        <v>207964</v>
      </c>
      <c r="K103" s="2">
        <v>30697</v>
      </c>
      <c r="L103" s="2">
        <v>3760</v>
      </c>
      <c r="M103" s="2">
        <v>1259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spans="1:51" x14ac:dyDescent="0.2">
      <c r="A104" s="4">
        <v>1985</v>
      </c>
      <c r="B104" s="2">
        <v>98</v>
      </c>
      <c r="C104" s="2">
        <v>7977</v>
      </c>
      <c r="D104" s="2">
        <v>190091</v>
      </c>
      <c r="E104" s="2">
        <v>357918</v>
      </c>
      <c r="F104" s="2">
        <v>447250</v>
      </c>
      <c r="G104" s="2">
        <v>985396</v>
      </c>
      <c r="H104" s="2">
        <v>1175198</v>
      </c>
      <c r="I104" s="2">
        <v>851961</v>
      </c>
      <c r="J104" s="2">
        <v>292315</v>
      </c>
      <c r="K104" s="2">
        <v>38931</v>
      </c>
      <c r="L104" s="2">
        <v>7977</v>
      </c>
      <c r="M104" s="2">
        <v>394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</row>
    <row r="105" spans="1:51" x14ac:dyDescent="0.2">
      <c r="A105" s="4">
        <v>1986</v>
      </c>
      <c r="B105" s="2">
        <v>53</v>
      </c>
      <c r="C105" s="2">
        <v>889</v>
      </c>
      <c r="D105" s="2">
        <v>39763</v>
      </c>
      <c r="E105" s="2">
        <v>372792</v>
      </c>
      <c r="F105" s="2">
        <v>621888</v>
      </c>
      <c r="G105" s="2">
        <v>1131123</v>
      </c>
      <c r="H105" s="2">
        <v>1405139</v>
      </c>
      <c r="I105" s="2">
        <v>725890</v>
      </c>
      <c r="J105" s="2">
        <v>182303</v>
      </c>
      <c r="K105" s="2">
        <v>21926</v>
      </c>
      <c r="L105" s="2">
        <v>2839</v>
      </c>
      <c r="M105" s="2">
        <v>2111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spans="1:51" x14ac:dyDescent="0.2">
      <c r="A106" s="4">
        <v>1987</v>
      </c>
      <c r="B106" s="2">
        <v>7703</v>
      </c>
      <c r="C106" s="2">
        <v>32892</v>
      </c>
      <c r="D106" s="2">
        <v>50408</v>
      </c>
      <c r="E106" s="2">
        <v>254334</v>
      </c>
      <c r="F106" s="2">
        <v>720436</v>
      </c>
      <c r="G106" s="2">
        <v>1125301</v>
      </c>
      <c r="H106" s="2">
        <v>1563727</v>
      </c>
      <c r="I106" s="2">
        <v>833125</v>
      </c>
      <c r="J106" s="2">
        <v>141461</v>
      </c>
      <c r="K106" s="2">
        <v>12640</v>
      </c>
      <c r="L106" s="2">
        <v>1048</v>
      </c>
      <c r="M106" s="2">
        <v>651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spans="1:51" x14ac:dyDescent="0.2">
      <c r="A107" s="4">
        <v>1988</v>
      </c>
      <c r="B107" s="2">
        <v>8538</v>
      </c>
      <c r="C107" s="2">
        <v>240224</v>
      </c>
      <c r="D107" s="2">
        <v>509673</v>
      </c>
      <c r="E107" s="2">
        <v>459902</v>
      </c>
      <c r="F107" s="2">
        <v>311739</v>
      </c>
      <c r="G107" s="2">
        <v>907439</v>
      </c>
      <c r="H107" s="2">
        <v>1929691</v>
      </c>
      <c r="I107" s="2">
        <v>1290613</v>
      </c>
      <c r="J107" s="2">
        <v>257500</v>
      </c>
      <c r="K107" s="2">
        <v>39754</v>
      </c>
      <c r="L107" s="2">
        <v>3890</v>
      </c>
      <c r="M107" s="2">
        <v>922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spans="1:51" x14ac:dyDescent="0.2">
      <c r="A108" s="4">
        <v>1989</v>
      </c>
      <c r="B108" s="2">
        <v>442</v>
      </c>
      <c r="C108" s="2">
        <v>23756</v>
      </c>
      <c r="D108" s="2">
        <v>228313</v>
      </c>
      <c r="E108" s="2">
        <v>1415721</v>
      </c>
      <c r="F108" s="2">
        <v>1662909</v>
      </c>
      <c r="G108" s="2">
        <v>665913</v>
      </c>
      <c r="H108" s="2">
        <v>1203766</v>
      </c>
      <c r="I108" s="2">
        <v>1215469</v>
      </c>
      <c r="J108" s="2">
        <v>405628</v>
      </c>
      <c r="K108" s="2">
        <v>50539</v>
      </c>
      <c r="L108" s="2">
        <v>6623</v>
      </c>
      <c r="M108" s="2">
        <v>114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  <row r="109" spans="1:51" x14ac:dyDescent="0.2">
      <c r="A109" s="4">
        <v>1990</v>
      </c>
      <c r="B109" s="2">
        <v>0</v>
      </c>
      <c r="C109" s="2">
        <v>5570</v>
      </c>
      <c r="D109" s="2">
        <v>34610</v>
      </c>
      <c r="E109" s="2">
        <v>283575</v>
      </c>
      <c r="F109" s="2">
        <v>1634407</v>
      </c>
      <c r="G109" s="2">
        <v>2293278</v>
      </c>
      <c r="H109" s="2">
        <v>1376907</v>
      </c>
      <c r="I109" s="2">
        <v>1070507</v>
      </c>
      <c r="J109" s="2">
        <v>406813</v>
      </c>
      <c r="K109" s="2">
        <v>64106</v>
      </c>
      <c r="L109" s="2">
        <v>1490</v>
      </c>
      <c r="M109" s="2"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</row>
    <row r="110" spans="1:51" x14ac:dyDescent="0.2">
      <c r="A110" s="4">
        <v>1991</v>
      </c>
      <c r="B110" s="2">
        <v>248</v>
      </c>
      <c r="C110" s="2">
        <v>5228</v>
      </c>
      <c r="D110" s="2">
        <v>1826</v>
      </c>
      <c r="E110" s="2">
        <v>31608</v>
      </c>
      <c r="F110" s="2">
        <v>506751</v>
      </c>
      <c r="G110" s="2">
        <v>1598666</v>
      </c>
      <c r="H110" s="2">
        <v>2003162</v>
      </c>
      <c r="I110" s="2">
        <v>1148443</v>
      </c>
      <c r="J110" s="2">
        <v>668436</v>
      </c>
      <c r="K110" s="2">
        <v>128313</v>
      </c>
      <c r="L110" s="2">
        <v>8666</v>
      </c>
      <c r="M110" s="2">
        <v>130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</row>
    <row r="111" spans="1:51" x14ac:dyDescent="0.2">
      <c r="A111" s="4">
        <v>1992</v>
      </c>
      <c r="B111" s="2">
        <v>54</v>
      </c>
      <c r="C111" s="2">
        <v>30081</v>
      </c>
      <c r="D111" s="2">
        <v>134146</v>
      </c>
      <c r="E111" s="2">
        <v>122717</v>
      </c>
      <c r="F111" s="2">
        <v>56100</v>
      </c>
      <c r="G111" s="2">
        <v>419889</v>
      </c>
      <c r="H111" s="2">
        <v>1682863</v>
      </c>
      <c r="I111" s="2">
        <v>1831750</v>
      </c>
      <c r="J111" s="2">
        <v>982207</v>
      </c>
      <c r="K111" s="2">
        <v>504943</v>
      </c>
      <c r="L111" s="2">
        <v>158725</v>
      </c>
      <c r="M111" s="2">
        <v>46297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</row>
    <row r="112" spans="1:51" x14ac:dyDescent="0.2">
      <c r="A112" s="4">
        <v>1993</v>
      </c>
      <c r="B112" s="2">
        <v>0</v>
      </c>
      <c r="C112" s="2">
        <v>0</v>
      </c>
      <c r="D112" s="2">
        <v>71389</v>
      </c>
      <c r="E112" s="2">
        <v>186534</v>
      </c>
      <c r="F112" s="2">
        <v>321697</v>
      </c>
      <c r="G112" s="2">
        <v>367160</v>
      </c>
      <c r="H112" s="2">
        <v>405356</v>
      </c>
      <c r="I112" s="2">
        <v>1258212</v>
      </c>
      <c r="J112" s="2">
        <v>1072392</v>
      </c>
      <c r="K112" s="2">
        <v>952609</v>
      </c>
      <c r="L112" s="2">
        <v>406683</v>
      </c>
      <c r="M112" s="2">
        <v>151907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</row>
    <row r="113" spans="1:51" x14ac:dyDescent="0.2">
      <c r="A113" s="4">
        <v>1994</v>
      </c>
      <c r="B113" s="2">
        <v>0</v>
      </c>
      <c r="C113" s="2">
        <v>11391</v>
      </c>
      <c r="D113" s="2">
        <v>231606</v>
      </c>
      <c r="E113" s="2">
        <v>759545</v>
      </c>
      <c r="F113" s="2">
        <v>940331</v>
      </c>
      <c r="G113" s="2">
        <v>854977</v>
      </c>
      <c r="H113" s="2">
        <v>790767</v>
      </c>
      <c r="I113" s="2">
        <v>758606</v>
      </c>
      <c r="J113" s="2">
        <v>893719</v>
      </c>
      <c r="K113" s="2">
        <v>721295</v>
      </c>
      <c r="L113" s="2">
        <v>259075</v>
      </c>
      <c r="M113" s="2">
        <v>41588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</row>
    <row r="114" spans="1:51" x14ac:dyDescent="0.2">
      <c r="A114" s="4">
        <v>1995</v>
      </c>
      <c r="B114" s="2">
        <v>0</v>
      </c>
      <c r="C114" s="2">
        <v>21702</v>
      </c>
      <c r="D114" s="2">
        <v>87328</v>
      </c>
      <c r="E114" s="2">
        <v>808441</v>
      </c>
      <c r="F114" s="2">
        <v>1200387</v>
      </c>
      <c r="G114" s="2">
        <v>1266242</v>
      </c>
      <c r="H114" s="2">
        <v>802876</v>
      </c>
      <c r="I114" s="2">
        <v>692317</v>
      </c>
      <c r="J114" s="2">
        <v>1102792</v>
      </c>
      <c r="K114" s="2">
        <v>853702</v>
      </c>
      <c r="L114" s="2">
        <v>284938</v>
      </c>
      <c r="M114" s="2">
        <v>26970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</row>
    <row r="115" spans="1:51" x14ac:dyDescent="0.2">
      <c r="A115" s="4">
        <v>1996</v>
      </c>
      <c r="B115" s="2">
        <v>760</v>
      </c>
      <c r="C115" s="2">
        <v>9375</v>
      </c>
      <c r="D115" s="2">
        <v>365691</v>
      </c>
      <c r="E115" s="2">
        <v>1727987</v>
      </c>
      <c r="F115" s="2">
        <v>1350915</v>
      </c>
      <c r="G115" s="2">
        <v>2318999</v>
      </c>
      <c r="H115" s="2">
        <v>1687597</v>
      </c>
      <c r="I115" s="2">
        <v>807698</v>
      </c>
      <c r="J115" s="2">
        <v>562790</v>
      </c>
      <c r="K115" s="2">
        <v>385464</v>
      </c>
      <c r="L115" s="2">
        <v>170813</v>
      </c>
      <c r="M115" s="2">
        <v>31602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spans="1:51" x14ac:dyDescent="0.2">
      <c r="A116" s="4">
        <v>1997</v>
      </c>
      <c r="B116" s="2">
        <v>3354</v>
      </c>
      <c r="C116" s="2">
        <v>48674</v>
      </c>
      <c r="D116" s="2">
        <v>835128</v>
      </c>
      <c r="E116" s="2">
        <v>1041899</v>
      </c>
      <c r="F116" s="2">
        <v>1421658</v>
      </c>
      <c r="G116" s="2">
        <v>1327055</v>
      </c>
      <c r="H116" s="2">
        <v>1172716</v>
      </c>
      <c r="I116" s="2">
        <v>792734</v>
      </c>
      <c r="J116" s="2">
        <v>374612</v>
      </c>
      <c r="K116" s="2">
        <v>171145</v>
      </c>
      <c r="L116" s="2">
        <v>70209</v>
      </c>
      <c r="M116" s="2">
        <v>20378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spans="1:51" x14ac:dyDescent="0.2">
      <c r="A117" s="4">
        <v>1998</v>
      </c>
      <c r="B117" s="2">
        <v>7893</v>
      </c>
      <c r="C117" s="2">
        <v>191472</v>
      </c>
      <c r="D117" s="2">
        <v>1428562</v>
      </c>
      <c r="E117" s="2">
        <v>2627586</v>
      </c>
      <c r="F117" s="2">
        <v>1898630</v>
      </c>
      <c r="G117" s="2">
        <v>906334</v>
      </c>
      <c r="H117" s="2">
        <v>488229</v>
      </c>
      <c r="I117" s="2">
        <v>377039</v>
      </c>
      <c r="J117" s="2">
        <v>302621</v>
      </c>
      <c r="K117" s="2">
        <v>132121</v>
      </c>
      <c r="L117" s="2">
        <v>75881</v>
      </c>
      <c r="M117" s="2">
        <v>42083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</row>
    <row r="118" spans="1:51" x14ac:dyDescent="0.2">
      <c r="A118" s="4">
        <v>1999</v>
      </c>
      <c r="B118" s="2">
        <v>25251</v>
      </c>
      <c r="C118" s="2">
        <v>242671</v>
      </c>
      <c r="D118" s="2">
        <v>1516538</v>
      </c>
      <c r="E118" s="2">
        <v>1864189</v>
      </c>
      <c r="F118" s="2">
        <v>763106</v>
      </c>
      <c r="G118" s="2">
        <v>345371</v>
      </c>
      <c r="H118" s="2">
        <v>165969</v>
      </c>
      <c r="I118" s="2">
        <v>178113</v>
      </c>
      <c r="J118" s="2">
        <v>173183</v>
      </c>
      <c r="K118" s="2">
        <v>79161</v>
      </c>
      <c r="L118" s="2">
        <v>32019</v>
      </c>
      <c r="M118" s="2">
        <v>13170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</row>
    <row r="119" spans="1:51" x14ac:dyDescent="0.2">
      <c r="A119" s="4">
        <v>2000</v>
      </c>
      <c r="B119" s="2">
        <v>2407</v>
      </c>
      <c r="C119" s="2">
        <v>190107</v>
      </c>
      <c r="D119" s="2">
        <v>1825090</v>
      </c>
      <c r="E119" s="2">
        <v>1676166</v>
      </c>
      <c r="F119" s="2">
        <v>718361</v>
      </c>
      <c r="G119" s="2">
        <v>267024</v>
      </c>
      <c r="H119" s="2">
        <v>76733</v>
      </c>
      <c r="I119" s="2">
        <v>34947</v>
      </c>
      <c r="J119" s="2">
        <v>59069</v>
      </c>
      <c r="K119" s="2">
        <v>54516</v>
      </c>
      <c r="L119" s="2">
        <v>34827</v>
      </c>
      <c r="M119" s="2">
        <v>28903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</row>
    <row r="120" spans="1:51" x14ac:dyDescent="0.2">
      <c r="A120" s="4">
        <v>2001</v>
      </c>
      <c r="B120" s="2">
        <v>780</v>
      </c>
      <c r="C120" s="2">
        <v>46357</v>
      </c>
      <c r="D120" s="2">
        <v>597816</v>
      </c>
      <c r="E120" s="2">
        <v>1633359</v>
      </c>
      <c r="F120" s="2">
        <v>1015296</v>
      </c>
      <c r="G120" s="2">
        <v>412689</v>
      </c>
      <c r="H120" s="2">
        <v>115221</v>
      </c>
      <c r="I120" s="2">
        <v>42928</v>
      </c>
      <c r="J120" s="2">
        <v>47268</v>
      </c>
      <c r="K120" s="2">
        <v>58944</v>
      </c>
      <c r="L120" s="2">
        <v>37371</v>
      </c>
      <c r="M120" s="2">
        <v>31373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</row>
    <row r="121" spans="1:51" x14ac:dyDescent="0.2">
      <c r="A121" s="4">
        <v>2002</v>
      </c>
      <c r="B121" s="2">
        <v>3</v>
      </c>
      <c r="C121" s="2">
        <v>32966</v>
      </c>
      <c r="D121" s="2">
        <v>361663</v>
      </c>
      <c r="E121" s="2">
        <v>970229</v>
      </c>
      <c r="F121" s="2">
        <v>1270037</v>
      </c>
      <c r="G121" s="2">
        <v>594890</v>
      </c>
      <c r="H121" s="2">
        <v>184069</v>
      </c>
      <c r="I121" s="2">
        <v>82580</v>
      </c>
      <c r="J121" s="2">
        <v>61986</v>
      </c>
      <c r="K121" s="2">
        <v>57150</v>
      </c>
      <c r="L121" s="2">
        <v>47079</v>
      </c>
      <c r="M121" s="2">
        <v>76019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</row>
    <row r="122" spans="1:51" x14ac:dyDescent="0.2">
      <c r="A122" s="4">
        <v>2003</v>
      </c>
      <c r="B122" s="2">
        <v>3553</v>
      </c>
      <c r="C122" s="2">
        <v>44875</v>
      </c>
      <c r="D122" s="2">
        <v>395001</v>
      </c>
      <c r="E122" s="2">
        <v>846794</v>
      </c>
      <c r="F122" s="2">
        <v>853666</v>
      </c>
      <c r="G122" s="2">
        <v>522140</v>
      </c>
      <c r="H122" s="2">
        <v>191428</v>
      </c>
      <c r="I122" s="2">
        <v>97160</v>
      </c>
      <c r="J122" s="2">
        <v>80106</v>
      </c>
      <c r="K122" s="2">
        <v>76745</v>
      </c>
      <c r="L122" s="2">
        <v>63094</v>
      </c>
      <c r="M122" s="2">
        <v>99435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</row>
    <row r="123" spans="1:51" x14ac:dyDescent="0.2">
      <c r="A123" s="4">
        <v>2004</v>
      </c>
      <c r="B123" s="2">
        <v>5</v>
      </c>
      <c r="C123" s="2">
        <v>16651</v>
      </c>
      <c r="D123" s="2">
        <v>232038</v>
      </c>
      <c r="E123" s="2">
        <v>908724</v>
      </c>
      <c r="F123" s="2">
        <v>1101223</v>
      </c>
      <c r="G123" s="2">
        <v>740572</v>
      </c>
      <c r="H123" s="2">
        <v>303108</v>
      </c>
      <c r="I123" s="2">
        <v>100321</v>
      </c>
      <c r="J123" s="2">
        <v>77824</v>
      </c>
      <c r="K123" s="2">
        <v>61641</v>
      </c>
      <c r="L123" s="2">
        <v>37835</v>
      </c>
      <c r="M123" s="2">
        <v>38325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</row>
    <row r="124" spans="1:51" x14ac:dyDescent="0.2">
      <c r="A124" s="4">
        <v>2005</v>
      </c>
      <c r="B124" s="2">
        <v>0</v>
      </c>
      <c r="C124" s="2">
        <v>1617</v>
      </c>
      <c r="D124" s="2">
        <v>128611</v>
      </c>
      <c r="E124" s="2">
        <v>449306</v>
      </c>
      <c r="F124" s="2">
        <v>920244</v>
      </c>
      <c r="G124" s="2">
        <v>917951</v>
      </c>
      <c r="H124" s="2">
        <v>422033</v>
      </c>
      <c r="I124" s="2">
        <v>156434</v>
      </c>
      <c r="J124" s="2">
        <v>98973</v>
      </c>
      <c r="K124" s="2">
        <v>58716</v>
      </c>
      <c r="L124" s="2">
        <v>27757</v>
      </c>
      <c r="M124" s="2">
        <v>30207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</row>
    <row r="125" spans="1:51" x14ac:dyDescent="0.2">
      <c r="A125" s="4">
        <v>2006</v>
      </c>
      <c r="B125" s="2">
        <v>14398</v>
      </c>
      <c r="C125" s="2">
        <v>15576</v>
      </c>
      <c r="D125" s="2">
        <v>14953</v>
      </c>
      <c r="E125" s="2">
        <v>145195</v>
      </c>
      <c r="F125" s="2">
        <v>460828</v>
      </c>
      <c r="G125" s="2">
        <v>1047649</v>
      </c>
      <c r="H125" s="2">
        <v>518471</v>
      </c>
      <c r="I125" s="2">
        <v>208577</v>
      </c>
      <c r="J125" s="2">
        <v>141084</v>
      </c>
      <c r="K125" s="2">
        <v>66743</v>
      </c>
      <c r="L125" s="2">
        <v>28283</v>
      </c>
      <c r="M125" s="2">
        <v>32878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</row>
    <row r="126" spans="1:51" x14ac:dyDescent="0.2">
      <c r="A126" s="4">
        <v>2007</v>
      </c>
      <c r="B126" s="2">
        <v>401</v>
      </c>
      <c r="C126" s="2">
        <v>4986</v>
      </c>
      <c r="D126" s="2">
        <v>11959</v>
      </c>
      <c r="E126" s="2">
        <v>82227</v>
      </c>
      <c r="F126" s="2">
        <v>150385</v>
      </c>
      <c r="G126" s="2">
        <v>390459</v>
      </c>
      <c r="H126" s="2">
        <v>490794</v>
      </c>
      <c r="I126" s="2">
        <v>255963</v>
      </c>
      <c r="J126" s="2">
        <v>191215</v>
      </c>
      <c r="K126" s="2">
        <v>127571</v>
      </c>
      <c r="L126" s="2">
        <v>67970</v>
      </c>
      <c r="M126" s="2">
        <v>60057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</row>
    <row r="127" spans="1:51" x14ac:dyDescent="0.2">
      <c r="A127" s="4">
        <v>2008</v>
      </c>
      <c r="B127" s="2">
        <v>0</v>
      </c>
      <c r="C127" s="2">
        <v>260</v>
      </c>
      <c r="D127" s="2">
        <v>26043</v>
      </c>
      <c r="E127" s="2">
        <v>250100</v>
      </c>
      <c r="F127" s="2">
        <v>293211</v>
      </c>
      <c r="G127" s="2">
        <v>206428</v>
      </c>
      <c r="H127" s="2">
        <v>282545</v>
      </c>
      <c r="I127" s="2">
        <v>280026</v>
      </c>
      <c r="J127" s="2">
        <v>242885</v>
      </c>
      <c r="K127" s="2">
        <v>165923</v>
      </c>
      <c r="L127" s="2">
        <v>92414</v>
      </c>
      <c r="M127" s="2">
        <v>86474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</row>
    <row r="128" spans="1:51" x14ac:dyDescent="0.2">
      <c r="A128" s="4">
        <v>2009</v>
      </c>
      <c r="B128" s="2">
        <v>6542</v>
      </c>
      <c r="C128" s="2">
        <v>23768</v>
      </c>
      <c r="D128" s="2">
        <v>1806</v>
      </c>
      <c r="E128" s="2">
        <v>6768</v>
      </c>
      <c r="F128" s="2">
        <v>74663</v>
      </c>
      <c r="G128" s="2">
        <v>237017</v>
      </c>
      <c r="H128" s="2">
        <v>215953</v>
      </c>
      <c r="I128" s="2">
        <v>168781</v>
      </c>
      <c r="J128" s="2">
        <v>124776</v>
      </c>
      <c r="K128" s="2">
        <v>104046</v>
      </c>
      <c r="L128" s="2">
        <v>55045</v>
      </c>
      <c r="M128" s="2">
        <v>100625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</row>
    <row r="129" spans="1:51" x14ac:dyDescent="0.2">
      <c r="A129" s="4">
        <v>2010</v>
      </c>
      <c r="B129" s="2">
        <v>0</v>
      </c>
      <c r="C129" s="2">
        <v>1581</v>
      </c>
      <c r="D129" s="2">
        <v>43860</v>
      </c>
      <c r="E129" s="2">
        <v>108580</v>
      </c>
      <c r="F129" s="2">
        <v>22418</v>
      </c>
      <c r="G129" s="2">
        <v>222409</v>
      </c>
      <c r="H129" s="2">
        <v>250865</v>
      </c>
      <c r="I129" s="2">
        <v>193736</v>
      </c>
      <c r="J129" s="2">
        <v>120657</v>
      </c>
      <c r="K129" s="2">
        <v>77999</v>
      </c>
      <c r="L129" s="2">
        <v>55350</v>
      </c>
      <c r="M129" s="2">
        <v>47561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</row>
    <row r="130" spans="1:51" x14ac:dyDescent="0.2">
      <c r="A130" s="4">
        <v>2011</v>
      </c>
      <c r="B130" s="2">
        <v>0</v>
      </c>
      <c r="C130" s="2">
        <v>1799</v>
      </c>
      <c r="D130" s="2">
        <v>24389</v>
      </c>
      <c r="E130" s="2">
        <v>176203</v>
      </c>
      <c r="F130" s="2">
        <v>122711</v>
      </c>
      <c r="G130" s="2">
        <v>59484</v>
      </c>
      <c r="H130" s="2">
        <v>63728</v>
      </c>
      <c r="I130" s="2">
        <v>38970</v>
      </c>
      <c r="J130" s="2">
        <v>55112</v>
      </c>
      <c r="K130" s="2">
        <v>40186</v>
      </c>
      <c r="L130" s="2">
        <v>12155</v>
      </c>
      <c r="M130" s="2">
        <v>13967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</row>
    <row r="131" spans="1:51" x14ac:dyDescent="0.2">
      <c r="A131" s="4">
        <v>2012</v>
      </c>
      <c r="B131" s="2">
        <v>0</v>
      </c>
      <c r="C131" s="2">
        <v>29</v>
      </c>
      <c r="D131" s="2">
        <v>3626</v>
      </c>
      <c r="E131" s="2">
        <v>55109</v>
      </c>
      <c r="F131" s="2">
        <v>45036</v>
      </c>
      <c r="G131" s="2">
        <v>121204</v>
      </c>
      <c r="H131" s="2">
        <v>33101</v>
      </c>
      <c r="I131" s="2">
        <v>20726</v>
      </c>
      <c r="J131" s="2">
        <v>45281</v>
      </c>
      <c r="K131" s="2">
        <v>16068</v>
      </c>
      <c r="L131" s="2">
        <v>3724</v>
      </c>
      <c r="M131" s="2">
        <v>4334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</row>
    <row r="132" spans="1:51" x14ac:dyDescent="0.2">
      <c r="A132" s="4">
        <v>2013</v>
      </c>
      <c r="B132" s="2">
        <v>0</v>
      </c>
      <c r="C132" s="2">
        <v>0</v>
      </c>
      <c r="D132" s="2">
        <v>0</v>
      </c>
      <c r="E132" s="2">
        <v>33833</v>
      </c>
      <c r="F132" s="2">
        <v>151629</v>
      </c>
      <c r="G132" s="2">
        <v>151544</v>
      </c>
      <c r="H132" s="2">
        <v>85613</v>
      </c>
      <c r="I132" s="2">
        <v>34624</v>
      </c>
      <c r="J132" s="2">
        <v>20360</v>
      </c>
      <c r="K132" s="2">
        <v>3061</v>
      </c>
      <c r="L132" s="2">
        <v>842</v>
      </c>
      <c r="M132" s="2">
        <v>834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</row>
    <row r="133" spans="1:51" x14ac:dyDescent="0.2">
      <c r="A133" s="4">
        <v>2014</v>
      </c>
      <c r="B133" s="2">
        <v>2000</v>
      </c>
      <c r="C133" s="2">
        <v>40778</v>
      </c>
      <c r="D133" s="2">
        <v>12467295</v>
      </c>
      <c r="E133" s="2">
        <v>101991694</v>
      </c>
      <c r="F133" s="2">
        <v>162856221</v>
      </c>
      <c r="G133" s="2">
        <v>181274927</v>
      </c>
      <c r="H133" s="2">
        <v>78563279</v>
      </c>
      <c r="I133" s="2">
        <v>14567793</v>
      </c>
      <c r="J133" s="2">
        <v>2215252</v>
      </c>
      <c r="K133" s="2">
        <v>980360</v>
      </c>
      <c r="L133" s="2">
        <v>171018</v>
      </c>
      <c r="M133" s="2">
        <v>459068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</row>
    <row r="134" spans="1:51" x14ac:dyDescent="0.2">
      <c r="A134" s="4">
        <v>2015</v>
      </c>
      <c r="B134" s="2">
        <v>0</v>
      </c>
      <c r="C134" s="2">
        <v>0</v>
      </c>
      <c r="D134" s="2">
        <v>9531574</v>
      </c>
      <c r="E134" s="2">
        <v>40557271</v>
      </c>
      <c r="F134" s="2">
        <v>89339609</v>
      </c>
      <c r="G134" s="2">
        <v>56536654</v>
      </c>
      <c r="H134" s="2">
        <v>33595902</v>
      </c>
      <c r="I134" s="2">
        <v>5156324</v>
      </c>
      <c r="J134" s="2">
        <v>290963</v>
      </c>
      <c r="K134" s="2">
        <v>160488</v>
      </c>
      <c r="L134" s="2">
        <v>90086</v>
      </c>
      <c r="M134" s="2">
        <v>19865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</row>
    <row r="135" spans="1:51" x14ac:dyDescent="0.2">
      <c r="A135" s="4">
        <v>2016</v>
      </c>
      <c r="B135" s="2">
        <v>2.59172E-4</v>
      </c>
      <c r="C135" s="2">
        <v>2.6733019999999998E-3</v>
      </c>
      <c r="D135" s="2">
        <v>0.10956</v>
      </c>
      <c r="E135" s="2">
        <v>0.397115</v>
      </c>
      <c r="F135" s="2">
        <v>0.16743920000000001</v>
      </c>
      <c r="G135" s="2">
        <v>0.11128250000000001</v>
      </c>
      <c r="H135" s="2">
        <v>0.1042206</v>
      </c>
      <c r="I135" s="2">
        <v>6.6095180000000003E-2</v>
      </c>
      <c r="J135" s="2">
        <v>2.3103439999999999E-2</v>
      </c>
      <c r="K135" s="2">
        <v>9.5136089999999993E-3</v>
      </c>
      <c r="L135" s="2">
        <v>3.8837680000000001E-3</v>
      </c>
      <c r="M135" s="2">
        <v>4.8541840000000001E-3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</row>
    <row r="136" spans="1:51" x14ac:dyDescent="0.2">
      <c r="A136" s="4">
        <v>2017</v>
      </c>
      <c r="B136" s="2">
        <v>0</v>
      </c>
      <c r="C136" s="2">
        <v>1.19679E-4</v>
      </c>
      <c r="D136" s="2">
        <v>2.5534037999999998E-2</v>
      </c>
      <c r="E136" s="2">
        <v>0.19662996599999999</v>
      </c>
      <c r="F136" s="2">
        <v>0.25943760799999999</v>
      </c>
      <c r="G136" s="2">
        <v>0.219934184</v>
      </c>
      <c r="H136" s="2">
        <v>0.14133959900000001</v>
      </c>
      <c r="I136" s="2">
        <v>8.2113211000000005E-2</v>
      </c>
      <c r="J136" s="2">
        <v>3.8268908999999997E-2</v>
      </c>
      <c r="K136" s="2">
        <v>2.2514487E-2</v>
      </c>
      <c r="L136" s="2">
        <v>7.1435090000000001E-3</v>
      </c>
      <c r="M136" s="2">
        <v>6.9648100000000001E-3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</row>
    <row r="137" spans="1:51" x14ac:dyDescent="0.2">
      <c r="A137" s="4">
        <v>2018</v>
      </c>
      <c r="B137" s="2">
        <v>275</v>
      </c>
      <c r="C137" s="2">
        <v>1707691.1359999999</v>
      </c>
      <c r="D137" s="2">
        <v>51790535.829999998</v>
      </c>
      <c r="E137" s="2">
        <v>122476064.3</v>
      </c>
      <c r="F137" s="2">
        <v>99063835.140000001</v>
      </c>
      <c r="G137" s="2">
        <v>115545973.7</v>
      </c>
      <c r="H137" s="2">
        <v>98222117.480000004</v>
      </c>
      <c r="I137" s="2">
        <v>64284592.969999999</v>
      </c>
      <c r="J137" s="2">
        <v>34235629.380000003</v>
      </c>
      <c r="K137" s="2">
        <v>25644078.539999999</v>
      </c>
      <c r="L137" s="2">
        <v>20242167.34</v>
      </c>
      <c r="M137" s="2">
        <v>16440602.75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</row>
    <row r="138" spans="1:51" x14ac:dyDescent="0.2">
      <c r="A138" s="4">
        <v>2019</v>
      </c>
      <c r="B138" s="2">
        <v>1250886.5220000001</v>
      </c>
      <c r="C138" s="2">
        <v>8761729.0840000007</v>
      </c>
      <c r="D138" s="2">
        <v>8221931.7309999997</v>
      </c>
      <c r="E138" s="2">
        <v>151899516.90000001</v>
      </c>
      <c r="F138" s="2">
        <v>212053291.90000001</v>
      </c>
      <c r="G138" s="2">
        <v>176377638.5</v>
      </c>
      <c r="H138" s="2">
        <v>152310045.80000001</v>
      </c>
      <c r="I138" s="2">
        <v>77762219.510000005</v>
      </c>
      <c r="J138" s="2">
        <v>46534016.079999998</v>
      </c>
      <c r="K138" s="2">
        <v>24883238.809999999</v>
      </c>
      <c r="L138" s="2">
        <v>13165827.140000001</v>
      </c>
      <c r="M138" s="2">
        <v>12812629.18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</row>
    <row r="139" spans="1:51" x14ac:dyDescent="0.2">
      <c r="A139" s="4" t="s">
        <v>25</v>
      </c>
      <c r="B139" s="2">
        <v>513.30317609999997</v>
      </c>
      <c r="C139" s="2">
        <v>298.95536470000002</v>
      </c>
      <c r="D139" s="2">
        <v>2153.6023270000001</v>
      </c>
      <c r="E139" s="2">
        <v>85603.070730000007</v>
      </c>
      <c r="F139" s="2">
        <v>166103.69699999999</v>
      </c>
      <c r="G139" s="2">
        <v>204268.56709999999</v>
      </c>
      <c r="H139" s="2">
        <v>217945.7678</v>
      </c>
      <c r="I139" s="2">
        <v>129481.58500000001</v>
      </c>
      <c r="J139" s="2">
        <v>75728.283339999994</v>
      </c>
      <c r="K139" s="2">
        <v>38996.856899999999</v>
      </c>
      <c r="L139" s="2">
        <v>10571.667589999999</v>
      </c>
      <c r="M139" s="2">
        <v>2391.2043950000002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</row>
    <row r="140" spans="1:51" x14ac:dyDescent="0.2">
      <c r="A140" s="4">
        <v>1980</v>
      </c>
      <c r="B140" s="2">
        <v>0</v>
      </c>
      <c r="C140" s="2">
        <v>0</v>
      </c>
      <c r="D140" s="2">
        <v>1534.414186</v>
      </c>
      <c r="E140" s="2">
        <v>71348.67843</v>
      </c>
      <c r="F140" s="2">
        <v>82677.071150000003</v>
      </c>
      <c r="G140" s="2">
        <v>118734.9256</v>
      </c>
      <c r="H140" s="2">
        <v>164681.5564</v>
      </c>
      <c r="I140" s="2">
        <v>139805.86670000001</v>
      </c>
      <c r="J140" s="2">
        <v>103928.133</v>
      </c>
      <c r="K140" s="2">
        <v>62801.757180000001</v>
      </c>
      <c r="L140" s="2">
        <v>24205.28673</v>
      </c>
      <c r="M140" s="2">
        <v>6881.4874689999997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</row>
    <row r="141" spans="1:51" x14ac:dyDescent="0.2">
      <c r="A141" s="4">
        <v>1981</v>
      </c>
      <c r="B141" s="2">
        <v>0</v>
      </c>
      <c r="C141" s="2">
        <v>0</v>
      </c>
      <c r="D141" s="2">
        <v>49</v>
      </c>
      <c r="E141" s="2">
        <v>1905</v>
      </c>
      <c r="F141" s="2">
        <v>20679</v>
      </c>
      <c r="G141" s="2">
        <v>69124</v>
      </c>
      <c r="H141" s="2">
        <v>132249</v>
      </c>
      <c r="I141" s="2">
        <v>157481</v>
      </c>
      <c r="J141" s="2">
        <v>97437</v>
      </c>
      <c r="K141" s="2">
        <v>40291</v>
      </c>
      <c r="L141" s="2">
        <v>3780</v>
      </c>
      <c r="M141" s="2">
        <v>904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</row>
    <row r="142" spans="1:51" x14ac:dyDescent="0.2">
      <c r="A142" s="4">
        <v>1982</v>
      </c>
      <c r="B142" s="2">
        <v>0</v>
      </c>
      <c r="C142" s="2">
        <v>3842</v>
      </c>
      <c r="D142" s="2">
        <v>4615</v>
      </c>
      <c r="E142" s="2">
        <v>38803</v>
      </c>
      <c r="F142" s="2">
        <v>114107</v>
      </c>
      <c r="G142" s="2">
        <v>173964</v>
      </c>
      <c r="H142" s="2">
        <v>187248</v>
      </c>
      <c r="I142" s="2">
        <v>122439</v>
      </c>
      <c r="J142" s="2">
        <v>64819</v>
      </c>
      <c r="K142" s="2">
        <v>17129</v>
      </c>
      <c r="L142" s="2">
        <v>686</v>
      </c>
      <c r="M142" s="2">
        <v>995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</row>
    <row r="143" spans="1:51" x14ac:dyDescent="0.2">
      <c r="A143" s="4">
        <v>1983</v>
      </c>
      <c r="B143" s="2">
        <v>0</v>
      </c>
      <c r="C143" s="2">
        <v>239</v>
      </c>
      <c r="D143" s="2">
        <v>2919</v>
      </c>
      <c r="E143" s="2">
        <v>18545</v>
      </c>
      <c r="F143" s="2">
        <v>99141</v>
      </c>
      <c r="G143" s="2">
        <v>229509</v>
      </c>
      <c r="H143" s="2">
        <v>297020</v>
      </c>
      <c r="I143" s="2">
        <v>208303</v>
      </c>
      <c r="J143" s="2">
        <v>75791</v>
      </c>
      <c r="K143" s="2">
        <v>19940</v>
      </c>
      <c r="L143" s="2">
        <v>3221</v>
      </c>
      <c r="M143" s="2">
        <v>800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</row>
    <row r="144" spans="1:51" x14ac:dyDescent="0.2">
      <c r="A144" s="4">
        <v>1984</v>
      </c>
      <c r="B144" s="2">
        <v>0</v>
      </c>
      <c r="C144" s="2">
        <v>2756</v>
      </c>
      <c r="D144" s="2">
        <v>1078</v>
      </c>
      <c r="E144" s="2">
        <v>9883</v>
      </c>
      <c r="F144" s="2">
        <v>108378</v>
      </c>
      <c r="G144" s="2">
        <v>299527</v>
      </c>
      <c r="H144" s="2">
        <v>472354</v>
      </c>
      <c r="I144" s="2">
        <v>395188</v>
      </c>
      <c r="J144" s="2">
        <v>169863</v>
      </c>
      <c r="K144" s="2">
        <v>45982</v>
      </c>
      <c r="L144" s="2">
        <v>10106</v>
      </c>
      <c r="M144" s="2">
        <v>13829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</row>
    <row r="145" spans="1:51" x14ac:dyDescent="0.2">
      <c r="A145" s="4">
        <v>1985</v>
      </c>
      <c r="B145" s="2">
        <v>0</v>
      </c>
      <c r="C145" s="2">
        <v>55448</v>
      </c>
      <c r="D145" s="2">
        <v>99493</v>
      </c>
      <c r="E145" s="2">
        <v>73750</v>
      </c>
      <c r="F145" s="2">
        <v>253656</v>
      </c>
      <c r="G145" s="2">
        <v>586485</v>
      </c>
      <c r="H145" s="2">
        <v>753756</v>
      </c>
      <c r="I145" s="2">
        <v>461208</v>
      </c>
      <c r="J145" s="2">
        <v>181606</v>
      </c>
      <c r="K145" s="2">
        <v>28049</v>
      </c>
      <c r="L145" s="2">
        <v>3760</v>
      </c>
      <c r="M145" s="2">
        <v>1259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</row>
    <row r="146" spans="1:51" x14ac:dyDescent="0.2">
      <c r="A146" s="4">
        <v>1986</v>
      </c>
      <c r="B146" s="2">
        <v>0</v>
      </c>
      <c r="C146" s="2">
        <v>2428</v>
      </c>
      <c r="D146" s="2">
        <v>53471</v>
      </c>
      <c r="E146" s="2">
        <v>168678</v>
      </c>
      <c r="F146" s="2">
        <v>238212</v>
      </c>
      <c r="G146" s="2">
        <v>433429</v>
      </c>
      <c r="H146" s="2">
        <v>594472</v>
      </c>
      <c r="I146" s="2">
        <v>526601</v>
      </c>
      <c r="J146" s="2">
        <v>208110</v>
      </c>
      <c r="K146" s="2">
        <v>26780</v>
      </c>
      <c r="L146" s="2">
        <v>7176</v>
      </c>
      <c r="M146" s="2">
        <v>394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</row>
    <row r="147" spans="1:51" x14ac:dyDescent="0.2">
      <c r="A147" s="4">
        <v>1987</v>
      </c>
      <c r="B147" s="2">
        <v>0</v>
      </c>
      <c r="C147" s="2">
        <v>539</v>
      </c>
      <c r="D147" s="2">
        <v>20116</v>
      </c>
      <c r="E147" s="2">
        <v>194707</v>
      </c>
      <c r="F147" s="2">
        <v>339644</v>
      </c>
      <c r="G147" s="2">
        <v>508644</v>
      </c>
      <c r="H147" s="2">
        <v>556157</v>
      </c>
      <c r="I147" s="2">
        <v>284185</v>
      </c>
      <c r="J147" s="2">
        <v>96589</v>
      </c>
      <c r="K147" s="2">
        <v>16896</v>
      </c>
      <c r="L147" s="2">
        <v>2661</v>
      </c>
      <c r="M147" s="2">
        <v>1840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</row>
    <row r="148" spans="1:51" x14ac:dyDescent="0.2">
      <c r="A148" s="4">
        <v>1988</v>
      </c>
      <c r="B148" s="2">
        <v>0</v>
      </c>
      <c r="C148" s="2">
        <v>27483</v>
      </c>
      <c r="D148" s="2">
        <v>33424</v>
      </c>
      <c r="E148" s="2">
        <v>143556</v>
      </c>
      <c r="F148" s="2">
        <v>392093</v>
      </c>
      <c r="G148" s="2">
        <v>486785</v>
      </c>
      <c r="H148" s="2">
        <v>515762</v>
      </c>
      <c r="I148" s="2">
        <v>300147</v>
      </c>
      <c r="J148" s="2">
        <v>62152</v>
      </c>
      <c r="K148" s="2">
        <v>6636</v>
      </c>
      <c r="L148" s="2">
        <v>748</v>
      </c>
      <c r="M148" s="2">
        <v>651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</row>
    <row r="149" spans="1:51" x14ac:dyDescent="0.2">
      <c r="A149" s="4">
        <v>1989</v>
      </c>
      <c r="B149" s="2">
        <v>0</v>
      </c>
      <c r="C149" s="2">
        <v>93104</v>
      </c>
      <c r="D149" s="2">
        <v>107476</v>
      </c>
      <c r="E149" s="2">
        <v>73668</v>
      </c>
      <c r="F149" s="2">
        <v>162818</v>
      </c>
      <c r="G149" s="2">
        <v>504537</v>
      </c>
      <c r="H149" s="2">
        <v>709648</v>
      </c>
      <c r="I149" s="2">
        <v>379588</v>
      </c>
      <c r="J149" s="2">
        <v>79536</v>
      </c>
      <c r="K149" s="2">
        <v>18316</v>
      </c>
      <c r="L149" s="2">
        <v>2974</v>
      </c>
      <c r="M149" s="2">
        <v>878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</row>
    <row r="150" spans="1:51" x14ac:dyDescent="0.2">
      <c r="A150" s="4">
        <v>1990</v>
      </c>
      <c r="B150" s="2">
        <v>0</v>
      </c>
      <c r="C150" s="2">
        <v>12902</v>
      </c>
      <c r="D150" s="2">
        <v>89058</v>
      </c>
      <c r="E150" s="2">
        <v>315639</v>
      </c>
      <c r="F150" s="2">
        <v>346045</v>
      </c>
      <c r="G150" s="2">
        <v>354066</v>
      </c>
      <c r="H150" s="2">
        <v>517995</v>
      </c>
      <c r="I150" s="2">
        <v>374576</v>
      </c>
      <c r="J150" s="2">
        <v>129093</v>
      </c>
      <c r="K150" s="2">
        <v>23035</v>
      </c>
      <c r="L150" s="2">
        <v>5183</v>
      </c>
      <c r="M150" s="2">
        <v>114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</row>
    <row r="151" spans="1:51" x14ac:dyDescent="0.2">
      <c r="A151" s="4">
        <v>1991</v>
      </c>
      <c r="B151" s="2">
        <v>0</v>
      </c>
      <c r="C151" s="2">
        <v>265</v>
      </c>
      <c r="D151" s="2">
        <v>12357</v>
      </c>
      <c r="E151" s="2">
        <v>100209</v>
      </c>
      <c r="F151" s="2">
        <v>462408</v>
      </c>
      <c r="G151" s="2">
        <v>557035</v>
      </c>
      <c r="H151" s="2">
        <v>434806</v>
      </c>
      <c r="I151" s="2">
        <v>304694</v>
      </c>
      <c r="J151" s="2">
        <v>167223</v>
      </c>
      <c r="K151" s="2">
        <v>35858</v>
      </c>
      <c r="L151" s="2">
        <v>1293</v>
      </c>
      <c r="M151" s="2">
        <v>0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</row>
    <row r="152" spans="1:51" x14ac:dyDescent="0.2">
      <c r="A152" s="4">
        <v>2000</v>
      </c>
      <c r="B152" s="2">
        <v>0</v>
      </c>
      <c r="C152" s="2">
        <v>536</v>
      </c>
      <c r="D152" s="2">
        <v>316</v>
      </c>
      <c r="E152" s="2">
        <v>10917</v>
      </c>
      <c r="F152" s="2">
        <v>176551</v>
      </c>
      <c r="G152" s="2">
        <v>590038</v>
      </c>
      <c r="H152" s="2">
        <v>501485</v>
      </c>
      <c r="I152" s="2">
        <v>265987</v>
      </c>
      <c r="J152" s="2">
        <v>179336</v>
      </c>
      <c r="K152" s="2">
        <v>56477</v>
      </c>
      <c r="L152" s="2">
        <v>5452</v>
      </c>
      <c r="M152" s="2">
        <v>130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</row>
    <row r="153" spans="1:51" x14ac:dyDescent="0.2">
      <c r="A153" s="4">
        <v>2001</v>
      </c>
      <c r="B153" s="2">
        <v>0</v>
      </c>
      <c r="C153" s="2">
        <v>3175</v>
      </c>
      <c r="D153" s="2">
        <v>4982</v>
      </c>
      <c r="E153" s="2">
        <v>9073</v>
      </c>
      <c r="F153" s="2">
        <v>21237</v>
      </c>
      <c r="G153" s="2">
        <v>176787</v>
      </c>
      <c r="H153" s="2">
        <v>431464</v>
      </c>
      <c r="I153" s="2">
        <v>247646</v>
      </c>
      <c r="J153" s="2">
        <v>104900</v>
      </c>
      <c r="K153" s="2">
        <v>57856</v>
      </c>
      <c r="L153" s="2">
        <v>22617</v>
      </c>
      <c r="M153" s="2">
        <v>9811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</row>
    <row r="154" spans="1:51" x14ac:dyDescent="0.2">
      <c r="A154" s="4">
        <v>2002</v>
      </c>
      <c r="B154" s="2">
        <v>6306</v>
      </c>
      <c r="C154" s="2">
        <v>137881</v>
      </c>
      <c r="D154" s="2">
        <v>942618</v>
      </c>
      <c r="E154" s="2">
        <v>1441303</v>
      </c>
      <c r="F154" s="2">
        <v>899838</v>
      </c>
      <c r="G154" s="2">
        <v>596871</v>
      </c>
      <c r="H154" s="2">
        <v>366956</v>
      </c>
      <c r="I154" s="2">
        <v>293198</v>
      </c>
      <c r="J154" s="2">
        <v>252406</v>
      </c>
      <c r="K154" s="2">
        <v>212107</v>
      </c>
      <c r="L154" s="2">
        <v>124963</v>
      </c>
      <c r="M154" s="2">
        <v>0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</row>
    <row r="155" spans="1:51" x14ac:dyDescent="0.2">
      <c r="A155" s="4">
        <v>2003</v>
      </c>
      <c r="B155" s="2">
        <v>0</v>
      </c>
      <c r="C155" s="2">
        <v>934657</v>
      </c>
      <c r="D155" s="2">
        <v>9037192</v>
      </c>
      <c r="E155" s="2">
        <v>17997686</v>
      </c>
      <c r="F155" s="2">
        <v>17908922</v>
      </c>
      <c r="G155" s="2">
        <v>8531161</v>
      </c>
      <c r="H155" s="2">
        <v>2716624</v>
      </c>
      <c r="I155" s="2">
        <v>1449259</v>
      </c>
      <c r="J155" s="2">
        <v>1080466</v>
      </c>
      <c r="K155" s="2">
        <v>634021</v>
      </c>
      <c r="L155" s="2">
        <v>270044</v>
      </c>
      <c r="M155" s="2">
        <v>0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</row>
    <row r="156" spans="1:51" x14ac:dyDescent="0.2">
      <c r="A156" s="4">
        <v>2006</v>
      </c>
      <c r="B156" s="2">
        <v>4000081</v>
      </c>
      <c r="C156" s="2">
        <v>5531716</v>
      </c>
      <c r="D156" s="2">
        <v>67349731</v>
      </c>
      <c r="E156" s="2">
        <v>140982758</v>
      </c>
      <c r="F156" s="2">
        <v>70957813</v>
      </c>
      <c r="G156" s="2">
        <v>30605657</v>
      </c>
      <c r="H156" s="2">
        <v>9201408</v>
      </c>
      <c r="I156" s="2">
        <v>4008110</v>
      </c>
      <c r="J156" s="2">
        <v>2741518</v>
      </c>
      <c r="K156" s="2">
        <v>1270299</v>
      </c>
      <c r="L156" s="2">
        <v>355388</v>
      </c>
      <c r="M156" s="2">
        <v>0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</row>
    <row r="157" spans="1:51" x14ac:dyDescent="0.2">
      <c r="A157" s="4">
        <v>2007</v>
      </c>
      <c r="B157" s="2">
        <v>0</v>
      </c>
      <c r="C157" s="2">
        <v>6341275</v>
      </c>
      <c r="D157" s="2">
        <v>85745637</v>
      </c>
      <c r="E157" s="2">
        <v>224217697</v>
      </c>
      <c r="F157" s="2">
        <v>114492265</v>
      </c>
      <c r="G157" s="2">
        <v>31203519</v>
      </c>
      <c r="H157" s="2">
        <v>3066560</v>
      </c>
      <c r="I157" s="2">
        <v>284648</v>
      </c>
      <c r="J157" s="2">
        <v>12549</v>
      </c>
      <c r="K157" s="2">
        <v>0</v>
      </c>
      <c r="L157" s="2">
        <v>0</v>
      </c>
      <c r="M157" s="2">
        <v>0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</row>
    <row r="158" spans="1:51" x14ac:dyDescent="0.2">
      <c r="A158" s="4">
        <v>2008</v>
      </c>
      <c r="B158" s="2">
        <v>0</v>
      </c>
      <c r="C158" s="2">
        <v>0</v>
      </c>
      <c r="D158" s="2">
        <v>16612</v>
      </c>
      <c r="E158" s="2">
        <v>4415462</v>
      </c>
      <c r="F158" s="2">
        <v>52466764</v>
      </c>
      <c r="G158" s="2">
        <v>147301785</v>
      </c>
      <c r="H158" s="2">
        <v>115905775</v>
      </c>
      <c r="I158" s="2">
        <v>38040648</v>
      </c>
      <c r="J158" s="2">
        <v>20259323</v>
      </c>
      <c r="K158" s="2">
        <v>11303820</v>
      </c>
      <c r="L158" s="2">
        <v>4769559</v>
      </c>
      <c r="M158" s="2">
        <v>0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</row>
    <row r="159" spans="1:51" x14ac:dyDescent="0.2">
      <c r="A159" s="4">
        <v>2009</v>
      </c>
      <c r="B159" s="2">
        <v>0</v>
      </c>
      <c r="C159" s="2">
        <v>0</v>
      </c>
      <c r="D159" s="2">
        <v>78923</v>
      </c>
      <c r="E159" s="2">
        <v>3543660</v>
      </c>
      <c r="F159" s="2">
        <v>33450334</v>
      </c>
      <c r="G159" s="2">
        <v>108484144</v>
      </c>
      <c r="H159" s="2">
        <v>111754594</v>
      </c>
      <c r="I159" s="2">
        <v>80023232</v>
      </c>
      <c r="J159" s="2">
        <v>71533710</v>
      </c>
      <c r="K159" s="2">
        <v>47261396</v>
      </c>
      <c r="L159" s="2">
        <v>29658723</v>
      </c>
      <c r="M159" s="2">
        <v>0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</row>
    <row r="160" spans="1:51" x14ac:dyDescent="0.2">
      <c r="A160" s="4">
        <v>2010</v>
      </c>
      <c r="B160" s="2">
        <v>0</v>
      </c>
      <c r="C160" s="2">
        <v>26553</v>
      </c>
      <c r="D160" s="2">
        <v>107275</v>
      </c>
      <c r="E160" s="2">
        <v>148191</v>
      </c>
      <c r="F160" s="2">
        <v>4403828</v>
      </c>
      <c r="G160" s="2">
        <v>44644663</v>
      </c>
      <c r="H160" s="2">
        <v>117513820</v>
      </c>
      <c r="I160" s="2">
        <v>100660545</v>
      </c>
      <c r="J160" s="2">
        <v>62122541</v>
      </c>
      <c r="K160" s="2">
        <v>40957740</v>
      </c>
      <c r="L160" s="2">
        <v>22518714</v>
      </c>
      <c r="M160" s="2">
        <v>0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</row>
    <row r="161" spans="1:51" x14ac:dyDescent="0.2">
      <c r="A161" s="4">
        <v>2011</v>
      </c>
      <c r="B161" s="2">
        <v>0</v>
      </c>
      <c r="C161" s="2">
        <v>1333996</v>
      </c>
      <c r="D161" s="2">
        <v>1946600</v>
      </c>
      <c r="E161" s="2">
        <v>2280073</v>
      </c>
      <c r="F161" s="2">
        <v>746645</v>
      </c>
      <c r="G161" s="2">
        <v>6406989</v>
      </c>
      <c r="H161" s="2">
        <v>52406193</v>
      </c>
      <c r="I161" s="2">
        <v>124204486</v>
      </c>
      <c r="J161" s="2">
        <v>89674456</v>
      </c>
      <c r="K161" s="2">
        <v>48539818</v>
      </c>
      <c r="L161" s="2">
        <v>31530284</v>
      </c>
      <c r="M161" s="2">
        <v>0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</row>
    <row r="162" spans="1:51" x14ac:dyDescent="0.2">
      <c r="A162" s="4">
        <v>2012</v>
      </c>
      <c r="B162" s="2">
        <v>0</v>
      </c>
      <c r="C162" s="2">
        <v>3782200</v>
      </c>
      <c r="D162" s="2">
        <v>76966142</v>
      </c>
      <c r="E162" s="2">
        <v>37427807</v>
      </c>
      <c r="F162" s="2">
        <v>1275573</v>
      </c>
      <c r="G162" s="2">
        <v>1121486</v>
      </c>
      <c r="H162" s="2">
        <v>12670939</v>
      </c>
      <c r="I162" s="2">
        <v>26986174</v>
      </c>
      <c r="J162" s="2">
        <v>49866868</v>
      </c>
      <c r="K162" s="2">
        <v>39441453</v>
      </c>
      <c r="L162" s="2">
        <v>13471705</v>
      </c>
      <c r="M162" s="2">
        <v>0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spans="1:51" x14ac:dyDescent="0.2">
      <c r="A163" s="4">
        <v>2013</v>
      </c>
      <c r="B163" s="2">
        <v>0</v>
      </c>
      <c r="C163" s="2">
        <v>858</v>
      </c>
      <c r="D163" s="2">
        <v>196980</v>
      </c>
      <c r="E163" s="2">
        <v>1526682</v>
      </c>
      <c r="F163" s="2">
        <v>1355508</v>
      </c>
      <c r="G163" s="2">
        <v>2714187</v>
      </c>
      <c r="H163" s="2">
        <v>1758017</v>
      </c>
      <c r="I163" s="2">
        <v>1648247</v>
      </c>
      <c r="J163" s="2">
        <v>3940873</v>
      </c>
      <c r="K163" s="2">
        <v>2319730</v>
      </c>
      <c r="L163" s="2">
        <v>903688</v>
      </c>
      <c r="M163" s="2">
        <v>0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</row>
    <row r="164" spans="1:51" x14ac:dyDescent="0.2">
      <c r="A164" s="4">
        <v>2014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40</v>
      </c>
      <c r="H164" s="2">
        <v>598</v>
      </c>
      <c r="I164" s="2">
        <v>1601</v>
      </c>
      <c r="J164" s="2">
        <v>18477</v>
      </c>
      <c r="K164" s="2">
        <v>10000</v>
      </c>
      <c r="L164" s="2">
        <v>3052</v>
      </c>
      <c r="M164" s="2">
        <v>2932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</row>
    <row r="165" spans="1:51" x14ac:dyDescent="0.2">
      <c r="A165" s="4">
        <v>2015</v>
      </c>
      <c r="B165" s="5">
        <v>0</v>
      </c>
      <c r="C165" s="2">
        <v>1</v>
      </c>
      <c r="D165" s="2">
        <v>1044</v>
      </c>
      <c r="E165" s="2">
        <v>18799</v>
      </c>
      <c r="F165" s="2">
        <v>21113</v>
      </c>
      <c r="G165" s="2">
        <v>25626</v>
      </c>
      <c r="H165" s="2">
        <v>16848</v>
      </c>
      <c r="I165" s="2">
        <v>8282</v>
      </c>
      <c r="J165" s="2">
        <v>3278</v>
      </c>
      <c r="K165" s="2">
        <v>4366</v>
      </c>
      <c r="L165" s="2">
        <v>1374</v>
      </c>
      <c r="M165" s="2">
        <v>1040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</row>
    <row r="166" spans="1:51" x14ac:dyDescent="0.2">
      <c r="A166" s="4">
        <v>2016</v>
      </c>
      <c r="B166" s="5">
        <v>0</v>
      </c>
      <c r="C166" s="2">
        <v>797</v>
      </c>
      <c r="D166" s="2">
        <v>14195</v>
      </c>
      <c r="E166" s="2">
        <v>10921</v>
      </c>
      <c r="F166" s="2">
        <v>6912</v>
      </c>
      <c r="G166" s="2">
        <v>7281</v>
      </c>
      <c r="H166" s="2">
        <v>5920</v>
      </c>
      <c r="I166" s="2">
        <v>2354</v>
      </c>
      <c r="J166" s="2">
        <v>1088</v>
      </c>
      <c r="K166" s="2">
        <v>526</v>
      </c>
      <c r="L166" s="2">
        <v>337</v>
      </c>
      <c r="M166" s="2">
        <v>676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</row>
    <row r="167" spans="1:51" x14ac:dyDescent="0.2">
      <c r="A167" s="4">
        <v>2017</v>
      </c>
      <c r="B167" s="5">
        <v>1.17E-5</v>
      </c>
      <c r="C167" s="2">
        <v>3.9886920000000003E-3</v>
      </c>
      <c r="D167" s="2">
        <v>9.5879989999999998E-2</v>
      </c>
      <c r="E167" s="2">
        <v>0.18613499999999999</v>
      </c>
      <c r="F167" s="2">
        <v>0.13965079999999999</v>
      </c>
      <c r="G167" s="2">
        <v>0.15134600000000001</v>
      </c>
      <c r="H167" s="2">
        <v>0.16049289999999999</v>
      </c>
      <c r="I167" s="2">
        <v>0.14145089999999999</v>
      </c>
      <c r="J167" s="2">
        <v>4.8689290000000003E-2</v>
      </c>
      <c r="K167" s="2">
        <v>2.9899479999999999E-2</v>
      </c>
      <c r="L167" s="2">
        <v>1.756023E-2</v>
      </c>
      <c r="M167" s="2">
        <v>2.4894920000000001E-2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</row>
    <row r="168" spans="1:51" x14ac:dyDescent="0.2">
      <c r="A168" s="4">
        <v>2018</v>
      </c>
      <c r="B168" s="7">
        <v>0</v>
      </c>
      <c r="C168" s="6">
        <v>1.7012138999999999E-2</v>
      </c>
      <c r="D168" s="6">
        <v>0.13048412200000001</v>
      </c>
      <c r="E168" s="6">
        <v>0.20502441699999999</v>
      </c>
      <c r="F168" s="6">
        <v>0.23870456900000001</v>
      </c>
      <c r="G168" s="6">
        <v>0.17149798799999999</v>
      </c>
      <c r="H168" s="6">
        <v>0.11394699599999999</v>
      </c>
      <c r="I168" s="6">
        <v>5.8575553000000002E-2</v>
      </c>
      <c r="J168" s="6">
        <v>3.3933892E-2</v>
      </c>
      <c r="K168" s="6">
        <v>2.1002765E-2</v>
      </c>
      <c r="L168" s="6">
        <v>2.9220930000000002E-3</v>
      </c>
      <c r="M168" s="6">
        <v>6.8954660000000003E-3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</row>
    <row r="169" spans="1:51" x14ac:dyDescent="0.2">
      <c r="A169" s="4"/>
      <c r="B169" s="2">
        <v>63499.17856</v>
      </c>
      <c r="C169" s="2">
        <v>64286.407370000001</v>
      </c>
      <c r="D169" s="2">
        <v>30671.980500000001</v>
      </c>
      <c r="E169" s="2">
        <v>22142.807229999999</v>
      </c>
      <c r="F169" s="2">
        <v>9864.7552919999998</v>
      </c>
      <c r="G169" s="2">
        <v>5475.1288990000003</v>
      </c>
      <c r="H169" s="2">
        <v>5909.5348329999997</v>
      </c>
      <c r="I169" s="2">
        <v>4230.6655289999999</v>
      </c>
      <c r="J169" s="2">
        <v>2314.0675000000001</v>
      </c>
      <c r="K169" s="2">
        <v>938.1815828</v>
      </c>
      <c r="L169" s="2">
        <v>79.729958069999995</v>
      </c>
      <c r="M169" s="2">
        <v>1.1793833229999999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</row>
    <row r="170" spans="1:51" x14ac:dyDescent="0.2">
      <c r="A170" s="4" t="s">
        <v>27</v>
      </c>
      <c r="B170" s="2">
        <v>0</v>
      </c>
      <c r="C170" s="2">
        <v>6606071.0360000003</v>
      </c>
      <c r="D170" s="2">
        <v>66987907.920000002</v>
      </c>
      <c r="E170" s="2">
        <v>70476929.859999999</v>
      </c>
      <c r="F170" s="2">
        <v>43639045.270000003</v>
      </c>
      <c r="G170" s="2">
        <v>14990832.59</v>
      </c>
      <c r="H170" s="2">
        <v>8159109.4890000001</v>
      </c>
      <c r="I170" s="2">
        <v>3738142.676</v>
      </c>
      <c r="J170" s="2">
        <v>1783142.287</v>
      </c>
      <c r="K170" s="2">
        <v>992511.33990000002</v>
      </c>
      <c r="L170" s="2">
        <v>55865.13278</v>
      </c>
      <c r="M170" s="2">
        <v>50345.342490000003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</row>
    <row r="171" spans="1:51" x14ac:dyDescent="0.2">
      <c r="A171" s="4">
        <v>1981</v>
      </c>
      <c r="B171" s="2">
        <v>9861.0502120000001</v>
      </c>
      <c r="C171" s="2">
        <v>31045.071800000002</v>
      </c>
      <c r="D171" s="2">
        <v>11047.258669999999</v>
      </c>
      <c r="E171" s="2">
        <v>9989.5036600000003</v>
      </c>
      <c r="F171" s="2">
        <v>13530.24343</v>
      </c>
      <c r="G171" s="2">
        <v>8567.6722210000007</v>
      </c>
      <c r="H171" s="2">
        <v>6850.3930609999998</v>
      </c>
      <c r="I171" s="2">
        <v>6234.2873920000002</v>
      </c>
      <c r="J171" s="2">
        <v>8520.3885320000009</v>
      </c>
      <c r="K171" s="2">
        <v>6625.9814509999997</v>
      </c>
      <c r="L171" s="2">
        <v>2466.666056</v>
      </c>
      <c r="M171" s="2">
        <v>332.73996670000002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</row>
    <row r="172" spans="1:51" x14ac:dyDescent="0.2">
      <c r="A172" s="4">
        <v>1982</v>
      </c>
      <c r="B172" s="2" t="s">
        <v>26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</row>
    <row r="173" spans="1:51" x14ac:dyDescent="0.2">
      <c r="A173" s="4">
        <v>1983</v>
      </c>
      <c r="B173" s="2">
        <v>44</v>
      </c>
      <c r="C173" s="2">
        <v>59</v>
      </c>
      <c r="D173" s="2">
        <v>71</v>
      </c>
      <c r="E173" s="2">
        <v>59</v>
      </c>
      <c r="F173" s="2">
        <v>126</v>
      </c>
      <c r="G173" s="2">
        <v>67</v>
      </c>
      <c r="H173" s="2">
        <v>184</v>
      </c>
      <c r="I173" s="2">
        <v>105</v>
      </c>
      <c r="J173" s="2">
        <v>67</v>
      </c>
      <c r="K173" s="2">
        <v>50</v>
      </c>
      <c r="L173" s="2">
        <v>0</v>
      </c>
      <c r="M173" s="2">
        <v>0</v>
      </c>
      <c r="N173" s="2">
        <v>0</v>
      </c>
      <c r="O173" s="2">
        <v>33</v>
      </c>
      <c r="P173" s="2">
        <v>46</v>
      </c>
      <c r="Q173" s="2">
        <v>25</v>
      </c>
      <c r="R173" s="2">
        <v>9</v>
      </c>
      <c r="S173" s="2">
        <v>9</v>
      </c>
      <c r="T173" s="2">
        <v>50</v>
      </c>
      <c r="U173" s="2">
        <v>101</v>
      </c>
      <c r="V173" s="2">
        <v>134</v>
      </c>
      <c r="W173" s="2">
        <v>209</v>
      </c>
      <c r="X173" s="2">
        <v>318</v>
      </c>
      <c r="Y173" s="2">
        <v>471</v>
      </c>
      <c r="Z173" s="2">
        <v>419</v>
      </c>
      <c r="AA173" s="2">
        <v>343</v>
      </c>
      <c r="AB173" s="2">
        <v>251</v>
      </c>
      <c r="AC173" s="2">
        <v>184</v>
      </c>
      <c r="AD173" s="2">
        <v>134</v>
      </c>
      <c r="AE173" s="2">
        <v>84</v>
      </c>
      <c r="AF173" s="2">
        <v>50</v>
      </c>
      <c r="AG173" s="2">
        <v>33</v>
      </c>
      <c r="AH173" s="2">
        <v>33</v>
      </c>
      <c r="AI173" s="2">
        <v>29</v>
      </c>
      <c r="AJ173" s="2">
        <v>17</v>
      </c>
      <c r="AK173" s="2">
        <v>9</v>
      </c>
      <c r="AL173" s="2">
        <v>9</v>
      </c>
      <c r="AM173" s="2">
        <v>0</v>
      </c>
      <c r="AN173" s="2">
        <v>0</v>
      </c>
      <c r="AO173" s="2">
        <v>0</v>
      </c>
      <c r="AP173" s="2">
        <v>0</v>
      </c>
      <c r="AQ173" s="2"/>
      <c r="AR173" s="2"/>
      <c r="AS173" s="2"/>
      <c r="AT173" s="2"/>
      <c r="AU173" s="2"/>
      <c r="AV173" s="2"/>
      <c r="AW173" s="2"/>
      <c r="AX173" s="2"/>
      <c r="AY173" s="2"/>
    </row>
    <row r="174" spans="1:51" x14ac:dyDescent="0.2">
      <c r="A174" s="4">
        <v>1984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6</v>
      </c>
      <c r="S174" s="2">
        <v>14</v>
      </c>
      <c r="T174" s="2">
        <v>28</v>
      </c>
      <c r="U174" s="2">
        <v>101</v>
      </c>
      <c r="V174" s="2">
        <v>129</v>
      </c>
      <c r="W174" s="2">
        <v>105</v>
      </c>
      <c r="X174" s="2">
        <v>109</v>
      </c>
      <c r="Y174" s="2">
        <v>112</v>
      </c>
      <c r="Z174" s="2">
        <v>105</v>
      </c>
      <c r="AA174" s="2">
        <v>87</v>
      </c>
      <c r="AB174" s="2">
        <v>78</v>
      </c>
      <c r="AC174" s="2">
        <v>62</v>
      </c>
      <c r="AD174" s="2">
        <v>50</v>
      </c>
      <c r="AE174" s="2">
        <v>36</v>
      </c>
      <c r="AF174" s="2">
        <v>34</v>
      </c>
      <c r="AG174" s="2">
        <v>22</v>
      </c>
      <c r="AH174" s="2">
        <v>20</v>
      </c>
      <c r="AI174" s="2">
        <v>17</v>
      </c>
      <c r="AJ174" s="2">
        <v>8</v>
      </c>
      <c r="AK174" s="2">
        <v>3</v>
      </c>
      <c r="AL174" s="2">
        <v>1</v>
      </c>
      <c r="AM174" s="2">
        <v>0</v>
      </c>
      <c r="AN174" s="2">
        <v>0</v>
      </c>
      <c r="AO174" s="2">
        <v>0</v>
      </c>
      <c r="AP174" s="2">
        <v>0</v>
      </c>
      <c r="AQ174" s="2"/>
      <c r="AR174" s="2"/>
      <c r="AS174" s="2"/>
      <c r="AT174" s="2"/>
      <c r="AU174" s="2"/>
      <c r="AV174" s="2"/>
      <c r="AW174" s="2"/>
      <c r="AX174" s="2"/>
      <c r="AY174" s="2"/>
    </row>
    <row r="175" spans="1:51" x14ac:dyDescent="0.2">
      <c r="A175" s="4">
        <v>1985</v>
      </c>
      <c r="B175" s="2">
        <v>0</v>
      </c>
      <c r="C175" s="2">
        <v>23</v>
      </c>
      <c r="D175" s="2">
        <v>91</v>
      </c>
      <c r="E175" s="2">
        <v>272</v>
      </c>
      <c r="F175" s="2">
        <v>545</v>
      </c>
      <c r="G175" s="2">
        <v>545</v>
      </c>
      <c r="H175" s="2">
        <v>523</v>
      </c>
      <c r="I175" s="2">
        <v>477</v>
      </c>
      <c r="J175" s="2">
        <v>409</v>
      </c>
      <c r="K175" s="2">
        <v>432</v>
      </c>
      <c r="L175" s="2">
        <v>545</v>
      </c>
      <c r="M175" s="2">
        <v>364</v>
      </c>
      <c r="N175" s="2">
        <v>68</v>
      </c>
      <c r="O175" s="2">
        <v>23</v>
      </c>
      <c r="P175" s="2">
        <v>0</v>
      </c>
      <c r="Q175" s="2">
        <v>0</v>
      </c>
      <c r="R175" s="2">
        <v>0</v>
      </c>
      <c r="S175" s="2">
        <v>0</v>
      </c>
      <c r="T175" s="2">
        <v>45</v>
      </c>
      <c r="U175" s="2">
        <v>91</v>
      </c>
      <c r="V175" s="2">
        <v>136</v>
      </c>
      <c r="W175" s="2">
        <v>409</v>
      </c>
      <c r="X175" s="2">
        <v>795</v>
      </c>
      <c r="Y175" s="2">
        <v>1136</v>
      </c>
      <c r="Z175" s="2">
        <v>840</v>
      </c>
      <c r="AA175" s="2">
        <v>545</v>
      </c>
      <c r="AB175" s="2">
        <v>296</v>
      </c>
      <c r="AC175" s="2">
        <v>227</v>
      </c>
      <c r="AD175" s="2">
        <v>181</v>
      </c>
      <c r="AE175" s="2">
        <v>159</v>
      </c>
      <c r="AF175" s="2">
        <v>136</v>
      </c>
      <c r="AG175" s="2">
        <v>113</v>
      </c>
      <c r="AH175" s="2">
        <v>23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/>
      <c r="AR175" s="2"/>
      <c r="AS175" s="2"/>
      <c r="AT175" s="2"/>
      <c r="AU175" s="2"/>
      <c r="AV175" s="2"/>
      <c r="AW175" s="2"/>
      <c r="AX175" s="2"/>
      <c r="AY175" s="2"/>
    </row>
    <row r="176" spans="1:51" x14ac:dyDescent="0.2">
      <c r="A176" s="4">
        <v>1986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22</v>
      </c>
      <c r="R176" s="2">
        <v>114</v>
      </c>
      <c r="S176" s="2">
        <v>137</v>
      </c>
      <c r="T176" s="2">
        <v>182</v>
      </c>
      <c r="U176" s="2">
        <v>206</v>
      </c>
      <c r="V176" s="2">
        <v>297</v>
      </c>
      <c r="W176" s="2">
        <v>707</v>
      </c>
      <c r="X176" s="2">
        <v>1426</v>
      </c>
      <c r="Y176" s="2">
        <v>1711</v>
      </c>
      <c r="Z176" s="2">
        <v>1426</v>
      </c>
      <c r="AA176" s="2">
        <v>1254</v>
      </c>
      <c r="AB176" s="2">
        <v>707</v>
      </c>
      <c r="AC176" s="2">
        <v>502</v>
      </c>
      <c r="AD176" s="2">
        <v>297</v>
      </c>
      <c r="AE176" s="2">
        <v>228</v>
      </c>
      <c r="AF176" s="2">
        <v>114</v>
      </c>
      <c r="AG176" s="2">
        <v>69</v>
      </c>
      <c r="AH176" s="2">
        <v>137</v>
      </c>
      <c r="AI176" s="2">
        <v>69</v>
      </c>
      <c r="AJ176" s="2">
        <v>22</v>
      </c>
      <c r="AK176" s="2">
        <v>46</v>
      </c>
      <c r="AL176" s="2">
        <v>22</v>
      </c>
      <c r="AM176" s="2">
        <v>0</v>
      </c>
      <c r="AN176" s="2">
        <v>0</v>
      </c>
      <c r="AO176" s="2">
        <v>0</v>
      </c>
      <c r="AP176" s="2">
        <v>0</v>
      </c>
      <c r="AQ176" s="2"/>
      <c r="AR176" s="2"/>
      <c r="AS176" s="2"/>
      <c r="AT176" s="2"/>
      <c r="AU176" s="2"/>
      <c r="AV176" s="2"/>
      <c r="AW176" s="2"/>
      <c r="AX176" s="2"/>
      <c r="AY176" s="2"/>
    </row>
    <row r="177" spans="1:51" x14ac:dyDescent="0.2">
      <c r="A177" s="4">
        <v>1987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8</v>
      </c>
      <c r="H177" s="2">
        <v>16</v>
      </c>
      <c r="I177" s="2">
        <v>8</v>
      </c>
      <c r="J177" s="2">
        <v>4</v>
      </c>
      <c r="K177" s="2">
        <v>0</v>
      </c>
      <c r="L177" s="2">
        <v>4</v>
      </c>
      <c r="M177" s="2">
        <v>8</v>
      </c>
      <c r="N177" s="2">
        <v>41</v>
      </c>
      <c r="O177" s="2">
        <v>90</v>
      </c>
      <c r="P177" s="2">
        <v>160</v>
      </c>
      <c r="Q177" s="2">
        <v>340</v>
      </c>
      <c r="R177" s="2">
        <v>872</v>
      </c>
      <c r="S177" s="2">
        <v>1743</v>
      </c>
      <c r="T177" s="2">
        <v>2472</v>
      </c>
      <c r="U177" s="2">
        <v>3355</v>
      </c>
      <c r="V177" s="2">
        <v>3441</v>
      </c>
      <c r="W177" s="2">
        <v>3270</v>
      </c>
      <c r="X177" s="2">
        <v>4325</v>
      </c>
      <c r="Y177" s="2">
        <v>4657</v>
      </c>
      <c r="Z177" s="2">
        <v>4153</v>
      </c>
      <c r="AA177" s="2">
        <v>3245</v>
      </c>
      <c r="AB177" s="2">
        <v>2545</v>
      </c>
      <c r="AC177" s="2">
        <v>1731</v>
      </c>
      <c r="AD177" s="2">
        <v>1166</v>
      </c>
      <c r="AE177" s="2">
        <v>777</v>
      </c>
      <c r="AF177" s="2">
        <v>585</v>
      </c>
      <c r="AG177" s="2">
        <v>401</v>
      </c>
      <c r="AH177" s="2">
        <v>274</v>
      </c>
      <c r="AI177" s="2">
        <v>258</v>
      </c>
      <c r="AJ177" s="2">
        <v>209</v>
      </c>
      <c r="AK177" s="2">
        <v>147</v>
      </c>
      <c r="AL177" s="2">
        <v>217</v>
      </c>
      <c r="AM177" s="2">
        <v>147</v>
      </c>
      <c r="AN177" s="2">
        <v>123</v>
      </c>
      <c r="AO177" s="2">
        <v>45</v>
      </c>
      <c r="AP177" s="2">
        <v>0</v>
      </c>
      <c r="AQ177" s="2"/>
      <c r="AR177" s="2"/>
      <c r="AS177" s="2"/>
      <c r="AT177" s="2"/>
      <c r="AU177" s="2"/>
      <c r="AV177" s="2"/>
      <c r="AW177" s="2"/>
      <c r="AX177" s="2"/>
      <c r="AY177" s="2"/>
    </row>
    <row r="178" spans="1:51" x14ac:dyDescent="0.2">
      <c r="A178" s="4">
        <v>1988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3</v>
      </c>
      <c r="J178" s="2">
        <v>6</v>
      </c>
      <c r="K178" s="2">
        <v>8</v>
      </c>
      <c r="L178" s="2">
        <v>16</v>
      </c>
      <c r="M178" s="2">
        <v>16</v>
      </c>
      <c r="N178" s="2">
        <v>19</v>
      </c>
      <c r="O178" s="2">
        <v>19</v>
      </c>
      <c r="P178" s="2">
        <v>22</v>
      </c>
      <c r="Q178" s="2">
        <v>31</v>
      </c>
      <c r="R178" s="2">
        <v>62</v>
      </c>
      <c r="S178" s="2">
        <v>136</v>
      </c>
      <c r="T178" s="2">
        <v>215</v>
      </c>
      <c r="U178" s="2">
        <v>399</v>
      </c>
      <c r="V178" s="2">
        <v>535</v>
      </c>
      <c r="W178" s="2">
        <v>615</v>
      </c>
      <c r="X178" s="2">
        <v>818</v>
      </c>
      <c r="Y178" s="2">
        <v>848</v>
      </c>
      <c r="Z178" s="2">
        <v>949</v>
      </c>
      <c r="AA178" s="2">
        <v>987</v>
      </c>
      <c r="AB178" s="2">
        <v>888</v>
      </c>
      <c r="AC178" s="2">
        <v>906</v>
      </c>
      <c r="AD178" s="2">
        <v>822</v>
      </c>
      <c r="AE178" s="2">
        <v>821</v>
      </c>
      <c r="AF178" s="2">
        <v>725</v>
      </c>
      <c r="AG178" s="2">
        <v>585</v>
      </c>
      <c r="AH178" s="2">
        <v>439</v>
      </c>
      <c r="AI178" s="2">
        <v>353</v>
      </c>
      <c r="AJ178" s="2">
        <v>277</v>
      </c>
      <c r="AK178" s="2">
        <v>259</v>
      </c>
      <c r="AL178" s="2">
        <v>242</v>
      </c>
      <c r="AM178" s="2">
        <v>179</v>
      </c>
      <c r="AN178" s="2">
        <v>199</v>
      </c>
      <c r="AO178" s="2">
        <v>150</v>
      </c>
      <c r="AP178" s="2">
        <v>0</v>
      </c>
      <c r="AQ178" s="2"/>
      <c r="AR178" s="2"/>
      <c r="AS178" s="2"/>
      <c r="AT178" s="2"/>
      <c r="AU178" s="2"/>
      <c r="AV178" s="2"/>
      <c r="AW178" s="2"/>
      <c r="AX178" s="2"/>
      <c r="AY178" s="2"/>
    </row>
    <row r="179" spans="1:51" x14ac:dyDescent="0.2">
      <c r="A179" s="4">
        <v>1989</v>
      </c>
      <c r="B179" s="2">
        <v>3</v>
      </c>
      <c r="C179" s="2">
        <v>8</v>
      </c>
      <c r="D179" s="2">
        <v>18</v>
      </c>
      <c r="E179" s="2">
        <v>13</v>
      </c>
      <c r="F179" s="2">
        <v>13</v>
      </c>
      <c r="G179" s="2">
        <v>27</v>
      </c>
      <c r="H179" s="2">
        <v>39</v>
      </c>
      <c r="I179" s="2">
        <v>29</v>
      </c>
      <c r="J179" s="2">
        <v>14</v>
      </c>
      <c r="K179" s="2">
        <v>17</v>
      </c>
      <c r="L179" s="2">
        <v>24</v>
      </c>
      <c r="M179" s="2">
        <v>36</v>
      </c>
      <c r="N179" s="2">
        <v>51</v>
      </c>
      <c r="O179" s="2">
        <v>63</v>
      </c>
      <c r="P179" s="2">
        <v>64</v>
      </c>
      <c r="Q179" s="2">
        <v>67</v>
      </c>
      <c r="R179" s="2">
        <v>57</v>
      </c>
      <c r="S179" s="2">
        <v>37</v>
      </c>
      <c r="T179" s="2">
        <v>23</v>
      </c>
      <c r="U179" s="2">
        <v>17</v>
      </c>
      <c r="V179" s="2">
        <v>30</v>
      </c>
      <c r="W179" s="2">
        <v>53</v>
      </c>
      <c r="X179" s="2">
        <v>165</v>
      </c>
      <c r="Y179" s="2">
        <v>397</v>
      </c>
      <c r="Z179" s="2">
        <v>691</v>
      </c>
      <c r="AA179" s="2">
        <v>1066</v>
      </c>
      <c r="AB179" s="2">
        <v>1337</v>
      </c>
      <c r="AC179" s="2">
        <v>1260</v>
      </c>
      <c r="AD179" s="2">
        <v>1255</v>
      </c>
      <c r="AE179" s="2">
        <v>896</v>
      </c>
      <c r="AF179" s="2">
        <v>637</v>
      </c>
      <c r="AG179" s="2">
        <v>478</v>
      </c>
      <c r="AH179" s="2">
        <v>369</v>
      </c>
      <c r="AI179" s="2">
        <v>287</v>
      </c>
      <c r="AJ179" s="2">
        <v>257</v>
      </c>
      <c r="AK179" s="2">
        <v>207</v>
      </c>
      <c r="AL179" s="2">
        <v>195</v>
      </c>
      <c r="AM179" s="2">
        <v>141</v>
      </c>
      <c r="AN179" s="2">
        <v>140</v>
      </c>
      <c r="AO179" s="2">
        <v>109</v>
      </c>
      <c r="AP179" s="2">
        <v>0</v>
      </c>
      <c r="AQ179" s="2"/>
      <c r="AR179" s="2"/>
      <c r="AS179" s="2"/>
      <c r="AT179" s="2"/>
      <c r="AU179" s="2"/>
      <c r="AV179" s="2"/>
      <c r="AW179" s="2"/>
      <c r="AX179" s="2"/>
      <c r="AY179" s="2"/>
    </row>
    <row r="180" spans="1:51" x14ac:dyDescent="0.2">
      <c r="A180" s="4">
        <v>1990</v>
      </c>
      <c r="B180" s="2">
        <v>2</v>
      </c>
      <c r="C180" s="2">
        <v>6</v>
      </c>
      <c r="D180" s="2">
        <v>8</v>
      </c>
      <c r="E180" s="2">
        <v>10</v>
      </c>
      <c r="F180" s="2">
        <v>6</v>
      </c>
      <c r="G180" s="2">
        <v>21</v>
      </c>
      <c r="H180" s="2">
        <v>52</v>
      </c>
      <c r="I180" s="2">
        <v>61</v>
      </c>
      <c r="J180" s="2">
        <v>43</v>
      </c>
      <c r="K180" s="2">
        <v>44</v>
      </c>
      <c r="L180" s="2">
        <v>74</v>
      </c>
      <c r="M180" s="2">
        <v>95</v>
      </c>
      <c r="N180" s="2">
        <v>106</v>
      </c>
      <c r="O180" s="2">
        <v>169</v>
      </c>
      <c r="P180" s="2">
        <v>254</v>
      </c>
      <c r="Q180" s="2">
        <v>395</v>
      </c>
      <c r="R180" s="2">
        <v>533</v>
      </c>
      <c r="S180" s="2">
        <v>830</v>
      </c>
      <c r="T180" s="2">
        <v>1110</v>
      </c>
      <c r="U180" s="2">
        <v>1215</v>
      </c>
      <c r="V180" s="2">
        <v>1071</v>
      </c>
      <c r="W180" s="2">
        <v>861</v>
      </c>
      <c r="X180" s="2">
        <v>537</v>
      </c>
      <c r="Y180" s="2">
        <v>337</v>
      </c>
      <c r="Z180" s="2">
        <v>249</v>
      </c>
      <c r="AA180" s="2">
        <v>308</v>
      </c>
      <c r="AB180" s="2">
        <v>376</v>
      </c>
      <c r="AC180" s="2">
        <v>408</v>
      </c>
      <c r="AD180" s="2">
        <v>335</v>
      </c>
      <c r="AE180" s="2">
        <v>213</v>
      </c>
      <c r="AF180" s="2">
        <v>200</v>
      </c>
      <c r="AG180" s="2">
        <v>160</v>
      </c>
      <c r="AH180" s="2">
        <v>130</v>
      </c>
      <c r="AI180" s="2">
        <v>92</v>
      </c>
      <c r="AJ180" s="2">
        <v>61</v>
      </c>
      <c r="AK180" s="2">
        <v>44</v>
      </c>
      <c r="AL180" s="2">
        <v>19</v>
      </c>
      <c r="AM180" s="2">
        <v>10</v>
      </c>
      <c r="AN180" s="2">
        <v>7</v>
      </c>
      <c r="AO180" s="2">
        <v>8</v>
      </c>
      <c r="AP180" s="2">
        <v>0</v>
      </c>
      <c r="AQ180" s="2"/>
      <c r="AR180" s="2"/>
      <c r="AS180" s="2"/>
      <c r="AT180" s="2"/>
      <c r="AU180" s="2"/>
      <c r="AV180" s="2"/>
      <c r="AW180" s="2"/>
      <c r="AX180" s="2"/>
      <c r="AY180" s="2"/>
    </row>
    <row r="181" spans="1:51" x14ac:dyDescent="0.2">
      <c r="A181" s="4">
        <v>1991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4</v>
      </c>
      <c r="J181" s="2">
        <v>22</v>
      </c>
      <c r="K181" s="2">
        <v>60</v>
      </c>
      <c r="L181" s="2">
        <v>73</v>
      </c>
      <c r="M181" s="2">
        <v>95</v>
      </c>
      <c r="N181" s="2">
        <v>186</v>
      </c>
      <c r="O181" s="2">
        <v>354</v>
      </c>
      <c r="P181" s="2">
        <v>739</v>
      </c>
      <c r="Q181" s="2">
        <v>1663</v>
      </c>
      <c r="R181" s="2">
        <v>2985</v>
      </c>
      <c r="S181" s="2">
        <v>3961</v>
      </c>
      <c r="T181" s="2">
        <v>4250</v>
      </c>
      <c r="U181" s="2">
        <v>3615</v>
      </c>
      <c r="V181" s="2">
        <v>2985</v>
      </c>
      <c r="W181" s="2">
        <v>2134</v>
      </c>
      <c r="X181" s="2">
        <v>1559</v>
      </c>
      <c r="Y181" s="2">
        <v>1378</v>
      </c>
      <c r="Z181" s="2">
        <v>1309</v>
      </c>
      <c r="AA181" s="2">
        <v>1304</v>
      </c>
      <c r="AB181" s="2">
        <v>1266</v>
      </c>
      <c r="AC181" s="2">
        <v>1136</v>
      </c>
      <c r="AD181" s="2">
        <v>981</v>
      </c>
      <c r="AE181" s="2">
        <v>1019</v>
      </c>
      <c r="AF181" s="2">
        <v>972</v>
      </c>
      <c r="AG181" s="2">
        <v>1149</v>
      </c>
      <c r="AH181" s="2">
        <v>1058</v>
      </c>
      <c r="AI181" s="2">
        <v>1045</v>
      </c>
      <c r="AJ181" s="2">
        <v>1088</v>
      </c>
      <c r="AK181" s="2">
        <v>1145</v>
      </c>
      <c r="AL181" s="2">
        <v>1045</v>
      </c>
      <c r="AM181" s="2">
        <v>747</v>
      </c>
      <c r="AN181" s="2">
        <v>596</v>
      </c>
      <c r="AO181" s="2">
        <v>354</v>
      </c>
      <c r="AP181" s="2">
        <v>0</v>
      </c>
      <c r="AQ181" s="2"/>
      <c r="AR181" s="2"/>
      <c r="AS181" s="2"/>
      <c r="AT181" s="2"/>
      <c r="AU181" s="2"/>
      <c r="AV181" s="2"/>
      <c r="AW181" s="2"/>
      <c r="AX181" s="2"/>
      <c r="AY181" s="2"/>
    </row>
    <row r="182" spans="1:51" x14ac:dyDescent="0.2">
      <c r="A182" s="4">
        <v>1992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7</v>
      </c>
      <c r="L182" s="2">
        <v>179</v>
      </c>
      <c r="M182" s="2">
        <v>365</v>
      </c>
      <c r="N182" s="2">
        <v>3204</v>
      </c>
      <c r="O182" s="2">
        <v>4837</v>
      </c>
      <c r="P182" s="2">
        <v>2294</v>
      </c>
      <c r="Q182" s="2">
        <v>2723</v>
      </c>
      <c r="R182" s="2">
        <v>1988</v>
      </c>
      <c r="S182" s="2">
        <v>1212</v>
      </c>
      <c r="T182" s="2">
        <v>877</v>
      </c>
      <c r="U182" s="2">
        <v>1009</v>
      </c>
      <c r="V182" s="2">
        <v>1157</v>
      </c>
      <c r="W182" s="2">
        <v>1309</v>
      </c>
      <c r="X182" s="2">
        <v>2110</v>
      </c>
      <c r="Y182" s="2">
        <v>2874</v>
      </c>
      <c r="Z182" s="2">
        <v>3570</v>
      </c>
      <c r="AA182" s="2">
        <v>3979</v>
      </c>
      <c r="AB182" s="2">
        <v>3959</v>
      </c>
      <c r="AC182" s="2">
        <v>2848</v>
      </c>
      <c r="AD182" s="2">
        <v>2080</v>
      </c>
      <c r="AE182" s="2">
        <v>1295</v>
      </c>
      <c r="AF182" s="2">
        <v>705</v>
      </c>
      <c r="AG182" s="2">
        <v>498</v>
      </c>
      <c r="AH182" s="2">
        <v>386</v>
      </c>
      <c r="AI182" s="2">
        <v>297</v>
      </c>
      <c r="AJ182" s="2">
        <v>260</v>
      </c>
      <c r="AK182" s="2">
        <v>251</v>
      </c>
      <c r="AL182" s="2">
        <v>260</v>
      </c>
      <c r="AM182" s="2">
        <v>237</v>
      </c>
      <c r="AN182" s="2">
        <v>191</v>
      </c>
      <c r="AO182" s="2">
        <v>185</v>
      </c>
      <c r="AP182" s="2">
        <v>0</v>
      </c>
      <c r="AQ182" s="2"/>
      <c r="AR182" s="2"/>
      <c r="AS182" s="2"/>
      <c r="AT182" s="2"/>
      <c r="AU182" s="2"/>
      <c r="AV182" s="2"/>
      <c r="AW182" s="2"/>
      <c r="AX182" s="2"/>
      <c r="AY182" s="2"/>
    </row>
    <row r="183" spans="1:51" x14ac:dyDescent="0.2">
      <c r="A183" s="4">
        <v>1993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22</v>
      </c>
      <c r="M183" s="2">
        <v>45</v>
      </c>
      <c r="N183" s="2">
        <v>90</v>
      </c>
      <c r="O183" s="2">
        <v>90</v>
      </c>
      <c r="P183" s="2">
        <v>127</v>
      </c>
      <c r="Q183" s="2">
        <v>187</v>
      </c>
      <c r="R183" s="2">
        <v>247</v>
      </c>
      <c r="S183" s="2">
        <v>284</v>
      </c>
      <c r="T183" s="2">
        <v>486</v>
      </c>
      <c r="U183" s="2">
        <v>860</v>
      </c>
      <c r="V183" s="2">
        <v>1533</v>
      </c>
      <c r="W183" s="2">
        <v>2326</v>
      </c>
      <c r="X183" s="2">
        <v>3373</v>
      </c>
      <c r="Y183" s="2">
        <v>4548</v>
      </c>
      <c r="Z183" s="2">
        <v>5221</v>
      </c>
      <c r="AA183" s="2">
        <v>6769</v>
      </c>
      <c r="AB183" s="2">
        <v>8579</v>
      </c>
      <c r="AC183" s="2">
        <v>9410</v>
      </c>
      <c r="AD183" s="2">
        <v>7353</v>
      </c>
      <c r="AE183" s="2">
        <v>6119</v>
      </c>
      <c r="AF183" s="2">
        <v>4473</v>
      </c>
      <c r="AG183" s="2">
        <v>3194</v>
      </c>
      <c r="AH183" s="2">
        <v>2409</v>
      </c>
      <c r="AI183" s="2">
        <v>1855</v>
      </c>
      <c r="AJ183" s="2">
        <v>1279</v>
      </c>
      <c r="AK183" s="2">
        <v>808</v>
      </c>
      <c r="AL183" s="2">
        <v>554</v>
      </c>
      <c r="AM183" s="2">
        <v>292</v>
      </c>
      <c r="AN183" s="2">
        <v>202</v>
      </c>
      <c r="AO183" s="2">
        <v>90</v>
      </c>
      <c r="AP183" s="2">
        <v>0</v>
      </c>
      <c r="AQ183" s="2"/>
      <c r="AR183" s="2"/>
      <c r="AS183" s="2"/>
      <c r="AT183" s="2"/>
      <c r="AU183" s="2"/>
      <c r="AV183" s="2"/>
      <c r="AW183" s="2"/>
      <c r="AX183" s="2"/>
      <c r="AY183" s="2"/>
    </row>
    <row r="184" spans="1:51" x14ac:dyDescent="0.2">
      <c r="A184" s="4">
        <v>1994</v>
      </c>
      <c r="B184" s="2">
        <v>0</v>
      </c>
      <c r="C184" s="2">
        <v>0</v>
      </c>
      <c r="D184" s="2">
        <v>0</v>
      </c>
      <c r="E184" s="2">
        <v>3</v>
      </c>
      <c r="F184" s="2">
        <v>0</v>
      </c>
      <c r="G184" s="2">
        <v>13</v>
      </c>
      <c r="H184" s="2">
        <v>62</v>
      </c>
      <c r="I184" s="2">
        <v>112</v>
      </c>
      <c r="J184" s="2">
        <v>85</v>
      </c>
      <c r="K184" s="2">
        <v>102</v>
      </c>
      <c r="L184" s="2">
        <v>131</v>
      </c>
      <c r="M184" s="2">
        <v>99</v>
      </c>
      <c r="N184" s="2">
        <v>118</v>
      </c>
      <c r="O184" s="2">
        <v>927</v>
      </c>
      <c r="P184" s="2">
        <v>2308</v>
      </c>
      <c r="Q184" s="2">
        <v>1107</v>
      </c>
      <c r="R184" s="2">
        <v>686</v>
      </c>
      <c r="S184" s="2">
        <v>628</v>
      </c>
      <c r="T184" s="2">
        <v>658</v>
      </c>
      <c r="U184" s="2">
        <v>813</v>
      </c>
      <c r="V184" s="2">
        <v>1134</v>
      </c>
      <c r="W184" s="2">
        <v>1749</v>
      </c>
      <c r="X184" s="2">
        <v>2249</v>
      </c>
      <c r="Y184" s="2">
        <v>2786</v>
      </c>
      <c r="Z184" s="2">
        <v>2851</v>
      </c>
      <c r="AA184" s="2">
        <v>3441</v>
      </c>
      <c r="AB184" s="2">
        <v>4354</v>
      </c>
      <c r="AC184" s="2">
        <v>4262</v>
      </c>
      <c r="AD184" s="2">
        <v>3939</v>
      </c>
      <c r="AE184" s="2">
        <v>3496</v>
      </c>
      <c r="AF184" s="2">
        <v>2993</v>
      </c>
      <c r="AG184" s="2">
        <v>1877</v>
      </c>
      <c r="AH184" s="2">
        <v>1405</v>
      </c>
      <c r="AI184" s="2">
        <v>1469</v>
      </c>
      <c r="AJ184" s="2">
        <v>1237</v>
      </c>
      <c r="AK184" s="2">
        <v>1167</v>
      </c>
      <c r="AL184" s="2">
        <v>1130</v>
      </c>
      <c r="AM184" s="2">
        <v>864</v>
      </c>
      <c r="AN184" s="2">
        <v>687</v>
      </c>
      <c r="AO184" s="2">
        <v>616</v>
      </c>
      <c r="AP184" s="2">
        <v>504</v>
      </c>
      <c r="AQ184" s="2"/>
      <c r="AR184" s="2"/>
      <c r="AS184" s="2"/>
      <c r="AT184" s="2"/>
      <c r="AU184" s="2"/>
      <c r="AV184" s="2"/>
      <c r="AW184" s="2"/>
      <c r="AX184" s="2"/>
      <c r="AY184" s="2"/>
    </row>
    <row r="185" spans="1:51" x14ac:dyDescent="0.2">
      <c r="A185" s="4">
        <v>1995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19</v>
      </c>
      <c r="L185" s="2">
        <v>103</v>
      </c>
      <c r="M185" s="2">
        <v>306</v>
      </c>
      <c r="N185" s="2">
        <v>166</v>
      </c>
      <c r="O185" s="2">
        <v>124</v>
      </c>
      <c r="P185" s="2">
        <v>162</v>
      </c>
      <c r="Q185" s="2">
        <v>131</v>
      </c>
      <c r="R185" s="2">
        <v>116</v>
      </c>
      <c r="S185" s="2">
        <v>136</v>
      </c>
      <c r="T185" s="2">
        <v>164</v>
      </c>
      <c r="U185" s="2">
        <v>273</v>
      </c>
      <c r="V185" s="2">
        <v>471</v>
      </c>
      <c r="W185" s="2">
        <v>698</v>
      </c>
      <c r="X185" s="2">
        <v>1108</v>
      </c>
      <c r="Y185" s="2">
        <v>1555</v>
      </c>
      <c r="Z185" s="2">
        <v>1948</v>
      </c>
      <c r="AA185" s="2">
        <v>1862</v>
      </c>
      <c r="AB185" s="2">
        <v>1393</v>
      </c>
      <c r="AC185" s="2">
        <v>1054</v>
      </c>
      <c r="AD185" s="2">
        <v>979</v>
      </c>
      <c r="AE185" s="2">
        <v>866</v>
      </c>
      <c r="AF185" s="2">
        <v>812</v>
      </c>
      <c r="AG185" s="2">
        <v>597</v>
      </c>
      <c r="AH185" s="2">
        <v>532</v>
      </c>
      <c r="AI185" s="2">
        <v>401</v>
      </c>
      <c r="AJ185" s="2">
        <v>168</v>
      </c>
      <c r="AK185" s="2">
        <v>104</v>
      </c>
      <c r="AL185" s="2">
        <v>79</v>
      </c>
      <c r="AM185" s="2">
        <v>64</v>
      </c>
      <c r="AN185" s="2">
        <v>63</v>
      </c>
      <c r="AO185" s="2">
        <v>76</v>
      </c>
      <c r="AP185" s="2">
        <v>0</v>
      </c>
      <c r="AQ185" s="2"/>
      <c r="AR185" s="2"/>
      <c r="AS185" s="2"/>
      <c r="AT185" s="2"/>
      <c r="AU185" s="2"/>
      <c r="AV185" s="2"/>
      <c r="AW185" s="2"/>
      <c r="AX185" s="2"/>
      <c r="AY185" s="2"/>
    </row>
    <row r="186" spans="1:51" x14ac:dyDescent="0.2">
      <c r="A186" s="4">
        <v>1996</v>
      </c>
      <c r="B186" s="2">
        <v>0</v>
      </c>
      <c r="C186" s="2">
        <v>3</v>
      </c>
      <c r="D186" s="2">
        <v>20</v>
      </c>
      <c r="E186" s="2">
        <v>16</v>
      </c>
      <c r="F186" s="2">
        <v>3</v>
      </c>
      <c r="G186" s="2">
        <v>0</v>
      </c>
      <c r="H186" s="2">
        <v>3</v>
      </c>
      <c r="I186" s="2">
        <v>26</v>
      </c>
      <c r="J186" s="2">
        <v>66</v>
      </c>
      <c r="K186" s="2">
        <v>201</v>
      </c>
      <c r="L186" s="2">
        <v>497</v>
      </c>
      <c r="M186" s="2">
        <v>691</v>
      </c>
      <c r="N186" s="2">
        <v>1036</v>
      </c>
      <c r="O186" s="2">
        <v>1266</v>
      </c>
      <c r="P186" s="2">
        <v>1963</v>
      </c>
      <c r="Q186" s="2">
        <v>2943</v>
      </c>
      <c r="R186" s="2">
        <v>3798</v>
      </c>
      <c r="S186" s="2">
        <v>2821</v>
      </c>
      <c r="T186" s="2">
        <v>2430</v>
      </c>
      <c r="U186" s="2">
        <v>1934</v>
      </c>
      <c r="V186" s="2">
        <v>1726</v>
      </c>
      <c r="W186" s="2">
        <v>1605</v>
      </c>
      <c r="X186" s="2">
        <v>1809</v>
      </c>
      <c r="Y186" s="2">
        <v>1670</v>
      </c>
      <c r="Z186" s="2">
        <v>1684</v>
      </c>
      <c r="AA186" s="2">
        <v>1506</v>
      </c>
      <c r="AB186" s="2">
        <v>1154</v>
      </c>
      <c r="AC186" s="2">
        <v>658</v>
      </c>
      <c r="AD186" s="2">
        <v>480</v>
      </c>
      <c r="AE186" s="2">
        <v>224</v>
      </c>
      <c r="AF186" s="2">
        <v>164</v>
      </c>
      <c r="AG186" s="2">
        <v>155</v>
      </c>
      <c r="AH186" s="2">
        <v>122</v>
      </c>
      <c r="AI186" s="2">
        <v>128</v>
      </c>
      <c r="AJ186" s="2">
        <v>43</v>
      </c>
      <c r="AK186" s="2">
        <v>30</v>
      </c>
      <c r="AL186" s="2">
        <v>7</v>
      </c>
      <c r="AM186" s="2">
        <v>3</v>
      </c>
      <c r="AN186" s="2">
        <v>0</v>
      </c>
      <c r="AO186" s="2">
        <v>3</v>
      </c>
      <c r="AP186" s="2">
        <v>0</v>
      </c>
      <c r="AQ186" s="2"/>
      <c r="AR186" s="2"/>
      <c r="AS186" s="2"/>
      <c r="AT186" s="2"/>
      <c r="AU186" s="2"/>
      <c r="AV186" s="2"/>
      <c r="AW186" s="2"/>
      <c r="AX186" s="2"/>
      <c r="AY186" s="2"/>
    </row>
    <row r="187" spans="1:51" x14ac:dyDescent="0.2">
      <c r="A187" s="4">
        <v>1997</v>
      </c>
      <c r="B187" s="2">
        <v>4</v>
      </c>
      <c r="C187" s="2">
        <v>4</v>
      </c>
      <c r="D187" s="2">
        <v>0</v>
      </c>
      <c r="E187" s="2">
        <v>4</v>
      </c>
      <c r="F187" s="2">
        <v>4</v>
      </c>
      <c r="G187" s="2">
        <v>11</v>
      </c>
      <c r="H187" s="2">
        <v>7</v>
      </c>
      <c r="I187" s="2">
        <v>0</v>
      </c>
      <c r="J187" s="2">
        <v>4</v>
      </c>
      <c r="K187" s="2">
        <v>29</v>
      </c>
      <c r="L187" s="2">
        <v>72</v>
      </c>
      <c r="M187" s="2">
        <v>133</v>
      </c>
      <c r="N187" s="2">
        <v>176</v>
      </c>
      <c r="O187" s="2">
        <v>240</v>
      </c>
      <c r="P187" s="2">
        <v>341</v>
      </c>
      <c r="Q187" s="2">
        <v>452</v>
      </c>
      <c r="R187" s="2">
        <v>625</v>
      </c>
      <c r="S187" s="2">
        <v>958</v>
      </c>
      <c r="T187" s="2">
        <v>1253</v>
      </c>
      <c r="U187" s="2">
        <v>1450</v>
      </c>
      <c r="V187" s="2">
        <v>2175</v>
      </c>
      <c r="W187" s="2">
        <v>4824</v>
      </c>
      <c r="X187" s="2">
        <v>6041</v>
      </c>
      <c r="Y187" s="2">
        <v>4810</v>
      </c>
      <c r="Z187" s="2">
        <v>3331</v>
      </c>
      <c r="AA187" s="2">
        <v>2495</v>
      </c>
      <c r="AB187" s="2">
        <v>1920</v>
      </c>
      <c r="AC187" s="2">
        <v>1407</v>
      </c>
      <c r="AD187" s="2">
        <v>1472</v>
      </c>
      <c r="AE187" s="2">
        <v>1088</v>
      </c>
      <c r="AF187" s="2">
        <v>1141</v>
      </c>
      <c r="AG187" s="2">
        <v>962</v>
      </c>
      <c r="AH187" s="2">
        <v>1267</v>
      </c>
      <c r="AI187" s="2">
        <v>908</v>
      </c>
      <c r="AJ187" s="2">
        <v>965</v>
      </c>
      <c r="AK187" s="2">
        <v>815</v>
      </c>
      <c r="AL187" s="2">
        <v>510</v>
      </c>
      <c r="AM187" s="2">
        <v>445</v>
      </c>
      <c r="AN187" s="2">
        <v>298</v>
      </c>
      <c r="AO187" s="2">
        <v>334</v>
      </c>
      <c r="AP187" s="2">
        <v>194</v>
      </c>
      <c r="AQ187" s="2"/>
      <c r="AR187" s="2"/>
      <c r="AS187" s="2"/>
      <c r="AT187" s="2"/>
      <c r="AU187" s="2"/>
      <c r="AV187" s="2"/>
      <c r="AW187" s="2"/>
      <c r="AX187" s="2"/>
      <c r="AY187" s="2"/>
    </row>
    <row r="188" spans="1:51" x14ac:dyDescent="0.2">
      <c r="A188" s="4">
        <v>1998</v>
      </c>
      <c r="B188" s="2">
        <v>0</v>
      </c>
      <c r="C188" s="2">
        <v>0</v>
      </c>
      <c r="D188" s="2">
        <v>0</v>
      </c>
      <c r="E188" s="2">
        <v>22</v>
      </c>
      <c r="F188" s="2">
        <v>73</v>
      </c>
      <c r="G188" s="2">
        <v>103</v>
      </c>
      <c r="H188" s="2">
        <v>125</v>
      </c>
      <c r="I188" s="2">
        <v>95</v>
      </c>
      <c r="J188" s="2">
        <v>51</v>
      </c>
      <c r="K188" s="2">
        <v>44</v>
      </c>
      <c r="L188" s="2">
        <v>103</v>
      </c>
      <c r="M188" s="2">
        <v>396</v>
      </c>
      <c r="N188" s="2">
        <v>792</v>
      </c>
      <c r="O188" s="2">
        <v>1041</v>
      </c>
      <c r="P188" s="2">
        <v>1459</v>
      </c>
      <c r="Q188" s="2">
        <v>2236</v>
      </c>
      <c r="R188" s="2">
        <v>3043</v>
      </c>
      <c r="S188" s="2">
        <v>3263</v>
      </c>
      <c r="T188" s="2">
        <v>4326</v>
      </c>
      <c r="U188" s="2">
        <v>5635</v>
      </c>
      <c r="V188" s="2">
        <v>7159</v>
      </c>
      <c r="W188" s="2">
        <v>9177</v>
      </c>
      <c r="X188" s="2">
        <v>10307</v>
      </c>
      <c r="Y188" s="2">
        <v>10768</v>
      </c>
      <c r="Z188" s="2">
        <v>13407</v>
      </c>
      <c r="AA188" s="2">
        <v>14406</v>
      </c>
      <c r="AB188" s="2">
        <v>12580</v>
      </c>
      <c r="AC188" s="2">
        <v>6838</v>
      </c>
      <c r="AD188" s="2">
        <v>4115</v>
      </c>
      <c r="AE188" s="2">
        <v>2602</v>
      </c>
      <c r="AF188" s="2">
        <v>2003</v>
      </c>
      <c r="AG188" s="2">
        <v>1675</v>
      </c>
      <c r="AH188" s="2">
        <v>1201</v>
      </c>
      <c r="AI188" s="2">
        <v>789</v>
      </c>
      <c r="AJ188" s="2">
        <v>761</v>
      </c>
      <c r="AK188" s="2">
        <v>594</v>
      </c>
      <c r="AL188" s="2">
        <v>501</v>
      </c>
      <c r="AM188" s="2">
        <v>488</v>
      </c>
      <c r="AN188" s="2">
        <v>232</v>
      </c>
      <c r="AO188" s="2">
        <v>119</v>
      </c>
      <c r="AP188" s="2">
        <v>154</v>
      </c>
      <c r="AQ188" s="2"/>
      <c r="AR188" s="2"/>
      <c r="AS188" s="2"/>
      <c r="AT188" s="2"/>
      <c r="AU188" s="2"/>
      <c r="AV188" s="2"/>
      <c r="AW188" s="2"/>
      <c r="AX188" s="2"/>
      <c r="AY188" s="2"/>
    </row>
    <row r="189" spans="1:51" x14ac:dyDescent="0.2">
      <c r="A189" s="4">
        <v>1999</v>
      </c>
      <c r="B189" s="2">
        <v>0</v>
      </c>
      <c r="C189" s="2">
        <v>0</v>
      </c>
      <c r="D189" s="2">
        <v>0</v>
      </c>
      <c r="E189" s="2">
        <v>0</v>
      </c>
      <c r="F189" s="2">
        <v>6</v>
      </c>
      <c r="G189" s="2">
        <v>44</v>
      </c>
      <c r="H189" s="2">
        <v>200</v>
      </c>
      <c r="I189" s="2">
        <v>194</v>
      </c>
      <c r="J189" s="2">
        <v>237</v>
      </c>
      <c r="K189" s="2">
        <v>712</v>
      </c>
      <c r="L189" s="2">
        <v>1437</v>
      </c>
      <c r="M189" s="2">
        <v>1469</v>
      </c>
      <c r="N189" s="2">
        <v>1462</v>
      </c>
      <c r="O189" s="2">
        <v>2550</v>
      </c>
      <c r="P189" s="2">
        <v>3834</v>
      </c>
      <c r="Q189" s="2">
        <v>4445</v>
      </c>
      <c r="R189" s="2">
        <v>4353</v>
      </c>
      <c r="S189" s="2">
        <v>4211</v>
      </c>
      <c r="T189" s="2">
        <v>4457</v>
      </c>
      <c r="U189" s="2">
        <v>5153</v>
      </c>
      <c r="V189" s="2">
        <v>6419</v>
      </c>
      <c r="W189" s="2">
        <v>6045</v>
      </c>
      <c r="X189" s="2">
        <v>4674</v>
      </c>
      <c r="Y189" s="2">
        <v>4311</v>
      </c>
      <c r="Z189" s="2">
        <v>3460</v>
      </c>
      <c r="AA189" s="2">
        <v>2887</v>
      </c>
      <c r="AB189" s="2">
        <v>2815</v>
      </c>
      <c r="AC189" s="2">
        <v>2487</v>
      </c>
      <c r="AD189" s="2">
        <v>2268</v>
      </c>
      <c r="AE189" s="2">
        <v>1352</v>
      </c>
      <c r="AF189" s="2">
        <v>849</v>
      </c>
      <c r="AG189" s="2">
        <v>549</v>
      </c>
      <c r="AH189" s="2">
        <v>319</v>
      </c>
      <c r="AI189" s="2">
        <v>211</v>
      </c>
      <c r="AJ189" s="2">
        <v>76</v>
      </c>
      <c r="AK189" s="2">
        <v>44</v>
      </c>
      <c r="AL189" s="2">
        <v>12</v>
      </c>
      <c r="AM189" s="2">
        <v>12</v>
      </c>
      <c r="AN189" s="2">
        <v>6</v>
      </c>
      <c r="AO189" s="2">
        <v>0</v>
      </c>
      <c r="AP189" s="2">
        <v>0</v>
      </c>
      <c r="AQ189" s="2"/>
      <c r="AR189" s="2"/>
      <c r="AS189" s="2"/>
      <c r="AT189" s="2"/>
      <c r="AU189" s="2"/>
      <c r="AV189" s="2"/>
      <c r="AW189" s="2"/>
      <c r="AX189" s="2"/>
      <c r="AY189" s="2"/>
    </row>
    <row r="190" spans="1:51" x14ac:dyDescent="0.2">
      <c r="A190" s="4">
        <v>2000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5</v>
      </c>
      <c r="K190" s="2">
        <v>14</v>
      </c>
      <c r="L190" s="2">
        <v>57</v>
      </c>
      <c r="M190" s="2">
        <v>109</v>
      </c>
      <c r="N190" s="2">
        <v>166</v>
      </c>
      <c r="O190" s="2">
        <v>332</v>
      </c>
      <c r="P190" s="2">
        <v>916</v>
      </c>
      <c r="Q190" s="2">
        <v>1832</v>
      </c>
      <c r="R190" s="2">
        <v>3506</v>
      </c>
      <c r="S190" s="2">
        <v>5749</v>
      </c>
      <c r="T190" s="2">
        <v>5052</v>
      </c>
      <c r="U190" s="2">
        <v>2855</v>
      </c>
      <c r="V190" s="2">
        <v>2347</v>
      </c>
      <c r="W190" s="2">
        <v>3963</v>
      </c>
      <c r="X190" s="2">
        <v>7246</v>
      </c>
      <c r="Y190" s="2">
        <v>8255</v>
      </c>
      <c r="Z190" s="2">
        <v>4460</v>
      </c>
      <c r="AA190" s="2">
        <v>2297</v>
      </c>
      <c r="AB190" s="2">
        <v>1380</v>
      </c>
      <c r="AC190" s="2">
        <v>737</v>
      </c>
      <c r="AD190" s="2">
        <v>506</v>
      </c>
      <c r="AE190" s="2">
        <v>371</v>
      </c>
      <c r="AF190" s="2">
        <v>234</v>
      </c>
      <c r="AG190" s="2">
        <v>163</v>
      </c>
      <c r="AH190" s="2">
        <v>103</v>
      </c>
      <c r="AI190" s="2">
        <v>65</v>
      </c>
      <c r="AJ190" s="2">
        <v>38</v>
      </c>
      <c r="AK190" s="2">
        <v>24</v>
      </c>
      <c r="AL190" s="2">
        <v>10</v>
      </c>
      <c r="AM190" s="2">
        <v>5</v>
      </c>
      <c r="AN190" s="2">
        <v>0</v>
      </c>
      <c r="AO190" s="2">
        <v>5</v>
      </c>
      <c r="AP190" s="2">
        <v>0</v>
      </c>
      <c r="AQ190" s="2"/>
      <c r="AR190" s="2"/>
      <c r="AS190" s="2"/>
      <c r="AT190" s="2"/>
      <c r="AU190" s="2"/>
      <c r="AV190" s="2"/>
      <c r="AW190" s="2"/>
      <c r="AX190" s="2"/>
      <c r="AY190" s="2"/>
    </row>
    <row r="191" spans="1:51" x14ac:dyDescent="0.2">
      <c r="A191" s="4">
        <v>2001</v>
      </c>
      <c r="B191" s="2">
        <v>0</v>
      </c>
      <c r="C191" s="2">
        <v>0</v>
      </c>
      <c r="D191" s="2">
        <v>0</v>
      </c>
      <c r="E191" s="2">
        <v>5</v>
      </c>
      <c r="F191" s="2">
        <v>65</v>
      </c>
      <c r="G191" s="2">
        <v>207</v>
      </c>
      <c r="H191" s="2">
        <v>109</v>
      </c>
      <c r="I191" s="2">
        <v>71</v>
      </c>
      <c r="J191" s="2">
        <v>283</v>
      </c>
      <c r="K191" s="2">
        <v>1301</v>
      </c>
      <c r="L191" s="2">
        <v>1927</v>
      </c>
      <c r="M191" s="2">
        <v>1600</v>
      </c>
      <c r="N191" s="2">
        <v>1339</v>
      </c>
      <c r="O191" s="2">
        <v>1937</v>
      </c>
      <c r="P191" s="2">
        <v>3940</v>
      </c>
      <c r="Q191" s="2">
        <v>8593</v>
      </c>
      <c r="R191" s="2">
        <v>10727</v>
      </c>
      <c r="S191" s="2">
        <v>7402</v>
      </c>
      <c r="T191" s="2">
        <v>4272</v>
      </c>
      <c r="U191" s="2">
        <v>2444</v>
      </c>
      <c r="V191" s="2">
        <v>1453</v>
      </c>
      <c r="W191" s="2">
        <v>1012</v>
      </c>
      <c r="X191" s="2">
        <v>936</v>
      </c>
      <c r="Y191" s="2">
        <v>1176</v>
      </c>
      <c r="Z191" s="2">
        <v>980</v>
      </c>
      <c r="AA191" s="2">
        <v>555</v>
      </c>
      <c r="AB191" s="2">
        <v>425</v>
      </c>
      <c r="AC191" s="2">
        <v>343</v>
      </c>
      <c r="AD191" s="2">
        <v>261</v>
      </c>
      <c r="AE191" s="2">
        <v>234</v>
      </c>
      <c r="AF191" s="2">
        <v>174</v>
      </c>
      <c r="AG191" s="2">
        <v>147</v>
      </c>
      <c r="AH191" s="2">
        <v>109</v>
      </c>
      <c r="AI191" s="2">
        <v>98</v>
      </c>
      <c r="AJ191" s="2">
        <v>87</v>
      </c>
      <c r="AK191" s="2">
        <v>60</v>
      </c>
      <c r="AL191" s="2">
        <v>49</v>
      </c>
      <c r="AM191" s="2">
        <v>27</v>
      </c>
      <c r="AN191" s="2">
        <v>27</v>
      </c>
      <c r="AO191" s="2">
        <v>16</v>
      </c>
      <c r="AP191" s="2">
        <v>0</v>
      </c>
      <c r="AQ191" s="2"/>
      <c r="AR191" s="2"/>
      <c r="AS191" s="2"/>
      <c r="AT191" s="2"/>
      <c r="AU191" s="2"/>
      <c r="AV191" s="2"/>
      <c r="AW191" s="2"/>
      <c r="AX191" s="2"/>
      <c r="AY191" s="2"/>
    </row>
    <row r="192" spans="1:51" x14ac:dyDescent="0.2">
      <c r="A192" s="4">
        <v>2002</v>
      </c>
      <c r="B192" s="2">
        <v>0</v>
      </c>
      <c r="C192" s="2">
        <v>0</v>
      </c>
      <c r="D192" s="2">
        <v>0</v>
      </c>
      <c r="E192" s="2">
        <v>0</v>
      </c>
      <c r="F192" s="2">
        <v>21</v>
      </c>
      <c r="G192" s="2">
        <v>80</v>
      </c>
      <c r="H192" s="2">
        <v>80</v>
      </c>
      <c r="I192" s="2">
        <v>101</v>
      </c>
      <c r="J192" s="2">
        <v>155</v>
      </c>
      <c r="K192" s="2">
        <v>174</v>
      </c>
      <c r="L192" s="2">
        <v>140</v>
      </c>
      <c r="M192" s="2">
        <v>186</v>
      </c>
      <c r="N192" s="2">
        <v>270</v>
      </c>
      <c r="O192" s="2">
        <v>457</v>
      </c>
      <c r="P192" s="2">
        <v>762</v>
      </c>
      <c r="Q192" s="2">
        <v>1035</v>
      </c>
      <c r="R192" s="2">
        <v>1838</v>
      </c>
      <c r="S192" s="2">
        <v>2102</v>
      </c>
      <c r="T192" s="2">
        <v>2532</v>
      </c>
      <c r="U192" s="2">
        <v>2300</v>
      </c>
      <c r="V192" s="2">
        <v>1279</v>
      </c>
      <c r="W192" s="2">
        <v>755</v>
      </c>
      <c r="X192" s="2">
        <v>464</v>
      </c>
      <c r="Y192" s="2">
        <v>284</v>
      </c>
      <c r="Z192" s="2">
        <v>183</v>
      </c>
      <c r="AA192" s="2">
        <v>127</v>
      </c>
      <c r="AB192" s="2">
        <v>120</v>
      </c>
      <c r="AC192" s="2">
        <v>57</v>
      </c>
      <c r="AD192" s="2">
        <v>64</v>
      </c>
      <c r="AE192" s="2">
        <v>106</v>
      </c>
      <c r="AF192" s="2">
        <v>43</v>
      </c>
      <c r="AG192" s="2">
        <v>27</v>
      </c>
      <c r="AH192" s="2">
        <v>27</v>
      </c>
      <c r="AI192" s="2">
        <v>21</v>
      </c>
      <c r="AJ192" s="2">
        <v>15</v>
      </c>
      <c r="AK192" s="2">
        <v>17</v>
      </c>
      <c r="AL192" s="2">
        <v>3</v>
      </c>
      <c r="AM192" s="2">
        <v>17</v>
      </c>
      <c r="AN192" s="2">
        <v>3</v>
      </c>
      <c r="AO192" s="2">
        <v>5</v>
      </c>
      <c r="AP192" s="2">
        <v>0</v>
      </c>
      <c r="AQ192" s="2"/>
      <c r="AR192" s="2"/>
      <c r="AS192" s="2"/>
      <c r="AT192" s="2"/>
      <c r="AU192" s="2"/>
      <c r="AV192" s="2"/>
      <c r="AW192" s="2"/>
      <c r="AX192" s="2"/>
      <c r="AY192" s="2"/>
    </row>
    <row r="193" spans="1:51" x14ac:dyDescent="0.2">
      <c r="A193" s="4">
        <v>2003</v>
      </c>
      <c r="B193" s="2">
        <v>0</v>
      </c>
      <c r="C193" s="2">
        <v>0</v>
      </c>
      <c r="D193" s="2">
        <v>0</v>
      </c>
      <c r="E193" s="2">
        <v>4</v>
      </c>
      <c r="F193" s="2">
        <v>7</v>
      </c>
      <c r="G193" s="2">
        <v>7</v>
      </c>
      <c r="H193" s="2">
        <v>7</v>
      </c>
      <c r="I193" s="2">
        <v>18</v>
      </c>
      <c r="J193" s="2">
        <v>178</v>
      </c>
      <c r="K193" s="2">
        <v>1495</v>
      </c>
      <c r="L193" s="2">
        <v>2766</v>
      </c>
      <c r="M193" s="2">
        <v>2473</v>
      </c>
      <c r="N193" s="2">
        <v>1856</v>
      </c>
      <c r="O193" s="2">
        <v>1341</v>
      </c>
      <c r="P193" s="2">
        <v>1339</v>
      </c>
      <c r="Q193" s="2">
        <v>3492</v>
      </c>
      <c r="R193" s="2">
        <v>2839</v>
      </c>
      <c r="S193" s="2">
        <v>2483</v>
      </c>
      <c r="T193" s="2">
        <v>3039</v>
      </c>
      <c r="U193" s="2">
        <v>4523</v>
      </c>
      <c r="V193" s="2">
        <v>4097</v>
      </c>
      <c r="W193" s="2">
        <v>2703</v>
      </c>
      <c r="X193" s="2">
        <v>1151</v>
      </c>
      <c r="Y193" s="2">
        <v>387</v>
      </c>
      <c r="Z193" s="2">
        <v>119</v>
      </c>
      <c r="AA193" s="2">
        <v>31</v>
      </c>
      <c r="AB193" s="2">
        <v>11</v>
      </c>
      <c r="AC193" s="2">
        <v>4</v>
      </c>
      <c r="AD193" s="2">
        <v>4</v>
      </c>
      <c r="AE193" s="2">
        <v>4</v>
      </c>
      <c r="AF193" s="2">
        <v>7</v>
      </c>
      <c r="AG193" s="2">
        <v>0</v>
      </c>
      <c r="AH193" s="2">
        <v>4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/>
      <c r="AR193" s="2"/>
      <c r="AS193" s="2"/>
      <c r="AT193" s="2"/>
      <c r="AU193" s="2"/>
      <c r="AV193" s="2"/>
      <c r="AW193" s="2"/>
      <c r="AX193" s="2"/>
      <c r="AY193" s="2"/>
    </row>
    <row r="194" spans="1:51" x14ac:dyDescent="0.2">
      <c r="A194" s="4">
        <v>2004</v>
      </c>
      <c r="B194" s="2">
        <v>0</v>
      </c>
      <c r="C194" s="2">
        <v>0</v>
      </c>
      <c r="D194" s="2">
        <v>16</v>
      </c>
      <c r="E194" s="2">
        <v>33</v>
      </c>
      <c r="F194" s="2">
        <v>33</v>
      </c>
      <c r="G194" s="2">
        <v>16</v>
      </c>
      <c r="H194" s="2">
        <v>41</v>
      </c>
      <c r="I194" s="2">
        <v>188</v>
      </c>
      <c r="J194" s="2">
        <v>459</v>
      </c>
      <c r="K194" s="2">
        <v>942</v>
      </c>
      <c r="L194" s="2">
        <v>1500</v>
      </c>
      <c r="M194" s="2">
        <v>1344</v>
      </c>
      <c r="N194" s="2">
        <v>1304</v>
      </c>
      <c r="O194" s="2">
        <v>2041</v>
      </c>
      <c r="P194" s="2">
        <v>4038</v>
      </c>
      <c r="Q194" s="2">
        <v>6242</v>
      </c>
      <c r="R194" s="2">
        <v>9220</v>
      </c>
      <c r="S194" s="2">
        <v>11965</v>
      </c>
      <c r="T194" s="2">
        <v>15404</v>
      </c>
      <c r="U194" s="2">
        <v>15088</v>
      </c>
      <c r="V194" s="2">
        <v>13405</v>
      </c>
      <c r="W194" s="2">
        <v>8369</v>
      </c>
      <c r="X194" s="2">
        <v>2959</v>
      </c>
      <c r="Y194" s="2">
        <v>850</v>
      </c>
      <c r="Z194" s="2">
        <v>239</v>
      </c>
      <c r="AA194" s="2">
        <v>97</v>
      </c>
      <c r="AB194" s="2">
        <v>28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/>
      <c r="AR194" s="2"/>
      <c r="AS194" s="2"/>
      <c r="AT194" s="2"/>
      <c r="AU194" s="2"/>
      <c r="AV194" s="2"/>
      <c r="AW194" s="2"/>
      <c r="AX194" s="2"/>
      <c r="AY194" s="2"/>
    </row>
    <row r="195" spans="1:51" x14ac:dyDescent="0.2">
      <c r="A195" s="4">
        <v>2005</v>
      </c>
      <c r="B195" s="2">
        <v>8</v>
      </c>
      <c r="C195" s="2">
        <v>15</v>
      </c>
      <c r="D195" s="2">
        <v>33</v>
      </c>
      <c r="E195" s="2">
        <v>71</v>
      </c>
      <c r="F195" s="2">
        <v>81</v>
      </c>
      <c r="G195" s="2">
        <v>101</v>
      </c>
      <c r="H195" s="2">
        <v>71</v>
      </c>
      <c r="I195" s="2">
        <v>47</v>
      </c>
      <c r="J195" s="2">
        <v>35</v>
      </c>
      <c r="K195" s="2">
        <v>45</v>
      </c>
      <c r="L195" s="2">
        <v>40</v>
      </c>
      <c r="M195" s="2">
        <v>57</v>
      </c>
      <c r="N195" s="2">
        <v>93</v>
      </c>
      <c r="O195" s="2">
        <v>123</v>
      </c>
      <c r="P195" s="2">
        <v>140</v>
      </c>
      <c r="Q195" s="2">
        <v>68</v>
      </c>
      <c r="R195" s="2">
        <v>61</v>
      </c>
      <c r="S195" s="2">
        <v>120</v>
      </c>
      <c r="T195" s="2">
        <v>449</v>
      </c>
      <c r="U195" s="2">
        <v>1426</v>
      </c>
      <c r="V195" s="2">
        <v>2689</v>
      </c>
      <c r="W195" s="2">
        <v>3181</v>
      </c>
      <c r="X195" s="2">
        <v>3146</v>
      </c>
      <c r="Y195" s="2">
        <v>2300</v>
      </c>
      <c r="Z195" s="2">
        <v>1102</v>
      </c>
      <c r="AA195" s="2">
        <v>462</v>
      </c>
      <c r="AB195" s="2">
        <v>337</v>
      </c>
      <c r="AC195" s="2">
        <v>183</v>
      </c>
      <c r="AD195" s="2">
        <v>93</v>
      </c>
      <c r="AE195" s="2">
        <v>28</v>
      </c>
      <c r="AF195" s="2">
        <v>8</v>
      </c>
      <c r="AG195" s="2">
        <v>2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/>
      <c r="AR195" s="2"/>
      <c r="AS195" s="2"/>
      <c r="AT195" s="2"/>
      <c r="AU195" s="2"/>
      <c r="AV195" s="2"/>
      <c r="AW195" s="2"/>
      <c r="AX195" s="2"/>
      <c r="AY195" s="2"/>
    </row>
    <row r="196" spans="1:51" x14ac:dyDescent="0.2">
      <c r="A196" s="4">
        <v>2006</v>
      </c>
      <c r="B196" s="2">
        <v>0</v>
      </c>
      <c r="C196" s="2">
        <v>0</v>
      </c>
      <c r="D196" s="2">
        <v>0</v>
      </c>
      <c r="E196" s="2">
        <v>0</v>
      </c>
      <c r="F196" s="2">
        <v>2</v>
      </c>
      <c r="G196" s="2">
        <v>2</v>
      </c>
      <c r="H196" s="2">
        <v>8</v>
      </c>
      <c r="I196" s="2">
        <v>31</v>
      </c>
      <c r="J196" s="2">
        <v>61</v>
      </c>
      <c r="K196" s="2">
        <v>159</v>
      </c>
      <c r="L196" s="2">
        <v>278</v>
      </c>
      <c r="M196" s="2">
        <v>453</v>
      </c>
      <c r="N196" s="2">
        <v>905</v>
      </c>
      <c r="O196" s="2">
        <v>1419</v>
      </c>
      <c r="P196" s="2">
        <v>1555</v>
      </c>
      <c r="Q196" s="2">
        <v>1173</v>
      </c>
      <c r="R196" s="2">
        <v>1063</v>
      </c>
      <c r="S196" s="2">
        <v>1254</v>
      </c>
      <c r="T196" s="2">
        <v>1732</v>
      </c>
      <c r="U196" s="2">
        <v>1911</v>
      </c>
      <c r="V196" s="2">
        <v>1399</v>
      </c>
      <c r="W196" s="2">
        <v>961</v>
      </c>
      <c r="X196" s="2">
        <v>795</v>
      </c>
      <c r="Y196" s="2">
        <v>687</v>
      </c>
      <c r="Z196" s="2">
        <v>697</v>
      </c>
      <c r="AA196" s="2">
        <v>937</v>
      </c>
      <c r="AB196" s="2">
        <v>972</v>
      </c>
      <c r="AC196" s="2">
        <v>640</v>
      </c>
      <c r="AD196" s="2">
        <v>348</v>
      </c>
      <c r="AE196" s="2">
        <v>154</v>
      </c>
      <c r="AF196" s="2">
        <v>63</v>
      </c>
      <c r="AG196" s="2">
        <v>18</v>
      </c>
      <c r="AH196" s="2">
        <v>4</v>
      </c>
      <c r="AI196" s="2">
        <v>2</v>
      </c>
      <c r="AJ196" s="2">
        <v>2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/>
      <c r="AR196" s="2"/>
      <c r="AS196" s="2"/>
      <c r="AT196" s="2"/>
      <c r="AU196" s="2"/>
      <c r="AV196" s="2"/>
      <c r="AW196" s="2"/>
      <c r="AX196" s="2"/>
      <c r="AY196" s="2"/>
    </row>
    <row r="197" spans="1:51" x14ac:dyDescent="0.2">
      <c r="A197" s="4">
        <v>2007</v>
      </c>
      <c r="B197" s="2">
        <v>8</v>
      </c>
      <c r="C197" s="2">
        <v>15</v>
      </c>
      <c r="D197" s="2">
        <v>47</v>
      </c>
      <c r="E197" s="2">
        <v>51</v>
      </c>
      <c r="F197" s="2">
        <v>45</v>
      </c>
      <c r="G197" s="2">
        <v>40</v>
      </c>
      <c r="H197" s="2">
        <v>55</v>
      </c>
      <c r="I197" s="2">
        <v>48</v>
      </c>
      <c r="J197" s="2">
        <v>19</v>
      </c>
      <c r="K197" s="2">
        <v>5</v>
      </c>
      <c r="L197" s="2">
        <v>1</v>
      </c>
      <c r="M197" s="2">
        <v>0</v>
      </c>
      <c r="N197" s="2">
        <v>1</v>
      </c>
      <c r="O197" s="2">
        <v>1</v>
      </c>
      <c r="P197" s="2">
        <v>1</v>
      </c>
      <c r="Q197" s="2">
        <v>1</v>
      </c>
      <c r="R197" s="2">
        <v>5</v>
      </c>
      <c r="S197" s="2">
        <v>38</v>
      </c>
      <c r="T197" s="2">
        <v>196</v>
      </c>
      <c r="U197" s="2">
        <v>577</v>
      </c>
      <c r="V197" s="2">
        <v>879</v>
      </c>
      <c r="W197" s="2">
        <v>1015</v>
      </c>
      <c r="X197" s="2">
        <v>1269</v>
      </c>
      <c r="Y197" s="2">
        <v>1665</v>
      </c>
      <c r="Z197" s="2">
        <v>1779</v>
      </c>
      <c r="AA197" s="2">
        <v>1478</v>
      </c>
      <c r="AB197" s="2">
        <v>1086</v>
      </c>
      <c r="AC197" s="2">
        <v>1040</v>
      </c>
      <c r="AD197" s="2">
        <v>946</v>
      </c>
      <c r="AE197" s="2">
        <v>657</v>
      </c>
      <c r="AF197" s="2">
        <v>350</v>
      </c>
      <c r="AG197" s="2">
        <v>206</v>
      </c>
      <c r="AH197" s="2">
        <v>103</v>
      </c>
      <c r="AI197" s="2">
        <v>45</v>
      </c>
      <c r="AJ197" s="2">
        <v>22</v>
      </c>
      <c r="AK197" s="2">
        <v>8</v>
      </c>
      <c r="AL197" s="2">
        <v>3</v>
      </c>
      <c r="AM197" s="2">
        <v>1</v>
      </c>
      <c r="AN197" s="2">
        <v>0</v>
      </c>
      <c r="AO197" s="2">
        <v>0</v>
      </c>
      <c r="AP197" s="2">
        <v>0</v>
      </c>
      <c r="AQ197" s="2"/>
      <c r="AR197" s="2"/>
      <c r="AS197" s="2"/>
      <c r="AT197" s="2"/>
      <c r="AU197" s="2"/>
      <c r="AV197" s="2"/>
      <c r="AW197" s="2"/>
      <c r="AX197" s="2"/>
      <c r="AY197" s="2"/>
    </row>
    <row r="198" spans="1:51" x14ac:dyDescent="0.2">
      <c r="A198" s="4">
        <v>2008</v>
      </c>
      <c r="B198" s="2">
        <v>9</v>
      </c>
      <c r="C198" s="2">
        <v>71</v>
      </c>
      <c r="D198" s="2">
        <v>220</v>
      </c>
      <c r="E198" s="2">
        <v>226</v>
      </c>
      <c r="F198" s="2">
        <v>151</v>
      </c>
      <c r="G198" s="2">
        <v>93</v>
      </c>
      <c r="H198" s="2">
        <v>65</v>
      </c>
      <c r="I198" s="2">
        <v>95</v>
      </c>
      <c r="J198" s="2">
        <v>581</v>
      </c>
      <c r="K198" s="2">
        <v>1147</v>
      </c>
      <c r="L198" s="2">
        <v>1409</v>
      </c>
      <c r="M198" s="2">
        <v>1553</v>
      </c>
      <c r="N198" s="2">
        <v>1803</v>
      </c>
      <c r="O198" s="2">
        <v>1846</v>
      </c>
      <c r="P198" s="2">
        <v>1130</v>
      </c>
      <c r="Q198" s="2">
        <v>471</v>
      </c>
      <c r="R198" s="2">
        <v>263</v>
      </c>
      <c r="S198" s="2">
        <v>200</v>
      </c>
      <c r="T198" s="2">
        <v>198</v>
      </c>
      <c r="U198" s="2">
        <v>123</v>
      </c>
      <c r="V198" s="2">
        <v>97</v>
      </c>
      <c r="W198" s="2">
        <v>71</v>
      </c>
      <c r="X198" s="2">
        <v>47</v>
      </c>
      <c r="Y198" s="2">
        <v>34</v>
      </c>
      <c r="Z198" s="2">
        <v>7</v>
      </c>
      <c r="AA198" s="2">
        <v>11</v>
      </c>
      <c r="AB198" s="2">
        <v>22</v>
      </c>
      <c r="AC198" s="2">
        <v>78</v>
      </c>
      <c r="AD198" s="2">
        <v>329</v>
      </c>
      <c r="AE198" s="2">
        <v>942</v>
      </c>
      <c r="AF198" s="2">
        <v>1676</v>
      </c>
      <c r="AG198" s="2">
        <v>1618</v>
      </c>
      <c r="AH198" s="2">
        <v>994</v>
      </c>
      <c r="AI198" s="2">
        <v>499</v>
      </c>
      <c r="AJ198" s="2">
        <v>314</v>
      </c>
      <c r="AK198" s="2">
        <v>163</v>
      </c>
      <c r="AL198" s="2">
        <v>84</v>
      </c>
      <c r="AM198" s="2">
        <v>28</v>
      </c>
      <c r="AN198" s="2">
        <v>9</v>
      </c>
      <c r="AO198" s="2">
        <v>0</v>
      </c>
      <c r="AP198" s="2">
        <v>0</v>
      </c>
      <c r="AQ198" s="2"/>
      <c r="AR198" s="2"/>
      <c r="AS198" s="2"/>
      <c r="AT198" s="2"/>
      <c r="AU198" s="2"/>
      <c r="AV198" s="2"/>
      <c r="AW198" s="2"/>
      <c r="AX198" s="2"/>
      <c r="AY198" s="2"/>
    </row>
    <row r="199" spans="1:51" x14ac:dyDescent="0.2">
      <c r="A199" s="4">
        <v>2009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40</v>
      </c>
      <c r="K199" s="2">
        <v>392</v>
      </c>
      <c r="L199" s="2">
        <v>1200</v>
      </c>
      <c r="M199" s="2">
        <v>2432</v>
      </c>
      <c r="N199" s="2">
        <v>5056</v>
      </c>
      <c r="O199" s="2">
        <v>6408</v>
      </c>
      <c r="P199" s="2">
        <v>5992</v>
      </c>
      <c r="Q199" s="2">
        <v>6200</v>
      </c>
      <c r="R199" s="2">
        <v>6424</v>
      </c>
      <c r="S199" s="2">
        <v>6304</v>
      </c>
      <c r="T199" s="2">
        <v>5784</v>
      </c>
      <c r="U199" s="2">
        <v>6176</v>
      </c>
      <c r="V199" s="2">
        <v>6664</v>
      </c>
      <c r="W199" s="2">
        <v>6224</v>
      </c>
      <c r="X199" s="2">
        <v>5448</v>
      </c>
      <c r="Y199" s="2">
        <v>3928</v>
      </c>
      <c r="Z199" s="2">
        <v>2464</v>
      </c>
      <c r="AA199" s="2">
        <v>1296</v>
      </c>
      <c r="AB199" s="2">
        <v>712</v>
      </c>
      <c r="AC199" s="2">
        <v>392</v>
      </c>
      <c r="AD199" s="2">
        <v>216</v>
      </c>
      <c r="AE199" s="2">
        <v>120</v>
      </c>
      <c r="AF199" s="2">
        <v>56</v>
      </c>
      <c r="AG199" s="2">
        <v>24</v>
      </c>
      <c r="AH199" s="2">
        <v>16</v>
      </c>
      <c r="AI199" s="2">
        <v>0</v>
      </c>
      <c r="AJ199" s="2">
        <v>0</v>
      </c>
      <c r="AK199" s="2">
        <v>8</v>
      </c>
      <c r="AL199" s="2">
        <v>8</v>
      </c>
      <c r="AM199" s="2">
        <v>8</v>
      </c>
      <c r="AN199" s="2">
        <v>8</v>
      </c>
      <c r="AO199" s="2">
        <v>0</v>
      </c>
      <c r="AP199" s="2">
        <v>0</v>
      </c>
      <c r="AQ199" s="2"/>
      <c r="AR199" s="2"/>
      <c r="AS199" s="2"/>
      <c r="AT199" s="2"/>
      <c r="AU199" s="2"/>
      <c r="AV199" s="2"/>
      <c r="AW199" s="2"/>
      <c r="AX199" s="2"/>
      <c r="AY199" s="2"/>
    </row>
    <row r="200" spans="1:51" x14ac:dyDescent="0.2">
      <c r="A200" s="4">
        <v>2010</v>
      </c>
      <c r="B200" s="2">
        <v>0</v>
      </c>
      <c r="C200" s="2">
        <v>0</v>
      </c>
      <c r="D200" s="2">
        <v>0</v>
      </c>
      <c r="E200" s="2">
        <v>0</v>
      </c>
      <c r="F200" s="2">
        <v>34</v>
      </c>
      <c r="G200" s="2">
        <v>52</v>
      </c>
      <c r="H200" s="2">
        <v>52</v>
      </c>
      <c r="I200" s="2">
        <v>155</v>
      </c>
      <c r="J200" s="2">
        <v>258</v>
      </c>
      <c r="K200" s="2">
        <v>206</v>
      </c>
      <c r="L200" s="2">
        <v>189</v>
      </c>
      <c r="M200" s="2">
        <v>275</v>
      </c>
      <c r="N200" s="2">
        <v>430</v>
      </c>
      <c r="O200" s="2">
        <v>1324</v>
      </c>
      <c r="P200" s="2">
        <v>7738</v>
      </c>
      <c r="Q200" s="2">
        <v>15184</v>
      </c>
      <c r="R200" s="2">
        <v>13224</v>
      </c>
      <c r="S200" s="2">
        <v>8976</v>
      </c>
      <c r="T200" s="2">
        <v>9853</v>
      </c>
      <c r="U200" s="2">
        <v>6895</v>
      </c>
      <c r="V200" s="2">
        <v>5984</v>
      </c>
      <c r="W200" s="2">
        <v>10145</v>
      </c>
      <c r="X200" s="2">
        <v>16972</v>
      </c>
      <c r="Y200" s="2">
        <v>20704</v>
      </c>
      <c r="Z200" s="2">
        <v>19190</v>
      </c>
      <c r="AA200" s="2">
        <v>14358</v>
      </c>
      <c r="AB200" s="2">
        <v>9853</v>
      </c>
      <c r="AC200" s="2">
        <v>5399</v>
      </c>
      <c r="AD200" s="2">
        <v>2528</v>
      </c>
      <c r="AE200" s="2">
        <v>1135</v>
      </c>
      <c r="AF200" s="2">
        <v>447</v>
      </c>
      <c r="AG200" s="2">
        <v>258</v>
      </c>
      <c r="AH200" s="2">
        <v>103</v>
      </c>
      <c r="AI200" s="2">
        <v>17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/>
      <c r="AR200" s="2"/>
      <c r="AS200" s="2"/>
      <c r="AT200" s="2"/>
      <c r="AU200" s="2"/>
      <c r="AV200" s="2"/>
      <c r="AW200" s="2"/>
      <c r="AX200" s="2"/>
      <c r="AY200" s="2"/>
    </row>
    <row r="201" spans="1:51" x14ac:dyDescent="0.2">
      <c r="A201" s="4">
        <v>2011</v>
      </c>
      <c r="B201" s="2">
        <v>0</v>
      </c>
      <c r="C201" s="2">
        <v>0</v>
      </c>
      <c r="D201" s="2">
        <v>2</v>
      </c>
      <c r="E201" s="2">
        <v>4</v>
      </c>
      <c r="F201" s="2">
        <v>13</v>
      </c>
      <c r="G201" s="2">
        <v>22</v>
      </c>
      <c r="H201" s="2">
        <v>11</v>
      </c>
      <c r="I201" s="2">
        <v>4</v>
      </c>
      <c r="J201" s="2">
        <v>2</v>
      </c>
      <c r="K201" s="2">
        <v>4</v>
      </c>
      <c r="L201" s="2">
        <v>11</v>
      </c>
      <c r="M201" s="2">
        <v>22</v>
      </c>
      <c r="N201" s="2">
        <v>20</v>
      </c>
      <c r="O201" s="2">
        <v>31</v>
      </c>
      <c r="P201" s="2">
        <v>74</v>
      </c>
      <c r="Q201" s="2">
        <v>120</v>
      </c>
      <c r="R201" s="2">
        <v>142</v>
      </c>
      <c r="S201" s="2">
        <v>179</v>
      </c>
      <c r="T201" s="2">
        <v>316</v>
      </c>
      <c r="U201" s="2">
        <v>763</v>
      </c>
      <c r="V201" s="2">
        <v>2120</v>
      </c>
      <c r="W201" s="2">
        <v>3978</v>
      </c>
      <c r="X201" s="2">
        <v>4641</v>
      </c>
      <c r="Y201" s="2">
        <v>3688</v>
      </c>
      <c r="Z201" s="2">
        <v>2233</v>
      </c>
      <c r="AA201" s="2">
        <v>1213</v>
      </c>
      <c r="AB201" s="2">
        <v>652</v>
      </c>
      <c r="AC201" s="2">
        <v>375</v>
      </c>
      <c r="AD201" s="2">
        <v>277</v>
      </c>
      <c r="AE201" s="2">
        <v>338</v>
      </c>
      <c r="AF201" s="2">
        <v>275</v>
      </c>
      <c r="AG201" s="2">
        <v>166</v>
      </c>
      <c r="AH201" s="2">
        <v>74</v>
      </c>
      <c r="AI201" s="2">
        <v>24</v>
      </c>
      <c r="AJ201" s="2">
        <v>7</v>
      </c>
      <c r="AK201" s="2">
        <v>2</v>
      </c>
      <c r="AL201" s="2">
        <v>2</v>
      </c>
      <c r="AM201" s="2">
        <v>0</v>
      </c>
      <c r="AN201" s="2">
        <v>0</v>
      </c>
      <c r="AO201" s="2">
        <v>0</v>
      </c>
      <c r="AP201" s="2">
        <v>0</v>
      </c>
      <c r="AQ201" s="2"/>
      <c r="AR201" s="2"/>
      <c r="AS201" s="2"/>
      <c r="AT201" s="2"/>
      <c r="AU201" s="2"/>
      <c r="AV201" s="2"/>
      <c r="AW201" s="2"/>
      <c r="AX201" s="2"/>
      <c r="AY201" s="2"/>
    </row>
    <row r="202" spans="1:51" x14ac:dyDescent="0.2">
      <c r="A202" s="4">
        <v>2012</v>
      </c>
      <c r="B202" s="2">
        <v>169</v>
      </c>
      <c r="C202" s="2">
        <v>161</v>
      </c>
      <c r="D202" s="2">
        <v>227</v>
      </c>
      <c r="E202" s="2">
        <v>227</v>
      </c>
      <c r="F202" s="2">
        <v>54</v>
      </c>
      <c r="G202" s="2">
        <v>21</v>
      </c>
      <c r="H202" s="2">
        <v>0</v>
      </c>
      <c r="I202" s="2">
        <v>0</v>
      </c>
      <c r="J202" s="2">
        <v>0</v>
      </c>
      <c r="K202" s="2">
        <v>27</v>
      </c>
      <c r="L202" s="2">
        <v>182</v>
      </c>
      <c r="M202" s="2">
        <v>729</v>
      </c>
      <c r="N202" s="2">
        <v>822</v>
      </c>
      <c r="O202" s="2">
        <v>756</v>
      </c>
      <c r="P202" s="2">
        <v>467</v>
      </c>
      <c r="Q202" s="2">
        <v>314</v>
      </c>
      <c r="R202" s="2">
        <v>114</v>
      </c>
      <c r="S202" s="2">
        <v>74</v>
      </c>
      <c r="T202" s="2">
        <v>138</v>
      </c>
      <c r="U202" s="2">
        <v>149</v>
      </c>
      <c r="V202" s="2">
        <v>85</v>
      </c>
      <c r="W202" s="2">
        <v>43</v>
      </c>
      <c r="X202" s="2">
        <v>64</v>
      </c>
      <c r="Y202" s="2">
        <v>91</v>
      </c>
      <c r="Z202" s="2">
        <v>89</v>
      </c>
      <c r="AA202" s="2">
        <v>145</v>
      </c>
      <c r="AB202" s="2">
        <v>460</v>
      </c>
      <c r="AC202" s="2">
        <v>1034</v>
      </c>
      <c r="AD202" s="2">
        <v>2137</v>
      </c>
      <c r="AE202" s="2">
        <v>3803</v>
      </c>
      <c r="AF202" s="2">
        <v>4100</v>
      </c>
      <c r="AG202" s="2">
        <v>2182</v>
      </c>
      <c r="AH202" s="2">
        <v>915</v>
      </c>
      <c r="AI202" s="2">
        <v>299</v>
      </c>
      <c r="AJ202" s="2">
        <v>95</v>
      </c>
      <c r="AK202" s="2">
        <v>31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/>
      <c r="AR202" s="2"/>
      <c r="AS202" s="2"/>
      <c r="AT202" s="2"/>
      <c r="AU202" s="2"/>
      <c r="AV202" s="2"/>
      <c r="AW202" s="2"/>
      <c r="AX202" s="2"/>
      <c r="AY202" s="2"/>
    </row>
    <row r="203" spans="1:51" x14ac:dyDescent="0.2">
      <c r="A203" s="4">
        <v>2013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17</v>
      </c>
      <c r="M203" s="2">
        <v>0</v>
      </c>
      <c r="N203" s="2">
        <v>17</v>
      </c>
      <c r="O203" s="2">
        <v>231</v>
      </c>
      <c r="P203" s="2">
        <v>451</v>
      </c>
      <c r="Q203" s="2">
        <v>162</v>
      </c>
      <c r="R203" s="2">
        <v>35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/>
      <c r="AR203" s="2"/>
      <c r="AS203" s="2"/>
      <c r="AT203" s="2"/>
      <c r="AU203" s="2"/>
      <c r="AV203" s="2"/>
      <c r="AW203" s="2"/>
      <c r="AX203" s="2"/>
      <c r="AY203" s="2"/>
    </row>
    <row r="204" spans="1:51" x14ac:dyDescent="0.2">
      <c r="A204" s="4">
        <v>2014</v>
      </c>
      <c r="B204" s="2">
        <v>0</v>
      </c>
      <c r="C204" s="2">
        <v>0</v>
      </c>
      <c r="D204" s="2">
        <v>0</v>
      </c>
      <c r="E204" s="2">
        <v>53</v>
      </c>
      <c r="F204" s="2">
        <v>53</v>
      </c>
      <c r="G204" s="2">
        <v>53</v>
      </c>
      <c r="H204" s="2">
        <v>53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53</v>
      </c>
      <c r="O204" s="2">
        <v>0</v>
      </c>
      <c r="P204" s="2">
        <v>106</v>
      </c>
      <c r="Q204" s="2">
        <v>4377</v>
      </c>
      <c r="R204" s="2">
        <v>18221</v>
      </c>
      <c r="S204" s="2">
        <v>52278</v>
      </c>
      <c r="T204" s="2">
        <v>119239</v>
      </c>
      <c r="U204" s="2">
        <v>150535</v>
      </c>
      <c r="V204" s="2">
        <v>157464</v>
      </c>
      <c r="W204" s="2">
        <v>117077</v>
      </c>
      <c r="X204" s="2">
        <v>30214</v>
      </c>
      <c r="Y204" s="2">
        <v>425</v>
      </c>
      <c r="Z204" s="2">
        <v>53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/>
      <c r="AR204" s="2"/>
      <c r="AS204" s="2"/>
      <c r="AT204" s="2"/>
      <c r="AU204" s="2"/>
      <c r="AV204" s="2"/>
      <c r="AW204" s="2"/>
      <c r="AX204" s="2"/>
      <c r="AY204" s="2"/>
    </row>
    <row r="205" spans="1:51" x14ac:dyDescent="0.2">
      <c r="A205" s="4">
        <v>2015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3.8414360000000002E-2</v>
      </c>
      <c r="P205" s="2">
        <v>0.36864770000000002</v>
      </c>
      <c r="Q205" s="2">
        <v>0.807589</v>
      </c>
      <c r="R205" s="2">
        <v>0.70673470000000005</v>
      </c>
      <c r="S205" s="2">
        <v>0.12712770000000001</v>
      </c>
      <c r="T205" s="2">
        <v>0.104904</v>
      </c>
      <c r="U205" s="2">
        <v>0.1955548</v>
      </c>
      <c r="V205" s="2">
        <v>2.4904670000000002</v>
      </c>
      <c r="W205" s="2">
        <v>14.764810000000001</v>
      </c>
      <c r="X205" s="2">
        <v>31.855250000000002</v>
      </c>
      <c r="Y205" s="2">
        <v>27.33906</v>
      </c>
      <c r="Z205" s="2">
        <v>13.683439999999999</v>
      </c>
      <c r="AA205" s="2">
        <v>5.9515149999999997</v>
      </c>
      <c r="AB205" s="5">
        <v>1.361081</v>
      </c>
      <c r="AC205" s="2">
        <v>0.19652459999999999</v>
      </c>
      <c r="AD205" s="2">
        <v>8.8859620000000007E-3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/>
      <c r="AR205" s="2"/>
      <c r="AS205" s="2"/>
      <c r="AT205" s="2"/>
      <c r="AU205" s="2"/>
      <c r="AV205" s="2"/>
      <c r="AW205" s="2"/>
      <c r="AX205" s="2"/>
      <c r="AY205" s="2"/>
    </row>
    <row r="206" spans="1:51" x14ac:dyDescent="0.2">
      <c r="A206" s="4">
        <v>2016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0.12439890000000001</v>
      </c>
      <c r="L206" s="2">
        <v>0.7130571</v>
      </c>
      <c r="M206" s="2">
        <v>1.1303129999999999</v>
      </c>
      <c r="N206" s="2">
        <v>0.63216220000000001</v>
      </c>
      <c r="O206" s="2">
        <v>0.20919979999999999</v>
      </c>
      <c r="P206" s="2">
        <v>0.94491360000000002</v>
      </c>
      <c r="Q206" s="2">
        <v>1.7192890000000001</v>
      </c>
      <c r="R206" s="2">
        <v>1.992029</v>
      </c>
      <c r="S206" s="2">
        <v>3.8072469999999998</v>
      </c>
      <c r="T206" s="2">
        <v>4.3262429999999998</v>
      </c>
      <c r="U206" s="2">
        <v>10.580489999999999</v>
      </c>
      <c r="V206" s="2">
        <v>8.3180429999999994</v>
      </c>
      <c r="W206" s="2">
        <v>4.8470610000000001</v>
      </c>
      <c r="X206" s="2">
        <v>2.152752</v>
      </c>
      <c r="Y206" s="2">
        <v>0.39232210000000001</v>
      </c>
      <c r="Z206" s="2">
        <v>0.68156419999999995</v>
      </c>
      <c r="AA206" s="2">
        <v>1.064184</v>
      </c>
      <c r="AB206" s="2">
        <v>1.1193500000000001</v>
      </c>
      <c r="AC206" s="2">
        <v>2.8370009999999999</v>
      </c>
      <c r="AD206" s="2">
        <v>11.51454</v>
      </c>
      <c r="AE206" s="2">
        <v>20.241150000000001</v>
      </c>
      <c r="AF206" s="2">
        <v>15.31362</v>
      </c>
      <c r="AG206" s="2">
        <v>4.3636739999999996</v>
      </c>
      <c r="AH206" s="2">
        <v>0.95361030000000002</v>
      </c>
      <c r="AI206" s="2">
        <v>2.1787549999999999E-2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/>
      <c r="AR206" s="2"/>
      <c r="AS206" s="2"/>
      <c r="AT206" s="2"/>
      <c r="AU206" s="2"/>
      <c r="AV206" s="2"/>
      <c r="AW206" s="2"/>
      <c r="AX206" s="2"/>
      <c r="AY206" s="2"/>
    </row>
    <row r="207" spans="1:51" x14ac:dyDescent="0.2">
      <c r="A207" s="4">
        <v>2017</v>
      </c>
      <c r="B207" s="2">
        <v>0</v>
      </c>
      <c r="C207" s="2">
        <v>0</v>
      </c>
      <c r="D207" s="2">
        <v>0</v>
      </c>
      <c r="E207" s="2">
        <v>0</v>
      </c>
      <c r="F207" s="2">
        <v>4327.8469999999998</v>
      </c>
      <c r="G207" s="2">
        <v>15868.77</v>
      </c>
      <c r="H207" s="2">
        <v>25967.08</v>
      </c>
      <c r="I207" s="2">
        <v>25967.08</v>
      </c>
      <c r="J207" s="2">
        <v>7213.0780000000004</v>
      </c>
      <c r="K207" s="2">
        <v>2885.2310000000002</v>
      </c>
      <c r="L207" s="2">
        <v>1442.616</v>
      </c>
      <c r="M207" s="2">
        <v>2885.2310000000002</v>
      </c>
      <c r="N207" s="2">
        <v>7213.0780000000004</v>
      </c>
      <c r="O207" s="2">
        <v>17311.39</v>
      </c>
      <c r="P207" s="2">
        <v>14426.16</v>
      </c>
      <c r="Q207" s="2">
        <v>14426.16</v>
      </c>
      <c r="R207" s="2">
        <v>142818.9</v>
      </c>
      <c r="S207" s="2">
        <v>725635.7</v>
      </c>
      <c r="T207" s="2">
        <v>2234612</v>
      </c>
      <c r="U207" s="2">
        <v>3062673</v>
      </c>
      <c r="V207" s="2">
        <v>3391589</v>
      </c>
      <c r="W207" s="2">
        <v>6820687</v>
      </c>
      <c r="X207" s="2">
        <v>26946617</v>
      </c>
      <c r="Y207" s="2">
        <v>42294605</v>
      </c>
      <c r="Z207" s="2">
        <v>25791082</v>
      </c>
      <c r="AA207" s="2">
        <v>10924928</v>
      </c>
      <c r="AB207" s="2">
        <v>4763517</v>
      </c>
      <c r="AC207" s="2">
        <v>3166541</v>
      </c>
      <c r="AD207" s="2">
        <v>2781363</v>
      </c>
      <c r="AE207" s="2">
        <v>1905695</v>
      </c>
      <c r="AF207" s="2">
        <v>773242</v>
      </c>
      <c r="AG207" s="2">
        <v>323145.90000000002</v>
      </c>
      <c r="AH207" s="2">
        <v>24524.47</v>
      </c>
      <c r="AI207" s="2">
        <v>12983.54</v>
      </c>
      <c r="AJ207" s="2">
        <v>0</v>
      </c>
      <c r="AK207" s="2">
        <v>0</v>
      </c>
      <c r="AL207" s="2">
        <v>0</v>
      </c>
      <c r="AM207" s="2">
        <v>0</v>
      </c>
      <c r="AN207" s="2">
        <v>1442.616</v>
      </c>
      <c r="AO207" s="2">
        <v>0</v>
      </c>
      <c r="AP207" s="2">
        <v>0</v>
      </c>
      <c r="AQ207" s="2"/>
      <c r="AR207" s="2"/>
      <c r="AS207" s="2"/>
      <c r="AT207" s="2"/>
      <c r="AU207" s="2"/>
      <c r="AV207" s="2"/>
      <c r="AW207" s="2"/>
      <c r="AX207" s="2"/>
      <c r="AY207" s="2"/>
    </row>
    <row r="208" spans="1:51" x14ac:dyDescent="0.2">
      <c r="A208" s="4">
        <v>2018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2.5742499999999998E-4</v>
      </c>
      <c r="H208" s="2">
        <v>1.07632E-4</v>
      </c>
      <c r="I208" s="2">
        <v>2.3200529999999999E-3</v>
      </c>
      <c r="J208" s="2">
        <v>3.7643009999999998E-3</v>
      </c>
      <c r="K208" s="2">
        <v>4.8804019999999998E-3</v>
      </c>
      <c r="L208" s="2">
        <v>8.3098649999999996E-3</v>
      </c>
      <c r="M208" s="2">
        <v>1.4655400000000001E-2</v>
      </c>
      <c r="N208" s="2">
        <v>3.4622569999999998E-2</v>
      </c>
      <c r="O208" s="2">
        <v>0.10555150000000001</v>
      </c>
      <c r="P208" s="2">
        <v>0.1307652</v>
      </c>
      <c r="Q208" s="2">
        <v>0.12630060000000001</v>
      </c>
      <c r="R208" s="2">
        <v>0.14008609999999999</v>
      </c>
      <c r="S208" s="2">
        <v>0.14030629999999999</v>
      </c>
      <c r="T208" s="2">
        <v>9.5244780000000001E-2</v>
      </c>
      <c r="U208" s="2">
        <v>4.6668130000000002E-2</v>
      </c>
      <c r="V208" s="2">
        <v>4.2044610000000003E-2</v>
      </c>
      <c r="W208" s="2">
        <v>4.1487419999999997E-2</v>
      </c>
      <c r="X208" s="2">
        <v>3.1734129999999999E-2</v>
      </c>
      <c r="Y208" s="2">
        <v>2.4457639999999999E-2</v>
      </c>
      <c r="Z208" s="2">
        <v>6.2915369999999998E-3</v>
      </c>
      <c r="AA208" s="2">
        <v>1.31614E-4</v>
      </c>
      <c r="AB208" s="5">
        <v>1.29E-5</v>
      </c>
      <c r="AC208" s="2">
        <v>0</v>
      </c>
      <c r="AD208" s="2">
        <v>0</v>
      </c>
      <c r="AE208" s="2">
        <v>0</v>
      </c>
      <c r="AF208" s="2">
        <v>0</v>
      </c>
      <c r="AG208" s="2">
        <v>9.2632800000000005E-3</v>
      </c>
      <c r="AH208" s="2">
        <v>4.3894240000000003E-3</v>
      </c>
      <c r="AI208" s="2">
        <v>2.2423619999999999E-3</v>
      </c>
      <c r="AJ208" s="2">
        <v>1.390942E-3</v>
      </c>
      <c r="AK208" s="2">
        <v>1.829668E-3</v>
      </c>
      <c r="AL208" s="2">
        <v>1.095443E-3</v>
      </c>
      <c r="AM208" s="2">
        <v>0</v>
      </c>
      <c r="AN208" s="2">
        <v>0</v>
      </c>
      <c r="AO208" s="2">
        <v>0</v>
      </c>
      <c r="AP208" s="2">
        <v>0</v>
      </c>
      <c r="AQ208" s="2"/>
      <c r="AR208" s="2"/>
      <c r="AS208" s="2"/>
      <c r="AT208" s="2"/>
      <c r="AU208" s="2"/>
      <c r="AV208" s="2"/>
      <c r="AW208" s="2"/>
      <c r="AX208" s="2"/>
      <c r="AY208" s="2"/>
    </row>
    <row r="209" spans="1:51" x14ac:dyDescent="0.2">
      <c r="A209" s="4">
        <v>2019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3.9603821479999999</v>
      </c>
      <c r="J209" s="2">
        <v>41.79291018</v>
      </c>
      <c r="K209" s="2">
        <v>63.592828099999998</v>
      </c>
      <c r="L209" s="2">
        <v>172.96080259999999</v>
      </c>
      <c r="M209" s="2">
        <v>438.05056719999999</v>
      </c>
      <c r="N209" s="2">
        <v>1094.5699540000001</v>
      </c>
      <c r="O209" s="2">
        <v>2353.8653389999999</v>
      </c>
      <c r="P209" s="2">
        <v>2871.8252830000001</v>
      </c>
      <c r="Q209" s="2">
        <v>2719.8594349999998</v>
      </c>
      <c r="R209" s="2">
        <v>2936.9743250000001</v>
      </c>
      <c r="S209" s="2">
        <v>3425.4170260000001</v>
      </c>
      <c r="T209" s="2">
        <v>3244.01674</v>
      </c>
      <c r="U209" s="2">
        <v>3366.192685</v>
      </c>
      <c r="V209" s="2">
        <v>3408.4992339999999</v>
      </c>
      <c r="W209" s="2">
        <v>3683.638058</v>
      </c>
      <c r="X209" s="2">
        <v>3378.7433550000001</v>
      </c>
      <c r="Y209" s="2">
        <v>3121.850672</v>
      </c>
      <c r="Z209" s="2">
        <v>2803.6437599999999</v>
      </c>
      <c r="AA209" s="2">
        <v>2203.7200039999998</v>
      </c>
      <c r="AB209" s="2">
        <v>1289.139975</v>
      </c>
      <c r="AC209" s="2">
        <v>711.145309</v>
      </c>
      <c r="AD209" s="2">
        <v>416.94473110000001</v>
      </c>
      <c r="AE209" s="2">
        <v>214.03755839999999</v>
      </c>
      <c r="AF209" s="2">
        <v>189.81496150000001</v>
      </c>
      <c r="AG209" s="2">
        <v>136.12373400000001</v>
      </c>
      <c r="AH209" s="2">
        <v>31.61673953</v>
      </c>
      <c r="AI209" s="2">
        <v>18.428505390000002</v>
      </c>
      <c r="AJ209" s="2">
        <v>7.5271920569999997</v>
      </c>
      <c r="AK209" s="2">
        <v>5.6703593489999999</v>
      </c>
      <c r="AL209" s="2">
        <v>9.5748193090000004</v>
      </c>
      <c r="AM209" s="2">
        <v>5.6064343909999996</v>
      </c>
      <c r="AN209" s="2">
        <v>0.57712667799999995</v>
      </c>
      <c r="AO209" s="2">
        <v>0</v>
      </c>
      <c r="AP209" s="2">
        <v>0</v>
      </c>
      <c r="AQ209" s="2"/>
      <c r="AR209" s="2"/>
      <c r="AS209" s="2"/>
      <c r="AT209" s="2"/>
      <c r="AU209" s="2"/>
      <c r="AV209" s="2"/>
      <c r="AW209" s="2"/>
      <c r="AX209" s="2"/>
      <c r="AY209" s="2"/>
    </row>
    <row r="210" spans="1:51" x14ac:dyDescent="0.2">
      <c r="A210" s="4"/>
      <c r="B210" s="2">
        <v>0</v>
      </c>
      <c r="C210" s="2">
        <v>0</v>
      </c>
      <c r="D210" s="2">
        <v>0</v>
      </c>
      <c r="E210" s="2">
        <v>3.252930171</v>
      </c>
      <c r="F210" s="2">
        <v>37.191132140000001</v>
      </c>
      <c r="G210" s="2">
        <v>202.2133302</v>
      </c>
      <c r="H210" s="2">
        <v>468.41903589999998</v>
      </c>
      <c r="I210" s="2">
        <v>851.10023090000004</v>
      </c>
      <c r="J210" s="2">
        <v>1152.8459580000001</v>
      </c>
      <c r="K210" s="2">
        <v>1481.451341</v>
      </c>
      <c r="L210" s="2">
        <v>1976.5301979999999</v>
      </c>
      <c r="M210" s="2">
        <v>2595.6008109999998</v>
      </c>
      <c r="N210" s="2">
        <v>3197.197388</v>
      </c>
      <c r="O210" s="2">
        <v>3076.7962339999999</v>
      </c>
      <c r="P210" s="2">
        <v>2905.2822759999999</v>
      </c>
      <c r="Q210" s="2">
        <v>2734.0445530000002</v>
      </c>
      <c r="R210" s="2">
        <v>3087.8343439999999</v>
      </c>
      <c r="S210" s="2">
        <v>3072.7869019999998</v>
      </c>
      <c r="T210" s="2">
        <v>2682.3819189999999</v>
      </c>
      <c r="U210" s="2">
        <v>1982.8464200000001</v>
      </c>
      <c r="V210" s="2">
        <v>1861.2867200000001</v>
      </c>
      <c r="W210" s="2">
        <v>1391.2322320000001</v>
      </c>
      <c r="X210" s="2">
        <v>1142.2779720000001</v>
      </c>
      <c r="Y210" s="2">
        <v>1172.067055</v>
      </c>
      <c r="Z210" s="2">
        <v>1154.4050580000001</v>
      </c>
      <c r="AA210" s="2">
        <v>852.83453110000005</v>
      </c>
      <c r="AB210" s="2">
        <v>619.10110529999997</v>
      </c>
      <c r="AC210" s="2">
        <v>463.48858999999999</v>
      </c>
      <c r="AD210" s="2">
        <v>274.55157229999998</v>
      </c>
      <c r="AE210" s="2">
        <v>78.839393419999993</v>
      </c>
      <c r="AF210" s="2">
        <v>43.783505509999998</v>
      </c>
      <c r="AG210" s="2">
        <v>15.937447199999999</v>
      </c>
      <c r="AH210" s="2">
        <v>7.8352580100000004</v>
      </c>
      <c r="AI210" s="2">
        <v>9.1208749630000003</v>
      </c>
      <c r="AJ210" s="2">
        <v>16.69576464</v>
      </c>
      <c r="AK210" s="2">
        <v>13.388495600000001</v>
      </c>
      <c r="AL210" s="2">
        <v>18.488274870000001</v>
      </c>
      <c r="AM210" s="2">
        <v>11.43492241</v>
      </c>
      <c r="AN210" s="2">
        <v>6.3351431360000001</v>
      </c>
      <c r="AO210" s="2">
        <v>1.5739247860000001</v>
      </c>
      <c r="AP210" s="2">
        <v>8</v>
      </c>
      <c r="AQ210" s="2"/>
      <c r="AR210" s="2"/>
      <c r="AS210" s="2"/>
      <c r="AT210" s="2"/>
      <c r="AU210" s="2"/>
      <c r="AV210" s="2"/>
      <c r="AW210" s="2"/>
      <c r="AX210" s="2"/>
      <c r="AY210" s="2"/>
    </row>
    <row r="211" spans="1:51" x14ac:dyDescent="0.2">
      <c r="A211" s="4" t="s">
        <v>29</v>
      </c>
      <c r="B211" s="2">
        <v>0</v>
      </c>
      <c r="C211" s="2">
        <v>0</v>
      </c>
      <c r="D211" s="2">
        <v>2.1061124699999998</v>
      </c>
      <c r="E211" s="2">
        <v>11.431643640000001</v>
      </c>
      <c r="F211" s="2">
        <v>44.164358739999997</v>
      </c>
      <c r="G211" s="2">
        <v>83.987619769999995</v>
      </c>
      <c r="H211" s="2">
        <v>277.19611409999999</v>
      </c>
      <c r="I211" s="2">
        <v>689.7673767</v>
      </c>
      <c r="J211" s="2">
        <v>1150.402859</v>
      </c>
      <c r="K211" s="2">
        <v>1303.687719</v>
      </c>
      <c r="L211" s="2">
        <v>1344.1443839999999</v>
      </c>
      <c r="M211" s="2">
        <v>1893.159163</v>
      </c>
      <c r="N211" s="2">
        <v>3984.6196709999999</v>
      </c>
      <c r="O211" s="2">
        <v>7099.5370140000005</v>
      </c>
      <c r="P211" s="2">
        <v>14494.206330000001</v>
      </c>
      <c r="Q211" s="2">
        <v>22497.34492</v>
      </c>
      <c r="R211" s="2">
        <v>30094.57158</v>
      </c>
      <c r="S211" s="2">
        <v>37378.021919999999</v>
      </c>
      <c r="T211" s="2">
        <v>29902.822779999999</v>
      </c>
      <c r="U211" s="2">
        <v>14623.9784</v>
      </c>
      <c r="V211" s="2">
        <v>9824.0156160000006</v>
      </c>
      <c r="W211" s="2">
        <v>7308.5431349999999</v>
      </c>
      <c r="X211" s="2">
        <v>5373.9891189999998</v>
      </c>
      <c r="Y211" s="2">
        <v>3991.4327840000001</v>
      </c>
      <c r="Z211" s="2">
        <v>3097.5869600000001</v>
      </c>
      <c r="AA211" s="2">
        <v>2432.0753650000001</v>
      </c>
      <c r="AB211" s="2">
        <v>1912.0156010000001</v>
      </c>
      <c r="AC211" s="2">
        <v>1351.7142530000001</v>
      </c>
      <c r="AD211" s="2">
        <v>978.66734480000002</v>
      </c>
      <c r="AE211" s="2">
        <v>643.71129059999998</v>
      </c>
      <c r="AF211" s="2">
        <v>263.61864120000001</v>
      </c>
      <c r="AG211" s="2">
        <v>189.88017730000001</v>
      </c>
      <c r="AH211" s="2">
        <v>88.515430179999996</v>
      </c>
      <c r="AI211" s="2">
        <v>62.315171049999996</v>
      </c>
      <c r="AJ211" s="2">
        <v>52.512979340000001</v>
      </c>
      <c r="AK211" s="2">
        <v>26.897472230000002</v>
      </c>
      <c r="AL211" s="2">
        <v>11.26523718</v>
      </c>
      <c r="AM211" s="2">
        <v>4.8639121899999997</v>
      </c>
      <c r="AN211" s="2">
        <v>0.72891809600000002</v>
      </c>
      <c r="AO211" s="2">
        <v>0</v>
      </c>
      <c r="AP211" s="2">
        <v>0</v>
      </c>
      <c r="AQ211" s="2"/>
      <c r="AR211" s="2"/>
      <c r="AS211" s="2"/>
      <c r="AT211" s="2"/>
      <c r="AU211" s="2"/>
      <c r="AV211" s="2"/>
      <c r="AW211" s="2"/>
      <c r="AX211" s="2"/>
      <c r="AY211" s="2"/>
    </row>
    <row r="212" spans="1:51" x14ac:dyDescent="0.2">
      <c r="A212" s="4">
        <v>1971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3.2532949480000002</v>
      </c>
      <c r="H212" s="2">
        <v>66.480021980000004</v>
      </c>
      <c r="I212" s="2">
        <v>87.021221639999993</v>
      </c>
      <c r="J212" s="2">
        <v>94.828893010000002</v>
      </c>
      <c r="K212" s="2">
        <v>122.67706920000001</v>
      </c>
      <c r="L212" s="2">
        <v>297.62803780000002</v>
      </c>
      <c r="M212" s="2">
        <v>909.51397799999995</v>
      </c>
      <c r="N212" s="2">
        <v>1662.4220299999999</v>
      </c>
      <c r="O212" s="2">
        <v>2504.5857030000002</v>
      </c>
      <c r="P212" s="2">
        <v>3557.4657120000002</v>
      </c>
      <c r="Q212" s="2">
        <v>4987.1970719999999</v>
      </c>
      <c r="R212" s="2">
        <v>6588.567986</v>
      </c>
      <c r="S212" s="2">
        <v>10299.62305</v>
      </c>
      <c r="T212" s="2">
        <v>17116.985830000001</v>
      </c>
      <c r="U212" s="2">
        <v>26852.00994</v>
      </c>
      <c r="V212" s="2">
        <v>38965.206180000001</v>
      </c>
      <c r="W212" s="2">
        <v>53692.857730000003</v>
      </c>
      <c r="X212" s="2">
        <v>58023.588759999999</v>
      </c>
      <c r="Y212" s="2">
        <v>45494.204579999998</v>
      </c>
      <c r="Z212" s="2">
        <v>28298.588179999999</v>
      </c>
      <c r="AA212" s="2">
        <v>16069.182779999999</v>
      </c>
      <c r="AB212" s="2">
        <v>9355.1428820000001</v>
      </c>
      <c r="AC212" s="2">
        <v>5578.936944</v>
      </c>
      <c r="AD212" s="2">
        <v>3747.4581939999998</v>
      </c>
      <c r="AE212" s="2">
        <v>1929.5749060000001</v>
      </c>
      <c r="AF212" s="2">
        <v>812.30067450000001</v>
      </c>
      <c r="AG212" s="2">
        <v>564.49395249999998</v>
      </c>
      <c r="AH212" s="2">
        <v>260.82607059999998</v>
      </c>
      <c r="AI212" s="2">
        <v>177.7634912</v>
      </c>
      <c r="AJ212" s="2">
        <v>119.4509319</v>
      </c>
      <c r="AK212" s="2">
        <v>43.496813789999997</v>
      </c>
      <c r="AL212" s="2">
        <v>5.9718187699999996</v>
      </c>
      <c r="AM212" s="2">
        <v>0</v>
      </c>
      <c r="AN212" s="2">
        <v>0</v>
      </c>
      <c r="AO212" s="2">
        <v>0</v>
      </c>
      <c r="AP212" s="2">
        <v>0</v>
      </c>
      <c r="AQ212" s="2"/>
      <c r="AR212" s="2"/>
      <c r="AS212" s="2"/>
      <c r="AT212" s="2"/>
      <c r="AU212" s="2"/>
      <c r="AV212" s="2"/>
      <c r="AW212" s="2"/>
      <c r="AX212" s="2"/>
      <c r="AY212" s="2"/>
    </row>
    <row r="213" spans="1:51" x14ac:dyDescent="0.2">
      <c r="A213" s="4">
        <v>1972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24.494669829999999</v>
      </c>
      <c r="N213" s="2">
        <v>61.511433779999997</v>
      </c>
      <c r="O213" s="2">
        <v>238.03913109999999</v>
      </c>
      <c r="P213" s="2">
        <v>611.76965089999999</v>
      </c>
      <c r="Q213" s="2">
        <v>1027.2229689999999</v>
      </c>
      <c r="R213" s="2">
        <v>1417.3091569999999</v>
      </c>
      <c r="S213" s="2">
        <v>2111.491004</v>
      </c>
      <c r="T213" s="2">
        <v>2733.0669619999999</v>
      </c>
      <c r="U213" s="2">
        <v>3405.6973109999999</v>
      </c>
      <c r="V213" s="2">
        <v>5231.8377540000001</v>
      </c>
      <c r="W213" s="2">
        <v>8907.3985960000009</v>
      </c>
      <c r="X213" s="2">
        <v>17238.876810000002</v>
      </c>
      <c r="Y213" s="2">
        <v>28685.221610000001</v>
      </c>
      <c r="Z213" s="2">
        <v>37826.593350000003</v>
      </c>
      <c r="AA213" s="2">
        <v>34396.694860000003</v>
      </c>
      <c r="AB213" s="2">
        <v>22929.813689999999</v>
      </c>
      <c r="AC213" s="2">
        <v>12276.258900000001</v>
      </c>
      <c r="AD213" s="2">
        <v>7033.027744</v>
      </c>
      <c r="AE213" s="2">
        <v>2900.5052999999998</v>
      </c>
      <c r="AF213" s="2">
        <v>1323.9982339999999</v>
      </c>
      <c r="AG213" s="2">
        <v>486.45925269999998</v>
      </c>
      <c r="AH213" s="2">
        <v>129.6158289</v>
      </c>
      <c r="AI213" s="2">
        <v>60.240907589999999</v>
      </c>
      <c r="AJ213" s="2">
        <v>38.206466579999997</v>
      </c>
      <c r="AK213" s="2">
        <v>27.943196449999999</v>
      </c>
      <c r="AL213" s="2">
        <v>19.103587269999998</v>
      </c>
      <c r="AM213" s="2">
        <v>10.1978557</v>
      </c>
      <c r="AN213" s="2">
        <v>1.1311553599999999</v>
      </c>
      <c r="AO213" s="2">
        <v>0</v>
      </c>
      <c r="AP213" s="2">
        <v>0</v>
      </c>
      <c r="AQ213" s="2"/>
      <c r="AR213" s="2"/>
      <c r="AS213" s="2"/>
      <c r="AT213" s="2"/>
      <c r="AU213" s="2"/>
      <c r="AV213" s="2"/>
      <c r="AW213" s="2"/>
      <c r="AX213" s="2"/>
      <c r="AY213" s="2"/>
    </row>
    <row r="214" spans="1:51" x14ac:dyDescent="0.2">
      <c r="A214" s="4">
        <v>1973</v>
      </c>
      <c r="B214" s="2" t="s">
        <v>28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</row>
    <row r="215" spans="1:51" x14ac:dyDescent="0.2">
      <c r="A215" s="4">
        <v>1974</v>
      </c>
      <c r="B215" s="2">
        <v>0.05</v>
      </c>
      <c r="C215" s="2">
        <v>8.8999999999999996E-2</v>
      </c>
      <c r="D215" s="2">
        <v>0.129</v>
      </c>
      <c r="E215" s="2">
        <v>0.189</v>
      </c>
      <c r="F215" s="2">
        <v>0.248</v>
      </c>
      <c r="G215" s="2">
        <v>0.313</v>
      </c>
      <c r="H215" s="2">
        <v>0.39600000000000002</v>
      </c>
      <c r="I215" s="2">
        <v>0.48799999999999999</v>
      </c>
      <c r="J215" s="2">
        <v>0.58399999999999996</v>
      </c>
      <c r="K215" s="2">
        <v>0.72799999999999998</v>
      </c>
      <c r="L215" s="2">
        <v>0.88</v>
      </c>
      <c r="M215" s="2">
        <v>1.115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</row>
    <row r="216" spans="1:51" x14ac:dyDescent="0.2">
      <c r="A216" s="4">
        <v>1975</v>
      </c>
      <c r="B216" s="2">
        <v>0.05</v>
      </c>
      <c r="C216" s="2">
        <v>8.8999999999999996E-2</v>
      </c>
      <c r="D216" s="2">
        <v>0.129</v>
      </c>
      <c r="E216" s="2">
        <v>0.189</v>
      </c>
      <c r="F216" s="2">
        <v>0.248</v>
      </c>
      <c r="G216" s="2">
        <v>0.313</v>
      </c>
      <c r="H216" s="2">
        <v>0.39600000000000002</v>
      </c>
      <c r="I216" s="2">
        <v>0.48799999999999999</v>
      </c>
      <c r="J216" s="2">
        <v>0.58399999999999996</v>
      </c>
      <c r="K216" s="2">
        <v>0.72799999999999998</v>
      </c>
      <c r="L216" s="2">
        <v>0.88</v>
      </c>
      <c r="M216" s="2">
        <v>1.115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</row>
    <row r="217" spans="1:51" x14ac:dyDescent="0.2">
      <c r="A217" s="4">
        <v>1976</v>
      </c>
      <c r="B217" s="2">
        <v>0.05</v>
      </c>
      <c r="C217" s="2">
        <v>8.8999999999999996E-2</v>
      </c>
      <c r="D217" s="2">
        <v>0.129</v>
      </c>
      <c r="E217" s="2">
        <v>0.189</v>
      </c>
      <c r="F217" s="2">
        <v>0.248</v>
      </c>
      <c r="G217" s="2">
        <v>0.313</v>
      </c>
      <c r="H217" s="2">
        <v>0.39600000000000002</v>
      </c>
      <c r="I217" s="2">
        <v>0.48799999999999999</v>
      </c>
      <c r="J217" s="2">
        <v>0.58399999999999996</v>
      </c>
      <c r="K217" s="2">
        <v>0.72799999999999998</v>
      </c>
      <c r="L217" s="2">
        <v>0.88</v>
      </c>
      <c r="M217" s="2">
        <v>1.115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</row>
    <row r="218" spans="1:51" x14ac:dyDescent="0.2">
      <c r="A218" s="4">
        <v>1977</v>
      </c>
      <c r="B218" s="2">
        <v>0.05</v>
      </c>
      <c r="C218" s="2">
        <v>8.8999999999999996E-2</v>
      </c>
      <c r="D218" s="2">
        <v>0.129</v>
      </c>
      <c r="E218" s="2">
        <v>0.189</v>
      </c>
      <c r="F218" s="2">
        <v>0.248</v>
      </c>
      <c r="G218" s="2">
        <v>0.313</v>
      </c>
      <c r="H218" s="2">
        <v>0.39600000000000002</v>
      </c>
      <c r="I218" s="2">
        <v>0.48799999999999999</v>
      </c>
      <c r="J218" s="2">
        <v>0.58399999999999996</v>
      </c>
      <c r="K218" s="2">
        <v>0.72799999999999998</v>
      </c>
      <c r="L218" s="2">
        <v>0.88</v>
      </c>
      <c r="M218" s="2">
        <v>1.115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</row>
    <row r="219" spans="1:51" x14ac:dyDescent="0.2">
      <c r="A219" s="4">
        <v>1978</v>
      </c>
      <c r="B219" s="2">
        <v>0.05</v>
      </c>
      <c r="C219" s="2">
        <v>8.8999999999999996E-2</v>
      </c>
      <c r="D219" s="2">
        <v>0.129</v>
      </c>
      <c r="E219" s="2">
        <v>0.189</v>
      </c>
      <c r="F219" s="2">
        <v>0.248</v>
      </c>
      <c r="G219" s="2">
        <v>0.313</v>
      </c>
      <c r="H219" s="2">
        <v>0.39600000000000002</v>
      </c>
      <c r="I219" s="2">
        <v>0.48799999999999999</v>
      </c>
      <c r="J219" s="2">
        <v>0.58399999999999996</v>
      </c>
      <c r="K219" s="2">
        <v>0.72799999999999998</v>
      </c>
      <c r="L219" s="2">
        <v>0.88</v>
      </c>
      <c r="M219" s="2">
        <v>1.115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</row>
    <row r="220" spans="1:51" x14ac:dyDescent="0.2">
      <c r="A220" s="4">
        <v>1979</v>
      </c>
      <c r="B220" s="2">
        <v>0.05</v>
      </c>
      <c r="C220" s="2">
        <v>8.8999999999999996E-2</v>
      </c>
      <c r="D220" s="2">
        <v>0.129</v>
      </c>
      <c r="E220" s="2">
        <v>0.189</v>
      </c>
      <c r="F220" s="2">
        <v>0.248</v>
      </c>
      <c r="G220" s="2">
        <v>0.313</v>
      </c>
      <c r="H220" s="2">
        <v>0.39600000000000002</v>
      </c>
      <c r="I220" s="2">
        <v>0.48799999999999999</v>
      </c>
      <c r="J220" s="2">
        <v>0.58399999999999996</v>
      </c>
      <c r="K220" s="2">
        <v>0.72799999999999998</v>
      </c>
      <c r="L220" s="2">
        <v>0.88</v>
      </c>
      <c r="M220" s="2">
        <v>1.115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</row>
    <row r="221" spans="1:51" x14ac:dyDescent="0.2">
      <c r="A221" s="4">
        <v>1980</v>
      </c>
      <c r="B221" s="2">
        <v>0.05</v>
      </c>
      <c r="C221" s="2">
        <v>8.8999999999999996E-2</v>
      </c>
      <c r="D221" s="2">
        <v>0.129</v>
      </c>
      <c r="E221" s="2">
        <v>0.189</v>
      </c>
      <c r="F221" s="2">
        <v>0.248</v>
      </c>
      <c r="G221" s="2">
        <v>0.313</v>
      </c>
      <c r="H221" s="2">
        <v>0.39600000000000002</v>
      </c>
      <c r="I221" s="2">
        <v>0.48799999999999999</v>
      </c>
      <c r="J221" s="2">
        <v>0.58399999999999996</v>
      </c>
      <c r="K221" s="2">
        <v>0.72799999999999998</v>
      </c>
      <c r="L221" s="2">
        <v>0.88</v>
      </c>
      <c r="M221" s="2">
        <v>1.115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</row>
    <row r="222" spans="1:51" x14ac:dyDescent="0.2">
      <c r="A222" s="4">
        <v>1981</v>
      </c>
      <c r="B222" s="2">
        <v>0.05</v>
      </c>
      <c r="C222" s="2">
        <v>8.8999999999999996E-2</v>
      </c>
      <c r="D222" s="2">
        <v>0.129</v>
      </c>
      <c r="E222" s="2">
        <v>0.189</v>
      </c>
      <c r="F222" s="2">
        <v>0.248</v>
      </c>
      <c r="G222" s="2">
        <v>0.313</v>
      </c>
      <c r="H222" s="2">
        <v>0.39600000000000002</v>
      </c>
      <c r="I222" s="2">
        <v>0.48799999999999999</v>
      </c>
      <c r="J222" s="2">
        <v>0.58399999999999996</v>
      </c>
      <c r="K222" s="2">
        <v>0.72799999999999998</v>
      </c>
      <c r="L222" s="2">
        <v>0.88</v>
      </c>
      <c r="M222" s="2">
        <v>1.115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</row>
    <row r="223" spans="1:51" x14ac:dyDescent="0.2">
      <c r="A223" s="4">
        <v>1982</v>
      </c>
      <c r="B223" s="2">
        <v>0.05</v>
      </c>
      <c r="C223" s="2">
        <v>0.105</v>
      </c>
      <c r="D223" s="2">
        <v>0.124</v>
      </c>
      <c r="E223" s="2">
        <v>0.16300000000000001</v>
      </c>
      <c r="F223" s="2">
        <v>0.20399999999999999</v>
      </c>
      <c r="G223" s="2">
        <v>0.314</v>
      </c>
      <c r="H223" s="2">
        <v>0.36899999999999999</v>
      </c>
      <c r="I223" s="2">
        <v>0.40500000000000003</v>
      </c>
      <c r="J223" s="2">
        <v>0.434</v>
      </c>
      <c r="K223" s="2">
        <v>0.45300000000000001</v>
      </c>
      <c r="L223" s="2">
        <v>0.59</v>
      </c>
      <c r="M223" s="2">
        <v>1.115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</row>
    <row r="224" spans="1:51" x14ac:dyDescent="0.2">
      <c r="A224" s="4">
        <v>1983</v>
      </c>
      <c r="B224" s="2">
        <v>0.05</v>
      </c>
      <c r="C224" s="2">
        <v>0.108</v>
      </c>
      <c r="D224" s="2">
        <v>0.16300000000000001</v>
      </c>
      <c r="E224" s="2">
        <v>0.17899999999999999</v>
      </c>
      <c r="F224" s="2">
        <v>0.217</v>
      </c>
      <c r="G224" s="2">
        <v>0.27400000000000002</v>
      </c>
      <c r="H224" s="2">
        <v>0.37</v>
      </c>
      <c r="I224" s="2">
        <v>0.42</v>
      </c>
      <c r="J224" s="2">
        <v>0.47399999999999998</v>
      </c>
      <c r="K224" s="2">
        <v>0.629</v>
      </c>
      <c r="L224" s="2">
        <v>0.63300000000000001</v>
      </c>
      <c r="M224" s="2">
        <v>1.115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</row>
    <row r="225" spans="1:51" x14ac:dyDescent="0.2">
      <c r="A225" s="4">
        <v>1984</v>
      </c>
      <c r="B225" s="2">
        <v>0.05</v>
      </c>
      <c r="C225" s="2">
        <v>6.9000000000000006E-2</v>
      </c>
      <c r="D225" s="2">
        <v>0.11799999999999999</v>
      </c>
      <c r="E225" s="2">
        <v>0.21</v>
      </c>
      <c r="F225" s="2">
        <v>0.25600000000000001</v>
      </c>
      <c r="G225" s="2">
        <v>0.32400000000000001</v>
      </c>
      <c r="H225" s="2">
        <v>0.41</v>
      </c>
      <c r="I225" s="2">
        <v>0.45100000000000001</v>
      </c>
      <c r="J225" s="2">
        <v>0.51100000000000001</v>
      </c>
      <c r="K225" s="2">
        <v>0.998</v>
      </c>
      <c r="L225" s="2">
        <v>0.88</v>
      </c>
      <c r="M225" s="2">
        <v>1.115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</row>
    <row r="226" spans="1:51" x14ac:dyDescent="0.2">
      <c r="A226" s="4">
        <v>1985</v>
      </c>
      <c r="B226" s="2">
        <v>0.05</v>
      </c>
      <c r="C226" s="2">
        <v>9.4E-2</v>
      </c>
      <c r="D226" s="2">
        <v>0.13900000000000001</v>
      </c>
      <c r="E226" s="2">
        <v>0.214</v>
      </c>
      <c r="F226" s="2">
        <v>0.26900000000000002</v>
      </c>
      <c r="G226" s="2">
        <v>0.33100000000000002</v>
      </c>
      <c r="H226" s="2">
        <v>0.41199999999999998</v>
      </c>
      <c r="I226" s="2">
        <v>0.48099999999999998</v>
      </c>
      <c r="J226" s="2">
        <v>0.57999999999999996</v>
      </c>
      <c r="K226" s="2">
        <v>0.66100000000000003</v>
      </c>
      <c r="L226" s="2">
        <v>1.1120000000000001</v>
      </c>
      <c r="M226" s="2">
        <v>1.115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</row>
    <row r="227" spans="1:51" x14ac:dyDescent="0.2">
      <c r="A227" s="4">
        <v>1986</v>
      </c>
      <c r="B227" s="2">
        <v>7.0999999999999994E-2</v>
      </c>
      <c r="C227" s="2">
        <v>9.2999999999999999E-2</v>
      </c>
      <c r="D227" s="2">
        <v>0.16800000000000001</v>
      </c>
      <c r="E227" s="2">
        <v>0.20200000000000001</v>
      </c>
      <c r="F227" s="2">
        <v>0.248</v>
      </c>
      <c r="G227" s="2">
        <v>0.30499999999999999</v>
      </c>
      <c r="H227" s="2">
        <v>0.35599999999999998</v>
      </c>
      <c r="I227" s="2">
        <v>0.41099999999999998</v>
      </c>
      <c r="J227" s="2">
        <v>0.44600000000000001</v>
      </c>
      <c r="K227" s="2">
        <v>0.47099999999999997</v>
      </c>
      <c r="L227" s="2">
        <v>0.71899999999999997</v>
      </c>
      <c r="M227" s="2">
        <v>1.115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</row>
    <row r="228" spans="1:51" x14ac:dyDescent="0.2">
      <c r="A228" s="4">
        <v>1987</v>
      </c>
      <c r="B228" s="2">
        <v>8.4000000000000005E-2</v>
      </c>
      <c r="C228" s="2">
        <v>9.9000000000000005E-2</v>
      </c>
      <c r="D228" s="2">
        <v>0.11899999999999999</v>
      </c>
      <c r="E228" s="2">
        <v>0.221</v>
      </c>
      <c r="F228" s="2">
        <v>0.26400000000000001</v>
      </c>
      <c r="G228" s="2">
        <v>0.314</v>
      </c>
      <c r="H228" s="2">
        <v>0.377</v>
      </c>
      <c r="I228" s="2">
        <v>0.42899999999999999</v>
      </c>
      <c r="J228" s="2">
        <v>0.47499999999999998</v>
      </c>
      <c r="K228" s="2">
        <v>0.52800000000000002</v>
      </c>
      <c r="L228" s="2">
        <v>0.54</v>
      </c>
      <c r="M228" s="2">
        <v>1.115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</row>
    <row r="229" spans="1:51" x14ac:dyDescent="0.2">
      <c r="A229" s="4">
        <v>1988</v>
      </c>
      <c r="B229" s="2">
        <v>0.05</v>
      </c>
      <c r="C229" s="2">
        <v>0.16400000000000001</v>
      </c>
      <c r="D229" s="2">
        <v>0.186</v>
      </c>
      <c r="E229" s="2">
        <v>0.217</v>
      </c>
      <c r="F229" s="2">
        <v>0.27300000000000002</v>
      </c>
      <c r="G229" s="2">
        <v>0.34499999999999997</v>
      </c>
      <c r="H229" s="2">
        <v>0.39400000000000002</v>
      </c>
      <c r="I229" s="2">
        <v>0.437</v>
      </c>
      <c r="J229" s="2">
        <v>0.497</v>
      </c>
      <c r="K229" s="2">
        <v>0.56799999999999995</v>
      </c>
      <c r="L229" s="2">
        <v>0.78600000000000003</v>
      </c>
      <c r="M229" s="2">
        <v>1.115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</row>
    <row r="230" spans="1:51" x14ac:dyDescent="0.2">
      <c r="A230" s="4">
        <v>1989</v>
      </c>
      <c r="B230" s="2">
        <v>0.05</v>
      </c>
      <c r="C230" s="2">
        <v>0.16700000000000001</v>
      </c>
      <c r="D230" s="2">
        <v>0.17299999999999999</v>
      </c>
      <c r="E230" s="2">
        <v>0.224</v>
      </c>
      <c r="F230" s="2">
        <v>0.27100000000000002</v>
      </c>
      <c r="G230" s="2">
        <v>0.34</v>
      </c>
      <c r="H230" s="2">
        <v>0.40100000000000002</v>
      </c>
      <c r="I230" s="2">
        <v>0.46500000000000002</v>
      </c>
      <c r="J230" s="2">
        <v>0.53600000000000003</v>
      </c>
      <c r="K230" s="2">
        <v>0.58199999999999996</v>
      </c>
      <c r="L230" s="2">
        <v>0.72599999999999998</v>
      </c>
      <c r="M230" s="2">
        <v>1.115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</row>
    <row r="231" spans="1:51" x14ac:dyDescent="0.2">
      <c r="A231" s="4">
        <v>1990</v>
      </c>
      <c r="B231" s="2">
        <v>9.6000000000000002E-2</v>
      </c>
      <c r="C231" s="2">
        <v>9.9000000000000005E-2</v>
      </c>
      <c r="D231" s="2">
        <v>0.14299999999999999</v>
      </c>
      <c r="E231" s="2">
        <v>0.222</v>
      </c>
      <c r="F231" s="2">
        <v>0.28899999999999998</v>
      </c>
      <c r="G231" s="2">
        <v>0.33200000000000002</v>
      </c>
      <c r="H231" s="2">
        <v>0.41799999999999998</v>
      </c>
      <c r="I231" s="2">
        <v>0.497</v>
      </c>
      <c r="J231" s="2">
        <v>0.55000000000000004</v>
      </c>
      <c r="K231" s="2">
        <v>0.86899999999999999</v>
      </c>
      <c r="L231" s="2">
        <v>0.88</v>
      </c>
      <c r="M231" s="2">
        <v>1.115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</row>
    <row r="232" spans="1:51" x14ac:dyDescent="0.2">
      <c r="A232" s="4">
        <v>1991</v>
      </c>
      <c r="B232" s="2">
        <v>9.1999999999999998E-2</v>
      </c>
      <c r="C232" s="2">
        <v>0.121</v>
      </c>
      <c r="D232" s="2">
        <v>0.14599999999999999</v>
      </c>
      <c r="E232" s="2">
        <v>0.189</v>
      </c>
      <c r="F232" s="2">
        <v>0.23300000000000001</v>
      </c>
      <c r="G232" s="2">
        <v>0.33600000000000002</v>
      </c>
      <c r="H232" s="2">
        <v>0.42699999999999999</v>
      </c>
      <c r="I232" s="2">
        <v>0.47699999999999998</v>
      </c>
      <c r="J232" s="2">
        <v>0.51300000000000001</v>
      </c>
      <c r="K232" s="2">
        <v>0.65</v>
      </c>
      <c r="L232" s="2">
        <v>0.80300000000000005</v>
      </c>
      <c r="M232" s="2">
        <v>1.115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</row>
    <row r="233" spans="1:51" x14ac:dyDescent="0.2">
      <c r="A233" s="4">
        <v>1992</v>
      </c>
      <c r="B233" s="2">
        <v>0.05</v>
      </c>
      <c r="C233" s="2">
        <v>0.11</v>
      </c>
      <c r="D233" s="2">
        <v>0.16700000000000001</v>
      </c>
      <c r="E233" s="2">
        <v>0.19700000000000001</v>
      </c>
      <c r="F233" s="2">
        <v>0.23</v>
      </c>
      <c r="G233" s="2">
        <v>0.29799999999999999</v>
      </c>
      <c r="H233" s="2">
        <v>0.47199999999999998</v>
      </c>
      <c r="I233" s="2">
        <v>0.54500000000000004</v>
      </c>
      <c r="J233" s="2">
        <v>0.58599999999999997</v>
      </c>
      <c r="K233" s="2">
        <v>0.60950000000000004</v>
      </c>
      <c r="L233" s="2">
        <v>0.88</v>
      </c>
      <c r="M233" s="2">
        <v>1.115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</row>
    <row r="234" spans="1:51" x14ac:dyDescent="0.2">
      <c r="A234" s="4">
        <v>1993</v>
      </c>
      <c r="B234" s="2">
        <v>0.05</v>
      </c>
      <c r="C234" s="2">
        <v>0.123</v>
      </c>
      <c r="D234" s="2">
        <v>0.16700000000000001</v>
      </c>
      <c r="E234" s="2">
        <v>0.23</v>
      </c>
      <c r="F234" s="2">
        <v>0.27</v>
      </c>
      <c r="G234" s="2">
        <v>0.31</v>
      </c>
      <c r="H234" s="2">
        <v>0.379</v>
      </c>
      <c r="I234" s="2">
        <v>0.49099999999999999</v>
      </c>
      <c r="J234" s="2">
        <v>0.54100000000000004</v>
      </c>
      <c r="K234" s="2">
        <v>0.56899999999999995</v>
      </c>
      <c r="L234" s="2">
        <v>0.71299999999999997</v>
      </c>
      <c r="M234" s="2">
        <v>1.115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</row>
    <row r="235" spans="1:51" x14ac:dyDescent="0.2">
      <c r="A235" s="4">
        <v>1994</v>
      </c>
      <c r="B235" s="2">
        <v>6.9000000000000006E-2</v>
      </c>
      <c r="C235" s="2">
        <v>9.9000000000000005E-2</v>
      </c>
      <c r="D235" s="2">
        <v>0.16</v>
      </c>
      <c r="E235" s="2">
        <v>0.248</v>
      </c>
      <c r="F235" s="2">
        <v>0.28999999999999998</v>
      </c>
      <c r="G235" s="2">
        <v>0.33800000000000002</v>
      </c>
      <c r="H235" s="2">
        <v>0.40899999999999997</v>
      </c>
      <c r="I235" s="2">
        <v>0.53300000000000003</v>
      </c>
      <c r="J235" s="2">
        <v>0.65100000000000002</v>
      </c>
      <c r="K235" s="2">
        <v>0.67700000000000005</v>
      </c>
      <c r="L235" s="2">
        <v>0.75600000000000001</v>
      </c>
      <c r="M235" s="2">
        <v>1.115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</row>
    <row r="236" spans="1:51" x14ac:dyDescent="0.2">
      <c r="A236" s="4">
        <v>1995</v>
      </c>
      <c r="B236" s="2">
        <v>4.9000000000000002E-2</v>
      </c>
      <c r="C236" s="2">
        <v>0.121</v>
      </c>
      <c r="D236" s="2">
        <v>0.14299999999999999</v>
      </c>
      <c r="E236" s="2">
        <v>0.20100000000000001</v>
      </c>
      <c r="F236" s="2">
        <v>0.27700000000000002</v>
      </c>
      <c r="G236" s="2">
        <v>0.36599999999999999</v>
      </c>
      <c r="H236" s="2">
        <v>0.40799999999999997</v>
      </c>
      <c r="I236" s="2">
        <v>0.47799999999999998</v>
      </c>
      <c r="J236" s="2">
        <v>0.63700000000000001</v>
      </c>
      <c r="K236" s="2">
        <v>0.72</v>
      </c>
      <c r="L236" s="2">
        <v>0.79400000000000004</v>
      </c>
      <c r="M236" s="2">
        <v>0.88300000000000001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</row>
    <row r="237" spans="1:51" x14ac:dyDescent="0.2">
      <c r="A237" s="4">
        <v>1996</v>
      </c>
      <c r="B237" s="2">
        <v>6.9000000000000006E-2</v>
      </c>
      <c r="C237" s="2">
        <v>9.1999999999999998E-2</v>
      </c>
      <c r="D237" s="2">
        <v>0.127</v>
      </c>
      <c r="E237" s="2">
        <v>0.20100000000000001</v>
      </c>
      <c r="F237" s="2">
        <v>0.26800000000000002</v>
      </c>
      <c r="G237" s="2">
        <v>0.3</v>
      </c>
      <c r="H237" s="2">
        <v>0.373</v>
      </c>
      <c r="I237" s="2">
        <v>0.44400000000000001</v>
      </c>
      <c r="J237" s="2">
        <v>0.51200000000000001</v>
      </c>
      <c r="K237" s="2">
        <v>0.59499999999999997</v>
      </c>
      <c r="L237" s="2">
        <v>0.68100000000000005</v>
      </c>
      <c r="M237" s="2">
        <v>0.78600000000000003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</row>
    <row r="238" spans="1:51" x14ac:dyDescent="0.2">
      <c r="A238" s="4">
        <v>1997</v>
      </c>
      <c r="B238" s="2">
        <v>2.1000000000000001E-2</v>
      </c>
      <c r="C238" s="2">
        <v>0.11600000000000001</v>
      </c>
      <c r="D238" s="2">
        <v>0.152</v>
      </c>
      <c r="E238" s="2">
        <v>0.20499999999999999</v>
      </c>
      <c r="F238" s="2">
        <v>0.29799999999999999</v>
      </c>
      <c r="G238" s="2">
        <v>0.36399999999999999</v>
      </c>
      <c r="H238" s="2">
        <v>0.42199999999999999</v>
      </c>
      <c r="I238" s="2">
        <v>0.48899999999999999</v>
      </c>
      <c r="J238" s="2">
        <v>0.52800000000000002</v>
      </c>
      <c r="K238" s="2">
        <v>0.59599999999999997</v>
      </c>
      <c r="L238" s="2">
        <v>0.77400000000000002</v>
      </c>
      <c r="M238" s="2">
        <v>0.88900000000000001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</row>
    <row r="239" spans="1:51" x14ac:dyDescent="0.2">
      <c r="A239" s="4">
        <v>1998</v>
      </c>
      <c r="B239" s="2">
        <v>5.8999999999999997E-2</v>
      </c>
      <c r="C239" s="2">
        <v>9.7000000000000003E-2</v>
      </c>
      <c r="D239" s="2">
        <v>0.107</v>
      </c>
      <c r="E239" s="2">
        <v>0.23499999999999999</v>
      </c>
      <c r="F239" s="2">
        <v>0.29099999999999998</v>
      </c>
      <c r="G239" s="2">
        <v>0.33</v>
      </c>
      <c r="H239" s="2">
        <v>0.38700000000000001</v>
      </c>
      <c r="I239" s="2">
        <v>0.45900000000000002</v>
      </c>
      <c r="J239" s="2">
        <v>0.56499999999999995</v>
      </c>
      <c r="K239" s="2">
        <v>0.748</v>
      </c>
      <c r="L239" s="2">
        <v>0.79800000000000004</v>
      </c>
      <c r="M239" s="2">
        <v>0.89800000000000002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</row>
    <row r="240" spans="1:51" x14ac:dyDescent="0.2">
      <c r="A240" s="4">
        <v>1999</v>
      </c>
      <c r="B240" s="2">
        <v>6.9000000000000006E-2</v>
      </c>
      <c r="C240" s="2">
        <v>0.10100000000000001</v>
      </c>
      <c r="D240" s="2">
        <v>0.13700000000000001</v>
      </c>
      <c r="E240" s="2">
        <v>0.186</v>
      </c>
      <c r="F240" s="2">
        <v>0.26300000000000001</v>
      </c>
      <c r="G240" s="2">
        <v>0.32100000000000001</v>
      </c>
      <c r="H240" s="2">
        <v>0.35699999999999998</v>
      </c>
      <c r="I240" s="2">
        <v>0.434</v>
      </c>
      <c r="J240" s="2">
        <v>0.56100000000000005</v>
      </c>
      <c r="K240" s="2">
        <v>0.66800000000000004</v>
      </c>
      <c r="L240" s="2">
        <v>0.88</v>
      </c>
      <c r="M240" s="2">
        <v>1.115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</row>
    <row r="241" spans="1:51" x14ac:dyDescent="0.2">
      <c r="A241" s="4">
        <v>2000</v>
      </c>
      <c r="B241" s="2">
        <v>6.7000000000000004E-2</v>
      </c>
      <c r="C241" s="2">
        <v>0</v>
      </c>
      <c r="D241" s="2">
        <v>0.14000000000000001</v>
      </c>
      <c r="E241" s="2">
        <v>0.17</v>
      </c>
      <c r="F241" s="2">
        <v>0.22900000000000001</v>
      </c>
      <c r="G241" s="2">
        <v>0.29499999999999998</v>
      </c>
      <c r="H241" s="2">
        <v>0.36699999999999999</v>
      </c>
      <c r="I241" s="2">
        <v>0.50700000000000001</v>
      </c>
      <c r="J241" s="2">
        <v>0.65700000000000003</v>
      </c>
      <c r="K241" s="2">
        <v>0.63900000000000001</v>
      </c>
      <c r="L241" s="2">
        <v>0.88</v>
      </c>
      <c r="M241" s="2">
        <v>1.115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</row>
    <row r="242" spans="1:51" x14ac:dyDescent="0.2">
      <c r="A242" s="4">
        <v>2001</v>
      </c>
      <c r="B242" s="2">
        <v>2.9000000000000001E-2</v>
      </c>
      <c r="C242" s="2">
        <v>6.3E-2</v>
      </c>
      <c r="D242" s="2">
        <v>0.125</v>
      </c>
      <c r="E242" s="2">
        <v>0.17699999999999999</v>
      </c>
      <c r="F242" s="2">
        <v>0.246</v>
      </c>
      <c r="G242" s="2">
        <v>0.35699999999999998</v>
      </c>
      <c r="H242" s="2">
        <v>0.503</v>
      </c>
      <c r="I242" s="2">
        <v>0.61499999999999999</v>
      </c>
      <c r="J242" s="2">
        <v>0.58399999999999996</v>
      </c>
      <c r="K242" s="2">
        <v>0.72799999999999998</v>
      </c>
      <c r="L242" s="2">
        <v>0.88</v>
      </c>
      <c r="M242" s="2">
        <v>1.115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</row>
    <row r="243" spans="1:51" x14ac:dyDescent="0.2">
      <c r="A243" s="4">
        <v>2002</v>
      </c>
      <c r="B243" s="2">
        <v>0</v>
      </c>
      <c r="C243" s="2">
        <v>8.2000000000000003E-2</v>
      </c>
      <c r="D243" s="2">
        <v>0.104</v>
      </c>
      <c r="E243" s="2">
        <v>0.19500000000000001</v>
      </c>
      <c r="F243" s="2">
        <v>0.249</v>
      </c>
      <c r="G243" s="2">
        <v>0.28999999999999998</v>
      </c>
      <c r="H243" s="2">
        <v>0.39</v>
      </c>
      <c r="I243" s="2">
        <v>0.47499999999999998</v>
      </c>
      <c r="J243" s="2">
        <v>0.63400000000000001</v>
      </c>
      <c r="K243" s="2">
        <v>0.72799999999999998</v>
      </c>
      <c r="L243" s="2">
        <v>0.88</v>
      </c>
      <c r="M243" s="2">
        <v>1.115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</row>
    <row r="244" spans="1:51" x14ac:dyDescent="0.2">
      <c r="A244" s="4">
        <v>2003</v>
      </c>
      <c r="B244" s="2">
        <v>7.0999999999999994E-2</v>
      </c>
      <c r="C244" s="2">
        <v>7.3999999999999996E-2</v>
      </c>
      <c r="D244" s="2">
        <v>8.8999999999999996E-2</v>
      </c>
      <c r="E244" s="2">
        <v>0.14699999999999999</v>
      </c>
      <c r="F244" s="2">
        <v>0.27</v>
      </c>
      <c r="G244" s="2">
        <v>0.315</v>
      </c>
      <c r="H244" s="2">
        <v>0.44600000000000001</v>
      </c>
      <c r="I244" s="2">
        <v>0.72199999999999998</v>
      </c>
      <c r="J244" s="2">
        <v>0.58399999999999996</v>
      </c>
      <c r="K244" s="2">
        <v>0.72799999999999998</v>
      </c>
      <c r="L244" s="2">
        <v>0.88</v>
      </c>
      <c r="M244" s="2">
        <v>1.115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</row>
    <row r="245" spans="1:51" x14ac:dyDescent="0.2">
      <c r="A245" s="4">
        <v>2004</v>
      </c>
      <c r="B245" s="2">
        <v>4.2999999999999997E-2</v>
      </c>
      <c r="C245" s="2">
        <v>5.3999999999999999E-2</v>
      </c>
      <c r="D245" s="2">
        <v>0.13800000000000001</v>
      </c>
      <c r="E245" s="2">
        <v>0.191</v>
      </c>
      <c r="F245" s="2">
        <v>0.22500000000000001</v>
      </c>
      <c r="G245" s="2">
        <v>0.251</v>
      </c>
      <c r="H245" s="2">
        <v>0.372</v>
      </c>
      <c r="I245" s="2">
        <v>0.48799999999999999</v>
      </c>
      <c r="J245" s="2">
        <v>0.58399999999999996</v>
      </c>
      <c r="K245" s="2">
        <v>0.72799999999999998</v>
      </c>
      <c r="L245" s="2">
        <v>0.88</v>
      </c>
      <c r="M245" s="2">
        <v>1.115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</row>
    <row r="246" spans="1:51" x14ac:dyDescent="0.2">
      <c r="A246" s="4">
        <v>2005</v>
      </c>
      <c r="B246" s="2">
        <v>6.6000000000000003E-2</v>
      </c>
      <c r="C246" s="2">
        <v>9.2999999999999999E-2</v>
      </c>
      <c r="D246" s="2">
        <v>0.112</v>
      </c>
      <c r="E246" s="2">
        <v>0.13300000000000001</v>
      </c>
      <c r="F246" s="2">
        <v>0.20399999999999999</v>
      </c>
      <c r="G246" s="2">
        <v>0.28599999999999998</v>
      </c>
      <c r="H246" s="2">
        <v>0.42099999999999999</v>
      </c>
      <c r="I246" s="2">
        <v>0.48799999999999999</v>
      </c>
      <c r="J246" s="2">
        <v>0.58399999999999996</v>
      </c>
      <c r="K246" s="2">
        <v>0.72799999999999998</v>
      </c>
      <c r="L246" s="2">
        <v>0.88</v>
      </c>
      <c r="M246" s="2">
        <v>1.115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</row>
    <row r="247" spans="1:51" x14ac:dyDescent="0.2">
      <c r="A247" s="4">
        <v>2006</v>
      </c>
      <c r="B247" s="2">
        <v>2.9000000000000001E-2</v>
      </c>
      <c r="C247" s="2">
        <v>5.8999999999999997E-2</v>
      </c>
      <c r="D247" s="2">
        <v>9.1999999999999998E-2</v>
      </c>
      <c r="E247" s="2">
        <v>0.17199999999999999</v>
      </c>
      <c r="F247" s="2">
        <v>0.23799999999999999</v>
      </c>
      <c r="G247" s="2">
        <v>0.32700000000000001</v>
      </c>
      <c r="H247" s="2">
        <v>0.39800000000000002</v>
      </c>
      <c r="I247" s="2">
        <v>0.41599999999999998</v>
      </c>
      <c r="J247" s="2">
        <v>0.628</v>
      </c>
      <c r="K247" s="2">
        <v>0.72799999999999998</v>
      </c>
      <c r="L247" s="2">
        <v>0.88</v>
      </c>
      <c r="M247" s="2">
        <v>1.115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</row>
    <row r="248" spans="1:51" x14ac:dyDescent="0.2">
      <c r="A248" s="4">
        <v>2007</v>
      </c>
      <c r="B248" s="2">
        <v>3.5999999999999997E-2</v>
      </c>
      <c r="C248" s="2">
        <v>8.2000000000000003E-2</v>
      </c>
      <c r="D248" s="2">
        <v>0.10199999999999999</v>
      </c>
      <c r="E248" s="2">
        <v>0.14099999999999999</v>
      </c>
      <c r="F248" s="2">
        <v>0.22700000000000001</v>
      </c>
      <c r="G248" s="2">
        <v>0.309</v>
      </c>
      <c r="H248" s="2">
        <v>0.41599999999999998</v>
      </c>
      <c r="I248" s="2">
        <v>0.46400000000000002</v>
      </c>
      <c r="J248" s="2">
        <v>0.53400000000000003</v>
      </c>
      <c r="K248" s="2">
        <v>0.72799999999999998</v>
      </c>
      <c r="L248" s="2">
        <v>0.88</v>
      </c>
      <c r="M248" s="2">
        <v>1.115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</row>
    <row r="249" spans="1:51" x14ac:dyDescent="0.2">
      <c r="A249" s="4">
        <v>2008</v>
      </c>
      <c r="B249" s="2">
        <v>3.6999999999999998E-2</v>
      </c>
      <c r="C249" s="2">
        <v>7.8E-2</v>
      </c>
      <c r="D249" s="2">
        <v>0.16400000000000001</v>
      </c>
      <c r="E249" s="2">
        <v>0.186</v>
      </c>
      <c r="F249" s="2">
        <v>0.20300000000000001</v>
      </c>
      <c r="G249" s="2">
        <v>0.25700000000000001</v>
      </c>
      <c r="H249" s="2">
        <v>0.34200000000000003</v>
      </c>
      <c r="I249" s="2">
        <v>0.48799999999999999</v>
      </c>
      <c r="J249" s="2">
        <v>0.58399999999999996</v>
      </c>
      <c r="K249" s="2">
        <v>0.72799999999999998</v>
      </c>
      <c r="L249" s="2">
        <v>0.88</v>
      </c>
      <c r="M249" s="2">
        <v>1.115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</row>
    <row r="250" spans="1:51" x14ac:dyDescent="0.2">
      <c r="A250" s="4">
        <v>2009</v>
      </c>
      <c r="B250" s="2">
        <v>2.9000000000000001E-2</v>
      </c>
      <c r="C250" s="2">
        <v>7.5999999999999998E-2</v>
      </c>
      <c r="D250" s="2">
        <v>0.111</v>
      </c>
      <c r="E250" s="2">
        <v>0.17499999999999999</v>
      </c>
      <c r="F250" s="2">
        <v>0.222</v>
      </c>
      <c r="G250" s="2">
        <v>0.26800000000000002</v>
      </c>
      <c r="H250" s="2">
        <v>0.28100000000000003</v>
      </c>
      <c r="I250" s="2">
        <v>0.48799999999999999</v>
      </c>
      <c r="J250" s="2">
        <v>0.58399999999999996</v>
      </c>
      <c r="K250" s="2">
        <v>0.72799999999999998</v>
      </c>
      <c r="L250" s="2">
        <v>0.88</v>
      </c>
      <c r="M250" s="2">
        <v>1.115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</row>
    <row r="251" spans="1:51" x14ac:dyDescent="0.2">
      <c r="A251" s="4">
        <v>2010</v>
      </c>
      <c r="B251" s="2">
        <v>3.2000000000000001E-2</v>
      </c>
      <c r="C251" s="2">
        <v>7.3999999999999996E-2</v>
      </c>
      <c r="D251" s="2">
        <v>0.114</v>
      </c>
      <c r="E251" s="2">
        <v>0.13200000000000001</v>
      </c>
      <c r="F251" s="2">
        <v>0.20399999999999999</v>
      </c>
      <c r="G251" s="2">
        <v>0.374</v>
      </c>
      <c r="H251" s="2">
        <v>0.442</v>
      </c>
      <c r="I251" s="2">
        <v>0.50600000000000001</v>
      </c>
      <c r="J251" s="2">
        <v>0.60599999999999998</v>
      </c>
      <c r="K251" s="2">
        <v>0.72799999999999998</v>
      </c>
      <c r="L251" s="2">
        <v>0.88</v>
      </c>
      <c r="M251" s="2">
        <v>1.115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</row>
    <row r="252" spans="1:51" x14ac:dyDescent="0.2">
      <c r="A252" s="4">
        <v>2011</v>
      </c>
      <c r="B252" s="2">
        <v>8.6999999999999994E-2</v>
      </c>
      <c r="C252" s="2">
        <v>7.4999999999999997E-2</v>
      </c>
      <c r="D252" s="2">
        <v>0.122</v>
      </c>
      <c r="E252" s="2">
        <v>0.158</v>
      </c>
      <c r="F252" s="2">
        <v>0.222</v>
      </c>
      <c r="G252" s="2">
        <v>0.29599999999999999</v>
      </c>
      <c r="H252" s="2">
        <v>0.40400000000000003</v>
      </c>
      <c r="I252" s="2">
        <v>0.51400000000000001</v>
      </c>
      <c r="J252" s="2">
        <v>0.61399999999999999</v>
      </c>
      <c r="K252" s="2">
        <v>0.72299999999999998</v>
      </c>
      <c r="L252" s="2">
        <v>0.72299999999999998</v>
      </c>
      <c r="M252" s="2">
        <v>1.115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</row>
    <row r="253" spans="1:51" x14ac:dyDescent="0.2">
      <c r="A253" s="4">
        <v>2012</v>
      </c>
      <c r="B253" s="2">
        <v>4.2000000000000003E-2</v>
      </c>
      <c r="C253" s="2">
        <v>4.7E-2</v>
      </c>
      <c r="D253" s="2">
        <v>6.6000000000000003E-2</v>
      </c>
      <c r="E253" s="2">
        <v>0.187</v>
      </c>
      <c r="F253" s="2">
        <v>0.24299999999999999</v>
      </c>
      <c r="G253" s="2">
        <v>0.29099999999999998</v>
      </c>
      <c r="H253" s="2">
        <v>0.38800000000000001</v>
      </c>
      <c r="I253" s="2">
        <v>0.56299999999999994</v>
      </c>
      <c r="J253" s="2">
        <v>0.61599999999999999</v>
      </c>
      <c r="K253" s="2">
        <v>0.748</v>
      </c>
      <c r="L253" s="2">
        <v>0.88</v>
      </c>
      <c r="M253" s="2">
        <v>1.115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</row>
    <row r="254" spans="1:51" x14ac:dyDescent="0.2">
      <c r="A254" s="4">
        <v>2013</v>
      </c>
      <c r="B254" s="2">
        <v>1.4999999999999999E-2</v>
      </c>
      <c r="C254" s="2">
        <v>4.7E-2</v>
      </c>
      <c r="D254" s="2">
        <v>0.106</v>
      </c>
      <c r="E254" s="2">
        <v>0.13800000000000001</v>
      </c>
      <c r="F254" s="2">
        <v>0.23899999999999999</v>
      </c>
      <c r="G254" s="2">
        <v>0.28499999999999998</v>
      </c>
      <c r="H254" s="2">
        <v>0.33500000000000002</v>
      </c>
      <c r="I254" s="2">
        <v>0.52600000000000002</v>
      </c>
      <c r="J254" s="2">
        <v>0.58399999999999996</v>
      </c>
      <c r="K254" s="2">
        <v>0.72799999999999998</v>
      </c>
      <c r="L254" s="2">
        <v>0.88</v>
      </c>
      <c r="M254" s="2">
        <v>1.115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</row>
    <row r="255" spans="1:51" x14ac:dyDescent="0.2">
      <c r="A255" s="4">
        <v>2014</v>
      </c>
      <c r="B255" s="2">
        <v>1.2999999999999999E-2</v>
      </c>
      <c r="C255" s="2">
        <v>4.8000000000000001E-2</v>
      </c>
      <c r="D255" s="2">
        <v>0.10100000000000001</v>
      </c>
      <c r="E255" s="2">
        <v>0.17199999999999999</v>
      </c>
      <c r="F255" s="2">
        <v>0.23300000000000001</v>
      </c>
      <c r="G255" s="2">
        <v>0.30099999999999999</v>
      </c>
      <c r="H255" s="2">
        <v>0.39700000000000002</v>
      </c>
      <c r="I255" s="2">
        <v>0.49299999999999999</v>
      </c>
      <c r="J255" s="2">
        <v>0.63900000000000001</v>
      </c>
      <c r="K255" s="2">
        <v>0.77200000000000002</v>
      </c>
      <c r="L255" s="2">
        <v>0.88</v>
      </c>
      <c r="M255" s="2">
        <v>1.115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</row>
    <row r="256" spans="1:51" x14ac:dyDescent="0.2">
      <c r="A256" s="4">
        <v>2015</v>
      </c>
      <c r="B256" s="2">
        <v>1.9E-2</v>
      </c>
      <c r="C256" s="2">
        <v>6.5000000000000002E-2</v>
      </c>
      <c r="D256" s="2">
        <v>9.5000000000000001E-2</v>
      </c>
      <c r="E256" s="2">
        <v>0.16700000000000001</v>
      </c>
      <c r="F256" s="2">
        <v>0.27600000000000002</v>
      </c>
      <c r="G256" s="2">
        <v>0.314</v>
      </c>
      <c r="H256" s="2">
        <v>0.39800000000000002</v>
      </c>
      <c r="I256" s="2">
        <v>0.48799999999999999</v>
      </c>
      <c r="J256" s="2">
        <v>0.58399999999999996</v>
      </c>
      <c r="K256" s="2">
        <v>0.72799999999999998</v>
      </c>
      <c r="L256" s="2">
        <v>0.88</v>
      </c>
      <c r="M256" s="2">
        <v>1.115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</row>
    <row r="257" spans="1:51" x14ac:dyDescent="0.2">
      <c r="A257" s="4">
        <v>2016</v>
      </c>
      <c r="B257" s="2">
        <v>1.6E-2</v>
      </c>
      <c r="C257" s="2">
        <v>4.8000000000000001E-2</v>
      </c>
      <c r="D257" s="2">
        <v>8.7999999999999995E-2</v>
      </c>
      <c r="E257" s="2">
        <v>0.20200000000000001</v>
      </c>
      <c r="F257" s="2">
        <v>0.23499999999999999</v>
      </c>
      <c r="G257" s="2">
        <v>0.26900000000000002</v>
      </c>
      <c r="H257" s="2">
        <v>0.39600000000000002</v>
      </c>
      <c r="I257" s="2">
        <v>0.48799999999999999</v>
      </c>
      <c r="J257" s="2">
        <v>0.58399999999999996</v>
      </c>
      <c r="K257" s="2">
        <v>0.72799999999999998</v>
      </c>
      <c r="L257" s="2">
        <v>0.88</v>
      </c>
      <c r="M257" s="2">
        <v>1.115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</row>
    <row r="258" spans="1:51" x14ac:dyDescent="0.2">
      <c r="A258" s="4">
        <v>2017</v>
      </c>
      <c r="B258" s="2">
        <v>3.7999999999999999E-2</v>
      </c>
      <c r="C258" s="2">
        <v>5.1999999999999998E-2</v>
      </c>
      <c r="D258" s="2">
        <v>6.9000000000000006E-2</v>
      </c>
      <c r="E258" s="2">
        <v>0.151</v>
      </c>
      <c r="F258" s="2">
        <v>0.255</v>
      </c>
      <c r="G258" s="2">
        <v>0.43</v>
      </c>
      <c r="H258" s="2">
        <v>0.495</v>
      </c>
      <c r="I258" s="2">
        <v>0.66400000000000003</v>
      </c>
      <c r="J258" s="2">
        <v>0.52500000000000002</v>
      </c>
      <c r="K258" s="2">
        <v>0.68700000000000006</v>
      </c>
      <c r="L258" s="2">
        <v>0.82099999999999995</v>
      </c>
      <c r="M258" s="2">
        <v>1.0860000000000001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</row>
    <row r="259" spans="1:51" x14ac:dyDescent="0.2">
      <c r="A259" s="4">
        <v>2018</v>
      </c>
      <c r="B259" s="2">
        <v>1.7999999999999999E-2</v>
      </c>
      <c r="C259" s="2">
        <v>0.04</v>
      </c>
      <c r="D259" s="2">
        <v>8.2000000000000003E-2</v>
      </c>
      <c r="E259" s="2">
        <v>0.189</v>
      </c>
      <c r="F259" s="2">
        <v>0.248</v>
      </c>
      <c r="G259" s="2">
        <v>0.313</v>
      </c>
      <c r="H259" s="2">
        <v>0.39600000000000002</v>
      </c>
      <c r="I259" s="2">
        <v>0.48799999999999999</v>
      </c>
      <c r="J259" s="2">
        <v>0.58399999999999996</v>
      </c>
      <c r="K259" s="2">
        <v>0.72799999999999998</v>
      </c>
      <c r="L259" s="2">
        <v>0.88</v>
      </c>
      <c r="M259" s="2">
        <v>1.115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</row>
    <row r="260" spans="1:51" x14ac:dyDescent="0.2">
      <c r="A260" s="4">
        <v>2019</v>
      </c>
      <c r="B260" s="2">
        <v>2.7431549999999999E-2</v>
      </c>
      <c r="C260" s="2">
        <v>5.8092499999999998E-2</v>
      </c>
      <c r="D260" s="2">
        <v>0.17667169999999999</v>
      </c>
      <c r="E260" s="2">
        <v>0.1830677</v>
      </c>
      <c r="F260" s="2">
        <v>0.29804259999999999</v>
      </c>
      <c r="G260" s="2">
        <v>0.44188470000000002</v>
      </c>
      <c r="H260" s="2">
        <v>0.62101260000000003</v>
      </c>
      <c r="I260" s="2">
        <v>0.52015409999999995</v>
      </c>
      <c r="J260" s="2">
        <v>0.58320000000000005</v>
      </c>
      <c r="K260" s="2">
        <v>0.72860000000000003</v>
      </c>
      <c r="L260" s="2">
        <v>0.86819999999999997</v>
      </c>
      <c r="M260" s="2">
        <v>1.1092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</row>
    <row r="261" spans="1:51" x14ac:dyDescent="0.2">
      <c r="A261" s="4" t="s">
        <v>30</v>
      </c>
      <c r="B261" s="2">
        <v>2.7431549999999999E-2</v>
      </c>
      <c r="C261" s="2">
        <v>5.8092499999999998E-2</v>
      </c>
      <c r="D261" s="2">
        <v>0.158003487</v>
      </c>
      <c r="E261" s="2">
        <v>0.19485053299999999</v>
      </c>
      <c r="F261" s="2">
        <v>0.23478644600000001</v>
      </c>
      <c r="G261" s="2">
        <v>0.30017365800000001</v>
      </c>
      <c r="H261" s="2">
        <v>0.35293130900000003</v>
      </c>
      <c r="I261" s="2">
        <v>0.53499333100000002</v>
      </c>
      <c r="J261" s="2">
        <v>0.69180905299999995</v>
      </c>
      <c r="K261" s="2">
        <v>0.74158166599999997</v>
      </c>
      <c r="L261" s="2">
        <v>0.85946900299999995</v>
      </c>
      <c r="M261" s="2">
        <v>0.97370456900000002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</row>
    <row r="262" spans="1:51" x14ac:dyDescent="0.2">
      <c r="A262" s="4">
        <v>1971</v>
      </c>
      <c r="B262" s="2">
        <v>2.360481E-2</v>
      </c>
      <c r="C262" s="2">
        <v>6.2896277E-2</v>
      </c>
      <c r="D262" s="2">
        <v>0.139868296</v>
      </c>
      <c r="E262" s="2">
        <v>0.16353384900000001</v>
      </c>
      <c r="F262" s="2">
        <v>0.18110032100000001</v>
      </c>
      <c r="G262" s="2">
        <v>0.22345184300000001</v>
      </c>
      <c r="H262" s="2">
        <v>0.299281242</v>
      </c>
      <c r="I262" s="2">
        <v>0.39962847600000001</v>
      </c>
      <c r="J262" s="2">
        <v>0.60029117899999995</v>
      </c>
      <c r="K262" s="2">
        <v>0.52840940199999997</v>
      </c>
      <c r="L262" s="2">
        <v>0.88</v>
      </c>
      <c r="M262" s="2">
        <v>1.115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</row>
    <row r="263" spans="1:51" x14ac:dyDescent="0.2">
      <c r="A263" s="4">
        <v>1972</v>
      </c>
      <c r="B263" s="2">
        <v>1.6490650999999999E-2</v>
      </c>
      <c r="C263" s="2">
        <v>4.0831500999999999E-2</v>
      </c>
      <c r="D263" s="2">
        <v>9.3486191999999996E-2</v>
      </c>
      <c r="E263" s="2">
        <v>0.19901485799999999</v>
      </c>
      <c r="F263" s="2">
        <v>0.23469911299999999</v>
      </c>
      <c r="G263" s="2">
        <v>0.25851995799999999</v>
      </c>
      <c r="H263" s="2">
        <v>0.271824022</v>
      </c>
      <c r="I263" s="2">
        <v>0.32267799699999999</v>
      </c>
      <c r="J263" s="2">
        <v>0.32267799699999999</v>
      </c>
      <c r="K263" s="2">
        <v>0.52840940199999997</v>
      </c>
      <c r="L263" s="2">
        <v>0.88</v>
      </c>
      <c r="M263" s="2">
        <v>1.115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</row>
    <row r="264" spans="1:51" x14ac:dyDescent="0.2">
      <c r="A264" s="4">
        <v>1973</v>
      </c>
      <c r="B264" s="2">
        <v>1.3011688E-2</v>
      </c>
      <c r="C264" s="2">
        <v>3.3373231000000003E-2</v>
      </c>
      <c r="D264" s="2">
        <v>0.128087969</v>
      </c>
      <c r="E264" s="2">
        <v>0.18048750799999999</v>
      </c>
      <c r="F264" s="2">
        <v>0.28014415100000001</v>
      </c>
      <c r="G264" s="2">
        <v>0.44409480000000001</v>
      </c>
      <c r="H264" s="2">
        <v>0.50106874199999996</v>
      </c>
      <c r="I264" s="2">
        <v>0.52761858699999997</v>
      </c>
      <c r="J264" s="2">
        <v>0.73243501700000002</v>
      </c>
      <c r="K264" s="2">
        <v>0.85293416099999997</v>
      </c>
      <c r="L264" s="2">
        <v>0.88798438300000004</v>
      </c>
      <c r="M264" s="2">
        <v>1.512220659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</row>
    <row r="265" spans="1:51" x14ac:dyDescent="0.2">
      <c r="A265" s="4">
        <v>1974</v>
      </c>
      <c r="B265" s="2">
        <v>1.3011688E-2</v>
      </c>
      <c r="C265" s="2">
        <v>3.3373231000000003E-2</v>
      </c>
      <c r="D265" s="2">
        <v>0.128087969</v>
      </c>
      <c r="E265" s="2">
        <v>0.23146399600000001</v>
      </c>
      <c r="F265" s="2">
        <v>0.28295678099999999</v>
      </c>
      <c r="G265" s="2">
        <v>0.36471911499999998</v>
      </c>
      <c r="H265" s="2">
        <v>0.48615804000000001</v>
      </c>
      <c r="I265" s="2">
        <v>0.62218137200000001</v>
      </c>
      <c r="J265" s="2">
        <v>0.77738088100000002</v>
      </c>
      <c r="K265" s="2">
        <v>1.078650471</v>
      </c>
      <c r="L265" s="2">
        <v>0.88798438300000004</v>
      </c>
      <c r="M265" s="2">
        <v>1.512220659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</row>
    <row r="266" spans="1:51" x14ac:dyDescent="0.2">
      <c r="A266" s="4">
        <v>1975</v>
      </c>
      <c r="B266" s="2">
        <v>5.1999999999999998E-2</v>
      </c>
      <c r="C266" s="2">
        <v>9.2999999999999999E-2</v>
      </c>
      <c r="D266" s="2">
        <v>0.13100000000000001</v>
      </c>
      <c r="E266" s="2">
        <v>0.17799999999999999</v>
      </c>
      <c r="F266" s="2">
        <v>0.26200000000000001</v>
      </c>
      <c r="G266" s="2">
        <v>0.29399999999999998</v>
      </c>
      <c r="H266" s="2">
        <v>0.34</v>
      </c>
      <c r="I266" s="2">
        <v>0.39600000000000002</v>
      </c>
      <c r="J266" s="2">
        <v>0.54900000000000004</v>
      </c>
      <c r="K266" s="2">
        <v>0.73799999999999999</v>
      </c>
      <c r="L266" s="2">
        <v>0.98399999999999999</v>
      </c>
      <c r="M266" s="2">
        <v>1.093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</row>
    <row r="267" spans="1:51" x14ac:dyDescent="0.2">
      <c r="A267" s="4">
        <v>1976</v>
      </c>
      <c r="B267" s="2">
        <v>5.1999999999999998E-2</v>
      </c>
      <c r="C267" s="2">
        <v>9.2999999999999999E-2</v>
      </c>
      <c r="D267" s="2">
        <v>0.13100000000000001</v>
      </c>
      <c r="E267" s="2">
        <v>0.17799999999999999</v>
      </c>
      <c r="F267" s="2">
        <v>0.26200000000000001</v>
      </c>
      <c r="G267" s="2">
        <v>0.29399999999999998</v>
      </c>
      <c r="H267" s="2">
        <v>0.34</v>
      </c>
      <c r="I267" s="2">
        <v>0.39600000000000002</v>
      </c>
      <c r="J267" s="2">
        <v>0.54900000000000004</v>
      </c>
      <c r="K267" s="2">
        <v>0.73799999999999999</v>
      </c>
      <c r="L267" s="2">
        <v>0.98399999999999999</v>
      </c>
      <c r="M267" s="2">
        <v>1.093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</row>
    <row r="268" spans="1:51" x14ac:dyDescent="0.2">
      <c r="A268" s="4">
        <v>1977</v>
      </c>
      <c r="B268" s="2">
        <v>5.1999999999999998E-2</v>
      </c>
      <c r="C268" s="2">
        <v>9.2999999999999999E-2</v>
      </c>
      <c r="D268" s="2">
        <v>0.13100000000000001</v>
      </c>
      <c r="E268" s="2">
        <v>0.17799999999999999</v>
      </c>
      <c r="F268" s="2">
        <v>0.26200000000000001</v>
      </c>
      <c r="G268" s="2">
        <v>0.29399999999999998</v>
      </c>
      <c r="H268" s="2">
        <v>0.34</v>
      </c>
      <c r="I268" s="2">
        <v>0.39600000000000002</v>
      </c>
      <c r="J268" s="2">
        <v>0.54900000000000004</v>
      </c>
      <c r="K268" s="2">
        <v>0.73799999999999999</v>
      </c>
      <c r="L268" s="2">
        <v>0.98399999999999999</v>
      </c>
      <c r="M268" s="2">
        <v>1.093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</row>
    <row r="269" spans="1:51" x14ac:dyDescent="0.2">
      <c r="A269" s="4">
        <v>1978</v>
      </c>
      <c r="B269" s="2">
        <v>5.1999999999999998E-2</v>
      </c>
      <c r="C269" s="2">
        <v>9.2999999999999999E-2</v>
      </c>
      <c r="D269" s="2">
        <v>0.13100000000000001</v>
      </c>
      <c r="E269" s="2">
        <v>0.17799999999999999</v>
      </c>
      <c r="F269" s="2">
        <v>0.26200000000000001</v>
      </c>
      <c r="G269" s="2">
        <v>0.29399999999999998</v>
      </c>
      <c r="H269" s="2">
        <v>0.34</v>
      </c>
      <c r="I269" s="2">
        <v>0.39600000000000002</v>
      </c>
      <c r="J269" s="2">
        <v>0.54900000000000004</v>
      </c>
      <c r="K269" s="2">
        <v>0.73799999999999999</v>
      </c>
      <c r="L269" s="2">
        <v>0.98399999999999999</v>
      </c>
      <c r="M269" s="2">
        <v>1.093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</row>
    <row r="270" spans="1:51" x14ac:dyDescent="0.2">
      <c r="A270" s="4">
        <v>1979</v>
      </c>
      <c r="B270" s="2">
        <v>5.1999999999999998E-2</v>
      </c>
      <c r="C270" s="2">
        <v>9.2999999999999999E-2</v>
      </c>
      <c r="D270" s="2">
        <v>0.13100000000000001</v>
      </c>
      <c r="E270" s="2">
        <v>0.17799999999999999</v>
      </c>
      <c r="F270" s="2">
        <v>0.26200000000000001</v>
      </c>
      <c r="G270" s="2">
        <v>0.29399999999999998</v>
      </c>
      <c r="H270" s="2">
        <v>0.34</v>
      </c>
      <c r="I270" s="2">
        <v>0.39600000000000002</v>
      </c>
      <c r="J270" s="2">
        <v>0.54900000000000004</v>
      </c>
      <c r="K270" s="2">
        <v>0.73799999999999999</v>
      </c>
      <c r="L270" s="2">
        <v>0.98399999999999999</v>
      </c>
      <c r="M270" s="2">
        <v>1.093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</row>
    <row r="271" spans="1:51" x14ac:dyDescent="0.2">
      <c r="A271" s="4">
        <v>1980</v>
      </c>
      <c r="B271" s="2">
        <v>5.1999999999999998E-2</v>
      </c>
      <c r="C271" s="2">
        <v>9.2999999999999999E-2</v>
      </c>
      <c r="D271" s="2">
        <v>0.13100000000000001</v>
      </c>
      <c r="E271" s="2">
        <v>0.17799999999999999</v>
      </c>
      <c r="F271" s="2">
        <v>0.26200000000000001</v>
      </c>
      <c r="G271" s="2">
        <v>0.29399999999999998</v>
      </c>
      <c r="H271" s="2">
        <v>0.34</v>
      </c>
      <c r="I271" s="2">
        <v>0.39600000000000002</v>
      </c>
      <c r="J271" s="2">
        <v>0.54900000000000004</v>
      </c>
      <c r="K271" s="2">
        <v>0.73799999999999999</v>
      </c>
      <c r="L271" s="2">
        <v>0.98399999999999999</v>
      </c>
      <c r="M271" s="2">
        <v>1.093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</row>
    <row r="272" spans="1:51" x14ac:dyDescent="0.2">
      <c r="A272" s="4">
        <v>1981</v>
      </c>
      <c r="B272" s="2">
        <v>5.1999999999999998E-2</v>
      </c>
      <c r="C272" s="2">
        <v>7.8E-2</v>
      </c>
      <c r="D272" s="2">
        <v>0.155</v>
      </c>
      <c r="E272" s="2">
        <v>0.214</v>
      </c>
      <c r="F272" s="2">
        <v>0.27500000000000002</v>
      </c>
      <c r="G272" s="2">
        <v>0.33600000000000002</v>
      </c>
      <c r="H272" s="2">
        <v>0.39400000000000002</v>
      </c>
      <c r="I272" s="2">
        <v>0.47199999999999998</v>
      </c>
      <c r="J272" s="2">
        <v>0.63200000000000001</v>
      </c>
      <c r="K272" s="2">
        <v>0.71399999999999997</v>
      </c>
      <c r="L272" s="2">
        <v>0.89800000000000002</v>
      </c>
      <c r="M272" s="2">
        <v>1.538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</row>
    <row r="273" spans="1:51" x14ac:dyDescent="0.2">
      <c r="A273" s="4">
        <v>1982</v>
      </c>
      <c r="B273" s="2">
        <v>5.5E-2</v>
      </c>
      <c r="C273" s="2">
        <v>9.1999999999999998E-2</v>
      </c>
      <c r="D273" s="2">
        <v>0.109</v>
      </c>
      <c r="E273" s="2">
        <v>0.23599999999999999</v>
      </c>
      <c r="F273" s="2">
        <v>0.27500000000000002</v>
      </c>
      <c r="G273" s="2">
        <v>0.314</v>
      </c>
      <c r="H273" s="2">
        <v>0.375</v>
      </c>
      <c r="I273" s="2">
        <v>0.45600000000000002</v>
      </c>
      <c r="J273" s="2">
        <v>0.52100000000000002</v>
      </c>
      <c r="K273" s="2">
        <v>0.73199999999999998</v>
      </c>
      <c r="L273" s="2">
        <v>0.65100000000000002</v>
      </c>
      <c r="M273" s="2">
        <v>1.137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</row>
    <row r="274" spans="1:51" x14ac:dyDescent="0.2">
      <c r="A274" s="4">
        <v>1983</v>
      </c>
      <c r="B274" s="2">
        <v>5.1999999999999998E-2</v>
      </c>
      <c r="C274" s="2">
        <v>8.4000000000000005E-2</v>
      </c>
      <c r="D274" s="2">
        <v>0.104</v>
      </c>
      <c r="E274" s="2">
        <v>0.14699999999999999</v>
      </c>
      <c r="F274" s="2">
        <v>0.21099999999999999</v>
      </c>
      <c r="G274" s="2">
        <v>0.32700000000000001</v>
      </c>
      <c r="H274" s="2">
        <v>0.39400000000000002</v>
      </c>
      <c r="I274" s="2">
        <v>0.44900000000000001</v>
      </c>
      <c r="J274" s="2">
        <v>0.51400000000000001</v>
      </c>
      <c r="K274" s="2">
        <v>0.58299999999999996</v>
      </c>
      <c r="L274" s="2">
        <v>0.63100000000000001</v>
      </c>
      <c r="M274" s="2">
        <v>1.538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</row>
    <row r="275" spans="1:51" x14ac:dyDescent="0.2">
      <c r="A275" s="4">
        <v>1984</v>
      </c>
      <c r="B275" s="2">
        <v>5.1999999999999998E-2</v>
      </c>
      <c r="C275" s="2">
        <v>0.108</v>
      </c>
      <c r="D275" s="2">
        <v>0.16</v>
      </c>
      <c r="E275" s="2">
        <v>0.19900000000000001</v>
      </c>
      <c r="F275" s="2">
        <v>0.24099999999999999</v>
      </c>
      <c r="G275" s="2">
        <v>0.30099999999999999</v>
      </c>
      <c r="H275" s="2">
        <v>0.38800000000000001</v>
      </c>
      <c r="I275" s="2">
        <v>0.46600000000000003</v>
      </c>
      <c r="J275" s="2">
        <v>0.58799999999999997</v>
      </c>
      <c r="K275" s="2">
        <v>0.871</v>
      </c>
      <c r="L275" s="2">
        <v>1.2649999999999999</v>
      </c>
      <c r="M275" s="2">
        <v>1.972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</row>
    <row r="276" spans="1:51" x14ac:dyDescent="0.2">
      <c r="A276" s="4">
        <v>1985</v>
      </c>
      <c r="B276" s="2">
        <v>2.5999999999999999E-2</v>
      </c>
      <c r="C276" s="2">
        <v>0.06</v>
      </c>
      <c r="D276" s="2">
        <v>0.13200000000000001</v>
      </c>
      <c r="E276" s="2">
        <v>0.23100000000000001</v>
      </c>
      <c r="F276" s="2">
        <v>0.27200000000000002</v>
      </c>
      <c r="G276" s="2">
        <v>0.35</v>
      </c>
      <c r="H276" s="2">
        <v>0.44700000000000001</v>
      </c>
      <c r="I276" s="2">
        <v>0.51900000000000002</v>
      </c>
      <c r="J276" s="2">
        <v>0.71599999999999997</v>
      </c>
      <c r="K276" s="2">
        <v>0.82</v>
      </c>
      <c r="L276" s="2">
        <v>1.073</v>
      </c>
      <c r="M276" s="2">
        <v>1.8540000000000001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</row>
    <row r="277" spans="1:51" x14ac:dyDescent="0.2">
      <c r="A277" s="4">
        <v>1986</v>
      </c>
      <c r="B277" s="2">
        <v>5.1999999999999998E-2</v>
      </c>
      <c r="C277" s="2">
        <v>9.5000000000000001E-2</v>
      </c>
      <c r="D277" s="2">
        <v>0.14899999999999999</v>
      </c>
      <c r="E277" s="2">
        <v>0.24199999999999999</v>
      </c>
      <c r="F277" s="2">
        <v>0.29399999999999998</v>
      </c>
      <c r="G277" s="2">
        <v>0.34</v>
      </c>
      <c r="H277" s="2">
        <v>0.40699999999999997</v>
      </c>
      <c r="I277" s="2">
        <v>0.503</v>
      </c>
      <c r="J277" s="2">
        <v>0.63700000000000001</v>
      </c>
      <c r="K277" s="2">
        <v>0.76500000000000001</v>
      </c>
      <c r="L277" s="2">
        <v>1.1839999999999999</v>
      </c>
      <c r="M277" s="2">
        <v>1.9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</row>
    <row r="278" spans="1:51" x14ac:dyDescent="0.2">
      <c r="A278" s="4">
        <v>1987</v>
      </c>
      <c r="B278" s="2">
        <v>5.5E-2</v>
      </c>
      <c r="C278" s="2">
        <v>8.5000000000000006E-2</v>
      </c>
      <c r="D278" s="2">
        <v>0.16600000000000001</v>
      </c>
      <c r="E278" s="2">
        <v>0.20699999999999999</v>
      </c>
      <c r="F278" s="2">
        <v>0.26900000000000002</v>
      </c>
      <c r="G278" s="2">
        <v>0.32300000000000001</v>
      </c>
      <c r="H278" s="2">
        <v>0.378</v>
      </c>
      <c r="I278" s="2">
        <v>0.47199999999999998</v>
      </c>
      <c r="J278" s="2">
        <v>0.53600000000000003</v>
      </c>
      <c r="K278" s="2">
        <v>0.64400000000000002</v>
      </c>
      <c r="L278" s="2">
        <v>0.98699999999999999</v>
      </c>
      <c r="M278" s="2">
        <v>1.1850000000000001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</row>
    <row r="279" spans="1:51" x14ac:dyDescent="0.2">
      <c r="A279" s="4">
        <v>1988</v>
      </c>
      <c r="B279" s="2">
        <v>7.0000000000000007E-2</v>
      </c>
      <c r="C279" s="2">
        <v>9.9000000000000005E-2</v>
      </c>
      <c r="D279" s="2">
        <v>0.122</v>
      </c>
      <c r="E279" s="2">
        <v>0.23</v>
      </c>
      <c r="F279" s="2">
        <v>0.27300000000000002</v>
      </c>
      <c r="G279" s="2">
        <v>0.32</v>
      </c>
      <c r="H279" s="2">
        <v>0.374</v>
      </c>
      <c r="I279" s="2">
        <v>0.46100000000000002</v>
      </c>
      <c r="J279" s="2">
        <v>0.59599999999999997</v>
      </c>
      <c r="K279" s="2">
        <v>0.70899999999999996</v>
      </c>
      <c r="L279" s="2">
        <v>1.196</v>
      </c>
      <c r="M279" s="2">
        <v>1.7689999999999999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</row>
    <row r="280" spans="1:51" x14ac:dyDescent="0.2">
      <c r="A280" s="4">
        <v>1989</v>
      </c>
      <c r="B280" s="2">
        <v>3.5000000000000003E-2</v>
      </c>
      <c r="C280" s="2">
        <v>0.13500000000000001</v>
      </c>
      <c r="D280" s="2">
        <v>0.154</v>
      </c>
      <c r="E280" s="2">
        <v>0.185</v>
      </c>
      <c r="F280" s="2">
        <v>0.26600000000000001</v>
      </c>
      <c r="G280" s="2">
        <v>0.33</v>
      </c>
      <c r="H280" s="2">
        <v>0.38300000000000001</v>
      </c>
      <c r="I280" s="2">
        <v>0.44900000000000001</v>
      </c>
      <c r="J280" s="2">
        <v>0.57699999999999996</v>
      </c>
      <c r="K280" s="2">
        <v>0.68500000000000005</v>
      </c>
      <c r="L280" s="2">
        <v>1.012</v>
      </c>
      <c r="M280" s="2">
        <v>1.8460000000000001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</row>
    <row r="281" spans="1:51" x14ac:dyDescent="0.2">
      <c r="A281" s="4">
        <v>1990</v>
      </c>
      <c r="B281" s="2">
        <v>5.8000000000000003E-2</v>
      </c>
      <c r="C281" s="2">
        <v>0.14799999999999999</v>
      </c>
      <c r="D281" s="2">
        <v>0.18099999999999999</v>
      </c>
      <c r="E281" s="2">
        <v>0.223</v>
      </c>
      <c r="F281" s="2">
        <v>0.27</v>
      </c>
      <c r="G281" s="2">
        <v>0.33900000000000002</v>
      </c>
      <c r="H281" s="2">
        <v>0.39800000000000002</v>
      </c>
      <c r="I281" s="2">
        <v>0.47299999999999998</v>
      </c>
      <c r="J281" s="2">
        <v>0.57299999999999995</v>
      </c>
      <c r="K281" s="2">
        <v>0.79600000000000004</v>
      </c>
      <c r="L281" s="2">
        <v>1.3759999999999999</v>
      </c>
      <c r="M281" s="2">
        <v>1.647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</row>
    <row r="282" spans="1:51" x14ac:dyDescent="0.2">
      <c r="A282" s="4">
        <v>1991</v>
      </c>
      <c r="B282" s="2">
        <v>7.2999999999999995E-2</v>
      </c>
      <c r="C282" s="2">
        <v>7.4999999999999997E-2</v>
      </c>
      <c r="D282" s="2">
        <v>0.17199999999999999</v>
      </c>
      <c r="E282" s="2">
        <v>0.247</v>
      </c>
      <c r="F282" s="2">
        <v>0.28599999999999998</v>
      </c>
      <c r="G282" s="2">
        <v>0.34599999999999997</v>
      </c>
      <c r="H282" s="2">
        <v>0.42699999999999999</v>
      </c>
      <c r="I282" s="2">
        <v>0.51800000000000002</v>
      </c>
      <c r="J282" s="2">
        <v>0.64</v>
      </c>
      <c r="K282" s="2">
        <v>0.84399999999999997</v>
      </c>
      <c r="L282" s="2">
        <v>1.351</v>
      </c>
      <c r="M282" s="2">
        <v>2.11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</row>
    <row r="283" spans="1:51" x14ac:dyDescent="0.2">
      <c r="A283" s="4">
        <v>1992</v>
      </c>
      <c r="B283" s="2">
        <v>7.5999999999999998E-2</v>
      </c>
      <c r="C283" s="2">
        <v>0.11700000000000001</v>
      </c>
      <c r="D283" s="2">
        <v>0.14000000000000001</v>
      </c>
      <c r="E283" s="2">
        <v>0.191</v>
      </c>
      <c r="F283" s="2">
        <v>0.27</v>
      </c>
      <c r="G283" s="2">
        <v>0.35699999999999998</v>
      </c>
      <c r="H283" s="2">
        <v>0.434</v>
      </c>
      <c r="I283" s="2">
        <v>0.503</v>
      </c>
      <c r="J283" s="2">
        <v>0.57699999999999996</v>
      </c>
      <c r="K283" s="2">
        <v>0.68899999999999995</v>
      </c>
      <c r="L283" s="2">
        <v>1.089</v>
      </c>
      <c r="M283" s="2">
        <v>1.9790000000000001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</row>
    <row r="284" spans="1:51" x14ac:dyDescent="0.2">
      <c r="A284" s="4">
        <v>1993</v>
      </c>
      <c r="B284" s="2">
        <v>0.1</v>
      </c>
      <c r="C284" s="2">
        <v>0.124</v>
      </c>
      <c r="D284" s="2">
        <v>0.159</v>
      </c>
      <c r="E284" s="2">
        <v>0.19700000000000001</v>
      </c>
      <c r="F284" s="2">
        <v>0.23300000000000001</v>
      </c>
      <c r="G284" s="2">
        <v>0.34200000000000003</v>
      </c>
      <c r="H284" s="2">
        <v>0.44400000000000001</v>
      </c>
      <c r="I284" s="2">
        <v>0.51200000000000001</v>
      </c>
      <c r="J284" s="2">
        <v>0.58799999999999997</v>
      </c>
      <c r="K284" s="2">
        <v>0.75</v>
      </c>
      <c r="L284" s="2">
        <v>1.012</v>
      </c>
      <c r="M284" s="2">
        <v>1.3720000000000001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</row>
    <row r="285" spans="1:51" x14ac:dyDescent="0.2">
      <c r="A285" s="4">
        <v>1994</v>
      </c>
      <c r="B285" s="2">
        <v>5.1999999999999998E-2</v>
      </c>
      <c r="C285" s="2">
        <v>0.10299999999999999</v>
      </c>
      <c r="D285" s="2">
        <v>0.22</v>
      </c>
      <c r="E285" s="2">
        <v>0.24099999999999999</v>
      </c>
      <c r="F285" s="2">
        <v>0.27800000000000002</v>
      </c>
      <c r="G285" s="2">
        <v>0.33900000000000002</v>
      </c>
      <c r="H285" s="2">
        <v>0.46700000000000003</v>
      </c>
      <c r="I285" s="2">
        <v>0.58499999999999996</v>
      </c>
      <c r="J285" s="2">
        <v>0.70199999999999996</v>
      </c>
      <c r="K285" s="2">
        <v>0.77900000000000003</v>
      </c>
      <c r="L285" s="2">
        <v>0.88</v>
      </c>
      <c r="M285" s="2">
        <v>1.538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</row>
    <row r="286" spans="1:51" x14ac:dyDescent="0.2">
      <c r="A286" s="4">
        <v>1995</v>
      </c>
      <c r="B286" s="2">
        <v>6.4000000000000001E-2</v>
      </c>
      <c r="C286" s="2">
        <v>9.0999999999999998E-2</v>
      </c>
      <c r="D286" s="2">
        <v>0.153</v>
      </c>
      <c r="E286" s="2">
        <v>0.26400000000000001</v>
      </c>
      <c r="F286" s="2">
        <v>0.309</v>
      </c>
      <c r="G286" s="2">
        <v>0.373</v>
      </c>
      <c r="H286" s="2">
        <v>0.46100000000000002</v>
      </c>
      <c r="I286" s="2">
        <v>0.58199999999999996</v>
      </c>
      <c r="J286" s="2">
        <v>0.69399999999999995</v>
      </c>
      <c r="K286" s="2">
        <v>0.83499999999999996</v>
      </c>
      <c r="L286" s="2">
        <v>0.97</v>
      </c>
      <c r="M286" s="2">
        <v>1.5980000000000001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</row>
    <row r="287" spans="1:51" x14ac:dyDescent="0.2">
      <c r="A287" s="4">
        <v>1996</v>
      </c>
      <c r="B287" s="2">
        <v>3.6999999999999998E-2</v>
      </c>
      <c r="C287" s="2">
        <v>0.106</v>
      </c>
      <c r="D287" s="2">
        <v>0.13200000000000001</v>
      </c>
      <c r="E287" s="2">
        <v>0.186</v>
      </c>
      <c r="F287" s="2">
        <v>0.27100000000000002</v>
      </c>
      <c r="G287" s="2">
        <v>0.38100000000000001</v>
      </c>
      <c r="H287" s="2">
        <v>0.45100000000000001</v>
      </c>
      <c r="I287" s="2">
        <v>0.54200000000000004</v>
      </c>
      <c r="J287" s="2">
        <v>0.66700000000000004</v>
      </c>
      <c r="K287" s="2">
        <v>0.78700000000000003</v>
      </c>
      <c r="L287" s="2">
        <v>0.90100000000000002</v>
      </c>
      <c r="M287" s="2">
        <v>1.0529999999999999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</row>
    <row r="288" spans="1:51" x14ac:dyDescent="0.2">
      <c r="A288" s="4">
        <v>1997</v>
      </c>
      <c r="B288" s="2">
        <v>6.3E-2</v>
      </c>
      <c r="C288" s="2">
        <v>8.3000000000000004E-2</v>
      </c>
      <c r="D288" s="2">
        <v>0.11799999999999999</v>
      </c>
      <c r="E288" s="2">
        <v>0.17699999999999999</v>
      </c>
      <c r="F288" s="2">
        <v>0.23899999999999999</v>
      </c>
      <c r="G288" s="2">
        <v>0.27500000000000002</v>
      </c>
      <c r="H288" s="2">
        <v>0.40899999999999997</v>
      </c>
      <c r="I288" s="2">
        <v>0.52400000000000002</v>
      </c>
      <c r="J288" s="2">
        <v>0.59399999999999997</v>
      </c>
      <c r="K288" s="2">
        <v>0.70899999999999996</v>
      </c>
      <c r="L288" s="2">
        <v>0.85099999999999998</v>
      </c>
      <c r="M288" s="2">
        <v>1.046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</row>
    <row r="289" spans="1:51" x14ac:dyDescent="0.2">
      <c r="A289" s="4">
        <v>1998</v>
      </c>
      <c r="B289" s="2">
        <v>1.0999999999999999E-2</v>
      </c>
      <c r="C289" s="2">
        <v>8.8999999999999996E-2</v>
      </c>
      <c r="D289" s="2">
        <v>0.121</v>
      </c>
      <c r="E289" s="2">
        <v>0.18099999999999999</v>
      </c>
      <c r="F289" s="2">
        <v>0.246</v>
      </c>
      <c r="G289" s="2">
        <v>0.32</v>
      </c>
      <c r="H289" s="2">
        <v>0.40799999999999997</v>
      </c>
      <c r="I289" s="2">
        <v>0.57899999999999996</v>
      </c>
      <c r="J289" s="2">
        <v>0.71899999999999997</v>
      </c>
      <c r="K289" s="2">
        <v>0.85299999999999998</v>
      </c>
      <c r="L289" s="2">
        <v>0.96499999999999997</v>
      </c>
      <c r="M289" s="2">
        <v>1.1739999999999999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</row>
    <row r="290" spans="1:51" x14ac:dyDescent="0.2">
      <c r="A290" s="4">
        <v>1999</v>
      </c>
      <c r="B290" s="2">
        <v>4.1000000000000002E-2</v>
      </c>
      <c r="C290" s="2">
        <v>8.4000000000000005E-2</v>
      </c>
      <c r="D290" s="2">
        <v>0.112</v>
      </c>
      <c r="E290" s="2">
        <v>0.224</v>
      </c>
      <c r="F290" s="2">
        <v>0.27</v>
      </c>
      <c r="G290" s="2">
        <v>0.33600000000000002</v>
      </c>
      <c r="H290" s="2">
        <v>0.46200000000000002</v>
      </c>
      <c r="I290" s="2">
        <v>0.64300000000000002</v>
      </c>
      <c r="J290" s="2">
        <v>0.80800000000000005</v>
      </c>
      <c r="K290" s="2">
        <v>0.86799999999999999</v>
      </c>
      <c r="L290" s="2">
        <v>1.0580000000000001</v>
      </c>
      <c r="M290" s="2">
        <v>1.421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</row>
    <row r="291" spans="1:51" x14ac:dyDescent="0.2">
      <c r="A291" s="4">
        <v>2000</v>
      </c>
      <c r="B291" s="2">
        <v>7.0000000000000007E-2</v>
      </c>
      <c r="C291" s="2">
        <v>9.8000000000000004E-2</v>
      </c>
      <c r="D291" s="2">
        <v>0.14499999999999999</v>
      </c>
      <c r="E291" s="2">
        <v>0.192</v>
      </c>
      <c r="F291" s="2">
        <v>0.27</v>
      </c>
      <c r="G291" s="2">
        <v>0.34</v>
      </c>
      <c r="H291" s="2">
        <v>0.42899999999999999</v>
      </c>
      <c r="I291" s="2">
        <v>0.57699999999999996</v>
      </c>
      <c r="J291" s="2">
        <v>0.80700000000000005</v>
      </c>
      <c r="K291" s="2">
        <v>0.96499999999999997</v>
      </c>
      <c r="L291" s="2">
        <v>1.115</v>
      </c>
      <c r="M291" s="2">
        <v>1.367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</row>
    <row r="292" spans="1:51" x14ac:dyDescent="0.2">
      <c r="A292" s="4">
        <v>2001</v>
      </c>
      <c r="B292" s="2">
        <v>6.0999999999999999E-2</v>
      </c>
      <c r="C292" s="2">
        <v>9.1999999999999998E-2</v>
      </c>
      <c r="D292" s="2">
        <v>0.151</v>
      </c>
      <c r="E292" s="2">
        <v>0.191</v>
      </c>
      <c r="F292" s="2">
        <v>0.28000000000000003</v>
      </c>
      <c r="G292" s="2">
        <v>0.35199999999999998</v>
      </c>
      <c r="H292" s="2">
        <v>0.52400000000000002</v>
      </c>
      <c r="I292" s="2">
        <v>0.68300000000000005</v>
      </c>
      <c r="J292" s="2">
        <v>0.94499999999999995</v>
      </c>
      <c r="K292" s="2">
        <v>1.216</v>
      </c>
      <c r="L292" s="2">
        <v>1.4259999999999999</v>
      </c>
      <c r="M292" s="2">
        <v>1.4770000000000001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</row>
    <row r="293" spans="1:51" x14ac:dyDescent="0.2">
      <c r="A293" s="4">
        <v>2002</v>
      </c>
      <c r="B293" s="2">
        <v>0.104</v>
      </c>
      <c r="C293" s="2">
        <v>0.106</v>
      </c>
      <c r="D293" s="2">
        <v>0.14599999999999999</v>
      </c>
      <c r="E293" s="2">
        <v>0.20100000000000001</v>
      </c>
      <c r="F293" s="2">
        <v>0.26</v>
      </c>
      <c r="G293" s="2">
        <v>0.35499999999999998</v>
      </c>
      <c r="H293" s="2">
        <v>0.495</v>
      </c>
      <c r="I293" s="2">
        <v>0.68300000000000005</v>
      </c>
      <c r="J293" s="2">
        <v>0.88400000000000001</v>
      </c>
      <c r="K293" s="2">
        <v>1.0880000000000001</v>
      </c>
      <c r="L293" s="2">
        <v>1.4670000000000001</v>
      </c>
      <c r="M293" s="2">
        <v>1.647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</row>
    <row r="294" spans="1:51" x14ac:dyDescent="0.2">
      <c r="A294" s="4">
        <v>2003</v>
      </c>
      <c r="B294" s="2">
        <v>8.4000000000000005E-2</v>
      </c>
      <c r="C294" s="2">
        <v>0.128</v>
      </c>
      <c r="D294" s="2">
        <v>0.13800000000000001</v>
      </c>
      <c r="E294" s="2">
        <v>0.17799999999999999</v>
      </c>
      <c r="F294" s="2">
        <v>0.248</v>
      </c>
      <c r="G294" s="2">
        <v>0.34</v>
      </c>
      <c r="H294" s="2">
        <v>0.54500000000000004</v>
      </c>
      <c r="I294" s="2">
        <v>0.80600000000000005</v>
      </c>
      <c r="J294" s="2">
        <v>1.0349999999999999</v>
      </c>
      <c r="K294" s="2">
        <v>1.246</v>
      </c>
      <c r="L294" s="2">
        <v>1.4119999999999999</v>
      </c>
      <c r="M294" s="2">
        <v>1.655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</row>
    <row r="295" spans="1:51" x14ac:dyDescent="0.2">
      <c r="A295" s="4">
        <v>2004</v>
      </c>
      <c r="B295" s="2">
        <v>0.09</v>
      </c>
      <c r="C295" s="2">
        <v>0.109</v>
      </c>
      <c r="D295" s="2">
        <v>0.13400000000000001</v>
      </c>
      <c r="E295" s="2">
        <v>0.17399999999999999</v>
      </c>
      <c r="F295" s="2">
        <v>0.25</v>
      </c>
      <c r="G295" s="2">
        <v>0.33100000000000002</v>
      </c>
      <c r="H295" s="2">
        <v>0.46500000000000002</v>
      </c>
      <c r="I295" s="2">
        <v>0.74199999999999999</v>
      </c>
      <c r="J295" s="2">
        <v>1.0209999999999999</v>
      </c>
      <c r="K295" s="2">
        <v>1.258</v>
      </c>
      <c r="L295" s="2">
        <v>1.3759999999999999</v>
      </c>
      <c r="M295" s="2">
        <v>1.776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</row>
    <row r="296" spans="1:51" x14ac:dyDescent="0.2">
      <c r="A296" s="4">
        <v>2005</v>
      </c>
      <c r="B296" s="2">
        <v>4.2999999999999997E-2</v>
      </c>
      <c r="C296" s="2">
        <v>6.4000000000000001E-2</v>
      </c>
      <c r="D296" s="2">
        <v>0.16300000000000001</v>
      </c>
      <c r="E296" s="2">
        <v>0.19600000000000001</v>
      </c>
      <c r="F296" s="2">
        <v>0.255</v>
      </c>
      <c r="G296" s="2">
        <v>0.34599999999999997</v>
      </c>
      <c r="H296" s="2">
        <v>0.46600000000000003</v>
      </c>
      <c r="I296" s="2">
        <v>0.75600000000000001</v>
      </c>
      <c r="J296" s="2">
        <v>0.999</v>
      </c>
      <c r="K296" s="2">
        <v>1.141</v>
      </c>
      <c r="L296" s="2">
        <v>1.228</v>
      </c>
      <c r="M296" s="2">
        <v>1.5629999999999999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</row>
    <row r="297" spans="1:51" x14ac:dyDescent="0.2">
      <c r="A297" s="4">
        <v>2006</v>
      </c>
      <c r="B297" s="2">
        <v>6.6000000000000003E-2</v>
      </c>
      <c r="C297" s="2">
        <v>9.8000000000000004E-2</v>
      </c>
      <c r="D297" s="2">
        <v>0.122</v>
      </c>
      <c r="E297" s="2">
        <v>0.17899999999999999</v>
      </c>
      <c r="F297" s="2">
        <v>0.25800000000000001</v>
      </c>
      <c r="G297" s="2">
        <v>0.32500000000000001</v>
      </c>
      <c r="H297" s="2">
        <v>0.46100000000000002</v>
      </c>
      <c r="I297" s="2">
        <v>0.61399999999999999</v>
      </c>
      <c r="J297" s="2">
        <v>0.82799999999999996</v>
      </c>
      <c r="K297" s="2">
        <v>1.0740000000000001</v>
      </c>
      <c r="L297" s="2">
        <v>1.36</v>
      </c>
      <c r="M297" s="2">
        <v>1.671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</row>
    <row r="298" spans="1:51" x14ac:dyDescent="0.2">
      <c r="A298" s="4">
        <v>2007</v>
      </c>
      <c r="B298" s="2">
        <v>3.1E-2</v>
      </c>
      <c r="C298" s="2">
        <v>7.3999999999999996E-2</v>
      </c>
      <c r="D298" s="2">
        <v>0.13</v>
      </c>
      <c r="E298" s="2">
        <v>0.2</v>
      </c>
      <c r="F298" s="2">
        <v>0.25700000000000001</v>
      </c>
      <c r="G298" s="2">
        <v>0.32900000000000001</v>
      </c>
      <c r="H298" s="2">
        <v>0.44500000000000001</v>
      </c>
      <c r="I298" s="2">
        <v>0.64500000000000002</v>
      </c>
      <c r="J298" s="2">
        <v>0.88300000000000001</v>
      </c>
      <c r="K298" s="2">
        <v>1.1020000000000001</v>
      </c>
      <c r="L298" s="2">
        <v>1.321</v>
      </c>
      <c r="M298" s="2">
        <v>1.649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</row>
    <row r="299" spans="1:51" x14ac:dyDescent="0.2">
      <c r="A299" s="4">
        <v>2008</v>
      </c>
      <c r="B299" s="2">
        <v>3.5999999999999997E-2</v>
      </c>
      <c r="C299" s="2">
        <v>8.5999999999999993E-2</v>
      </c>
      <c r="D299" s="2">
        <v>0.11700000000000001</v>
      </c>
      <c r="E299" s="2">
        <v>0.186</v>
      </c>
      <c r="F299" s="2">
        <v>0.245</v>
      </c>
      <c r="G299" s="2">
        <v>0.307</v>
      </c>
      <c r="H299" s="2">
        <v>0.4</v>
      </c>
      <c r="I299" s="2">
        <v>0.56399999999999995</v>
      </c>
      <c r="J299" s="2">
        <v>0.76800000000000002</v>
      </c>
      <c r="K299" s="2">
        <v>1.0049999999999999</v>
      </c>
      <c r="L299" s="2">
        <v>1.2090000000000001</v>
      </c>
      <c r="M299" s="2">
        <v>1.5369999999999999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</row>
    <row r="300" spans="1:51" x14ac:dyDescent="0.2">
      <c r="A300" s="4">
        <v>2009</v>
      </c>
      <c r="B300" s="2">
        <v>3.4000000000000002E-2</v>
      </c>
      <c r="C300" s="2">
        <v>0.08</v>
      </c>
      <c r="D300" s="2">
        <v>0.158</v>
      </c>
      <c r="E300" s="2">
        <v>0.193</v>
      </c>
      <c r="F300" s="2">
        <v>0.247</v>
      </c>
      <c r="G300" s="2">
        <v>0.307</v>
      </c>
      <c r="H300" s="2">
        <v>0.38700000000000001</v>
      </c>
      <c r="I300" s="2">
        <v>0.52800000000000002</v>
      </c>
      <c r="J300" s="2">
        <v>0.7</v>
      </c>
      <c r="K300" s="2">
        <v>0.89700000000000002</v>
      </c>
      <c r="L300" s="2">
        <v>1.087</v>
      </c>
      <c r="M300" s="2">
        <v>1.5409999999999999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</row>
    <row r="301" spans="1:51" x14ac:dyDescent="0.2">
      <c r="A301" s="4">
        <v>2010</v>
      </c>
      <c r="B301" s="2">
        <v>2.9000000000000001E-2</v>
      </c>
      <c r="C301" s="2">
        <v>7.4999999999999997E-2</v>
      </c>
      <c r="D301" s="2">
        <v>0.113</v>
      </c>
      <c r="E301" s="2">
        <v>0.19600000000000001</v>
      </c>
      <c r="F301" s="2">
        <v>0.25900000000000001</v>
      </c>
      <c r="G301" s="2">
        <v>0.318</v>
      </c>
      <c r="H301" s="2">
        <v>0.39900000000000002</v>
      </c>
      <c r="I301" s="2">
        <v>0.51700000000000002</v>
      </c>
      <c r="J301" s="2">
        <v>0.64100000000000001</v>
      </c>
      <c r="K301" s="2">
        <v>0.76700000000000002</v>
      </c>
      <c r="L301" s="2">
        <v>0.91800000000000004</v>
      </c>
      <c r="M301" s="2">
        <v>1.296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</row>
    <row r="302" spans="1:51" x14ac:dyDescent="0.2">
      <c r="A302" s="4">
        <v>2011</v>
      </c>
      <c r="B302" s="2">
        <v>3.3000000000000002E-2</v>
      </c>
      <c r="C302" s="2">
        <v>7.5999999999999998E-2</v>
      </c>
      <c r="D302" s="2">
        <v>0.11600000000000001</v>
      </c>
      <c r="E302" s="2">
        <v>0.14099999999999999</v>
      </c>
      <c r="F302" s="2">
        <v>0.26100000000000001</v>
      </c>
      <c r="G302" s="2">
        <v>0.35</v>
      </c>
      <c r="H302" s="2">
        <v>0.41899999999999998</v>
      </c>
      <c r="I302" s="2">
        <v>0.51600000000000001</v>
      </c>
      <c r="J302" s="2">
        <v>0.63100000000000001</v>
      </c>
      <c r="K302" s="2">
        <v>0.752</v>
      </c>
      <c r="L302" s="2">
        <v>0.92400000000000004</v>
      </c>
      <c r="M302" s="2">
        <v>1.2629999999999999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</row>
    <row r="303" spans="1:51" x14ac:dyDescent="0.2">
      <c r="A303" s="4">
        <v>2012</v>
      </c>
      <c r="B303" s="2">
        <v>8.5999999999999993E-2</v>
      </c>
      <c r="C303" s="2">
        <v>7.3999999999999996E-2</v>
      </c>
      <c r="D303" s="2">
        <v>0.121</v>
      </c>
      <c r="E303" s="2">
        <v>0.17199999999999999</v>
      </c>
      <c r="F303" s="2">
        <v>0.22600000000000001</v>
      </c>
      <c r="G303" s="2">
        <v>0.33100000000000002</v>
      </c>
      <c r="H303" s="2">
        <v>0.43099999999999999</v>
      </c>
      <c r="I303" s="2">
        <v>0.51</v>
      </c>
      <c r="J303" s="2">
        <v>0.621</v>
      </c>
      <c r="K303" s="2">
        <v>0.75600000000000001</v>
      </c>
      <c r="L303" s="2">
        <v>0.90300000000000002</v>
      </c>
      <c r="M303" s="2">
        <v>1.177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</row>
    <row r="304" spans="1:51" x14ac:dyDescent="0.2">
      <c r="A304" s="4">
        <v>2013</v>
      </c>
      <c r="B304" s="2">
        <v>3.5999999999999997E-2</v>
      </c>
      <c r="C304" s="2">
        <v>4.8000000000000001E-2</v>
      </c>
      <c r="D304" s="2">
        <v>6.9000000000000006E-2</v>
      </c>
      <c r="E304" s="2">
        <v>0.186</v>
      </c>
      <c r="F304" s="2">
        <v>0.254</v>
      </c>
      <c r="G304" s="2">
        <v>0.312</v>
      </c>
      <c r="H304" s="2">
        <v>0.41599999999999998</v>
      </c>
      <c r="I304" s="2">
        <v>0.51500000000000001</v>
      </c>
      <c r="J304" s="2">
        <v>0.60499999999999998</v>
      </c>
      <c r="K304" s="2">
        <v>0.71899999999999997</v>
      </c>
      <c r="L304" s="2">
        <v>0.86099999999999999</v>
      </c>
      <c r="M304" s="2">
        <v>1.1479999999999999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</row>
    <row r="305" spans="1:51" x14ac:dyDescent="0.2">
      <c r="A305" s="4">
        <v>2014</v>
      </c>
      <c r="B305" s="2">
        <v>1.4E-2</v>
      </c>
      <c r="C305" s="2">
        <v>4.4999999999999998E-2</v>
      </c>
      <c r="D305" s="2">
        <v>0.109</v>
      </c>
      <c r="E305" s="2">
        <v>0.14199999999999999</v>
      </c>
      <c r="F305" s="2">
        <v>0.253</v>
      </c>
      <c r="G305" s="2">
        <v>0.33</v>
      </c>
      <c r="H305" s="2">
        <v>0.41099999999999998</v>
      </c>
      <c r="I305" s="2">
        <v>0.53200000000000003</v>
      </c>
      <c r="J305" s="2">
        <v>0.625</v>
      </c>
      <c r="K305" s="2">
        <v>0.76400000000000001</v>
      </c>
      <c r="L305" s="2">
        <v>0.88600000000000001</v>
      </c>
      <c r="M305" s="2">
        <v>1.1439999999999999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</row>
    <row r="306" spans="1:51" x14ac:dyDescent="0.2">
      <c r="A306" s="4">
        <v>2015</v>
      </c>
      <c r="B306" s="2">
        <v>1.4E-2</v>
      </c>
      <c r="C306" s="2">
        <v>5.1999999999999998E-2</v>
      </c>
      <c r="D306" s="2">
        <v>0.10100000000000001</v>
      </c>
      <c r="E306" s="2">
        <v>0.17499999999999999</v>
      </c>
      <c r="F306" s="2">
        <v>0.23699999999999999</v>
      </c>
      <c r="G306" s="2">
        <v>0.313</v>
      </c>
      <c r="H306" s="2">
        <v>0.41499999999999998</v>
      </c>
      <c r="I306" s="2">
        <v>0.53900000000000003</v>
      </c>
      <c r="J306" s="2">
        <v>0.64900000000000002</v>
      </c>
      <c r="K306" s="2">
        <v>0.78700000000000003</v>
      </c>
      <c r="L306" s="2">
        <v>0.96399999999999997</v>
      </c>
      <c r="M306" s="2">
        <v>1.4730000000000001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</row>
    <row r="307" spans="1:51" x14ac:dyDescent="0.2">
      <c r="A307" s="4">
        <v>2016</v>
      </c>
      <c r="B307" s="2">
        <v>1.9E-2</v>
      </c>
      <c r="C307" s="2">
        <v>6.7000000000000004E-2</v>
      </c>
      <c r="D307" s="2">
        <v>0.10100000000000001</v>
      </c>
      <c r="E307" s="2">
        <v>0.19</v>
      </c>
      <c r="F307" s="2">
        <v>0.28699999999999998</v>
      </c>
      <c r="G307" s="2">
        <v>0.35299999999999998</v>
      </c>
      <c r="H307" s="2">
        <v>0.46600000000000003</v>
      </c>
      <c r="I307" s="2">
        <v>0.61299999999999999</v>
      </c>
      <c r="J307" s="2">
        <v>0.77400000000000002</v>
      </c>
      <c r="K307" s="2">
        <v>0.92300000000000004</v>
      </c>
      <c r="L307" s="2">
        <v>1.173</v>
      </c>
      <c r="M307" s="2">
        <v>1.514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</row>
    <row r="308" spans="1:51" x14ac:dyDescent="0.2">
      <c r="A308" s="4">
        <v>2017</v>
      </c>
      <c r="B308" s="2">
        <v>7.0000000000000001E-3</v>
      </c>
      <c r="C308" s="2">
        <v>1.4E-2</v>
      </c>
      <c r="D308" s="2">
        <v>8.2000000000000003E-2</v>
      </c>
      <c r="E308" s="2">
        <v>0.20200000000000001</v>
      </c>
      <c r="F308" s="2">
        <v>0.26400000000000001</v>
      </c>
      <c r="G308" s="2">
        <v>0.35299999999999998</v>
      </c>
      <c r="H308" s="2">
        <v>0.47599999999999998</v>
      </c>
      <c r="I308" s="2">
        <v>0.55800000000000005</v>
      </c>
      <c r="J308" s="2">
        <v>0.71099999999999997</v>
      </c>
      <c r="K308" s="2">
        <v>0.91200000000000003</v>
      </c>
      <c r="L308" s="2">
        <v>1.1459999999999999</v>
      </c>
      <c r="M308" s="2">
        <v>1.6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</row>
    <row r="309" spans="1:51" x14ac:dyDescent="0.2">
      <c r="A309" s="4">
        <v>2018</v>
      </c>
      <c r="B309" s="2">
        <v>5.3999999999999999E-2</v>
      </c>
      <c r="C309" s="2">
        <v>0.158</v>
      </c>
      <c r="D309" s="2">
        <v>0.251</v>
      </c>
      <c r="E309" s="2">
        <v>0.26</v>
      </c>
      <c r="F309" s="2">
        <v>0.318</v>
      </c>
      <c r="G309" s="2">
        <v>0.38500000000000001</v>
      </c>
      <c r="H309" s="2">
        <v>0.45</v>
      </c>
      <c r="I309" s="2">
        <v>0.55300000000000005</v>
      </c>
      <c r="J309" s="2">
        <v>0.70499999999999996</v>
      </c>
      <c r="K309" s="2">
        <v>0.82899999999999996</v>
      </c>
      <c r="L309" s="2">
        <v>1.117</v>
      </c>
      <c r="M309" s="2">
        <v>1.9770000000000001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</row>
    <row r="310" spans="1:51" x14ac:dyDescent="0.2">
      <c r="A310" s="4">
        <v>2019</v>
      </c>
      <c r="B310" s="2">
        <v>5.1999999999999998E-2</v>
      </c>
      <c r="C310" s="2">
        <v>9.2999999999999999E-2</v>
      </c>
      <c r="D310" s="2">
        <v>0.18162449999999999</v>
      </c>
      <c r="E310" s="2">
        <v>0.2471216</v>
      </c>
      <c r="F310" s="2">
        <v>0.3748244</v>
      </c>
      <c r="G310" s="2">
        <v>0.4846821</v>
      </c>
      <c r="H310" s="2">
        <v>0.53434590000000004</v>
      </c>
      <c r="I310" s="2">
        <v>0.68240809999999996</v>
      </c>
      <c r="J310" s="2">
        <v>1.0936980000000001</v>
      </c>
      <c r="K310" s="2">
        <v>1.2805359999999999</v>
      </c>
      <c r="L310" s="2">
        <v>1.302017</v>
      </c>
      <c r="M310" s="2">
        <v>1.656231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</row>
    <row r="311" spans="1:51" x14ac:dyDescent="0.2">
      <c r="A311" s="4" t="s">
        <v>31</v>
      </c>
      <c r="B311" s="2">
        <v>5.1156334999999997E-2</v>
      </c>
      <c r="C311" s="2">
        <v>0.112200779</v>
      </c>
      <c r="D311" s="2">
        <v>0.19093136799999999</v>
      </c>
      <c r="E311" s="2">
        <v>0.25619424099999999</v>
      </c>
      <c r="F311" s="2">
        <v>0.34527360499999998</v>
      </c>
      <c r="G311" s="2">
        <v>0.42853607100000002</v>
      </c>
      <c r="H311" s="2">
        <v>0.50444999700000004</v>
      </c>
      <c r="I311" s="2">
        <v>0.62718589700000005</v>
      </c>
      <c r="J311" s="2">
        <v>0.93520943400000001</v>
      </c>
      <c r="K311" s="2">
        <v>1.069493665</v>
      </c>
      <c r="L311" s="2">
        <v>1.2060219329999999</v>
      </c>
      <c r="M311" s="2">
        <v>1.4466478279999999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</row>
    <row r="312" spans="1:51" x14ac:dyDescent="0.2">
      <c r="A312" s="4">
        <v>1971</v>
      </c>
      <c r="B312" s="2">
        <v>5.0312669999999997E-2</v>
      </c>
      <c r="C312" s="2">
        <v>0.131401558</v>
      </c>
      <c r="D312" s="2">
        <v>0.20023823499999999</v>
      </c>
      <c r="E312" s="2">
        <v>0.26526688100000001</v>
      </c>
      <c r="F312" s="2">
        <v>0.31572281000000002</v>
      </c>
      <c r="G312" s="2">
        <v>0.372390041</v>
      </c>
      <c r="H312" s="2">
        <v>0.47455409300000001</v>
      </c>
      <c r="I312" s="2">
        <v>0.57196369400000002</v>
      </c>
      <c r="J312" s="2">
        <v>0.77672086699999998</v>
      </c>
      <c r="K312" s="2">
        <v>0.85845132999999996</v>
      </c>
      <c r="L312" s="2">
        <v>1.1100268659999999</v>
      </c>
      <c r="M312" s="2">
        <v>1.237064655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</row>
    <row r="313" spans="1:51" x14ac:dyDescent="0.2">
      <c r="A313" s="4">
        <v>1972</v>
      </c>
      <c r="B313" s="2">
        <v>1.6734393E-2</v>
      </c>
      <c r="C313" s="2">
        <v>5.8394525000000003E-2</v>
      </c>
      <c r="D313" s="2">
        <v>0.20054005799999999</v>
      </c>
      <c r="E313" s="2">
        <v>0.239941402</v>
      </c>
      <c r="F313" s="2">
        <v>0.30339664100000002</v>
      </c>
      <c r="G313" s="2">
        <v>0.38183531500000001</v>
      </c>
      <c r="H313" s="2">
        <v>0.468163473</v>
      </c>
      <c r="I313" s="2">
        <v>0.56217300199999998</v>
      </c>
      <c r="J313" s="2">
        <v>0.72121926000000003</v>
      </c>
      <c r="K313" s="2">
        <v>0.95325742300000005</v>
      </c>
      <c r="L313" s="2">
        <v>1.095713277</v>
      </c>
      <c r="M313" s="2">
        <v>1.61642719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</row>
    <row r="314" spans="1:51" x14ac:dyDescent="0.2">
      <c r="A314" s="4">
        <v>1973</v>
      </c>
      <c r="B314" s="2">
        <v>1.5553529999999999E-2</v>
      </c>
      <c r="C314" s="2">
        <v>3.0954781000000001E-2</v>
      </c>
      <c r="D314" s="2">
        <v>0.21244037599999999</v>
      </c>
      <c r="E314" s="2">
        <v>0.241102232</v>
      </c>
      <c r="F314" s="2">
        <v>0.30509367399999998</v>
      </c>
      <c r="G314" s="2">
        <v>0.37764882300000002</v>
      </c>
      <c r="H314" s="2">
        <v>0.49450017800000001</v>
      </c>
      <c r="I314" s="2">
        <v>0.59430035000000003</v>
      </c>
      <c r="J314" s="2">
        <v>0.77990906800000004</v>
      </c>
      <c r="K314" s="2">
        <v>0.91597075999999999</v>
      </c>
      <c r="L314" s="2">
        <v>1.346189643</v>
      </c>
      <c r="M314" s="2">
        <v>1.8236984300000001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</row>
    <row r="315" spans="1:51" x14ac:dyDescent="0.2">
      <c r="A315" s="4">
        <v>1974</v>
      </c>
      <c r="B315" s="2">
        <v>1.4596174E-2</v>
      </c>
      <c r="C315" s="2">
        <v>2.4990087000000001E-2</v>
      </c>
      <c r="D315" s="2">
        <v>0.18745980600000001</v>
      </c>
      <c r="E315" s="2">
        <v>0.26985513500000002</v>
      </c>
      <c r="F315" s="2">
        <v>0.30460896799999998</v>
      </c>
      <c r="G315" s="2">
        <v>0.39067675000000002</v>
      </c>
      <c r="H315" s="2">
        <v>0.48069443699999997</v>
      </c>
      <c r="I315" s="2">
        <v>0.57867890499999997</v>
      </c>
      <c r="J315" s="2">
        <v>0.68549167300000002</v>
      </c>
      <c r="K315" s="2">
        <v>0.76116063</v>
      </c>
      <c r="L315" s="2">
        <v>0.89770300199999997</v>
      </c>
      <c r="M315" s="2">
        <v>1.627863458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</row>
    <row r="316" spans="1:51" x14ac:dyDescent="0.2">
      <c r="A316" s="4">
        <v>1975</v>
      </c>
      <c r="B316" s="2">
        <v>1.4596174E-2</v>
      </c>
      <c r="C316" s="2">
        <v>2.4990087000000001E-2</v>
      </c>
      <c r="D316" s="2">
        <v>0.23219203499999999</v>
      </c>
      <c r="E316" s="2">
        <v>0.229945077</v>
      </c>
      <c r="F316" s="2">
        <v>0.30857574599999998</v>
      </c>
      <c r="G316" s="2">
        <v>0.40427915800000003</v>
      </c>
      <c r="H316" s="2">
        <v>0.53159663599999996</v>
      </c>
      <c r="I316" s="2">
        <v>0.61348729400000002</v>
      </c>
      <c r="J316" s="2">
        <v>0.78822171200000002</v>
      </c>
      <c r="K316" s="2">
        <v>0.98428673799999999</v>
      </c>
      <c r="L316" s="2">
        <v>1.270804665</v>
      </c>
      <c r="M316" s="2">
        <v>1.6580264060000001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</row>
    <row r="317" spans="1:51" x14ac:dyDescent="0.2">
      <c r="A317" s="4">
        <v>1976</v>
      </c>
      <c r="B317" s="2">
        <v>4.4999999999999998E-2</v>
      </c>
      <c r="C317" s="2">
        <v>0.17100000000000001</v>
      </c>
      <c r="D317" s="2">
        <v>0.377</v>
      </c>
      <c r="E317" s="2">
        <v>0.64200000000000002</v>
      </c>
      <c r="F317" s="2">
        <v>0.94499999999999995</v>
      </c>
      <c r="G317" s="2">
        <v>1.2649999999999999</v>
      </c>
      <c r="H317" s="2">
        <v>1.587</v>
      </c>
      <c r="I317" s="2">
        <v>1.9</v>
      </c>
      <c r="J317" s="2">
        <v>2.1960000000000002</v>
      </c>
      <c r="K317" s="2">
        <v>2.4700000000000002</v>
      </c>
      <c r="L317" s="2">
        <v>2.7210000000000001</v>
      </c>
      <c r="M317" s="2">
        <v>2.9460000000000002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</row>
    <row r="318" spans="1:51" x14ac:dyDescent="0.2">
      <c r="A318" s="4">
        <v>1977</v>
      </c>
      <c r="B318" s="2">
        <v>4.4999999999999998E-2</v>
      </c>
      <c r="C318" s="2">
        <v>0.17100000000000001</v>
      </c>
      <c r="D318" s="2">
        <v>0.377</v>
      </c>
      <c r="E318" s="2">
        <v>0.64300000000000002</v>
      </c>
      <c r="F318" s="2">
        <v>0.94599999999999995</v>
      </c>
      <c r="G318" s="2">
        <v>1.266</v>
      </c>
      <c r="H318" s="2">
        <v>1.5880000000000001</v>
      </c>
      <c r="I318" s="2">
        <v>1.9019999999999999</v>
      </c>
      <c r="J318" s="2">
        <v>2.198</v>
      </c>
      <c r="K318" s="2">
        <v>2.472</v>
      </c>
      <c r="L318" s="2">
        <v>2.7229999999999999</v>
      </c>
      <c r="M318" s="2">
        <v>2.9489999999999998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</row>
    <row r="319" spans="1:51" x14ac:dyDescent="0.2">
      <c r="A319" s="4">
        <v>1978</v>
      </c>
      <c r="B319" s="2">
        <v>0.03</v>
      </c>
      <c r="C319" s="2">
        <v>0.13</v>
      </c>
      <c r="D319" s="2">
        <v>0.30599999999999999</v>
      </c>
      <c r="E319" s="2">
        <v>0.54800000000000004</v>
      </c>
      <c r="F319" s="2">
        <v>0.83499999999999996</v>
      </c>
      <c r="G319" s="2">
        <v>1.1479999999999999</v>
      </c>
      <c r="H319" s="2">
        <v>1.47</v>
      </c>
      <c r="I319" s="2">
        <v>1.7889999999999999</v>
      </c>
      <c r="J319" s="2">
        <v>2.0950000000000002</v>
      </c>
      <c r="K319" s="2">
        <v>2.3820000000000001</v>
      </c>
      <c r="L319" s="2">
        <v>2.6469999999999998</v>
      </c>
      <c r="M319" s="2">
        <v>2.887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</row>
    <row r="320" spans="1:51" x14ac:dyDescent="0.2">
      <c r="A320" s="4">
        <v>1979</v>
      </c>
      <c r="B320" s="2">
        <v>3.6999999999999998E-2</v>
      </c>
      <c r="C320" s="2">
        <v>0.14699999999999999</v>
      </c>
      <c r="D320" s="2">
        <v>0.33</v>
      </c>
      <c r="E320" s="2">
        <v>0.56799999999999995</v>
      </c>
      <c r="F320" s="2">
        <v>0.84199999999999997</v>
      </c>
      <c r="G320" s="2">
        <v>1.1339999999999999</v>
      </c>
      <c r="H320" s="2">
        <v>1.43</v>
      </c>
      <c r="I320" s="2">
        <v>1.718</v>
      </c>
      <c r="J320" s="2">
        <v>1.9910000000000001</v>
      </c>
      <c r="K320" s="2">
        <v>2.246</v>
      </c>
      <c r="L320" s="2">
        <v>2.4780000000000002</v>
      </c>
      <c r="M320" s="2">
        <v>2.6880000000000002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</row>
    <row r="321" spans="1:51" x14ac:dyDescent="0.2">
      <c r="A321" s="4">
        <v>1980</v>
      </c>
      <c r="B321" s="2">
        <v>3.7999999999999999E-2</v>
      </c>
      <c r="C321" s="2">
        <v>0.14699999999999999</v>
      </c>
      <c r="D321" s="2">
        <v>0.32600000000000001</v>
      </c>
      <c r="E321" s="2">
        <v>0.55800000000000005</v>
      </c>
      <c r="F321" s="2">
        <v>0.82499999999999996</v>
      </c>
      <c r="G321" s="2">
        <v>1.1080000000000001</v>
      </c>
      <c r="H321" s="2">
        <v>1.393</v>
      </c>
      <c r="I321" s="2">
        <v>1.671</v>
      </c>
      <c r="J321" s="2">
        <v>1.9339999999999999</v>
      </c>
      <c r="K321" s="2">
        <v>2.1779999999999999</v>
      </c>
      <c r="L321" s="2">
        <v>2.4020000000000001</v>
      </c>
      <c r="M321" s="2">
        <v>2.6030000000000002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</row>
    <row r="322" spans="1:51" x14ac:dyDescent="0.2">
      <c r="A322" s="4">
        <v>1981</v>
      </c>
      <c r="B322" s="2">
        <v>3.4000000000000002E-2</v>
      </c>
      <c r="C322" s="2">
        <v>0.13600000000000001</v>
      </c>
      <c r="D322" s="2">
        <v>0.31</v>
      </c>
      <c r="E322" s="2">
        <v>0.54</v>
      </c>
      <c r="F322" s="2">
        <v>0.80800000000000005</v>
      </c>
      <c r="G322" s="2">
        <v>1.095</v>
      </c>
      <c r="H322" s="2">
        <v>1.387</v>
      </c>
      <c r="I322" s="2">
        <v>1.6739999999999999</v>
      </c>
      <c r="J322" s="2">
        <v>1.946</v>
      </c>
      <c r="K322" s="2">
        <v>2.2010000000000001</v>
      </c>
      <c r="L322" s="2">
        <v>2.4340000000000002</v>
      </c>
      <c r="M322" s="2">
        <v>2.645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</row>
    <row r="323" spans="1:51" x14ac:dyDescent="0.2">
      <c r="A323" s="4">
        <v>1982</v>
      </c>
      <c r="B323" s="2">
        <v>4.3999999999999997E-2</v>
      </c>
      <c r="C323" s="2">
        <v>0.16</v>
      </c>
      <c r="D323" s="2">
        <v>0.34</v>
      </c>
      <c r="E323" s="2">
        <v>0.56699999999999995</v>
      </c>
      <c r="F323" s="2">
        <v>0.82199999999999995</v>
      </c>
      <c r="G323" s="2">
        <v>1.087</v>
      </c>
      <c r="H323" s="2">
        <v>1.351</v>
      </c>
      <c r="I323" s="2">
        <v>1.6060000000000001</v>
      </c>
      <c r="J323" s="2">
        <v>1.845</v>
      </c>
      <c r="K323" s="2">
        <v>2.0649999999999999</v>
      </c>
      <c r="L323" s="2">
        <v>2.266</v>
      </c>
      <c r="M323" s="2">
        <v>2.4460000000000002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</row>
    <row r="324" spans="1:51" x14ac:dyDescent="0.2">
      <c r="A324" s="4">
        <v>1983</v>
      </c>
      <c r="B324" s="2">
        <v>3.2000000000000001E-2</v>
      </c>
      <c r="C324" s="2">
        <v>0.13</v>
      </c>
      <c r="D324" s="2">
        <v>0.29399999999999998</v>
      </c>
      <c r="E324" s="2">
        <v>0.51</v>
      </c>
      <c r="F324" s="2">
        <v>0.76</v>
      </c>
      <c r="G324" s="2">
        <v>1.028</v>
      </c>
      <c r="H324" s="2">
        <v>1.3</v>
      </c>
      <c r="I324" s="2">
        <v>1.5660000000000001</v>
      </c>
      <c r="J324" s="2">
        <v>1.8180000000000001</v>
      </c>
      <c r="K324" s="2">
        <v>2.0539999999999998</v>
      </c>
      <c r="L324" s="2">
        <v>2.27</v>
      </c>
      <c r="M324" s="2">
        <v>2.4649999999999999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</row>
    <row r="325" spans="1:51" x14ac:dyDescent="0.2">
      <c r="A325" s="4">
        <v>1984</v>
      </c>
      <c r="B325" s="2">
        <v>3.2000000000000001E-2</v>
      </c>
      <c r="C325" s="2">
        <v>0.129</v>
      </c>
      <c r="D325" s="2">
        <v>0.29499999999999998</v>
      </c>
      <c r="E325" s="2">
        <v>0.51600000000000001</v>
      </c>
      <c r="F325" s="2">
        <v>0.77400000000000002</v>
      </c>
      <c r="G325" s="2">
        <v>1.05</v>
      </c>
      <c r="H325" s="2">
        <v>1.3320000000000001</v>
      </c>
      <c r="I325" s="2">
        <v>1.6080000000000001</v>
      </c>
      <c r="J325" s="2">
        <v>1.8720000000000001</v>
      </c>
      <c r="K325" s="2">
        <v>2.117</v>
      </c>
      <c r="L325" s="2">
        <v>2.343</v>
      </c>
      <c r="M325" s="2">
        <v>2.5470000000000002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</row>
    <row r="326" spans="1:51" x14ac:dyDescent="0.2">
      <c r="A326" s="4">
        <v>1985</v>
      </c>
      <c r="B326" s="2">
        <v>3.5999999999999997E-2</v>
      </c>
      <c r="C326" s="2">
        <v>0.13800000000000001</v>
      </c>
      <c r="D326" s="2">
        <v>0.30399999999999999</v>
      </c>
      <c r="E326" s="2">
        <v>0.51800000000000002</v>
      </c>
      <c r="F326" s="2">
        <v>0.76200000000000001</v>
      </c>
      <c r="G326" s="2">
        <v>1.02</v>
      </c>
      <c r="H326" s="2">
        <v>1.28</v>
      </c>
      <c r="I326" s="2">
        <v>1.532</v>
      </c>
      <c r="J326" s="2">
        <v>1.77</v>
      </c>
      <c r="K326" s="2">
        <v>1.9910000000000001</v>
      </c>
      <c r="L326" s="2">
        <v>2.1930000000000001</v>
      </c>
      <c r="M326" s="2">
        <v>2.375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</row>
    <row r="327" spans="1:51" x14ac:dyDescent="0.2">
      <c r="A327" s="4">
        <v>1986</v>
      </c>
      <c r="B327" s="2">
        <v>3.5999999999999997E-2</v>
      </c>
      <c r="C327" s="2">
        <v>0.13600000000000001</v>
      </c>
      <c r="D327" s="2">
        <v>0.29799999999999999</v>
      </c>
      <c r="E327" s="2">
        <v>0.50600000000000001</v>
      </c>
      <c r="F327" s="2">
        <v>0.74299999999999999</v>
      </c>
      <c r="G327" s="2">
        <v>0.99399999999999999</v>
      </c>
      <c r="H327" s="2">
        <v>1.2450000000000001</v>
      </c>
      <c r="I327" s="2">
        <v>1.49</v>
      </c>
      <c r="J327" s="2">
        <v>1.7210000000000001</v>
      </c>
      <c r="K327" s="2">
        <v>1.9339999999999999</v>
      </c>
      <c r="L327" s="2">
        <v>2.13</v>
      </c>
      <c r="M327" s="2">
        <v>2.306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</row>
    <row r="328" spans="1:51" x14ac:dyDescent="0.2">
      <c r="A328" s="4">
        <v>1987</v>
      </c>
      <c r="B328" s="2">
        <v>4.1000000000000002E-2</v>
      </c>
      <c r="C328" s="2">
        <v>0.14799999999999999</v>
      </c>
      <c r="D328" s="2">
        <v>0.314</v>
      </c>
      <c r="E328" s="2">
        <v>0.52400000000000002</v>
      </c>
      <c r="F328" s="2">
        <v>0.75800000000000001</v>
      </c>
      <c r="G328" s="2">
        <v>1.0029999999999999</v>
      </c>
      <c r="H328" s="2">
        <v>1.2470000000000001</v>
      </c>
      <c r="I328" s="2">
        <v>1.4810000000000001</v>
      </c>
      <c r="J328" s="2">
        <v>1.702</v>
      </c>
      <c r="K328" s="2">
        <v>1.905</v>
      </c>
      <c r="L328" s="2">
        <v>2.089</v>
      </c>
      <c r="M328" s="2">
        <v>2.2549999999999999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</row>
    <row r="329" spans="1:51" x14ac:dyDescent="0.2">
      <c r="A329" s="4">
        <v>1988</v>
      </c>
      <c r="B329" s="2">
        <v>3.9E-2</v>
      </c>
      <c r="C329" s="2">
        <v>0.14399999999999999</v>
      </c>
      <c r="D329" s="2">
        <v>0.309</v>
      </c>
      <c r="E329" s="2">
        <v>0.51900000000000002</v>
      </c>
      <c r="F329" s="2">
        <v>0.755</v>
      </c>
      <c r="G329" s="2">
        <v>1.002</v>
      </c>
      <c r="H329" s="2">
        <v>1.2490000000000001</v>
      </c>
      <c r="I329" s="2">
        <v>1.488</v>
      </c>
      <c r="J329" s="2">
        <v>1.712</v>
      </c>
      <c r="K329" s="2">
        <v>1.92</v>
      </c>
      <c r="L329" s="2">
        <v>2.1080000000000001</v>
      </c>
      <c r="M329" s="2">
        <v>2.278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</row>
    <row r="330" spans="1:51" x14ac:dyDescent="0.2">
      <c r="A330" s="4">
        <v>1989</v>
      </c>
      <c r="B330" s="2">
        <v>4.2000000000000003E-2</v>
      </c>
      <c r="C330" s="2">
        <v>0.13800000000000001</v>
      </c>
      <c r="D330" s="2">
        <v>0.28000000000000003</v>
      </c>
      <c r="E330" s="2">
        <v>0.45100000000000001</v>
      </c>
      <c r="F330" s="2">
        <v>0.63800000000000001</v>
      </c>
      <c r="G330" s="2">
        <v>0.82799999999999996</v>
      </c>
      <c r="H330" s="2">
        <v>1.014</v>
      </c>
      <c r="I330" s="2">
        <v>1.1910000000000001</v>
      </c>
      <c r="J330" s="2">
        <v>1.3560000000000001</v>
      </c>
      <c r="K330" s="2">
        <v>1.5069999999999999</v>
      </c>
      <c r="L330" s="2">
        <v>1.643</v>
      </c>
      <c r="M330" s="2">
        <v>1.764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</row>
    <row r="331" spans="1:51" x14ac:dyDescent="0.2">
      <c r="A331" s="4">
        <v>1990</v>
      </c>
      <c r="B331" s="2">
        <v>4.3999999999999997E-2</v>
      </c>
      <c r="C331" s="2">
        <v>0.156</v>
      </c>
      <c r="D331" s="2">
        <v>0.32800000000000001</v>
      </c>
      <c r="E331" s="2">
        <v>0.54100000000000004</v>
      </c>
      <c r="F331" s="2">
        <v>0.77800000000000002</v>
      </c>
      <c r="G331" s="2">
        <v>1.024</v>
      </c>
      <c r="H331" s="2">
        <v>1.2669999999999999</v>
      </c>
      <c r="I331" s="2">
        <v>1.5009999999999999</v>
      </c>
      <c r="J331" s="2">
        <v>1.7190000000000001</v>
      </c>
      <c r="K331" s="2">
        <v>1.921</v>
      </c>
      <c r="L331" s="2">
        <v>2.1030000000000002</v>
      </c>
      <c r="M331" s="2">
        <v>2.2669999999999999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</row>
    <row r="332" spans="1:51" x14ac:dyDescent="0.2">
      <c r="A332" s="4">
        <v>1991</v>
      </c>
      <c r="B332" s="2">
        <v>0.04</v>
      </c>
      <c r="C332" s="2">
        <v>0.14899999999999999</v>
      </c>
      <c r="D332" s="2">
        <v>0.32200000000000001</v>
      </c>
      <c r="E332" s="2">
        <v>0.54100000000000004</v>
      </c>
      <c r="F332" s="2">
        <v>0.78900000000000003</v>
      </c>
      <c r="G332" s="2">
        <v>1.048</v>
      </c>
      <c r="H332" s="2">
        <v>1.3080000000000001</v>
      </c>
      <c r="I332" s="2">
        <v>1.5580000000000001</v>
      </c>
      <c r="J332" s="2">
        <v>1.794</v>
      </c>
      <c r="K332" s="2">
        <v>2.012</v>
      </c>
      <c r="L332" s="2">
        <v>2.2109999999999999</v>
      </c>
      <c r="M332" s="2">
        <v>2.3889999999999998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</row>
    <row r="333" spans="1:51" x14ac:dyDescent="0.2">
      <c r="A333" s="4">
        <v>1992</v>
      </c>
      <c r="B333" s="2">
        <v>4.2000000000000003E-2</v>
      </c>
      <c r="C333" s="2">
        <v>0.151</v>
      </c>
      <c r="D333" s="2">
        <v>0.32300000000000001</v>
      </c>
      <c r="E333" s="2">
        <v>0.53900000000000003</v>
      </c>
      <c r="F333" s="2">
        <v>0.78100000000000003</v>
      </c>
      <c r="G333" s="2">
        <v>1.0329999999999999</v>
      </c>
      <c r="H333" s="2">
        <v>1.2849999999999999</v>
      </c>
      <c r="I333" s="2">
        <v>1.5269999999999999</v>
      </c>
      <c r="J333" s="2">
        <v>1.7549999999999999</v>
      </c>
      <c r="K333" s="2">
        <v>1.9650000000000001</v>
      </c>
      <c r="L333" s="2">
        <v>2.1560000000000001</v>
      </c>
      <c r="M333" s="2">
        <v>2.327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</row>
    <row r="334" spans="1:51" x14ac:dyDescent="0.2">
      <c r="A334" s="4">
        <v>1993</v>
      </c>
      <c r="B334" s="2">
        <v>3.4000000000000002E-2</v>
      </c>
      <c r="C334" s="2">
        <v>0.13200000000000001</v>
      </c>
      <c r="D334" s="2">
        <v>0.29399999999999998</v>
      </c>
      <c r="E334" s="2">
        <v>0.504</v>
      </c>
      <c r="F334" s="2">
        <v>0.745</v>
      </c>
      <c r="G334" s="2">
        <v>1.0009999999999999</v>
      </c>
      <c r="H334" s="2">
        <v>1.26</v>
      </c>
      <c r="I334" s="2">
        <v>1.512</v>
      </c>
      <c r="J334" s="2">
        <v>1.7509999999999999</v>
      </c>
      <c r="K334" s="2">
        <v>1.9730000000000001</v>
      </c>
      <c r="L334" s="2">
        <v>2.1760000000000002</v>
      </c>
      <c r="M334" s="2">
        <v>2.359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</row>
    <row r="335" spans="1:51" x14ac:dyDescent="0.2">
      <c r="A335" s="4">
        <v>1994</v>
      </c>
      <c r="B335" s="2">
        <v>3.7999999999999999E-2</v>
      </c>
      <c r="C335" s="2">
        <v>0.14499999999999999</v>
      </c>
      <c r="D335" s="2">
        <v>0.315</v>
      </c>
      <c r="E335" s="2">
        <v>0.53300000000000003</v>
      </c>
      <c r="F335" s="2">
        <v>0.78</v>
      </c>
      <c r="G335" s="2">
        <v>1.0409999999999999</v>
      </c>
      <c r="H335" s="2">
        <v>1.302</v>
      </c>
      <c r="I335" s="2">
        <v>1.554</v>
      </c>
      <c r="J335" s="2">
        <v>1.7929999999999999</v>
      </c>
      <c r="K335" s="2">
        <v>2.0129999999999999</v>
      </c>
      <c r="L335" s="2">
        <v>2.2149999999999999</v>
      </c>
      <c r="M335" s="2">
        <v>2.3959999999999999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</row>
    <row r="336" spans="1:51" x14ac:dyDescent="0.2">
      <c r="A336" s="4">
        <v>1995</v>
      </c>
      <c r="B336" s="2">
        <v>4.3999999999999997E-2</v>
      </c>
      <c r="C336" s="2">
        <v>0.158</v>
      </c>
      <c r="D336" s="2">
        <v>0.33700000000000002</v>
      </c>
      <c r="E336" s="2">
        <v>0.56100000000000005</v>
      </c>
      <c r="F336" s="2">
        <v>0.81200000000000006</v>
      </c>
      <c r="G336" s="2">
        <v>1.0740000000000001</v>
      </c>
      <c r="H336" s="2">
        <v>1.3340000000000001</v>
      </c>
      <c r="I336" s="2">
        <v>1.585</v>
      </c>
      <c r="J336" s="2">
        <v>1.821</v>
      </c>
      <c r="K336" s="2">
        <v>2.0379999999999998</v>
      </c>
      <c r="L336" s="2">
        <v>2.2360000000000002</v>
      </c>
      <c r="M336" s="2">
        <v>2.4129999999999998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</row>
    <row r="337" spans="1:51" x14ac:dyDescent="0.2">
      <c r="A337" s="4">
        <v>1996</v>
      </c>
      <c r="B337" s="2">
        <v>4.2000000000000003E-2</v>
      </c>
      <c r="C337" s="2">
        <v>0.15</v>
      </c>
      <c r="D337" s="2">
        <v>0.32</v>
      </c>
      <c r="E337" s="2">
        <v>0.53200000000000003</v>
      </c>
      <c r="F337" s="2">
        <v>0.76900000000000002</v>
      </c>
      <c r="G337" s="2">
        <v>1.0169999999999999</v>
      </c>
      <c r="H337" s="2">
        <v>1.2629999999999999</v>
      </c>
      <c r="I337" s="2">
        <v>1.4990000000000001</v>
      </c>
      <c r="J337" s="2">
        <v>1.722</v>
      </c>
      <c r="K337" s="2">
        <v>1.927</v>
      </c>
      <c r="L337" s="2">
        <v>2.113</v>
      </c>
      <c r="M337" s="2">
        <v>2.2799999999999998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</row>
    <row r="338" spans="1:51" x14ac:dyDescent="0.2">
      <c r="A338" s="4">
        <v>1997</v>
      </c>
      <c r="B338" s="2">
        <v>3.9E-2</v>
      </c>
      <c r="C338" s="2">
        <v>0.14199999999999999</v>
      </c>
      <c r="D338" s="2">
        <v>0.30499999999999999</v>
      </c>
      <c r="E338" s="2">
        <v>0.51100000000000001</v>
      </c>
      <c r="F338" s="2">
        <v>0.74299999999999999</v>
      </c>
      <c r="G338" s="2">
        <v>0.98499999999999999</v>
      </c>
      <c r="H338" s="2">
        <v>1.2270000000000001</v>
      </c>
      <c r="I338" s="2">
        <v>1.4610000000000001</v>
      </c>
      <c r="J338" s="2">
        <v>1.68</v>
      </c>
      <c r="K338" s="2">
        <v>1.883</v>
      </c>
      <c r="L338" s="2">
        <v>2.0680000000000001</v>
      </c>
      <c r="M338" s="2">
        <v>2.234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</row>
    <row r="339" spans="1:51" x14ac:dyDescent="0.2">
      <c r="A339" s="4">
        <v>1998</v>
      </c>
      <c r="B339" s="2">
        <v>0.04</v>
      </c>
      <c r="C339" s="2">
        <v>0.14799999999999999</v>
      </c>
      <c r="D339" s="2">
        <v>0.318</v>
      </c>
      <c r="E339" s="2">
        <v>0.53400000000000003</v>
      </c>
      <c r="F339" s="2">
        <v>0.77600000000000002</v>
      </c>
      <c r="G339" s="2">
        <v>1.0309999999999999</v>
      </c>
      <c r="H339" s="2">
        <v>1.286</v>
      </c>
      <c r="I339" s="2">
        <v>1.5309999999999999</v>
      </c>
      <c r="J339" s="2">
        <v>1.7629999999999999</v>
      </c>
      <c r="K339" s="2">
        <v>1.976</v>
      </c>
      <c r="L339" s="2">
        <v>2.1709999999999998</v>
      </c>
      <c r="M339" s="2">
        <v>2.3460000000000001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</row>
    <row r="340" spans="1:51" x14ac:dyDescent="0.2">
      <c r="A340" s="4">
        <v>1999</v>
      </c>
      <c r="B340" s="2">
        <v>3.9E-2</v>
      </c>
      <c r="C340" s="2">
        <v>0.14699999999999999</v>
      </c>
      <c r="D340" s="2">
        <v>0.32300000000000001</v>
      </c>
      <c r="E340" s="2">
        <v>0.54900000000000004</v>
      </c>
      <c r="F340" s="2">
        <v>0.80700000000000005</v>
      </c>
      <c r="G340" s="2">
        <v>1.08</v>
      </c>
      <c r="H340" s="2">
        <v>1.3540000000000001</v>
      </c>
      <c r="I340" s="2">
        <v>1.62</v>
      </c>
      <c r="J340" s="2">
        <v>1.871</v>
      </c>
      <c r="K340" s="2">
        <v>2.1040000000000001</v>
      </c>
      <c r="L340" s="2">
        <v>2.3170000000000002</v>
      </c>
      <c r="M340" s="2">
        <v>2.508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</row>
    <row r="341" spans="1:51" x14ac:dyDescent="0.2">
      <c r="A341" s="4">
        <v>2000</v>
      </c>
      <c r="B341" s="2">
        <v>3.5999999999999997E-2</v>
      </c>
      <c r="C341" s="2">
        <v>0.14699999999999999</v>
      </c>
      <c r="D341" s="2">
        <v>0.33500000000000002</v>
      </c>
      <c r="E341" s="2">
        <v>0.58399999999999996</v>
      </c>
      <c r="F341" s="2">
        <v>0.874</v>
      </c>
      <c r="G341" s="2">
        <v>1.1859999999999999</v>
      </c>
      <c r="H341" s="2">
        <v>1.5029999999999999</v>
      </c>
      <c r="I341" s="2">
        <v>1.8129999999999999</v>
      </c>
      <c r="J341" s="2">
        <v>2.109</v>
      </c>
      <c r="K341" s="2">
        <v>2.3849999999999998</v>
      </c>
      <c r="L341" s="2">
        <v>2.6379999999999999</v>
      </c>
      <c r="M341" s="2">
        <v>2.867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</row>
    <row r="342" spans="1:51" x14ac:dyDescent="0.2">
      <c r="A342" s="4">
        <v>2001</v>
      </c>
      <c r="B342" s="2">
        <v>3.7999999999999999E-2</v>
      </c>
      <c r="C342" s="2">
        <v>0.14599999999999999</v>
      </c>
      <c r="D342" s="2">
        <v>0.318</v>
      </c>
      <c r="E342" s="2">
        <v>0.54</v>
      </c>
      <c r="F342" s="2">
        <v>0.79200000000000004</v>
      </c>
      <c r="G342" s="2">
        <v>1.0580000000000001</v>
      </c>
      <c r="H342" s="2">
        <v>1.325</v>
      </c>
      <c r="I342" s="2">
        <v>1.583</v>
      </c>
      <c r="J342" s="2">
        <v>1.827</v>
      </c>
      <c r="K342" s="2">
        <v>2.0529999999999999</v>
      </c>
      <c r="L342" s="2">
        <v>2.2599999999999998</v>
      </c>
      <c r="M342" s="2">
        <v>2.4460000000000002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</row>
    <row r="343" spans="1:51" x14ac:dyDescent="0.2">
      <c r="A343" s="4">
        <v>2002</v>
      </c>
      <c r="B343" s="2">
        <v>3.7999999999999999E-2</v>
      </c>
      <c r="C343" s="2">
        <v>0.14499999999999999</v>
      </c>
      <c r="D343" s="2">
        <v>0.317</v>
      </c>
      <c r="E343" s="2">
        <v>0.53700000000000003</v>
      </c>
      <c r="F343" s="2">
        <v>0.78800000000000003</v>
      </c>
      <c r="G343" s="2">
        <v>1.0529999999999999</v>
      </c>
      <c r="H343" s="2">
        <v>1.3180000000000001</v>
      </c>
      <c r="I343" s="2">
        <v>1.5760000000000001</v>
      </c>
      <c r="J343" s="2">
        <v>1.82</v>
      </c>
      <c r="K343" s="2">
        <v>2.0449999999999999</v>
      </c>
      <c r="L343" s="2">
        <v>2.2509999999999999</v>
      </c>
      <c r="M343" s="2">
        <v>2.4359999999999999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</row>
    <row r="344" spans="1:51" x14ac:dyDescent="0.2">
      <c r="A344" s="4">
        <v>2003</v>
      </c>
      <c r="B344" s="2">
        <v>4.4999999999999998E-2</v>
      </c>
      <c r="C344" s="2">
        <v>0.152</v>
      </c>
      <c r="D344" s="2">
        <v>0.312</v>
      </c>
      <c r="E344" s="2">
        <v>0.50600000000000001</v>
      </c>
      <c r="F344" s="2">
        <v>0.72</v>
      </c>
      <c r="G344" s="2">
        <v>0.94</v>
      </c>
      <c r="H344" s="2">
        <v>1.155</v>
      </c>
      <c r="I344" s="2">
        <v>1.361</v>
      </c>
      <c r="J344" s="2">
        <v>1.5529999999999999</v>
      </c>
      <c r="K344" s="2">
        <v>1.7290000000000001</v>
      </c>
      <c r="L344" s="2">
        <v>1.889</v>
      </c>
      <c r="M344" s="2">
        <v>2.0310000000000001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</row>
    <row r="345" spans="1:51" x14ac:dyDescent="0.2">
      <c r="A345" s="4">
        <v>2004</v>
      </c>
      <c r="B345" s="2">
        <v>0.04</v>
      </c>
      <c r="C345" s="2">
        <v>0.14000000000000001</v>
      </c>
      <c r="D345" s="2">
        <v>0.29399999999999998</v>
      </c>
      <c r="E345" s="2">
        <v>0.48299999999999998</v>
      </c>
      <c r="F345" s="2">
        <v>0.69299999999999995</v>
      </c>
      <c r="G345" s="2">
        <v>0.91100000000000003</v>
      </c>
      <c r="H345" s="2">
        <v>1.1259999999999999</v>
      </c>
      <c r="I345" s="2">
        <v>1.333</v>
      </c>
      <c r="J345" s="2">
        <v>1.526</v>
      </c>
      <c r="K345" s="2">
        <v>1.7030000000000001</v>
      </c>
      <c r="L345" s="2">
        <v>1.8640000000000001</v>
      </c>
      <c r="M345" s="2">
        <v>2.008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</row>
    <row r="346" spans="1:51" x14ac:dyDescent="0.2">
      <c r="A346" s="4">
        <v>2005</v>
      </c>
      <c r="B346" s="2">
        <v>3.6999999999999998E-2</v>
      </c>
      <c r="C346" s="2">
        <v>0.14599999999999999</v>
      </c>
      <c r="D346" s="2">
        <v>0.32400000000000001</v>
      </c>
      <c r="E346" s="2">
        <v>0.55700000000000005</v>
      </c>
      <c r="F346" s="2">
        <v>0.82399999999999995</v>
      </c>
      <c r="G346" s="2">
        <v>1.107</v>
      </c>
      <c r="H346" s="2">
        <v>1.3939999999999999</v>
      </c>
      <c r="I346" s="2">
        <v>1.673</v>
      </c>
      <c r="J346" s="2">
        <v>1.9379999999999999</v>
      </c>
      <c r="K346" s="2">
        <v>2.1829999999999998</v>
      </c>
      <c r="L346" s="2">
        <v>2.4079999999999999</v>
      </c>
      <c r="M346" s="2">
        <v>2.6110000000000002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</row>
    <row r="347" spans="1:51" x14ac:dyDescent="0.2">
      <c r="A347" s="4">
        <v>2006</v>
      </c>
      <c r="B347" s="2">
        <v>3.5000000000000003E-2</v>
      </c>
      <c r="C347" s="2">
        <v>0.14499999999999999</v>
      </c>
      <c r="D347" s="2">
        <v>0.33600000000000002</v>
      </c>
      <c r="E347" s="2">
        <v>0.59199999999999997</v>
      </c>
      <c r="F347" s="2">
        <v>0.89300000000000002</v>
      </c>
      <c r="G347" s="2">
        <v>1.218</v>
      </c>
      <c r="H347" s="2">
        <v>1.55</v>
      </c>
      <c r="I347" s="2">
        <v>1.877</v>
      </c>
      <c r="J347" s="2">
        <v>2.1890000000000001</v>
      </c>
      <c r="K347" s="2">
        <v>2.4809999999999999</v>
      </c>
      <c r="L347" s="2">
        <v>2.75</v>
      </c>
      <c r="M347" s="2">
        <v>2.9940000000000002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</row>
    <row r="348" spans="1:51" x14ac:dyDescent="0.2">
      <c r="A348" s="4">
        <v>2007</v>
      </c>
      <c r="B348" s="2">
        <v>3.3000000000000002E-2</v>
      </c>
      <c r="C348" s="2">
        <v>0.13900000000000001</v>
      </c>
      <c r="D348" s="2">
        <v>0.32400000000000001</v>
      </c>
      <c r="E348" s="2">
        <v>0.57199999999999995</v>
      </c>
      <c r="F348" s="2">
        <v>0.86399999999999999</v>
      </c>
      <c r="G348" s="2">
        <v>1.18</v>
      </c>
      <c r="H348" s="2">
        <v>1.504</v>
      </c>
      <c r="I348" s="2">
        <v>1.8220000000000001</v>
      </c>
      <c r="J348" s="2">
        <v>2.1269999999999998</v>
      </c>
      <c r="K348" s="2">
        <v>2.4119999999999999</v>
      </c>
      <c r="L348" s="2">
        <v>2.6739999999999999</v>
      </c>
      <c r="M348" s="2">
        <v>2.9119999999999999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</row>
    <row r="349" spans="1:51" x14ac:dyDescent="0.2">
      <c r="A349" s="4">
        <v>2008</v>
      </c>
      <c r="B349" s="2">
        <v>3.5999999999999997E-2</v>
      </c>
      <c r="C349" s="2">
        <v>0.14499999999999999</v>
      </c>
      <c r="D349" s="2">
        <v>0.33</v>
      </c>
      <c r="E349" s="2">
        <v>0.57599999999999996</v>
      </c>
      <c r="F349" s="2">
        <v>0.86099999999999999</v>
      </c>
      <c r="G349" s="2">
        <v>1.167</v>
      </c>
      <c r="H349" s="2">
        <v>1.478</v>
      </c>
      <c r="I349" s="2">
        <v>1.7829999999999999</v>
      </c>
      <c r="J349" s="2">
        <v>2.0739999999999998</v>
      </c>
      <c r="K349" s="2">
        <v>2.3439999999999999</v>
      </c>
      <c r="L349" s="2">
        <v>2.593</v>
      </c>
      <c r="M349" s="2">
        <v>2.8170000000000002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</row>
    <row r="350" spans="1:51" x14ac:dyDescent="0.2">
      <c r="A350" s="4">
        <v>2009</v>
      </c>
      <c r="B350" s="2">
        <v>0.04</v>
      </c>
      <c r="C350" s="2">
        <v>0.154</v>
      </c>
      <c r="D350" s="2">
        <v>0.34100000000000003</v>
      </c>
      <c r="E350" s="2">
        <v>0.58399999999999996</v>
      </c>
      <c r="F350" s="2">
        <v>0.86199999999999999</v>
      </c>
      <c r="G350" s="2">
        <v>1.157</v>
      </c>
      <c r="H350" s="2">
        <v>1.454</v>
      </c>
      <c r="I350" s="2">
        <v>1.7430000000000001</v>
      </c>
      <c r="J350" s="2">
        <v>2.0169999999999999</v>
      </c>
      <c r="K350" s="2">
        <v>2.2719999999999998</v>
      </c>
      <c r="L350" s="2">
        <v>2.504</v>
      </c>
      <c r="M350" s="2">
        <v>2.714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</row>
    <row r="351" spans="1:51" x14ac:dyDescent="0.2">
      <c r="A351" s="4">
        <v>2010</v>
      </c>
      <c r="B351" s="2">
        <v>3.7999999999999999E-2</v>
      </c>
      <c r="C351" s="2">
        <v>0.14899999999999999</v>
      </c>
      <c r="D351" s="2">
        <v>0.33300000000000002</v>
      </c>
      <c r="E351" s="2">
        <v>0.57399999999999995</v>
      </c>
      <c r="F351" s="2">
        <v>0.85199999999999998</v>
      </c>
      <c r="G351" s="2">
        <v>1.1479999999999999</v>
      </c>
      <c r="H351" s="2">
        <v>1.4470000000000001</v>
      </c>
      <c r="I351" s="2">
        <v>1.74</v>
      </c>
      <c r="J351" s="2">
        <v>2.0169999999999999</v>
      </c>
      <c r="K351" s="2">
        <v>2.2749999999999999</v>
      </c>
      <c r="L351" s="2">
        <v>2.5110000000000001</v>
      </c>
      <c r="M351" s="2">
        <v>2.7240000000000002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</row>
    <row r="352" spans="1:51" x14ac:dyDescent="0.2">
      <c r="A352" s="4">
        <v>2011</v>
      </c>
      <c r="B352" s="2">
        <v>3.6999999999999998E-2</v>
      </c>
      <c r="C352" s="2">
        <v>0.15</v>
      </c>
      <c r="D352" s="2">
        <v>0.34100000000000003</v>
      </c>
      <c r="E352" s="2">
        <v>0.59499999999999997</v>
      </c>
      <c r="F352" s="2">
        <v>0.89</v>
      </c>
      <c r="G352" s="2">
        <v>1.206</v>
      </c>
      <c r="H352" s="2">
        <v>1.5269999999999999</v>
      </c>
      <c r="I352" s="2">
        <v>1.8420000000000001</v>
      </c>
      <c r="J352" s="2">
        <v>2.1419999999999999</v>
      </c>
      <c r="K352" s="2">
        <v>2.4220000000000002</v>
      </c>
      <c r="L352" s="2">
        <v>2.6779999999999999</v>
      </c>
      <c r="M352" s="2">
        <v>2.911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</row>
    <row r="353" spans="1:51" x14ac:dyDescent="0.2">
      <c r="A353" s="4">
        <v>2012</v>
      </c>
      <c r="B353" s="2">
        <v>3.7999999999999999E-2</v>
      </c>
      <c r="C353" s="2">
        <v>0.152</v>
      </c>
      <c r="D353" s="2">
        <v>0.34699999999999998</v>
      </c>
      <c r="E353" s="2">
        <v>0.60599999999999998</v>
      </c>
      <c r="F353" s="2">
        <v>0.90700000000000003</v>
      </c>
      <c r="G353" s="2">
        <v>1.23</v>
      </c>
      <c r="H353" s="2">
        <v>1.5580000000000001</v>
      </c>
      <c r="I353" s="2">
        <v>1.88</v>
      </c>
      <c r="J353" s="2">
        <v>2.1869999999999998</v>
      </c>
      <c r="K353" s="2">
        <v>2.4729999999999999</v>
      </c>
      <c r="L353" s="2">
        <v>2.7349999999999999</v>
      </c>
      <c r="M353" s="2">
        <v>2.9729999999999999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</row>
    <row r="354" spans="1:51" x14ac:dyDescent="0.2">
      <c r="A354" s="4">
        <v>2013</v>
      </c>
      <c r="B354" s="2">
        <v>3.7999999999999999E-2</v>
      </c>
      <c r="C354" s="2">
        <v>0.14899999999999999</v>
      </c>
      <c r="D354" s="2">
        <v>0.33500000000000002</v>
      </c>
      <c r="E354" s="2">
        <v>0.57899999999999996</v>
      </c>
      <c r="F354" s="2">
        <v>0.86099999999999999</v>
      </c>
      <c r="G354" s="2">
        <v>1.161</v>
      </c>
      <c r="H354" s="2">
        <v>1.4650000000000001</v>
      </c>
      <c r="I354" s="2">
        <v>1.762</v>
      </c>
      <c r="J354" s="2">
        <v>2.044</v>
      </c>
      <c r="K354" s="2">
        <v>2.306</v>
      </c>
      <c r="L354" s="2">
        <v>2.5459999999999998</v>
      </c>
      <c r="M354" s="2">
        <v>2.7629999999999999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</row>
    <row r="355" spans="1:51" x14ac:dyDescent="0.2">
      <c r="A355" s="4">
        <v>2014</v>
      </c>
      <c r="B355" s="2">
        <v>3.5999999999999997E-2</v>
      </c>
      <c r="C355" s="2">
        <v>0.14599999999999999</v>
      </c>
      <c r="D355" s="2">
        <v>0.33400000000000002</v>
      </c>
      <c r="E355" s="2">
        <v>0.58499999999999996</v>
      </c>
      <c r="F355" s="2">
        <v>0.876</v>
      </c>
      <c r="G355" s="2">
        <v>1.19</v>
      </c>
      <c r="H355" s="2">
        <v>1.51</v>
      </c>
      <c r="I355" s="2">
        <v>1.823</v>
      </c>
      <c r="J355" s="2">
        <v>2.1219999999999999</v>
      </c>
      <c r="K355" s="2">
        <v>2.4</v>
      </c>
      <c r="L355" s="2">
        <v>2.6560000000000001</v>
      </c>
      <c r="M355" s="2">
        <v>2.8879999999999999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</row>
    <row r="356" spans="1:51" x14ac:dyDescent="0.2">
      <c r="A356" s="4">
        <v>2015</v>
      </c>
      <c r="B356" s="2">
        <v>3.7999999999999999E-2</v>
      </c>
      <c r="C356" s="2">
        <v>0.15</v>
      </c>
      <c r="D356" s="2">
        <v>0.33700000000000002</v>
      </c>
      <c r="E356" s="2">
        <v>0.58199999999999996</v>
      </c>
      <c r="F356" s="2">
        <v>0.86499999999999999</v>
      </c>
      <c r="G356" s="2">
        <v>1.167</v>
      </c>
      <c r="H356" s="2">
        <v>1.474</v>
      </c>
      <c r="I356" s="2">
        <v>1.7729999999999999</v>
      </c>
      <c r="J356" s="2">
        <v>2.0569999999999999</v>
      </c>
      <c r="K356" s="2">
        <v>2.3210000000000002</v>
      </c>
      <c r="L356" s="2">
        <v>2.5630000000000002</v>
      </c>
      <c r="M356" s="2">
        <v>2.782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</row>
    <row r="357" spans="1:51" x14ac:dyDescent="0.2">
      <c r="A357" s="4">
        <v>2016</v>
      </c>
      <c r="B357" s="2">
        <v>3.9E-2</v>
      </c>
      <c r="C357" s="2">
        <v>0.15</v>
      </c>
      <c r="D357" s="2">
        <v>0.33200000000000002</v>
      </c>
      <c r="E357" s="2">
        <v>0.56699999999999995</v>
      </c>
      <c r="F357" s="2">
        <v>0.83699999999999997</v>
      </c>
      <c r="G357" s="2">
        <v>1.123</v>
      </c>
      <c r="H357" s="2">
        <v>1.411</v>
      </c>
      <c r="I357" s="2">
        <v>1.6910000000000001</v>
      </c>
      <c r="J357" s="2">
        <v>1.956</v>
      </c>
      <c r="K357" s="2">
        <v>2.2029999999999998</v>
      </c>
      <c r="L357" s="2">
        <v>2.4279999999999999</v>
      </c>
      <c r="M357" s="2">
        <v>2.6309999999999998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</row>
    <row r="358" spans="1:51" x14ac:dyDescent="0.2">
      <c r="A358" s="4">
        <v>2017</v>
      </c>
      <c r="B358" s="2">
        <v>3.1E-2</v>
      </c>
      <c r="C358" s="2">
        <v>0.14299999999999999</v>
      </c>
      <c r="D358" s="2">
        <v>0.35099999999999998</v>
      </c>
      <c r="E358" s="2">
        <v>0.64400000000000002</v>
      </c>
      <c r="F358" s="2">
        <v>1</v>
      </c>
      <c r="G358" s="2">
        <v>1.395</v>
      </c>
      <c r="H358" s="2">
        <v>1.806</v>
      </c>
      <c r="I358" s="2">
        <v>2.2170000000000001</v>
      </c>
      <c r="J358" s="2">
        <v>2.6139999999999999</v>
      </c>
      <c r="K358" s="2">
        <v>2.99</v>
      </c>
      <c r="L358" s="2">
        <v>3.3370000000000002</v>
      </c>
      <c r="M358" s="2">
        <v>3.6549999999999998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</row>
    <row r="359" spans="1:51" x14ac:dyDescent="0.2">
      <c r="A359" s="4">
        <v>2018</v>
      </c>
      <c r="B359" s="2">
        <v>3.2000000000000001E-2</v>
      </c>
      <c r="C359" s="2">
        <v>0.14499999999999999</v>
      </c>
      <c r="D359" s="2">
        <v>0.34899999999999998</v>
      </c>
      <c r="E359" s="2">
        <v>0.63200000000000001</v>
      </c>
      <c r="F359" s="2">
        <v>0.97099999999999997</v>
      </c>
      <c r="G359" s="2">
        <v>1.3440000000000001</v>
      </c>
      <c r="H359" s="2">
        <v>1.7310000000000001</v>
      </c>
      <c r="I359" s="2">
        <v>2.1150000000000002</v>
      </c>
      <c r="J359" s="2">
        <v>2.4849999999999999</v>
      </c>
      <c r="K359" s="2">
        <v>2.8340000000000001</v>
      </c>
      <c r="L359" s="2">
        <v>3.1560000000000001</v>
      </c>
      <c r="M359" s="2">
        <v>3.4489999999999998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</row>
    <row r="360" spans="1:51" x14ac:dyDescent="0.2">
      <c r="A360" s="4">
        <v>2019</v>
      </c>
      <c r="B360" s="2">
        <v>3.2000000000000001E-2</v>
      </c>
      <c r="C360" s="2">
        <v>0.14499999999999999</v>
      </c>
      <c r="D360" s="2">
        <v>0.34899999999999998</v>
      </c>
      <c r="E360" s="2">
        <v>0.63200000000000001</v>
      </c>
      <c r="F360" s="2">
        <v>0.97099999999999997</v>
      </c>
      <c r="G360" s="2">
        <v>1.3440000000000001</v>
      </c>
      <c r="H360" s="2">
        <v>1.7310000000000001</v>
      </c>
      <c r="I360" s="2">
        <v>2.1150000000000002</v>
      </c>
      <c r="J360" s="2">
        <v>2.4849999999999999</v>
      </c>
      <c r="K360" s="2">
        <v>2.8340000000000001</v>
      </c>
      <c r="L360" s="2">
        <v>3.1560000000000001</v>
      </c>
      <c r="M360" s="2">
        <v>3.4489999999999998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</row>
    <row r="361" spans="1:51" x14ac:dyDescent="0.2">
      <c r="A361" s="4" t="s">
        <v>32</v>
      </c>
      <c r="B361" s="2">
        <v>3.2000000000000001E-2</v>
      </c>
      <c r="C361" s="2">
        <v>0.14499999999999999</v>
      </c>
      <c r="D361" s="2">
        <v>0.34899999999999998</v>
      </c>
      <c r="E361" s="2">
        <v>0.63200000000000001</v>
      </c>
      <c r="F361" s="2">
        <v>0.97099999999999997</v>
      </c>
      <c r="G361" s="2">
        <v>1.3440000000000001</v>
      </c>
      <c r="H361" s="2">
        <v>1.7310000000000001</v>
      </c>
      <c r="I361" s="2">
        <v>2.1150000000000002</v>
      </c>
      <c r="J361" s="2">
        <v>2.4849999999999999</v>
      </c>
      <c r="K361" s="2">
        <v>2.8340000000000001</v>
      </c>
      <c r="L361" s="2">
        <v>3.1560000000000001</v>
      </c>
      <c r="M361" s="2">
        <v>3.4489999999999998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</row>
    <row r="362" spans="1:51" x14ac:dyDescent="0.2">
      <c r="A362" s="4">
        <v>1971</v>
      </c>
      <c r="B362" s="2">
        <v>3.32E-2</v>
      </c>
      <c r="C362" s="2">
        <v>0.14560000000000001</v>
      </c>
      <c r="D362" s="2">
        <v>0.34599999999999997</v>
      </c>
      <c r="E362" s="2">
        <v>0.62139999999999995</v>
      </c>
      <c r="F362" s="2">
        <v>0.95</v>
      </c>
      <c r="G362" s="2">
        <v>1.31</v>
      </c>
      <c r="H362" s="2">
        <v>1.6819999999999999</v>
      </c>
      <c r="I362" s="2">
        <v>2.0506000000000002</v>
      </c>
      <c r="J362" s="2">
        <v>2.4049999999999998</v>
      </c>
      <c r="K362" s="2">
        <v>2.7389999999999999</v>
      </c>
      <c r="L362" s="2">
        <v>3.0466000000000002</v>
      </c>
      <c r="M362" s="2">
        <v>3.3266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</row>
    <row r="363" spans="1:51" x14ac:dyDescent="0.2">
      <c r="A363" s="4">
        <v>1972</v>
      </c>
      <c r="B363" s="2">
        <v>3.32E-2</v>
      </c>
      <c r="C363" s="2">
        <v>0.14560000000000001</v>
      </c>
      <c r="D363" s="2">
        <v>0.34599999999999997</v>
      </c>
      <c r="E363" s="2">
        <v>0.62139999999999995</v>
      </c>
      <c r="F363" s="2">
        <v>0.95</v>
      </c>
      <c r="G363" s="2">
        <v>1.31</v>
      </c>
      <c r="H363" s="2">
        <v>1.6819999999999999</v>
      </c>
      <c r="I363" s="2">
        <v>2.0506000000000002</v>
      </c>
      <c r="J363" s="2">
        <v>2.4049999999999998</v>
      </c>
      <c r="K363" s="2">
        <v>2.7389999999999999</v>
      </c>
      <c r="L363" s="2">
        <v>3.0466000000000002</v>
      </c>
      <c r="M363" s="2">
        <v>3.3266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</row>
    <row r="364" spans="1:51" x14ac:dyDescent="0.2">
      <c r="A364" s="4">
        <v>1973</v>
      </c>
      <c r="B364" s="2">
        <v>3.32E-2</v>
      </c>
      <c r="C364" s="2">
        <v>0.14560000000000001</v>
      </c>
      <c r="D364" s="2">
        <v>0.34599999999999997</v>
      </c>
      <c r="E364" s="2">
        <v>0.62139999999999995</v>
      </c>
      <c r="F364" s="2">
        <v>0.95</v>
      </c>
      <c r="G364" s="2">
        <v>1.31</v>
      </c>
      <c r="H364" s="2">
        <v>1.6819999999999999</v>
      </c>
      <c r="I364" s="2">
        <v>2.0506000000000002</v>
      </c>
      <c r="J364" s="2">
        <v>2.4049999999999998</v>
      </c>
      <c r="K364" s="2">
        <v>2.7389999999999999</v>
      </c>
      <c r="L364" s="2">
        <v>3.0466000000000002</v>
      </c>
      <c r="M364" s="2">
        <v>3.3266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</row>
    <row r="365" spans="1:51" x14ac:dyDescent="0.2">
      <c r="A365" s="4">
        <v>1974</v>
      </c>
      <c r="B365" s="2">
        <v>3.32E-2</v>
      </c>
      <c r="C365" s="2">
        <v>0.14560000000000001</v>
      </c>
      <c r="D365" s="2">
        <v>0.34599999999999997</v>
      </c>
      <c r="E365" s="2">
        <v>0.62139999999999995</v>
      </c>
      <c r="F365" s="2">
        <v>0.95</v>
      </c>
      <c r="G365" s="2">
        <v>1.31</v>
      </c>
      <c r="H365" s="2">
        <v>1.6819999999999999</v>
      </c>
      <c r="I365" s="2">
        <v>2.0506000000000002</v>
      </c>
      <c r="J365" s="2">
        <v>2.4049999999999998</v>
      </c>
      <c r="K365" s="2">
        <v>2.7389999999999999</v>
      </c>
      <c r="L365" s="2">
        <v>3.0466000000000002</v>
      </c>
      <c r="M365" s="2">
        <v>3.3266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</row>
    <row r="366" spans="1:51" x14ac:dyDescent="0.2">
      <c r="A366" s="4">
        <v>1975</v>
      </c>
      <c r="B366" s="2">
        <v>3.32E-2</v>
      </c>
      <c r="C366" s="2">
        <v>0.14560000000000001</v>
      </c>
      <c r="D366" s="2">
        <v>0.34599999999999997</v>
      </c>
      <c r="E366" s="2">
        <v>0.62139999999999995</v>
      </c>
      <c r="F366" s="2">
        <v>0.95</v>
      </c>
      <c r="G366" s="2">
        <v>1.31</v>
      </c>
      <c r="H366" s="2">
        <v>1.6819999999999999</v>
      </c>
      <c r="I366" s="2">
        <v>2.0506000000000002</v>
      </c>
      <c r="J366" s="2">
        <v>2.4049999999999998</v>
      </c>
      <c r="K366" s="2">
        <v>2.7389999999999999</v>
      </c>
      <c r="L366" s="2">
        <v>3.0466000000000002</v>
      </c>
      <c r="M366" s="2">
        <v>3.3266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</row>
    <row r="367" spans="1:51" x14ac:dyDescent="0.2">
      <c r="A367" s="4">
        <v>1976</v>
      </c>
      <c r="B367" s="2">
        <v>3.32E-2</v>
      </c>
      <c r="C367" s="2">
        <v>0.14560000000000001</v>
      </c>
      <c r="D367" s="2">
        <v>0.34599999999999997</v>
      </c>
      <c r="E367" s="2">
        <v>0.62139999999999995</v>
      </c>
      <c r="F367" s="2">
        <v>0.95</v>
      </c>
      <c r="G367" s="2">
        <v>1.31</v>
      </c>
      <c r="H367" s="2">
        <v>1.6819999999999999</v>
      </c>
      <c r="I367" s="2">
        <v>2.0506000000000002</v>
      </c>
      <c r="J367" s="2">
        <v>2.4049999999999998</v>
      </c>
      <c r="K367" s="2">
        <v>2.7389999999999999</v>
      </c>
      <c r="L367" s="2">
        <v>3.0466000000000002</v>
      </c>
      <c r="M367" s="2">
        <v>3.3266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</row>
    <row r="368" spans="1:51" x14ac:dyDescent="0.2">
      <c r="A368" s="4">
        <v>1977</v>
      </c>
      <c r="B368" s="2">
        <v>5.1999999999999998E-2</v>
      </c>
      <c r="C368" s="2">
        <v>9.2999999999999999E-2</v>
      </c>
      <c r="D368" s="2">
        <v>0.13100000000000001</v>
      </c>
      <c r="E368" s="2">
        <v>0.17799999999999999</v>
      </c>
      <c r="F368" s="2">
        <v>0.26200000000000001</v>
      </c>
      <c r="G368" s="2">
        <v>0.29399999999999998</v>
      </c>
      <c r="H368" s="2">
        <v>0.34</v>
      </c>
      <c r="I368" s="2">
        <v>0.39600000000000002</v>
      </c>
      <c r="J368" s="2">
        <v>0.54900000000000004</v>
      </c>
      <c r="K368" s="2">
        <v>0.73799999999999999</v>
      </c>
      <c r="L368" s="2">
        <v>0.98399999999999999</v>
      </c>
      <c r="M368" s="2">
        <v>1.093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</row>
    <row r="369" spans="1:51" x14ac:dyDescent="0.2">
      <c r="A369" s="4">
        <v>1978</v>
      </c>
      <c r="B369" s="2">
        <v>5.1999999999999998E-2</v>
      </c>
      <c r="C369" s="2">
        <v>9.2999999999999999E-2</v>
      </c>
      <c r="D369" s="2">
        <v>0.13100000000000001</v>
      </c>
      <c r="E369" s="2">
        <v>0.17799999999999999</v>
      </c>
      <c r="F369" s="2">
        <v>0.26200000000000001</v>
      </c>
      <c r="G369" s="2">
        <v>0.29399999999999998</v>
      </c>
      <c r="H369" s="2">
        <v>0.34</v>
      </c>
      <c r="I369" s="2">
        <v>0.39600000000000002</v>
      </c>
      <c r="J369" s="2">
        <v>0.54900000000000004</v>
      </c>
      <c r="K369" s="2">
        <v>0.73799999999999999</v>
      </c>
      <c r="L369" s="2">
        <v>0.98399999999999999</v>
      </c>
      <c r="M369" s="2">
        <v>1.093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</row>
    <row r="370" spans="1:51" x14ac:dyDescent="0.2">
      <c r="A370" s="4">
        <v>1979</v>
      </c>
      <c r="B370" s="2">
        <v>5.1999999999999998E-2</v>
      </c>
      <c r="C370" s="2">
        <v>9.2999999999999999E-2</v>
      </c>
      <c r="D370" s="2">
        <v>0.13100000000000001</v>
      </c>
      <c r="E370" s="2">
        <v>0.17799999999999999</v>
      </c>
      <c r="F370" s="2">
        <v>0.26200000000000001</v>
      </c>
      <c r="G370" s="2">
        <v>0.29399999999999998</v>
      </c>
      <c r="H370" s="2">
        <v>0.34</v>
      </c>
      <c r="I370" s="2">
        <v>0.39600000000000002</v>
      </c>
      <c r="J370" s="2">
        <v>0.54900000000000004</v>
      </c>
      <c r="K370" s="2">
        <v>0.73799999999999999</v>
      </c>
      <c r="L370" s="2">
        <v>0.98399999999999999</v>
      </c>
      <c r="M370" s="2">
        <v>1.093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</row>
    <row r="371" spans="1:51" x14ac:dyDescent="0.2">
      <c r="A371" s="4">
        <v>1980</v>
      </c>
      <c r="B371" s="2">
        <v>5.1999999999999998E-2</v>
      </c>
      <c r="C371" s="2">
        <v>9.2999999999999999E-2</v>
      </c>
      <c r="D371" s="2">
        <v>0.13100000000000001</v>
      </c>
      <c r="E371" s="2">
        <v>0.17799999999999999</v>
      </c>
      <c r="F371" s="2">
        <v>0.26200000000000001</v>
      </c>
      <c r="G371" s="2">
        <v>0.29399999999999998</v>
      </c>
      <c r="H371" s="2">
        <v>0.34</v>
      </c>
      <c r="I371" s="2">
        <v>0.39600000000000002</v>
      </c>
      <c r="J371" s="2">
        <v>0.54900000000000004</v>
      </c>
      <c r="K371" s="2">
        <v>0.73799999999999999</v>
      </c>
      <c r="L371" s="2">
        <v>0.98399999999999999</v>
      </c>
      <c r="M371" s="2">
        <v>1.093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</row>
    <row r="372" spans="1:51" x14ac:dyDescent="0.2">
      <c r="A372" s="4">
        <v>1981</v>
      </c>
      <c r="B372" s="2">
        <v>5.1999999999999998E-2</v>
      </c>
      <c r="C372" s="2">
        <v>9.2999999999999999E-2</v>
      </c>
      <c r="D372" s="2">
        <v>0.13100000000000001</v>
      </c>
      <c r="E372" s="2">
        <v>0.17799999999999999</v>
      </c>
      <c r="F372" s="2">
        <v>0.26200000000000001</v>
      </c>
      <c r="G372" s="2">
        <v>0.29399999999999998</v>
      </c>
      <c r="H372" s="2">
        <v>0.34</v>
      </c>
      <c r="I372" s="2">
        <v>0.39600000000000002</v>
      </c>
      <c r="J372" s="2">
        <v>0.54900000000000004</v>
      </c>
      <c r="K372" s="2">
        <v>0.73799999999999999</v>
      </c>
      <c r="L372" s="2">
        <v>0.98399999999999999</v>
      </c>
      <c r="M372" s="2">
        <v>1.093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</row>
    <row r="373" spans="1:51" x14ac:dyDescent="0.2">
      <c r="A373" s="4">
        <v>1982</v>
      </c>
      <c r="B373" s="2">
        <v>5.1999999999999998E-2</v>
      </c>
      <c r="C373" s="2">
        <v>9.2999999999999999E-2</v>
      </c>
      <c r="D373" s="2">
        <v>0.13100000000000001</v>
      </c>
      <c r="E373" s="2">
        <v>0.17799999999999999</v>
      </c>
      <c r="F373" s="2">
        <v>0.26200000000000001</v>
      </c>
      <c r="G373" s="2">
        <v>0.29399999999999998</v>
      </c>
      <c r="H373" s="2">
        <v>0.34</v>
      </c>
      <c r="I373" s="2">
        <v>0.39600000000000002</v>
      </c>
      <c r="J373" s="2">
        <v>0.54900000000000004</v>
      </c>
      <c r="K373" s="2">
        <v>0.73799999999999999</v>
      </c>
      <c r="L373" s="2">
        <v>0.98399999999999999</v>
      </c>
      <c r="M373" s="2">
        <v>1.093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</row>
    <row r="374" spans="1:51" x14ac:dyDescent="0.2">
      <c r="A374" s="4">
        <v>1983</v>
      </c>
      <c r="B374" s="2">
        <v>5.1999999999999998E-2</v>
      </c>
      <c r="C374" s="2">
        <v>7.8E-2</v>
      </c>
      <c r="D374" s="2">
        <v>0.155</v>
      </c>
      <c r="E374" s="2">
        <v>0.214</v>
      </c>
      <c r="F374" s="2">
        <v>0.27500000000000002</v>
      </c>
      <c r="G374" s="2">
        <v>0.33600000000000002</v>
      </c>
      <c r="H374" s="2">
        <v>0.39400000000000002</v>
      </c>
      <c r="I374" s="2">
        <v>0.47199999999999998</v>
      </c>
      <c r="J374" s="2">
        <v>0.63200000000000001</v>
      </c>
      <c r="K374" s="2">
        <v>0.71399999999999997</v>
      </c>
      <c r="L374" s="2">
        <v>0.89800000000000002</v>
      </c>
      <c r="M374" s="2">
        <v>1.538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</row>
    <row r="375" spans="1:51" x14ac:dyDescent="0.2">
      <c r="A375" s="4">
        <v>1984</v>
      </c>
      <c r="B375" s="2">
        <v>5.5E-2</v>
      </c>
      <c r="C375" s="2">
        <v>9.1999999999999998E-2</v>
      </c>
      <c r="D375" s="2">
        <v>0.109</v>
      </c>
      <c r="E375" s="2">
        <v>0.23599999999999999</v>
      </c>
      <c r="F375" s="2">
        <v>0.27500000000000002</v>
      </c>
      <c r="G375" s="2">
        <v>0.314</v>
      </c>
      <c r="H375" s="2">
        <v>0.375</v>
      </c>
      <c r="I375" s="2">
        <v>0.45600000000000002</v>
      </c>
      <c r="J375" s="2">
        <v>0.52100000000000002</v>
      </c>
      <c r="K375" s="2">
        <v>0.73199999999999998</v>
      </c>
      <c r="L375" s="2">
        <v>0.65100000000000002</v>
      </c>
      <c r="M375" s="2">
        <v>1.137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</row>
    <row r="376" spans="1:51" x14ac:dyDescent="0.2">
      <c r="A376" s="4">
        <v>1985</v>
      </c>
      <c r="B376" s="2">
        <v>5.1999999999999998E-2</v>
      </c>
      <c r="C376" s="2">
        <v>8.4000000000000005E-2</v>
      </c>
      <c r="D376" s="2">
        <v>0.104</v>
      </c>
      <c r="E376" s="2">
        <v>0.14699999999999999</v>
      </c>
      <c r="F376" s="2">
        <v>0.21099999999999999</v>
      </c>
      <c r="G376" s="2">
        <v>0.32700000000000001</v>
      </c>
      <c r="H376" s="2">
        <v>0.39400000000000002</v>
      </c>
      <c r="I376" s="2">
        <v>0.44900000000000001</v>
      </c>
      <c r="J376" s="2">
        <v>0.51400000000000001</v>
      </c>
      <c r="K376" s="2">
        <v>0.58299999999999996</v>
      </c>
      <c r="L376" s="2">
        <v>0.63100000000000001</v>
      </c>
      <c r="M376" s="2">
        <v>1.538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</row>
    <row r="377" spans="1:51" x14ac:dyDescent="0.2">
      <c r="A377" s="4">
        <v>1986</v>
      </c>
      <c r="B377" s="2">
        <v>5.1999999999999998E-2</v>
      </c>
      <c r="C377" s="2">
        <v>0.108</v>
      </c>
      <c r="D377" s="2">
        <v>0.16</v>
      </c>
      <c r="E377" s="2">
        <v>0.19900000000000001</v>
      </c>
      <c r="F377" s="2">
        <v>0.24099999999999999</v>
      </c>
      <c r="G377" s="2">
        <v>0.30099999999999999</v>
      </c>
      <c r="H377" s="2">
        <v>0.38800000000000001</v>
      </c>
      <c r="I377" s="2">
        <v>0.46600000000000003</v>
      </c>
      <c r="J377" s="2">
        <v>0.58799999999999997</v>
      </c>
      <c r="K377" s="2">
        <v>0.871</v>
      </c>
      <c r="L377" s="2">
        <v>1.2649999999999999</v>
      </c>
      <c r="M377" s="2">
        <v>1.972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</row>
    <row r="378" spans="1:51" x14ac:dyDescent="0.2">
      <c r="A378" s="4">
        <v>1987</v>
      </c>
      <c r="B378" s="2">
        <v>2.5999999999999999E-2</v>
      </c>
      <c r="C378" s="2">
        <v>0.06</v>
      </c>
      <c r="D378" s="2">
        <v>0.13200000000000001</v>
      </c>
      <c r="E378" s="2">
        <v>0.23100000000000001</v>
      </c>
      <c r="F378" s="2">
        <v>0.27200000000000002</v>
      </c>
      <c r="G378" s="2">
        <v>0.35</v>
      </c>
      <c r="H378" s="2">
        <v>0.44700000000000001</v>
      </c>
      <c r="I378" s="2">
        <v>0.51900000000000002</v>
      </c>
      <c r="J378" s="2">
        <v>0.71599999999999997</v>
      </c>
      <c r="K378" s="2">
        <v>0.82</v>
      </c>
      <c r="L378" s="2">
        <v>1.073</v>
      </c>
      <c r="M378" s="2">
        <v>1.8540000000000001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</row>
    <row r="379" spans="1:51" x14ac:dyDescent="0.2">
      <c r="A379" s="4">
        <v>1988</v>
      </c>
      <c r="B379" s="2">
        <v>5.1999999999999998E-2</v>
      </c>
      <c r="C379" s="2">
        <v>9.5000000000000001E-2</v>
      </c>
      <c r="D379" s="2">
        <v>0.14899999999999999</v>
      </c>
      <c r="E379" s="2">
        <v>0.24199999999999999</v>
      </c>
      <c r="F379" s="2">
        <v>0.29399999999999998</v>
      </c>
      <c r="G379" s="2">
        <v>0.34</v>
      </c>
      <c r="H379" s="2">
        <v>0.40699999999999997</v>
      </c>
      <c r="I379" s="2">
        <v>0.503</v>
      </c>
      <c r="J379" s="2">
        <v>0.63700000000000001</v>
      </c>
      <c r="K379" s="2">
        <v>0.76500000000000001</v>
      </c>
      <c r="L379" s="2">
        <v>1.1839999999999999</v>
      </c>
      <c r="M379" s="2">
        <v>1.9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</row>
    <row r="380" spans="1:51" x14ac:dyDescent="0.2">
      <c r="A380" s="4">
        <v>1989</v>
      </c>
      <c r="B380" s="2">
        <v>5.5E-2</v>
      </c>
      <c r="C380" s="2">
        <v>8.5000000000000006E-2</v>
      </c>
      <c r="D380" s="2">
        <v>0.16600000000000001</v>
      </c>
      <c r="E380" s="2">
        <v>0.20699999999999999</v>
      </c>
      <c r="F380" s="2">
        <v>0.26900000000000002</v>
      </c>
      <c r="G380" s="2">
        <v>0.32300000000000001</v>
      </c>
      <c r="H380" s="2">
        <v>0.378</v>
      </c>
      <c r="I380" s="2">
        <v>0.47199999999999998</v>
      </c>
      <c r="J380" s="2">
        <v>0.53600000000000003</v>
      </c>
      <c r="K380" s="2">
        <v>0.64400000000000002</v>
      </c>
      <c r="L380" s="2">
        <v>0.98699999999999999</v>
      </c>
      <c r="M380" s="2">
        <v>1.1850000000000001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</row>
    <row r="381" spans="1:51" x14ac:dyDescent="0.2">
      <c r="A381" s="4">
        <v>1990</v>
      </c>
      <c r="B381" s="2">
        <v>7.0000000000000007E-2</v>
      </c>
      <c r="C381" s="2">
        <v>9.9000000000000005E-2</v>
      </c>
      <c r="D381" s="2">
        <v>0.122</v>
      </c>
      <c r="E381" s="2">
        <v>0.23</v>
      </c>
      <c r="F381" s="2">
        <v>0.27300000000000002</v>
      </c>
      <c r="G381" s="2">
        <v>0.32</v>
      </c>
      <c r="H381" s="2">
        <v>0.374</v>
      </c>
      <c r="I381" s="2">
        <v>0.46100000000000002</v>
      </c>
      <c r="J381" s="2">
        <v>0.59599999999999997</v>
      </c>
      <c r="K381" s="2">
        <v>0.70899999999999996</v>
      </c>
      <c r="L381" s="2">
        <v>1.196</v>
      </c>
      <c r="M381" s="2">
        <v>1.7689999999999999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</row>
    <row r="382" spans="1:51" x14ac:dyDescent="0.2">
      <c r="A382" s="4">
        <v>1991</v>
      </c>
      <c r="B382" s="2">
        <v>3.5000000000000003E-2</v>
      </c>
      <c r="C382" s="2">
        <v>0.13500000000000001</v>
      </c>
      <c r="D382" s="2">
        <v>0.154</v>
      </c>
      <c r="E382" s="2">
        <v>0.185</v>
      </c>
      <c r="F382" s="2">
        <v>0.26600000000000001</v>
      </c>
      <c r="G382" s="2">
        <v>0.33</v>
      </c>
      <c r="H382" s="2">
        <v>0.38300000000000001</v>
      </c>
      <c r="I382" s="2">
        <v>0.44900000000000001</v>
      </c>
      <c r="J382" s="2">
        <v>0.57699999999999996</v>
      </c>
      <c r="K382" s="2">
        <v>0.68500000000000005</v>
      </c>
      <c r="L382" s="2">
        <v>1.012</v>
      </c>
      <c r="M382" s="2">
        <v>1.8460000000000001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</row>
    <row r="383" spans="1:51" x14ac:dyDescent="0.2">
      <c r="A383" s="4">
        <v>1992</v>
      </c>
      <c r="B383" s="2">
        <v>5.8000000000000003E-2</v>
      </c>
      <c r="C383" s="2">
        <v>0.14799999999999999</v>
      </c>
      <c r="D383" s="2">
        <v>0.18099999999999999</v>
      </c>
      <c r="E383" s="2">
        <v>0.223</v>
      </c>
      <c r="F383" s="2">
        <v>0.27</v>
      </c>
      <c r="G383" s="2">
        <v>0.33900000000000002</v>
      </c>
      <c r="H383" s="2">
        <v>0.39800000000000002</v>
      </c>
      <c r="I383" s="2">
        <v>0.47299999999999998</v>
      </c>
      <c r="J383" s="2">
        <v>0.57299999999999995</v>
      </c>
      <c r="K383" s="2">
        <v>0.79600000000000004</v>
      </c>
      <c r="L383" s="2">
        <v>1.3759999999999999</v>
      </c>
      <c r="M383" s="2">
        <v>1.647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</row>
    <row r="384" spans="1:51" x14ac:dyDescent="0.2">
      <c r="A384" s="4">
        <v>1993</v>
      </c>
      <c r="B384" s="2">
        <v>7.2999999999999995E-2</v>
      </c>
      <c r="C384" s="2">
        <v>7.4999999999999997E-2</v>
      </c>
      <c r="D384" s="2">
        <v>0.17199999999999999</v>
      </c>
      <c r="E384" s="2">
        <v>0.247</v>
      </c>
      <c r="F384" s="2">
        <v>0.28599999999999998</v>
      </c>
      <c r="G384" s="2">
        <v>0.34599999999999997</v>
      </c>
      <c r="H384" s="2">
        <v>0.42699999999999999</v>
      </c>
      <c r="I384" s="2">
        <v>0.51800000000000002</v>
      </c>
      <c r="J384" s="2">
        <v>0.64</v>
      </c>
      <c r="K384" s="2">
        <v>0.84399999999999997</v>
      </c>
      <c r="L384" s="2">
        <v>1.351</v>
      </c>
      <c r="M384" s="2">
        <v>2.11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</row>
    <row r="385" spans="1:51" x14ac:dyDescent="0.2">
      <c r="A385" s="4">
        <v>1994</v>
      </c>
      <c r="B385" s="2">
        <v>7.5999999999999998E-2</v>
      </c>
      <c r="C385" s="2">
        <v>0.11700000000000001</v>
      </c>
      <c r="D385" s="2">
        <v>0.14000000000000001</v>
      </c>
      <c r="E385" s="2">
        <v>0.191</v>
      </c>
      <c r="F385" s="2">
        <v>0.27</v>
      </c>
      <c r="G385" s="2">
        <v>0.35699999999999998</v>
      </c>
      <c r="H385" s="2">
        <v>0.434</v>
      </c>
      <c r="I385" s="2">
        <v>0.503</v>
      </c>
      <c r="J385" s="2">
        <v>0.57699999999999996</v>
      </c>
      <c r="K385" s="2">
        <v>0.68899999999999995</v>
      </c>
      <c r="L385" s="2">
        <v>1.089</v>
      </c>
      <c r="M385" s="2">
        <v>1.9790000000000001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</row>
    <row r="386" spans="1:51" x14ac:dyDescent="0.2">
      <c r="A386" s="4">
        <v>1995</v>
      </c>
      <c r="B386" s="2">
        <v>0.1</v>
      </c>
      <c r="C386" s="2">
        <v>0.124</v>
      </c>
      <c r="D386" s="2">
        <v>0.159</v>
      </c>
      <c r="E386" s="2">
        <v>0.19700000000000001</v>
      </c>
      <c r="F386" s="2">
        <v>0.23300000000000001</v>
      </c>
      <c r="G386" s="2">
        <v>0.34200000000000003</v>
      </c>
      <c r="H386" s="2">
        <v>0.44400000000000001</v>
      </c>
      <c r="I386" s="2">
        <v>0.51200000000000001</v>
      </c>
      <c r="J386" s="2">
        <v>0.58799999999999997</v>
      </c>
      <c r="K386" s="2">
        <v>0.75</v>
      </c>
      <c r="L386" s="2">
        <v>1.012</v>
      </c>
      <c r="M386" s="2">
        <v>1.3720000000000001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</row>
    <row r="387" spans="1:51" x14ac:dyDescent="0.2">
      <c r="A387" s="4">
        <v>1996</v>
      </c>
      <c r="B387" s="2">
        <v>5.1999999999999998E-2</v>
      </c>
      <c r="C387" s="2">
        <v>0.10299999999999999</v>
      </c>
      <c r="D387" s="2">
        <v>0.22</v>
      </c>
      <c r="E387" s="2">
        <v>0.24099999999999999</v>
      </c>
      <c r="F387" s="2">
        <v>0.27800000000000002</v>
      </c>
      <c r="G387" s="2">
        <v>0.33900000000000002</v>
      </c>
      <c r="H387" s="2">
        <v>0.46700000000000003</v>
      </c>
      <c r="I387" s="2">
        <v>0.58499999999999996</v>
      </c>
      <c r="J387" s="2">
        <v>0.70199999999999996</v>
      </c>
      <c r="K387" s="2">
        <v>0.77900000000000003</v>
      </c>
      <c r="L387" s="2">
        <v>0.88</v>
      </c>
      <c r="M387" s="2">
        <v>1.538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</row>
    <row r="388" spans="1:51" x14ac:dyDescent="0.2">
      <c r="A388" s="4">
        <v>1997</v>
      </c>
      <c r="B388" s="2">
        <v>6.4000000000000001E-2</v>
      </c>
      <c r="C388" s="2">
        <v>9.0999999999999998E-2</v>
      </c>
      <c r="D388" s="2">
        <v>0.153</v>
      </c>
      <c r="E388" s="2">
        <v>0.26400000000000001</v>
      </c>
      <c r="F388" s="2">
        <v>0.309</v>
      </c>
      <c r="G388" s="2">
        <v>0.373</v>
      </c>
      <c r="H388" s="2">
        <v>0.46100000000000002</v>
      </c>
      <c r="I388" s="2">
        <v>0.58199999999999996</v>
      </c>
      <c r="J388" s="2">
        <v>0.69399999999999995</v>
      </c>
      <c r="K388" s="2">
        <v>0.83499999999999996</v>
      </c>
      <c r="L388" s="2">
        <v>0.97</v>
      </c>
      <c r="M388" s="2">
        <v>1.5980000000000001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</row>
    <row r="389" spans="1:51" x14ac:dyDescent="0.2">
      <c r="A389" s="4">
        <v>1998</v>
      </c>
      <c r="B389" s="2">
        <v>3.6999999999999998E-2</v>
      </c>
      <c r="C389" s="2">
        <v>0.106</v>
      </c>
      <c r="D389" s="2">
        <v>0.13200000000000001</v>
      </c>
      <c r="E389" s="2">
        <v>0.186</v>
      </c>
      <c r="F389" s="2">
        <v>0.27100000000000002</v>
      </c>
      <c r="G389" s="2">
        <v>0.38100000000000001</v>
      </c>
      <c r="H389" s="2">
        <v>0.45100000000000001</v>
      </c>
      <c r="I389" s="2">
        <v>0.54200000000000004</v>
      </c>
      <c r="J389" s="2">
        <v>0.66700000000000004</v>
      </c>
      <c r="K389" s="2">
        <v>0.78700000000000003</v>
      </c>
      <c r="L389" s="2">
        <v>0.90100000000000002</v>
      </c>
      <c r="M389" s="2">
        <v>1.0529999999999999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</row>
    <row r="390" spans="1:51" x14ac:dyDescent="0.2">
      <c r="A390" s="4">
        <v>1999</v>
      </c>
      <c r="B390" s="2">
        <v>6.3E-2</v>
      </c>
      <c r="C390" s="2">
        <v>8.3000000000000004E-2</v>
      </c>
      <c r="D390" s="2">
        <v>0.11799999999999999</v>
      </c>
      <c r="E390" s="2">
        <v>0.17699999999999999</v>
      </c>
      <c r="F390" s="2">
        <v>0.23899999999999999</v>
      </c>
      <c r="G390" s="2">
        <v>0.27500000000000002</v>
      </c>
      <c r="H390" s="2">
        <v>0.40899999999999997</v>
      </c>
      <c r="I390" s="2">
        <v>0.52400000000000002</v>
      </c>
      <c r="J390" s="2">
        <v>0.59399999999999997</v>
      </c>
      <c r="K390" s="2">
        <v>0.70899999999999996</v>
      </c>
      <c r="L390" s="2">
        <v>0.85099999999999998</v>
      </c>
      <c r="M390" s="2">
        <v>1.046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</row>
    <row r="391" spans="1:51" x14ac:dyDescent="0.2">
      <c r="A391" s="4">
        <v>2000</v>
      </c>
      <c r="B391" s="2">
        <v>1.0999999999999999E-2</v>
      </c>
      <c r="C391" s="2">
        <v>8.8999999999999996E-2</v>
      </c>
      <c r="D391" s="2">
        <v>0.121</v>
      </c>
      <c r="E391" s="2">
        <v>0.18099999999999999</v>
      </c>
      <c r="F391" s="2">
        <v>0.246</v>
      </c>
      <c r="G391" s="2">
        <v>0.32</v>
      </c>
      <c r="H391" s="2">
        <v>0.40799999999999997</v>
      </c>
      <c r="I391" s="2">
        <v>0.57899999999999996</v>
      </c>
      <c r="J391" s="2">
        <v>0.71899999999999997</v>
      </c>
      <c r="K391" s="2">
        <v>0.85299999999999998</v>
      </c>
      <c r="L391" s="2">
        <v>0.96499999999999997</v>
      </c>
      <c r="M391" s="2">
        <v>1.1739999999999999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</row>
    <row r="392" spans="1:51" x14ac:dyDescent="0.2">
      <c r="A392" s="4">
        <v>2001</v>
      </c>
      <c r="B392" s="2">
        <v>4.1000000000000002E-2</v>
      </c>
      <c r="C392" s="2">
        <v>8.4000000000000005E-2</v>
      </c>
      <c r="D392" s="2">
        <v>0.112</v>
      </c>
      <c r="E392" s="2">
        <v>0.224</v>
      </c>
      <c r="F392" s="2">
        <v>0.27</v>
      </c>
      <c r="G392" s="2">
        <v>0.33600000000000002</v>
      </c>
      <c r="H392" s="2">
        <v>0.46200000000000002</v>
      </c>
      <c r="I392" s="2">
        <v>0.64300000000000002</v>
      </c>
      <c r="J392" s="2">
        <v>0.80800000000000005</v>
      </c>
      <c r="K392" s="2">
        <v>0.86799999999999999</v>
      </c>
      <c r="L392" s="2">
        <v>1.0580000000000001</v>
      </c>
      <c r="M392" s="2">
        <v>1.421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</row>
    <row r="393" spans="1:51" x14ac:dyDescent="0.2">
      <c r="A393" s="4">
        <v>2002</v>
      </c>
      <c r="B393" s="2">
        <v>7.0000000000000007E-2</v>
      </c>
      <c r="C393" s="2">
        <v>9.8000000000000004E-2</v>
      </c>
      <c r="D393" s="2">
        <v>0.14499999999999999</v>
      </c>
      <c r="E393" s="2">
        <v>0.192</v>
      </c>
      <c r="F393" s="2">
        <v>0.27</v>
      </c>
      <c r="G393" s="2">
        <v>0.34</v>
      </c>
      <c r="H393" s="2">
        <v>0.42899999999999999</v>
      </c>
      <c r="I393" s="2">
        <v>0.57699999999999996</v>
      </c>
      <c r="J393" s="2">
        <v>0.80700000000000005</v>
      </c>
      <c r="K393" s="2">
        <v>0.96499999999999997</v>
      </c>
      <c r="L393" s="2">
        <v>1.115</v>
      </c>
      <c r="M393" s="2">
        <v>1.367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</row>
    <row r="394" spans="1:51" x14ac:dyDescent="0.2">
      <c r="A394" s="4">
        <v>2003</v>
      </c>
      <c r="B394" s="2">
        <v>6.0999999999999999E-2</v>
      </c>
      <c r="C394" s="2">
        <v>9.1999999999999998E-2</v>
      </c>
      <c r="D394" s="2">
        <v>0.151</v>
      </c>
      <c r="E394" s="2">
        <v>0.191</v>
      </c>
      <c r="F394" s="2">
        <v>0.28000000000000003</v>
      </c>
      <c r="G394" s="2">
        <v>0.35199999999999998</v>
      </c>
      <c r="H394" s="2">
        <v>0.52400000000000002</v>
      </c>
      <c r="I394" s="2">
        <v>0.68300000000000005</v>
      </c>
      <c r="J394" s="2">
        <v>0.94499999999999995</v>
      </c>
      <c r="K394" s="2">
        <v>1.216</v>
      </c>
      <c r="L394" s="2">
        <v>1.4259999999999999</v>
      </c>
      <c r="M394" s="2">
        <v>1.4770000000000001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</row>
    <row r="395" spans="1:51" x14ac:dyDescent="0.2">
      <c r="A395" s="4">
        <v>2004</v>
      </c>
      <c r="B395" s="2">
        <v>0.104</v>
      </c>
      <c r="C395" s="2">
        <v>0.106</v>
      </c>
      <c r="D395" s="2">
        <v>0.14599999999999999</v>
      </c>
      <c r="E395" s="2">
        <v>0.20100000000000001</v>
      </c>
      <c r="F395" s="2">
        <v>0.26</v>
      </c>
      <c r="G395" s="2">
        <v>0.35499999999999998</v>
      </c>
      <c r="H395" s="2">
        <v>0.495</v>
      </c>
      <c r="I395" s="2">
        <v>0.68300000000000005</v>
      </c>
      <c r="J395" s="2">
        <v>0.88400000000000001</v>
      </c>
      <c r="K395" s="2">
        <v>1.0880000000000001</v>
      </c>
      <c r="L395" s="2">
        <v>1.4670000000000001</v>
      </c>
      <c r="M395" s="2">
        <v>1.647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</row>
    <row r="396" spans="1:51" x14ac:dyDescent="0.2">
      <c r="A396" s="4">
        <v>2005</v>
      </c>
      <c r="B396" s="2">
        <v>8.4000000000000005E-2</v>
      </c>
      <c r="C396" s="2">
        <v>0.128</v>
      </c>
      <c r="D396" s="2">
        <v>0.13800000000000001</v>
      </c>
      <c r="E396" s="2">
        <v>0.17799999999999999</v>
      </c>
      <c r="F396" s="2">
        <v>0.248</v>
      </c>
      <c r="G396" s="2">
        <v>0.34</v>
      </c>
      <c r="H396" s="2">
        <v>0.54500000000000004</v>
      </c>
      <c r="I396" s="2">
        <v>0.80600000000000005</v>
      </c>
      <c r="J396" s="2">
        <v>1.0349999999999999</v>
      </c>
      <c r="K396" s="2">
        <v>1.246</v>
      </c>
      <c r="L396" s="2">
        <v>1.4119999999999999</v>
      </c>
      <c r="M396" s="2">
        <v>1.655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</row>
    <row r="397" spans="1:51" x14ac:dyDescent="0.2">
      <c r="A397" s="4">
        <v>2006</v>
      </c>
      <c r="B397" s="2">
        <v>0.09</v>
      </c>
      <c r="C397" s="2">
        <v>0.109</v>
      </c>
      <c r="D397" s="2">
        <v>0.13400000000000001</v>
      </c>
      <c r="E397" s="2">
        <v>0.17399999999999999</v>
      </c>
      <c r="F397" s="2">
        <v>0.25</v>
      </c>
      <c r="G397" s="2">
        <v>0.33100000000000002</v>
      </c>
      <c r="H397" s="2">
        <v>0.46500000000000002</v>
      </c>
      <c r="I397" s="2">
        <v>0.74199999999999999</v>
      </c>
      <c r="J397" s="2">
        <v>1.0209999999999999</v>
      </c>
      <c r="K397" s="2">
        <v>1.258</v>
      </c>
      <c r="L397" s="2">
        <v>1.3759999999999999</v>
      </c>
      <c r="M397" s="2">
        <v>1.776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</row>
    <row r="398" spans="1:51" x14ac:dyDescent="0.2">
      <c r="A398" s="4">
        <v>2007</v>
      </c>
      <c r="B398" s="2">
        <v>4.2999999999999997E-2</v>
      </c>
      <c r="C398" s="2">
        <v>6.4000000000000001E-2</v>
      </c>
      <c r="D398" s="2">
        <v>0.16300000000000001</v>
      </c>
      <c r="E398" s="2">
        <v>0.19600000000000001</v>
      </c>
      <c r="F398" s="2">
        <v>0.255</v>
      </c>
      <c r="G398" s="2">
        <v>0.34599999999999997</v>
      </c>
      <c r="H398" s="2">
        <v>0.46600000000000003</v>
      </c>
      <c r="I398" s="2">
        <v>0.75600000000000001</v>
      </c>
      <c r="J398" s="2">
        <v>0.999</v>
      </c>
      <c r="K398" s="2">
        <v>1.141</v>
      </c>
      <c r="L398" s="2">
        <v>1.228</v>
      </c>
      <c r="M398" s="2">
        <v>1.5629999999999999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</row>
    <row r="399" spans="1:51" x14ac:dyDescent="0.2">
      <c r="A399" s="4">
        <v>2008</v>
      </c>
      <c r="B399" s="2">
        <v>6.6000000000000003E-2</v>
      </c>
      <c r="C399" s="2">
        <v>9.8000000000000004E-2</v>
      </c>
      <c r="D399" s="2">
        <v>0.122</v>
      </c>
      <c r="E399" s="2">
        <v>0.17899999999999999</v>
      </c>
      <c r="F399" s="2">
        <v>0.25800000000000001</v>
      </c>
      <c r="G399" s="2">
        <v>0.32500000000000001</v>
      </c>
      <c r="H399" s="2">
        <v>0.46100000000000002</v>
      </c>
      <c r="I399" s="2">
        <v>0.61399999999999999</v>
      </c>
      <c r="J399" s="2">
        <v>0.82799999999999996</v>
      </c>
      <c r="K399" s="2">
        <v>1.0740000000000001</v>
      </c>
      <c r="L399" s="2">
        <v>1.36</v>
      </c>
      <c r="M399" s="2">
        <v>1.671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</row>
    <row r="400" spans="1:51" x14ac:dyDescent="0.2">
      <c r="A400" s="4">
        <v>2009</v>
      </c>
      <c r="B400" s="2">
        <v>3.1E-2</v>
      </c>
      <c r="C400" s="2">
        <v>7.3999999999999996E-2</v>
      </c>
      <c r="D400" s="2">
        <v>0.13</v>
      </c>
      <c r="E400" s="2">
        <v>0.2</v>
      </c>
      <c r="F400" s="2">
        <v>0.25700000000000001</v>
      </c>
      <c r="G400" s="2">
        <v>0.32900000000000001</v>
      </c>
      <c r="H400" s="2">
        <v>0.44500000000000001</v>
      </c>
      <c r="I400" s="2">
        <v>0.64500000000000002</v>
      </c>
      <c r="J400" s="2">
        <v>0.88300000000000001</v>
      </c>
      <c r="K400" s="2">
        <v>1.1020000000000001</v>
      </c>
      <c r="L400" s="2">
        <v>1.321</v>
      </c>
      <c r="M400" s="2">
        <v>1.649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</row>
    <row r="401" spans="1:51" x14ac:dyDescent="0.2">
      <c r="A401" s="4">
        <v>2010</v>
      </c>
      <c r="B401" s="2">
        <v>3.5999999999999997E-2</v>
      </c>
      <c r="C401" s="2">
        <v>8.5999999999999993E-2</v>
      </c>
      <c r="D401" s="2">
        <v>0.11700000000000001</v>
      </c>
      <c r="E401" s="2">
        <v>0.186</v>
      </c>
      <c r="F401" s="2">
        <v>0.245</v>
      </c>
      <c r="G401" s="2">
        <v>0.307</v>
      </c>
      <c r="H401" s="2">
        <v>0.4</v>
      </c>
      <c r="I401" s="2">
        <v>0.56399999999999995</v>
      </c>
      <c r="J401" s="2">
        <v>0.76800000000000002</v>
      </c>
      <c r="K401" s="2">
        <v>1.0049999999999999</v>
      </c>
      <c r="L401" s="2">
        <v>1.2090000000000001</v>
      </c>
      <c r="M401" s="2">
        <v>1.5369999999999999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</row>
    <row r="402" spans="1:51" x14ac:dyDescent="0.2">
      <c r="A402" s="4">
        <v>2011</v>
      </c>
      <c r="B402" s="2">
        <v>3.4000000000000002E-2</v>
      </c>
      <c r="C402" s="2">
        <v>0.08</v>
      </c>
      <c r="D402" s="2">
        <v>0.158</v>
      </c>
      <c r="E402" s="2">
        <v>0.193</v>
      </c>
      <c r="F402" s="2">
        <v>0.247</v>
      </c>
      <c r="G402" s="2">
        <v>0.307</v>
      </c>
      <c r="H402" s="2">
        <v>0.38700000000000001</v>
      </c>
      <c r="I402" s="2">
        <v>0.52800000000000002</v>
      </c>
      <c r="J402" s="2">
        <v>0.7</v>
      </c>
      <c r="K402" s="2">
        <v>0.89700000000000002</v>
      </c>
      <c r="L402" s="2">
        <v>1.087</v>
      </c>
      <c r="M402" s="2">
        <v>1.5409999999999999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</row>
    <row r="403" spans="1:51" x14ac:dyDescent="0.2">
      <c r="A403" s="4">
        <v>2012</v>
      </c>
      <c r="B403" s="2">
        <v>2.9000000000000001E-2</v>
      </c>
      <c r="C403" s="2">
        <v>7.4999999999999997E-2</v>
      </c>
      <c r="D403" s="2">
        <v>0.113</v>
      </c>
      <c r="E403" s="2">
        <v>0.19600000000000001</v>
      </c>
      <c r="F403" s="2">
        <v>0.25900000000000001</v>
      </c>
      <c r="G403" s="2">
        <v>0.318</v>
      </c>
      <c r="H403" s="2">
        <v>0.39900000000000002</v>
      </c>
      <c r="I403" s="2">
        <v>0.51700000000000002</v>
      </c>
      <c r="J403" s="2">
        <v>0.64100000000000001</v>
      </c>
      <c r="K403" s="2">
        <v>0.76700000000000002</v>
      </c>
      <c r="L403" s="2">
        <v>0.91800000000000004</v>
      </c>
      <c r="M403" s="2">
        <v>1.296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</row>
    <row r="404" spans="1:51" x14ac:dyDescent="0.2">
      <c r="A404" s="4">
        <v>2013</v>
      </c>
      <c r="B404" s="2">
        <v>3.3000000000000002E-2</v>
      </c>
      <c r="C404" s="2">
        <v>7.5999999999999998E-2</v>
      </c>
      <c r="D404" s="2">
        <v>0.11600000000000001</v>
      </c>
      <c r="E404" s="2">
        <v>0.14099999999999999</v>
      </c>
      <c r="F404" s="2">
        <v>0.26100000000000001</v>
      </c>
      <c r="G404" s="2">
        <v>0.35</v>
      </c>
      <c r="H404" s="2">
        <v>0.41899999999999998</v>
      </c>
      <c r="I404" s="2">
        <v>0.51600000000000001</v>
      </c>
      <c r="J404" s="2">
        <v>0.63100000000000001</v>
      </c>
      <c r="K404" s="2">
        <v>0.752</v>
      </c>
      <c r="L404" s="2">
        <v>0.92400000000000004</v>
      </c>
      <c r="M404" s="2">
        <v>1.2629999999999999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</row>
    <row r="405" spans="1:51" x14ac:dyDescent="0.2">
      <c r="A405" s="4">
        <v>2014</v>
      </c>
      <c r="B405" s="2">
        <v>8.5999999999999993E-2</v>
      </c>
      <c r="C405" s="2">
        <v>7.3999999999999996E-2</v>
      </c>
      <c r="D405" s="2">
        <v>0.121</v>
      </c>
      <c r="E405" s="2">
        <v>0.17199999999999999</v>
      </c>
      <c r="F405" s="2">
        <v>0.22600000000000001</v>
      </c>
      <c r="G405" s="2">
        <v>0.33100000000000002</v>
      </c>
      <c r="H405" s="2">
        <v>0.43099999999999999</v>
      </c>
      <c r="I405" s="2">
        <v>0.51</v>
      </c>
      <c r="J405" s="2">
        <v>0.621</v>
      </c>
      <c r="K405" s="2">
        <v>0.75600000000000001</v>
      </c>
      <c r="L405" s="2">
        <v>0.90300000000000002</v>
      </c>
      <c r="M405" s="2">
        <v>1.177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</row>
    <row r="406" spans="1:51" x14ac:dyDescent="0.2">
      <c r="A406" s="4">
        <v>2015</v>
      </c>
      <c r="B406" s="2">
        <v>3.5999999999999997E-2</v>
      </c>
      <c r="C406" s="2">
        <v>4.8000000000000001E-2</v>
      </c>
      <c r="D406" s="2">
        <v>6.9000000000000006E-2</v>
      </c>
      <c r="E406" s="2">
        <v>0.186</v>
      </c>
      <c r="F406" s="2">
        <v>0.254</v>
      </c>
      <c r="G406" s="2">
        <v>0.312</v>
      </c>
      <c r="H406" s="2">
        <v>0.41599999999999998</v>
      </c>
      <c r="I406" s="2">
        <v>0.51500000000000001</v>
      </c>
      <c r="J406" s="2">
        <v>0.60499999999999998</v>
      </c>
      <c r="K406" s="2">
        <v>0.71899999999999997</v>
      </c>
      <c r="L406" s="2">
        <v>0.86099999999999999</v>
      </c>
      <c r="M406" s="2">
        <v>1.1479999999999999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</row>
    <row r="407" spans="1:51" x14ac:dyDescent="0.2">
      <c r="A407" s="4">
        <v>2016</v>
      </c>
      <c r="B407" s="2">
        <v>1.4E-2</v>
      </c>
      <c r="C407" s="2">
        <v>4.4999999999999998E-2</v>
      </c>
      <c r="D407" s="2">
        <v>0.109</v>
      </c>
      <c r="E407" s="2">
        <v>0.14199999999999999</v>
      </c>
      <c r="F407" s="2">
        <v>0.253</v>
      </c>
      <c r="G407" s="2">
        <v>0.33</v>
      </c>
      <c r="H407" s="2">
        <v>0.41099999999999998</v>
      </c>
      <c r="I407" s="2">
        <v>0.53200000000000003</v>
      </c>
      <c r="J407" s="2">
        <v>0.625</v>
      </c>
      <c r="K407" s="2">
        <v>0.76400000000000001</v>
      </c>
      <c r="L407" s="2">
        <v>0.88600000000000001</v>
      </c>
      <c r="M407" s="2">
        <v>1.1439999999999999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</row>
    <row r="408" spans="1:51" x14ac:dyDescent="0.2">
      <c r="A408" s="4">
        <v>2017</v>
      </c>
      <c r="B408" s="2">
        <v>1.4E-2</v>
      </c>
      <c r="C408" s="2">
        <v>5.1999999999999998E-2</v>
      </c>
      <c r="D408" s="2">
        <v>0.10100000000000001</v>
      </c>
      <c r="E408" s="2">
        <v>0.17499999999999999</v>
      </c>
      <c r="F408" s="2">
        <v>0.23699999999999999</v>
      </c>
      <c r="G408" s="2">
        <v>0.313</v>
      </c>
      <c r="H408" s="2">
        <v>0.41499999999999998</v>
      </c>
      <c r="I408" s="2">
        <v>0.53900000000000003</v>
      </c>
      <c r="J408" s="2">
        <v>0.64900000000000002</v>
      </c>
      <c r="K408" s="2">
        <v>0.78700000000000003</v>
      </c>
      <c r="L408" s="2">
        <v>0.96399999999999997</v>
      </c>
      <c r="M408" s="2">
        <v>1.4730000000000001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</row>
    <row r="409" spans="1:51" x14ac:dyDescent="0.2">
      <c r="A409" s="4">
        <v>2018</v>
      </c>
      <c r="B409" s="2">
        <v>1.9E-2</v>
      </c>
      <c r="C409" s="2">
        <v>6.7000000000000004E-2</v>
      </c>
      <c r="D409" s="2">
        <v>0.10100000000000001</v>
      </c>
      <c r="E409" s="2">
        <v>0.19</v>
      </c>
      <c r="F409" s="2">
        <v>0.28699999999999998</v>
      </c>
      <c r="G409" s="2">
        <v>0.35299999999999998</v>
      </c>
      <c r="H409" s="2">
        <v>0.46600000000000003</v>
      </c>
      <c r="I409" s="2">
        <v>0.61299999999999999</v>
      </c>
      <c r="J409" s="2">
        <v>0.77400000000000002</v>
      </c>
      <c r="K409" s="2">
        <v>0.92300000000000004</v>
      </c>
      <c r="L409" s="2">
        <v>1.173</v>
      </c>
      <c r="M409" s="2">
        <v>1.514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</row>
    <row r="410" spans="1:51" x14ac:dyDescent="0.2">
      <c r="A410" s="4">
        <v>2019</v>
      </c>
      <c r="B410" s="2">
        <v>7.0000000000000001E-3</v>
      </c>
      <c r="C410" s="2">
        <v>1.4E-2</v>
      </c>
      <c r="D410" s="2">
        <v>8.2000000000000003E-2</v>
      </c>
      <c r="E410" s="2">
        <v>0.20200000000000001</v>
      </c>
      <c r="F410" s="2">
        <v>0.26400000000000001</v>
      </c>
      <c r="G410" s="2">
        <v>0.35299999999999998</v>
      </c>
      <c r="H410" s="2">
        <v>0.47599999999999998</v>
      </c>
      <c r="I410" s="2">
        <v>0.55800000000000005</v>
      </c>
      <c r="J410" s="2">
        <v>0.71099999999999997</v>
      </c>
      <c r="K410" s="2">
        <v>0.91200000000000003</v>
      </c>
      <c r="L410" s="2">
        <v>1.1459999999999999</v>
      </c>
      <c r="M410" s="2">
        <v>1.6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</row>
    <row r="411" spans="1:51" x14ac:dyDescent="0.2">
      <c r="A411" s="4"/>
      <c r="B411" s="2">
        <v>5.1999999999999998E-2</v>
      </c>
      <c r="C411" s="2">
        <v>0.125</v>
      </c>
      <c r="D411" s="2">
        <v>0.26800000000000002</v>
      </c>
      <c r="E411" s="2">
        <v>0.26300000000000001</v>
      </c>
      <c r="F411" s="2">
        <v>0.31</v>
      </c>
      <c r="G411" s="2">
        <v>0.36199999999999999</v>
      </c>
      <c r="H411" s="2">
        <v>0.43099999999999999</v>
      </c>
      <c r="I411" s="2">
        <v>0.50700000000000001</v>
      </c>
      <c r="J411" s="2">
        <v>0.67800000000000005</v>
      </c>
      <c r="K411" s="2">
        <v>0.72599999999999998</v>
      </c>
      <c r="L411" s="2">
        <v>0.93600000000000005</v>
      </c>
      <c r="M411" s="2">
        <v>1.143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</row>
    <row r="412" spans="1:51" x14ac:dyDescent="0.2">
      <c r="A412" s="4"/>
      <c r="B412" s="2">
        <v>5.1999999999999998E-2</v>
      </c>
      <c r="C412" s="2">
        <v>9.2999999999999999E-2</v>
      </c>
      <c r="D412" s="2">
        <v>0.2171399</v>
      </c>
      <c r="E412" s="2">
        <v>0.266484</v>
      </c>
      <c r="F412" s="2">
        <v>0.37160189999999999</v>
      </c>
      <c r="G412" s="2">
        <v>0.46985529999999998</v>
      </c>
      <c r="H412" s="2">
        <v>0.60254890000000005</v>
      </c>
      <c r="I412" s="2">
        <v>0.64963400000000004</v>
      </c>
      <c r="J412" s="2">
        <v>0.74736329999999995</v>
      </c>
      <c r="K412" s="2">
        <v>0.7527412</v>
      </c>
      <c r="L412" s="2">
        <v>1.635556</v>
      </c>
      <c r="M412" s="2">
        <v>1.7204010000000001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</row>
    <row r="413" spans="1:51" x14ac:dyDescent="0.2">
      <c r="A413" s="4"/>
      <c r="B413" s="2">
        <v>5.1156334999999997E-2</v>
      </c>
      <c r="C413" s="2">
        <v>0.11269135700000001</v>
      </c>
      <c r="D413" s="2">
        <v>0.21576429</v>
      </c>
      <c r="E413" s="2">
        <v>0.276871653</v>
      </c>
      <c r="F413" s="2">
        <v>0.35855736100000002</v>
      </c>
      <c r="G413" s="2">
        <v>0.42754720400000001</v>
      </c>
      <c r="H413" s="2">
        <v>0.54448256900000003</v>
      </c>
      <c r="I413" s="2">
        <v>0.63244164300000005</v>
      </c>
      <c r="J413" s="2">
        <v>0.776859356</v>
      </c>
      <c r="K413" s="2">
        <v>0.83326121900000005</v>
      </c>
      <c r="L413" s="2">
        <v>1.3649336249999999</v>
      </c>
      <c r="M413" s="2">
        <v>1.457508185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</row>
    <row r="414" spans="1:51" x14ac:dyDescent="0.2">
      <c r="A414" s="4"/>
      <c r="B414" s="2">
        <v>5.0312669999999997E-2</v>
      </c>
      <c r="C414" s="2">
        <v>0.13238271300000001</v>
      </c>
      <c r="D414" s="2">
        <v>0.214388679</v>
      </c>
      <c r="E414" s="2">
        <v>0.28725930500000002</v>
      </c>
      <c r="F414" s="2">
        <v>0.34551282100000003</v>
      </c>
      <c r="G414" s="2">
        <v>0.385239108</v>
      </c>
      <c r="H414" s="2">
        <v>0.48641623699999997</v>
      </c>
      <c r="I414" s="2">
        <v>0.61524928499999998</v>
      </c>
      <c r="J414" s="2">
        <v>0.80635541200000005</v>
      </c>
      <c r="K414" s="2">
        <v>0.91378123700000002</v>
      </c>
      <c r="L414" s="2">
        <v>1.0943112500000001</v>
      </c>
      <c r="M414" s="2">
        <v>1.1946153690000001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</row>
    <row r="415" spans="1:51" x14ac:dyDescent="0.2">
      <c r="A415" s="4"/>
      <c r="B415" s="2">
        <v>5.6209082E-2</v>
      </c>
      <c r="C415" s="2">
        <v>9.3800479000000006E-2</v>
      </c>
      <c r="D415" s="2">
        <v>0.44480210399999998</v>
      </c>
      <c r="E415" s="2">
        <v>0.35272748100000001</v>
      </c>
      <c r="F415" s="2">
        <v>0.36919956399999998</v>
      </c>
      <c r="G415" s="2">
        <v>0.43705342400000002</v>
      </c>
      <c r="H415" s="2">
        <v>0.52465681099999995</v>
      </c>
      <c r="I415" s="2">
        <v>0.615550292</v>
      </c>
      <c r="J415" s="2">
        <v>0.65331058799999997</v>
      </c>
      <c r="K415" s="2">
        <v>0.83728944800000005</v>
      </c>
      <c r="L415" s="2">
        <v>1.0710033029999999</v>
      </c>
      <c r="M415" s="2">
        <v>1.1100000000000001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</row>
    <row r="416" spans="1:51" x14ac:dyDescent="0.2">
      <c r="A416" s="4" t="s">
        <v>36</v>
      </c>
      <c r="B416" s="2">
        <v>5.2840584000000003E-2</v>
      </c>
      <c r="C416" s="2">
        <v>0.106394397</v>
      </c>
      <c r="D416" s="2">
        <v>0.29211022800000003</v>
      </c>
      <c r="E416" s="2">
        <v>0.30215692900000002</v>
      </c>
      <c r="F416" s="2">
        <v>0.36210476200000002</v>
      </c>
      <c r="G416" s="2">
        <v>0.43071594400000002</v>
      </c>
      <c r="H416" s="2">
        <v>0.537873983</v>
      </c>
      <c r="I416" s="2">
        <v>0.62681119200000002</v>
      </c>
      <c r="J416" s="2">
        <v>0.73567643299999996</v>
      </c>
      <c r="K416" s="2">
        <v>0.83460396199999998</v>
      </c>
      <c r="L416" s="2">
        <v>1.266956851</v>
      </c>
      <c r="M416" s="2">
        <v>1.3416721229999999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</row>
    <row r="417" spans="1:51" x14ac:dyDescent="0.2">
      <c r="A417" s="4" t="s">
        <v>37</v>
      </c>
      <c r="B417" s="2">
        <v>0.12506348</v>
      </c>
      <c r="C417" s="2">
        <v>0.13132466000000001</v>
      </c>
      <c r="D417" s="2">
        <v>0.19282205899999999</v>
      </c>
      <c r="E417" s="2">
        <v>0.41565906000000002</v>
      </c>
      <c r="F417" s="2">
        <v>0.45121706</v>
      </c>
      <c r="G417" s="2">
        <v>0.61747255000000001</v>
      </c>
      <c r="H417" s="2">
        <v>0.74027778</v>
      </c>
      <c r="I417" s="2">
        <v>0.80396975000000004</v>
      </c>
      <c r="J417" s="2">
        <v>0.96805231999999997</v>
      </c>
      <c r="K417" s="2">
        <v>1.03428853</v>
      </c>
      <c r="L417" s="2">
        <v>1.13204685</v>
      </c>
      <c r="M417" s="2">
        <v>1.16434818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</row>
    <row r="418" spans="1:51" x14ac:dyDescent="0.2">
      <c r="A418" s="4" t="s">
        <v>38</v>
      </c>
      <c r="B418" s="2">
        <v>0.12506348</v>
      </c>
      <c r="C418" s="2">
        <v>0.13132466000000001</v>
      </c>
      <c r="D418" s="2">
        <v>0.19282205899999999</v>
      </c>
      <c r="E418" s="2">
        <v>0.41565906000000002</v>
      </c>
      <c r="F418" s="2">
        <v>0.45121706</v>
      </c>
      <c r="G418" s="2">
        <v>0.61747255000000001</v>
      </c>
      <c r="H418" s="2">
        <v>0.74027778</v>
      </c>
      <c r="I418" s="2">
        <v>0.80396975000000004</v>
      </c>
      <c r="J418" s="2">
        <v>0.96805231999999997</v>
      </c>
      <c r="K418" s="2">
        <v>1.03428853</v>
      </c>
      <c r="L418" s="2">
        <v>1.13204685</v>
      </c>
      <c r="M418" s="2">
        <v>1.16434818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</row>
    <row r="419" spans="1:51" x14ac:dyDescent="0.2">
      <c r="A419" s="4" t="s">
        <v>39</v>
      </c>
      <c r="B419" s="2" t="s">
        <v>33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</row>
    <row r="420" spans="1:51" x14ac:dyDescent="0.2">
      <c r="A420" s="4" t="s">
        <v>40</v>
      </c>
      <c r="B420" s="2">
        <v>7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</row>
    <row r="421" spans="1:51" x14ac:dyDescent="0.2">
      <c r="A421" s="4" t="s">
        <v>41</v>
      </c>
      <c r="B421" s="2" t="s">
        <v>34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</row>
    <row r="422" spans="1:51" x14ac:dyDescent="0.2">
      <c r="A422" s="4" t="s">
        <v>42</v>
      </c>
      <c r="B422" s="2" t="s">
        <v>82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</row>
    <row r="423" spans="1:51" x14ac:dyDescent="0.2">
      <c r="A423" s="4" t="s">
        <v>43</v>
      </c>
      <c r="B423" s="2" t="s">
        <v>35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</row>
    <row r="424" spans="1:51" x14ac:dyDescent="0.2">
      <c r="A424" s="4"/>
      <c r="B424" s="2">
        <v>13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</row>
    <row r="425" spans="1:51" x14ac:dyDescent="0.2">
      <c r="A425" s="4" t="s">
        <v>36</v>
      </c>
      <c r="B425" s="2">
        <v>21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</row>
    <row r="426" spans="1:51" x14ac:dyDescent="0.2">
      <c r="A426" s="4" t="s">
        <v>37</v>
      </c>
      <c r="B426" s="2">
        <v>38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</row>
    <row r="427" spans="1:51" x14ac:dyDescent="0.2">
      <c r="A427" s="4" t="s">
        <v>38</v>
      </c>
      <c r="B427" s="2">
        <v>9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</row>
    <row r="428" spans="1:51" x14ac:dyDescent="0.2">
      <c r="A428" s="4" t="s">
        <v>39</v>
      </c>
      <c r="B428" s="2">
        <v>28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</row>
    <row r="429" spans="1:51" x14ac:dyDescent="0.2">
      <c r="A429" s="4" t="s">
        <v>40</v>
      </c>
      <c r="B429" s="2">
        <v>19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</row>
    <row r="430" spans="1:51" x14ac:dyDescent="0.2">
      <c r="A430" s="4" t="s">
        <v>41</v>
      </c>
      <c r="B430" s="2">
        <v>12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</row>
    <row r="431" spans="1:51" x14ac:dyDescent="0.2">
      <c r="A431" s="4" t="s">
        <v>42</v>
      </c>
      <c r="B431" s="2" t="s">
        <v>44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</row>
    <row r="432" spans="1:51" x14ac:dyDescent="0.2">
      <c r="A432" s="4" t="s">
        <v>43</v>
      </c>
      <c r="B432" s="2">
        <v>1997</v>
      </c>
      <c r="C432" s="2">
        <v>1998</v>
      </c>
      <c r="D432" s="2">
        <v>1999</v>
      </c>
      <c r="E432" s="2">
        <v>2000</v>
      </c>
      <c r="F432" s="2">
        <v>2001</v>
      </c>
      <c r="G432" s="2">
        <v>2002</v>
      </c>
      <c r="H432" s="2">
        <v>2003</v>
      </c>
      <c r="I432" s="2">
        <v>2004</v>
      </c>
      <c r="J432" s="2">
        <v>2005</v>
      </c>
      <c r="K432" s="2">
        <v>2006</v>
      </c>
      <c r="L432" s="2">
        <v>2007</v>
      </c>
      <c r="M432" s="2">
        <v>2008</v>
      </c>
      <c r="N432" s="2">
        <v>2009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</row>
    <row r="433" spans="1:51" x14ac:dyDescent="0.2">
      <c r="A433" s="4"/>
      <c r="B433" s="2">
        <v>1984</v>
      </c>
      <c r="C433" s="2">
        <v>1985</v>
      </c>
      <c r="D433" s="2">
        <v>1986</v>
      </c>
      <c r="E433" s="2">
        <v>1987</v>
      </c>
      <c r="F433" s="2">
        <v>1988</v>
      </c>
      <c r="G433" s="2">
        <v>1991</v>
      </c>
      <c r="H433" s="2">
        <v>2006</v>
      </c>
      <c r="I433" s="2">
        <v>2007</v>
      </c>
      <c r="J433" s="2">
        <v>2008</v>
      </c>
      <c r="K433" s="2">
        <v>2009</v>
      </c>
      <c r="L433" s="2">
        <v>2010</v>
      </c>
      <c r="M433" s="2">
        <v>2011</v>
      </c>
      <c r="N433" s="2">
        <v>2012</v>
      </c>
      <c r="O433" s="2">
        <v>2013</v>
      </c>
      <c r="P433" s="2">
        <v>2014</v>
      </c>
      <c r="Q433" s="2">
        <v>2015</v>
      </c>
      <c r="R433" s="2">
        <v>2016</v>
      </c>
      <c r="S433" s="2">
        <v>2017</v>
      </c>
      <c r="T433" s="2">
        <v>2018</v>
      </c>
      <c r="U433" s="2">
        <v>2019</v>
      </c>
      <c r="V433" s="2">
        <v>2020</v>
      </c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</row>
    <row r="434" spans="1:51" x14ac:dyDescent="0.2">
      <c r="A434" s="4" t="s">
        <v>36</v>
      </c>
      <c r="B434" s="2">
        <v>1983</v>
      </c>
      <c r="C434" s="2">
        <v>1984</v>
      </c>
      <c r="D434" s="2">
        <v>1985</v>
      </c>
      <c r="E434" s="2">
        <v>1986</v>
      </c>
      <c r="F434" s="2">
        <v>1987</v>
      </c>
      <c r="G434" s="2">
        <v>1988</v>
      </c>
      <c r="H434" s="2">
        <v>1989</v>
      </c>
      <c r="I434" s="2">
        <v>1990</v>
      </c>
      <c r="J434" s="2">
        <v>1991</v>
      </c>
      <c r="K434" s="2">
        <v>1992</v>
      </c>
      <c r="L434" s="2">
        <v>1993</v>
      </c>
      <c r="M434" s="2">
        <v>1994</v>
      </c>
      <c r="N434" s="2">
        <v>1995</v>
      </c>
      <c r="O434" s="2">
        <v>1996</v>
      </c>
      <c r="P434" s="2">
        <v>1997</v>
      </c>
      <c r="Q434" s="2">
        <v>1998</v>
      </c>
      <c r="R434" s="2">
        <v>1999</v>
      </c>
      <c r="S434" s="2">
        <v>2000</v>
      </c>
      <c r="T434" s="2">
        <v>2001</v>
      </c>
      <c r="U434" s="2">
        <v>2002</v>
      </c>
      <c r="V434" s="2">
        <v>2003</v>
      </c>
      <c r="W434" s="2">
        <v>2004</v>
      </c>
      <c r="X434" s="2">
        <v>2005</v>
      </c>
      <c r="Y434" s="2">
        <v>2006</v>
      </c>
      <c r="Z434" s="2">
        <v>2007</v>
      </c>
      <c r="AA434" s="2">
        <v>2008</v>
      </c>
      <c r="AB434" s="2">
        <v>2009</v>
      </c>
      <c r="AC434" s="2">
        <v>2010</v>
      </c>
      <c r="AD434" s="2">
        <v>2011</v>
      </c>
      <c r="AE434" s="2">
        <v>2012</v>
      </c>
      <c r="AF434" s="2">
        <v>2013</v>
      </c>
      <c r="AG434" s="2">
        <v>2014</v>
      </c>
      <c r="AH434" s="2">
        <v>2015</v>
      </c>
      <c r="AI434" s="2">
        <v>2016</v>
      </c>
      <c r="AJ434" s="2">
        <v>2017</v>
      </c>
      <c r="AK434" s="2">
        <v>2018</v>
      </c>
      <c r="AL434" s="2">
        <v>2019</v>
      </c>
      <c r="AM434" s="2">
        <v>2020</v>
      </c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</row>
    <row r="435" spans="1:51" x14ac:dyDescent="0.2">
      <c r="A435" s="4" t="s">
        <v>37</v>
      </c>
      <c r="B435" s="2">
        <v>1999</v>
      </c>
      <c r="C435" s="2">
        <v>2000</v>
      </c>
      <c r="D435" s="2">
        <v>2001</v>
      </c>
      <c r="E435" s="2">
        <v>2003</v>
      </c>
      <c r="F435" s="2">
        <v>2004</v>
      </c>
      <c r="G435" s="2">
        <v>2005</v>
      </c>
      <c r="H435" s="2">
        <v>2006</v>
      </c>
      <c r="I435" s="2">
        <v>2007</v>
      </c>
      <c r="J435" s="2">
        <v>2008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</row>
    <row r="436" spans="1:51" x14ac:dyDescent="0.2">
      <c r="A436" s="4" t="s">
        <v>38</v>
      </c>
      <c r="B436" s="2">
        <v>1985</v>
      </c>
      <c r="C436" s="2">
        <v>1986</v>
      </c>
      <c r="D436" s="2">
        <v>1987</v>
      </c>
      <c r="E436" s="2">
        <v>1988</v>
      </c>
      <c r="F436" s="2">
        <v>1989</v>
      </c>
      <c r="G436" s="2">
        <v>1990</v>
      </c>
      <c r="H436" s="2">
        <v>1991</v>
      </c>
      <c r="I436" s="2">
        <v>1992</v>
      </c>
      <c r="J436" s="2">
        <v>1993</v>
      </c>
      <c r="K436" s="2">
        <v>1994</v>
      </c>
      <c r="L436" s="2">
        <v>1995</v>
      </c>
      <c r="M436" s="2">
        <v>1996</v>
      </c>
      <c r="N436" s="2">
        <v>1997</v>
      </c>
      <c r="O436" s="2">
        <v>1998</v>
      </c>
      <c r="P436" s="2">
        <v>1999</v>
      </c>
      <c r="Q436" s="2">
        <v>2000</v>
      </c>
      <c r="R436" s="2">
        <v>2001</v>
      </c>
      <c r="S436" s="2">
        <v>2002</v>
      </c>
      <c r="T436" s="2">
        <v>2003</v>
      </c>
      <c r="U436" s="2">
        <v>2004</v>
      </c>
      <c r="V436" s="2">
        <v>2005</v>
      </c>
      <c r="W436" s="2">
        <v>2006</v>
      </c>
      <c r="X436" s="2">
        <v>2007</v>
      </c>
      <c r="Y436" s="2">
        <v>2008</v>
      </c>
      <c r="Z436" s="2">
        <v>2010</v>
      </c>
      <c r="AA436" s="2">
        <v>2011</v>
      </c>
      <c r="AB436" s="2">
        <v>2012</v>
      </c>
      <c r="AC436" s="2">
        <v>2013</v>
      </c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</row>
    <row r="437" spans="1:51" x14ac:dyDescent="0.2">
      <c r="A437" s="4" t="s">
        <v>39</v>
      </c>
      <c r="B437" s="2">
        <v>2002</v>
      </c>
      <c r="C437" s="2">
        <v>2003</v>
      </c>
      <c r="D437" s="2">
        <v>2004</v>
      </c>
      <c r="E437" s="2">
        <v>2005</v>
      </c>
      <c r="F437" s="2">
        <v>2006</v>
      </c>
      <c r="G437" s="2">
        <v>2007</v>
      </c>
      <c r="H437" s="2">
        <v>2008</v>
      </c>
      <c r="I437" s="2">
        <v>2009</v>
      </c>
      <c r="J437" s="2">
        <v>2010</v>
      </c>
      <c r="K437" s="2">
        <v>2011</v>
      </c>
      <c r="L437" s="2">
        <v>2012</v>
      </c>
      <c r="M437" s="2">
        <v>2013</v>
      </c>
      <c r="N437" s="2">
        <v>2014</v>
      </c>
      <c r="O437" s="2">
        <v>2015</v>
      </c>
      <c r="P437" s="2">
        <v>2016</v>
      </c>
      <c r="Q437" s="2">
        <v>2017</v>
      </c>
      <c r="R437" s="2">
        <v>2018</v>
      </c>
      <c r="S437" s="2">
        <v>2019</v>
      </c>
      <c r="T437" s="2">
        <v>2020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</row>
    <row r="438" spans="1:51" x14ac:dyDescent="0.2">
      <c r="A438" s="4" t="s">
        <v>40</v>
      </c>
      <c r="B438" s="2">
        <v>2008</v>
      </c>
      <c r="C438" s="2">
        <v>2009</v>
      </c>
      <c r="D438" s="2">
        <v>2010</v>
      </c>
      <c r="E438" s="2">
        <v>2011</v>
      </c>
      <c r="F438" s="2">
        <v>2012</v>
      </c>
      <c r="G438" s="2">
        <v>2013</v>
      </c>
      <c r="H438" s="2">
        <v>2014</v>
      </c>
      <c r="I438" s="2">
        <v>2015</v>
      </c>
      <c r="J438" s="2">
        <v>2016</v>
      </c>
      <c r="K438" s="2">
        <v>2017</v>
      </c>
      <c r="L438" s="2">
        <v>2018</v>
      </c>
      <c r="M438" s="2">
        <v>2019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</row>
    <row r="439" spans="1:51" x14ac:dyDescent="0.2">
      <c r="A439" s="4" t="s">
        <v>41</v>
      </c>
      <c r="B439" s="2" t="s">
        <v>45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</row>
    <row r="440" spans="1:51" x14ac:dyDescent="0.2">
      <c r="A440" s="4" t="s">
        <v>42</v>
      </c>
      <c r="B440" s="2">
        <v>6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</row>
    <row r="441" spans="1:51" x14ac:dyDescent="0.2">
      <c r="A441" s="4" t="s">
        <v>43</v>
      </c>
      <c r="B441" s="2">
        <v>11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</row>
    <row r="442" spans="1:51" x14ac:dyDescent="0.2">
      <c r="A442" s="4"/>
      <c r="B442" s="2">
        <v>6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</row>
    <row r="443" spans="1:51" x14ac:dyDescent="0.2">
      <c r="A443" s="4" t="s">
        <v>36</v>
      </c>
      <c r="B443" s="2">
        <v>10.5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</row>
    <row r="444" spans="1:51" x14ac:dyDescent="0.2">
      <c r="A444" s="4" t="s">
        <v>37</v>
      </c>
      <c r="B444" s="2">
        <v>1.5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</row>
    <row r="445" spans="1:51" x14ac:dyDescent="0.2">
      <c r="A445" s="4" t="s">
        <v>38</v>
      </c>
      <c r="B445" s="2">
        <v>2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</row>
    <row r="446" spans="1:51" x14ac:dyDescent="0.2">
      <c r="A446" s="4" t="s">
        <v>39</v>
      </c>
      <c r="B446" s="2">
        <v>6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</row>
    <row r="447" spans="1:51" x14ac:dyDescent="0.2">
      <c r="A447" s="4" t="s">
        <v>40</v>
      </c>
      <c r="B447" s="2" t="s">
        <v>46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</row>
    <row r="448" spans="1:51" x14ac:dyDescent="0.2">
      <c r="A448" s="4" t="s">
        <v>41</v>
      </c>
      <c r="B448" s="2">
        <v>3530</v>
      </c>
      <c r="C448" s="2">
        <v>3200</v>
      </c>
      <c r="D448" s="2">
        <v>4100</v>
      </c>
      <c r="E448" s="2">
        <v>5600</v>
      </c>
      <c r="F448" s="2">
        <v>5950</v>
      </c>
      <c r="G448" s="2">
        <v>3700</v>
      </c>
      <c r="H448" s="2">
        <v>2640</v>
      </c>
      <c r="I448" s="2">
        <v>2640</v>
      </c>
      <c r="J448" s="2">
        <v>4110</v>
      </c>
      <c r="K448" s="2">
        <v>3192</v>
      </c>
      <c r="L448" s="2">
        <v>3140</v>
      </c>
      <c r="M448" s="2">
        <v>487</v>
      </c>
      <c r="N448" s="2">
        <v>328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</row>
    <row r="449" spans="1:51" x14ac:dyDescent="0.2">
      <c r="A449" s="4" t="s">
        <v>42</v>
      </c>
      <c r="B449" s="2">
        <v>99</v>
      </c>
      <c r="C449" s="2">
        <v>324</v>
      </c>
      <c r="D449" s="2">
        <v>123</v>
      </c>
      <c r="E449" s="2">
        <v>213</v>
      </c>
      <c r="F449" s="2">
        <v>134</v>
      </c>
      <c r="G449" s="2">
        <v>242</v>
      </c>
      <c r="H449" s="2">
        <v>112</v>
      </c>
      <c r="I449" s="2">
        <v>275</v>
      </c>
      <c r="J449" s="2">
        <v>259</v>
      </c>
      <c r="K449" s="2">
        <v>18</v>
      </c>
      <c r="L449" s="2">
        <v>440</v>
      </c>
      <c r="M449" s="2">
        <v>432</v>
      </c>
      <c r="N449" s="2">
        <v>230</v>
      </c>
      <c r="O449" s="2">
        <v>144</v>
      </c>
      <c r="P449" s="2">
        <v>87</v>
      </c>
      <c r="Q449" s="2">
        <v>459</v>
      </c>
      <c r="R449" s="2">
        <v>587.24400000000003</v>
      </c>
      <c r="S449" s="2">
        <v>610.47</v>
      </c>
      <c r="T449" s="2">
        <v>374.11020000000002</v>
      </c>
      <c r="U449" s="2">
        <v>1487.0696740000001</v>
      </c>
      <c r="V449" s="2">
        <v>1728.268</v>
      </c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</row>
    <row r="450" spans="1:51" x14ac:dyDescent="0.2">
      <c r="A450" s="4" t="s">
        <v>43</v>
      </c>
      <c r="B450" s="2">
        <v>0.85401985300000005</v>
      </c>
      <c r="C450" s="2">
        <v>0.78297484500000003</v>
      </c>
      <c r="D450" s="2">
        <v>0.69429058799999999</v>
      </c>
      <c r="E450" s="2">
        <v>0.585701684</v>
      </c>
      <c r="F450" s="2">
        <v>0.70047255200000003</v>
      </c>
      <c r="G450" s="2">
        <v>0.62117585500000005</v>
      </c>
      <c r="H450" s="2">
        <v>0.61267526500000002</v>
      </c>
      <c r="I450" s="2">
        <v>0.52762808900000002</v>
      </c>
      <c r="J450" s="2">
        <v>0.59519827800000003</v>
      </c>
      <c r="K450" s="2">
        <v>0.56033902300000005</v>
      </c>
      <c r="L450" s="2">
        <v>0.49869922500000002</v>
      </c>
      <c r="M450" s="2">
        <v>0.54059354199999998</v>
      </c>
      <c r="N450" s="2">
        <v>0.48827431500000001</v>
      </c>
      <c r="O450" s="2">
        <v>0.49026203800000001</v>
      </c>
      <c r="P450" s="2">
        <v>0.403764018</v>
      </c>
      <c r="Q450" s="2">
        <v>0.342212719</v>
      </c>
      <c r="R450" s="2">
        <v>0.34992843000000001</v>
      </c>
      <c r="S450" s="2">
        <v>0.34163800599999999</v>
      </c>
      <c r="T450" s="2">
        <v>0.41439261599999999</v>
      </c>
      <c r="U450" s="2">
        <v>0.36455194499999999</v>
      </c>
      <c r="V450" s="2">
        <v>0.32224921899999998</v>
      </c>
      <c r="W450" s="2">
        <v>0.34686125299999998</v>
      </c>
      <c r="X450" s="2">
        <v>0.316367654</v>
      </c>
      <c r="Y450" s="2">
        <v>0.358306917</v>
      </c>
      <c r="Z450" s="2">
        <v>0.26161589600000001</v>
      </c>
      <c r="AA450" s="2">
        <v>0.18340530999999999</v>
      </c>
      <c r="AB450" s="2">
        <v>0.15272690899999999</v>
      </c>
      <c r="AC450" s="2">
        <v>0.114852382</v>
      </c>
      <c r="AD450" s="2">
        <v>6.4046827000000001E-2</v>
      </c>
      <c r="AE450" s="2">
        <v>0.197127474</v>
      </c>
      <c r="AF450" s="2">
        <v>0.17460875200000001</v>
      </c>
      <c r="AG450" s="2">
        <v>0.138505035</v>
      </c>
      <c r="AH450" s="2">
        <v>0.1165054</v>
      </c>
      <c r="AI450" s="2">
        <v>0.21398964100000001</v>
      </c>
      <c r="AJ450" s="2">
        <v>0.25449796800000002</v>
      </c>
      <c r="AK450" s="2">
        <v>0.25022428000000002</v>
      </c>
      <c r="AL450" s="2">
        <v>0.286546256</v>
      </c>
      <c r="AM450" s="2">
        <v>0.365768818</v>
      </c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</row>
    <row r="451" spans="1:51" x14ac:dyDescent="0.2">
      <c r="A451" s="4"/>
      <c r="B451" s="2">
        <v>5724</v>
      </c>
      <c r="C451" s="2">
        <v>4688</v>
      </c>
      <c r="D451" s="2">
        <v>5627</v>
      </c>
      <c r="E451" s="2">
        <v>1388</v>
      </c>
      <c r="F451" s="2">
        <v>3287</v>
      </c>
      <c r="G451" s="2">
        <v>1043</v>
      </c>
      <c r="H451" s="2">
        <v>3283</v>
      </c>
      <c r="I451" s="2">
        <v>626</v>
      </c>
      <c r="J451" s="2">
        <v>1935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</row>
    <row r="452" spans="1:51" x14ac:dyDescent="0.2">
      <c r="A452" s="4" t="s">
        <v>36</v>
      </c>
      <c r="B452" s="2">
        <v>94.315989999999999</v>
      </c>
      <c r="C452" s="2">
        <v>108.11579999999999</v>
      </c>
      <c r="D452" s="2">
        <v>109.78870000000001</v>
      </c>
      <c r="E452" s="2">
        <v>114.17959999999999</v>
      </c>
      <c r="F452" s="2">
        <v>157.39449999999999</v>
      </c>
      <c r="G452" s="2">
        <v>229.7567</v>
      </c>
      <c r="H452" s="2">
        <v>231.67189999999999</v>
      </c>
      <c r="I452" s="2">
        <v>180.35480000000001</v>
      </c>
      <c r="J452" s="2">
        <v>145.72550000000001</v>
      </c>
      <c r="K452" s="2">
        <v>95.245249999999999</v>
      </c>
      <c r="L452" s="2">
        <v>54.257309999999997</v>
      </c>
      <c r="M452" s="2">
        <v>29.967179999999999</v>
      </c>
      <c r="N452" s="2">
        <v>31.664429999999999</v>
      </c>
      <c r="O452" s="2">
        <v>43.994349999999997</v>
      </c>
      <c r="P452" s="2">
        <v>52.681159999999998</v>
      </c>
      <c r="Q452" s="2">
        <v>105.7835</v>
      </c>
      <c r="R452" s="2">
        <v>131.58580000000001</v>
      </c>
      <c r="S452" s="2">
        <v>96.660690000000002</v>
      </c>
      <c r="T452" s="2">
        <v>67.470569999999995</v>
      </c>
      <c r="U452" s="2">
        <v>51.85284</v>
      </c>
      <c r="V452" s="2">
        <v>75.171300000000002</v>
      </c>
      <c r="W452" s="2">
        <v>111.25879999999999</v>
      </c>
      <c r="X452" s="2">
        <v>79.749650000000003</v>
      </c>
      <c r="Y452" s="2">
        <v>24.250869999999999</v>
      </c>
      <c r="Z452" s="2">
        <v>7.247058</v>
      </c>
      <c r="AA452" s="2">
        <v>35.283090000000001</v>
      </c>
      <c r="AB452" s="2">
        <v>50.332160000000002</v>
      </c>
      <c r="AC452" s="2">
        <v>64.504170000000002</v>
      </c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</row>
    <row r="453" spans="1:51" x14ac:dyDescent="0.2">
      <c r="A453" s="4" t="s">
        <v>37</v>
      </c>
      <c r="B453" s="2">
        <v>4.1926960940000004</v>
      </c>
      <c r="C453" s="2">
        <v>5.043809907</v>
      </c>
      <c r="D453" s="2">
        <v>5.5515183209999996</v>
      </c>
      <c r="E453" s="2">
        <v>4.36812413</v>
      </c>
      <c r="F453" s="2">
        <v>5.8198309899999998</v>
      </c>
      <c r="G453" s="2">
        <v>8.2543794669999997</v>
      </c>
      <c r="H453" s="2">
        <v>4.1060433940000003</v>
      </c>
      <c r="I453" s="2">
        <v>1.5061657610000001</v>
      </c>
      <c r="J453" s="2">
        <v>2.7801771039999998</v>
      </c>
      <c r="K453" s="2">
        <v>7.1432653850000003</v>
      </c>
      <c r="L453" s="2">
        <v>6.3329218330000003</v>
      </c>
      <c r="M453" s="2">
        <v>2.8145647949999999</v>
      </c>
      <c r="N453" s="2">
        <v>3.9472249769999999</v>
      </c>
      <c r="O453" s="2">
        <v>3.1981329430000001</v>
      </c>
      <c r="P453" s="2">
        <v>2.7687450309999999</v>
      </c>
      <c r="Q453" s="2">
        <v>3.65276033</v>
      </c>
      <c r="R453" s="2">
        <v>10.05051604</v>
      </c>
      <c r="S453" s="2">
        <v>17.912440149999998</v>
      </c>
      <c r="T453" s="2">
        <v>11.756000330000001</v>
      </c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</row>
    <row r="454" spans="1:51" x14ac:dyDescent="0.2">
      <c r="A454" s="4" t="s">
        <v>38</v>
      </c>
      <c r="B454" s="2">
        <v>1584.94748</v>
      </c>
      <c r="C454" s="2">
        <v>1417.3475800000001</v>
      </c>
      <c r="D454" s="2">
        <v>867.24394389999998</v>
      </c>
      <c r="E454" s="2">
        <v>712.38672610000003</v>
      </c>
      <c r="F454" s="2">
        <v>623.9566615</v>
      </c>
      <c r="G454" s="2">
        <v>762.38267150000001</v>
      </c>
      <c r="H454" s="2">
        <v>737.48028509999995</v>
      </c>
      <c r="I454" s="2">
        <v>1184.332369</v>
      </c>
      <c r="J454" s="2">
        <v>781.824704</v>
      </c>
      <c r="K454" s="2">
        <v>950.50324990000001</v>
      </c>
      <c r="L454" s="2">
        <v>873.47398380000004</v>
      </c>
      <c r="M454" s="2">
        <v>1107.1835840000001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</row>
    <row r="455" spans="1:51" x14ac:dyDescent="0.2">
      <c r="A455" s="4" t="s">
        <v>39</v>
      </c>
      <c r="B455" s="2" t="s">
        <v>48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</row>
    <row r="456" spans="1:51" x14ac:dyDescent="0.2">
      <c r="A456" s="4" t="s">
        <v>40</v>
      </c>
      <c r="B456" s="2">
        <v>706</v>
      </c>
      <c r="C456" s="2">
        <v>640</v>
      </c>
      <c r="D456" s="2">
        <v>820</v>
      </c>
      <c r="E456" s="2">
        <v>1120</v>
      </c>
      <c r="F456" s="2">
        <v>1190</v>
      </c>
      <c r="G456" s="2">
        <v>740</v>
      </c>
      <c r="H456" s="2">
        <v>528</v>
      </c>
      <c r="I456" s="2">
        <v>528</v>
      </c>
      <c r="J456" s="2">
        <v>822</v>
      </c>
      <c r="K456" s="2">
        <v>638.4</v>
      </c>
      <c r="L456" s="2">
        <v>628</v>
      </c>
      <c r="M456" s="2">
        <v>97.4</v>
      </c>
      <c r="N456" s="2">
        <v>65.599999999999994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</row>
    <row r="457" spans="1:51" x14ac:dyDescent="0.2">
      <c r="A457" s="4" t="s">
        <v>41</v>
      </c>
      <c r="B457" s="2">
        <v>49.5</v>
      </c>
      <c r="C457" s="2">
        <v>162</v>
      </c>
      <c r="D457" s="2">
        <v>61.5</v>
      </c>
      <c r="E457" s="2">
        <v>106.5</v>
      </c>
      <c r="F457" s="2">
        <v>67</v>
      </c>
      <c r="G457" s="2">
        <v>121</v>
      </c>
      <c r="H457" s="2">
        <v>56</v>
      </c>
      <c r="I457" s="2">
        <v>137.5</v>
      </c>
      <c r="J457" s="2">
        <v>129.5</v>
      </c>
      <c r="K457" s="2">
        <v>9</v>
      </c>
      <c r="L457" s="2">
        <v>220</v>
      </c>
      <c r="M457" s="2">
        <v>216</v>
      </c>
      <c r="N457" s="2">
        <v>115</v>
      </c>
      <c r="O457" s="2">
        <v>72</v>
      </c>
      <c r="P457" s="2">
        <v>43.5</v>
      </c>
      <c r="Q457" s="2">
        <v>229.5</v>
      </c>
      <c r="R457" s="2">
        <v>293.62200000000001</v>
      </c>
      <c r="S457" s="2">
        <v>305.23500000000001</v>
      </c>
      <c r="T457" s="2">
        <v>187.8193354</v>
      </c>
      <c r="U457" s="2">
        <v>743.53483700000004</v>
      </c>
      <c r="V457" s="2">
        <v>864.13400000000001</v>
      </c>
      <c r="W457" s="2" t="s">
        <v>47</v>
      </c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</row>
    <row r="458" spans="1:51" x14ac:dyDescent="0.2">
      <c r="A458" s="4" t="s">
        <v>42</v>
      </c>
      <c r="B458" s="2">
        <v>0.170803971</v>
      </c>
      <c r="C458" s="2">
        <v>0.156594969</v>
      </c>
      <c r="D458" s="2">
        <v>0.138858118</v>
      </c>
      <c r="E458" s="2">
        <v>0.117140337</v>
      </c>
      <c r="F458" s="2">
        <v>0.14009451000000001</v>
      </c>
      <c r="G458" s="2">
        <v>0.12423517100000001</v>
      </c>
      <c r="H458" s="2">
        <v>0.122535053</v>
      </c>
      <c r="I458" s="2">
        <v>0.105525618</v>
      </c>
      <c r="J458" s="2">
        <v>0.11903965599999999</v>
      </c>
      <c r="K458" s="2">
        <v>0.11206780500000001</v>
      </c>
      <c r="L458" s="2">
        <v>9.9739844999999994E-2</v>
      </c>
      <c r="M458" s="2">
        <v>0.10811870799999999</v>
      </c>
      <c r="N458" s="2">
        <v>9.7654862999999995E-2</v>
      </c>
      <c r="O458" s="2">
        <v>9.8052407999999994E-2</v>
      </c>
      <c r="P458" s="2">
        <v>8.0752803999999997E-2</v>
      </c>
      <c r="Q458" s="2">
        <v>6.8442543999999994E-2</v>
      </c>
      <c r="R458" s="2">
        <v>6.9985686000000005E-2</v>
      </c>
      <c r="S458" s="2">
        <v>6.8327601000000002E-2</v>
      </c>
      <c r="T458" s="2">
        <v>8.2878522999999996E-2</v>
      </c>
      <c r="U458" s="2">
        <v>7.2910389000000006E-2</v>
      </c>
      <c r="V458" s="2">
        <v>6.4449844000000006E-2</v>
      </c>
      <c r="W458" s="2">
        <v>6.9372250999999996E-2</v>
      </c>
      <c r="X458" s="2">
        <v>6.3273530999999994E-2</v>
      </c>
      <c r="Y458" s="2">
        <v>7.1661382999999995E-2</v>
      </c>
      <c r="Z458" s="2">
        <v>5.2323178999999997E-2</v>
      </c>
      <c r="AA458" s="2">
        <v>3.6681062E-2</v>
      </c>
      <c r="AB458" s="2">
        <v>3.0545381999999999E-2</v>
      </c>
      <c r="AC458" s="2">
        <v>2.2970476E-2</v>
      </c>
      <c r="AD458" s="2">
        <v>1.2809365E-2</v>
      </c>
      <c r="AE458" s="2">
        <v>3.9425494999999998E-2</v>
      </c>
      <c r="AF458" s="2">
        <v>3.4921750000000001E-2</v>
      </c>
      <c r="AG458" s="2">
        <v>2.7701007E-2</v>
      </c>
      <c r="AH458" s="2">
        <v>2.3301079999999998E-2</v>
      </c>
      <c r="AI458" s="2">
        <v>4.2797927999999999E-2</v>
      </c>
      <c r="AJ458" s="2">
        <v>5.0899593999999999E-2</v>
      </c>
      <c r="AK458" s="2">
        <v>5.0044855999999999E-2</v>
      </c>
      <c r="AL458" s="2">
        <v>5.7309250999999999E-2</v>
      </c>
      <c r="AM458" s="2">
        <v>7.3153763999999996E-2</v>
      </c>
      <c r="AN458" s="2" t="s">
        <v>49</v>
      </c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</row>
    <row r="459" spans="1:51" x14ac:dyDescent="0.2">
      <c r="A459" s="4" t="s">
        <v>43</v>
      </c>
      <c r="B459" s="2">
        <v>2862</v>
      </c>
      <c r="C459" s="2">
        <v>2344</v>
      </c>
      <c r="D459" s="2">
        <v>2813.5</v>
      </c>
      <c r="E459" s="2">
        <v>694</v>
      </c>
      <c r="F459" s="2">
        <v>1643.5</v>
      </c>
      <c r="G459" s="2">
        <v>521.5</v>
      </c>
      <c r="H459" s="2">
        <v>1641.5</v>
      </c>
      <c r="I459" s="2">
        <v>313</v>
      </c>
      <c r="J459" s="2">
        <v>967.5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</row>
    <row r="460" spans="1:51" x14ac:dyDescent="0.2">
      <c r="A460" s="4"/>
      <c r="B460" s="2">
        <v>18.863199999999999</v>
      </c>
      <c r="C460" s="2">
        <v>21.623159999999999</v>
      </c>
      <c r="D460" s="2">
        <v>21.957740000000001</v>
      </c>
      <c r="E460" s="2">
        <v>22.835909999999998</v>
      </c>
      <c r="F460" s="2">
        <v>31.478899999999999</v>
      </c>
      <c r="G460" s="2">
        <v>45.951329999999999</v>
      </c>
      <c r="H460" s="2">
        <v>46.334380000000003</v>
      </c>
      <c r="I460" s="2">
        <v>36.070970000000003</v>
      </c>
      <c r="J460" s="2">
        <v>29.14509</v>
      </c>
      <c r="K460" s="2">
        <v>19.049050000000001</v>
      </c>
      <c r="L460" s="2">
        <v>10.851459999999999</v>
      </c>
      <c r="M460" s="2">
        <v>5.993436</v>
      </c>
      <c r="N460" s="2">
        <v>6.3328860000000002</v>
      </c>
      <c r="O460" s="2">
        <v>8.7988700000000009</v>
      </c>
      <c r="P460" s="2">
        <v>10.53623</v>
      </c>
      <c r="Q460" s="2">
        <v>21.156700000000001</v>
      </c>
      <c r="R460" s="2">
        <v>26.317150000000002</v>
      </c>
      <c r="S460" s="2">
        <v>19.332139999999999</v>
      </c>
      <c r="T460" s="2">
        <v>13.494109999999999</v>
      </c>
      <c r="U460" s="2">
        <v>10.370570000000001</v>
      </c>
      <c r="V460" s="2">
        <v>15.03426</v>
      </c>
      <c r="W460" s="2">
        <v>22.251750000000001</v>
      </c>
      <c r="X460" s="2">
        <v>15.94993</v>
      </c>
      <c r="Y460" s="2">
        <v>4.8501729999999998</v>
      </c>
      <c r="Z460" s="2">
        <v>1.4494119999999999</v>
      </c>
      <c r="AA460" s="2">
        <v>7.0566180000000003</v>
      </c>
      <c r="AB460" s="2">
        <v>10.06643</v>
      </c>
      <c r="AC460" s="2">
        <v>12.900829999999999</v>
      </c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</row>
    <row r="461" spans="1:51" x14ac:dyDescent="0.2">
      <c r="A461" s="4" t="s">
        <v>36</v>
      </c>
      <c r="B461" s="2">
        <v>0.83853921899999995</v>
      </c>
      <c r="C461" s="2">
        <v>1.0087619809999999</v>
      </c>
      <c r="D461" s="2">
        <v>1.1103036639999999</v>
      </c>
      <c r="E461" s="2">
        <v>0.87362482600000002</v>
      </c>
      <c r="F461" s="2">
        <v>1.163966198</v>
      </c>
      <c r="G461" s="2">
        <v>1.650875893</v>
      </c>
      <c r="H461" s="2">
        <v>0.82120867900000005</v>
      </c>
      <c r="I461" s="2">
        <v>0.301233152</v>
      </c>
      <c r="J461" s="2">
        <v>0.55603542100000003</v>
      </c>
      <c r="K461" s="2">
        <v>1.4286530770000001</v>
      </c>
      <c r="L461" s="2">
        <v>1.2665843670000001</v>
      </c>
      <c r="M461" s="2">
        <v>0.56291295900000005</v>
      </c>
      <c r="N461" s="2">
        <v>0.78944499499999998</v>
      </c>
      <c r="O461" s="2">
        <v>0.63962658900000002</v>
      </c>
      <c r="P461" s="2">
        <v>0.55374900599999999</v>
      </c>
      <c r="Q461" s="2">
        <v>0.730552066</v>
      </c>
      <c r="R461" s="2">
        <v>2.0101032079999999</v>
      </c>
      <c r="S461" s="2">
        <v>3.582488031</v>
      </c>
      <c r="T461" s="2">
        <v>2.3512000670000002</v>
      </c>
      <c r="U461" s="2" t="s">
        <v>49</v>
      </c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</row>
    <row r="462" spans="1:51" x14ac:dyDescent="0.2">
      <c r="A462" s="4" t="s">
        <v>37</v>
      </c>
      <c r="B462" s="2">
        <v>316.98949599999997</v>
      </c>
      <c r="C462" s="2">
        <v>283.469516</v>
      </c>
      <c r="D462" s="2">
        <v>173.44878879999999</v>
      </c>
      <c r="E462" s="2">
        <v>142.4773452</v>
      </c>
      <c r="F462" s="2">
        <v>124.79133229999999</v>
      </c>
      <c r="G462" s="2">
        <v>152.4765343</v>
      </c>
      <c r="H462" s="2">
        <v>147.49605700000001</v>
      </c>
      <c r="I462" s="2">
        <v>236.86647389999999</v>
      </c>
      <c r="J462" s="2">
        <v>156.3649408</v>
      </c>
      <c r="K462" s="2">
        <v>190.10065</v>
      </c>
      <c r="L462" s="2">
        <v>174.69479680000001</v>
      </c>
      <c r="M462" s="2">
        <v>221.43671670000001</v>
      </c>
      <c r="N462" s="2" t="s">
        <v>49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</row>
    <row r="463" spans="1:51" x14ac:dyDescent="0.2">
      <c r="A463" s="4" t="s">
        <v>38</v>
      </c>
      <c r="B463" s="2" t="s">
        <v>50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</row>
    <row r="464" spans="1:51" x14ac:dyDescent="0.2">
      <c r="A464" s="4" t="s">
        <v>39</v>
      </c>
      <c r="B464" s="2">
        <v>13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</row>
    <row r="465" spans="1:51" x14ac:dyDescent="0.2">
      <c r="A465" s="4" t="s">
        <v>40</v>
      </c>
      <c r="B465" s="2">
        <v>15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</row>
    <row r="466" spans="1:51" x14ac:dyDescent="0.2">
      <c r="A466" s="4" t="s">
        <v>41</v>
      </c>
      <c r="B466" s="2">
        <v>0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</row>
    <row r="467" spans="1:51" x14ac:dyDescent="0.2">
      <c r="A467" s="4" t="s">
        <v>42</v>
      </c>
      <c r="B467" s="2">
        <v>6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</row>
    <row r="468" spans="1:51" x14ac:dyDescent="0.2">
      <c r="A468" s="4" t="s">
        <v>43</v>
      </c>
      <c r="B468" s="2">
        <v>0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</row>
    <row r="469" spans="1:51" x14ac:dyDescent="0.2">
      <c r="A469" s="4"/>
      <c r="B469" s="2">
        <v>0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</row>
    <row r="470" spans="1:51" x14ac:dyDescent="0.2">
      <c r="A470" s="4" t="s">
        <v>36</v>
      </c>
      <c r="B470" s="2">
        <v>0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</row>
    <row r="471" spans="1:51" x14ac:dyDescent="0.2">
      <c r="A471" s="4" t="s">
        <v>37</v>
      </c>
      <c r="B471" s="2" t="s">
        <v>51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</row>
    <row r="472" spans="1:51" x14ac:dyDescent="0.2">
      <c r="A472" s="4" t="s">
        <v>38</v>
      </c>
      <c r="B472" s="2">
        <v>0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</row>
    <row r="473" spans="1:51" x14ac:dyDescent="0.2">
      <c r="A473" s="4" t="s">
        <v>39</v>
      </c>
      <c r="B473" s="2">
        <v>0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</row>
    <row r="474" spans="1:51" x14ac:dyDescent="0.2">
      <c r="A474" s="4" t="s">
        <v>40</v>
      </c>
      <c r="B474" s="2">
        <v>0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</row>
    <row r="475" spans="1:51" x14ac:dyDescent="0.2">
      <c r="A475" s="4" t="s">
        <v>41</v>
      </c>
      <c r="B475" s="2">
        <v>0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</row>
    <row r="476" spans="1:51" x14ac:dyDescent="0.2">
      <c r="A476" s="4" t="s">
        <v>42</v>
      </c>
      <c r="B476" s="2">
        <v>0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</row>
    <row r="477" spans="1:51" x14ac:dyDescent="0.2">
      <c r="A477" s="4" t="s">
        <v>43</v>
      </c>
      <c r="B477" s="2">
        <v>0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</row>
    <row r="478" spans="1:51" x14ac:dyDescent="0.2">
      <c r="A478" s="4"/>
      <c r="B478" s="2">
        <v>0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</row>
    <row r="479" spans="1:51" x14ac:dyDescent="0.2">
      <c r="A479" s="4"/>
      <c r="B479" s="2" t="s">
        <v>52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</row>
    <row r="480" spans="1:51" x14ac:dyDescent="0.2">
      <c r="A480" s="4" t="s">
        <v>54</v>
      </c>
      <c r="B480" s="2" t="s">
        <v>53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</row>
    <row r="481" spans="1:51" x14ac:dyDescent="0.2">
      <c r="A481" s="4" t="s">
        <v>55</v>
      </c>
      <c r="B481" s="2">
        <v>1997</v>
      </c>
      <c r="C481" s="2">
        <v>1998</v>
      </c>
      <c r="D481" s="2">
        <v>1999</v>
      </c>
      <c r="E481" s="2">
        <v>2000</v>
      </c>
      <c r="F481" s="2">
        <v>2001</v>
      </c>
      <c r="G481" s="2">
        <v>2002</v>
      </c>
      <c r="H481" s="2">
        <v>2003</v>
      </c>
      <c r="I481" s="2">
        <v>2004</v>
      </c>
      <c r="J481" s="2">
        <v>2005</v>
      </c>
      <c r="K481" s="2">
        <v>2006</v>
      </c>
      <c r="L481" s="2">
        <v>2007</v>
      </c>
      <c r="M481" s="2">
        <v>2008</v>
      </c>
      <c r="N481" s="2">
        <v>2009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</row>
    <row r="482" spans="1:51" x14ac:dyDescent="0.2">
      <c r="A482" s="4" t="s">
        <v>56</v>
      </c>
      <c r="B482" s="2">
        <v>2006</v>
      </c>
      <c r="C482" s="2">
        <v>2007</v>
      </c>
      <c r="D482" s="2">
        <v>2008</v>
      </c>
      <c r="E482" s="2">
        <v>2009</v>
      </c>
      <c r="F482" s="2">
        <v>2010</v>
      </c>
      <c r="G482" s="2">
        <v>2011</v>
      </c>
      <c r="H482" s="2">
        <v>2012</v>
      </c>
      <c r="I482" s="2">
        <v>2013</v>
      </c>
      <c r="J482" s="2">
        <v>2014</v>
      </c>
      <c r="K482" s="2">
        <v>2015</v>
      </c>
      <c r="L482" s="2">
        <v>2016</v>
      </c>
      <c r="M482" s="2">
        <v>2017</v>
      </c>
      <c r="N482" s="2">
        <v>2018</v>
      </c>
      <c r="O482" s="2">
        <v>2019</v>
      </c>
      <c r="P482" s="2">
        <v>2020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</row>
    <row r="483" spans="1:51" x14ac:dyDescent="0.2">
      <c r="A483" s="4"/>
      <c r="B483" s="2">
        <v>2001</v>
      </c>
      <c r="C483" s="2">
        <v>2003</v>
      </c>
      <c r="D483" s="2">
        <v>2004</v>
      </c>
      <c r="E483" s="2">
        <v>2005</v>
      </c>
      <c r="F483" s="2">
        <v>2006</v>
      </c>
      <c r="G483" s="2">
        <v>2008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</row>
    <row r="484" spans="1:51" x14ac:dyDescent="0.2">
      <c r="A484" s="4" t="s">
        <v>54</v>
      </c>
      <c r="B484" s="2" t="s">
        <v>57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</row>
    <row r="485" spans="1:51" x14ac:dyDescent="0.2">
      <c r="A485" s="4" t="s">
        <v>55</v>
      </c>
      <c r="B485" s="2">
        <v>4.0710947549999998</v>
      </c>
      <c r="C485" s="2">
        <v>4.0710947549999998</v>
      </c>
      <c r="D485" s="2">
        <v>4.0710947549999998</v>
      </c>
      <c r="E485" s="2">
        <v>4.0710947549999998</v>
      </c>
      <c r="F485" s="2">
        <v>4.0710947549999998</v>
      </c>
      <c r="G485" s="2">
        <v>4.0710947549999998</v>
      </c>
      <c r="H485" s="2">
        <v>4.0710947549999998</v>
      </c>
      <c r="I485" s="2">
        <v>4.0710947549999998</v>
      </c>
      <c r="J485" s="2">
        <v>4.0710947549999998</v>
      </c>
      <c r="K485" s="2">
        <v>4.0710947549999998</v>
      </c>
      <c r="L485" s="2">
        <v>4.0710947549999998</v>
      </c>
      <c r="M485" s="2">
        <v>4.0710947549999998</v>
      </c>
      <c r="N485" s="2">
        <v>4.0710947549999998</v>
      </c>
      <c r="O485" s="2"/>
      <c r="P485" s="2" t="s">
        <v>58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</row>
    <row r="486" spans="1:51" x14ac:dyDescent="0.2">
      <c r="A486" s="4" t="s">
        <v>56</v>
      </c>
      <c r="B486" s="2">
        <v>5.3689065149999999</v>
      </c>
      <c r="C486" s="2">
        <v>5.3689065149999999</v>
      </c>
      <c r="D486" s="2">
        <v>5.3689065149999999</v>
      </c>
      <c r="E486" s="2">
        <v>5.3689065149999999</v>
      </c>
      <c r="F486" s="2">
        <v>5.3689065149999999</v>
      </c>
      <c r="G486" s="2">
        <v>5.3689065149999999</v>
      </c>
      <c r="H486" s="2">
        <v>5.3689065149999999</v>
      </c>
      <c r="I486" s="2">
        <v>5.3689065149999999</v>
      </c>
      <c r="J486" s="2">
        <v>5.3689065149999999</v>
      </c>
      <c r="K486" s="2">
        <v>5.3689065149999999</v>
      </c>
      <c r="L486" s="2">
        <v>5.3689065149999999</v>
      </c>
      <c r="M486" s="2">
        <v>5.3689065149999999</v>
      </c>
      <c r="N486" s="2">
        <v>5.3689065149999999</v>
      </c>
      <c r="O486" s="2">
        <v>5.3689065149999999</v>
      </c>
      <c r="P486" s="2">
        <v>5.3689065149999999</v>
      </c>
      <c r="Q486" s="2" t="s">
        <v>59</v>
      </c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</row>
    <row r="487" spans="1:51" x14ac:dyDescent="0.2">
      <c r="A487" s="4"/>
      <c r="B487" s="2">
        <v>26.088700119999999</v>
      </c>
      <c r="C487" s="2">
        <v>26.088700119999999</v>
      </c>
      <c r="D487" s="2">
        <v>26.088700119999999</v>
      </c>
      <c r="E487" s="2">
        <v>26.088700119999999</v>
      </c>
      <c r="F487" s="2">
        <v>26.088700119999999</v>
      </c>
      <c r="G487" s="2">
        <v>26.088700119999999</v>
      </c>
      <c r="H487" s="2"/>
      <c r="I487" s="2"/>
      <c r="J487" s="2"/>
      <c r="K487" s="2"/>
      <c r="L487" s="2"/>
      <c r="M487" s="2"/>
      <c r="N487" s="2"/>
      <c r="O487" s="2"/>
      <c r="P487" s="2" t="s">
        <v>60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</row>
    <row r="488" spans="1:51" x14ac:dyDescent="0.2">
      <c r="A488" s="4" t="s">
        <v>62</v>
      </c>
      <c r="B488" s="2" t="s">
        <v>61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</row>
    <row r="489" spans="1:51" x14ac:dyDescent="0.2">
      <c r="A489" s="4">
        <v>1998</v>
      </c>
      <c r="B489" s="2">
        <v>74</v>
      </c>
      <c r="C489" s="2">
        <v>265</v>
      </c>
      <c r="D489" s="2">
        <v>7857</v>
      </c>
      <c r="E489" s="2">
        <v>8492</v>
      </c>
      <c r="F489" s="2">
        <v>2422</v>
      </c>
      <c r="G489" s="2">
        <v>668</v>
      </c>
      <c r="H489" s="2">
        <v>131</v>
      </c>
      <c r="I489" s="2">
        <v>115</v>
      </c>
      <c r="J489" s="2">
        <v>128</v>
      </c>
      <c r="K489" s="2">
        <v>75</v>
      </c>
      <c r="L489" s="2">
        <v>76</v>
      </c>
      <c r="M489" s="2">
        <v>95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</row>
    <row r="490" spans="1:51" x14ac:dyDescent="0.2">
      <c r="A490" s="4">
        <v>1999</v>
      </c>
      <c r="B490" s="2">
        <v>3</v>
      </c>
      <c r="C490" s="2">
        <v>119</v>
      </c>
      <c r="D490" s="2">
        <v>10599</v>
      </c>
      <c r="E490" s="2">
        <v>9851</v>
      </c>
      <c r="F490" s="2">
        <v>912</v>
      </c>
      <c r="G490" s="2">
        <v>236</v>
      </c>
      <c r="H490" s="2">
        <v>142</v>
      </c>
      <c r="I490" s="2">
        <v>241</v>
      </c>
      <c r="J490" s="2">
        <v>166</v>
      </c>
      <c r="K490" s="2">
        <v>24</v>
      </c>
      <c r="L490" s="2">
        <v>4</v>
      </c>
      <c r="M490" s="2">
        <v>6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</row>
    <row r="491" spans="1:51" x14ac:dyDescent="0.2">
      <c r="A491" s="4">
        <v>2000</v>
      </c>
      <c r="B491" s="2">
        <v>0</v>
      </c>
      <c r="C491" s="2">
        <v>365</v>
      </c>
      <c r="D491" s="2">
        <v>5368</v>
      </c>
      <c r="E491" s="2">
        <v>7891</v>
      </c>
      <c r="F491" s="2">
        <v>1963</v>
      </c>
      <c r="G491" s="2">
        <v>1014</v>
      </c>
      <c r="H491" s="2">
        <v>377</v>
      </c>
      <c r="I491" s="2">
        <v>194</v>
      </c>
      <c r="J491" s="2">
        <v>500</v>
      </c>
      <c r="K491" s="2">
        <v>357</v>
      </c>
      <c r="L491" s="2">
        <v>212</v>
      </c>
      <c r="M491" s="2">
        <v>63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</row>
    <row r="492" spans="1:51" x14ac:dyDescent="0.2">
      <c r="A492" s="4">
        <v>2001</v>
      </c>
      <c r="B492" s="2">
        <v>0</v>
      </c>
      <c r="C492" s="2">
        <v>0</v>
      </c>
      <c r="D492" s="2">
        <v>2529</v>
      </c>
      <c r="E492" s="2">
        <v>11296</v>
      </c>
      <c r="F492" s="2">
        <v>7864</v>
      </c>
      <c r="G492" s="2">
        <v>2787</v>
      </c>
      <c r="H492" s="2">
        <v>567</v>
      </c>
      <c r="I492" s="2">
        <v>113</v>
      </c>
      <c r="J492" s="2">
        <v>42</v>
      </c>
      <c r="K492" s="2">
        <v>20</v>
      </c>
      <c r="L492" s="2">
        <v>16</v>
      </c>
      <c r="M492" s="2">
        <v>20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</row>
    <row r="493" spans="1:51" x14ac:dyDescent="0.2">
      <c r="A493" s="4">
        <v>2002</v>
      </c>
      <c r="B493" s="2">
        <v>0</v>
      </c>
      <c r="C493" s="2">
        <v>280</v>
      </c>
      <c r="D493" s="2">
        <v>6596</v>
      </c>
      <c r="E493" s="2">
        <v>14354</v>
      </c>
      <c r="F493" s="2">
        <v>7124</v>
      </c>
      <c r="G493" s="2">
        <v>1792</v>
      </c>
      <c r="H493" s="2">
        <v>428</v>
      </c>
      <c r="I493" s="2">
        <v>241</v>
      </c>
      <c r="J493" s="2">
        <v>177</v>
      </c>
      <c r="K493" s="2">
        <v>103</v>
      </c>
      <c r="L493" s="2">
        <v>44</v>
      </c>
      <c r="M493" s="2">
        <v>7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</row>
    <row r="494" spans="1:51" x14ac:dyDescent="0.2">
      <c r="A494" s="4">
        <v>2003</v>
      </c>
      <c r="B494" s="2">
        <v>0</v>
      </c>
      <c r="C494" s="2">
        <v>1</v>
      </c>
      <c r="D494" s="2">
        <v>498</v>
      </c>
      <c r="E494" s="2">
        <v>2217</v>
      </c>
      <c r="F494" s="2">
        <v>1833</v>
      </c>
      <c r="G494" s="2">
        <v>2363</v>
      </c>
      <c r="H494" s="2">
        <v>565</v>
      </c>
      <c r="I494" s="2">
        <v>280</v>
      </c>
      <c r="J494" s="2">
        <v>80</v>
      </c>
      <c r="K494" s="2">
        <v>21</v>
      </c>
      <c r="L494" s="2">
        <v>7</v>
      </c>
      <c r="M494" s="2">
        <v>2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</row>
    <row r="495" spans="1:51" x14ac:dyDescent="0.2">
      <c r="A495" s="4">
        <v>2004</v>
      </c>
      <c r="B495" s="2">
        <v>0</v>
      </c>
      <c r="C495" s="2">
        <v>1</v>
      </c>
      <c r="D495" s="2">
        <v>276</v>
      </c>
      <c r="E495" s="2">
        <v>2132</v>
      </c>
      <c r="F495" s="2">
        <v>3089</v>
      </c>
      <c r="G495" s="2">
        <v>2343</v>
      </c>
      <c r="H495" s="2">
        <v>680</v>
      </c>
      <c r="I495" s="2">
        <v>200</v>
      </c>
      <c r="J495" s="2">
        <v>156</v>
      </c>
      <c r="K495" s="2">
        <v>115</v>
      </c>
      <c r="L495" s="2">
        <v>54</v>
      </c>
      <c r="M495" s="2">
        <v>41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</row>
    <row r="496" spans="1:51" x14ac:dyDescent="0.2">
      <c r="A496" s="4">
        <v>2005</v>
      </c>
      <c r="B496" s="2">
        <v>0</v>
      </c>
      <c r="C496" s="2">
        <v>0</v>
      </c>
      <c r="D496" s="2">
        <v>120</v>
      </c>
      <c r="E496" s="2">
        <v>662</v>
      </c>
      <c r="F496" s="2">
        <v>1833</v>
      </c>
      <c r="G496" s="2">
        <v>2277</v>
      </c>
      <c r="H496" s="2">
        <v>1709</v>
      </c>
      <c r="I496" s="2">
        <v>1128</v>
      </c>
      <c r="J496" s="2">
        <v>910</v>
      </c>
      <c r="K496" s="2">
        <v>893</v>
      </c>
      <c r="L496" s="2">
        <v>320</v>
      </c>
      <c r="M496" s="2">
        <v>62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</row>
    <row r="497" spans="1:51" x14ac:dyDescent="0.2">
      <c r="A497" s="4">
        <v>2006</v>
      </c>
      <c r="B497" s="2">
        <v>0</v>
      </c>
      <c r="C497" s="2">
        <v>0</v>
      </c>
      <c r="D497" s="2">
        <v>0</v>
      </c>
      <c r="E497" s="2">
        <v>1210</v>
      </c>
      <c r="F497" s="2">
        <v>2670</v>
      </c>
      <c r="G497" s="2">
        <v>5250</v>
      </c>
      <c r="H497" s="2">
        <v>2377</v>
      </c>
      <c r="I497" s="2">
        <v>701</v>
      </c>
      <c r="J497" s="2">
        <v>320</v>
      </c>
      <c r="K497" s="2">
        <v>64</v>
      </c>
      <c r="L497" s="2">
        <v>82</v>
      </c>
      <c r="M497" s="2">
        <v>188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</row>
    <row r="498" spans="1:51" x14ac:dyDescent="0.2">
      <c r="A498" s="4">
        <v>2007</v>
      </c>
      <c r="B498" s="2">
        <v>0</v>
      </c>
      <c r="C498" s="2">
        <v>0</v>
      </c>
      <c r="D498" s="2">
        <v>0</v>
      </c>
      <c r="E498" s="2">
        <v>12</v>
      </c>
      <c r="F498" s="2">
        <v>1799</v>
      </c>
      <c r="G498" s="2">
        <v>4266</v>
      </c>
      <c r="H498" s="2">
        <v>2625</v>
      </c>
      <c r="I498" s="2">
        <v>511</v>
      </c>
      <c r="J498" s="2">
        <v>322</v>
      </c>
      <c r="K498" s="2">
        <v>188</v>
      </c>
      <c r="L498" s="2">
        <v>110</v>
      </c>
      <c r="M498" s="2">
        <v>70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</row>
    <row r="499" spans="1:51" x14ac:dyDescent="0.2">
      <c r="A499" s="4">
        <v>2008</v>
      </c>
      <c r="B499" s="2">
        <v>0</v>
      </c>
      <c r="C499" s="2">
        <v>0</v>
      </c>
      <c r="D499" s="2">
        <v>0</v>
      </c>
      <c r="E499" s="2">
        <v>0</v>
      </c>
      <c r="F499" s="2">
        <v>1</v>
      </c>
      <c r="G499" s="2">
        <v>339</v>
      </c>
      <c r="H499" s="2">
        <v>1113</v>
      </c>
      <c r="I499" s="2">
        <v>1058</v>
      </c>
      <c r="J499" s="2">
        <v>976</v>
      </c>
      <c r="K499" s="2">
        <v>869</v>
      </c>
      <c r="L499" s="2">
        <v>439</v>
      </c>
      <c r="M499" s="2">
        <v>411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</row>
    <row r="500" spans="1:51" x14ac:dyDescent="0.2">
      <c r="A500" s="4">
        <v>2009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96</v>
      </c>
      <c r="H500" s="2">
        <v>317</v>
      </c>
      <c r="I500" s="2">
        <v>256</v>
      </c>
      <c r="J500" s="2">
        <v>117</v>
      </c>
      <c r="K500" s="2">
        <v>87</v>
      </c>
      <c r="L500" s="2">
        <v>34</v>
      </c>
      <c r="M500" s="2">
        <v>49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</row>
    <row r="501" spans="1:51" x14ac:dyDescent="0.2">
      <c r="A501" s="4" t="s">
        <v>63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7</v>
      </c>
      <c r="I501" s="2">
        <v>265</v>
      </c>
      <c r="J501" s="2">
        <v>169</v>
      </c>
      <c r="K501" s="2">
        <v>143</v>
      </c>
      <c r="L501" s="2">
        <v>127</v>
      </c>
      <c r="M501" s="2">
        <v>98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</row>
    <row r="502" spans="1:51" x14ac:dyDescent="0.2">
      <c r="A502" s="4">
        <v>2007</v>
      </c>
      <c r="B502" s="2">
        <v>116822</v>
      </c>
      <c r="C502" s="2">
        <v>403538</v>
      </c>
      <c r="D502" s="2">
        <v>272612</v>
      </c>
      <c r="E502" s="2">
        <v>154651</v>
      </c>
      <c r="F502" s="2">
        <v>21715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</row>
    <row r="503" spans="1:51" x14ac:dyDescent="0.2">
      <c r="A503" s="4">
        <v>2008</v>
      </c>
      <c r="B503" s="2">
        <v>273</v>
      </c>
      <c r="C503" s="2">
        <v>69043</v>
      </c>
      <c r="D503" s="2">
        <v>241335</v>
      </c>
      <c r="E503" s="2">
        <v>755691</v>
      </c>
      <c r="F503" s="2">
        <v>292140</v>
      </c>
      <c r="G503" s="2">
        <v>19746</v>
      </c>
      <c r="H503" s="2">
        <v>2980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</row>
    <row r="504" spans="1:51" x14ac:dyDescent="0.2">
      <c r="A504" s="4">
        <v>2009</v>
      </c>
      <c r="B504" s="2">
        <v>14998</v>
      </c>
      <c r="C504" s="2">
        <v>1664458</v>
      </c>
      <c r="D504" s="2">
        <v>1622848</v>
      </c>
      <c r="E504" s="2">
        <v>41648</v>
      </c>
      <c r="F504" s="2">
        <v>45795</v>
      </c>
      <c r="G504" s="2">
        <v>16174</v>
      </c>
      <c r="H504" s="2">
        <v>145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</row>
    <row r="505" spans="1:51" x14ac:dyDescent="0.2">
      <c r="A505" s="4">
        <v>2010</v>
      </c>
      <c r="B505" s="2">
        <v>0</v>
      </c>
      <c r="C505" s="2">
        <v>54510</v>
      </c>
      <c r="D505" s="2">
        <v>55714</v>
      </c>
      <c r="E505" s="2">
        <v>20943</v>
      </c>
      <c r="F505" s="2">
        <v>392</v>
      </c>
      <c r="G505" s="2">
        <v>721</v>
      </c>
      <c r="H505" s="2">
        <v>129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</row>
    <row r="506" spans="1:51" x14ac:dyDescent="0.2">
      <c r="A506" s="4">
        <v>2011</v>
      </c>
      <c r="B506" s="2">
        <v>0</v>
      </c>
      <c r="C506" s="2">
        <v>10321</v>
      </c>
      <c r="D506" s="2">
        <v>175262</v>
      </c>
      <c r="E506" s="2">
        <v>1671927</v>
      </c>
      <c r="F506" s="2">
        <v>401742</v>
      </c>
      <c r="G506" s="2">
        <v>79272</v>
      </c>
      <c r="H506" s="2">
        <v>20972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</row>
    <row r="507" spans="1:51" x14ac:dyDescent="0.2">
      <c r="A507" s="4">
        <v>2012</v>
      </c>
      <c r="B507" s="2">
        <v>0</v>
      </c>
      <c r="C507" s="2">
        <v>764206</v>
      </c>
      <c r="D507" s="2">
        <v>350733</v>
      </c>
      <c r="E507" s="2">
        <v>1429044</v>
      </c>
      <c r="F507" s="2">
        <v>103679</v>
      </c>
      <c r="G507" s="2">
        <v>144140</v>
      </c>
      <c r="H507" s="2">
        <v>37702</v>
      </c>
      <c r="I507" s="2">
        <v>2300</v>
      </c>
      <c r="J507" s="2">
        <v>0</v>
      </c>
      <c r="K507" s="2">
        <v>0</v>
      </c>
      <c r="L507" s="2">
        <v>0</v>
      </c>
      <c r="M507" s="2">
        <v>0</v>
      </c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</row>
    <row r="508" spans="1:51" x14ac:dyDescent="0.2">
      <c r="A508" s="4">
        <v>2013</v>
      </c>
      <c r="B508" s="2">
        <v>721</v>
      </c>
      <c r="C508" s="2">
        <v>538523</v>
      </c>
      <c r="D508" s="2">
        <v>63430</v>
      </c>
      <c r="E508" s="2">
        <v>214664</v>
      </c>
      <c r="F508" s="2">
        <v>307532</v>
      </c>
      <c r="G508" s="2">
        <v>116579</v>
      </c>
      <c r="H508" s="2">
        <v>9419</v>
      </c>
      <c r="I508" s="2">
        <v>779</v>
      </c>
      <c r="J508" s="2">
        <v>0</v>
      </c>
      <c r="K508" s="2">
        <v>0</v>
      </c>
      <c r="L508" s="2">
        <v>0</v>
      </c>
      <c r="M508" s="2">
        <v>0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</row>
    <row r="509" spans="1:51" x14ac:dyDescent="0.2">
      <c r="A509" s="4">
        <v>2014</v>
      </c>
      <c r="B509" s="2">
        <v>83292</v>
      </c>
      <c r="C509" s="2">
        <v>269344</v>
      </c>
      <c r="D509" s="2">
        <v>16908</v>
      </c>
      <c r="E509" s="2">
        <v>134710</v>
      </c>
      <c r="F509" s="2">
        <v>128512</v>
      </c>
      <c r="G509" s="2">
        <v>114395</v>
      </c>
      <c r="H509" s="2">
        <v>29374</v>
      </c>
      <c r="I509" s="2">
        <v>4131</v>
      </c>
      <c r="J509" s="2">
        <v>0</v>
      </c>
      <c r="K509" s="2">
        <v>0</v>
      </c>
      <c r="L509" s="2">
        <v>0</v>
      </c>
      <c r="M509" s="2">
        <v>0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</row>
    <row r="510" spans="1:51" x14ac:dyDescent="0.2">
      <c r="A510" s="4">
        <v>2015</v>
      </c>
      <c r="B510" s="2">
        <v>473762</v>
      </c>
      <c r="C510" s="2">
        <v>1040247</v>
      </c>
      <c r="D510" s="2">
        <v>14319</v>
      </c>
      <c r="E510" s="2">
        <v>20965</v>
      </c>
      <c r="F510" s="2">
        <v>5207</v>
      </c>
      <c r="G510" s="2">
        <v>19510</v>
      </c>
      <c r="H510" s="2">
        <v>12090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</row>
    <row r="511" spans="1:51" x14ac:dyDescent="0.2">
      <c r="A511" s="4">
        <v>2016</v>
      </c>
      <c r="B511" s="2">
        <v>0.62461889999999998</v>
      </c>
      <c r="C511" s="2">
        <v>9.7500920000000005E-2</v>
      </c>
      <c r="D511" s="2">
        <v>5.251654E-2</v>
      </c>
      <c r="E511" s="2">
        <v>0.15255179999999999</v>
      </c>
      <c r="F511" s="2">
        <v>4.1368990000000001E-2</v>
      </c>
      <c r="G511" s="2">
        <v>2.3896150000000001E-2</v>
      </c>
      <c r="H511" s="2">
        <v>6.9288370000000002E-3</v>
      </c>
      <c r="I511" s="2">
        <v>3.9702500000000001E-4</v>
      </c>
      <c r="J511" s="2">
        <v>2.2079900000000001E-4</v>
      </c>
      <c r="K511" s="2">
        <v>0</v>
      </c>
      <c r="L511" s="2">
        <v>0</v>
      </c>
      <c r="M511" s="2">
        <v>0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</row>
    <row r="512" spans="1:51" x14ac:dyDescent="0.2">
      <c r="A512" s="4">
        <v>2017</v>
      </c>
      <c r="B512" s="2">
        <v>0.69671726</v>
      </c>
      <c r="C512" s="2">
        <v>4.0761060000000002E-2</v>
      </c>
      <c r="D512" s="2">
        <v>0.10400300699999999</v>
      </c>
      <c r="E512" s="2">
        <v>9.9386774999999997E-2</v>
      </c>
      <c r="F512" s="2">
        <v>3.6418613000000002E-2</v>
      </c>
      <c r="G512" s="2">
        <v>1.1740448000000001E-2</v>
      </c>
      <c r="H512" s="2">
        <v>4.7630249999999997E-3</v>
      </c>
      <c r="I512" s="2">
        <v>4.3789220000000004E-3</v>
      </c>
      <c r="J512" s="2">
        <v>1.167792E-3</v>
      </c>
      <c r="K512" s="2">
        <v>0</v>
      </c>
      <c r="L512" s="2">
        <v>6.63099E-4</v>
      </c>
      <c r="M512" s="2">
        <v>0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</row>
    <row r="513" spans="1:51" x14ac:dyDescent="0.2">
      <c r="A513" s="4">
        <v>2018</v>
      </c>
      <c r="B513" s="2">
        <v>1659934856</v>
      </c>
      <c r="C513" s="2">
        <v>4852624453</v>
      </c>
      <c r="D513" s="2">
        <v>603616527.39999998</v>
      </c>
      <c r="E513" s="2">
        <v>844897714.39999998</v>
      </c>
      <c r="F513" s="2">
        <v>461500302.69999999</v>
      </c>
      <c r="G513" s="2">
        <v>87949909.730000004</v>
      </c>
      <c r="H513" s="2">
        <v>11702777.42</v>
      </c>
      <c r="I513" s="2">
        <v>0</v>
      </c>
      <c r="J513" s="2">
        <v>4504618.3140000002</v>
      </c>
      <c r="K513" s="2">
        <v>0</v>
      </c>
      <c r="L513" s="2">
        <v>0</v>
      </c>
      <c r="M513" s="2">
        <v>0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</row>
    <row r="514" spans="1:51" x14ac:dyDescent="0.2">
      <c r="A514" s="4">
        <v>2019</v>
      </c>
      <c r="B514" s="2">
        <v>7852188</v>
      </c>
      <c r="C514" s="2">
        <v>1547867</v>
      </c>
      <c r="D514" s="2">
        <v>176582</v>
      </c>
      <c r="E514" s="2">
        <v>329996</v>
      </c>
      <c r="F514" s="2">
        <v>107735</v>
      </c>
      <c r="G514" s="2">
        <v>21123</v>
      </c>
      <c r="H514" s="2">
        <v>10351</v>
      </c>
      <c r="I514" s="2">
        <v>3951</v>
      </c>
      <c r="J514" s="2">
        <v>3092</v>
      </c>
      <c r="K514" s="2">
        <v>855</v>
      </c>
      <c r="L514" s="2">
        <v>0</v>
      </c>
      <c r="M514" s="2">
        <v>0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</row>
    <row r="515" spans="1:51" x14ac:dyDescent="0.2">
      <c r="A515" s="4" t="s">
        <v>64</v>
      </c>
      <c r="B515" s="2">
        <v>321111.24930000002</v>
      </c>
      <c r="C515" s="2">
        <v>1037707.054</v>
      </c>
      <c r="D515" s="2">
        <v>1681739.5</v>
      </c>
      <c r="E515" s="2">
        <v>3357273.6170000001</v>
      </c>
      <c r="F515" s="2">
        <v>1702772.5009999999</v>
      </c>
      <c r="G515" s="2">
        <v>313053.1532</v>
      </c>
      <c r="H515" s="2">
        <v>98911.161989999993</v>
      </c>
      <c r="I515" s="2">
        <v>22145.128720000001</v>
      </c>
      <c r="J515" s="2">
        <v>6554.281164</v>
      </c>
      <c r="K515" s="2">
        <v>0</v>
      </c>
      <c r="L515" s="2">
        <v>0</v>
      </c>
      <c r="M515" s="2">
        <v>0</v>
      </c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</row>
    <row r="516" spans="1:51" x14ac:dyDescent="0.2">
      <c r="A516" s="4">
        <v>2003</v>
      </c>
      <c r="B516" s="2">
        <v>1719522.986</v>
      </c>
      <c r="C516" s="2">
        <v>358324.913</v>
      </c>
      <c r="D516" s="2">
        <v>121423.94929999999</v>
      </c>
      <c r="E516" s="2">
        <v>591882.41189999995</v>
      </c>
      <c r="F516" s="2">
        <v>2285598.6770000001</v>
      </c>
      <c r="G516" s="2">
        <v>2810449.6209999998</v>
      </c>
      <c r="H516" s="2">
        <v>973363.80119999999</v>
      </c>
      <c r="I516" s="2">
        <v>153178.1948</v>
      </c>
      <c r="J516" s="2">
        <v>0</v>
      </c>
      <c r="K516" s="2">
        <v>0</v>
      </c>
      <c r="L516" s="2">
        <v>0</v>
      </c>
      <c r="M516" s="2">
        <v>0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</row>
    <row r="517" spans="1:51" x14ac:dyDescent="0.2">
      <c r="A517" s="4">
        <v>2004</v>
      </c>
      <c r="B517" s="2">
        <v>0</v>
      </c>
      <c r="C517" s="2">
        <v>3787</v>
      </c>
      <c r="D517" s="2">
        <v>8944</v>
      </c>
      <c r="E517" s="2">
        <v>9208</v>
      </c>
      <c r="F517" s="2">
        <v>1436</v>
      </c>
      <c r="G517" s="2">
        <v>700</v>
      </c>
      <c r="H517" s="2">
        <v>420</v>
      </c>
      <c r="I517" s="2">
        <v>401</v>
      </c>
      <c r="J517" s="2">
        <v>182</v>
      </c>
      <c r="K517" s="2">
        <v>58</v>
      </c>
      <c r="L517" s="2">
        <v>14</v>
      </c>
      <c r="M517" s="2">
        <v>9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</row>
    <row r="518" spans="1:51" x14ac:dyDescent="0.2">
      <c r="A518" s="4">
        <v>2005</v>
      </c>
      <c r="B518" s="2">
        <v>0</v>
      </c>
      <c r="C518" s="2">
        <v>54</v>
      </c>
      <c r="D518" s="2">
        <v>529</v>
      </c>
      <c r="E518" s="2">
        <v>837</v>
      </c>
      <c r="F518" s="2">
        <v>336</v>
      </c>
      <c r="G518" s="2">
        <v>563</v>
      </c>
      <c r="H518" s="2">
        <v>398</v>
      </c>
      <c r="I518" s="2">
        <v>400</v>
      </c>
      <c r="J518" s="2">
        <v>219</v>
      </c>
      <c r="K518" s="2">
        <v>84</v>
      </c>
      <c r="L518" s="2">
        <v>35</v>
      </c>
      <c r="M518" s="2">
        <v>6</v>
      </c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</row>
    <row r="519" spans="1:51" x14ac:dyDescent="0.2">
      <c r="A519" s="4">
        <v>2006</v>
      </c>
      <c r="B519" s="2">
        <v>0</v>
      </c>
      <c r="C519" s="2">
        <v>122</v>
      </c>
      <c r="D519" s="2">
        <v>1217</v>
      </c>
      <c r="E519" s="2">
        <v>2801</v>
      </c>
      <c r="F519" s="2">
        <v>1511</v>
      </c>
      <c r="G519" s="2">
        <v>719</v>
      </c>
      <c r="H519" s="2">
        <v>405</v>
      </c>
      <c r="I519" s="2">
        <v>584</v>
      </c>
      <c r="J519" s="2">
        <v>376</v>
      </c>
      <c r="K519" s="2">
        <v>168</v>
      </c>
      <c r="L519" s="2">
        <v>66</v>
      </c>
      <c r="M519" s="2">
        <v>9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</row>
    <row r="520" spans="1:51" x14ac:dyDescent="0.2">
      <c r="A520" s="4">
        <v>2008</v>
      </c>
      <c r="B520" s="2">
        <v>0</v>
      </c>
      <c r="C520" s="2">
        <v>0</v>
      </c>
      <c r="D520" s="2">
        <v>0</v>
      </c>
      <c r="E520" s="2">
        <v>21</v>
      </c>
      <c r="F520" s="2">
        <v>1115</v>
      </c>
      <c r="G520" s="2">
        <v>718</v>
      </c>
      <c r="H520" s="2">
        <v>485</v>
      </c>
      <c r="I520" s="2">
        <v>336</v>
      </c>
      <c r="J520" s="2">
        <v>136</v>
      </c>
      <c r="K520" s="2">
        <v>94</v>
      </c>
      <c r="L520" s="2">
        <v>57</v>
      </c>
      <c r="M520" s="2">
        <v>0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</row>
    <row r="521" spans="1:51" x14ac:dyDescent="0.2">
      <c r="A521" s="4"/>
      <c r="B521" s="2">
        <v>0</v>
      </c>
      <c r="C521" s="2">
        <v>0</v>
      </c>
      <c r="D521" s="2">
        <v>6</v>
      </c>
      <c r="E521" s="2">
        <v>216</v>
      </c>
      <c r="F521" s="2">
        <v>1232</v>
      </c>
      <c r="G521" s="2">
        <v>1892</v>
      </c>
      <c r="H521" s="2">
        <v>1473</v>
      </c>
      <c r="I521" s="2">
        <v>849</v>
      </c>
      <c r="J521" s="2">
        <v>304</v>
      </c>
      <c r="K521" s="2">
        <v>114</v>
      </c>
      <c r="L521" s="2">
        <v>78</v>
      </c>
      <c r="M521" s="2">
        <v>0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</row>
    <row r="522" spans="1:51" x14ac:dyDescent="0.2">
      <c r="A522" s="4"/>
      <c r="B522" s="2">
        <v>0</v>
      </c>
      <c r="C522" s="2">
        <v>0</v>
      </c>
      <c r="D522" s="2">
        <v>0</v>
      </c>
      <c r="E522" s="2">
        <v>146</v>
      </c>
      <c r="F522" s="2">
        <v>419</v>
      </c>
      <c r="G522" s="2">
        <v>778</v>
      </c>
      <c r="H522" s="2">
        <v>982</v>
      </c>
      <c r="I522" s="2">
        <v>716</v>
      </c>
      <c r="J522" s="2">
        <v>323</v>
      </c>
      <c r="K522" s="2">
        <v>194</v>
      </c>
      <c r="L522" s="2">
        <v>9</v>
      </c>
      <c r="M522" s="2">
        <v>9</v>
      </c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</row>
    <row r="523" spans="1:51" x14ac:dyDescent="0.2">
      <c r="A523" s="4"/>
      <c r="B523" s="2" t="s">
        <v>65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</row>
    <row r="524" spans="1:51" x14ac:dyDescent="0.2">
      <c r="A524" s="4" t="s">
        <v>68</v>
      </c>
      <c r="B524" s="2" t="s">
        <v>66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</row>
    <row r="525" spans="1:51" x14ac:dyDescent="0.2">
      <c r="A525" s="4">
        <v>1971</v>
      </c>
      <c r="B525" s="2" t="s">
        <v>67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</row>
    <row r="526" spans="1:51" x14ac:dyDescent="0.2">
      <c r="A526" s="4">
        <v>1972</v>
      </c>
      <c r="B526" s="2">
        <v>6.3735159999999999E-2</v>
      </c>
      <c r="C526" s="2">
        <v>0.12726090000000001</v>
      </c>
      <c r="D526" s="2">
        <v>0.1642728</v>
      </c>
      <c r="E526" s="2">
        <v>0.20671610000000001</v>
      </c>
      <c r="F526" s="2">
        <v>0.26582109999999998</v>
      </c>
      <c r="G526" s="2">
        <v>0.3581125</v>
      </c>
      <c r="H526" s="2">
        <v>0.42996820000000002</v>
      </c>
      <c r="I526" s="2">
        <v>0.52825250000000001</v>
      </c>
      <c r="J526" s="2">
        <v>0.63550930000000005</v>
      </c>
      <c r="K526" s="2">
        <v>0.77912320000000002</v>
      </c>
      <c r="L526" s="2">
        <v>0.89601220000000004</v>
      </c>
      <c r="M526" s="2">
        <v>1.021506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</row>
    <row r="527" spans="1:51" x14ac:dyDescent="0.2">
      <c r="A527" s="4">
        <v>1973</v>
      </c>
      <c r="B527" s="2">
        <v>6.3735159999999999E-2</v>
      </c>
      <c r="C527" s="2">
        <v>0.12726090000000001</v>
      </c>
      <c r="D527" s="2">
        <v>0.1642728</v>
      </c>
      <c r="E527" s="2">
        <v>0.20671610000000001</v>
      </c>
      <c r="F527" s="2">
        <v>0.26582109999999998</v>
      </c>
      <c r="G527" s="2">
        <v>0.3581125</v>
      </c>
      <c r="H527" s="2">
        <v>0.42996820000000002</v>
      </c>
      <c r="I527" s="2">
        <v>0.52825250000000001</v>
      </c>
      <c r="J527" s="2">
        <v>0.63550930000000005</v>
      </c>
      <c r="K527" s="2">
        <v>0.77912320000000002</v>
      </c>
      <c r="L527" s="2">
        <v>0.89601220000000004</v>
      </c>
      <c r="M527" s="2">
        <v>1.021506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</row>
    <row r="528" spans="1:51" x14ac:dyDescent="0.2">
      <c r="A528" s="4">
        <v>1974</v>
      </c>
      <c r="B528" s="2">
        <v>6.3735159999999999E-2</v>
      </c>
      <c r="C528" s="2">
        <v>0.12726090000000001</v>
      </c>
      <c r="D528" s="2">
        <v>0.1642728</v>
      </c>
      <c r="E528" s="2">
        <v>0.20671610000000001</v>
      </c>
      <c r="F528" s="2">
        <v>0.26582109999999998</v>
      </c>
      <c r="G528" s="2">
        <v>0.3581125</v>
      </c>
      <c r="H528" s="2">
        <v>0.42996820000000002</v>
      </c>
      <c r="I528" s="2">
        <v>0.52825250000000001</v>
      </c>
      <c r="J528" s="2">
        <v>0.63550930000000005</v>
      </c>
      <c r="K528" s="2">
        <v>0.77912320000000002</v>
      </c>
      <c r="L528" s="2">
        <v>0.89601220000000004</v>
      </c>
      <c r="M528" s="2">
        <v>1.021506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</row>
    <row r="529" spans="1:51" x14ac:dyDescent="0.2">
      <c r="A529" s="4">
        <v>1975</v>
      </c>
      <c r="B529" s="2">
        <v>6.3735159999999999E-2</v>
      </c>
      <c r="C529" s="2">
        <v>0.12726090000000001</v>
      </c>
      <c r="D529" s="2">
        <v>0.1642728</v>
      </c>
      <c r="E529" s="2">
        <v>0.20671610000000001</v>
      </c>
      <c r="F529" s="2">
        <v>0.26582109999999998</v>
      </c>
      <c r="G529" s="2">
        <v>0.3581125</v>
      </c>
      <c r="H529" s="2">
        <v>0.42996820000000002</v>
      </c>
      <c r="I529" s="2">
        <v>0.52825250000000001</v>
      </c>
      <c r="J529" s="2">
        <v>0.63550930000000005</v>
      </c>
      <c r="K529" s="2">
        <v>0.77912320000000002</v>
      </c>
      <c r="L529" s="2">
        <v>0.89601220000000004</v>
      </c>
      <c r="M529" s="2">
        <v>1.021506</v>
      </c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</row>
    <row r="530" spans="1:51" x14ac:dyDescent="0.2">
      <c r="A530" s="4">
        <v>1976</v>
      </c>
      <c r="B530" s="2">
        <v>6.3735159999999999E-2</v>
      </c>
      <c r="C530" s="2">
        <v>0.12726090000000001</v>
      </c>
      <c r="D530" s="2">
        <v>0.1642728</v>
      </c>
      <c r="E530" s="2">
        <v>0.20671610000000001</v>
      </c>
      <c r="F530" s="2">
        <v>0.26582109999999998</v>
      </c>
      <c r="G530" s="2">
        <v>0.3581125</v>
      </c>
      <c r="H530" s="2">
        <v>0.42996820000000002</v>
      </c>
      <c r="I530" s="2">
        <v>0.52825250000000001</v>
      </c>
      <c r="J530" s="2">
        <v>0.63550930000000005</v>
      </c>
      <c r="K530" s="2">
        <v>0.77912320000000002</v>
      </c>
      <c r="L530" s="2">
        <v>0.89601220000000004</v>
      </c>
      <c r="M530" s="2">
        <v>1.021506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</row>
    <row r="531" spans="1:51" x14ac:dyDescent="0.2">
      <c r="A531" s="4">
        <v>1977</v>
      </c>
      <c r="B531" s="2">
        <v>6.3735159999999999E-2</v>
      </c>
      <c r="C531" s="2">
        <v>0.12726090000000001</v>
      </c>
      <c r="D531" s="2">
        <v>0.1642728</v>
      </c>
      <c r="E531" s="2">
        <v>0.20671610000000001</v>
      </c>
      <c r="F531" s="2">
        <v>0.26582109999999998</v>
      </c>
      <c r="G531" s="2">
        <v>0.3581125</v>
      </c>
      <c r="H531" s="2">
        <v>0.42996820000000002</v>
      </c>
      <c r="I531" s="2">
        <v>0.52825250000000001</v>
      </c>
      <c r="J531" s="2">
        <v>0.63550930000000005</v>
      </c>
      <c r="K531" s="2">
        <v>0.77912320000000002</v>
      </c>
      <c r="L531" s="2">
        <v>0.89601220000000004</v>
      </c>
      <c r="M531" s="2">
        <v>1.021506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</row>
    <row r="532" spans="1:51" x14ac:dyDescent="0.2">
      <c r="A532" s="4">
        <v>1978</v>
      </c>
      <c r="B532" s="2">
        <v>6.3735159999999999E-2</v>
      </c>
      <c r="C532" s="2">
        <v>0.12726090000000001</v>
      </c>
      <c r="D532" s="2">
        <v>0.1642728</v>
      </c>
      <c r="E532" s="2">
        <v>0.20671610000000001</v>
      </c>
      <c r="F532" s="2">
        <v>0.26582109999999998</v>
      </c>
      <c r="G532" s="2">
        <v>0.3581125</v>
      </c>
      <c r="H532" s="2">
        <v>0.42996820000000002</v>
      </c>
      <c r="I532" s="2">
        <v>0.52825250000000001</v>
      </c>
      <c r="J532" s="2">
        <v>0.63550930000000005</v>
      </c>
      <c r="K532" s="2">
        <v>0.77912320000000002</v>
      </c>
      <c r="L532" s="2">
        <v>0.89601220000000004</v>
      </c>
      <c r="M532" s="2">
        <v>1.021506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</row>
    <row r="533" spans="1:51" x14ac:dyDescent="0.2">
      <c r="A533" s="4">
        <v>1979</v>
      </c>
      <c r="B533" s="2">
        <v>6.3735159999999999E-2</v>
      </c>
      <c r="C533" s="2">
        <v>0.12726090000000001</v>
      </c>
      <c r="D533" s="2">
        <v>0.1642728</v>
      </c>
      <c r="E533" s="2">
        <v>0.20671610000000001</v>
      </c>
      <c r="F533" s="2">
        <v>0.26582109999999998</v>
      </c>
      <c r="G533" s="2">
        <v>0.3581125</v>
      </c>
      <c r="H533" s="2">
        <v>0.42996820000000002</v>
      </c>
      <c r="I533" s="2">
        <v>0.52825250000000001</v>
      </c>
      <c r="J533" s="2">
        <v>0.63550930000000005</v>
      </c>
      <c r="K533" s="2">
        <v>0.77912320000000002</v>
      </c>
      <c r="L533" s="2">
        <v>0.89601220000000004</v>
      </c>
      <c r="M533" s="2">
        <v>1.021506</v>
      </c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</row>
    <row r="534" spans="1:51" x14ac:dyDescent="0.2">
      <c r="A534" s="4">
        <v>1980</v>
      </c>
      <c r="B534" s="2">
        <v>6.3735159999999999E-2</v>
      </c>
      <c r="C534" s="2">
        <v>0.12726090000000001</v>
      </c>
      <c r="D534" s="2">
        <v>0.1642728</v>
      </c>
      <c r="E534" s="2">
        <v>0.20671610000000001</v>
      </c>
      <c r="F534" s="2">
        <v>0.26582109999999998</v>
      </c>
      <c r="G534" s="2">
        <v>0.3581125</v>
      </c>
      <c r="H534" s="2">
        <v>0.42996820000000002</v>
      </c>
      <c r="I534" s="2">
        <v>0.52825250000000001</v>
      </c>
      <c r="J534" s="2">
        <v>0.63550930000000005</v>
      </c>
      <c r="K534" s="2">
        <v>0.77912320000000002</v>
      </c>
      <c r="L534" s="2">
        <v>0.89601220000000004</v>
      </c>
      <c r="M534" s="2">
        <v>1.021506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</row>
    <row r="535" spans="1:51" x14ac:dyDescent="0.2">
      <c r="A535" s="4">
        <v>1981</v>
      </c>
      <c r="B535" s="2">
        <v>6.3735159999999999E-2</v>
      </c>
      <c r="C535" s="2">
        <v>0.12726090000000001</v>
      </c>
      <c r="D535" s="2">
        <v>0.1642728</v>
      </c>
      <c r="E535" s="2">
        <v>0.20671610000000001</v>
      </c>
      <c r="F535" s="2">
        <v>0.26582109999999998</v>
      </c>
      <c r="G535" s="2">
        <v>0.3581125</v>
      </c>
      <c r="H535" s="2">
        <v>0.42996820000000002</v>
      </c>
      <c r="I535" s="2">
        <v>0.52825250000000001</v>
      </c>
      <c r="J535" s="2">
        <v>0.63550930000000005</v>
      </c>
      <c r="K535" s="2">
        <v>0.77912320000000002</v>
      </c>
      <c r="L535" s="2">
        <v>0.89601220000000004</v>
      </c>
      <c r="M535" s="2">
        <v>1.021506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</row>
    <row r="536" spans="1:51" x14ac:dyDescent="0.2">
      <c r="A536" s="4">
        <v>1982</v>
      </c>
      <c r="B536" s="2">
        <v>6.3735159999999999E-2</v>
      </c>
      <c r="C536" s="2">
        <v>0.12726090000000001</v>
      </c>
      <c r="D536" s="2">
        <v>0.1642728</v>
      </c>
      <c r="E536" s="2">
        <v>0.20671610000000001</v>
      </c>
      <c r="F536" s="2">
        <v>0.26582109999999998</v>
      </c>
      <c r="G536" s="2">
        <v>0.3581125</v>
      </c>
      <c r="H536" s="2">
        <v>0.42996820000000002</v>
      </c>
      <c r="I536" s="2">
        <v>0.52825250000000001</v>
      </c>
      <c r="J536" s="2">
        <v>0.63550930000000005</v>
      </c>
      <c r="K536" s="2">
        <v>0.77912320000000002</v>
      </c>
      <c r="L536" s="2">
        <v>0.89601220000000004</v>
      </c>
      <c r="M536" s="2">
        <v>1.021506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</row>
    <row r="537" spans="1:51" x14ac:dyDescent="0.2">
      <c r="A537" s="4">
        <v>1983</v>
      </c>
      <c r="B537" s="2">
        <v>6.3735159999999999E-2</v>
      </c>
      <c r="C537" s="2">
        <v>0.12726090000000001</v>
      </c>
      <c r="D537" s="2">
        <v>0.1642728</v>
      </c>
      <c r="E537" s="2">
        <v>0.20671610000000001</v>
      </c>
      <c r="F537" s="2">
        <v>0.26582109999999998</v>
      </c>
      <c r="G537" s="2">
        <v>0.3581125</v>
      </c>
      <c r="H537" s="2">
        <v>0.42996820000000002</v>
      </c>
      <c r="I537" s="2">
        <v>0.52825250000000001</v>
      </c>
      <c r="J537" s="2">
        <v>0.63550930000000005</v>
      </c>
      <c r="K537" s="2">
        <v>0.77912320000000002</v>
      </c>
      <c r="L537" s="2">
        <v>0.89601220000000004</v>
      </c>
      <c r="M537" s="2">
        <v>1.021506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</row>
    <row r="538" spans="1:51" x14ac:dyDescent="0.2">
      <c r="A538" s="4">
        <v>1984</v>
      </c>
      <c r="B538" s="2">
        <v>6.3735159999999999E-2</v>
      </c>
      <c r="C538" s="2">
        <v>0.12726090000000001</v>
      </c>
      <c r="D538" s="2">
        <v>0.1642728</v>
      </c>
      <c r="E538" s="2">
        <v>0.20671610000000001</v>
      </c>
      <c r="F538" s="2">
        <v>0.26582109999999998</v>
      </c>
      <c r="G538" s="2">
        <v>0.3581125</v>
      </c>
      <c r="H538" s="2">
        <v>0.42996820000000002</v>
      </c>
      <c r="I538" s="2">
        <v>0.52825250000000001</v>
      </c>
      <c r="J538" s="2">
        <v>0.63550930000000005</v>
      </c>
      <c r="K538" s="2">
        <v>0.77912320000000002</v>
      </c>
      <c r="L538" s="2">
        <v>0.89601220000000004</v>
      </c>
      <c r="M538" s="2">
        <v>1.021506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</row>
    <row r="539" spans="1:51" x14ac:dyDescent="0.2">
      <c r="A539" s="4">
        <v>1985</v>
      </c>
      <c r="B539" s="2">
        <v>6.3735159999999999E-2</v>
      </c>
      <c r="C539" s="2">
        <v>0.12726090000000001</v>
      </c>
      <c r="D539" s="2">
        <v>0.1642728</v>
      </c>
      <c r="E539" s="2">
        <v>0.20671610000000001</v>
      </c>
      <c r="F539" s="2">
        <v>0.26582109999999998</v>
      </c>
      <c r="G539" s="2">
        <v>0.3581125</v>
      </c>
      <c r="H539" s="2">
        <v>0.42996820000000002</v>
      </c>
      <c r="I539" s="2">
        <v>0.52825250000000001</v>
      </c>
      <c r="J539" s="2">
        <v>0.63550930000000005</v>
      </c>
      <c r="K539" s="2">
        <v>0.77912320000000002</v>
      </c>
      <c r="L539" s="2">
        <v>0.89601220000000004</v>
      </c>
      <c r="M539" s="2">
        <v>1.021506</v>
      </c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</row>
    <row r="540" spans="1:51" x14ac:dyDescent="0.2">
      <c r="A540" s="4">
        <v>1986</v>
      </c>
      <c r="B540" s="2">
        <v>6.3735159999999999E-2</v>
      </c>
      <c r="C540" s="2">
        <v>0.12726090000000001</v>
      </c>
      <c r="D540" s="2">
        <v>0.1642728</v>
      </c>
      <c r="E540" s="2">
        <v>0.20671610000000001</v>
      </c>
      <c r="F540" s="2">
        <v>0.26582109999999998</v>
      </c>
      <c r="G540" s="2">
        <v>0.3581125</v>
      </c>
      <c r="H540" s="2">
        <v>0.42996820000000002</v>
      </c>
      <c r="I540" s="2">
        <v>0.52825250000000001</v>
      </c>
      <c r="J540" s="2">
        <v>0.63550930000000005</v>
      </c>
      <c r="K540" s="2">
        <v>0.77912320000000002</v>
      </c>
      <c r="L540" s="2">
        <v>0.89601220000000004</v>
      </c>
      <c r="M540" s="2">
        <v>1.021506</v>
      </c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</row>
    <row r="541" spans="1:51" x14ac:dyDescent="0.2">
      <c r="A541" s="4">
        <v>1987</v>
      </c>
      <c r="B541" s="2">
        <v>6.3735159999999999E-2</v>
      </c>
      <c r="C541" s="2">
        <v>0.12726090000000001</v>
      </c>
      <c r="D541" s="2">
        <v>0.1642728</v>
      </c>
      <c r="E541" s="2">
        <v>0.20671610000000001</v>
      </c>
      <c r="F541" s="2">
        <v>0.26582109999999998</v>
      </c>
      <c r="G541" s="2">
        <v>0.3581125</v>
      </c>
      <c r="H541" s="2">
        <v>0.42996820000000002</v>
      </c>
      <c r="I541" s="2">
        <v>0.52825250000000001</v>
      </c>
      <c r="J541" s="2">
        <v>0.63550930000000005</v>
      </c>
      <c r="K541" s="2">
        <v>0.77912320000000002</v>
      </c>
      <c r="L541" s="2">
        <v>0.89601220000000004</v>
      </c>
      <c r="M541" s="2">
        <v>1.021506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</row>
    <row r="542" spans="1:51" x14ac:dyDescent="0.2">
      <c r="A542" s="4">
        <v>1988</v>
      </c>
      <c r="B542" s="2">
        <v>6.3735159999999999E-2</v>
      </c>
      <c r="C542" s="2">
        <v>0.12726090000000001</v>
      </c>
      <c r="D542" s="2">
        <v>0.1642728</v>
      </c>
      <c r="E542" s="2">
        <v>0.20671610000000001</v>
      </c>
      <c r="F542" s="2">
        <v>0.26582109999999998</v>
      </c>
      <c r="G542" s="2">
        <v>0.3581125</v>
      </c>
      <c r="H542" s="2">
        <v>0.42996820000000002</v>
      </c>
      <c r="I542" s="2">
        <v>0.52825250000000001</v>
      </c>
      <c r="J542" s="2">
        <v>0.63550930000000005</v>
      </c>
      <c r="K542" s="2">
        <v>0.77912320000000002</v>
      </c>
      <c r="L542" s="2">
        <v>0.89601220000000004</v>
      </c>
      <c r="M542" s="2">
        <v>1.021506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</row>
    <row r="543" spans="1:51" x14ac:dyDescent="0.2">
      <c r="A543" s="4">
        <v>1989</v>
      </c>
      <c r="B543" s="2">
        <v>6.3735159999999999E-2</v>
      </c>
      <c r="C543" s="2">
        <v>0.12726090000000001</v>
      </c>
      <c r="D543" s="2">
        <v>0.1642728</v>
      </c>
      <c r="E543" s="2">
        <v>0.20671610000000001</v>
      </c>
      <c r="F543" s="2">
        <v>0.26582109999999998</v>
      </c>
      <c r="G543" s="2">
        <v>0.3581125</v>
      </c>
      <c r="H543" s="2">
        <v>0.42996820000000002</v>
      </c>
      <c r="I543" s="2">
        <v>0.52825250000000001</v>
      </c>
      <c r="J543" s="2">
        <v>0.63550930000000005</v>
      </c>
      <c r="K543" s="2">
        <v>0.77912320000000002</v>
      </c>
      <c r="L543" s="2">
        <v>0.89601220000000004</v>
      </c>
      <c r="M543" s="2">
        <v>1.021506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</row>
    <row r="544" spans="1:51" x14ac:dyDescent="0.2">
      <c r="A544" s="4">
        <v>1990</v>
      </c>
      <c r="B544" s="2">
        <v>6.3735159999999999E-2</v>
      </c>
      <c r="C544" s="2">
        <v>0.12726090000000001</v>
      </c>
      <c r="D544" s="2">
        <v>0.1642728</v>
      </c>
      <c r="E544" s="2">
        <v>0.20671610000000001</v>
      </c>
      <c r="F544" s="2">
        <v>0.26582109999999998</v>
      </c>
      <c r="G544" s="2">
        <v>0.3581125</v>
      </c>
      <c r="H544" s="2">
        <v>0.42996820000000002</v>
      </c>
      <c r="I544" s="2">
        <v>0.52825250000000001</v>
      </c>
      <c r="J544" s="2">
        <v>0.63550930000000005</v>
      </c>
      <c r="K544" s="2">
        <v>0.77912320000000002</v>
      </c>
      <c r="L544" s="2">
        <v>0.89601220000000004</v>
      </c>
      <c r="M544" s="2">
        <v>1.021506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</row>
    <row r="545" spans="1:51" x14ac:dyDescent="0.2">
      <c r="A545" s="4">
        <v>1991</v>
      </c>
      <c r="B545" s="2">
        <v>6.3735159999999999E-2</v>
      </c>
      <c r="C545" s="2">
        <v>0.12726090000000001</v>
      </c>
      <c r="D545" s="2">
        <v>0.1642728</v>
      </c>
      <c r="E545" s="2">
        <v>0.20671610000000001</v>
      </c>
      <c r="F545" s="2">
        <v>0.26582109999999998</v>
      </c>
      <c r="G545" s="2">
        <v>0.3581125</v>
      </c>
      <c r="H545" s="2">
        <v>0.42996820000000002</v>
      </c>
      <c r="I545" s="2">
        <v>0.52825250000000001</v>
      </c>
      <c r="J545" s="2">
        <v>0.63550930000000005</v>
      </c>
      <c r="K545" s="2">
        <v>0.77912320000000002</v>
      </c>
      <c r="L545" s="2">
        <v>0.89601220000000004</v>
      </c>
      <c r="M545" s="2">
        <v>1.021506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</row>
    <row r="546" spans="1:51" x14ac:dyDescent="0.2">
      <c r="A546" s="4">
        <v>1992</v>
      </c>
      <c r="B546" s="2">
        <v>6.3735159999999999E-2</v>
      </c>
      <c r="C546" s="2">
        <v>0.12726090000000001</v>
      </c>
      <c r="D546" s="2">
        <v>0.1642728</v>
      </c>
      <c r="E546" s="2">
        <v>0.20671610000000001</v>
      </c>
      <c r="F546" s="2">
        <v>0.26582109999999998</v>
      </c>
      <c r="G546" s="2">
        <v>0.3581125</v>
      </c>
      <c r="H546" s="2">
        <v>0.42996820000000002</v>
      </c>
      <c r="I546" s="2">
        <v>0.52825250000000001</v>
      </c>
      <c r="J546" s="2">
        <v>0.63550930000000005</v>
      </c>
      <c r="K546" s="2">
        <v>0.77912320000000002</v>
      </c>
      <c r="L546" s="2">
        <v>0.89601220000000004</v>
      </c>
      <c r="M546" s="2">
        <v>1.021506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</row>
    <row r="547" spans="1:51" x14ac:dyDescent="0.2">
      <c r="A547" s="4">
        <v>1993</v>
      </c>
      <c r="B547" s="2">
        <v>6.3735159999999999E-2</v>
      </c>
      <c r="C547" s="2">
        <v>0.12726090000000001</v>
      </c>
      <c r="D547" s="2">
        <v>0.1642728</v>
      </c>
      <c r="E547" s="2">
        <v>0.20671610000000001</v>
      </c>
      <c r="F547" s="2">
        <v>0.26582109999999998</v>
      </c>
      <c r="G547" s="2">
        <v>0.3581125</v>
      </c>
      <c r="H547" s="2">
        <v>0.42996820000000002</v>
      </c>
      <c r="I547" s="2">
        <v>0.52825250000000001</v>
      </c>
      <c r="J547" s="2">
        <v>0.63550930000000005</v>
      </c>
      <c r="K547" s="2">
        <v>0.77912320000000002</v>
      </c>
      <c r="L547" s="2">
        <v>0.89601220000000004</v>
      </c>
      <c r="M547" s="2">
        <v>1.021506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</row>
    <row r="548" spans="1:51" x14ac:dyDescent="0.2">
      <c r="A548" s="4">
        <v>1994</v>
      </c>
      <c r="B548" s="2">
        <v>6.3735159999999999E-2</v>
      </c>
      <c r="C548" s="2">
        <v>0.12726090000000001</v>
      </c>
      <c r="D548" s="2">
        <v>0.1642728</v>
      </c>
      <c r="E548" s="2">
        <v>0.20671610000000001</v>
      </c>
      <c r="F548" s="2">
        <v>0.26582109999999998</v>
      </c>
      <c r="G548" s="2">
        <v>0.3581125</v>
      </c>
      <c r="H548" s="2">
        <v>0.42996820000000002</v>
      </c>
      <c r="I548" s="2">
        <v>0.52825250000000001</v>
      </c>
      <c r="J548" s="2">
        <v>0.63550930000000005</v>
      </c>
      <c r="K548" s="2">
        <v>0.77912320000000002</v>
      </c>
      <c r="L548" s="2">
        <v>0.89601220000000004</v>
      </c>
      <c r="M548" s="2">
        <v>1.021506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</row>
    <row r="549" spans="1:51" x14ac:dyDescent="0.2">
      <c r="A549" s="4">
        <v>1995</v>
      </c>
      <c r="B549" s="2">
        <v>6.3735159999999999E-2</v>
      </c>
      <c r="C549" s="2">
        <v>0.12726090000000001</v>
      </c>
      <c r="D549" s="2">
        <v>0.1642728</v>
      </c>
      <c r="E549" s="2">
        <v>0.20671610000000001</v>
      </c>
      <c r="F549" s="2">
        <v>0.26582109999999998</v>
      </c>
      <c r="G549" s="2">
        <v>0.3581125</v>
      </c>
      <c r="H549" s="2">
        <v>0.42996820000000002</v>
      </c>
      <c r="I549" s="2">
        <v>0.52825250000000001</v>
      </c>
      <c r="J549" s="2">
        <v>0.63550930000000005</v>
      </c>
      <c r="K549" s="2">
        <v>0.77912320000000002</v>
      </c>
      <c r="L549" s="2">
        <v>0.89601220000000004</v>
      </c>
      <c r="M549" s="2">
        <v>1.021506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</row>
    <row r="550" spans="1:51" x14ac:dyDescent="0.2">
      <c r="A550" s="4">
        <v>1996</v>
      </c>
      <c r="B550" s="2">
        <v>6.3735159999999999E-2</v>
      </c>
      <c r="C550" s="2">
        <v>0.12726090000000001</v>
      </c>
      <c r="D550" s="2">
        <v>0.1642728</v>
      </c>
      <c r="E550" s="2">
        <v>0.20671610000000001</v>
      </c>
      <c r="F550" s="2">
        <v>0.26582109999999998</v>
      </c>
      <c r="G550" s="2">
        <v>0.3581125</v>
      </c>
      <c r="H550" s="2">
        <v>0.42996820000000002</v>
      </c>
      <c r="I550" s="2">
        <v>0.52825250000000001</v>
      </c>
      <c r="J550" s="2">
        <v>0.63550930000000005</v>
      </c>
      <c r="K550" s="2">
        <v>0.77912320000000002</v>
      </c>
      <c r="L550" s="2">
        <v>0.89601220000000004</v>
      </c>
      <c r="M550" s="2">
        <v>1.021506</v>
      </c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</row>
    <row r="551" spans="1:51" x14ac:dyDescent="0.2">
      <c r="A551" s="4">
        <v>1997</v>
      </c>
      <c r="B551" s="2">
        <v>6.3735159999999999E-2</v>
      </c>
      <c r="C551" s="2">
        <v>0.12726090000000001</v>
      </c>
      <c r="D551" s="2">
        <v>0.1642728</v>
      </c>
      <c r="E551" s="2">
        <v>0.20671610000000001</v>
      </c>
      <c r="F551" s="2">
        <v>0.26582109999999998</v>
      </c>
      <c r="G551" s="2">
        <v>0.3581125</v>
      </c>
      <c r="H551" s="2">
        <v>0.42996820000000002</v>
      </c>
      <c r="I551" s="2">
        <v>0.52825250000000001</v>
      </c>
      <c r="J551" s="2">
        <v>0.63550930000000005</v>
      </c>
      <c r="K551" s="2">
        <v>0.77912320000000002</v>
      </c>
      <c r="L551" s="2">
        <v>0.89601220000000004</v>
      </c>
      <c r="M551" s="2">
        <v>1.021506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</row>
    <row r="552" spans="1:51" x14ac:dyDescent="0.2">
      <c r="A552" s="4">
        <v>1998</v>
      </c>
      <c r="B552" s="2">
        <v>6.3735159999999999E-2</v>
      </c>
      <c r="C552" s="2">
        <v>0.12726090000000001</v>
      </c>
      <c r="D552" s="2">
        <v>0.1642728</v>
      </c>
      <c r="E552" s="2">
        <v>0.20671610000000001</v>
      </c>
      <c r="F552" s="2">
        <v>0.26582109999999998</v>
      </c>
      <c r="G552" s="2">
        <v>0.3581125</v>
      </c>
      <c r="H552" s="2">
        <v>0.42996820000000002</v>
      </c>
      <c r="I552" s="2">
        <v>0.52825250000000001</v>
      </c>
      <c r="J552" s="2">
        <v>0.63550930000000005</v>
      </c>
      <c r="K552" s="2">
        <v>0.77912320000000002</v>
      </c>
      <c r="L552" s="2">
        <v>0.89601220000000004</v>
      </c>
      <c r="M552" s="2">
        <v>1.021506</v>
      </c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</row>
    <row r="553" spans="1:51" x14ac:dyDescent="0.2">
      <c r="A553" s="4">
        <v>1999</v>
      </c>
      <c r="B553" s="2">
        <v>6.3735159999999999E-2</v>
      </c>
      <c r="C553" s="2">
        <v>0.13935420000000001</v>
      </c>
      <c r="D553" s="2">
        <v>0.1602297</v>
      </c>
      <c r="E553" s="2">
        <v>0.19719610000000001</v>
      </c>
      <c r="F553" s="2">
        <v>0.2505387</v>
      </c>
      <c r="G553" s="2">
        <v>0.3109208</v>
      </c>
      <c r="H553" s="2">
        <v>0.39625739999999998</v>
      </c>
      <c r="I553" s="2">
        <v>0.53575779999999995</v>
      </c>
      <c r="J553" s="2">
        <v>0.71140130000000001</v>
      </c>
      <c r="K553" s="2">
        <v>0.89481080000000002</v>
      </c>
      <c r="L553" s="2">
        <v>1.0657140000000001</v>
      </c>
      <c r="M553" s="2">
        <v>1.2408170000000001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</row>
    <row r="554" spans="1:51" x14ac:dyDescent="0.2">
      <c r="A554" s="4">
        <v>2000</v>
      </c>
      <c r="B554" s="2">
        <v>6.3735159999999999E-2</v>
      </c>
      <c r="C554" s="2">
        <v>4.4714999999999998E-2</v>
      </c>
      <c r="D554" s="2">
        <v>0.15051139999999999</v>
      </c>
      <c r="E554" s="2">
        <v>0.16825370000000001</v>
      </c>
      <c r="F554" s="2">
        <v>0.2116046</v>
      </c>
      <c r="G554" s="2">
        <v>0.28674359999999999</v>
      </c>
      <c r="H554" s="2">
        <v>0.37875750000000002</v>
      </c>
      <c r="I554" s="2">
        <v>0.56790240000000003</v>
      </c>
      <c r="J554" s="2">
        <v>0.81406599999999996</v>
      </c>
      <c r="K554" s="2">
        <v>1.0463480000000001</v>
      </c>
      <c r="L554" s="2">
        <v>1.2386839999999999</v>
      </c>
      <c r="M554" s="2">
        <v>1.4238679999999999</v>
      </c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</row>
    <row r="555" spans="1:51" x14ac:dyDescent="0.2">
      <c r="A555" s="4">
        <v>2001</v>
      </c>
      <c r="B555" s="2">
        <v>6.3735159999999999E-2</v>
      </c>
      <c r="C555" s="2">
        <v>9.6535120000000002E-2</v>
      </c>
      <c r="D555" s="2">
        <v>0.1213249</v>
      </c>
      <c r="E555" s="2">
        <v>0.15105859999999999</v>
      </c>
      <c r="F555" s="2">
        <v>0.184777</v>
      </c>
      <c r="G555" s="2">
        <v>0.26381949999999998</v>
      </c>
      <c r="H555" s="2">
        <v>0.35045799999999999</v>
      </c>
      <c r="I555" s="2">
        <v>0.48860940000000003</v>
      </c>
      <c r="J555" s="2">
        <v>0.77170439999999996</v>
      </c>
      <c r="K555" s="2">
        <v>1.069072</v>
      </c>
      <c r="L555" s="2">
        <v>1.308249</v>
      </c>
      <c r="M555" s="2">
        <v>1.4294480000000001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</row>
    <row r="556" spans="1:51" x14ac:dyDescent="0.2">
      <c r="A556" s="4">
        <v>2002</v>
      </c>
      <c r="B556" s="2">
        <v>6.3735159999999999E-2</v>
      </c>
      <c r="C556" s="2">
        <v>0.10989649999999999</v>
      </c>
      <c r="D556" s="2">
        <v>0.12665170000000001</v>
      </c>
      <c r="E556" s="2">
        <v>0.17080719999999999</v>
      </c>
      <c r="F556" s="2">
        <v>0.1978569</v>
      </c>
      <c r="G556" s="2">
        <v>0.26059569999999999</v>
      </c>
      <c r="H556" s="2">
        <v>0.35108549999999999</v>
      </c>
      <c r="I556" s="2">
        <v>0.46986040000000001</v>
      </c>
      <c r="J556" s="2">
        <v>0.76926439999999996</v>
      </c>
      <c r="K556" s="2">
        <v>1.019593</v>
      </c>
      <c r="L556" s="2">
        <v>1.162002</v>
      </c>
      <c r="M556" s="2">
        <v>1.254238</v>
      </c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</row>
    <row r="557" spans="1:51" x14ac:dyDescent="0.2">
      <c r="A557" s="4">
        <v>2003</v>
      </c>
      <c r="B557" s="2">
        <v>6.3735159999999999E-2</v>
      </c>
      <c r="C557" s="2">
        <v>0.12726090000000001</v>
      </c>
      <c r="D557" s="2">
        <v>0.14030570000000001</v>
      </c>
      <c r="E557" s="2">
        <v>0.158582</v>
      </c>
      <c r="F557" s="2">
        <v>0.20010919999999999</v>
      </c>
      <c r="G557" s="2">
        <v>0.25663940000000002</v>
      </c>
      <c r="H557" s="2">
        <v>0.3232698</v>
      </c>
      <c r="I557" s="2">
        <v>0.46076830000000002</v>
      </c>
      <c r="J557" s="2">
        <v>0.61423019999999995</v>
      </c>
      <c r="K557" s="2">
        <v>0.8311866</v>
      </c>
      <c r="L557" s="2">
        <v>1.081054</v>
      </c>
      <c r="M557" s="2">
        <v>1.371292</v>
      </c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</row>
    <row r="558" spans="1:51" x14ac:dyDescent="0.2">
      <c r="A558" s="4">
        <v>2004</v>
      </c>
      <c r="B558" s="2">
        <v>6.5451200000000001E-2</v>
      </c>
      <c r="C558" s="2">
        <v>0.1287856</v>
      </c>
      <c r="D558" s="2">
        <v>0.17377580000000001</v>
      </c>
      <c r="E558" s="2">
        <v>0.22501370000000001</v>
      </c>
      <c r="F558" s="2">
        <v>0.28427269999999999</v>
      </c>
      <c r="G558" s="2">
        <v>0.4436638</v>
      </c>
      <c r="H558" s="2">
        <v>0.52525679999999997</v>
      </c>
      <c r="I558" s="2">
        <v>0.6198591</v>
      </c>
      <c r="J558" s="2">
        <v>0.68187279999999995</v>
      </c>
      <c r="K558" s="2">
        <v>0.89962629999999999</v>
      </c>
      <c r="L558" s="2">
        <v>0.80575140000000001</v>
      </c>
      <c r="M558" s="2">
        <v>1.0167740000000001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</row>
    <row r="559" spans="1:51" x14ac:dyDescent="0.2">
      <c r="A559" s="4">
        <v>2005</v>
      </c>
      <c r="B559" s="2">
        <v>6.2019119999999997E-2</v>
      </c>
      <c r="C559" s="2">
        <v>0.1431008</v>
      </c>
      <c r="D559" s="2">
        <v>0.17786650000000001</v>
      </c>
      <c r="E559" s="2">
        <v>0.23385549999999999</v>
      </c>
      <c r="F559" s="2">
        <v>0.28889819999999999</v>
      </c>
      <c r="G559" s="2">
        <v>0.36352960000000001</v>
      </c>
      <c r="H559" s="2">
        <v>0.46544360000000001</v>
      </c>
      <c r="I559" s="2">
        <v>0.54540909999999998</v>
      </c>
      <c r="J559" s="2">
        <v>0.62738640000000001</v>
      </c>
      <c r="K559" s="2">
        <v>0.71105309999999999</v>
      </c>
      <c r="L559" s="2">
        <v>0.97689349999999997</v>
      </c>
      <c r="M559" s="2">
        <v>0.95009209999999999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</row>
    <row r="560" spans="1:51" x14ac:dyDescent="0.2">
      <c r="A560" s="4">
        <v>2006</v>
      </c>
      <c r="B560" s="2">
        <v>6.3735159999999999E-2</v>
      </c>
      <c r="C560" s="2">
        <v>0.12726090000000001</v>
      </c>
      <c r="D560" s="2">
        <v>0.20276459999999999</v>
      </c>
      <c r="E560" s="2">
        <v>0.24569659999999999</v>
      </c>
      <c r="F560" s="2">
        <v>0.28550989999999998</v>
      </c>
      <c r="G560" s="2">
        <v>0.36473640000000002</v>
      </c>
      <c r="H560" s="2">
        <v>0.46448679999999998</v>
      </c>
      <c r="I560" s="2">
        <v>0.59188470000000004</v>
      </c>
      <c r="J560" s="2">
        <v>0.67253600000000002</v>
      </c>
      <c r="K560" s="2">
        <v>0.80845619999999996</v>
      </c>
      <c r="L560" s="2">
        <v>1.039274</v>
      </c>
      <c r="M560" s="2">
        <v>1.1186780000000001</v>
      </c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</row>
    <row r="561" spans="1:51" x14ac:dyDescent="0.2">
      <c r="A561" s="4">
        <v>2007</v>
      </c>
      <c r="B561" s="2">
        <v>6.3735159999999999E-2</v>
      </c>
      <c r="C561" s="2">
        <v>0.12726090000000001</v>
      </c>
      <c r="D561" s="2">
        <v>0.1642728</v>
      </c>
      <c r="E561" s="2">
        <v>0.20671610000000001</v>
      </c>
      <c r="F561" s="2">
        <v>0.20276459999999999</v>
      </c>
      <c r="G561" s="2">
        <v>0.24565380000000001</v>
      </c>
      <c r="H561" s="2">
        <v>0.28418110000000002</v>
      </c>
      <c r="I561" s="2">
        <v>0.36332629999999999</v>
      </c>
      <c r="J561" s="2">
        <v>0.46604259999999997</v>
      </c>
      <c r="K561" s="2">
        <v>0.59188470000000004</v>
      </c>
      <c r="L561" s="2">
        <v>0.67253600000000002</v>
      </c>
      <c r="M561" s="2">
        <v>0.80845619999999996</v>
      </c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</row>
    <row r="562" spans="1:51" x14ac:dyDescent="0.2">
      <c r="A562" s="4">
        <v>2008</v>
      </c>
      <c r="B562" s="2">
        <v>6.3735159999999999E-2</v>
      </c>
      <c r="C562" s="2">
        <v>0.12726090000000001</v>
      </c>
      <c r="D562" s="2">
        <v>0.1642728</v>
      </c>
      <c r="E562" s="2">
        <v>0.26109850000000001</v>
      </c>
      <c r="F562" s="2">
        <v>0.36595339999999998</v>
      </c>
      <c r="G562" s="2">
        <v>0.41380329999999999</v>
      </c>
      <c r="H562" s="2">
        <v>0.49951099999999998</v>
      </c>
      <c r="I562" s="2">
        <v>0.58869490000000002</v>
      </c>
      <c r="J562" s="2">
        <v>0.73758389999999996</v>
      </c>
      <c r="K562" s="2">
        <v>0.87189059999999996</v>
      </c>
      <c r="L562" s="2">
        <v>0.90557739999999998</v>
      </c>
      <c r="M562" s="2">
        <v>1.0912679999999999</v>
      </c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</row>
    <row r="563" spans="1:51" x14ac:dyDescent="0.2">
      <c r="A563" s="4">
        <v>2009</v>
      </c>
      <c r="B563" s="2">
        <v>6.3735159999999999E-2</v>
      </c>
      <c r="C563" s="2">
        <v>0.12726090000000001</v>
      </c>
      <c r="D563" s="2">
        <v>0.1642728</v>
      </c>
      <c r="E563" s="2">
        <v>0.20671610000000001</v>
      </c>
      <c r="F563" s="2">
        <v>0.39677659999999998</v>
      </c>
      <c r="G563" s="2">
        <v>0.42854550000000002</v>
      </c>
      <c r="H563" s="2">
        <v>0.50709490000000002</v>
      </c>
      <c r="I563" s="2">
        <v>0.59906210000000004</v>
      </c>
      <c r="J563" s="2">
        <v>0.67086389999999996</v>
      </c>
      <c r="K563" s="2">
        <v>0.88883369999999995</v>
      </c>
      <c r="L563" s="2">
        <v>1.0239990000000001</v>
      </c>
      <c r="M563" s="2">
        <v>1.1473359999999999</v>
      </c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</row>
    <row r="564" spans="1:51" x14ac:dyDescent="0.2">
      <c r="A564" s="4">
        <v>2010</v>
      </c>
      <c r="B564" s="2">
        <v>6.3735159999999999E-2</v>
      </c>
      <c r="C564" s="2">
        <v>0.12726090000000001</v>
      </c>
      <c r="D564" s="2">
        <v>0.1642728</v>
      </c>
      <c r="E564" s="2">
        <v>0.20671610000000001</v>
      </c>
      <c r="F564" s="2">
        <v>0.26582109999999998</v>
      </c>
      <c r="G564" s="2">
        <v>0.44584499999999999</v>
      </c>
      <c r="H564" s="2">
        <v>0.52341349999999998</v>
      </c>
      <c r="I564" s="2">
        <v>0.59010499999999999</v>
      </c>
      <c r="J564" s="2">
        <v>0.67824260000000003</v>
      </c>
      <c r="K564" s="2">
        <v>0.78316459999999999</v>
      </c>
      <c r="L564" s="2">
        <v>0.86792150000000001</v>
      </c>
      <c r="M564" s="2">
        <v>0.97414310000000004</v>
      </c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</row>
    <row r="565" spans="1:51" x14ac:dyDescent="0.2">
      <c r="A565" s="4">
        <v>2011</v>
      </c>
      <c r="B565" s="2">
        <v>6.3735159999999999E-2</v>
      </c>
      <c r="C565" s="2">
        <v>0.12726090000000001</v>
      </c>
      <c r="D565" s="2">
        <v>0.1642728</v>
      </c>
      <c r="E565" s="2">
        <v>0.20671610000000001</v>
      </c>
      <c r="F565" s="2">
        <v>0.26582109999999998</v>
      </c>
      <c r="G565" s="2">
        <v>0.3581125</v>
      </c>
      <c r="H565" s="2">
        <v>0.42996820000000002</v>
      </c>
      <c r="I565" s="2">
        <v>0.44584499999999999</v>
      </c>
      <c r="J565" s="2">
        <v>0.52341349999999998</v>
      </c>
      <c r="K565" s="2">
        <v>0.59010499999999999</v>
      </c>
      <c r="L565" s="2">
        <v>0.67824260000000003</v>
      </c>
      <c r="M565" s="2">
        <v>0.78316459999999999</v>
      </c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</row>
    <row r="566" spans="1:51" x14ac:dyDescent="0.2">
      <c r="A566" s="4">
        <v>2012</v>
      </c>
      <c r="B566" s="2">
        <v>6.3735159999999999E-2</v>
      </c>
      <c r="C566" s="2">
        <v>0.12726090000000001</v>
      </c>
      <c r="D566" s="2">
        <v>0.1642728</v>
      </c>
      <c r="E566" s="2">
        <v>0.15195939999999999</v>
      </c>
      <c r="F566" s="2">
        <v>0.17024839999999999</v>
      </c>
      <c r="G566" s="2">
        <v>0.3581125</v>
      </c>
      <c r="H566" s="2">
        <v>0.35593930000000001</v>
      </c>
      <c r="I566" s="2">
        <v>0.47746169999999999</v>
      </c>
      <c r="J566" s="2">
        <v>0.5728278</v>
      </c>
      <c r="K566" s="2">
        <v>0.64733459999999998</v>
      </c>
      <c r="L566" s="2">
        <v>0.75975870000000001</v>
      </c>
      <c r="M566" s="2">
        <v>0.86134730000000004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</row>
    <row r="567" spans="1:51" x14ac:dyDescent="0.2">
      <c r="A567" s="4">
        <v>2013</v>
      </c>
      <c r="B567" s="2">
        <v>6.3735159999999999E-2</v>
      </c>
      <c r="C567" s="2">
        <v>0.12726090000000001</v>
      </c>
      <c r="D567" s="2">
        <v>0.1642728</v>
      </c>
      <c r="E567" s="2">
        <v>0.20671610000000001</v>
      </c>
      <c r="F567" s="2">
        <v>0.26582109999999998</v>
      </c>
      <c r="G567" s="2">
        <v>0.3581125</v>
      </c>
      <c r="H567" s="2">
        <v>0.42996820000000002</v>
      </c>
      <c r="I567" s="2">
        <v>0.58675319999999997</v>
      </c>
      <c r="J567" s="2">
        <v>0.61184740000000004</v>
      </c>
      <c r="K567" s="2">
        <v>0.70634960000000002</v>
      </c>
      <c r="L567" s="2">
        <v>0.77913589999999999</v>
      </c>
      <c r="M567" s="2">
        <v>0.88127800000000001</v>
      </c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</row>
    <row r="568" spans="1:51" x14ac:dyDescent="0.2">
      <c r="A568" s="4">
        <v>2014</v>
      </c>
      <c r="B568" s="2">
        <v>6.3735159999999999E-2</v>
      </c>
      <c r="C568" s="2">
        <v>0.12726090000000001</v>
      </c>
      <c r="D568" s="2">
        <v>0.1642728</v>
      </c>
      <c r="E568" s="2">
        <v>0.20671610000000001</v>
      </c>
      <c r="F568" s="2">
        <v>0.26582109999999998</v>
      </c>
      <c r="G568" s="2">
        <v>0.3581125</v>
      </c>
      <c r="H568" s="2">
        <v>0.42996820000000002</v>
      </c>
      <c r="I568" s="2">
        <v>0.52825250000000001</v>
      </c>
      <c r="J568" s="2">
        <v>0.63550930000000005</v>
      </c>
      <c r="K568" s="2">
        <v>0.77912320000000002</v>
      </c>
      <c r="L568" s="2">
        <v>0.89601220000000004</v>
      </c>
      <c r="M568" s="2">
        <v>1.021506</v>
      </c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</row>
    <row r="569" spans="1:51" x14ac:dyDescent="0.2">
      <c r="A569" s="4">
        <v>2015</v>
      </c>
      <c r="B569" s="2">
        <v>6.3735159999999999E-2</v>
      </c>
      <c r="C569" s="2">
        <v>0.12726090000000001</v>
      </c>
      <c r="D569" s="2">
        <v>0.1642728</v>
      </c>
      <c r="E569" s="2">
        <v>0.20671610000000001</v>
      </c>
      <c r="F569" s="2">
        <v>0.26582109999999998</v>
      </c>
      <c r="G569" s="2">
        <v>0.3581125</v>
      </c>
      <c r="H569" s="2">
        <v>0.42996820000000002</v>
      </c>
      <c r="I569" s="2">
        <v>0.52825250000000001</v>
      </c>
      <c r="J569" s="2">
        <v>0.63550930000000005</v>
      </c>
      <c r="K569" s="2">
        <v>0.77912320000000002</v>
      </c>
      <c r="L569" s="2">
        <v>0.89601220000000004</v>
      </c>
      <c r="M569" s="2">
        <v>1.021506</v>
      </c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</row>
    <row r="570" spans="1:51" x14ac:dyDescent="0.2">
      <c r="A570" s="4">
        <v>2016</v>
      </c>
      <c r="B570" s="2">
        <v>6.3735159999999999E-2</v>
      </c>
      <c r="C570" s="2">
        <v>0.12726090000000001</v>
      </c>
      <c r="D570" s="2">
        <v>0.1642728</v>
      </c>
      <c r="E570" s="2">
        <v>0.20671610000000001</v>
      </c>
      <c r="F570" s="2">
        <v>0.26582109999999998</v>
      </c>
      <c r="G570" s="2">
        <v>0.3581125</v>
      </c>
      <c r="H570" s="2">
        <v>0.42996820000000002</v>
      </c>
      <c r="I570" s="2">
        <v>0.52825250000000001</v>
      </c>
      <c r="J570" s="2">
        <v>0.63550930000000005</v>
      </c>
      <c r="K570" s="2">
        <v>0.77912320000000002</v>
      </c>
      <c r="L570" s="2">
        <v>0.89601220000000004</v>
      </c>
      <c r="M570" s="2">
        <v>1.021506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</row>
    <row r="571" spans="1:51" x14ac:dyDescent="0.2">
      <c r="A571" s="4">
        <v>2017</v>
      </c>
      <c r="B571" s="2">
        <v>6.3735159999999999E-2</v>
      </c>
      <c r="C571" s="2">
        <v>0.12726090000000001</v>
      </c>
      <c r="D571" s="2">
        <v>0.1642728</v>
      </c>
      <c r="E571" s="2">
        <v>0.20671610000000001</v>
      </c>
      <c r="F571" s="2">
        <v>0.26582109999999998</v>
      </c>
      <c r="G571" s="2">
        <v>0.3581125</v>
      </c>
      <c r="H571" s="2">
        <v>0.42996820000000002</v>
      </c>
      <c r="I571" s="2">
        <v>0.52825250000000001</v>
      </c>
      <c r="J571" s="2">
        <v>0.63550930000000005</v>
      </c>
      <c r="K571" s="2">
        <v>0.77912320000000002</v>
      </c>
      <c r="L571" s="2">
        <v>0.89601220000000004</v>
      </c>
      <c r="M571" s="2">
        <v>1.021506</v>
      </c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</row>
    <row r="572" spans="1:51" x14ac:dyDescent="0.2">
      <c r="A572" s="4">
        <v>2018</v>
      </c>
      <c r="B572" s="2">
        <v>6.3735159999999999E-2</v>
      </c>
      <c r="C572" s="2">
        <v>0.12726090000000001</v>
      </c>
      <c r="D572" s="2">
        <v>0.1642728</v>
      </c>
      <c r="E572" s="2">
        <v>0.20671610000000001</v>
      </c>
      <c r="F572" s="2">
        <v>0.26582109999999998</v>
      </c>
      <c r="G572" s="2">
        <v>0.3581125</v>
      </c>
      <c r="H572" s="2">
        <v>0.42996820000000002</v>
      </c>
      <c r="I572" s="2">
        <v>0.52825250000000001</v>
      </c>
      <c r="J572" s="2">
        <v>0.63550930000000005</v>
      </c>
      <c r="K572" s="2">
        <v>0.77912320000000002</v>
      </c>
      <c r="L572" s="2">
        <v>0.89601220000000004</v>
      </c>
      <c r="M572" s="2">
        <v>1.021506</v>
      </c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</row>
    <row r="573" spans="1:51" x14ac:dyDescent="0.2">
      <c r="A573" s="4">
        <v>2019</v>
      </c>
      <c r="B573" s="2">
        <v>6.3735159999999999E-2</v>
      </c>
      <c r="C573" s="2">
        <v>0.12726090000000001</v>
      </c>
      <c r="D573" s="2">
        <v>0.1642728</v>
      </c>
      <c r="E573" s="2">
        <v>0.20671610000000001</v>
      </c>
      <c r="F573" s="2">
        <v>0.26582109999999998</v>
      </c>
      <c r="G573" s="2">
        <v>0.3581125</v>
      </c>
      <c r="H573" s="2">
        <v>0.42996820000000002</v>
      </c>
      <c r="I573" s="2">
        <v>0.52825250000000001</v>
      </c>
      <c r="J573" s="2">
        <v>0.63550930000000005</v>
      </c>
      <c r="K573" s="2">
        <v>0.77912320000000002</v>
      </c>
      <c r="L573" s="2">
        <v>0.89601220000000004</v>
      </c>
      <c r="M573" s="2">
        <v>1.021506</v>
      </c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</row>
    <row r="574" spans="1:51" x14ac:dyDescent="0.2">
      <c r="A574" s="4" t="s">
        <v>69</v>
      </c>
      <c r="B574" s="2">
        <v>6.3735159999999999E-2</v>
      </c>
      <c r="C574" s="2">
        <v>0.12726090000000001</v>
      </c>
      <c r="D574" s="2">
        <v>0.1642728</v>
      </c>
      <c r="E574" s="2">
        <v>0.20671610000000001</v>
      </c>
      <c r="F574" s="2">
        <v>0.26582109999999998</v>
      </c>
      <c r="G574" s="2">
        <v>0.3581125</v>
      </c>
      <c r="H574" s="2">
        <v>0.42996820000000002</v>
      </c>
      <c r="I574" s="2">
        <v>0.52825250000000001</v>
      </c>
      <c r="J574" s="2">
        <v>0.63550930000000005</v>
      </c>
      <c r="K574" s="2">
        <v>0.77912320000000002</v>
      </c>
      <c r="L574" s="2">
        <v>0.89601220000000004</v>
      </c>
      <c r="M574" s="2">
        <v>1.021506</v>
      </c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</row>
    <row r="575" spans="1:51" x14ac:dyDescent="0.2">
      <c r="A575" s="4">
        <v>1971</v>
      </c>
      <c r="B575" s="2">
        <v>6.3735159999999999E-2</v>
      </c>
      <c r="C575" s="2">
        <v>0.12726090000000001</v>
      </c>
      <c r="D575" s="2">
        <v>0.1642728</v>
      </c>
      <c r="E575" s="2">
        <v>0.20671610000000001</v>
      </c>
      <c r="F575" s="2">
        <v>0.26582109999999998</v>
      </c>
      <c r="G575" s="2">
        <v>0.3581125</v>
      </c>
      <c r="H575" s="2">
        <v>0.42996820000000002</v>
      </c>
      <c r="I575" s="2">
        <v>0.52825250000000001</v>
      </c>
      <c r="J575" s="2">
        <v>0.63550930000000005</v>
      </c>
      <c r="K575" s="2">
        <v>0.77912320000000002</v>
      </c>
      <c r="L575" s="2">
        <v>0.89601220000000004</v>
      </c>
      <c r="M575" s="2">
        <v>1.021506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</row>
    <row r="576" spans="1:51" x14ac:dyDescent="0.2">
      <c r="A576" s="4">
        <v>1972</v>
      </c>
      <c r="B576" s="2">
        <v>6.3735159999999999E-2</v>
      </c>
      <c r="C576" s="2">
        <v>0.12726090000000001</v>
      </c>
      <c r="D576" s="2">
        <v>0.1642728</v>
      </c>
      <c r="E576" s="2">
        <v>0.20671610000000001</v>
      </c>
      <c r="F576" s="2">
        <v>0.26582109999999998</v>
      </c>
      <c r="G576" s="2">
        <v>0.3581125</v>
      </c>
      <c r="H576" s="2">
        <v>0.42996820000000002</v>
      </c>
      <c r="I576" s="2">
        <v>0.52825250000000001</v>
      </c>
      <c r="J576" s="2">
        <v>0.63550930000000005</v>
      </c>
      <c r="K576" s="2">
        <v>0.77912320000000002</v>
      </c>
      <c r="L576" s="2">
        <v>0.89601220000000004</v>
      </c>
      <c r="M576" s="2">
        <v>1.021506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</row>
    <row r="577" spans="1:51" x14ac:dyDescent="0.2">
      <c r="A577" s="4">
        <v>1973</v>
      </c>
      <c r="B577" s="2">
        <v>3.8100000000000002E-2</v>
      </c>
      <c r="C577" s="2">
        <v>8.09E-2</v>
      </c>
      <c r="D577" s="2">
        <v>0.1227</v>
      </c>
      <c r="E577" s="2">
        <v>0.1822</v>
      </c>
      <c r="F577" s="2">
        <v>0.2487</v>
      </c>
      <c r="G577" s="2">
        <v>0.30690000000000001</v>
      </c>
      <c r="H577" s="2">
        <v>0.40710000000000002</v>
      </c>
      <c r="I577" s="2">
        <v>0.4879</v>
      </c>
      <c r="J577" s="2">
        <v>0.63549999999999995</v>
      </c>
      <c r="K577" s="2">
        <v>0.77910000000000001</v>
      </c>
      <c r="L577" s="2">
        <v>0.89600000000000002</v>
      </c>
      <c r="M577" s="2">
        <v>1.0215000000000001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</row>
    <row r="578" spans="1:51" x14ac:dyDescent="0.2">
      <c r="A578" s="4">
        <v>1974</v>
      </c>
      <c r="B578" s="2">
        <v>3.8100000000000002E-2</v>
      </c>
      <c r="C578" s="2">
        <v>8.09E-2</v>
      </c>
      <c r="D578" s="2">
        <v>0.1227</v>
      </c>
      <c r="E578" s="2">
        <v>0.1822</v>
      </c>
      <c r="F578" s="2">
        <v>0.2487</v>
      </c>
      <c r="G578" s="2">
        <v>0.30690000000000001</v>
      </c>
      <c r="H578" s="2">
        <v>0.40710000000000002</v>
      </c>
      <c r="I578" s="2">
        <v>0.4879</v>
      </c>
      <c r="J578" s="2">
        <v>0.63549999999999995</v>
      </c>
      <c r="K578" s="2">
        <v>0.77910000000000001</v>
      </c>
      <c r="L578" s="2">
        <v>0.89600000000000002</v>
      </c>
      <c r="M578" s="2">
        <v>1.0215000000000001</v>
      </c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</row>
    <row r="579" spans="1:51" x14ac:dyDescent="0.2">
      <c r="A579" s="4">
        <v>1975</v>
      </c>
      <c r="B579" s="2">
        <v>3.8100000000000002E-2</v>
      </c>
      <c r="C579" s="2">
        <v>8.09E-2</v>
      </c>
      <c r="D579" s="2">
        <v>0.1227</v>
      </c>
      <c r="E579" s="2">
        <v>0.1822</v>
      </c>
      <c r="F579" s="2">
        <v>0.2487</v>
      </c>
      <c r="G579" s="2">
        <v>0.30690000000000001</v>
      </c>
      <c r="H579" s="2">
        <v>0.40710000000000002</v>
      </c>
      <c r="I579" s="2">
        <v>0.4879</v>
      </c>
      <c r="J579" s="2">
        <v>0.63549999999999995</v>
      </c>
      <c r="K579" s="2">
        <v>0.77910000000000001</v>
      </c>
      <c r="L579" s="2">
        <v>0.89600000000000002</v>
      </c>
      <c r="M579" s="2">
        <v>1.0215000000000001</v>
      </c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</row>
    <row r="580" spans="1:51" x14ac:dyDescent="0.2">
      <c r="A580" s="4">
        <v>1976</v>
      </c>
      <c r="B580" s="2">
        <v>3.8100000000000002E-2</v>
      </c>
      <c r="C580" s="2">
        <v>8.09E-2</v>
      </c>
      <c r="D580" s="2">
        <v>0.1227</v>
      </c>
      <c r="E580" s="2">
        <v>0.1822</v>
      </c>
      <c r="F580" s="2">
        <v>0.2487</v>
      </c>
      <c r="G580" s="2">
        <v>0.30690000000000001</v>
      </c>
      <c r="H580" s="2">
        <v>0.40710000000000002</v>
      </c>
      <c r="I580" s="2">
        <v>0.4879</v>
      </c>
      <c r="J580" s="2">
        <v>0.63549999999999995</v>
      </c>
      <c r="K580" s="2">
        <v>0.77910000000000001</v>
      </c>
      <c r="L580" s="2">
        <v>0.89600000000000002</v>
      </c>
      <c r="M580" s="2">
        <v>1.0215000000000001</v>
      </c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</row>
    <row r="581" spans="1:51" x14ac:dyDescent="0.2">
      <c r="A581" s="4">
        <v>1977</v>
      </c>
      <c r="B581" s="2">
        <v>3.8100000000000002E-2</v>
      </c>
      <c r="C581" s="2">
        <v>8.09E-2</v>
      </c>
      <c r="D581" s="2">
        <v>0.1227</v>
      </c>
      <c r="E581" s="2">
        <v>0.1822</v>
      </c>
      <c r="F581" s="2">
        <v>0.2487</v>
      </c>
      <c r="G581" s="2">
        <v>0.30690000000000001</v>
      </c>
      <c r="H581" s="2">
        <v>0.40710000000000002</v>
      </c>
      <c r="I581" s="2">
        <v>0.4879</v>
      </c>
      <c r="J581" s="2">
        <v>0.63549999999999995</v>
      </c>
      <c r="K581" s="2">
        <v>0.77910000000000001</v>
      </c>
      <c r="L581" s="2">
        <v>0.89600000000000002</v>
      </c>
      <c r="M581" s="2">
        <v>1.0215000000000001</v>
      </c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</row>
    <row r="582" spans="1:51" x14ac:dyDescent="0.2">
      <c r="A582" s="4">
        <v>1978</v>
      </c>
      <c r="B582" s="2">
        <v>3.8100000000000002E-2</v>
      </c>
      <c r="C582" s="2">
        <v>8.09E-2</v>
      </c>
      <c r="D582" s="2">
        <v>0.1227</v>
      </c>
      <c r="E582" s="2">
        <v>0.1822</v>
      </c>
      <c r="F582" s="2">
        <v>0.2487</v>
      </c>
      <c r="G582" s="2">
        <v>0.30690000000000001</v>
      </c>
      <c r="H582" s="2">
        <v>0.40710000000000002</v>
      </c>
      <c r="I582" s="2">
        <v>0.4879</v>
      </c>
      <c r="J582" s="2">
        <v>0.63549999999999995</v>
      </c>
      <c r="K582" s="2">
        <v>0.77910000000000001</v>
      </c>
      <c r="L582" s="2">
        <v>0.89600000000000002</v>
      </c>
      <c r="M582" s="2">
        <v>1.0215000000000001</v>
      </c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</row>
    <row r="583" spans="1:51" x14ac:dyDescent="0.2">
      <c r="A583" s="4">
        <v>1979</v>
      </c>
      <c r="B583" s="2">
        <v>3.8100000000000002E-2</v>
      </c>
      <c r="C583" s="2">
        <v>8.09E-2</v>
      </c>
      <c r="D583" s="2">
        <v>0.1227</v>
      </c>
      <c r="E583" s="2">
        <v>0.1822</v>
      </c>
      <c r="F583" s="2">
        <v>0.2487</v>
      </c>
      <c r="G583" s="2">
        <v>0.30690000000000001</v>
      </c>
      <c r="H583" s="2">
        <v>0.40710000000000002</v>
      </c>
      <c r="I583" s="2">
        <v>0.4879</v>
      </c>
      <c r="J583" s="2">
        <v>0.63549999999999995</v>
      </c>
      <c r="K583" s="2">
        <v>0.77910000000000001</v>
      </c>
      <c r="L583" s="2">
        <v>0.89600000000000002</v>
      </c>
      <c r="M583" s="2">
        <v>1.0215000000000001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</row>
    <row r="584" spans="1:51" x14ac:dyDescent="0.2">
      <c r="A584" s="4">
        <v>1980</v>
      </c>
      <c r="B584" s="2">
        <v>3.8100000000000002E-2</v>
      </c>
      <c r="C584" s="2">
        <v>8.09E-2</v>
      </c>
      <c r="D584" s="2">
        <v>0.1227</v>
      </c>
      <c r="E584" s="2">
        <v>0.1822</v>
      </c>
      <c r="F584" s="2">
        <v>0.2487</v>
      </c>
      <c r="G584" s="2">
        <v>0.30690000000000001</v>
      </c>
      <c r="H584" s="2">
        <v>0.40710000000000002</v>
      </c>
      <c r="I584" s="2">
        <v>0.4879</v>
      </c>
      <c r="J584" s="2">
        <v>0.63549999999999995</v>
      </c>
      <c r="K584" s="2">
        <v>0.77910000000000001</v>
      </c>
      <c r="L584" s="2">
        <v>0.89600000000000002</v>
      </c>
      <c r="M584" s="2">
        <v>1.0215000000000001</v>
      </c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</row>
    <row r="585" spans="1:51" x14ac:dyDescent="0.2">
      <c r="A585" s="4">
        <v>1981</v>
      </c>
      <c r="B585" s="2">
        <v>3.8100000000000002E-2</v>
      </c>
      <c r="C585" s="2">
        <v>8.09E-2</v>
      </c>
      <c r="D585" s="2">
        <v>0.1227</v>
      </c>
      <c r="E585" s="2">
        <v>0.1822</v>
      </c>
      <c r="F585" s="2">
        <v>0.2487</v>
      </c>
      <c r="G585" s="2">
        <v>0.30690000000000001</v>
      </c>
      <c r="H585" s="2">
        <v>0.40710000000000002</v>
      </c>
      <c r="I585" s="2">
        <v>0.4879</v>
      </c>
      <c r="J585" s="2">
        <v>0.63549999999999995</v>
      </c>
      <c r="K585" s="2">
        <v>0.77910000000000001</v>
      </c>
      <c r="L585" s="2">
        <v>0.89600000000000002</v>
      </c>
      <c r="M585" s="2">
        <v>1.0215000000000001</v>
      </c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</row>
    <row r="586" spans="1:51" x14ac:dyDescent="0.2">
      <c r="A586" s="4">
        <v>1982</v>
      </c>
      <c r="B586" s="2">
        <v>3.8100000000000002E-2</v>
      </c>
      <c r="C586" s="2">
        <v>8.09E-2</v>
      </c>
      <c r="D586" s="2">
        <v>0.1227</v>
      </c>
      <c r="E586" s="2">
        <v>0.1822</v>
      </c>
      <c r="F586" s="2">
        <v>0.2487</v>
      </c>
      <c r="G586" s="2">
        <v>0.30690000000000001</v>
      </c>
      <c r="H586" s="2">
        <v>0.40710000000000002</v>
      </c>
      <c r="I586" s="2">
        <v>0.4879</v>
      </c>
      <c r="J586" s="2">
        <v>0.63549999999999995</v>
      </c>
      <c r="K586" s="2">
        <v>0.77910000000000001</v>
      </c>
      <c r="L586" s="2">
        <v>0.89600000000000002</v>
      </c>
      <c r="M586" s="2">
        <v>1.0215000000000001</v>
      </c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</row>
    <row r="587" spans="1:51" x14ac:dyDescent="0.2">
      <c r="A587" s="4">
        <v>1983</v>
      </c>
      <c r="B587" s="2">
        <v>3.8100000000000002E-2</v>
      </c>
      <c r="C587" s="2">
        <v>8.09E-2</v>
      </c>
      <c r="D587" s="2">
        <v>0.1227</v>
      </c>
      <c r="E587" s="2">
        <v>0.1822</v>
      </c>
      <c r="F587" s="2">
        <v>0.2487</v>
      </c>
      <c r="G587" s="2">
        <v>0.30690000000000001</v>
      </c>
      <c r="H587" s="2">
        <v>0.40710000000000002</v>
      </c>
      <c r="I587" s="2">
        <v>0.4879</v>
      </c>
      <c r="J587" s="2">
        <v>0.63549999999999995</v>
      </c>
      <c r="K587" s="2">
        <v>0.77910000000000001</v>
      </c>
      <c r="L587" s="2">
        <v>0.89600000000000002</v>
      </c>
      <c r="M587" s="2">
        <v>1.0215000000000001</v>
      </c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</row>
    <row r="588" spans="1:51" x14ac:dyDescent="0.2">
      <c r="A588" s="4">
        <v>1984</v>
      </c>
      <c r="B588" s="2">
        <v>3.8100000000000002E-2</v>
      </c>
      <c r="C588" s="2">
        <v>8.09E-2</v>
      </c>
      <c r="D588" s="2">
        <v>0.1227</v>
      </c>
      <c r="E588" s="2">
        <v>0.1822</v>
      </c>
      <c r="F588" s="2">
        <v>0.2487</v>
      </c>
      <c r="G588" s="2">
        <v>0.30690000000000001</v>
      </c>
      <c r="H588" s="2">
        <v>0.40710000000000002</v>
      </c>
      <c r="I588" s="2">
        <v>0.4879</v>
      </c>
      <c r="J588" s="2">
        <v>0.63549999999999995</v>
      </c>
      <c r="K588" s="2">
        <v>0.77910000000000001</v>
      </c>
      <c r="L588" s="2">
        <v>0.89600000000000002</v>
      </c>
      <c r="M588" s="2">
        <v>1.0215000000000001</v>
      </c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</row>
    <row r="589" spans="1:51" x14ac:dyDescent="0.2">
      <c r="A589" s="4">
        <v>1985</v>
      </c>
      <c r="B589" s="2">
        <v>3.8100000000000002E-2</v>
      </c>
      <c r="C589" s="2">
        <v>8.09E-2</v>
      </c>
      <c r="D589" s="2">
        <v>0.1227</v>
      </c>
      <c r="E589" s="2">
        <v>0.1822</v>
      </c>
      <c r="F589" s="2">
        <v>0.2487</v>
      </c>
      <c r="G589" s="2">
        <v>0.30690000000000001</v>
      </c>
      <c r="H589" s="2">
        <v>0.40710000000000002</v>
      </c>
      <c r="I589" s="2">
        <v>0.4879</v>
      </c>
      <c r="J589" s="2">
        <v>0.63549999999999995</v>
      </c>
      <c r="K589" s="2">
        <v>0.77910000000000001</v>
      </c>
      <c r="L589" s="2">
        <v>0.89600000000000002</v>
      </c>
      <c r="M589" s="2">
        <v>1.0215000000000001</v>
      </c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</row>
    <row r="590" spans="1:51" x14ac:dyDescent="0.2">
      <c r="A590" s="4">
        <v>1986</v>
      </c>
      <c r="B590" s="2">
        <v>3.8100000000000002E-2</v>
      </c>
      <c r="C590" s="2">
        <v>8.09E-2</v>
      </c>
      <c r="D590" s="2">
        <v>0.1227</v>
      </c>
      <c r="E590" s="2">
        <v>0.1822</v>
      </c>
      <c r="F590" s="2">
        <v>0.2487</v>
      </c>
      <c r="G590" s="2">
        <v>0.30690000000000001</v>
      </c>
      <c r="H590" s="2">
        <v>0.40710000000000002</v>
      </c>
      <c r="I590" s="2">
        <v>0.4879</v>
      </c>
      <c r="J590" s="2">
        <v>0.63549999999999995</v>
      </c>
      <c r="K590" s="2">
        <v>0.77910000000000001</v>
      </c>
      <c r="L590" s="2">
        <v>0.89600000000000002</v>
      </c>
      <c r="M590" s="2">
        <v>1.0215000000000001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</row>
    <row r="591" spans="1:51" x14ac:dyDescent="0.2">
      <c r="A591" s="4">
        <v>1987</v>
      </c>
      <c r="B591" s="2">
        <v>3.8100000000000002E-2</v>
      </c>
      <c r="C591" s="2">
        <v>8.09E-2</v>
      </c>
      <c r="D591" s="2">
        <v>0.1227</v>
      </c>
      <c r="E591" s="2">
        <v>0.1822</v>
      </c>
      <c r="F591" s="2">
        <v>0.2487</v>
      </c>
      <c r="G591" s="2">
        <v>0.30690000000000001</v>
      </c>
      <c r="H591" s="2">
        <v>0.40710000000000002</v>
      </c>
      <c r="I591" s="2">
        <v>0.4879</v>
      </c>
      <c r="J591" s="2">
        <v>0.63549999999999995</v>
      </c>
      <c r="K591" s="2">
        <v>0.77910000000000001</v>
      </c>
      <c r="L591" s="2">
        <v>0.89600000000000002</v>
      </c>
      <c r="M591" s="2">
        <v>1.0215000000000001</v>
      </c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</row>
    <row r="592" spans="1:51" x14ac:dyDescent="0.2">
      <c r="A592" s="4">
        <v>1988</v>
      </c>
      <c r="B592" s="2">
        <v>3.8100000000000002E-2</v>
      </c>
      <c r="C592" s="2">
        <v>8.09E-2</v>
      </c>
      <c r="D592" s="2">
        <v>0.1227</v>
      </c>
      <c r="E592" s="2">
        <v>0.1822</v>
      </c>
      <c r="F592" s="2">
        <v>0.2487</v>
      </c>
      <c r="G592" s="2">
        <v>0.30690000000000001</v>
      </c>
      <c r="H592" s="2">
        <v>0.40710000000000002</v>
      </c>
      <c r="I592" s="2">
        <v>0.4879</v>
      </c>
      <c r="J592" s="2">
        <v>0.63549999999999995</v>
      </c>
      <c r="K592" s="2">
        <v>0.77910000000000001</v>
      </c>
      <c r="L592" s="2">
        <v>0.89600000000000002</v>
      </c>
      <c r="M592" s="2">
        <v>1.0215000000000001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</row>
    <row r="593" spans="1:51" x14ac:dyDescent="0.2">
      <c r="A593" s="4">
        <v>1989</v>
      </c>
      <c r="B593" s="2">
        <v>3.8100000000000002E-2</v>
      </c>
      <c r="C593" s="2">
        <v>8.09E-2</v>
      </c>
      <c r="D593" s="2">
        <v>0.1227</v>
      </c>
      <c r="E593" s="2">
        <v>0.1822</v>
      </c>
      <c r="F593" s="2">
        <v>0.2487</v>
      </c>
      <c r="G593" s="2">
        <v>0.30690000000000001</v>
      </c>
      <c r="H593" s="2">
        <v>0.40710000000000002</v>
      </c>
      <c r="I593" s="2">
        <v>0.4879</v>
      </c>
      <c r="J593" s="2">
        <v>0.63549999999999995</v>
      </c>
      <c r="K593" s="2">
        <v>0.77910000000000001</v>
      </c>
      <c r="L593" s="2">
        <v>0.89600000000000002</v>
      </c>
      <c r="M593" s="2">
        <v>1.0215000000000001</v>
      </c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</row>
    <row r="594" spans="1:51" x14ac:dyDescent="0.2">
      <c r="A594" s="4">
        <v>1990</v>
      </c>
      <c r="B594" s="2">
        <v>3.8100000000000002E-2</v>
      </c>
      <c r="C594" s="2">
        <v>8.09E-2</v>
      </c>
      <c r="D594" s="2">
        <v>0.1227</v>
      </c>
      <c r="E594" s="2">
        <v>0.1822</v>
      </c>
      <c r="F594" s="2">
        <v>0.2487</v>
      </c>
      <c r="G594" s="2">
        <v>0.30690000000000001</v>
      </c>
      <c r="H594" s="2">
        <v>0.40710000000000002</v>
      </c>
      <c r="I594" s="2">
        <v>0.4879</v>
      </c>
      <c r="J594" s="2">
        <v>0.63549999999999995</v>
      </c>
      <c r="K594" s="2">
        <v>0.77910000000000001</v>
      </c>
      <c r="L594" s="2">
        <v>0.89600000000000002</v>
      </c>
      <c r="M594" s="2">
        <v>1.0215000000000001</v>
      </c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</row>
    <row r="595" spans="1:51" x14ac:dyDescent="0.2">
      <c r="A595" s="4">
        <v>1991</v>
      </c>
      <c r="B595" s="2">
        <v>3.8100000000000002E-2</v>
      </c>
      <c r="C595" s="2">
        <v>8.09E-2</v>
      </c>
      <c r="D595" s="2">
        <v>0.1227</v>
      </c>
      <c r="E595" s="2">
        <v>0.1822</v>
      </c>
      <c r="F595" s="2">
        <v>0.2487</v>
      </c>
      <c r="G595" s="2">
        <v>0.30690000000000001</v>
      </c>
      <c r="H595" s="2">
        <v>0.40710000000000002</v>
      </c>
      <c r="I595" s="2">
        <v>0.4879</v>
      </c>
      <c r="J595" s="2">
        <v>0.63549999999999995</v>
      </c>
      <c r="K595" s="2">
        <v>0.77910000000000001</v>
      </c>
      <c r="L595" s="2">
        <v>0.89600000000000002</v>
      </c>
      <c r="M595" s="2">
        <v>1.0215000000000001</v>
      </c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</row>
    <row r="596" spans="1:51" x14ac:dyDescent="0.2">
      <c r="A596" s="4">
        <v>1992</v>
      </c>
      <c r="B596" s="2">
        <v>3.8100000000000002E-2</v>
      </c>
      <c r="C596" s="2">
        <v>8.09E-2</v>
      </c>
      <c r="D596" s="2">
        <v>0.1227</v>
      </c>
      <c r="E596" s="2">
        <v>0.1822</v>
      </c>
      <c r="F596" s="2">
        <v>0.2487</v>
      </c>
      <c r="G596" s="2">
        <v>0.30690000000000001</v>
      </c>
      <c r="H596" s="2">
        <v>0.40710000000000002</v>
      </c>
      <c r="I596" s="2">
        <v>0.4879</v>
      </c>
      <c r="J596" s="2">
        <v>0.63549999999999995</v>
      </c>
      <c r="K596" s="2">
        <v>0.77910000000000001</v>
      </c>
      <c r="L596" s="2">
        <v>0.89600000000000002</v>
      </c>
      <c r="M596" s="2">
        <v>1.0215000000000001</v>
      </c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</row>
    <row r="597" spans="1:51" x14ac:dyDescent="0.2">
      <c r="A597" s="4">
        <v>1993</v>
      </c>
      <c r="B597" s="2">
        <v>3.8100000000000002E-2</v>
      </c>
      <c r="C597" s="2">
        <v>8.09E-2</v>
      </c>
      <c r="D597" s="2">
        <v>0.1227</v>
      </c>
      <c r="E597" s="2">
        <v>0.1822</v>
      </c>
      <c r="F597" s="2">
        <v>0.2487</v>
      </c>
      <c r="G597" s="2">
        <v>0.30690000000000001</v>
      </c>
      <c r="H597" s="2">
        <v>0.40710000000000002</v>
      </c>
      <c r="I597" s="2">
        <v>0.4879</v>
      </c>
      <c r="J597" s="2">
        <v>0.63549999999999995</v>
      </c>
      <c r="K597" s="2">
        <v>0.77910000000000001</v>
      </c>
      <c r="L597" s="2">
        <v>0.89600000000000002</v>
      </c>
      <c r="M597" s="2">
        <v>1.0215000000000001</v>
      </c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</row>
    <row r="598" spans="1:51" x14ac:dyDescent="0.2">
      <c r="A598" s="4">
        <v>1994</v>
      </c>
      <c r="B598" s="2">
        <v>3.8100000000000002E-2</v>
      </c>
      <c r="C598" s="2">
        <v>8.09E-2</v>
      </c>
      <c r="D598" s="2">
        <v>0.1227</v>
      </c>
      <c r="E598" s="2">
        <v>0.1822</v>
      </c>
      <c r="F598" s="2">
        <v>0.2487</v>
      </c>
      <c r="G598" s="2">
        <v>0.30690000000000001</v>
      </c>
      <c r="H598" s="2">
        <v>0.40710000000000002</v>
      </c>
      <c r="I598" s="2">
        <v>0.4879</v>
      </c>
      <c r="J598" s="2">
        <v>0.63549999999999995</v>
      </c>
      <c r="K598" s="2">
        <v>0.77910000000000001</v>
      </c>
      <c r="L598" s="2">
        <v>0.89600000000000002</v>
      </c>
      <c r="M598" s="2">
        <v>1.0215000000000001</v>
      </c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</row>
    <row r="599" spans="1:51" x14ac:dyDescent="0.2">
      <c r="A599" s="4">
        <v>1995</v>
      </c>
      <c r="B599" s="2">
        <v>3.8100000000000002E-2</v>
      </c>
      <c r="C599" s="2">
        <v>8.09E-2</v>
      </c>
      <c r="D599" s="2">
        <v>0.1227</v>
      </c>
      <c r="E599" s="2">
        <v>0.1822</v>
      </c>
      <c r="F599" s="2">
        <v>0.2487</v>
      </c>
      <c r="G599" s="2">
        <v>0.30690000000000001</v>
      </c>
      <c r="H599" s="2">
        <v>0.40710000000000002</v>
      </c>
      <c r="I599" s="2">
        <v>0.4879</v>
      </c>
      <c r="J599" s="2">
        <v>0.63549999999999995</v>
      </c>
      <c r="K599" s="2">
        <v>0.77910000000000001</v>
      </c>
      <c r="L599" s="2">
        <v>0.89600000000000002</v>
      </c>
      <c r="M599" s="2">
        <v>1.0215000000000001</v>
      </c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</row>
    <row r="600" spans="1:51" x14ac:dyDescent="0.2">
      <c r="A600" s="4">
        <v>1996</v>
      </c>
      <c r="B600" s="2">
        <v>3.8100000000000002E-2</v>
      </c>
      <c r="C600" s="2">
        <v>8.09E-2</v>
      </c>
      <c r="D600" s="2">
        <v>0.1227</v>
      </c>
      <c r="E600" s="2">
        <v>0.1822</v>
      </c>
      <c r="F600" s="2">
        <v>0.2487</v>
      </c>
      <c r="G600" s="2">
        <v>0.30690000000000001</v>
      </c>
      <c r="H600" s="2">
        <v>0.40710000000000002</v>
      </c>
      <c r="I600" s="2">
        <v>0.4879</v>
      </c>
      <c r="J600" s="2">
        <v>0.63549999999999995</v>
      </c>
      <c r="K600" s="2">
        <v>0.77910000000000001</v>
      </c>
      <c r="L600" s="2">
        <v>0.89600000000000002</v>
      </c>
      <c r="M600" s="2">
        <v>1.0215000000000001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</row>
    <row r="601" spans="1:51" x14ac:dyDescent="0.2">
      <c r="A601" s="4">
        <v>1997</v>
      </c>
      <c r="B601" s="2">
        <v>3.8100000000000002E-2</v>
      </c>
      <c r="C601" s="2">
        <v>8.09E-2</v>
      </c>
      <c r="D601" s="2">
        <v>0.1227</v>
      </c>
      <c r="E601" s="2">
        <v>0.1822</v>
      </c>
      <c r="F601" s="2">
        <v>0.2487</v>
      </c>
      <c r="G601" s="2">
        <v>0.30690000000000001</v>
      </c>
      <c r="H601" s="2">
        <v>0.40710000000000002</v>
      </c>
      <c r="I601" s="2">
        <v>0.4879</v>
      </c>
      <c r="J601" s="2">
        <v>0.63549999999999995</v>
      </c>
      <c r="K601" s="2">
        <v>0.77910000000000001</v>
      </c>
      <c r="L601" s="2">
        <v>0.89600000000000002</v>
      </c>
      <c r="M601" s="2">
        <v>1.0215000000000001</v>
      </c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</row>
    <row r="602" spans="1:51" x14ac:dyDescent="0.2">
      <c r="A602" s="4">
        <v>1998</v>
      </c>
      <c r="B602" s="2">
        <v>3.8100000000000002E-2</v>
      </c>
      <c r="C602" s="2">
        <v>8.09E-2</v>
      </c>
      <c r="D602" s="2">
        <v>0.1227</v>
      </c>
      <c r="E602" s="2">
        <v>0.1822</v>
      </c>
      <c r="F602" s="2">
        <v>0.2487</v>
      </c>
      <c r="G602" s="2">
        <v>0.30690000000000001</v>
      </c>
      <c r="H602" s="2">
        <v>0.40710000000000002</v>
      </c>
      <c r="I602" s="2">
        <v>0.4879</v>
      </c>
      <c r="J602" s="2">
        <v>0.63549999999999995</v>
      </c>
      <c r="K602" s="2">
        <v>0.77910000000000001</v>
      </c>
      <c r="L602" s="2">
        <v>0.89600000000000002</v>
      </c>
      <c r="M602" s="2">
        <v>1.0215000000000001</v>
      </c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</row>
    <row r="603" spans="1:51" x14ac:dyDescent="0.2">
      <c r="A603" s="4">
        <v>1999</v>
      </c>
      <c r="B603" s="2">
        <v>3.8100000000000002E-2</v>
      </c>
      <c r="C603" s="2">
        <v>8.09E-2</v>
      </c>
      <c r="D603" s="2">
        <v>0.1227</v>
      </c>
      <c r="E603" s="2">
        <v>0.1822</v>
      </c>
      <c r="F603" s="2">
        <v>0.2487</v>
      </c>
      <c r="G603" s="2">
        <v>0.30690000000000001</v>
      </c>
      <c r="H603" s="2">
        <v>0.40710000000000002</v>
      </c>
      <c r="I603" s="2">
        <v>0.4879</v>
      </c>
      <c r="J603" s="2">
        <v>0.63549999999999995</v>
      </c>
      <c r="K603" s="2">
        <v>0.77910000000000001</v>
      </c>
      <c r="L603" s="2">
        <v>0.89600000000000002</v>
      </c>
      <c r="M603" s="2">
        <v>1.0215000000000001</v>
      </c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</row>
    <row r="604" spans="1:51" x14ac:dyDescent="0.2">
      <c r="A604" s="4">
        <v>2000</v>
      </c>
      <c r="B604" s="2">
        <v>3.8100000000000002E-2</v>
      </c>
      <c r="C604" s="2">
        <v>8.09E-2</v>
      </c>
      <c r="D604" s="2">
        <v>0.1227</v>
      </c>
      <c r="E604" s="2">
        <v>0.1822</v>
      </c>
      <c r="F604" s="2">
        <v>0.2487</v>
      </c>
      <c r="G604" s="2">
        <v>0.30690000000000001</v>
      </c>
      <c r="H604" s="2">
        <v>0.40710000000000002</v>
      </c>
      <c r="I604" s="2">
        <v>0.4879</v>
      </c>
      <c r="J604" s="2">
        <v>0.63549999999999995</v>
      </c>
      <c r="K604" s="2">
        <v>0.77910000000000001</v>
      </c>
      <c r="L604" s="2">
        <v>0.89600000000000002</v>
      </c>
      <c r="M604" s="2">
        <v>1.0215000000000001</v>
      </c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</row>
    <row r="605" spans="1:51" x14ac:dyDescent="0.2">
      <c r="A605" s="4">
        <v>2001</v>
      </c>
      <c r="B605" s="2">
        <v>3.8100000000000002E-2</v>
      </c>
      <c r="C605" s="2">
        <v>8.09E-2</v>
      </c>
      <c r="D605" s="2">
        <v>0.1227</v>
      </c>
      <c r="E605" s="2">
        <v>0.1822</v>
      </c>
      <c r="F605" s="2">
        <v>0.2487</v>
      </c>
      <c r="G605" s="2">
        <v>0.30690000000000001</v>
      </c>
      <c r="H605" s="2">
        <v>0.40710000000000002</v>
      </c>
      <c r="I605" s="2">
        <v>0.4879</v>
      </c>
      <c r="J605" s="2">
        <v>0.63549999999999995</v>
      </c>
      <c r="K605" s="2">
        <v>0.77910000000000001</v>
      </c>
      <c r="L605" s="2">
        <v>0.89600000000000002</v>
      </c>
      <c r="M605" s="2">
        <v>1.0215000000000001</v>
      </c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</row>
    <row r="606" spans="1:51" x14ac:dyDescent="0.2">
      <c r="A606" s="4">
        <v>2002</v>
      </c>
      <c r="B606" s="2">
        <v>3.8100000000000002E-2</v>
      </c>
      <c r="C606" s="2">
        <v>8.09E-2</v>
      </c>
      <c r="D606" s="2">
        <v>0.1227</v>
      </c>
      <c r="E606" s="2">
        <v>0.1822</v>
      </c>
      <c r="F606" s="2">
        <v>0.2487</v>
      </c>
      <c r="G606" s="2">
        <v>0.30690000000000001</v>
      </c>
      <c r="H606" s="2">
        <v>0.40710000000000002</v>
      </c>
      <c r="I606" s="2">
        <v>0.4879</v>
      </c>
      <c r="J606" s="2">
        <v>0.63549999999999995</v>
      </c>
      <c r="K606" s="2">
        <v>0.77910000000000001</v>
      </c>
      <c r="L606" s="2">
        <v>0.89600000000000002</v>
      </c>
      <c r="M606" s="2">
        <v>1.0215000000000001</v>
      </c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</row>
    <row r="607" spans="1:51" x14ac:dyDescent="0.2">
      <c r="A607" s="4">
        <v>2003</v>
      </c>
      <c r="B607" s="2">
        <v>3.8100000000000002E-2</v>
      </c>
      <c r="C607" s="2">
        <v>8.09E-2</v>
      </c>
      <c r="D607" s="2">
        <v>0.1227</v>
      </c>
      <c r="E607" s="2">
        <v>0.1822</v>
      </c>
      <c r="F607" s="2">
        <v>0.2487</v>
      </c>
      <c r="G607" s="2">
        <v>0.30690000000000001</v>
      </c>
      <c r="H607" s="2">
        <v>0.40710000000000002</v>
      </c>
      <c r="I607" s="2">
        <v>0.4879</v>
      </c>
      <c r="J607" s="2">
        <v>0.63549999999999995</v>
      </c>
      <c r="K607" s="2">
        <v>0.77910000000000001</v>
      </c>
      <c r="L607" s="2">
        <v>0.89600000000000002</v>
      </c>
      <c r="M607" s="2">
        <v>1.0215000000000001</v>
      </c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</row>
    <row r="608" spans="1:51" x14ac:dyDescent="0.2">
      <c r="A608" s="4">
        <v>2004</v>
      </c>
      <c r="B608" s="2">
        <v>3.8100000000000002E-2</v>
      </c>
      <c r="C608" s="2">
        <v>8.09E-2</v>
      </c>
      <c r="D608" s="2">
        <v>0.1227</v>
      </c>
      <c r="E608" s="2">
        <v>0.1822</v>
      </c>
      <c r="F608" s="2">
        <v>0.2487</v>
      </c>
      <c r="G608" s="2">
        <v>0.30690000000000001</v>
      </c>
      <c r="H608" s="2">
        <v>0.40710000000000002</v>
      </c>
      <c r="I608" s="2">
        <v>0.4879</v>
      </c>
      <c r="J608" s="2">
        <v>0.63549999999999995</v>
      </c>
      <c r="K608" s="2">
        <v>0.77910000000000001</v>
      </c>
      <c r="L608" s="2">
        <v>0.89600000000000002</v>
      </c>
      <c r="M608" s="2">
        <v>1.0215000000000001</v>
      </c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</row>
    <row r="609" spans="1:51" x14ac:dyDescent="0.2">
      <c r="A609" s="4">
        <v>2005</v>
      </c>
      <c r="B609" s="2">
        <v>3.8100000000000002E-2</v>
      </c>
      <c r="C609" s="2">
        <v>8.09E-2</v>
      </c>
      <c r="D609" s="2">
        <v>0.1227</v>
      </c>
      <c r="E609" s="2">
        <v>0.1822</v>
      </c>
      <c r="F609" s="2">
        <v>0.2487</v>
      </c>
      <c r="G609" s="2">
        <v>0.30690000000000001</v>
      </c>
      <c r="H609" s="2">
        <v>0.40710000000000002</v>
      </c>
      <c r="I609" s="2">
        <v>0.4879</v>
      </c>
      <c r="J609" s="2">
        <v>0.63549999999999995</v>
      </c>
      <c r="K609" s="2">
        <v>0.77910000000000001</v>
      </c>
      <c r="L609" s="2">
        <v>0.89600000000000002</v>
      </c>
      <c r="M609" s="2">
        <v>1.0215000000000001</v>
      </c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</row>
    <row r="610" spans="1:51" x14ac:dyDescent="0.2">
      <c r="A610" s="4">
        <v>2006</v>
      </c>
      <c r="B610" s="2">
        <v>3.8100000000000002E-2</v>
      </c>
      <c r="C610" s="2">
        <v>8.09E-2</v>
      </c>
      <c r="D610" s="2">
        <v>0.1227</v>
      </c>
      <c r="E610" s="2">
        <v>0.1822</v>
      </c>
      <c r="F610" s="2">
        <v>0.2487</v>
      </c>
      <c r="G610" s="2">
        <v>0.30690000000000001</v>
      </c>
      <c r="H610" s="2">
        <v>0.40710000000000002</v>
      </c>
      <c r="I610" s="2">
        <v>0.4879</v>
      </c>
      <c r="J610" s="2">
        <v>0.63549999999999995</v>
      </c>
      <c r="K610" s="2">
        <v>0.77910000000000001</v>
      </c>
      <c r="L610" s="2">
        <v>0.89600000000000002</v>
      </c>
      <c r="M610" s="2">
        <v>1.0215000000000001</v>
      </c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</row>
    <row r="611" spans="1:51" x14ac:dyDescent="0.2">
      <c r="A611" s="4">
        <v>2007</v>
      </c>
      <c r="B611" s="2">
        <v>3.8100000000000002E-2</v>
      </c>
      <c r="C611" s="2">
        <v>8.09E-2</v>
      </c>
      <c r="D611" s="2">
        <v>0.1227</v>
      </c>
      <c r="E611" s="2">
        <v>0.1822</v>
      </c>
      <c r="F611" s="2">
        <v>0.2487</v>
      </c>
      <c r="G611" s="2">
        <v>0.30690000000000001</v>
      </c>
      <c r="H611" s="2">
        <v>0.40710000000000002</v>
      </c>
      <c r="I611" s="2">
        <v>0.4879</v>
      </c>
      <c r="J611" s="2">
        <v>0.63549999999999995</v>
      </c>
      <c r="K611" s="2">
        <v>0.77910000000000001</v>
      </c>
      <c r="L611" s="2">
        <v>0.89600000000000002</v>
      </c>
      <c r="M611" s="2">
        <v>1.0215000000000001</v>
      </c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</row>
    <row r="612" spans="1:51" x14ac:dyDescent="0.2">
      <c r="A612" s="4">
        <v>2008</v>
      </c>
      <c r="B612" s="2">
        <v>3.8100000000000002E-2</v>
      </c>
      <c r="C612" s="2">
        <v>8.09E-2</v>
      </c>
      <c r="D612" s="2">
        <v>0.1227</v>
      </c>
      <c r="E612" s="2">
        <v>0.1822</v>
      </c>
      <c r="F612" s="2">
        <v>0.2487</v>
      </c>
      <c r="G612" s="2">
        <v>0.30690000000000001</v>
      </c>
      <c r="H612" s="2">
        <v>0.40710000000000002</v>
      </c>
      <c r="I612" s="2">
        <v>0.4879</v>
      </c>
      <c r="J612" s="2">
        <v>0.63549999999999995</v>
      </c>
      <c r="K612" s="2">
        <v>0.77910000000000001</v>
      </c>
      <c r="L612" s="2">
        <v>0.89600000000000002</v>
      </c>
      <c r="M612" s="2">
        <v>1.0215000000000001</v>
      </c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</row>
    <row r="613" spans="1:51" x14ac:dyDescent="0.2">
      <c r="A613" s="4">
        <v>2009</v>
      </c>
      <c r="B613" s="2">
        <v>3.8600000000000002E-2</v>
      </c>
      <c r="C613" s="2">
        <v>9.2299999999999993E-2</v>
      </c>
      <c r="D613" s="2">
        <v>0.13980000000000001</v>
      </c>
      <c r="E613" s="2">
        <v>0.18240000000000001</v>
      </c>
      <c r="F613" s="2">
        <v>0.23569999999999999</v>
      </c>
      <c r="G613" s="2">
        <v>0.30690000000000001</v>
      </c>
      <c r="H613" s="2">
        <v>0.40710000000000002</v>
      </c>
      <c r="I613" s="2">
        <v>0.4879</v>
      </c>
      <c r="J613" s="2">
        <v>0.63549999999999995</v>
      </c>
      <c r="K613" s="2">
        <v>0.77910000000000001</v>
      </c>
      <c r="L613" s="2">
        <v>0.89600000000000002</v>
      </c>
      <c r="M613" s="2">
        <v>1.0215000000000001</v>
      </c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</row>
    <row r="614" spans="1:51" x14ac:dyDescent="0.2">
      <c r="A614" s="4">
        <v>2010</v>
      </c>
      <c r="B614" s="2">
        <v>5.7200000000000001E-2</v>
      </c>
      <c r="C614" s="2">
        <v>0.10539999999999999</v>
      </c>
      <c r="D614" s="2">
        <v>0.15179999999999999</v>
      </c>
      <c r="E614" s="2">
        <v>0.20599999999999999</v>
      </c>
      <c r="F614" s="2">
        <v>0.22550000000000001</v>
      </c>
      <c r="G614" s="2">
        <v>0.30940000000000001</v>
      </c>
      <c r="H614" s="2">
        <v>0.36170000000000002</v>
      </c>
      <c r="I614" s="2">
        <v>0.4879</v>
      </c>
      <c r="J614" s="2">
        <v>0.63549999999999995</v>
      </c>
      <c r="K614" s="2">
        <v>0.77910000000000001</v>
      </c>
      <c r="L614" s="2">
        <v>0.89600000000000002</v>
      </c>
      <c r="M614" s="2">
        <v>1.0215000000000001</v>
      </c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</row>
    <row r="615" spans="1:51" x14ac:dyDescent="0.2">
      <c r="A615" s="4">
        <v>2011</v>
      </c>
      <c r="B615" s="2">
        <v>5.0599999999999999E-2</v>
      </c>
      <c r="C615" s="2">
        <v>6.9900000000000004E-2</v>
      </c>
      <c r="D615" s="2">
        <v>7.5200000000000003E-2</v>
      </c>
      <c r="E615" s="2">
        <v>9.9000000000000005E-2</v>
      </c>
      <c r="F615" s="2">
        <v>0.2399</v>
      </c>
      <c r="G615" s="2">
        <v>0.27950000000000003</v>
      </c>
      <c r="H615" s="2">
        <v>0.40749999999999997</v>
      </c>
      <c r="I615" s="2">
        <v>0.4879</v>
      </c>
      <c r="J615" s="2">
        <v>0.63549999999999995</v>
      </c>
      <c r="K615" s="2">
        <v>0.77910000000000001</v>
      </c>
      <c r="L615" s="2">
        <v>0.89600000000000002</v>
      </c>
      <c r="M615" s="2">
        <v>1.0215000000000001</v>
      </c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</row>
    <row r="616" spans="1:51" x14ac:dyDescent="0.2">
      <c r="A616" s="4">
        <v>2012</v>
      </c>
      <c r="B616" s="2">
        <v>3.8100000000000002E-2</v>
      </c>
      <c r="C616" s="2">
        <v>0.1057</v>
      </c>
      <c r="D616" s="2">
        <v>0.14460000000000001</v>
      </c>
      <c r="E616" s="2">
        <v>0.2026</v>
      </c>
      <c r="F616" s="2">
        <v>0.28129999999999999</v>
      </c>
      <c r="G616" s="2">
        <v>0.3201</v>
      </c>
      <c r="H616" s="2">
        <v>0.45300000000000001</v>
      </c>
      <c r="I616" s="2">
        <v>0.4879</v>
      </c>
      <c r="J616" s="2">
        <v>0.63549999999999995</v>
      </c>
      <c r="K616" s="2">
        <v>0.77910000000000001</v>
      </c>
      <c r="L616" s="2">
        <v>0.89600000000000002</v>
      </c>
      <c r="M616" s="2">
        <v>1.0215000000000001</v>
      </c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</row>
    <row r="617" spans="1:51" x14ac:dyDescent="0.2">
      <c r="A617" s="4">
        <v>2013</v>
      </c>
      <c r="B617" s="2">
        <v>3.8100000000000002E-2</v>
      </c>
      <c r="C617" s="2">
        <v>4.8000000000000001E-2</v>
      </c>
      <c r="D617" s="2">
        <v>0.1426</v>
      </c>
      <c r="E617" s="2">
        <v>0.17299999999999999</v>
      </c>
      <c r="F617" s="2">
        <v>0.2356</v>
      </c>
      <c r="G617" s="2">
        <v>0.28539999999999999</v>
      </c>
      <c r="H617" s="2">
        <v>0.39539999999999997</v>
      </c>
      <c r="I617" s="2">
        <v>0.4879</v>
      </c>
      <c r="J617" s="2">
        <v>0.63549999999999995</v>
      </c>
      <c r="K617" s="2">
        <v>0.77910000000000001</v>
      </c>
      <c r="L617" s="2">
        <v>0.89600000000000002</v>
      </c>
      <c r="M617" s="2">
        <v>1.0215000000000001</v>
      </c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</row>
    <row r="618" spans="1:51" x14ac:dyDescent="0.2">
      <c r="A618" s="4">
        <v>2014</v>
      </c>
      <c r="B618" s="2">
        <v>3.8100000000000002E-2</v>
      </c>
      <c r="C618" s="2">
        <v>7.4700000000000003E-2</v>
      </c>
      <c r="D618" s="2">
        <v>0.1101</v>
      </c>
      <c r="E618" s="2">
        <v>0.17960000000000001</v>
      </c>
      <c r="F618" s="2">
        <v>0.224</v>
      </c>
      <c r="G618" s="2">
        <v>0.30099999999999999</v>
      </c>
      <c r="H618" s="2">
        <v>0.33779999999999999</v>
      </c>
      <c r="I618" s="2">
        <v>0.4879</v>
      </c>
      <c r="J618" s="2">
        <v>0.63549999999999995</v>
      </c>
      <c r="K618" s="2">
        <v>0.77910000000000001</v>
      </c>
      <c r="L618" s="2">
        <v>0.89600000000000002</v>
      </c>
      <c r="M618" s="2">
        <v>1.0215000000000001</v>
      </c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</row>
    <row r="619" spans="1:51" x14ac:dyDescent="0.2">
      <c r="A619" s="4">
        <v>2015</v>
      </c>
      <c r="B619" s="2">
        <v>6.0000000000000001E-3</v>
      </c>
      <c r="C619" s="2">
        <v>7.0000000000000007E-2</v>
      </c>
      <c r="D619" s="2">
        <v>9.5000000000000001E-2</v>
      </c>
      <c r="E619" s="2">
        <v>0.23300000000000001</v>
      </c>
      <c r="F619" s="2">
        <v>0.29899999999999999</v>
      </c>
      <c r="G619" s="2">
        <v>0.34599999999999997</v>
      </c>
      <c r="H619" s="2">
        <v>0.48699999999999999</v>
      </c>
      <c r="I619" s="2">
        <v>0.4879</v>
      </c>
      <c r="J619" s="2">
        <v>0.63549999999999995</v>
      </c>
      <c r="K619" s="2">
        <v>0.77910000000000001</v>
      </c>
      <c r="L619" s="2">
        <v>0.89600000000000002</v>
      </c>
      <c r="M619" s="2">
        <v>1.0215000000000001</v>
      </c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</row>
    <row r="620" spans="1:51" x14ac:dyDescent="0.2">
      <c r="A620" s="4">
        <v>2016</v>
      </c>
      <c r="B620" s="2">
        <v>2.1190000000000001E-2</v>
      </c>
      <c r="C620" s="2">
        <v>2.8129999999999999E-2</v>
      </c>
      <c r="D620" s="2">
        <v>0.13370000000000001</v>
      </c>
      <c r="E620" s="2">
        <v>0.20194999999999999</v>
      </c>
      <c r="F620" s="2">
        <v>0.30216999999999999</v>
      </c>
      <c r="G620" s="2">
        <v>0.42804999999999999</v>
      </c>
      <c r="H620" s="2">
        <v>0.51715</v>
      </c>
      <c r="I620" s="2">
        <v>0.56596999999999997</v>
      </c>
      <c r="J620" s="2">
        <v>0.63551000000000002</v>
      </c>
      <c r="K620" s="2">
        <v>0.77912000000000003</v>
      </c>
      <c r="L620" s="2">
        <v>0.89600999999999997</v>
      </c>
      <c r="M620" s="2">
        <v>1.0215099999999999</v>
      </c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</row>
    <row r="621" spans="1:51" x14ac:dyDescent="0.2">
      <c r="A621" s="4">
        <v>2017</v>
      </c>
      <c r="B621" s="2">
        <v>3.1948570000000003E-2</v>
      </c>
      <c r="C621" s="2">
        <v>4.4623450000000002E-2</v>
      </c>
      <c r="D621" s="2">
        <v>0.103794</v>
      </c>
      <c r="E621" s="2">
        <v>0.16698460000000001</v>
      </c>
      <c r="F621" s="2">
        <v>0.33186169999999998</v>
      </c>
      <c r="G621" s="2">
        <v>0.63015880000000002</v>
      </c>
      <c r="H621" s="2">
        <v>0.63230120000000001</v>
      </c>
      <c r="I621" s="2">
        <v>0.48787639999999999</v>
      </c>
      <c r="J621" s="2">
        <v>0.63550930000000005</v>
      </c>
      <c r="K621" s="2">
        <v>0.77912320000000002</v>
      </c>
      <c r="L621" s="2">
        <v>0.89601220000000004</v>
      </c>
      <c r="M621" s="2">
        <v>1.021506</v>
      </c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</row>
    <row r="622" spans="1:51" x14ac:dyDescent="0.2">
      <c r="A622" s="4">
        <v>2018</v>
      </c>
      <c r="B622" s="2">
        <v>1.9869100000000001E-2</v>
      </c>
      <c r="C622" s="2">
        <v>3.9942039999999998E-2</v>
      </c>
      <c r="D622" s="2">
        <v>0.13656879999999999</v>
      </c>
      <c r="E622" s="2">
        <v>0.17590900000000001</v>
      </c>
      <c r="F622" s="2">
        <v>0.33091019999999999</v>
      </c>
      <c r="G622" s="2">
        <v>0.45465529999999998</v>
      </c>
      <c r="H622" s="2">
        <v>0.58032439999999996</v>
      </c>
      <c r="I622" s="2">
        <v>0.48787639999999999</v>
      </c>
      <c r="J622" s="2">
        <v>0.63550930000000005</v>
      </c>
      <c r="K622" s="2">
        <v>0.77912320000000002</v>
      </c>
      <c r="L622" s="2">
        <v>0.89601220000000004</v>
      </c>
      <c r="M622" s="2">
        <v>1.021506</v>
      </c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</row>
    <row r="623" spans="1:51" x14ac:dyDescent="0.2">
      <c r="A623" s="4">
        <v>2019</v>
      </c>
      <c r="B623" s="2">
        <v>3.9E-2</v>
      </c>
      <c r="C623" s="2">
        <v>6.6000000000000003E-2</v>
      </c>
      <c r="D623" s="2">
        <v>0.153</v>
      </c>
      <c r="E623" s="2">
        <v>0.20599999999999999</v>
      </c>
      <c r="F623" s="2">
        <v>0.28299999999999997</v>
      </c>
      <c r="G623" s="2">
        <v>0.313</v>
      </c>
      <c r="H623" s="2">
        <v>0.62</v>
      </c>
      <c r="I623" s="2">
        <v>0.65</v>
      </c>
      <c r="J623" s="2">
        <v>0.77600000000000002</v>
      </c>
      <c r="K623" s="2">
        <v>0.77912320000000002</v>
      </c>
      <c r="L623" s="2">
        <v>0.74199999999999999</v>
      </c>
      <c r="M623" s="2">
        <v>1.021506</v>
      </c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</row>
    <row r="624" spans="1:51" x14ac:dyDescent="0.2">
      <c r="A624" s="4" t="s">
        <v>70</v>
      </c>
      <c r="B624" s="2">
        <v>2.5052871000000001E-2</v>
      </c>
      <c r="C624" s="2">
        <v>3.4207298999999997E-2</v>
      </c>
      <c r="D624" s="2">
        <v>0.13434321699999999</v>
      </c>
      <c r="E624" s="2">
        <v>0.18242541000000001</v>
      </c>
      <c r="F624" s="2">
        <v>0.28376795999999999</v>
      </c>
      <c r="G624" s="2">
        <v>0.29036241200000001</v>
      </c>
      <c r="H624" s="2">
        <v>0.60610557300000001</v>
      </c>
      <c r="I624" s="2">
        <v>0.65</v>
      </c>
      <c r="J624" s="2">
        <v>0.90505737500000005</v>
      </c>
      <c r="K624" s="2">
        <v>0.77910000000000001</v>
      </c>
      <c r="L624" s="2">
        <v>0.89600000000000002</v>
      </c>
      <c r="M624" s="2">
        <v>1.0215000000000001</v>
      </c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</row>
    <row r="625" spans="1:51" x14ac:dyDescent="0.2">
      <c r="A625" s="4">
        <v>1971</v>
      </c>
      <c r="B625" s="2">
        <v>2.5999999999999999E-2</v>
      </c>
      <c r="C625" s="2">
        <v>3.7999999999999999E-2</v>
      </c>
      <c r="D625" s="2">
        <v>0.13700000000000001</v>
      </c>
      <c r="E625" s="2">
        <v>0.15</v>
      </c>
      <c r="F625" s="2">
        <v>0.20200000000000001</v>
      </c>
      <c r="G625" s="2">
        <v>0.30399999999999999</v>
      </c>
      <c r="H625" s="2">
        <v>0.38600000000000001</v>
      </c>
      <c r="I625" s="2">
        <v>0.44</v>
      </c>
      <c r="J625" s="2">
        <v>0.83599999999999997</v>
      </c>
      <c r="K625" s="2">
        <v>1.1000000000000001</v>
      </c>
      <c r="L625" s="2">
        <v>0.89600000000000002</v>
      </c>
      <c r="M625" s="2">
        <v>1.0215000000000001</v>
      </c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</row>
    <row r="626" spans="1:51" x14ac:dyDescent="0.2">
      <c r="A626" s="4">
        <v>1972</v>
      </c>
      <c r="B626" s="2">
        <v>1.9510244E-2</v>
      </c>
      <c r="C626" s="2">
        <v>3.6189418000000001E-2</v>
      </c>
      <c r="D626" s="2">
        <v>0.14830796099999999</v>
      </c>
      <c r="E626" s="2">
        <v>0.18464514100000001</v>
      </c>
      <c r="F626" s="2">
        <v>0.24944076700000001</v>
      </c>
      <c r="G626" s="2">
        <v>0.27836834500000002</v>
      </c>
      <c r="H626" s="2">
        <v>0.44177653500000003</v>
      </c>
      <c r="I626" s="2">
        <v>0.61315550699999999</v>
      </c>
      <c r="J626" s="2">
        <v>0.72793346800000003</v>
      </c>
      <c r="K626" s="2">
        <v>1.1000000000000001</v>
      </c>
      <c r="L626" s="2">
        <v>0.89600000000000002</v>
      </c>
      <c r="M626" s="2">
        <v>1.0215000000000001</v>
      </c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</row>
    <row r="627" spans="1:51" x14ac:dyDescent="0.2">
      <c r="A627" s="4">
        <v>1973</v>
      </c>
      <c r="B627" s="2">
        <v>3.1759207999999997E-2</v>
      </c>
      <c r="C627" s="2">
        <v>4.7585697000000003E-2</v>
      </c>
      <c r="D627" s="2">
        <v>7.22473E-2</v>
      </c>
      <c r="E627" s="2">
        <v>0.20461322300000001</v>
      </c>
      <c r="F627" s="2">
        <v>0.233140125</v>
      </c>
      <c r="G627" s="2">
        <v>0.242391458</v>
      </c>
      <c r="H627" s="2">
        <v>0.262047592</v>
      </c>
      <c r="I627" s="2">
        <v>0.37580309200000001</v>
      </c>
      <c r="J627" s="2">
        <v>0.72793346800000003</v>
      </c>
      <c r="K627" s="2">
        <v>1.1000000000000001</v>
      </c>
      <c r="L627" s="2">
        <v>0.89600000000000002</v>
      </c>
      <c r="M627" s="2">
        <v>1.0215000000000001</v>
      </c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</row>
    <row r="628" spans="1:51" x14ac:dyDescent="0.2">
      <c r="A628" s="4">
        <v>1974</v>
      </c>
      <c r="B628" s="2">
        <v>5.1999999999999998E-2</v>
      </c>
      <c r="C628" s="2">
        <v>9.2999999999999999E-2</v>
      </c>
      <c r="D628" s="2">
        <v>0.13100000000000001</v>
      </c>
      <c r="E628" s="2">
        <v>0.17799999999999999</v>
      </c>
      <c r="F628" s="2">
        <v>0.26200000000000001</v>
      </c>
      <c r="G628" s="2">
        <v>0.29399999999999998</v>
      </c>
      <c r="H628" s="2">
        <v>0.34</v>
      </c>
      <c r="I628" s="2">
        <v>0.39600000000000002</v>
      </c>
      <c r="J628" s="2">
        <v>0.54900000000000004</v>
      </c>
      <c r="K628" s="2">
        <v>0.73799999999999999</v>
      </c>
      <c r="L628" s="2">
        <v>0.98399999999999999</v>
      </c>
      <c r="M628" s="2">
        <v>1.093</v>
      </c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</row>
    <row r="629" spans="1:51" x14ac:dyDescent="0.2">
      <c r="A629" s="4">
        <v>1975</v>
      </c>
      <c r="B629" s="2">
        <v>5.1999999999999998E-2</v>
      </c>
      <c r="C629" s="2">
        <v>9.2999999999999999E-2</v>
      </c>
      <c r="D629" s="2">
        <v>0.13100000000000001</v>
      </c>
      <c r="E629" s="2">
        <v>0.17799999999999999</v>
      </c>
      <c r="F629" s="2">
        <v>0.26200000000000001</v>
      </c>
      <c r="G629" s="2">
        <v>0.29399999999999998</v>
      </c>
      <c r="H629" s="2">
        <v>0.34</v>
      </c>
      <c r="I629" s="2">
        <v>0.39600000000000002</v>
      </c>
      <c r="J629" s="2">
        <v>0.54900000000000004</v>
      </c>
      <c r="K629" s="2">
        <v>0.73799999999999999</v>
      </c>
      <c r="L629" s="2">
        <v>0.98399999999999999</v>
      </c>
      <c r="M629" s="2">
        <v>1.093</v>
      </c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</row>
    <row r="630" spans="1:51" x14ac:dyDescent="0.2">
      <c r="A630" s="4">
        <v>1976</v>
      </c>
      <c r="B630" s="2">
        <v>5.1999999999999998E-2</v>
      </c>
      <c r="C630" s="2">
        <v>9.2999999999999999E-2</v>
      </c>
      <c r="D630" s="2">
        <v>0.13100000000000001</v>
      </c>
      <c r="E630" s="2">
        <v>0.17799999999999999</v>
      </c>
      <c r="F630" s="2">
        <v>0.26200000000000001</v>
      </c>
      <c r="G630" s="2">
        <v>0.29399999999999998</v>
      </c>
      <c r="H630" s="2">
        <v>0.34</v>
      </c>
      <c r="I630" s="2">
        <v>0.39600000000000002</v>
      </c>
      <c r="J630" s="2">
        <v>0.54900000000000004</v>
      </c>
      <c r="K630" s="2">
        <v>0.73799999999999999</v>
      </c>
      <c r="L630" s="2">
        <v>0.98399999999999999</v>
      </c>
      <c r="M630" s="2">
        <v>1.093</v>
      </c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</row>
    <row r="631" spans="1:51" x14ac:dyDescent="0.2">
      <c r="A631" s="4">
        <v>1977</v>
      </c>
      <c r="B631" s="2">
        <v>5.1999999999999998E-2</v>
      </c>
      <c r="C631" s="2">
        <v>9.2999999999999999E-2</v>
      </c>
      <c r="D631" s="2">
        <v>0.13100000000000001</v>
      </c>
      <c r="E631" s="2">
        <v>0.17799999999999999</v>
      </c>
      <c r="F631" s="2">
        <v>0.26200000000000001</v>
      </c>
      <c r="G631" s="2">
        <v>0.29399999999999998</v>
      </c>
      <c r="H631" s="2">
        <v>0.34</v>
      </c>
      <c r="I631" s="2">
        <v>0.39600000000000002</v>
      </c>
      <c r="J631" s="2">
        <v>0.54900000000000004</v>
      </c>
      <c r="K631" s="2">
        <v>0.73799999999999999</v>
      </c>
      <c r="L631" s="2">
        <v>0.98399999999999999</v>
      </c>
      <c r="M631" s="2">
        <v>1.093</v>
      </c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</row>
    <row r="632" spans="1:51" x14ac:dyDescent="0.2">
      <c r="A632" s="4">
        <v>1978</v>
      </c>
      <c r="B632" s="2">
        <v>5.1999999999999998E-2</v>
      </c>
      <c r="C632" s="2">
        <v>9.2999999999999999E-2</v>
      </c>
      <c r="D632" s="2">
        <v>0.13100000000000001</v>
      </c>
      <c r="E632" s="2">
        <v>0.17799999999999999</v>
      </c>
      <c r="F632" s="2">
        <v>0.26200000000000001</v>
      </c>
      <c r="G632" s="2">
        <v>0.29399999999999998</v>
      </c>
      <c r="H632" s="2">
        <v>0.34</v>
      </c>
      <c r="I632" s="2">
        <v>0.39600000000000002</v>
      </c>
      <c r="J632" s="2">
        <v>0.54900000000000004</v>
      </c>
      <c r="K632" s="2">
        <v>0.73799999999999999</v>
      </c>
      <c r="L632" s="2">
        <v>0.98399999999999999</v>
      </c>
      <c r="M632" s="2">
        <v>1.093</v>
      </c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</row>
    <row r="633" spans="1:51" x14ac:dyDescent="0.2">
      <c r="A633" s="4">
        <v>1979</v>
      </c>
      <c r="B633" s="2">
        <v>5.1999999999999998E-2</v>
      </c>
      <c r="C633" s="2">
        <v>9.2999999999999999E-2</v>
      </c>
      <c r="D633" s="2">
        <v>0.13100000000000001</v>
      </c>
      <c r="E633" s="2">
        <v>0.17799999999999999</v>
      </c>
      <c r="F633" s="2">
        <v>0.26200000000000001</v>
      </c>
      <c r="G633" s="2">
        <v>0.29399999999999998</v>
      </c>
      <c r="H633" s="2">
        <v>0.34</v>
      </c>
      <c r="I633" s="2">
        <v>0.39600000000000002</v>
      </c>
      <c r="J633" s="2">
        <v>0.54900000000000004</v>
      </c>
      <c r="K633" s="2">
        <v>0.73799999999999999</v>
      </c>
      <c r="L633" s="2">
        <v>0.98399999999999999</v>
      </c>
      <c r="M633" s="2">
        <v>1.093</v>
      </c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</row>
    <row r="634" spans="1:51" x14ac:dyDescent="0.2">
      <c r="A634" s="4">
        <v>1980</v>
      </c>
      <c r="B634" s="2">
        <v>5.1999999999999998E-2</v>
      </c>
      <c r="C634" s="2">
        <v>7.8E-2</v>
      </c>
      <c r="D634" s="2">
        <v>0.155</v>
      </c>
      <c r="E634" s="2">
        <v>0.214</v>
      </c>
      <c r="F634" s="2">
        <v>0.27500000000000002</v>
      </c>
      <c r="G634" s="2">
        <v>0.33600000000000002</v>
      </c>
      <c r="H634" s="2">
        <v>0.39400000000000002</v>
      </c>
      <c r="I634" s="2">
        <v>0.47199999999999998</v>
      </c>
      <c r="J634" s="2">
        <v>0.63200000000000001</v>
      </c>
      <c r="K634" s="2">
        <v>0.71399999999999997</v>
      </c>
      <c r="L634" s="2">
        <v>0.89800000000000002</v>
      </c>
      <c r="M634" s="2">
        <v>1.538</v>
      </c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</row>
    <row r="635" spans="1:51" x14ac:dyDescent="0.2">
      <c r="A635" s="4">
        <v>1981</v>
      </c>
      <c r="B635" s="2">
        <v>5.5E-2</v>
      </c>
      <c r="C635" s="2">
        <v>9.1999999999999998E-2</v>
      </c>
      <c r="D635" s="2">
        <v>0.109</v>
      </c>
      <c r="E635" s="2">
        <v>0.23599999999999999</v>
      </c>
      <c r="F635" s="2">
        <v>0.27500000000000002</v>
      </c>
      <c r="G635" s="2">
        <v>0.314</v>
      </c>
      <c r="H635" s="2">
        <v>0.375</v>
      </c>
      <c r="I635" s="2">
        <v>0.45600000000000002</v>
      </c>
      <c r="J635" s="2">
        <v>0.52100000000000002</v>
      </c>
      <c r="K635" s="2">
        <v>0.73199999999999998</v>
      </c>
      <c r="L635" s="2">
        <v>0.65100000000000002</v>
      </c>
      <c r="M635" s="2">
        <v>1.137</v>
      </c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</row>
    <row r="636" spans="1:51" x14ac:dyDescent="0.2">
      <c r="A636" s="4">
        <v>1982</v>
      </c>
      <c r="B636" s="2">
        <v>5.1999999999999998E-2</v>
      </c>
      <c r="C636" s="2">
        <v>8.4000000000000005E-2</v>
      </c>
      <c r="D636" s="2">
        <v>0.104</v>
      </c>
      <c r="E636" s="2">
        <v>0.14699999999999999</v>
      </c>
      <c r="F636" s="2">
        <v>0.21099999999999999</v>
      </c>
      <c r="G636" s="2">
        <v>0.32700000000000001</v>
      </c>
      <c r="H636" s="2">
        <v>0.39400000000000002</v>
      </c>
      <c r="I636" s="2">
        <v>0.44900000000000001</v>
      </c>
      <c r="J636" s="2">
        <v>0.51400000000000001</v>
      </c>
      <c r="K636" s="2">
        <v>0.58299999999999996</v>
      </c>
      <c r="L636" s="2">
        <v>0.63100000000000001</v>
      </c>
      <c r="M636" s="2">
        <v>1.538</v>
      </c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</row>
    <row r="637" spans="1:51" x14ac:dyDescent="0.2">
      <c r="A637" s="4">
        <v>1983</v>
      </c>
      <c r="B637" s="2">
        <v>5.1999999999999998E-2</v>
      </c>
      <c r="C637" s="2">
        <v>0.108</v>
      </c>
      <c r="D637" s="2">
        <v>0.16</v>
      </c>
      <c r="E637" s="2">
        <v>0.19900000000000001</v>
      </c>
      <c r="F637" s="2">
        <v>0.24099999999999999</v>
      </c>
      <c r="G637" s="2">
        <v>0.30099999999999999</v>
      </c>
      <c r="H637" s="2">
        <v>0.38800000000000001</v>
      </c>
      <c r="I637" s="2">
        <v>0.46600000000000003</v>
      </c>
      <c r="J637" s="2">
        <v>0.58799999999999997</v>
      </c>
      <c r="K637" s="2">
        <v>0.871</v>
      </c>
      <c r="L637" s="2">
        <v>1.2649999999999999</v>
      </c>
      <c r="M637" s="2">
        <v>1.972</v>
      </c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</row>
    <row r="638" spans="1:51" x14ac:dyDescent="0.2">
      <c r="A638" s="4">
        <v>1984</v>
      </c>
      <c r="B638" s="2">
        <v>2.5999999999999999E-2</v>
      </c>
      <c r="C638" s="2">
        <v>0.06</v>
      </c>
      <c r="D638" s="2">
        <v>0.13200000000000001</v>
      </c>
      <c r="E638" s="2">
        <v>0.23100000000000001</v>
      </c>
      <c r="F638" s="2">
        <v>0.27200000000000002</v>
      </c>
      <c r="G638" s="2">
        <v>0.35</v>
      </c>
      <c r="H638" s="2">
        <v>0.44700000000000001</v>
      </c>
      <c r="I638" s="2">
        <v>0.51900000000000002</v>
      </c>
      <c r="J638" s="2">
        <v>0.71599999999999997</v>
      </c>
      <c r="K638" s="2">
        <v>0.82</v>
      </c>
      <c r="L638" s="2">
        <v>1.073</v>
      </c>
      <c r="M638" s="2">
        <v>1.8540000000000001</v>
      </c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</row>
    <row r="639" spans="1:51" x14ac:dyDescent="0.2">
      <c r="A639" s="4">
        <v>1985</v>
      </c>
      <c r="B639" s="2">
        <v>5.1999999999999998E-2</v>
      </c>
      <c r="C639" s="2">
        <v>9.5000000000000001E-2</v>
      </c>
      <c r="D639" s="2">
        <v>0.14899999999999999</v>
      </c>
      <c r="E639" s="2">
        <v>0.24199999999999999</v>
      </c>
      <c r="F639" s="2">
        <v>0.29399999999999998</v>
      </c>
      <c r="G639" s="2">
        <v>0.34</v>
      </c>
      <c r="H639" s="2">
        <v>0.40699999999999997</v>
      </c>
      <c r="I639" s="2">
        <v>0.503</v>
      </c>
      <c r="J639" s="2">
        <v>0.63700000000000001</v>
      </c>
      <c r="K639" s="2">
        <v>0.76500000000000001</v>
      </c>
      <c r="L639" s="2">
        <v>1.1839999999999999</v>
      </c>
      <c r="M639" s="2">
        <v>1.9</v>
      </c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</row>
    <row r="640" spans="1:51" x14ac:dyDescent="0.2">
      <c r="A640" s="4">
        <v>1986</v>
      </c>
      <c r="B640" s="2">
        <v>5.5E-2</v>
      </c>
      <c r="C640" s="2">
        <v>8.5000000000000006E-2</v>
      </c>
      <c r="D640" s="2">
        <v>0.16600000000000001</v>
      </c>
      <c r="E640" s="2">
        <v>0.20699999999999999</v>
      </c>
      <c r="F640" s="2">
        <v>0.26900000000000002</v>
      </c>
      <c r="G640" s="2">
        <v>0.32300000000000001</v>
      </c>
      <c r="H640" s="2">
        <v>0.378</v>
      </c>
      <c r="I640" s="2">
        <v>0.47199999999999998</v>
      </c>
      <c r="J640" s="2">
        <v>0.53600000000000003</v>
      </c>
      <c r="K640" s="2">
        <v>0.64400000000000002</v>
      </c>
      <c r="L640" s="2">
        <v>0.98699999999999999</v>
      </c>
      <c r="M640" s="2">
        <v>1.1850000000000001</v>
      </c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</row>
    <row r="641" spans="1:51" x14ac:dyDescent="0.2">
      <c r="A641" s="4">
        <v>1987</v>
      </c>
      <c r="B641" s="2">
        <v>7.0000000000000007E-2</v>
      </c>
      <c r="C641" s="2">
        <v>9.9000000000000005E-2</v>
      </c>
      <c r="D641" s="2">
        <v>0.122</v>
      </c>
      <c r="E641" s="2">
        <v>0.23</v>
      </c>
      <c r="F641" s="2">
        <v>0.27300000000000002</v>
      </c>
      <c r="G641" s="2">
        <v>0.32</v>
      </c>
      <c r="H641" s="2">
        <v>0.374</v>
      </c>
      <c r="I641" s="2">
        <v>0.46100000000000002</v>
      </c>
      <c r="J641" s="2">
        <v>0.59599999999999997</v>
      </c>
      <c r="K641" s="2">
        <v>0.70899999999999996</v>
      </c>
      <c r="L641" s="2">
        <v>1.196</v>
      </c>
      <c r="M641" s="2">
        <v>1.7689999999999999</v>
      </c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</row>
    <row r="642" spans="1:51" x14ac:dyDescent="0.2">
      <c r="A642" s="4">
        <v>1988</v>
      </c>
      <c r="B642" s="2">
        <v>3.5000000000000003E-2</v>
      </c>
      <c r="C642" s="2">
        <v>0.13500000000000001</v>
      </c>
      <c r="D642" s="2">
        <v>0.154</v>
      </c>
      <c r="E642" s="2">
        <v>0.185</v>
      </c>
      <c r="F642" s="2">
        <v>0.26600000000000001</v>
      </c>
      <c r="G642" s="2">
        <v>0.33</v>
      </c>
      <c r="H642" s="2">
        <v>0.38300000000000001</v>
      </c>
      <c r="I642" s="2">
        <v>0.44900000000000001</v>
      </c>
      <c r="J642" s="2">
        <v>0.57699999999999996</v>
      </c>
      <c r="K642" s="2">
        <v>0.68500000000000005</v>
      </c>
      <c r="L642" s="2">
        <v>1.012</v>
      </c>
      <c r="M642" s="2">
        <v>1.8460000000000001</v>
      </c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</row>
    <row r="643" spans="1:51" x14ac:dyDescent="0.2">
      <c r="A643" s="4">
        <v>1989</v>
      </c>
      <c r="B643" s="2">
        <v>5.8000000000000003E-2</v>
      </c>
      <c r="C643" s="2">
        <v>0.14799999999999999</v>
      </c>
      <c r="D643" s="2">
        <v>0.18099999999999999</v>
      </c>
      <c r="E643" s="2">
        <v>0.223</v>
      </c>
      <c r="F643" s="2">
        <v>0.27</v>
      </c>
      <c r="G643" s="2">
        <v>0.33900000000000002</v>
      </c>
      <c r="H643" s="2">
        <v>0.39800000000000002</v>
      </c>
      <c r="I643" s="2">
        <v>0.47299999999999998</v>
      </c>
      <c r="J643" s="2">
        <v>0.57299999999999995</v>
      </c>
      <c r="K643" s="2">
        <v>0.79600000000000004</v>
      </c>
      <c r="L643" s="2">
        <v>1.3759999999999999</v>
      </c>
      <c r="M643" s="2">
        <v>1.647</v>
      </c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</row>
    <row r="644" spans="1:51" x14ac:dyDescent="0.2">
      <c r="A644" s="4">
        <v>1990</v>
      </c>
      <c r="B644" s="2">
        <v>7.2999999999999995E-2</v>
      </c>
      <c r="C644" s="2">
        <v>7.4999999999999997E-2</v>
      </c>
      <c r="D644" s="2">
        <v>0.17199999999999999</v>
      </c>
      <c r="E644" s="2">
        <v>0.247</v>
      </c>
      <c r="F644" s="2">
        <v>0.28599999999999998</v>
      </c>
      <c r="G644" s="2">
        <v>0.34599999999999997</v>
      </c>
      <c r="H644" s="2">
        <v>0.42699999999999999</v>
      </c>
      <c r="I644" s="2">
        <v>0.51800000000000002</v>
      </c>
      <c r="J644" s="2">
        <v>0.64</v>
      </c>
      <c r="K644" s="2">
        <v>0.84399999999999997</v>
      </c>
      <c r="L644" s="2">
        <v>1.351</v>
      </c>
      <c r="M644" s="2">
        <v>2.11</v>
      </c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</row>
    <row r="645" spans="1:51" x14ac:dyDescent="0.2">
      <c r="A645" s="4">
        <v>1991</v>
      </c>
      <c r="B645" s="2">
        <v>7.5999999999999998E-2</v>
      </c>
      <c r="C645" s="2">
        <v>0.11700000000000001</v>
      </c>
      <c r="D645" s="2">
        <v>0.14000000000000001</v>
      </c>
      <c r="E645" s="2">
        <v>0.191</v>
      </c>
      <c r="F645" s="2">
        <v>0.27</v>
      </c>
      <c r="G645" s="2">
        <v>0.35699999999999998</v>
      </c>
      <c r="H645" s="2">
        <v>0.434</v>
      </c>
      <c r="I645" s="2">
        <v>0.503</v>
      </c>
      <c r="J645" s="2">
        <v>0.57699999999999996</v>
      </c>
      <c r="K645" s="2">
        <v>0.68899999999999995</v>
      </c>
      <c r="L645" s="2">
        <v>1.089</v>
      </c>
      <c r="M645" s="2">
        <v>1.9790000000000001</v>
      </c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</row>
    <row r="646" spans="1:51" x14ac:dyDescent="0.2">
      <c r="A646" s="4">
        <v>1992</v>
      </c>
      <c r="B646" s="2">
        <v>0.1</v>
      </c>
      <c r="C646" s="2">
        <v>0.124</v>
      </c>
      <c r="D646" s="2">
        <v>0.159</v>
      </c>
      <c r="E646" s="2">
        <v>0.19700000000000001</v>
      </c>
      <c r="F646" s="2">
        <v>0.23300000000000001</v>
      </c>
      <c r="G646" s="2">
        <v>0.34200000000000003</v>
      </c>
      <c r="H646" s="2">
        <v>0.44400000000000001</v>
      </c>
      <c r="I646" s="2">
        <v>0.51200000000000001</v>
      </c>
      <c r="J646" s="2">
        <v>0.58799999999999997</v>
      </c>
      <c r="K646" s="2">
        <v>0.75</v>
      </c>
      <c r="L646" s="2">
        <v>1.012</v>
      </c>
      <c r="M646" s="2">
        <v>1.3720000000000001</v>
      </c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</row>
    <row r="647" spans="1:51" x14ac:dyDescent="0.2">
      <c r="A647" s="4">
        <v>1993</v>
      </c>
      <c r="B647" s="2">
        <v>5.1999999999999998E-2</v>
      </c>
      <c r="C647" s="2">
        <v>0.10299999999999999</v>
      </c>
      <c r="D647" s="2">
        <v>0.22</v>
      </c>
      <c r="E647" s="2">
        <v>0.24099999999999999</v>
      </c>
      <c r="F647" s="2">
        <v>0.27800000000000002</v>
      </c>
      <c r="G647" s="2">
        <v>0.33900000000000002</v>
      </c>
      <c r="H647" s="2">
        <v>0.46700000000000003</v>
      </c>
      <c r="I647" s="2">
        <v>0.58499999999999996</v>
      </c>
      <c r="J647" s="2">
        <v>0.70199999999999996</v>
      </c>
      <c r="K647" s="2">
        <v>0.77900000000000003</v>
      </c>
      <c r="L647" s="2">
        <v>0.88</v>
      </c>
      <c r="M647" s="2">
        <v>1.538</v>
      </c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</row>
    <row r="648" spans="1:51" x14ac:dyDescent="0.2">
      <c r="A648" s="4">
        <v>1994</v>
      </c>
      <c r="B648" s="2">
        <v>6.4000000000000001E-2</v>
      </c>
      <c r="C648" s="2">
        <v>9.0999999999999998E-2</v>
      </c>
      <c r="D648" s="2">
        <v>0.153</v>
      </c>
      <c r="E648" s="2">
        <v>0.26400000000000001</v>
      </c>
      <c r="F648" s="2">
        <v>0.309</v>
      </c>
      <c r="G648" s="2">
        <v>0.373</v>
      </c>
      <c r="H648" s="2">
        <v>0.46100000000000002</v>
      </c>
      <c r="I648" s="2">
        <v>0.58199999999999996</v>
      </c>
      <c r="J648" s="2">
        <v>0.69399999999999995</v>
      </c>
      <c r="K648" s="2">
        <v>0.83499999999999996</v>
      </c>
      <c r="L648" s="2">
        <v>0.97</v>
      </c>
      <c r="M648" s="2">
        <v>1.5980000000000001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</row>
    <row r="649" spans="1:51" x14ac:dyDescent="0.2">
      <c r="A649" s="4">
        <v>1995</v>
      </c>
      <c r="B649" s="2">
        <v>3.6999999999999998E-2</v>
      </c>
      <c r="C649" s="2">
        <v>0.106</v>
      </c>
      <c r="D649" s="2">
        <v>0.13200000000000001</v>
      </c>
      <c r="E649" s="2">
        <v>0.186</v>
      </c>
      <c r="F649" s="2">
        <v>0.27100000000000002</v>
      </c>
      <c r="G649" s="2">
        <v>0.38100000000000001</v>
      </c>
      <c r="H649" s="2">
        <v>0.45100000000000001</v>
      </c>
      <c r="I649" s="2">
        <v>0.54200000000000004</v>
      </c>
      <c r="J649" s="2">
        <v>0.66700000000000004</v>
      </c>
      <c r="K649" s="2">
        <v>0.78700000000000003</v>
      </c>
      <c r="L649" s="2">
        <v>0.90100000000000002</v>
      </c>
      <c r="M649" s="2">
        <v>1.0529999999999999</v>
      </c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</row>
    <row r="650" spans="1:51" x14ac:dyDescent="0.2">
      <c r="A650" s="4">
        <v>1996</v>
      </c>
      <c r="B650" s="2">
        <v>6.3E-2</v>
      </c>
      <c r="C650" s="2">
        <v>8.3000000000000004E-2</v>
      </c>
      <c r="D650" s="2">
        <v>0.11799999999999999</v>
      </c>
      <c r="E650" s="2">
        <v>0.17699999999999999</v>
      </c>
      <c r="F650" s="2">
        <v>0.23899999999999999</v>
      </c>
      <c r="G650" s="2">
        <v>0.27500000000000002</v>
      </c>
      <c r="H650" s="2">
        <v>0.40899999999999997</v>
      </c>
      <c r="I650" s="2">
        <v>0.52400000000000002</v>
      </c>
      <c r="J650" s="2">
        <v>0.59399999999999997</v>
      </c>
      <c r="K650" s="2">
        <v>0.70899999999999996</v>
      </c>
      <c r="L650" s="2">
        <v>0.85099999999999998</v>
      </c>
      <c r="M650" s="2">
        <v>1.046</v>
      </c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</row>
    <row r="651" spans="1:51" x14ac:dyDescent="0.2">
      <c r="A651" s="4">
        <v>1997</v>
      </c>
      <c r="B651" s="2">
        <v>1.0999999999999999E-2</v>
      </c>
      <c r="C651" s="2">
        <v>8.8999999999999996E-2</v>
      </c>
      <c r="D651" s="2">
        <v>0.121</v>
      </c>
      <c r="E651" s="2">
        <v>0.18099999999999999</v>
      </c>
      <c r="F651" s="2">
        <v>0.246</v>
      </c>
      <c r="G651" s="2">
        <v>0.32</v>
      </c>
      <c r="H651" s="2">
        <v>0.40799999999999997</v>
      </c>
      <c r="I651" s="2">
        <v>0.57899999999999996</v>
      </c>
      <c r="J651" s="2">
        <v>0.71899999999999997</v>
      </c>
      <c r="K651" s="2">
        <v>0.85299999999999998</v>
      </c>
      <c r="L651" s="2">
        <v>0.96499999999999997</v>
      </c>
      <c r="M651" s="2">
        <v>1.1739999999999999</v>
      </c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</row>
    <row r="652" spans="1:51" x14ac:dyDescent="0.2">
      <c r="A652" s="4">
        <v>1998</v>
      </c>
      <c r="B652" s="2">
        <v>4.1000000000000002E-2</v>
      </c>
      <c r="C652" s="2">
        <v>8.4000000000000005E-2</v>
      </c>
      <c r="D652" s="2">
        <v>0.112</v>
      </c>
      <c r="E652" s="2">
        <v>0.224</v>
      </c>
      <c r="F652" s="2">
        <v>0.27</v>
      </c>
      <c r="G652" s="2">
        <v>0.33600000000000002</v>
      </c>
      <c r="H652" s="2">
        <v>0.46200000000000002</v>
      </c>
      <c r="I652" s="2">
        <v>0.64300000000000002</v>
      </c>
      <c r="J652" s="2">
        <v>0.80800000000000005</v>
      </c>
      <c r="K652" s="2">
        <v>0.86799999999999999</v>
      </c>
      <c r="L652" s="2">
        <v>1.0580000000000001</v>
      </c>
      <c r="M652" s="2">
        <v>1.421</v>
      </c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</row>
    <row r="653" spans="1:51" x14ac:dyDescent="0.2">
      <c r="A653" s="4">
        <v>1999</v>
      </c>
      <c r="B653" s="2">
        <v>7.0000000000000007E-2</v>
      </c>
      <c r="C653" s="2">
        <v>9.8000000000000004E-2</v>
      </c>
      <c r="D653" s="2">
        <v>0.14499999999999999</v>
      </c>
      <c r="E653" s="2">
        <v>0.192</v>
      </c>
      <c r="F653" s="2">
        <v>0.27</v>
      </c>
      <c r="G653" s="2">
        <v>0.34</v>
      </c>
      <c r="H653" s="2">
        <v>0.42899999999999999</v>
      </c>
      <c r="I653" s="2">
        <v>0.57699999999999996</v>
      </c>
      <c r="J653" s="2">
        <v>0.80700000000000005</v>
      </c>
      <c r="K653" s="2">
        <v>0.96499999999999997</v>
      </c>
      <c r="L653" s="2">
        <v>1.115</v>
      </c>
      <c r="M653" s="2">
        <v>1.367</v>
      </c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</row>
    <row r="654" spans="1:51" x14ac:dyDescent="0.2">
      <c r="A654" s="4">
        <v>2000</v>
      </c>
      <c r="B654" s="2">
        <v>6.0999999999999999E-2</v>
      </c>
      <c r="C654" s="2">
        <v>9.1999999999999998E-2</v>
      </c>
      <c r="D654" s="2">
        <v>0.151</v>
      </c>
      <c r="E654" s="2">
        <v>0.191</v>
      </c>
      <c r="F654" s="2">
        <v>0.28000000000000003</v>
      </c>
      <c r="G654" s="2">
        <v>0.35199999999999998</v>
      </c>
      <c r="H654" s="2">
        <v>0.52400000000000002</v>
      </c>
      <c r="I654" s="2">
        <v>0.68300000000000005</v>
      </c>
      <c r="J654" s="2">
        <v>0.94499999999999995</v>
      </c>
      <c r="K654" s="2">
        <v>1.216</v>
      </c>
      <c r="L654" s="2">
        <v>1.4259999999999999</v>
      </c>
      <c r="M654" s="2">
        <v>1.4770000000000001</v>
      </c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</row>
    <row r="655" spans="1:51" x14ac:dyDescent="0.2">
      <c r="A655" s="4">
        <v>2001</v>
      </c>
      <c r="B655" s="2">
        <v>0.104</v>
      </c>
      <c r="C655" s="2">
        <v>0.106</v>
      </c>
      <c r="D655" s="2">
        <v>0.14599999999999999</v>
      </c>
      <c r="E655" s="2">
        <v>0.20100000000000001</v>
      </c>
      <c r="F655" s="2">
        <v>0.26</v>
      </c>
      <c r="G655" s="2">
        <v>0.35499999999999998</v>
      </c>
      <c r="H655" s="2">
        <v>0.495</v>
      </c>
      <c r="I655" s="2">
        <v>0.68300000000000005</v>
      </c>
      <c r="J655" s="2">
        <v>0.88400000000000001</v>
      </c>
      <c r="K655" s="2">
        <v>1.0880000000000001</v>
      </c>
      <c r="L655" s="2">
        <v>1.4670000000000001</v>
      </c>
      <c r="M655" s="2">
        <v>1.647</v>
      </c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</row>
    <row r="656" spans="1:51" x14ac:dyDescent="0.2">
      <c r="A656" s="4">
        <v>2002</v>
      </c>
      <c r="B656" s="2">
        <v>8.4000000000000005E-2</v>
      </c>
      <c r="C656" s="2">
        <v>0.128</v>
      </c>
      <c r="D656" s="2">
        <v>0.13800000000000001</v>
      </c>
      <c r="E656" s="2">
        <v>0.17799999999999999</v>
      </c>
      <c r="F656" s="2">
        <v>0.248</v>
      </c>
      <c r="G656" s="2">
        <v>0.34</v>
      </c>
      <c r="H656" s="2">
        <v>0.54500000000000004</v>
      </c>
      <c r="I656" s="2">
        <v>0.80600000000000005</v>
      </c>
      <c r="J656" s="2">
        <v>1.0349999999999999</v>
      </c>
      <c r="K656" s="2">
        <v>1.246</v>
      </c>
      <c r="L656" s="2">
        <v>1.4119999999999999</v>
      </c>
      <c r="M656" s="2">
        <v>1.655</v>
      </c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</row>
    <row r="657" spans="1:51" x14ac:dyDescent="0.2">
      <c r="A657" s="4">
        <v>2003</v>
      </c>
      <c r="B657" s="2">
        <v>0.09</v>
      </c>
      <c r="C657" s="2">
        <v>0.109</v>
      </c>
      <c r="D657" s="2">
        <v>0.13400000000000001</v>
      </c>
      <c r="E657" s="2">
        <v>0.17399999999999999</v>
      </c>
      <c r="F657" s="2">
        <v>0.25</v>
      </c>
      <c r="G657" s="2">
        <v>0.33100000000000002</v>
      </c>
      <c r="H657" s="2">
        <v>0.46500000000000002</v>
      </c>
      <c r="I657" s="2">
        <v>0.74199999999999999</v>
      </c>
      <c r="J657" s="2">
        <v>1.0209999999999999</v>
      </c>
      <c r="K657" s="2">
        <v>1.258</v>
      </c>
      <c r="L657" s="2">
        <v>1.3759999999999999</v>
      </c>
      <c r="M657" s="2">
        <v>1.776</v>
      </c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</row>
    <row r="658" spans="1:51" x14ac:dyDescent="0.2">
      <c r="A658" s="4">
        <v>2004</v>
      </c>
      <c r="B658" s="2">
        <v>4.2999999999999997E-2</v>
      </c>
      <c r="C658" s="2">
        <v>6.4000000000000001E-2</v>
      </c>
      <c r="D658" s="2">
        <v>0.16300000000000001</v>
      </c>
      <c r="E658" s="2">
        <v>0.19600000000000001</v>
      </c>
      <c r="F658" s="2">
        <v>0.255</v>
      </c>
      <c r="G658" s="2">
        <v>0.34599999999999997</v>
      </c>
      <c r="H658" s="2">
        <v>0.46600000000000003</v>
      </c>
      <c r="I658" s="2">
        <v>0.75600000000000001</v>
      </c>
      <c r="J658" s="2">
        <v>0.999</v>
      </c>
      <c r="K658" s="2">
        <v>1.141</v>
      </c>
      <c r="L658" s="2">
        <v>1.228</v>
      </c>
      <c r="M658" s="2">
        <v>1.5629999999999999</v>
      </c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</row>
    <row r="659" spans="1:51" x14ac:dyDescent="0.2">
      <c r="A659" s="4">
        <v>2005</v>
      </c>
      <c r="B659" s="2">
        <v>6.6000000000000003E-2</v>
      </c>
      <c r="C659" s="2">
        <v>9.8000000000000004E-2</v>
      </c>
      <c r="D659" s="2">
        <v>0.122</v>
      </c>
      <c r="E659" s="2">
        <v>0.17899999999999999</v>
      </c>
      <c r="F659" s="2">
        <v>0.25800000000000001</v>
      </c>
      <c r="G659" s="2">
        <v>0.32500000000000001</v>
      </c>
      <c r="H659" s="2">
        <v>0.46100000000000002</v>
      </c>
      <c r="I659" s="2">
        <v>0.61399999999999999</v>
      </c>
      <c r="J659" s="2">
        <v>0.82799999999999996</v>
      </c>
      <c r="K659" s="2">
        <v>1.0740000000000001</v>
      </c>
      <c r="L659" s="2">
        <v>1.36</v>
      </c>
      <c r="M659" s="2">
        <v>1.671</v>
      </c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</row>
    <row r="660" spans="1:51" x14ac:dyDescent="0.2">
      <c r="A660" s="4">
        <v>2006</v>
      </c>
      <c r="B660" s="2">
        <v>3.1E-2</v>
      </c>
      <c r="C660" s="2">
        <v>7.3999999999999996E-2</v>
      </c>
      <c r="D660" s="2">
        <v>0.13</v>
      </c>
      <c r="E660" s="2">
        <v>0.2</v>
      </c>
      <c r="F660" s="2">
        <v>0.25700000000000001</v>
      </c>
      <c r="G660" s="2">
        <v>0.32900000000000001</v>
      </c>
      <c r="H660" s="2">
        <v>0.44500000000000001</v>
      </c>
      <c r="I660" s="2">
        <v>0.64500000000000002</v>
      </c>
      <c r="J660" s="2">
        <v>0.88300000000000001</v>
      </c>
      <c r="K660" s="2">
        <v>1.1020000000000001</v>
      </c>
      <c r="L660" s="2">
        <v>1.321</v>
      </c>
      <c r="M660" s="2">
        <v>1.649</v>
      </c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</row>
    <row r="661" spans="1:51" x14ac:dyDescent="0.2">
      <c r="A661" s="4">
        <v>2007</v>
      </c>
      <c r="B661" s="2">
        <v>3.5999999999999997E-2</v>
      </c>
      <c r="C661" s="2">
        <v>8.5999999999999993E-2</v>
      </c>
      <c r="D661" s="2">
        <v>0.11700000000000001</v>
      </c>
      <c r="E661" s="2">
        <v>0.186</v>
      </c>
      <c r="F661" s="2">
        <v>0.245</v>
      </c>
      <c r="G661" s="2">
        <v>0.307</v>
      </c>
      <c r="H661" s="2">
        <v>0.4</v>
      </c>
      <c r="I661" s="2">
        <v>0.56399999999999995</v>
      </c>
      <c r="J661" s="2">
        <v>0.76800000000000002</v>
      </c>
      <c r="K661" s="2">
        <v>1.0049999999999999</v>
      </c>
      <c r="L661" s="2">
        <v>1.2090000000000001</v>
      </c>
      <c r="M661" s="2">
        <v>1.5369999999999999</v>
      </c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</row>
    <row r="662" spans="1:51" x14ac:dyDescent="0.2">
      <c r="A662" s="4">
        <v>2008</v>
      </c>
      <c r="B662" s="2">
        <v>3.4000000000000002E-2</v>
      </c>
      <c r="C662" s="2">
        <v>0.08</v>
      </c>
      <c r="D662" s="2">
        <v>0.158</v>
      </c>
      <c r="E662" s="2">
        <v>0.193</v>
      </c>
      <c r="F662" s="2">
        <v>0.247</v>
      </c>
      <c r="G662" s="2">
        <v>0.307</v>
      </c>
      <c r="H662" s="2">
        <v>0.38700000000000001</v>
      </c>
      <c r="I662" s="2">
        <v>0.52800000000000002</v>
      </c>
      <c r="J662" s="2">
        <v>0.7</v>
      </c>
      <c r="K662" s="2">
        <v>0.89700000000000002</v>
      </c>
      <c r="L662" s="2">
        <v>1.087</v>
      </c>
      <c r="M662" s="2">
        <v>1.5409999999999999</v>
      </c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</row>
    <row r="663" spans="1:51" x14ac:dyDescent="0.2">
      <c r="A663" s="4">
        <v>2009</v>
      </c>
      <c r="B663" s="2">
        <v>2.9000000000000001E-2</v>
      </c>
      <c r="C663" s="2">
        <v>7.4999999999999997E-2</v>
      </c>
      <c r="D663" s="2">
        <v>0.113</v>
      </c>
      <c r="E663" s="2">
        <v>0.19600000000000001</v>
      </c>
      <c r="F663" s="2">
        <v>0.25900000000000001</v>
      </c>
      <c r="G663" s="2">
        <v>0.318</v>
      </c>
      <c r="H663" s="2">
        <v>0.39900000000000002</v>
      </c>
      <c r="I663" s="2">
        <v>0.51700000000000002</v>
      </c>
      <c r="J663" s="2">
        <v>0.64100000000000001</v>
      </c>
      <c r="K663" s="2">
        <v>0.76700000000000002</v>
      </c>
      <c r="L663" s="2">
        <v>0.91800000000000004</v>
      </c>
      <c r="M663" s="2">
        <v>1.296</v>
      </c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</row>
    <row r="664" spans="1:51" x14ac:dyDescent="0.2">
      <c r="A664" s="4">
        <v>2010</v>
      </c>
      <c r="B664" s="2">
        <v>3.3000000000000002E-2</v>
      </c>
      <c r="C664" s="2">
        <v>7.5999999999999998E-2</v>
      </c>
      <c r="D664" s="2">
        <v>0.11600000000000001</v>
      </c>
      <c r="E664" s="2">
        <v>0.14099999999999999</v>
      </c>
      <c r="F664" s="2">
        <v>0.26100000000000001</v>
      </c>
      <c r="G664" s="2">
        <v>0.35</v>
      </c>
      <c r="H664" s="2">
        <v>0.41899999999999998</v>
      </c>
      <c r="I664" s="2">
        <v>0.51600000000000001</v>
      </c>
      <c r="J664" s="2">
        <v>0.63100000000000001</v>
      </c>
      <c r="K664" s="2">
        <v>0.752</v>
      </c>
      <c r="L664" s="2">
        <v>0.92400000000000004</v>
      </c>
      <c r="M664" s="2">
        <v>1.2629999999999999</v>
      </c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</row>
    <row r="665" spans="1:51" x14ac:dyDescent="0.2">
      <c r="A665" s="4">
        <v>2011</v>
      </c>
      <c r="B665" s="2">
        <v>8.5999999999999993E-2</v>
      </c>
      <c r="C665" s="2">
        <v>7.3999999999999996E-2</v>
      </c>
      <c r="D665" s="2">
        <v>0.121</v>
      </c>
      <c r="E665" s="2">
        <v>0.17199999999999999</v>
      </c>
      <c r="F665" s="2">
        <v>0.22600000000000001</v>
      </c>
      <c r="G665" s="2">
        <v>0.33100000000000002</v>
      </c>
      <c r="H665" s="2">
        <v>0.43099999999999999</v>
      </c>
      <c r="I665" s="2">
        <v>0.51</v>
      </c>
      <c r="J665" s="2">
        <v>0.621</v>
      </c>
      <c r="K665" s="2">
        <v>0.75600000000000001</v>
      </c>
      <c r="L665" s="2">
        <v>0.90300000000000002</v>
      </c>
      <c r="M665" s="2">
        <v>1.177</v>
      </c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</row>
    <row r="666" spans="1:51" x14ac:dyDescent="0.2">
      <c r="A666" s="4">
        <v>2012</v>
      </c>
      <c r="B666" s="2">
        <v>3.5999999999999997E-2</v>
      </c>
      <c r="C666" s="2">
        <v>4.8000000000000001E-2</v>
      </c>
      <c r="D666" s="2">
        <v>6.9000000000000006E-2</v>
      </c>
      <c r="E666" s="2">
        <v>0.186</v>
      </c>
      <c r="F666" s="2">
        <v>0.254</v>
      </c>
      <c r="G666" s="2">
        <v>0.312</v>
      </c>
      <c r="H666" s="2">
        <v>0.41599999999999998</v>
      </c>
      <c r="I666" s="2">
        <v>0.51500000000000001</v>
      </c>
      <c r="J666" s="2">
        <v>0.60499999999999998</v>
      </c>
      <c r="K666" s="2">
        <v>0.71899999999999997</v>
      </c>
      <c r="L666" s="2">
        <v>0.86099999999999999</v>
      </c>
      <c r="M666" s="2">
        <v>1.1479999999999999</v>
      </c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</row>
    <row r="667" spans="1:51" x14ac:dyDescent="0.2">
      <c r="A667" s="4">
        <v>2013</v>
      </c>
      <c r="B667" s="2">
        <v>1.4E-2</v>
      </c>
      <c r="C667" s="2">
        <v>4.4999999999999998E-2</v>
      </c>
      <c r="D667" s="2">
        <v>0.109</v>
      </c>
      <c r="E667" s="2">
        <v>0.14199999999999999</v>
      </c>
      <c r="F667" s="2">
        <v>0.253</v>
      </c>
      <c r="G667" s="2">
        <v>0.33</v>
      </c>
      <c r="H667" s="2">
        <v>0.41099999999999998</v>
      </c>
      <c r="I667" s="2">
        <v>0.53200000000000003</v>
      </c>
      <c r="J667" s="2">
        <v>0.625</v>
      </c>
      <c r="K667" s="2">
        <v>0.76400000000000001</v>
      </c>
      <c r="L667" s="2">
        <v>0.88600000000000001</v>
      </c>
      <c r="M667" s="2">
        <v>1.1439999999999999</v>
      </c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</row>
    <row r="668" spans="1:51" x14ac:dyDescent="0.2">
      <c r="A668" s="4">
        <v>2014</v>
      </c>
      <c r="B668" s="2">
        <v>1.4E-2</v>
      </c>
      <c r="C668" s="2">
        <v>5.1999999999999998E-2</v>
      </c>
      <c r="D668" s="2">
        <v>0.10100000000000001</v>
      </c>
      <c r="E668" s="2">
        <v>0.17499999999999999</v>
      </c>
      <c r="F668" s="2">
        <v>0.23699999999999999</v>
      </c>
      <c r="G668" s="2">
        <v>0.313</v>
      </c>
      <c r="H668" s="2">
        <v>0.41499999999999998</v>
      </c>
      <c r="I668" s="2">
        <v>0.53900000000000003</v>
      </c>
      <c r="J668" s="2">
        <v>0.64900000000000002</v>
      </c>
      <c r="K668" s="2">
        <v>0.78700000000000003</v>
      </c>
      <c r="L668" s="2">
        <v>0.96399999999999997</v>
      </c>
      <c r="M668" s="2">
        <v>1.4730000000000001</v>
      </c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</row>
    <row r="669" spans="1:51" x14ac:dyDescent="0.2">
      <c r="A669" s="4">
        <v>2015</v>
      </c>
      <c r="B669" s="2">
        <v>1.9E-2</v>
      </c>
      <c r="C669" s="2">
        <v>6.7000000000000004E-2</v>
      </c>
      <c r="D669" s="2">
        <v>0.10100000000000001</v>
      </c>
      <c r="E669" s="2">
        <v>0.19</v>
      </c>
      <c r="F669" s="2">
        <v>0.28699999999999998</v>
      </c>
      <c r="G669" s="2">
        <v>0.35299999999999998</v>
      </c>
      <c r="H669" s="2">
        <v>0.46600000000000003</v>
      </c>
      <c r="I669" s="2">
        <v>0.61299999999999999</v>
      </c>
      <c r="J669" s="2">
        <v>0.77400000000000002</v>
      </c>
      <c r="K669" s="2">
        <v>0.92300000000000004</v>
      </c>
      <c r="L669" s="2">
        <v>1.173</v>
      </c>
      <c r="M669" s="2">
        <v>1.514</v>
      </c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</row>
    <row r="670" spans="1:51" x14ac:dyDescent="0.2">
      <c r="A670" s="4">
        <v>2016</v>
      </c>
      <c r="B670" s="2">
        <v>7.0000000000000001E-3</v>
      </c>
      <c r="C670" s="2">
        <v>1.4E-2</v>
      </c>
      <c r="D670" s="2">
        <v>8.2000000000000003E-2</v>
      </c>
      <c r="E670" s="2">
        <v>0.20200000000000001</v>
      </c>
      <c r="F670" s="2">
        <v>0.26400000000000001</v>
      </c>
      <c r="G670" s="2">
        <v>0.35299999999999998</v>
      </c>
      <c r="H670" s="2">
        <v>0.47599999999999998</v>
      </c>
      <c r="I670" s="2">
        <v>0.55800000000000005</v>
      </c>
      <c r="J670" s="2">
        <v>0.71099999999999997</v>
      </c>
      <c r="K670" s="2">
        <v>0.91200000000000003</v>
      </c>
      <c r="L670" s="2">
        <v>1.1459999999999999</v>
      </c>
      <c r="M670" s="2">
        <v>1.6</v>
      </c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</row>
    <row r="671" spans="1:51" x14ac:dyDescent="0.2">
      <c r="A671" s="4">
        <v>2017</v>
      </c>
      <c r="B671" s="2">
        <v>5.3999999999999999E-2</v>
      </c>
      <c r="C671" s="2">
        <v>0.158</v>
      </c>
      <c r="D671" s="2">
        <v>0.251</v>
      </c>
      <c r="E671" s="2">
        <v>0.26</v>
      </c>
      <c r="F671" s="2">
        <v>0.318</v>
      </c>
      <c r="G671" s="2">
        <v>0.38500000000000001</v>
      </c>
      <c r="H671" s="2">
        <v>0.45</v>
      </c>
      <c r="I671" s="2">
        <v>0.55300000000000005</v>
      </c>
      <c r="J671" s="2">
        <v>0.70499999999999996</v>
      </c>
      <c r="K671" s="2">
        <v>0.82899999999999996</v>
      </c>
      <c r="L671" s="2">
        <v>1.117</v>
      </c>
      <c r="M671" s="2">
        <v>1.9770000000000001</v>
      </c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</row>
    <row r="672" spans="1:51" x14ac:dyDescent="0.2">
      <c r="A672" s="4">
        <v>2018</v>
      </c>
      <c r="B672" s="2">
        <v>5.1999999999999998E-2</v>
      </c>
      <c r="C672" s="2">
        <v>9.2999999999999999E-2</v>
      </c>
      <c r="D672" s="2">
        <v>0.18162449999999999</v>
      </c>
      <c r="E672" s="2">
        <v>0.2471216</v>
      </c>
      <c r="F672" s="2">
        <v>0.3748244</v>
      </c>
      <c r="G672" s="2">
        <v>0.4846821</v>
      </c>
      <c r="H672" s="2">
        <v>0.53434590000000004</v>
      </c>
      <c r="I672" s="2">
        <v>0.68240809999999996</v>
      </c>
      <c r="J672" s="2">
        <v>1.0936980000000001</v>
      </c>
      <c r="K672" s="2">
        <v>1.2805359999999999</v>
      </c>
      <c r="L672" s="2">
        <v>1.302017</v>
      </c>
      <c r="M672" s="2">
        <v>1.656231</v>
      </c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</row>
    <row r="673" spans="1:51" x14ac:dyDescent="0.2">
      <c r="A673" s="4">
        <v>2019</v>
      </c>
      <c r="B673" s="2">
        <v>5.1156334999999997E-2</v>
      </c>
      <c r="C673" s="2">
        <v>0.112200779</v>
      </c>
      <c r="D673" s="2">
        <v>0.19093136799999999</v>
      </c>
      <c r="E673" s="2">
        <v>0.25619424099999999</v>
      </c>
      <c r="F673" s="2">
        <v>0.34527360499999998</v>
      </c>
      <c r="G673" s="2">
        <v>0.42853607100000002</v>
      </c>
      <c r="H673" s="2">
        <v>0.50444999700000004</v>
      </c>
      <c r="I673" s="2">
        <v>0.62718589700000005</v>
      </c>
      <c r="J673" s="2">
        <v>0.93520943400000001</v>
      </c>
      <c r="K673" s="2">
        <v>1.069493665</v>
      </c>
      <c r="L673" s="2">
        <v>1.2060219329999999</v>
      </c>
      <c r="M673" s="2">
        <v>1.4466478279999999</v>
      </c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</row>
    <row r="674" spans="1:51" x14ac:dyDescent="0.2">
      <c r="A674" s="4" t="s">
        <v>71</v>
      </c>
      <c r="B674" s="2">
        <v>5.0312669999999997E-2</v>
      </c>
      <c r="C674" s="2">
        <v>0.131401558</v>
      </c>
      <c r="D674" s="2">
        <v>0.20023823499999999</v>
      </c>
      <c r="E674" s="2">
        <v>0.26526688100000001</v>
      </c>
      <c r="F674" s="2">
        <v>0.31572281000000002</v>
      </c>
      <c r="G674" s="2">
        <v>0.372390041</v>
      </c>
      <c r="H674" s="2">
        <v>0.47455409300000001</v>
      </c>
      <c r="I674" s="2">
        <v>0.57196369400000002</v>
      </c>
      <c r="J674" s="2">
        <v>0.77672086699999998</v>
      </c>
      <c r="K674" s="2">
        <v>0.85845132999999996</v>
      </c>
      <c r="L674" s="2">
        <v>1.1100268659999999</v>
      </c>
      <c r="M674" s="2">
        <v>1.237064655</v>
      </c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</row>
    <row r="675" spans="1:51" x14ac:dyDescent="0.2">
      <c r="A675" s="4">
        <v>1971</v>
      </c>
      <c r="B675" s="2">
        <v>1.6734393E-2</v>
      </c>
      <c r="C675" s="2">
        <v>5.8394525000000003E-2</v>
      </c>
      <c r="D675" s="2">
        <v>0.20054005799999999</v>
      </c>
      <c r="E675" s="2">
        <v>0.239941402</v>
      </c>
      <c r="F675" s="2">
        <v>0.30339664100000002</v>
      </c>
      <c r="G675" s="2">
        <v>0.38183531500000001</v>
      </c>
      <c r="H675" s="2">
        <v>0.468163473</v>
      </c>
      <c r="I675" s="2">
        <v>0.56217300199999998</v>
      </c>
      <c r="J675" s="2">
        <v>0.72121926000000003</v>
      </c>
      <c r="K675" s="2">
        <v>0.95325742300000005</v>
      </c>
      <c r="L675" s="2">
        <v>1.095713277</v>
      </c>
      <c r="M675" s="2">
        <v>1.61642719</v>
      </c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</row>
    <row r="676" spans="1:51" x14ac:dyDescent="0.2">
      <c r="A676" s="4">
        <v>1972</v>
      </c>
      <c r="B676" s="2">
        <v>1.5553529999999999E-2</v>
      </c>
      <c r="C676" s="2">
        <v>3.0954781000000001E-2</v>
      </c>
      <c r="D676" s="2">
        <v>0.21244037599999999</v>
      </c>
      <c r="E676" s="2">
        <v>0.241102232</v>
      </c>
      <c r="F676" s="2">
        <v>0.30509367399999998</v>
      </c>
      <c r="G676" s="2">
        <v>0.37764882300000002</v>
      </c>
      <c r="H676" s="2">
        <v>0.49450017800000001</v>
      </c>
      <c r="I676" s="2">
        <v>0.59430035000000003</v>
      </c>
      <c r="J676" s="2">
        <v>0.77990906800000004</v>
      </c>
      <c r="K676" s="2">
        <v>0.91597075999999999</v>
      </c>
      <c r="L676" s="2">
        <v>1.346189643</v>
      </c>
      <c r="M676" s="2">
        <v>1.8236984300000001</v>
      </c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</row>
    <row r="677" spans="1:51" x14ac:dyDescent="0.2">
      <c r="A677" s="4">
        <v>1973</v>
      </c>
      <c r="B677" s="2">
        <v>1.4596174E-2</v>
      </c>
      <c r="C677" s="2">
        <v>2.4990087000000001E-2</v>
      </c>
      <c r="D677" s="2">
        <v>0.18745980600000001</v>
      </c>
      <c r="E677" s="2">
        <v>0.26985513500000002</v>
      </c>
      <c r="F677" s="2">
        <v>0.30460896799999998</v>
      </c>
      <c r="G677" s="2">
        <v>0.39067675000000002</v>
      </c>
      <c r="H677" s="2">
        <v>0.48069443699999997</v>
      </c>
      <c r="I677" s="2">
        <v>0.57867890499999997</v>
      </c>
      <c r="J677" s="2">
        <v>0.68549167300000002</v>
      </c>
      <c r="K677" s="2">
        <v>0.76116063</v>
      </c>
      <c r="L677" s="2">
        <v>0.89770300199999997</v>
      </c>
      <c r="M677" s="2">
        <v>1.627863458</v>
      </c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</row>
    <row r="678" spans="1:51" x14ac:dyDescent="0.2">
      <c r="A678" s="4">
        <v>1974</v>
      </c>
      <c r="B678" s="2">
        <v>1.4596174E-2</v>
      </c>
      <c r="C678" s="2">
        <v>2.4990087000000001E-2</v>
      </c>
      <c r="D678" s="2">
        <v>0.18745980600000001</v>
      </c>
      <c r="E678" s="2">
        <v>0.26985513500000002</v>
      </c>
      <c r="F678" s="2">
        <v>0.30460896799999998</v>
      </c>
      <c r="G678" s="2">
        <v>0.39067675000000002</v>
      </c>
      <c r="H678" s="2">
        <v>0.48069443699999997</v>
      </c>
      <c r="I678" s="2">
        <v>0.57867890499999997</v>
      </c>
      <c r="J678" s="2">
        <v>0.68549167300000002</v>
      </c>
      <c r="K678" s="2">
        <v>0.76116063</v>
      </c>
      <c r="L678" s="2">
        <v>0.89770300199999997</v>
      </c>
      <c r="M678" s="2">
        <v>1.627863458</v>
      </c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</row>
    <row r="679" spans="1:51" x14ac:dyDescent="0.2">
      <c r="A679" s="4">
        <v>1975</v>
      </c>
      <c r="B679" s="2">
        <v>5.1999999999999998E-2</v>
      </c>
      <c r="C679" s="2">
        <v>9.2999999999999999E-2</v>
      </c>
      <c r="D679" s="2">
        <v>0.13100000000000001</v>
      </c>
      <c r="E679" s="2">
        <v>0.17799999999999999</v>
      </c>
      <c r="F679" s="2">
        <v>0.26200000000000001</v>
      </c>
      <c r="G679" s="2">
        <v>0.29399999999999998</v>
      </c>
      <c r="H679" s="2">
        <v>0.34</v>
      </c>
      <c r="I679" s="2">
        <v>0.39600000000000002</v>
      </c>
      <c r="J679" s="2">
        <v>0.54900000000000004</v>
      </c>
      <c r="K679" s="2">
        <v>0.73799999999999999</v>
      </c>
      <c r="L679" s="2">
        <v>0.98399999999999999</v>
      </c>
      <c r="M679" s="2">
        <v>1.093</v>
      </c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</row>
    <row r="680" spans="1:51" x14ac:dyDescent="0.2">
      <c r="A680" s="4">
        <v>1976</v>
      </c>
      <c r="B680" s="2">
        <v>5.1999999999999998E-2</v>
      </c>
      <c r="C680" s="2">
        <v>9.2999999999999999E-2</v>
      </c>
      <c r="D680" s="2">
        <v>0.13100000000000001</v>
      </c>
      <c r="E680" s="2">
        <v>0.17799999999999999</v>
      </c>
      <c r="F680" s="2">
        <v>0.26200000000000001</v>
      </c>
      <c r="G680" s="2">
        <v>0.29399999999999998</v>
      </c>
      <c r="H680" s="2">
        <v>0.34</v>
      </c>
      <c r="I680" s="2">
        <v>0.39600000000000002</v>
      </c>
      <c r="J680" s="2">
        <v>0.54900000000000004</v>
      </c>
      <c r="K680" s="2">
        <v>0.73799999999999999</v>
      </c>
      <c r="L680" s="2">
        <v>0.98399999999999999</v>
      </c>
      <c r="M680" s="2">
        <v>1.093</v>
      </c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</row>
    <row r="681" spans="1:51" x14ac:dyDescent="0.2">
      <c r="A681" s="4">
        <v>1977</v>
      </c>
      <c r="B681" s="2">
        <v>5.1999999999999998E-2</v>
      </c>
      <c r="C681" s="2">
        <v>9.2999999999999999E-2</v>
      </c>
      <c r="D681" s="2">
        <v>0.13100000000000001</v>
      </c>
      <c r="E681" s="2">
        <v>0.17799999999999999</v>
      </c>
      <c r="F681" s="2">
        <v>0.26200000000000001</v>
      </c>
      <c r="G681" s="2">
        <v>0.29399999999999998</v>
      </c>
      <c r="H681" s="2">
        <v>0.34</v>
      </c>
      <c r="I681" s="2">
        <v>0.39600000000000002</v>
      </c>
      <c r="J681" s="2">
        <v>0.54900000000000004</v>
      </c>
      <c r="K681" s="2">
        <v>0.73799999999999999</v>
      </c>
      <c r="L681" s="2">
        <v>0.98399999999999999</v>
      </c>
      <c r="M681" s="2">
        <v>1.093</v>
      </c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</row>
    <row r="682" spans="1:51" x14ac:dyDescent="0.2">
      <c r="A682" s="4">
        <v>1978</v>
      </c>
      <c r="B682" s="2">
        <v>5.1999999999999998E-2</v>
      </c>
      <c r="C682" s="2">
        <v>9.2999999999999999E-2</v>
      </c>
      <c r="D682" s="2">
        <v>0.13100000000000001</v>
      </c>
      <c r="E682" s="2">
        <v>0.17799999999999999</v>
      </c>
      <c r="F682" s="2">
        <v>0.26200000000000001</v>
      </c>
      <c r="G682" s="2">
        <v>0.29399999999999998</v>
      </c>
      <c r="H682" s="2">
        <v>0.34</v>
      </c>
      <c r="I682" s="2">
        <v>0.39600000000000002</v>
      </c>
      <c r="J682" s="2">
        <v>0.54900000000000004</v>
      </c>
      <c r="K682" s="2">
        <v>0.73799999999999999</v>
      </c>
      <c r="L682" s="2">
        <v>0.98399999999999999</v>
      </c>
      <c r="M682" s="2">
        <v>1.093</v>
      </c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</row>
    <row r="683" spans="1:51" x14ac:dyDescent="0.2">
      <c r="A683" s="4">
        <v>1979</v>
      </c>
      <c r="B683" s="2">
        <v>5.1999999999999998E-2</v>
      </c>
      <c r="C683" s="2">
        <v>9.2999999999999999E-2</v>
      </c>
      <c r="D683" s="2">
        <v>0.13100000000000001</v>
      </c>
      <c r="E683" s="2">
        <v>0.17799999999999999</v>
      </c>
      <c r="F683" s="2">
        <v>0.26200000000000001</v>
      </c>
      <c r="G683" s="2">
        <v>0.29399999999999998</v>
      </c>
      <c r="H683" s="2">
        <v>0.34</v>
      </c>
      <c r="I683" s="2">
        <v>0.39600000000000002</v>
      </c>
      <c r="J683" s="2">
        <v>0.54900000000000004</v>
      </c>
      <c r="K683" s="2">
        <v>0.73799999999999999</v>
      </c>
      <c r="L683" s="2">
        <v>0.98399999999999999</v>
      </c>
      <c r="M683" s="2">
        <v>1.093</v>
      </c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</row>
    <row r="684" spans="1:51" x14ac:dyDescent="0.2">
      <c r="A684" s="4">
        <v>1980</v>
      </c>
      <c r="B684" s="2">
        <v>5.1999999999999998E-2</v>
      </c>
      <c r="C684" s="2">
        <v>9.2999999999999999E-2</v>
      </c>
      <c r="D684" s="2">
        <v>0.13100000000000001</v>
      </c>
      <c r="E684" s="2">
        <v>0.17799999999999999</v>
      </c>
      <c r="F684" s="2">
        <v>0.26200000000000001</v>
      </c>
      <c r="G684" s="2">
        <v>0.29399999999999998</v>
      </c>
      <c r="H684" s="2">
        <v>0.34</v>
      </c>
      <c r="I684" s="2">
        <v>0.39600000000000002</v>
      </c>
      <c r="J684" s="2">
        <v>0.54900000000000004</v>
      </c>
      <c r="K684" s="2">
        <v>0.73799999999999999</v>
      </c>
      <c r="L684" s="2">
        <v>0.98399999999999999</v>
      </c>
      <c r="M684" s="2">
        <v>1.093</v>
      </c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</row>
    <row r="685" spans="1:51" x14ac:dyDescent="0.2">
      <c r="A685" s="4">
        <v>1981</v>
      </c>
      <c r="B685" s="2">
        <v>5.1999999999999998E-2</v>
      </c>
      <c r="C685" s="2">
        <v>7.8E-2</v>
      </c>
      <c r="D685" s="2">
        <v>0.155</v>
      </c>
      <c r="E685" s="2">
        <v>0.214</v>
      </c>
      <c r="F685" s="2">
        <v>0.27500000000000002</v>
      </c>
      <c r="G685" s="2">
        <v>0.33600000000000002</v>
      </c>
      <c r="H685" s="2">
        <v>0.39400000000000002</v>
      </c>
      <c r="I685" s="2">
        <v>0.47199999999999998</v>
      </c>
      <c r="J685" s="2">
        <v>0.63200000000000001</v>
      </c>
      <c r="K685" s="2">
        <v>0.71399999999999997</v>
      </c>
      <c r="L685" s="2">
        <v>0.89800000000000002</v>
      </c>
      <c r="M685" s="2">
        <v>1.538</v>
      </c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</row>
    <row r="686" spans="1:51" x14ac:dyDescent="0.2">
      <c r="A686" s="4">
        <v>1982</v>
      </c>
      <c r="B686" s="2">
        <v>5.4699999999999999E-2</v>
      </c>
      <c r="C686" s="2">
        <v>9.1999999999999998E-2</v>
      </c>
      <c r="D686" s="2">
        <v>0.109</v>
      </c>
      <c r="E686" s="2">
        <v>0.23599999999999999</v>
      </c>
      <c r="F686" s="2">
        <v>0.27500000000000002</v>
      </c>
      <c r="G686" s="2">
        <v>0.314</v>
      </c>
      <c r="H686" s="2">
        <v>0.375</v>
      </c>
      <c r="I686" s="2">
        <v>0.45600000000000002</v>
      </c>
      <c r="J686" s="2">
        <v>0.52100000000000002</v>
      </c>
      <c r="K686" s="2">
        <v>0.73199999999999998</v>
      </c>
      <c r="L686" s="2">
        <v>0.65100000000000002</v>
      </c>
      <c r="M686" s="2">
        <v>1.137</v>
      </c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</row>
    <row r="687" spans="1:51" x14ac:dyDescent="0.2">
      <c r="A687" s="4">
        <v>1983</v>
      </c>
      <c r="B687" s="2">
        <v>5.1999999999999998E-2</v>
      </c>
      <c r="C687" s="2">
        <v>8.4000000000000005E-2</v>
      </c>
      <c r="D687" s="2">
        <v>0.104</v>
      </c>
      <c r="E687" s="2">
        <v>0.14699999999999999</v>
      </c>
      <c r="F687" s="2">
        <v>0.21099999999999999</v>
      </c>
      <c r="G687" s="2">
        <v>0.32700000000000001</v>
      </c>
      <c r="H687" s="2">
        <v>0.39400000000000002</v>
      </c>
      <c r="I687" s="2">
        <v>0.44900000000000001</v>
      </c>
      <c r="J687" s="2">
        <v>0.51400000000000001</v>
      </c>
      <c r="K687" s="2">
        <v>0.58299999999999996</v>
      </c>
      <c r="L687" s="2">
        <v>0.63100000000000001</v>
      </c>
      <c r="M687" s="2">
        <v>1.538</v>
      </c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</row>
    <row r="688" spans="1:51" x14ac:dyDescent="0.2">
      <c r="A688" s="4">
        <v>1984</v>
      </c>
      <c r="B688" s="2">
        <v>5.1999999999999998E-2</v>
      </c>
      <c r="C688" s="2">
        <v>0.108</v>
      </c>
      <c r="D688" s="2">
        <v>0.16</v>
      </c>
      <c r="E688" s="2">
        <v>0.19900000000000001</v>
      </c>
      <c r="F688" s="2">
        <v>0.24099999999999999</v>
      </c>
      <c r="G688" s="2">
        <v>0.30099999999999999</v>
      </c>
      <c r="H688" s="2">
        <v>0.38800000000000001</v>
      </c>
      <c r="I688" s="2">
        <v>0.46600000000000003</v>
      </c>
      <c r="J688" s="2">
        <v>0.58799999999999997</v>
      </c>
      <c r="K688" s="2">
        <v>0.871</v>
      </c>
      <c r="L688" s="2">
        <v>1.2649999999999999</v>
      </c>
      <c r="M688" s="2">
        <v>1.972</v>
      </c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</row>
    <row r="689" spans="1:51" x14ac:dyDescent="0.2">
      <c r="A689" s="4">
        <v>1985</v>
      </c>
      <c r="B689" s="2">
        <v>2.5700000000000001E-2</v>
      </c>
      <c r="C689" s="2">
        <v>0.06</v>
      </c>
      <c r="D689" s="2">
        <v>0.13200000000000001</v>
      </c>
      <c r="E689" s="2">
        <v>0.23100000000000001</v>
      </c>
      <c r="F689" s="2">
        <v>0.27200000000000002</v>
      </c>
      <c r="G689" s="2">
        <v>0.35</v>
      </c>
      <c r="H689" s="2">
        <v>0.44700000000000001</v>
      </c>
      <c r="I689" s="2">
        <v>0.51900000000000002</v>
      </c>
      <c r="J689" s="2">
        <v>0.71599999999999997</v>
      </c>
      <c r="K689" s="2">
        <v>0.82</v>
      </c>
      <c r="L689" s="2">
        <v>1.073</v>
      </c>
      <c r="M689" s="2">
        <v>1.8540000000000001</v>
      </c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</row>
    <row r="690" spans="1:51" x14ac:dyDescent="0.2">
      <c r="A690" s="4">
        <v>1986</v>
      </c>
      <c r="B690" s="2">
        <v>5.1999999999999998E-2</v>
      </c>
      <c r="C690" s="2">
        <v>9.5000000000000001E-2</v>
      </c>
      <c r="D690" s="2">
        <v>0.14899999999999999</v>
      </c>
      <c r="E690" s="2">
        <v>0.24199999999999999</v>
      </c>
      <c r="F690" s="2">
        <v>0.29399999999999998</v>
      </c>
      <c r="G690" s="2">
        <v>0.34</v>
      </c>
      <c r="H690" s="2">
        <v>0.40699999999999997</v>
      </c>
      <c r="I690" s="2">
        <v>0.503</v>
      </c>
      <c r="J690" s="2">
        <v>0.63700000000000001</v>
      </c>
      <c r="K690" s="2">
        <v>0.76500000000000001</v>
      </c>
      <c r="L690" s="2">
        <v>1.1839999999999999</v>
      </c>
      <c r="M690" s="2">
        <v>1.9</v>
      </c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</row>
    <row r="691" spans="1:51" x14ac:dyDescent="0.2">
      <c r="A691" s="4">
        <v>1987</v>
      </c>
      <c r="B691" s="2">
        <v>5.5199999999999999E-2</v>
      </c>
      <c r="C691" s="2">
        <v>8.5000000000000006E-2</v>
      </c>
      <c r="D691" s="2">
        <v>0.16600000000000001</v>
      </c>
      <c r="E691" s="2">
        <v>0.20699999999999999</v>
      </c>
      <c r="F691" s="2">
        <v>0.26900000000000002</v>
      </c>
      <c r="G691" s="2">
        <v>0.32300000000000001</v>
      </c>
      <c r="H691" s="2">
        <v>0.378</v>
      </c>
      <c r="I691" s="2">
        <v>0.47199999999999998</v>
      </c>
      <c r="J691" s="2">
        <v>0.53600000000000003</v>
      </c>
      <c r="K691" s="2">
        <v>0.64400000000000002</v>
      </c>
      <c r="L691" s="2">
        <v>0.98699999999999999</v>
      </c>
      <c r="M691" s="2">
        <v>1.1850000000000001</v>
      </c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</row>
    <row r="692" spans="1:51" x14ac:dyDescent="0.2">
      <c r="A692" s="4">
        <v>1988</v>
      </c>
      <c r="B692" s="2">
        <v>7.0400000000000004E-2</v>
      </c>
      <c r="C692" s="2">
        <v>9.9000000000000005E-2</v>
      </c>
      <c r="D692" s="2">
        <v>0.122</v>
      </c>
      <c r="E692" s="2">
        <v>0.23</v>
      </c>
      <c r="F692" s="2">
        <v>0.27300000000000002</v>
      </c>
      <c r="G692" s="2">
        <v>0.32</v>
      </c>
      <c r="H692" s="2">
        <v>0.374</v>
      </c>
      <c r="I692" s="2">
        <v>0.46100000000000002</v>
      </c>
      <c r="J692" s="2">
        <v>0.59599999999999997</v>
      </c>
      <c r="K692" s="2">
        <v>0.70899999999999996</v>
      </c>
      <c r="L692" s="2">
        <v>1.196</v>
      </c>
      <c r="M692" s="2">
        <v>1.7689999999999999</v>
      </c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</row>
    <row r="693" spans="1:51" x14ac:dyDescent="0.2">
      <c r="A693" s="4">
        <v>1989</v>
      </c>
      <c r="B693" s="2">
        <v>3.4599999999999999E-2</v>
      </c>
      <c r="C693" s="2">
        <v>0.13500000000000001</v>
      </c>
      <c r="D693" s="2">
        <v>0.154</v>
      </c>
      <c r="E693" s="2">
        <v>0.185</v>
      </c>
      <c r="F693" s="2">
        <v>0.26600000000000001</v>
      </c>
      <c r="G693" s="2">
        <v>0.33</v>
      </c>
      <c r="H693" s="2">
        <v>0.38300000000000001</v>
      </c>
      <c r="I693" s="2">
        <v>0.44900000000000001</v>
      </c>
      <c r="J693" s="2">
        <v>0.57699999999999996</v>
      </c>
      <c r="K693" s="2">
        <v>0.68500000000000005</v>
      </c>
      <c r="L693" s="2">
        <v>1.012</v>
      </c>
      <c r="M693" s="2">
        <v>1.8460000000000001</v>
      </c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</row>
    <row r="694" spans="1:51" x14ac:dyDescent="0.2">
      <c r="A694" s="4">
        <v>1990</v>
      </c>
      <c r="B694" s="2">
        <v>5.7500000000000002E-2</v>
      </c>
      <c r="C694" s="2">
        <v>0.14799999999999999</v>
      </c>
      <c r="D694" s="2">
        <v>0.18099999999999999</v>
      </c>
      <c r="E694" s="2">
        <v>0.223</v>
      </c>
      <c r="F694" s="2">
        <v>0.27</v>
      </c>
      <c r="G694" s="2">
        <v>0.33900000000000002</v>
      </c>
      <c r="H694" s="2">
        <v>0.39800000000000002</v>
      </c>
      <c r="I694" s="2">
        <v>0.47299999999999998</v>
      </c>
      <c r="J694" s="2">
        <v>0.57299999999999995</v>
      </c>
      <c r="K694" s="2">
        <v>0.79600000000000004</v>
      </c>
      <c r="L694" s="2">
        <v>1.3759999999999999</v>
      </c>
      <c r="M694" s="2">
        <v>1.647</v>
      </c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</row>
    <row r="695" spans="1:51" x14ac:dyDescent="0.2">
      <c r="A695" s="4">
        <v>1991</v>
      </c>
      <c r="B695" s="2">
        <v>7.2700000000000001E-2</v>
      </c>
      <c r="C695" s="2">
        <v>7.4999999999999997E-2</v>
      </c>
      <c r="D695" s="2">
        <v>0.17199999999999999</v>
      </c>
      <c r="E695" s="2">
        <v>0.247</v>
      </c>
      <c r="F695" s="2">
        <v>0.28599999999999998</v>
      </c>
      <c r="G695" s="2">
        <v>0.34599999999999997</v>
      </c>
      <c r="H695" s="2">
        <v>0.42699999999999999</v>
      </c>
      <c r="I695" s="2">
        <v>0.51800000000000002</v>
      </c>
      <c r="J695" s="2">
        <v>0.64</v>
      </c>
      <c r="K695" s="2">
        <v>0.84399999999999997</v>
      </c>
      <c r="L695" s="2">
        <v>1.351</v>
      </c>
      <c r="M695" s="2">
        <v>2.11</v>
      </c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</row>
    <row r="696" spans="1:51" x14ac:dyDescent="0.2">
      <c r="A696" s="4">
        <v>1992</v>
      </c>
      <c r="B696" s="2">
        <v>7.5999999999999998E-2</v>
      </c>
      <c r="C696" s="2">
        <v>0.11700000000000001</v>
      </c>
      <c r="D696" s="2">
        <v>0.14000000000000001</v>
      </c>
      <c r="E696" s="2">
        <v>0.191</v>
      </c>
      <c r="F696" s="2">
        <v>0.27</v>
      </c>
      <c r="G696" s="2">
        <v>0.35699999999999998</v>
      </c>
      <c r="H696" s="2">
        <v>0.434</v>
      </c>
      <c r="I696" s="2">
        <v>0.503</v>
      </c>
      <c r="J696" s="2">
        <v>0.57699999999999996</v>
      </c>
      <c r="K696" s="2">
        <v>0.68899999999999995</v>
      </c>
      <c r="L696" s="2">
        <v>1.089</v>
      </c>
      <c r="M696" s="2">
        <v>1.9790000000000001</v>
      </c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</row>
    <row r="697" spans="1:51" x14ac:dyDescent="0.2">
      <c r="A697" s="4">
        <v>1993</v>
      </c>
      <c r="B697" s="2">
        <v>0.1003</v>
      </c>
      <c r="C697" s="2">
        <v>0.124</v>
      </c>
      <c r="D697" s="2">
        <v>0.159</v>
      </c>
      <c r="E697" s="2">
        <v>0.19700000000000001</v>
      </c>
      <c r="F697" s="2">
        <v>0.23300000000000001</v>
      </c>
      <c r="G697" s="2">
        <v>0.34200000000000003</v>
      </c>
      <c r="H697" s="2">
        <v>0.44400000000000001</v>
      </c>
      <c r="I697" s="2">
        <v>0.51200000000000001</v>
      </c>
      <c r="J697" s="2">
        <v>0.58799999999999997</v>
      </c>
      <c r="K697" s="2">
        <v>0.75</v>
      </c>
      <c r="L697" s="2">
        <v>1.012</v>
      </c>
      <c r="M697" s="2">
        <v>1.3720000000000001</v>
      </c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</row>
    <row r="698" spans="1:51" x14ac:dyDescent="0.2">
      <c r="A698" s="4">
        <v>1994</v>
      </c>
      <c r="B698" s="2">
        <v>5.1999999999999998E-2</v>
      </c>
      <c r="C698" s="2">
        <v>0.10299999999999999</v>
      </c>
      <c r="D698" s="2">
        <v>0.22</v>
      </c>
      <c r="E698" s="2">
        <v>0.24099999999999999</v>
      </c>
      <c r="F698" s="2">
        <v>0.27800000000000002</v>
      </c>
      <c r="G698" s="2">
        <v>0.33900000000000002</v>
      </c>
      <c r="H698" s="2">
        <v>0.46700000000000003</v>
      </c>
      <c r="I698" s="2">
        <v>0.58499999999999996</v>
      </c>
      <c r="J698" s="2">
        <v>0.70199999999999996</v>
      </c>
      <c r="K698" s="2">
        <v>0.77900000000000003</v>
      </c>
      <c r="L698" s="2">
        <v>0.88</v>
      </c>
      <c r="M698" s="2">
        <v>1.538</v>
      </c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</row>
    <row r="699" spans="1:51" x14ac:dyDescent="0.2">
      <c r="A699" s="4">
        <v>1995</v>
      </c>
      <c r="B699" s="2">
        <v>6.4399999999999999E-2</v>
      </c>
      <c r="C699" s="2">
        <v>9.0999999999999998E-2</v>
      </c>
      <c r="D699" s="2">
        <v>0.153</v>
      </c>
      <c r="E699" s="2">
        <v>0.26400000000000001</v>
      </c>
      <c r="F699" s="2">
        <v>0.309</v>
      </c>
      <c r="G699" s="2">
        <v>0.373</v>
      </c>
      <c r="H699" s="2">
        <v>0.46100000000000002</v>
      </c>
      <c r="I699" s="2">
        <v>0.58199999999999996</v>
      </c>
      <c r="J699" s="2">
        <v>0.69399999999999995</v>
      </c>
      <c r="K699" s="2">
        <v>0.83499999999999996</v>
      </c>
      <c r="L699" s="2">
        <v>0.97</v>
      </c>
      <c r="M699" s="2">
        <v>1.5980000000000001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</row>
    <row r="700" spans="1:51" x14ac:dyDescent="0.2">
      <c r="A700" s="4">
        <v>1996</v>
      </c>
      <c r="B700" s="2">
        <v>3.7199999999999997E-2</v>
      </c>
      <c r="C700" s="2">
        <v>0.106</v>
      </c>
      <c r="D700" s="2">
        <v>0.13200000000000001</v>
      </c>
      <c r="E700" s="2">
        <v>0.186</v>
      </c>
      <c r="F700" s="2">
        <v>0.27100000000000002</v>
      </c>
      <c r="G700" s="2">
        <v>0.38100000000000001</v>
      </c>
      <c r="H700" s="2">
        <v>0.45100000000000001</v>
      </c>
      <c r="I700" s="2">
        <v>0.54200000000000004</v>
      </c>
      <c r="J700" s="2">
        <v>0.66700000000000004</v>
      </c>
      <c r="K700" s="2">
        <v>0.78700000000000003</v>
      </c>
      <c r="L700" s="2">
        <v>0.90100000000000002</v>
      </c>
      <c r="M700" s="2">
        <v>1.0529999999999999</v>
      </c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</row>
    <row r="701" spans="1:51" x14ac:dyDescent="0.2">
      <c r="A701" s="4">
        <v>1997</v>
      </c>
      <c r="B701" s="2">
        <v>6.2600000000000003E-2</v>
      </c>
      <c r="C701" s="2">
        <v>8.3000000000000004E-2</v>
      </c>
      <c r="D701" s="2">
        <v>0.11799999999999999</v>
      </c>
      <c r="E701" s="2">
        <v>0.17699999999999999</v>
      </c>
      <c r="F701" s="2">
        <v>0.23899999999999999</v>
      </c>
      <c r="G701" s="2">
        <v>0.27500000000000002</v>
      </c>
      <c r="H701" s="2">
        <v>0.40899999999999997</v>
      </c>
      <c r="I701" s="2">
        <v>0.52400000000000002</v>
      </c>
      <c r="J701" s="2">
        <v>0.59399999999999997</v>
      </c>
      <c r="K701" s="2">
        <v>0.70899999999999996</v>
      </c>
      <c r="L701" s="2">
        <v>0.85099999999999998</v>
      </c>
      <c r="M701" s="2">
        <v>1.046</v>
      </c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</row>
    <row r="702" spans="1:51" x14ac:dyDescent="0.2">
      <c r="A702" s="4">
        <v>1998</v>
      </c>
      <c r="B702" s="2">
        <v>1.0999999999999999E-2</v>
      </c>
      <c r="C702" s="2">
        <v>8.8999999999999996E-2</v>
      </c>
      <c r="D702" s="2">
        <v>0.121</v>
      </c>
      <c r="E702" s="2">
        <v>0.18099999999999999</v>
      </c>
      <c r="F702" s="2">
        <v>0.246</v>
      </c>
      <c r="G702" s="2">
        <v>0.32</v>
      </c>
      <c r="H702" s="2">
        <v>0.40799999999999997</v>
      </c>
      <c r="I702" s="2">
        <v>0.57899999999999996</v>
      </c>
      <c r="J702" s="2">
        <v>0.71899999999999997</v>
      </c>
      <c r="K702" s="2">
        <v>0.85299999999999998</v>
      </c>
      <c r="L702" s="2">
        <v>0.96499999999999997</v>
      </c>
      <c r="M702" s="2">
        <v>1.1739999999999999</v>
      </c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</row>
    <row r="703" spans="1:51" x14ac:dyDescent="0.2">
      <c r="A703" s="4">
        <v>1999</v>
      </c>
      <c r="B703" s="2">
        <v>4.1200000000000001E-2</v>
      </c>
      <c r="C703" s="2">
        <v>8.4000000000000005E-2</v>
      </c>
      <c r="D703" s="2">
        <v>0.112</v>
      </c>
      <c r="E703" s="2">
        <v>0.224</v>
      </c>
      <c r="F703" s="2">
        <v>0.27</v>
      </c>
      <c r="G703" s="2">
        <v>0.33600000000000002</v>
      </c>
      <c r="H703" s="2">
        <v>0.46200000000000002</v>
      </c>
      <c r="I703" s="2">
        <v>0.64300000000000002</v>
      </c>
      <c r="J703" s="2">
        <v>0.80800000000000005</v>
      </c>
      <c r="K703" s="2">
        <v>0.86799999999999999</v>
      </c>
      <c r="L703" s="2">
        <v>1.0580000000000001</v>
      </c>
      <c r="M703" s="2">
        <v>1.421</v>
      </c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</row>
    <row r="704" spans="1:51" x14ac:dyDescent="0.2">
      <c r="A704" s="4">
        <v>2000</v>
      </c>
      <c r="B704" s="2">
        <v>7.0000000000000007E-2</v>
      </c>
      <c r="C704" s="2">
        <v>9.8000000000000004E-2</v>
      </c>
      <c r="D704" s="2">
        <v>0.14499999999999999</v>
      </c>
      <c r="E704" s="2">
        <v>0.192</v>
      </c>
      <c r="F704" s="2">
        <v>0.27</v>
      </c>
      <c r="G704" s="2">
        <v>0.34</v>
      </c>
      <c r="H704" s="2">
        <v>0.42899999999999999</v>
      </c>
      <c r="I704" s="2">
        <v>0.57699999999999996</v>
      </c>
      <c r="J704" s="2">
        <v>0.80700000000000005</v>
      </c>
      <c r="K704" s="2">
        <v>0.96499999999999997</v>
      </c>
      <c r="L704" s="2">
        <v>1.115</v>
      </c>
      <c r="M704" s="2">
        <v>1.367</v>
      </c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</row>
    <row r="705" spans="1:51" x14ac:dyDescent="0.2">
      <c r="A705" s="4">
        <v>2001</v>
      </c>
      <c r="B705" s="2">
        <v>6.1199999999999997E-2</v>
      </c>
      <c r="C705" s="2">
        <v>9.1999999999999998E-2</v>
      </c>
      <c r="D705" s="2">
        <v>0.151</v>
      </c>
      <c r="E705" s="2">
        <v>0.191</v>
      </c>
      <c r="F705" s="2">
        <v>0.28000000000000003</v>
      </c>
      <c r="G705" s="2">
        <v>0.35199999999999998</v>
      </c>
      <c r="H705" s="2">
        <v>0.52400000000000002</v>
      </c>
      <c r="I705" s="2">
        <v>0.68300000000000005</v>
      </c>
      <c r="J705" s="2">
        <v>0.94499999999999995</v>
      </c>
      <c r="K705" s="2">
        <v>1.216</v>
      </c>
      <c r="L705" s="2">
        <v>1.4259999999999999</v>
      </c>
      <c r="M705" s="2">
        <v>1.4770000000000001</v>
      </c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</row>
    <row r="706" spans="1:51" x14ac:dyDescent="0.2">
      <c r="A706" s="4">
        <v>2002</v>
      </c>
      <c r="B706" s="2">
        <v>0.10440000000000001</v>
      </c>
      <c r="C706" s="2">
        <v>0.106</v>
      </c>
      <c r="D706" s="2">
        <v>0.14599999999999999</v>
      </c>
      <c r="E706" s="2">
        <v>0.20100000000000001</v>
      </c>
      <c r="F706" s="2">
        <v>0.26</v>
      </c>
      <c r="G706" s="2">
        <v>0.35499999999999998</v>
      </c>
      <c r="H706" s="2">
        <v>0.495</v>
      </c>
      <c r="I706" s="2">
        <v>0.68300000000000005</v>
      </c>
      <c r="J706" s="2">
        <v>0.88400000000000001</v>
      </c>
      <c r="K706" s="2">
        <v>1.0880000000000001</v>
      </c>
      <c r="L706" s="2">
        <v>1.4670000000000001</v>
      </c>
      <c r="M706" s="2">
        <v>1.647</v>
      </c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</row>
    <row r="707" spans="1:51" x14ac:dyDescent="0.2">
      <c r="A707" s="4">
        <v>2003</v>
      </c>
      <c r="B707" s="2">
        <v>8.4099999999999994E-2</v>
      </c>
      <c r="C707" s="2">
        <v>0.128</v>
      </c>
      <c r="D707" s="2">
        <v>0.13800000000000001</v>
      </c>
      <c r="E707" s="2">
        <v>0.17799999999999999</v>
      </c>
      <c r="F707" s="2">
        <v>0.248</v>
      </c>
      <c r="G707" s="2">
        <v>0.34</v>
      </c>
      <c r="H707" s="2">
        <v>0.54500000000000004</v>
      </c>
      <c r="I707" s="2">
        <v>0.80600000000000005</v>
      </c>
      <c r="J707" s="2">
        <v>1.0349999999999999</v>
      </c>
      <c r="K707" s="2">
        <v>1.246</v>
      </c>
      <c r="L707" s="2">
        <v>1.4119999999999999</v>
      </c>
      <c r="M707" s="2">
        <v>1.655</v>
      </c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</row>
    <row r="708" spans="1:51" x14ac:dyDescent="0.2">
      <c r="A708" s="4">
        <v>2004</v>
      </c>
      <c r="B708" s="2">
        <v>8.9499999999999996E-2</v>
      </c>
      <c r="C708" s="2">
        <v>0.109</v>
      </c>
      <c r="D708" s="2">
        <v>0.13400000000000001</v>
      </c>
      <c r="E708" s="2">
        <v>0.17399999999999999</v>
      </c>
      <c r="F708" s="2">
        <v>0.25</v>
      </c>
      <c r="G708" s="2">
        <v>0.33100000000000002</v>
      </c>
      <c r="H708" s="2">
        <v>0.46500000000000002</v>
      </c>
      <c r="I708" s="2">
        <v>0.74199999999999999</v>
      </c>
      <c r="J708" s="2">
        <v>1.0209999999999999</v>
      </c>
      <c r="K708" s="2">
        <v>1.258</v>
      </c>
      <c r="L708" s="2">
        <v>1.3759999999999999</v>
      </c>
      <c r="M708" s="2">
        <v>1.776</v>
      </c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</row>
    <row r="709" spans="1:51" x14ac:dyDescent="0.2">
      <c r="A709" s="4">
        <v>2005</v>
      </c>
      <c r="B709" s="2">
        <v>4.2599999999999999E-2</v>
      </c>
      <c r="C709" s="2">
        <v>6.4000000000000001E-2</v>
      </c>
      <c r="D709" s="2">
        <v>0.16300000000000001</v>
      </c>
      <c r="E709" s="2">
        <v>0.19600000000000001</v>
      </c>
      <c r="F709" s="2">
        <v>0.255</v>
      </c>
      <c r="G709" s="2">
        <v>0.34599999999999997</v>
      </c>
      <c r="H709" s="2">
        <v>0.46600000000000003</v>
      </c>
      <c r="I709" s="2">
        <v>0.75600000000000001</v>
      </c>
      <c r="J709" s="2">
        <v>0.999</v>
      </c>
      <c r="K709" s="2">
        <v>1.141</v>
      </c>
      <c r="L709" s="2">
        <v>1.228</v>
      </c>
      <c r="M709" s="2">
        <v>1.5629999999999999</v>
      </c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</row>
    <row r="710" spans="1:51" x14ac:dyDescent="0.2">
      <c r="A710" s="4">
        <v>2006</v>
      </c>
      <c r="B710" s="2">
        <v>6.5600000000000006E-2</v>
      </c>
      <c r="C710" s="2">
        <v>9.8000000000000004E-2</v>
      </c>
      <c r="D710" s="2">
        <v>0.122</v>
      </c>
      <c r="E710" s="2">
        <v>0.17899999999999999</v>
      </c>
      <c r="F710" s="2">
        <v>0.25800000000000001</v>
      </c>
      <c r="G710" s="2">
        <v>0.32500000000000001</v>
      </c>
      <c r="H710" s="2">
        <v>0.46100000000000002</v>
      </c>
      <c r="I710" s="2">
        <v>0.61399999999999999</v>
      </c>
      <c r="J710" s="2">
        <v>0.82799999999999996</v>
      </c>
      <c r="K710" s="2">
        <v>1.0740000000000001</v>
      </c>
      <c r="L710" s="2">
        <v>1.36</v>
      </c>
      <c r="M710" s="2">
        <v>1.671</v>
      </c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</row>
    <row r="711" spans="1:51" x14ac:dyDescent="0.2">
      <c r="A711" s="4">
        <v>2007</v>
      </c>
      <c r="B711" s="2">
        <v>3.09E-2</v>
      </c>
      <c r="C711" s="2">
        <v>7.3999999999999996E-2</v>
      </c>
      <c r="D711" s="2">
        <v>0.13</v>
      </c>
      <c r="E711" s="2">
        <v>0.2</v>
      </c>
      <c r="F711" s="2">
        <v>0.25700000000000001</v>
      </c>
      <c r="G711" s="2">
        <v>0.32900000000000001</v>
      </c>
      <c r="H711" s="2">
        <v>0.44500000000000001</v>
      </c>
      <c r="I711" s="2">
        <v>0.64500000000000002</v>
      </c>
      <c r="J711" s="2">
        <v>0.88300000000000001</v>
      </c>
      <c r="K711" s="2">
        <v>1.1020000000000001</v>
      </c>
      <c r="L711" s="2">
        <v>1.321</v>
      </c>
      <c r="M711" s="2">
        <v>1.649</v>
      </c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</row>
    <row r="712" spans="1:51" x14ac:dyDescent="0.2">
      <c r="A712" s="4">
        <v>2008</v>
      </c>
      <c r="B712" s="2">
        <v>3.5799999999999998E-2</v>
      </c>
      <c r="C712" s="2">
        <v>8.5999999999999993E-2</v>
      </c>
      <c r="D712" s="2">
        <v>0.11700000000000001</v>
      </c>
      <c r="E712" s="2">
        <v>0.186</v>
      </c>
      <c r="F712" s="2">
        <v>0.245</v>
      </c>
      <c r="G712" s="2">
        <v>0.307</v>
      </c>
      <c r="H712" s="2">
        <v>0.4</v>
      </c>
      <c r="I712" s="2">
        <v>0.56399999999999995</v>
      </c>
      <c r="J712" s="2">
        <v>0.76800000000000002</v>
      </c>
      <c r="K712" s="2">
        <v>1.0049999999999999</v>
      </c>
      <c r="L712" s="2">
        <v>1.2090000000000001</v>
      </c>
      <c r="M712" s="2">
        <v>1.5369999999999999</v>
      </c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</row>
    <row r="713" spans="1:51" x14ac:dyDescent="0.2">
      <c r="A713" s="4">
        <v>2009</v>
      </c>
      <c r="B713" s="2">
        <v>3.4099999999999998E-2</v>
      </c>
      <c r="C713" s="2">
        <v>0.08</v>
      </c>
      <c r="D713" s="2">
        <v>0.158</v>
      </c>
      <c r="E713" s="2">
        <v>0.193</v>
      </c>
      <c r="F713" s="2">
        <v>0.247</v>
      </c>
      <c r="G713" s="2">
        <v>0.307</v>
      </c>
      <c r="H713" s="2">
        <v>0.38700000000000001</v>
      </c>
      <c r="I713" s="2">
        <v>0.52800000000000002</v>
      </c>
      <c r="J713" s="2">
        <v>0.7</v>
      </c>
      <c r="K713" s="2">
        <v>0.89700000000000002</v>
      </c>
      <c r="L713" s="2">
        <v>1.087</v>
      </c>
      <c r="M713" s="2">
        <v>1.5409999999999999</v>
      </c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</row>
    <row r="714" spans="1:51" x14ac:dyDescent="0.2">
      <c r="A714" s="4">
        <v>2010</v>
      </c>
      <c r="B714" s="2">
        <v>2.9100000000000001E-2</v>
      </c>
      <c r="C714" s="2">
        <v>7.4999999999999997E-2</v>
      </c>
      <c r="D714" s="2">
        <v>0.113</v>
      </c>
      <c r="E714" s="2">
        <v>0.19600000000000001</v>
      </c>
      <c r="F714" s="2">
        <v>0.25900000000000001</v>
      </c>
      <c r="G714" s="2">
        <v>0.318</v>
      </c>
      <c r="H714" s="2">
        <v>0.39900000000000002</v>
      </c>
      <c r="I714" s="2">
        <v>0.51700000000000002</v>
      </c>
      <c r="J714" s="2">
        <v>0.64100000000000001</v>
      </c>
      <c r="K714" s="2">
        <v>0.76700000000000002</v>
      </c>
      <c r="L714" s="2">
        <v>0.91800000000000004</v>
      </c>
      <c r="M714" s="2">
        <v>1.296</v>
      </c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</row>
    <row r="715" spans="1:51" x14ac:dyDescent="0.2">
      <c r="A715" s="4">
        <v>2011</v>
      </c>
      <c r="B715" s="2">
        <v>3.2800000000000003E-2</v>
      </c>
      <c r="C715" s="2">
        <v>7.5999999999999998E-2</v>
      </c>
      <c r="D715" s="2">
        <v>0.11600000000000001</v>
      </c>
      <c r="E715" s="2">
        <v>0.14099999999999999</v>
      </c>
      <c r="F715" s="2">
        <v>0.26100000000000001</v>
      </c>
      <c r="G715" s="2">
        <v>0.35</v>
      </c>
      <c r="H715" s="2">
        <v>0.41899999999999998</v>
      </c>
      <c r="I715" s="2">
        <v>0.51600000000000001</v>
      </c>
      <c r="J715" s="2">
        <v>0.63100000000000001</v>
      </c>
      <c r="K715" s="2">
        <v>0.752</v>
      </c>
      <c r="L715" s="2">
        <v>0.92400000000000004</v>
      </c>
      <c r="M715" s="2">
        <v>1.2629999999999999</v>
      </c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</row>
    <row r="716" spans="1:51" x14ac:dyDescent="0.2">
      <c r="A716" s="4">
        <v>2012</v>
      </c>
      <c r="B716" s="2">
        <v>8.6300000000000002E-2</v>
      </c>
      <c r="C716" s="2">
        <v>7.3999999999999996E-2</v>
      </c>
      <c r="D716" s="2">
        <v>0.121</v>
      </c>
      <c r="E716" s="2">
        <v>0.17199999999999999</v>
      </c>
      <c r="F716" s="2">
        <v>0.22600000000000001</v>
      </c>
      <c r="G716" s="2">
        <v>0.33100000000000002</v>
      </c>
      <c r="H716" s="2">
        <v>0.43099999999999999</v>
      </c>
      <c r="I716" s="2">
        <v>0.51</v>
      </c>
      <c r="J716" s="2">
        <v>0.621</v>
      </c>
      <c r="K716" s="2">
        <v>0.75600000000000001</v>
      </c>
      <c r="L716" s="2">
        <v>0.90300000000000002</v>
      </c>
      <c r="M716" s="2">
        <v>1.177</v>
      </c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</row>
    <row r="717" spans="1:51" x14ac:dyDescent="0.2">
      <c r="A717" s="4">
        <v>2013</v>
      </c>
      <c r="B717" s="2">
        <v>3.5799999999999998E-2</v>
      </c>
      <c r="C717" s="2">
        <v>4.8300000000000003E-2</v>
      </c>
      <c r="D717" s="2">
        <v>6.88E-2</v>
      </c>
      <c r="E717" s="2">
        <v>0.18579999999999999</v>
      </c>
      <c r="F717" s="2">
        <v>0.25380000000000003</v>
      </c>
      <c r="G717" s="2">
        <v>0.31240000000000001</v>
      </c>
      <c r="H717" s="2">
        <v>0.41560000000000002</v>
      </c>
      <c r="I717" s="2">
        <v>0.51519999999999999</v>
      </c>
      <c r="J717" s="2">
        <v>0.60529999999999995</v>
      </c>
      <c r="K717" s="2">
        <v>0.71919999999999995</v>
      </c>
      <c r="L717" s="2">
        <v>0.86129999999999995</v>
      </c>
      <c r="M717" s="2">
        <v>1.1479999999999999</v>
      </c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</row>
    <row r="718" spans="1:51" x14ac:dyDescent="0.2">
      <c r="A718" s="4">
        <v>2014</v>
      </c>
      <c r="B718" s="2">
        <v>1.38E-2</v>
      </c>
      <c r="C718" s="2">
        <v>4.53E-2</v>
      </c>
      <c r="D718" s="2">
        <v>0.109</v>
      </c>
      <c r="E718" s="2">
        <v>0.14230000000000001</v>
      </c>
      <c r="F718" s="2">
        <v>0.253</v>
      </c>
      <c r="G718" s="2">
        <v>0.32990000000000003</v>
      </c>
      <c r="H718" s="2">
        <v>0.41120000000000001</v>
      </c>
      <c r="I718" s="2">
        <v>0.53159999999999996</v>
      </c>
      <c r="J718" s="2">
        <v>0.625</v>
      </c>
      <c r="K718" s="2">
        <v>0.76429999999999998</v>
      </c>
      <c r="L718" s="2">
        <v>0.88600000000000001</v>
      </c>
      <c r="M718" s="2">
        <v>1.1439999999999999</v>
      </c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</row>
    <row r="719" spans="1:51" x14ac:dyDescent="0.2">
      <c r="A719" s="4">
        <v>2015</v>
      </c>
      <c r="B719" s="2">
        <v>1.38E-2</v>
      </c>
      <c r="C719" s="2">
        <v>5.21E-2</v>
      </c>
      <c r="D719" s="2">
        <v>0.1013</v>
      </c>
      <c r="E719" s="2">
        <v>0.17469999999999999</v>
      </c>
      <c r="F719" s="2">
        <v>0.23649999999999999</v>
      </c>
      <c r="G719" s="2">
        <v>0.31330000000000002</v>
      </c>
      <c r="H719" s="2">
        <v>0.41489999999999999</v>
      </c>
      <c r="I719" s="2">
        <v>0.53859999999999997</v>
      </c>
      <c r="J719" s="2">
        <v>0.64880000000000004</v>
      </c>
      <c r="K719" s="2">
        <v>0.7873</v>
      </c>
      <c r="L719" s="2">
        <v>0.96350000000000002</v>
      </c>
      <c r="M719" s="2">
        <v>1.4730000000000001</v>
      </c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</row>
    <row r="720" spans="1:51" x14ac:dyDescent="0.2">
      <c r="A720" s="4">
        <v>2016</v>
      </c>
      <c r="B720" s="2">
        <v>1.9300000000000001E-2</v>
      </c>
      <c r="C720" s="2">
        <v>6.6699999999999995E-2</v>
      </c>
      <c r="D720" s="2">
        <v>0.10059999999999999</v>
      </c>
      <c r="E720" s="2">
        <v>0.19009999999999999</v>
      </c>
      <c r="F720" s="2">
        <v>0.28720000000000001</v>
      </c>
      <c r="G720" s="2">
        <v>0.35320000000000001</v>
      </c>
      <c r="H720" s="2">
        <v>0.46639999999999998</v>
      </c>
      <c r="I720" s="2">
        <v>0.61299999999999999</v>
      </c>
      <c r="J720" s="2">
        <v>0.77349999999999997</v>
      </c>
      <c r="K720" s="2">
        <v>0.92259999999999998</v>
      </c>
      <c r="L720" s="2">
        <v>1.1733</v>
      </c>
      <c r="M720" s="2">
        <v>1.514</v>
      </c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</row>
    <row r="721" spans="1:51" x14ac:dyDescent="0.2">
      <c r="A721" s="4">
        <v>2017</v>
      </c>
      <c r="B721" s="2">
        <v>7.3000000000000001E-3</v>
      </c>
      <c r="C721" s="2">
        <v>1.4E-2</v>
      </c>
      <c r="D721" s="2">
        <v>8.1500000000000003E-2</v>
      </c>
      <c r="E721" s="2">
        <v>0.20180000000000001</v>
      </c>
      <c r="F721" s="2">
        <v>0.26350000000000001</v>
      </c>
      <c r="G721" s="2">
        <v>0.3528</v>
      </c>
      <c r="H721" s="2">
        <v>0.4758</v>
      </c>
      <c r="I721" s="2">
        <v>0.55789999999999995</v>
      </c>
      <c r="J721" s="2">
        <v>0.71050000000000002</v>
      </c>
      <c r="K721" s="2">
        <v>0.91169999999999995</v>
      </c>
      <c r="L721" s="2">
        <v>1.1462000000000001</v>
      </c>
      <c r="M721" s="2">
        <v>1.6</v>
      </c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</row>
    <row r="722" spans="1:51" x14ac:dyDescent="0.2">
      <c r="A722" s="4">
        <v>2018</v>
      </c>
      <c r="B722" s="2">
        <v>5.1999999999999998E-2</v>
      </c>
      <c r="C722" s="2">
        <v>0.1254033</v>
      </c>
      <c r="D722" s="2">
        <v>0.2681982</v>
      </c>
      <c r="E722" s="2">
        <v>0.26314120000000002</v>
      </c>
      <c r="F722" s="2">
        <v>0.30995919999999999</v>
      </c>
      <c r="G722" s="2">
        <v>0.36198249999999998</v>
      </c>
      <c r="H722" s="2">
        <v>0.43108370000000001</v>
      </c>
      <c r="I722" s="2">
        <v>0.50682559999999999</v>
      </c>
      <c r="J722" s="2">
        <v>0.67831799999999998</v>
      </c>
      <c r="K722" s="2">
        <v>0.72566419999999998</v>
      </c>
      <c r="L722" s="2">
        <v>0.93555549999999998</v>
      </c>
      <c r="M722" s="2">
        <v>1.142647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</row>
    <row r="723" spans="1:51" x14ac:dyDescent="0.2">
      <c r="A723" s="4">
        <v>2019</v>
      </c>
      <c r="B723" s="2">
        <v>5.1999999999999998E-2</v>
      </c>
      <c r="C723" s="2">
        <v>9.2999999999999999E-2</v>
      </c>
      <c r="D723" s="2">
        <v>0.13100000000000001</v>
      </c>
      <c r="E723" s="2">
        <v>0.17799999999999999</v>
      </c>
      <c r="F723" s="2">
        <v>0.26200000000000001</v>
      </c>
      <c r="G723" s="2">
        <v>0.29399999999999998</v>
      </c>
      <c r="H723" s="2">
        <v>0.34</v>
      </c>
      <c r="I723" s="2">
        <v>0.39600000000000002</v>
      </c>
      <c r="J723" s="2">
        <v>0.54900000000000004</v>
      </c>
      <c r="K723" s="2">
        <v>0.73799999999999999</v>
      </c>
      <c r="L723" s="2">
        <v>0.98399999999999999</v>
      </c>
      <c r="M723" s="2">
        <v>1.093</v>
      </c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</row>
    <row r="724" spans="1:51" x14ac:dyDescent="0.2">
      <c r="A724" s="4" t="s">
        <v>72</v>
      </c>
      <c r="B724" s="2">
        <v>5.1999999999999998E-2</v>
      </c>
      <c r="C724" s="2">
        <v>9.2999999999999999E-2</v>
      </c>
      <c r="D724" s="2">
        <v>0.13100000000000001</v>
      </c>
      <c r="E724" s="2">
        <v>0.17799999999999999</v>
      </c>
      <c r="F724" s="2">
        <v>0.26200000000000001</v>
      </c>
      <c r="G724" s="2">
        <v>0.29399999999999998</v>
      </c>
      <c r="H724" s="2">
        <v>0.34</v>
      </c>
      <c r="I724" s="2">
        <v>0.39600000000000002</v>
      </c>
      <c r="J724" s="2">
        <v>0.54900000000000004</v>
      </c>
      <c r="K724" s="2">
        <v>0.73799999999999999</v>
      </c>
      <c r="L724" s="2">
        <v>0.98399999999999999</v>
      </c>
      <c r="M724" s="2">
        <v>1.093</v>
      </c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</row>
    <row r="725" spans="1:51" x14ac:dyDescent="0.2">
      <c r="A725" s="4">
        <v>1971</v>
      </c>
      <c r="B725" s="2">
        <v>5.1999999999999998E-2</v>
      </c>
      <c r="C725" s="2">
        <v>9.2999999999999999E-2</v>
      </c>
      <c r="D725" s="2">
        <v>0.13100000000000001</v>
      </c>
      <c r="E725" s="2">
        <v>0.17799999999999999</v>
      </c>
      <c r="F725" s="2">
        <v>0.26200000000000001</v>
      </c>
      <c r="G725" s="2">
        <v>0.29399999999999998</v>
      </c>
      <c r="H725" s="2">
        <v>0.34</v>
      </c>
      <c r="I725" s="2">
        <v>0.39600000000000002</v>
      </c>
      <c r="J725" s="2">
        <v>0.54900000000000004</v>
      </c>
      <c r="K725" s="2">
        <v>0.73799999999999999</v>
      </c>
      <c r="L725" s="2">
        <v>0.98399999999999999</v>
      </c>
      <c r="M725" s="2">
        <v>1.093</v>
      </c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</row>
    <row r="726" spans="1:51" x14ac:dyDescent="0.2">
      <c r="A726" s="4">
        <v>1972</v>
      </c>
      <c r="B726" s="2">
        <v>5.1999999999999998E-2</v>
      </c>
      <c r="C726" s="2">
        <v>9.2999999999999999E-2</v>
      </c>
      <c r="D726" s="2">
        <v>0.13100000000000001</v>
      </c>
      <c r="E726" s="2">
        <v>0.17799999999999999</v>
      </c>
      <c r="F726" s="2">
        <v>0.26200000000000001</v>
      </c>
      <c r="G726" s="2">
        <v>0.29399999999999998</v>
      </c>
      <c r="H726" s="2">
        <v>0.34</v>
      </c>
      <c r="I726" s="2">
        <v>0.39600000000000002</v>
      </c>
      <c r="J726" s="2">
        <v>0.54900000000000004</v>
      </c>
      <c r="K726" s="2">
        <v>0.73799999999999999</v>
      </c>
      <c r="L726" s="2">
        <v>0.98399999999999999</v>
      </c>
      <c r="M726" s="2">
        <v>1.093</v>
      </c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</row>
    <row r="727" spans="1:51" x14ac:dyDescent="0.2">
      <c r="A727" s="4">
        <v>1973</v>
      </c>
      <c r="B727" s="2">
        <v>5.1999999999999998E-2</v>
      </c>
      <c r="C727" s="2">
        <v>9.2999999999999999E-2</v>
      </c>
      <c r="D727" s="2">
        <v>0.13100000000000001</v>
      </c>
      <c r="E727" s="2">
        <v>0.17799999999999999</v>
      </c>
      <c r="F727" s="2">
        <v>0.26200000000000001</v>
      </c>
      <c r="G727" s="2">
        <v>0.29399999999999998</v>
      </c>
      <c r="H727" s="2">
        <v>0.34</v>
      </c>
      <c r="I727" s="2">
        <v>0.39600000000000002</v>
      </c>
      <c r="J727" s="2">
        <v>0.54900000000000004</v>
      </c>
      <c r="K727" s="2">
        <v>0.73799999999999999</v>
      </c>
      <c r="L727" s="2">
        <v>0.98399999999999999</v>
      </c>
      <c r="M727" s="2">
        <v>1.093</v>
      </c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</row>
    <row r="728" spans="1:51" x14ac:dyDescent="0.2">
      <c r="A728" s="4">
        <v>1974</v>
      </c>
      <c r="B728" s="2">
        <v>5.1999999999999998E-2</v>
      </c>
      <c r="C728" s="2">
        <v>9.2999999999999999E-2</v>
      </c>
      <c r="D728" s="2">
        <v>0.13100000000000001</v>
      </c>
      <c r="E728" s="2">
        <v>0.17799999999999999</v>
      </c>
      <c r="F728" s="2">
        <v>0.26200000000000001</v>
      </c>
      <c r="G728" s="2">
        <v>0.29399999999999998</v>
      </c>
      <c r="H728" s="2">
        <v>0.34</v>
      </c>
      <c r="I728" s="2">
        <v>0.39600000000000002</v>
      </c>
      <c r="J728" s="2">
        <v>0.54900000000000004</v>
      </c>
      <c r="K728" s="2">
        <v>0.73799999999999999</v>
      </c>
      <c r="L728" s="2">
        <v>0.98399999999999999</v>
      </c>
      <c r="M728" s="2">
        <v>1.093</v>
      </c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</row>
    <row r="729" spans="1:51" x14ac:dyDescent="0.2">
      <c r="A729" s="4">
        <v>1975</v>
      </c>
      <c r="B729" s="2">
        <v>5.1999999999999998E-2</v>
      </c>
      <c r="C729" s="2">
        <v>9.2999999999999999E-2</v>
      </c>
      <c r="D729" s="2">
        <v>0.13100000000000001</v>
      </c>
      <c r="E729" s="2">
        <v>0.17799999999999999</v>
      </c>
      <c r="F729" s="2">
        <v>0.26200000000000001</v>
      </c>
      <c r="G729" s="2">
        <v>0.29399999999999998</v>
      </c>
      <c r="H729" s="2">
        <v>0.34</v>
      </c>
      <c r="I729" s="2">
        <v>0.39600000000000002</v>
      </c>
      <c r="J729" s="2">
        <v>0.54900000000000004</v>
      </c>
      <c r="K729" s="2">
        <v>0.73799999999999999</v>
      </c>
      <c r="L729" s="2">
        <v>0.98399999999999999</v>
      </c>
      <c r="M729" s="2">
        <v>1.093</v>
      </c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</row>
    <row r="730" spans="1:51" x14ac:dyDescent="0.2">
      <c r="A730" s="4">
        <v>1976</v>
      </c>
      <c r="B730" s="2">
        <v>4.4695039999999998E-2</v>
      </c>
      <c r="C730" s="2">
        <v>0.17123920000000001</v>
      </c>
      <c r="D730" s="2">
        <v>0.3769613</v>
      </c>
      <c r="E730" s="2">
        <v>0.64225460000000001</v>
      </c>
      <c r="F730" s="2">
        <v>0.94486420000000004</v>
      </c>
      <c r="G730" s="2">
        <v>1.2650330000000001</v>
      </c>
      <c r="H730" s="2">
        <v>1.587172</v>
      </c>
      <c r="I730" s="2">
        <v>1.899961</v>
      </c>
      <c r="J730" s="2">
        <v>1.899961</v>
      </c>
      <c r="K730" s="2">
        <v>1.899961</v>
      </c>
      <c r="L730" s="2">
        <v>1.899961</v>
      </c>
      <c r="M730" s="2">
        <v>1.899961</v>
      </c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</row>
    <row r="731" spans="1:51" x14ac:dyDescent="0.2">
      <c r="A731" s="4">
        <v>1977</v>
      </c>
      <c r="B731" s="2">
        <v>4.4719689999999999E-2</v>
      </c>
      <c r="C731" s="2">
        <v>0.17135</v>
      </c>
      <c r="D731" s="2">
        <v>0.37722620000000001</v>
      </c>
      <c r="E731" s="2">
        <v>0.64273029999999998</v>
      </c>
      <c r="F731" s="2">
        <v>0.94559000000000004</v>
      </c>
      <c r="G731" s="2">
        <v>1.2660309999999999</v>
      </c>
      <c r="H731" s="2">
        <v>1.5884499999999999</v>
      </c>
      <c r="I731" s="2">
        <v>1.9015150000000001</v>
      </c>
      <c r="J731" s="2">
        <v>1.9015150000000001</v>
      </c>
      <c r="K731" s="2">
        <v>1.9015150000000001</v>
      </c>
      <c r="L731" s="2">
        <v>1.9015150000000001</v>
      </c>
      <c r="M731" s="2">
        <v>1.9015150000000001</v>
      </c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</row>
    <row r="732" spans="1:51" x14ac:dyDescent="0.2">
      <c r="A732" s="4">
        <v>1978</v>
      </c>
      <c r="B732" s="2">
        <v>2.9912850000000001E-2</v>
      </c>
      <c r="C732" s="2">
        <v>0.12951199999999999</v>
      </c>
      <c r="D732" s="2">
        <v>0.30633939999999998</v>
      </c>
      <c r="E732" s="2">
        <v>0.54787459999999999</v>
      </c>
      <c r="F732" s="2">
        <v>0.83484829999999999</v>
      </c>
      <c r="G732" s="2">
        <v>1.147831</v>
      </c>
      <c r="H732" s="2">
        <v>1.4701770000000001</v>
      </c>
      <c r="I732" s="2">
        <v>1.7889679999999999</v>
      </c>
      <c r="J732" s="2">
        <v>1.7889679999999999</v>
      </c>
      <c r="K732" s="2">
        <v>1.7889679999999999</v>
      </c>
      <c r="L732" s="2">
        <v>1.7889679999999999</v>
      </c>
      <c r="M732" s="2">
        <v>1.7889679999999999</v>
      </c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</row>
    <row r="733" spans="1:51" x14ac:dyDescent="0.2">
      <c r="A733" s="4">
        <v>1979</v>
      </c>
      <c r="B733" s="2">
        <v>3.7401860000000002E-2</v>
      </c>
      <c r="C733" s="2">
        <v>0.1473255</v>
      </c>
      <c r="D733" s="2">
        <v>0.32964389999999999</v>
      </c>
      <c r="E733" s="2">
        <v>0.56784809999999997</v>
      </c>
      <c r="F733" s="2">
        <v>0.84208340000000004</v>
      </c>
      <c r="G733" s="2">
        <v>1.1342369999999999</v>
      </c>
      <c r="H733" s="2">
        <v>1.4297470000000001</v>
      </c>
      <c r="I733" s="2">
        <v>1.7178789999999999</v>
      </c>
      <c r="J733" s="2">
        <v>1.7178789999999999</v>
      </c>
      <c r="K733" s="2">
        <v>1.7178789999999999</v>
      </c>
      <c r="L733" s="2">
        <v>1.7178789999999999</v>
      </c>
      <c r="M733" s="2">
        <v>1.7178789999999999</v>
      </c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</row>
    <row r="734" spans="1:51" x14ac:dyDescent="0.2">
      <c r="A734" s="4">
        <v>1980</v>
      </c>
      <c r="B734" s="2">
        <v>3.7744560000000003E-2</v>
      </c>
      <c r="C734" s="2">
        <v>0.1467195</v>
      </c>
      <c r="D734" s="2">
        <v>0.32574370000000002</v>
      </c>
      <c r="E734" s="2">
        <v>0.55818920000000005</v>
      </c>
      <c r="F734" s="2">
        <v>0.82461519999999999</v>
      </c>
      <c r="G734" s="2">
        <v>1.1075170000000001</v>
      </c>
      <c r="H734" s="2">
        <v>1.3929469999999999</v>
      </c>
      <c r="I734" s="2">
        <v>1.670696</v>
      </c>
      <c r="J734" s="2">
        <v>1.670696</v>
      </c>
      <c r="K734" s="2">
        <v>1.670696</v>
      </c>
      <c r="L734" s="2">
        <v>1.670696</v>
      </c>
      <c r="M734" s="2">
        <v>1.670696</v>
      </c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</row>
    <row r="735" spans="1:51" x14ac:dyDescent="0.2">
      <c r="A735" s="4">
        <v>1981</v>
      </c>
      <c r="B735" s="2">
        <v>3.3520040000000001E-2</v>
      </c>
      <c r="C735" s="2">
        <v>0.13604479999999999</v>
      </c>
      <c r="D735" s="2">
        <v>0.30980029999999997</v>
      </c>
      <c r="E735" s="2">
        <v>0.54003630000000002</v>
      </c>
      <c r="F735" s="2">
        <v>0.80775600000000003</v>
      </c>
      <c r="G735" s="2">
        <v>1.095094</v>
      </c>
      <c r="H735" s="2">
        <v>1.387399</v>
      </c>
      <c r="I735" s="2">
        <v>1.6736880000000001</v>
      </c>
      <c r="J735" s="2">
        <v>1.6736880000000001</v>
      </c>
      <c r="K735" s="2">
        <v>1.6736880000000001</v>
      </c>
      <c r="L735" s="2">
        <v>1.6736880000000001</v>
      </c>
      <c r="M735" s="2">
        <v>1.6736880000000001</v>
      </c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</row>
    <row r="736" spans="1:51" x14ac:dyDescent="0.2">
      <c r="A736" s="4">
        <v>1982</v>
      </c>
      <c r="B736" s="2">
        <v>4.4002489999999998E-2</v>
      </c>
      <c r="C736" s="2">
        <v>0.1596138</v>
      </c>
      <c r="D736" s="2">
        <v>0.34026010000000001</v>
      </c>
      <c r="E736" s="2">
        <v>0.56728279999999998</v>
      </c>
      <c r="F736" s="2">
        <v>0.82155279999999997</v>
      </c>
      <c r="G736" s="2">
        <v>1.086946</v>
      </c>
      <c r="H736" s="2">
        <v>1.3511979999999999</v>
      </c>
      <c r="I736" s="2">
        <v>1.6056790000000001</v>
      </c>
      <c r="J736" s="2">
        <v>1.6056790000000001</v>
      </c>
      <c r="K736" s="2">
        <v>1.6056790000000001</v>
      </c>
      <c r="L736" s="2">
        <v>1.6056790000000001</v>
      </c>
      <c r="M736" s="2">
        <v>1.6056790000000001</v>
      </c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</row>
    <row r="737" spans="1:51" x14ac:dyDescent="0.2">
      <c r="A737" s="4">
        <v>1983</v>
      </c>
      <c r="B737" s="2">
        <v>3.2350299999999999E-2</v>
      </c>
      <c r="C737" s="2">
        <v>0.1298356</v>
      </c>
      <c r="D737" s="2">
        <v>0.2937227</v>
      </c>
      <c r="E737" s="2">
        <v>0.50974149999999996</v>
      </c>
      <c r="F737" s="2">
        <v>0.75999340000000004</v>
      </c>
      <c r="G737" s="2">
        <v>1.027838</v>
      </c>
      <c r="H737" s="2">
        <v>1.2997320000000001</v>
      </c>
      <c r="I737" s="2">
        <v>1.5655809999999999</v>
      </c>
      <c r="J737" s="2">
        <v>1.5655809999999999</v>
      </c>
      <c r="K737" s="2">
        <v>1.5655809999999999</v>
      </c>
      <c r="L737" s="2">
        <v>1.5655809999999999</v>
      </c>
      <c r="M737" s="2">
        <v>1.5655809999999999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</row>
    <row r="738" spans="1:51" x14ac:dyDescent="0.2">
      <c r="A738" s="4">
        <v>1984</v>
      </c>
      <c r="B738" s="2">
        <v>3.1656030000000002E-2</v>
      </c>
      <c r="C738" s="2">
        <v>0.1292838</v>
      </c>
      <c r="D738" s="2">
        <v>0.29548550000000001</v>
      </c>
      <c r="E738" s="2">
        <v>0.51635989999999998</v>
      </c>
      <c r="F738" s="2">
        <v>0.77372870000000005</v>
      </c>
      <c r="G738" s="2">
        <v>1.0503849999999999</v>
      </c>
      <c r="H738" s="2">
        <v>1.33216</v>
      </c>
      <c r="I738" s="2">
        <v>1.6083940000000001</v>
      </c>
      <c r="J738" s="2">
        <v>1.6083940000000001</v>
      </c>
      <c r="K738" s="2">
        <v>1.6083940000000001</v>
      </c>
      <c r="L738" s="2">
        <v>1.6083940000000001</v>
      </c>
      <c r="M738" s="2">
        <v>1.6083940000000001</v>
      </c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</row>
    <row r="739" spans="1:51" x14ac:dyDescent="0.2">
      <c r="A739" s="4">
        <v>1985</v>
      </c>
      <c r="B739" s="2">
        <v>3.6144229999999999E-2</v>
      </c>
      <c r="C739" s="2">
        <v>0.13832700000000001</v>
      </c>
      <c r="D739" s="2">
        <v>0.30431330000000001</v>
      </c>
      <c r="E739" s="2">
        <v>0.51825399999999999</v>
      </c>
      <c r="F739" s="2">
        <v>0.76219859999999995</v>
      </c>
      <c r="G739" s="2">
        <v>1.0202279999999999</v>
      </c>
      <c r="H739" s="2">
        <v>1.2797909999999999</v>
      </c>
      <c r="I739" s="2">
        <v>1.5317780000000001</v>
      </c>
      <c r="J739" s="2">
        <v>1.5317780000000001</v>
      </c>
      <c r="K739" s="2">
        <v>1.5317780000000001</v>
      </c>
      <c r="L739" s="2">
        <v>1.5317780000000001</v>
      </c>
      <c r="M739" s="2">
        <v>1.5317780000000001</v>
      </c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</row>
    <row r="740" spans="1:51" x14ac:dyDescent="0.2">
      <c r="A740" s="4">
        <v>1986</v>
      </c>
      <c r="B740" s="2">
        <v>3.5620949999999998E-2</v>
      </c>
      <c r="C740" s="2">
        <v>0.13567650000000001</v>
      </c>
      <c r="D740" s="2">
        <v>0.29764819999999997</v>
      </c>
      <c r="E740" s="2">
        <v>0.50594609999999995</v>
      </c>
      <c r="F740" s="2">
        <v>0.74307909999999999</v>
      </c>
      <c r="G740" s="2">
        <v>0.99360740000000003</v>
      </c>
      <c r="H740" s="2">
        <v>1.245395</v>
      </c>
      <c r="I740" s="2">
        <v>1.4896590000000001</v>
      </c>
      <c r="J740" s="2">
        <v>1.4896590000000001</v>
      </c>
      <c r="K740" s="2">
        <v>1.4896590000000001</v>
      </c>
      <c r="L740" s="2">
        <v>1.4896590000000001</v>
      </c>
      <c r="M740" s="2">
        <v>1.4896590000000001</v>
      </c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</row>
    <row r="741" spans="1:51" x14ac:dyDescent="0.2">
      <c r="A741" s="4">
        <v>1987</v>
      </c>
      <c r="B741" s="2">
        <v>4.074171E-2</v>
      </c>
      <c r="C741" s="2">
        <v>0.14758869999999999</v>
      </c>
      <c r="D741" s="2">
        <v>0.31437890000000002</v>
      </c>
      <c r="E741" s="2">
        <v>0.5238564</v>
      </c>
      <c r="F741" s="2">
        <v>0.75837069999999995</v>
      </c>
      <c r="G741" s="2">
        <v>1.003063</v>
      </c>
      <c r="H741" s="2">
        <v>1.2466410000000001</v>
      </c>
      <c r="I741" s="2">
        <v>1.481166</v>
      </c>
      <c r="J741" s="2">
        <v>1.481166</v>
      </c>
      <c r="K741" s="2">
        <v>1.481166</v>
      </c>
      <c r="L741" s="2">
        <v>1.481166</v>
      </c>
      <c r="M741" s="2">
        <v>1.481166</v>
      </c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</row>
    <row r="742" spans="1:51" x14ac:dyDescent="0.2">
      <c r="A742" s="4">
        <v>1988</v>
      </c>
      <c r="B742" s="2">
        <v>3.904316E-2</v>
      </c>
      <c r="C742" s="2">
        <v>0.143841</v>
      </c>
      <c r="D742" s="2">
        <v>0.30944650000000001</v>
      </c>
      <c r="E742" s="2">
        <v>0.51909839999999996</v>
      </c>
      <c r="F742" s="2">
        <v>0.75513399999999997</v>
      </c>
      <c r="G742" s="2">
        <v>1.002448</v>
      </c>
      <c r="H742" s="2">
        <v>1.24943</v>
      </c>
      <c r="I742" s="2">
        <v>1.4878359999999999</v>
      </c>
      <c r="J742" s="2">
        <v>1.4878359999999999</v>
      </c>
      <c r="K742" s="2">
        <v>1.4878359999999999</v>
      </c>
      <c r="L742" s="2">
        <v>1.4878359999999999</v>
      </c>
      <c r="M742" s="2">
        <v>1.4878359999999999</v>
      </c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</row>
    <row r="743" spans="1:51" x14ac:dyDescent="0.2">
      <c r="A743" s="4">
        <v>1989</v>
      </c>
      <c r="B743" s="2">
        <v>4.1605780000000002E-2</v>
      </c>
      <c r="C743" s="2">
        <v>0.1383665</v>
      </c>
      <c r="D743" s="2">
        <v>0.28029470000000001</v>
      </c>
      <c r="E743" s="2">
        <v>0.45148339999999998</v>
      </c>
      <c r="F743" s="2">
        <v>0.63773100000000005</v>
      </c>
      <c r="G743" s="2">
        <v>0.82797330000000002</v>
      </c>
      <c r="H743" s="2">
        <v>1.014278</v>
      </c>
      <c r="I743" s="2">
        <v>1.1913689999999999</v>
      </c>
      <c r="J743" s="2">
        <v>1.1913689999999999</v>
      </c>
      <c r="K743" s="2">
        <v>1.1913689999999999</v>
      </c>
      <c r="L743" s="2">
        <v>1.1913689999999999</v>
      </c>
      <c r="M743" s="2">
        <v>1.1913689999999999</v>
      </c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</row>
    <row r="744" spans="1:51" x14ac:dyDescent="0.2">
      <c r="A744" s="4">
        <v>1990</v>
      </c>
      <c r="B744" s="2">
        <v>4.4185250000000002E-2</v>
      </c>
      <c r="C744" s="2">
        <v>0.15620629999999999</v>
      </c>
      <c r="D744" s="2">
        <v>0.3280016</v>
      </c>
      <c r="E744" s="2">
        <v>0.54129329999999998</v>
      </c>
      <c r="F744" s="2">
        <v>0.77813960000000004</v>
      </c>
      <c r="G744" s="2">
        <v>1.0237719999999999</v>
      </c>
      <c r="H744" s="2">
        <v>1.267147</v>
      </c>
      <c r="I744" s="2">
        <v>1.5006200000000001</v>
      </c>
      <c r="J744" s="2">
        <v>1.5006200000000001</v>
      </c>
      <c r="K744" s="2">
        <v>1.5006200000000001</v>
      </c>
      <c r="L744" s="2">
        <v>1.5006200000000001</v>
      </c>
      <c r="M744" s="2">
        <v>1.5006200000000001</v>
      </c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</row>
    <row r="745" spans="1:51" x14ac:dyDescent="0.2">
      <c r="A745" s="4">
        <v>1991</v>
      </c>
      <c r="B745" s="2">
        <v>4.0340519999999998E-2</v>
      </c>
      <c r="C745" s="2">
        <v>0.14933750000000001</v>
      </c>
      <c r="D745" s="2">
        <v>0.32218049999999998</v>
      </c>
      <c r="E745" s="2">
        <v>0.54149230000000004</v>
      </c>
      <c r="F745" s="2">
        <v>0.78880059999999996</v>
      </c>
      <c r="G745" s="2">
        <v>1.0482359999999999</v>
      </c>
      <c r="H745" s="2">
        <v>1.307561</v>
      </c>
      <c r="I745" s="2">
        <v>1.558063</v>
      </c>
      <c r="J745" s="2">
        <v>1.558063</v>
      </c>
      <c r="K745" s="2">
        <v>1.558063</v>
      </c>
      <c r="L745" s="2">
        <v>1.558063</v>
      </c>
      <c r="M745" s="2">
        <v>1.558063</v>
      </c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</row>
    <row r="746" spans="1:51" x14ac:dyDescent="0.2">
      <c r="A746" s="4">
        <v>1992</v>
      </c>
      <c r="B746" s="2">
        <v>4.1701780000000001E-2</v>
      </c>
      <c r="C746" s="2">
        <v>0.1514557</v>
      </c>
      <c r="D746" s="2">
        <v>0.323104</v>
      </c>
      <c r="E746" s="2">
        <v>0.5389448</v>
      </c>
      <c r="F746" s="2">
        <v>0.78079089999999995</v>
      </c>
      <c r="G746" s="2">
        <v>1.0332950000000001</v>
      </c>
      <c r="H746" s="2">
        <v>1.2847710000000001</v>
      </c>
      <c r="I746" s="2">
        <v>1.526996</v>
      </c>
      <c r="J746" s="2">
        <v>1.526996</v>
      </c>
      <c r="K746" s="2">
        <v>1.526996</v>
      </c>
      <c r="L746" s="2">
        <v>1.526996</v>
      </c>
      <c r="M746" s="2">
        <v>1.526996</v>
      </c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</row>
    <row r="747" spans="1:51" x14ac:dyDescent="0.2">
      <c r="A747" s="4">
        <v>1993</v>
      </c>
      <c r="B747" s="2">
        <v>3.3810449999999999E-2</v>
      </c>
      <c r="C747" s="2">
        <v>0.13191620000000001</v>
      </c>
      <c r="D747" s="2">
        <v>0.29351769999999999</v>
      </c>
      <c r="E747" s="2">
        <v>0.50370930000000003</v>
      </c>
      <c r="F747" s="2">
        <v>0.74492689999999995</v>
      </c>
      <c r="G747" s="2">
        <v>1.001298</v>
      </c>
      <c r="H747" s="2">
        <v>1.2601439999999999</v>
      </c>
      <c r="I747" s="2">
        <v>1.512165</v>
      </c>
      <c r="J747" s="2">
        <v>1.512165</v>
      </c>
      <c r="K747" s="2">
        <v>1.512165</v>
      </c>
      <c r="L747" s="2">
        <v>1.512165</v>
      </c>
      <c r="M747" s="2">
        <v>1.512165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</row>
    <row r="748" spans="1:51" x14ac:dyDescent="0.2">
      <c r="A748" s="4">
        <v>1994</v>
      </c>
      <c r="B748" s="2">
        <v>3.848356E-2</v>
      </c>
      <c r="C748" s="2">
        <v>0.1447618</v>
      </c>
      <c r="D748" s="2">
        <v>0.31525950000000003</v>
      </c>
      <c r="E748" s="2">
        <v>0.53323529999999997</v>
      </c>
      <c r="F748" s="2">
        <v>0.7803542</v>
      </c>
      <c r="G748" s="2">
        <v>1.040624</v>
      </c>
      <c r="H748" s="2">
        <v>1.301579</v>
      </c>
      <c r="I748" s="2">
        <v>1.554263</v>
      </c>
      <c r="J748" s="2">
        <v>1.554263</v>
      </c>
      <c r="K748" s="2">
        <v>1.554263</v>
      </c>
      <c r="L748" s="2">
        <v>1.554263</v>
      </c>
      <c r="M748" s="2">
        <v>1.554263</v>
      </c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</row>
    <row r="749" spans="1:51" x14ac:dyDescent="0.2">
      <c r="A749" s="4">
        <v>1995</v>
      </c>
      <c r="B749" s="2">
        <v>4.3679179999999998E-2</v>
      </c>
      <c r="C749" s="2">
        <v>0.15813189999999999</v>
      </c>
      <c r="D749" s="2">
        <v>0.33671440000000002</v>
      </c>
      <c r="E749" s="2">
        <v>0.56093669999999995</v>
      </c>
      <c r="F749" s="2">
        <v>0.81190620000000002</v>
      </c>
      <c r="G749" s="2">
        <v>1.073728</v>
      </c>
      <c r="H749" s="2">
        <v>1.334325</v>
      </c>
      <c r="I749" s="2">
        <v>1.585215</v>
      </c>
      <c r="J749" s="2">
        <v>1.585215</v>
      </c>
      <c r="K749" s="2">
        <v>1.585215</v>
      </c>
      <c r="L749" s="2">
        <v>1.585215</v>
      </c>
      <c r="M749" s="2">
        <v>1.585215</v>
      </c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</row>
    <row r="750" spans="1:51" x14ac:dyDescent="0.2">
      <c r="A750" s="4">
        <v>1996</v>
      </c>
      <c r="B750" s="2">
        <v>4.1691150000000003E-2</v>
      </c>
      <c r="C750" s="2">
        <v>0.15044640000000001</v>
      </c>
      <c r="D750" s="2">
        <v>0.31974059999999999</v>
      </c>
      <c r="E750" s="2">
        <v>0.53197570000000005</v>
      </c>
      <c r="F750" s="2">
        <v>0.76927129999999999</v>
      </c>
      <c r="G750" s="2">
        <v>1.0166280000000001</v>
      </c>
      <c r="H750" s="2">
        <v>1.262677</v>
      </c>
      <c r="I750" s="2">
        <v>1.4994430000000001</v>
      </c>
      <c r="J750" s="2">
        <v>1.4994430000000001</v>
      </c>
      <c r="K750" s="2">
        <v>1.4994430000000001</v>
      </c>
      <c r="L750" s="2">
        <v>1.4994430000000001</v>
      </c>
      <c r="M750" s="2">
        <v>1.4994430000000001</v>
      </c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</row>
    <row r="751" spans="1:51" x14ac:dyDescent="0.2">
      <c r="A751" s="4">
        <v>1997</v>
      </c>
      <c r="B751" s="2">
        <v>3.8679360000000003E-2</v>
      </c>
      <c r="C751" s="2">
        <v>0.14203299999999999</v>
      </c>
      <c r="D751" s="2">
        <v>0.30496760000000001</v>
      </c>
      <c r="E751" s="2">
        <v>0.51091839999999999</v>
      </c>
      <c r="F751" s="2">
        <v>0.74253259999999999</v>
      </c>
      <c r="G751" s="2">
        <v>0.98501620000000001</v>
      </c>
      <c r="H751" s="2">
        <v>1.2270209999999999</v>
      </c>
      <c r="I751" s="2">
        <v>1.4605090000000001</v>
      </c>
      <c r="J751" s="2">
        <v>1.4605090000000001</v>
      </c>
      <c r="K751" s="2">
        <v>1.4605090000000001</v>
      </c>
      <c r="L751" s="2">
        <v>1.4605090000000001</v>
      </c>
      <c r="M751" s="2">
        <v>1.4605090000000001</v>
      </c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</row>
    <row r="752" spans="1:51" x14ac:dyDescent="0.2">
      <c r="A752" s="4">
        <v>1998</v>
      </c>
      <c r="B752" s="2">
        <v>3.9995839999999998E-2</v>
      </c>
      <c r="C752" s="2">
        <v>0.1475967</v>
      </c>
      <c r="D752" s="2">
        <v>0.31783729999999999</v>
      </c>
      <c r="E752" s="2">
        <v>0.53352690000000003</v>
      </c>
      <c r="F752" s="2">
        <v>0.77649520000000005</v>
      </c>
      <c r="G752" s="2">
        <v>1.0311790000000001</v>
      </c>
      <c r="H752" s="2">
        <v>1.285601</v>
      </c>
      <c r="I752" s="2">
        <v>1.5312509999999999</v>
      </c>
      <c r="J752" s="2">
        <v>1.5312509999999999</v>
      </c>
      <c r="K752" s="2">
        <v>1.5312509999999999</v>
      </c>
      <c r="L752" s="2">
        <v>1.5312509999999999</v>
      </c>
      <c r="M752" s="2">
        <v>1.5312509999999999</v>
      </c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</row>
    <row r="753" spans="1:51" x14ac:dyDescent="0.2">
      <c r="A753" s="4">
        <v>1999</v>
      </c>
      <c r="B753" s="2">
        <v>3.8540039999999998E-2</v>
      </c>
      <c r="C753" s="2">
        <v>0.14705399999999999</v>
      </c>
      <c r="D753" s="2">
        <v>0.32294240000000002</v>
      </c>
      <c r="E753" s="2">
        <v>0.54932550000000002</v>
      </c>
      <c r="F753" s="2">
        <v>0.80719890000000005</v>
      </c>
      <c r="G753" s="2">
        <v>1.0797589999999999</v>
      </c>
      <c r="H753" s="2">
        <v>1.35378</v>
      </c>
      <c r="I753" s="2">
        <v>1.619685</v>
      </c>
      <c r="J753" s="2">
        <v>1.619685</v>
      </c>
      <c r="K753" s="2">
        <v>1.619685</v>
      </c>
      <c r="L753" s="2">
        <v>1.619685</v>
      </c>
      <c r="M753" s="2">
        <v>1.619685</v>
      </c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</row>
    <row r="754" spans="1:51" x14ac:dyDescent="0.2">
      <c r="A754" s="4">
        <v>2000</v>
      </c>
      <c r="B754" s="2">
        <v>3.616084E-2</v>
      </c>
      <c r="C754" s="2">
        <v>0.1469867</v>
      </c>
      <c r="D754" s="2">
        <v>0.33501690000000001</v>
      </c>
      <c r="E754" s="2">
        <v>0.58434660000000005</v>
      </c>
      <c r="F754" s="2">
        <v>0.87441590000000002</v>
      </c>
      <c r="G754" s="2">
        <v>1.185859</v>
      </c>
      <c r="H754" s="2">
        <v>1.5027779999999999</v>
      </c>
      <c r="I754" s="2">
        <v>1.8132459999999999</v>
      </c>
      <c r="J754" s="2">
        <v>1.8132459999999999</v>
      </c>
      <c r="K754" s="2">
        <v>1.8132459999999999</v>
      </c>
      <c r="L754" s="2">
        <v>1.8132459999999999</v>
      </c>
      <c r="M754" s="2">
        <v>1.8132459999999999</v>
      </c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</row>
    <row r="755" spans="1:51" x14ac:dyDescent="0.2">
      <c r="A755" s="4">
        <v>2001</v>
      </c>
      <c r="B755" s="2">
        <v>3.8463740000000003E-2</v>
      </c>
      <c r="C755" s="2">
        <v>0.1456693</v>
      </c>
      <c r="D755" s="2">
        <v>0.31849899999999998</v>
      </c>
      <c r="E755" s="2">
        <v>0.54016229999999998</v>
      </c>
      <c r="F755" s="2">
        <v>0.79202969999999995</v>
      </c>
      <c r="G755" s="2">
        <v>1.057747</v>
      </c>
      <c r="H755" s="2">
        <v>1.3245089999999999</v>
      </c>
      <c r="I755" s="2">
        <v>1.583078</v>
      </c>
      <c r="J755" s="2">
        <v>1.583078</v>
      </c>
      <c r="K755" s="2">
        <v>1.583078</v>
      </c>
      <c r="L755" s="2">
        <v>1.583078</v>
      </c>
      <c r="M755" s="2">
        <v>1.583078</v>
      </c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</row>
    <row r="756" spans="1:51" x14ac:dyDescent="0.2">
      <c r="A756" s="4">
        <v>2002</v>
      </c>
      <c r="B756" s="2">
        <v>3.8131680000000001E-2</v>
      </c>
      <c r="C756" s="2">
        <v>0.14463200000000001</v>
      </c>
      <c r="D756" s="2">
        <v>0.31651439999999997</v>
      </c>
      <c r="E756" s="2">
        <v>0.53712110000000002</v>
      </c>
      <c r="F756" s="2">
        <v>0.7879157</v>
      </c>
      <c r="G756" s="2">
        <v>1.0526009999999999</v>
      </c>
      <c r="H756" s="2">
        <v>1.318405</v>
      </c>
      <c r="I756" s="2">
        <v>1.5761039999999999</v>
      </c>
      <c r="J756" s="2">
        <v>1.5761039999999999</v>
      </c>
      <c r="K756" s="2">
        <v>1.5761039999999999</v>
      </c>
      <c r="L756" s="2">
        <v>1.5761039999999999</v>
      </c>
      <c r="M756" s="2">
        <v>1.5761039999999999</v>
      </c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</row>
    <row r="757" spans="1:51" x14ac:dyDescent="0.2">
      <c r="A757" s="4">
        <v>2003</v>
      </c>
      <c r="B757" s="2">
        <v>4.4609360000000001E-2</v>
      </c>
      <c r="C757" s="2">
        <v>0.15177950000000001</v>
      </c>
      <c r="D757" s="2">
        <v>0.31161539999999999</v>
      </c>
      <c r="E757" s="2">
        <v>0.50649719999999998</v>
      </c>
      <c r="F757" s="2">
        <v>0.72014679999999998</v>
      </c>
      <c r="G757" s="2">
        <v>0.93962129999999999</v>
      </c>
      <c r="H757" s="2">
        <v>1.1554930000000001</v>
      </c>
      <c r="I757" s="2">
        <v>1.3613930000000001</v>
      </c>
      <c r="J757" s="2">
        <v>1.3613930000000001</v>
      </c>
      <c r="K757" s="2">
        <v>1.3613930000000001</v>
      </c>
      <c r="L757" s="2">
        <v>1.3613930000000001</v>
      </c>
      <c r="M757" s="2">
        <v>1.3613930000000001</v>
      </c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</row>
    <row r="758" spans="1:51" x14ac:dyDescent="0.2">
      <c r="A758" s="4">
        <v>2004</v>
      </c>
      <c r="B758" s="2">
        <v>4.0004440000000002E-2</v>
      </c>
      <c r="C758" s="2">
        <v>0.14044580000000001</v>
      </c>
      <c r="D758" s="2">
        <v>0.2937053</v>
      </c>
      <c r="E758" s="2">
        <v>0.4833595</v>
      </c>
      <c r="F758" s="2">
        <v>0.6934688</v>
      </c>
      <c r="G758" s="2">
        <v>0.91099549999999996</v>
      </c>
      <c r="H758" s="2">
        <v>1.1262369999999999</v>
      </c>
      <c r="I758" s="2">
        <v>1.332506</v>
      </c>
      <c r="J758" s="2">
        <v>1.332506</v>
      </c>
      <c r="K758" s="2">
        <v>1.332506</v>
      </c>
      <c r="L758" s="2">
        <v>1.332506</v>
      </c>
      <c r="M758" s="2">
        <v>1.332506</v>
      </c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</row>
    <row r="759" spans="1:51" x14ac:dyDescent="0.2">
      <c r="A759" s="4">
        <v>2005</v>
      </c>
      <c r="B759" s="2">
        <v>3.7266760000000003E-2</v>
      </c>
      <c r="C759" s="2">
        <v>0.14559549999999999</v>
      </c>
      <c r="D759" s="2">
        <v>0.32420870000000002</v>
      </c>
      <c r="E759" s="2">
        <v>0.55667290000000003</v>
      </c>
      <c r="F759" s="2">
        <v>0.82356949999999995</v>
      </c>
      <c r="G759" s="2">
        <v>1.107326</v>
      </c>
      <c r="H759" s="2">
        <v>1.393896</v>
      </c>
      <c r="I759" s="2">
        <v>1.672965</v>
      </c>
      <c r="J759" s="2">
        <v>1.672965</v>
      </c>
      <c r="K759" s="2">
        <v>1.672965</v>
      </c>
      <c r="L759" s="2">
        <v>1.672965</v>
      </c>
      <c r="M759" s="2">
        <v>1.672965</v>
      </c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</row>
    <row r="760" spans="1:51" x14ac:dyDescent="0.2">
      <c r="A760" s="4">
        <v>2006</v>
      </c>
      <c r="B760" s="2">
        <v>3.4755050000000003E-2</v>
      </c>
      <c r="C760" s="2">
        <v>0.14507809999999999</v>
      </c>
      <c r="D760" s="2">
        <v>0.33587099999999998</v>
      </c>
      <c r="E760" s="2">
        <v>0.59204659999999998</v>
      </c>
      <c r="F760" s="2">
        <v>0.89273279999999999</v>
      </c>
      <c r="G760" s="2">
        <v>1.2177119999999999</v>
      </c>
      <c r="H760" s="2">
        <v>1.550087</v>
      </c>
      <c r="I760" s="2">
        <v>1.8769979999999999</v>
      </c>
      <c r="J760" s="2">
        <v>1.8769979999999999</v>
      </c>
      <c r="K760" s="2">
        <v>1.8769979999999999</v>
      </c>
      <c r="L760" s="2">
        <v>1.8769979999999999</v>
      </c>
      <c r="M760" s="2">
        <v>1.8769979999999999</v>
      </c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</row>
    <row r="761" spans="1:51" x14ac:dyDescent="0.2">
      <c r="A761" s="4">
        <v>2007</v>
      </c>
      <c r="B761" s="2">
        <v>3.3171730000000003E-2</v>
      </c>
      <c r="C761" s="2">
        <v>0.13931569999999999</v>
      </c>
      <c r="D761" s="2">
        <v>0.32368789999999997</v>
      </c>
      <c r="E761" s="2">
        <v>0.57195320000000005</v>
      </c>
      <c r="F761" s="2">
        <v>0.86394720000000003</v>
      </c>
      <c r="G761" s="2">
        <v>1.18001</v>
      </c>
      <c r="H761" s="2">
        <v>1.5036419999999999</v>
      </c>
      <c r="I761" s="2">
        <v>1.8222449999999999</v>
      </c>
      <c r="J761" s="2">
        <v>1.8222449999999999</v>
      </c>
      <c r="K761" s="2">
        <v>1.8222449999999999</v>
      </c>
      <c r="L761" s="2">
        <v>1.8222449999999999</v>
      </c>
      <c r="M761" s="2">
        <v>1.8222449999999999</v>
      </c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</row>
    <row r="762" spans="1:51" x14ac:dyDescent="0.2">
      <c r="A762" s="4">
        <v>2008</v>
      </c>
      <c r="B762" s="2">
        <v>3.5754380000000002E-2</v>
      </c>
      <c r="C762" s="2">
        <v>0.14505090000000001</v>
      </c>
      <c r="D762" s="2">
        <v>0.33022570000000001</v>
      </c>
      <c r="E762" s="2">
        <v>0.57554360000000004</v>
      </c>
      <c r="F762" s="2">
        <v>0.86075979999999996</v>
      </c>
      <c r="G762" s="2">
        <v>1.166844</v>
      </c>
      <c r="H762" s="2">
        <v>1.478194</v>
      </c>
      <c r="I762" s="2">
        <v>1.783115</v>
      </c>
      <c r="J762" s="2">
        <v>1.783115</v>
      </c>
      <c r="K762" s="2">
        <v>1.783115</v>
      </c>
      <c r="L762" s="2">
        <v>1.783115</v>
      </c>
      <c r="M762" s="2">
        <v>1.783115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</row>
    <row r="763" spans="1:51" x14ac:dyDescent="0.2">
      <c r="A763" s="4">
        <v>2009</v>
      </c>
      <c r="B763" s="2">
        <v>3.9690019999999999E-2</v>
      </c>
      <c r="C763" s="2">
        <v>0.1538561</v>
      </c>
      <c r="D763" s="2">
        <v>0.34103430000000001</v>
      </c>
      <c r="E763" s="2">
        <v>0.58375089999999996</v>
      </c>
      <c r="F763" s="2">
        <v>0.86169300000000004</v>
      </c>
      <c r="G763" s="2">
        <v>1.15662</v>
      </c>
      <c r="H763" s="2">
        <v>1.454027</v>
      </c>
      <c r="I763" s="2">
        <v>1.7433099999999999</v>
      </c>
      <c r="J763" s="2">
        <v>1.7433099999999999</v>
      </c>
      <c r="K763" s="2">
        <v>1.7433099999999999</v>
      </c>
      <c r="L763" s="2">
        <v>1.7433099999999999</v>
      </c>
      <c r="M763" s="2">
        <v>1.7433099999999999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</row>
    <row r="764" spans="1:51" x14ac:dyDescent="0.2">
      <c r="A764" s="4">
        <v>2010</v>
      </c>
      <c r="B764" s="2">
        <v>3.7627649999999999E-2</v>
      </c>
      <c r="C764" s="2">
        <v>0.14856130000000001</v>
      </c>
      <c r="D764" s="2">
        <v>0.33286520000000003</v>
      </c>
      <c r="E764" s="2">
        <v>0.5739282</v>
      </c>
      <c r="F764" s="2">
        <v>0.85167110000000001</v>
      </c>
      <c r="G764" s="2">
        <v>1.147732</v>
      </c>
      <c r="H764" s="2">
        <v>1.44733</v>
      </c>
      <c r="I764" s="2">
        <v>1.7395480000000001</v>
      </c>
      <c r="J764" s="2">
        <v>1.7395480000000001</v>
      </c>
      <c r="K764" s="2">
        <v>1.7395480000000001</v>
      </c>
      <c r="L764" s="2">
        <v>1.7395480000000001</v>
      </c>
      <c r="M764" s="2">
        <v>1.7395480000000001</v>
      </c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</row>
    <row r="765" spans="1:51" x14ac:dyDescent="0.2">
      <c r="A765" s="4">
        <v>2011</v>
      </c>
      <c r="B765" s="2">
        <v>3.6986720000000001E-2</v>
      </c>
      <c r="C765" s="2">
        <v>0.14998610000000001</v>
      </c>
      <c r="D765" s="2">
        <v>0.34137519999999999</v>
      </c>
      <c r="E765" s="2">
        <v>0.59487460000000003</v>
      </c>
      <c r="F765" s="2">
        <v>0.88956080000000004</v>
      </c>
      <c r="G765" s="2">
        <v>1.2057739999999999</v>
      </c>
      <c r="H765" s="2">
        <v>1.527401</v>
      </c>
      <c r="I765" s="2">
        <v>1.842368</v>
      </c>
      <c r="J765" s="2">
        <v>1.842368</v>
      </c>
      <c r="K765" s="2">
        <v>1.842368</v>
      </c>
      <c r="L765" s="2">
        <v>1.842368</v>
      </c>
      <c r="M765" s="2">
        <v>1.842368</v>
      </c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</row>
    <row r="766" spans="1:51" x14ac:dyDescent="0.2">
      <c r="A766" s="4">
        <v>2012</v>
      </c>
      <c r="B766" s="2">
        <v>3.750013E-2</v>
      </c>
      <c r="C766" s="2">
        <v>0.1524306</v>
      </c>
      <c r="D766" s="2">
        <v>0.34742489999999998</v>
      </c>
      <c r="E766" s="2">
        <v>0.60598909999999995</v>
      </c>
      <c r="F766" s="2">
        <v>0.90680170000000004</v>
      </c>
      <c r="G766" s="2">
        <v>1.2297800000000001</v>
      </c>
      <c r="H766" s="2">
        <v>1.5584370000000001</v>
      </c>
      <c r="I766" s="2">
        <v>1.880403</v>
      </c>
      <c r="J766" s="2">
        <v>1.880403</v>
      </c>
      <c r="K766" s="2">
        <v>1.880403</v>
      </c>
      <c r="L766" s="2">
        <v>1.880403</v>
      </c>
      <c r="M766" s="2">
        <v>1.880403</v>
      </c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</row>
    <row r="767" spans="1:51" x14ac:dyDescent="0.2">
      <c r="A767" s="4">
        <v>2013</v>
      </c>
      <c r="B767" s="2">
        <v>3.7671759999999999E-2</v>
      </c>
      <c r="C767" s="2">
        <v>0.14935319999999999</v>
      </c>
      <c r="D767" s="2">
        <v>0.33545520000000001</v>
      </c>
      <c r="E767" s="2">
        <v>0.57934569999999996</v>
      </c>
      <c r="F767" s="2">
        <v>0.86073489999999997</v>
      </c>
      <c r="G767" s="2">
        <v>1.160992</v>
      </c>
      <c r="H767" s="2">
        <v>1.465076</v>
      </c>
      <c r="I767" s="2">
        <v>1.7618549999999999</v>
      </c>
      <c r="J767" s="2">
        <v>1.7618549999999999</v>
      </c>
      <c r="K767" s="2">
        <v>1.7618549999999999</v>
      </c>
      <c r="L767" s="2">
        <v>1.7618549999999999</v>
      </c>
      <c r="M767" s="2">
        <v>1.7618549999999999</v>
      </c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</row>
    <row r="768" spans="1:51" x14ac:dyDescent="0.2">
      <c r="A768" s="4">
        <v>2014</v>
      </c>
      <c r="B768" s="2">
        <v>3.5735349999999999E-2</v>
      </c>
      <c r="C768" s="2">
        <v>0.14615259999999999</v>
      </c>
      <c r="D768" s="2">
        <v>0.33432050000000002</v>
      </c>
      <c r="E768" s="2">
        <v>0.58455520000000005</v>
      </c>
      <c r="F768" s="2">
        <v>0.87627440000000001</v>
      </c>
      <c r="G768" s="2">
        <v>1.189967</v>
      </c>
      <c r="H768" s="2">
        <v>1.5095499999999999</v>
      </c>
      <c r="I768" s="2">
        <v>1.822916</v>
      </c>
      <c r="J768" s="2">
        <v>1.822916</v>
      </c>
      <c r="K768" s="2">
        <v>1.822916</v>
      </c>
      <c r="L768" s="2">
        <v>1.822916</v>
      </c>
      <c r="M768" s="2">
        <v>1.822916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</row>
    <row r="769" spans="1:51" x14ac:dyDescent="0.2">
      <c r="A769" s="4">
        <v>2015</v>
      </c>
      <c r="B769" s="2">
        <v>3.763818E-2</v>
      </c>
      <c r="C769" s="2">
        <v>0.14959729999999999</v>
      </c>
      <c r="D769" s="2">
        <v>0.33650219999999997</v>
      </c>
      <c r="E769" s="2">
        <v>0.58173620000000004</v>
      </c>
      <c r="F769" s="2">
        <v>0.86491390000000001</v>
      </c>
      <c r="G769" s="2">
        <v>1.1672689999999999</v>
      </c>
      <c r="H769" s="2">
        <v>1.473625</v>
      </c>
      <c r="I769" s="2">
        <v>1.7727349999999999</v>
      </c>
      <c r="J769" s="2">
        <v>1.7727349999999999</v>
      </c>
      <c r="K769" s="2">
        <v>1.7727349999999999</v>
      </c>
      <c r="L769" s="2">
        <v>1.7727349999999999</v>
      </c>
      <c r="M769" s="2">
        <v>1.7727349999999999</v>
      </c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</row>
    <row r="770" spans="1:51" x14ac:dyDescent="0.2">
      <c r="A770" s="4">
        <v>2016</v>
      </c>
      <c r="B770" s="2">
        <v>3.8719419999999997E-2</v>
      </c>
      <c r="C770" s="2">
        <v>0.14978649999999999</v>
      </c>
      <c r="D770" s="2">
        <v>0.33161429999999997</v>
      </c>
      <c r="E770" s="2">
        <v>0.56716549999999999</v>
      </c>
      <c r="F770" s="2">
        <v>0.83671810000000002</v>
      </c>
      <c r="G770" s="2">
        <v>1.122598</v>
      </c>
      <c r="H770" s="2">
        <v>1.410768</v>
      </c>
      <c r="I770" s="2">
        <v>1.6909810000000001</v>
      </c>
      <c r="J770" s="2">
        <v>1.6909810000000001</v>
      </c>
      <c r="K770" s="2">
        <v>1.6909810000000001</v>
      </c>
      <c r="L770" s="2">
        <v>1.6909810000000001</v>
      </c>
      <c r="M770" s="2">
        <v>1.6909810000000001</v>
      </c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</row>
    <row r="771" spans="1:51" x14ac:dyDescent="0.2">
      <c r="A771" s="4">
        <v>2017</v>
      </c>
      <c r="B771" s="2">
        <v>3.0920030000000001E-2</v>
      </c>
      <c r="C771" s="2">
        <v>0.1428604</v>
      </c>
      <c r="D771" s="2">
        <v>0.35106100000000001</v>
      </c>
      <c r="E771" s="2">
        <v>0.64425180000000004</v>
      </c>
      <c r="F771" s="2">
        <v>1.0002139999999999</v>
      </c>
      <c r="G771" s="2">
        <v>1.3947430000000001</v>
      </c>
      <c r="H771" s="2">
        <v>1.806141</v>
      </c>
      <c r="I771" s="2">
        <v>2.21699</v>
      </c>
      <c r="J771" s="2">
        <v>2.21699</v>
      </c>
      <c r="K771" s="2">
        <v>2.21699</v>
      </c>
      <c r="L771" s="2">
        <v>2.21699</v>
      </c>
      <c r="M771" s="2">
        <v>2.21699</v>
      </c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</row>
    <row r="772" spans="1:51" x14ac:dyDescent="0.2">
      <c r="A772" s="4">
        <v>2018</v>
      </c>
      <c r="B772" s="2">
        <v>3.240117E-2</v>
      </c>
      <c r="C772" s="2">
        <v>0.14475950000000001</v>
      </c>
      <c r="D772" s="2">
        <v>0.34877809999999998</v>
      </c>
      <c r="E772" s="2">
        <v>0.63159129999999997</v>
      </c>
      <c r="F772" s="2">
        <v>0.97113850000000002</v>
      </c>
      <c r="G772" s="2">
        <v>1.344354</v>
      </c>
      <c r="H772" s="2">
        <v>1.7310430000000001</v>
      </c>
      <c r="I772" s="2">
        <v>2.1152739999999999</v>
      </c>
      <c r="J772" s="2">
        <v>2.1152739999999999</v>
      </c>
      <c r="K772" s="2">
        <v>2.1152739999999999</v>
      </c>
      <c r="L772" s="2">
        <v>2.1152739999999999</v>
      </c>
      <c r="M772" s="2">
        <v>2.1152739999999999</v>
      </c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</row>
    <row r="773" spans="1:51" x14ac:dyDescent="0.2">
      <c r="A773" s="4">
        <v>2019</v>
      </c>
      <c r="B773" s="2">
        <v>3.240117E-2</v>
      </c>
      <c r="C773" s="2">
        <v>0.14475950000000001</v>
      </c>
      <c r="D773" s="2">
        <v>0.34877809999999998</v>
      </c>
      <c r="E773" s="2">
        <v>0.63159129999999997</v>
      </c>
      <c r="F773" s="2">
        <v>0.97113850000000002</v>
      </c>
      <c r="G773" s="2">
        <v>1.344354</v>
      </c>
      <c r="H773" s="2">
        <v>1.7310430000000001</v>
      </c>
      <c r="I773" s="2">
        <v>2.1152739999999999</v>
      </c>
      <c r="J773" s="2">
        <v>2.1152739999999999</v>
      </c>
      <c r="K773" s="2">
        <v>2.1152739999999999</v>
      </c>
      <c r="L773" s="2">
        <v>2.1152739999999999</v>
      </c>
      <c r="M773" s="2">
        <v>2.1152739999999999</v>
      </c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</row>
    <row r="774" spans="1:51" x14ac:dyDescent="0.2">
      <c r="A774" s="4" t="s">
        <v>73</v>
      </c>
      <c r="B774" s="2">
        <v>3.240117E-2</v>
      </c>
      <c r="C774" s="2">
        <v>0.14475950000000001</v>
      </c>
      <c r="D774" s="2">
        <v>0.34877809999999998</v>
      </c>
      <c r="E774" s="2">
        <v>0.63159129999999997</v>
      </c>
      <c r="F774" s="2">
        <v>0.97113850000000002</v>
      </c>
      <c r="G774" s="2">
        <v>1.344354</v>
      </c>
      <c r="H774" s="2">
        <v>1.7310430000000001</v>
      </c>
      <c r="I774" s="2">
        <v>2.1152739999999999</v>
      </c>
      <c r="J774" s="2">
        <v>2.1152739999999999</v>
      </c>
      <c r="K774" s="2">
        <v>2.1152739999999999</v>
      </c>
      <c r="L774" s="2">
        <v>2.1152739999999999</v>
      </c>
      <c r="M774" s="2">
        <v>2.1152739999999999</v>
      </c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</row>
    <row r="775" spans="1:51" x14ac:dyDescent="0.2">
      <c r="A775" s="4">
        <v>1971</v>
      </c>
      <c r="B775" s="2">
        <v>3.240117E-2</v>
      </c>
      <c r="C775" s="2">
        <v>0.14475950000000001</v>
      </c>
      <c r="D775" s="2">
        <v>0.34877809999999998</v>
      </c>
      <c r="E775" s="2">
        <v>0.63159129999999997</v>
      </c>
      <c r="F775" s="2">
        <v>0.97113850000000002</v>
      </c>
      <c r="G775" s="2">
        <v>1.344354</v>
      </c>
      <c r="H775" s="2">
        <v>1.7310430000000001</v>
      </c>
      <c r="I775" s="2">
        <v>2.1152739999999999</v>
      </c>
      <c r="J775" s="2">
        <v>2.1152739999999999</v>
      </c>
      <c r="K775" s="2">
        <v>2.1152739999999999</v>
      </c>
      <c r="L775" s="2">
        <v>2.1152739999999999</v>
      </c>
      <c r="M775" s="2">
        <v>2.1152739999999999</v>
      </c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</row>
    <row r="776" spans="1:51" x14ac:dyDescent="0.2">
      <c r="A776" s="4">
        <v>1972</v>
      </c>
      <c r="B776" s="2">
        <v>3.240117E-2</v>
      </c>
      <c r="C776" s="2">
        <v>0.14475950000000001</v>
      </c>
      <c r="D776" s="2">
        <v>0.34877809999999998</v>
      </c>
      <c r="E776" s="2">
        <v>0.63159129999999997</v>
      </c>
      <c r="F776" s="2">
        <v>0.97113850000000002</v>
      </c>
      <c r="G776" s="2">
        <v>1.344354</v>
      </c>
      <c r="H776" s="2">
        <v>1.7310430000000001</v>
      </c>
      <c r="I776" s="2">
        <v>2.1152739999999999</v>
      </c>
      <c r="J776" s="2">
        <v>2.1152739999999999</v>
      </c>
      <c r="K776" s="2">
        <v>2.1152739999999999</v>
      </c>
      <c r="L776" s="2">
        <v>2.1152739999999999</v>
      </c>
      <c r="M776" s="2">
        <v>2.1152739999999999</v>
      </c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</row>
    <row r="777" spans="1:51" x14ac:dyDescent="0.2">
      <c r="A777" s="4">
        <v>1973</v>
      </c>
      <c r="B777" s="2">
        <v>3.240117E-2</v>
      </c>
      <c r="C777" s="2">
        <v>0.14475950000000001</v>
      </c>
      <c r="D777" s="2">
        <v>0.34877809999999998</v>
      </c>
      <c r="E777" s="2">
        <v>0.63159129999999997</v>
      </c>
      <c r="F777" s="2">
        <v>0.97113850000000002</v>
      </c>
      <c r="G777" s="2">
        <v>1.344354</v>
      </c>
      <c r="H777" s="2">
        <v>1.7310430000000001</v>
      </c>
      <c r="I777" s="2">
        <v>2.1152739999999999</v>
      </c>
      <c r="J777" s="2">
        <v>2.1152739999999999</v>
      </c>
      <c r="K777" s="2">
        <v>2.1152739999999999</v>
      </c>
      <c r="L777" s="2">
        <v>2.1152739999999999</v>
      </c>
      <c r="M777" s="2">
        <v>2.1152739999999999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</row>
    <row r="778" spans="1:51" x14ac:dyDescent="0.2">
      <c r="A778" s="4">
        <v>1974</v>
      </c>
      <c r="B778" s="2">
        <v>3.240117E-2</v>
      </c>
      <c r="C778" s="2">
        <v>0.14475950000000001</v>
      </c>
      <c r="D778" s="2">
        <v>0.34877809999999998</v>
      </c>
      <c r="E778" s="2">
        <v>0.63159129999999997</v>
      </c>
      <c r="F778" s="2">
        <v>0.97113850000000002</v>
      </c>
      <c r="G778" s="2">
        <v>1.344354</v>
      </c>
      <c r="H778" s="2">
        <v>1.7310430000000001</v>
      </c>
      <c r="I778" s="2">
        <v>2.1152739999999999</v>
      </c>
      <c r="J778" s="2">
        <v>2.1152739999999999</v>
      </c>
      <c r="K778" s="2">
        <v>2.1152739999999999</v>
      </c>
      <c r="L778" s="2">
        <v>2.1152739999999999</v>
      </c>
      <c r="M778" s="2">
        <v>2.1152739999999999</v>
      </c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</row>
    <row r="779" spans="1:51" x14ac:dyDescent="0.2">
      <c r="A779" s="4">
        <v>1975</v>
      </c>
      <c r="B779" s="2">
        <v>3.240117E-2</v>
      </c>
      <c r="C779" s="2">
        <v>0.14475950000000001</v>
      </c>
      <c r="D779" s="2">
        <v>0.34877809999999998</v>
      </c>
      <c r="E779" s="2">
        <v>0.63159129999999997</v>
      </c>
      <c r="F779" s="2">
        <v>0.97113850000000002</v>
      </c>
      <c r="G779" s="2">
        <v>1.344354</v>
      </c>
      <c r="H779" s="2">
        <v>1.7310430000000001</v>
      </c>
      <c r="I779" s="2">
        <v>2.1152739999999999</v>
      </c>
      <c r="J779" s="2">
        <v>2.1152739999999999</v>
      </c>
      <c r="K779" s="2">
        <v>2.1152739999999999</v>
      </c>
      <c r="L779" s="2">
        <v>2.1152739999999999</v>
      </c>
      <c r="M779" s="2">
        <v>2.1152739999999999</v>
      </c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</row>
    <row r="780" spans="1:51" x14ac:dyDescent="0.2">
      <c r="A780" s="4">
        <v>1976</v>
      </c>
      <c r="B780" s="2">
        <v>3.240117E-2</v>
      </c>
      <c r="C780" s="2">
        <v>0.14475950000000001</v>
      </c>
      <c r="D780" s="2">
        <v>0.34877809999999998</v>
      </c>
      <c r="E780" s="2">
        <v>0.63159129999999997</v>
      </c>
      <c r="F780" s="2">
        <v>0.97113850000000002</v>
      </c>
      <c r="G780" s="2">
        <v>1.344354</v>
      </c>
      <c r="H780" s="2">
        <v>1.7310430000000001</v>
      </c>
      <c r="I780" s="2">
        <v>2.1152739999999999</v>
      </c>
      <c r="J780" s="2">
        <v>2.1152739999999999</v>
      </c>
      <c r="K780" s="2">
        <v>2.1152739999999999</v>
      </c>
      <c r="L780" s="2">
        <v>2.1152739999999999</v>
      </c>
      <c r="M780" s="2">
        <v>2.1152739999999999</v>
      </c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</row>
    <row r="781" spans="1:51" x14ac:dyDescent="0.2">
      <c r="A781" s="4">
        <v>1977</v>
      </c>
      <c r="B781" s="2">
        <v>4.4999999999999998E-2</v>
      </c>
      <c r="C781" s="2">
        <v>0.17100000000000001</v>
      </c>
      <c r="D781" s="2">
        <v>0.377</v>
      </c>
      <c r="E781" s="2">
        <v>0.64200000000000002</v>
      </c>
      <c r="F781" s="2">
        <v>0.94499999999999995</v>
      </c>
      <c r="G781" s="2">
        <v>1.2649999999999999</v>
      </c>
      <c r="H781" s="2">
        <v>1.587</v>
      </c>
      <c r="I781" s="2">
        <v>1.9</v>
      </c>
      <c r="J781" s="2">
        <v>2.1960000000000002</v>
      </c>
      <c r="K781" s="2">
        <v>2.4700000000000002</v>
      </c>
      <c r="L781" s="2">
        <v>2.7210000000000001</v>
      </c>
      <c r="M781" s="2">
        <v>2.9460000000000002</v>
      </c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</row>
    <row r="782" spans="1:51" x14ac:dyDescent="0.2">
      <c r="A782" s="4">
        <v>1978</v>
      </c>
      <c r="B782" s="2">
        <v>4.4999999999999998E-2</v>
      </c>
      <c r="C782" s="2">
        <v>0.17100000000000001</v>
      </c>
      <c r="D782" s="2">
        <v>0.377</v>
      </c>
      <c r="E782" s="2">
        <v>0.64300000000000002</v>
      </c>
      <c r="F782" s="2">
        <v>0.94599999999999995</v>
      </c>
      <c r="G782" s="2">
        <v>1.266</v>
      </c>
      <c r="H782" s="2">
        <v>1.5880000000000001</v>
      </c>
      <c r="I782" s="2">
        <v>1.9019999999999999</v>
      </c>
      <c r="J782" s="2">
        <v>2.198</v>
      </c>
      <c r="K782" s="2">
        <v>2.472</v>
      </c>
      <c r="L782" s="2">
        <v>2.7229999999999999</v>
      </c>
      <c r="M782" s="2">
        <v>2.9489999999999998</v>
      </c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</row>
    <row r="783" spans="1:51" x14ac:dyDescent="0.2">
      <c r="A783" s="4">
        <v>1979</v>
      </c>
      <c r="B783" s="2">
        <v>0.03</v>
      </c>
      <c r="C783" s="2">
        <v>0.13</v>
      </c>
      <c r="D783" s="2">
        <v>0.30599999999999999</v>
      </c>
      <c r="E783" s="2">
        <v>0.54800000000000004</v>
      </c>
      <c r="F783" s="2">
        <v>0.83499999999999996</v>
      </c>
      <c r="G783" s="2">
        <v>1.1479999999999999</v>
      </c>
      <c r="H783" s="2">
        <v>1.47</v>
      </c>
      <c r="I783" s="2">
        <v>1.7889999999999999</v>
      </c>
      <c r="J783" s="2">
        <v>2.0950000000000002</v>
      </c>
      <c r="K783" s="2">
        <v>2.3820000000000001</v>
      </c>
      <c r="L783" s="2">
        <v>2.6469999999999998</v>
      </c>
      <c r="M783" s="2">
        <v>2.887</v>
      </c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</row>
    <row r="784" spans="1:51" x14ac:dyDescent="0.2">
      <c r="A784" s="4">
        <v>1980</v>
      </c>
      <c r="B784" s="2">
        <v>3.6999999999999998E-2</v>
      </c>
      <c r="C784" s="2">
        <v>0.14699999999999999</v>
      </c>
      <c r="D784" s="2">
        <v>0.33</v>
      </c>
      <c r="E784" s="2">
        <v>0.56799999999999995</v>
      </c>
      <c r="F784" s="2">
        <v>0.84199999999999997</v>
      </c>
      <c r="G784" s="2">
        <v>1.1339999999999999</v>
      </c>
      <c r="H784" s="2">
        <v>1.43</v>
      </c>
      <c r="I784" s="2">
        <v>1.718</v>
      </c>
      <c r="J784" s="2">
        <v>1.9910000000000001</v>
      </c>
      <c r="K784" s="2">
        <v>2.246</v>
      </c>
      <c r="L784" s="2">
        <v>2.4780000000000002</v>
      </c>
      <c r="M784" s="2">
        <v>2.6880000000000002</v>
      </c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</row>
    <row r="785" spans="1:51" x14ac:dyDescent="0.2">
      <c r="A785" s="4">
        <v>1981</v>
      </c>
      <c r="B785" s="2">
        <v>3.7999999999999999E-2</v>
      </c>
      <c r="C785" s="2">
        <v>0.14699999999999999</v>
      </c>
      <c r="D785" s="2">
        <v>0.32600000000000001</v>
      </c>
      <c r="E785" s="2">
        <v>0.55800000000000005</v>
      </c>
      <c r="F785" s="2">
        <v>0.82499999999999996</v>
      </c>
      <c r="G785" s="2">
        <v>1.1080000000000001</v>
      </c>
      <c r="H785" s="2">
        <v>1.393</v>
      </c>
      <c r="I785" s="2">
        <v>1.671</v>
      </c>
      <c r="J785" s="2">
        <v>1.9339999999999999</v>
      </c>
      <c r="K785" s="2">
        <v>2.1779999999999999</v>
      </c>
      <c r="L785" s="2">
        <v>2.4020000000000001</v>
      </c>
      <c r="M785" s="2">
        <v>2.6030000000000002</v>
      </c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</row>
    <row r="786" spans="1:51" x14ac:dyDescent="0.2">
      <c r="A786" s="4">
        <v>1982</v>
      </c>
      <c r="B786" s="2">
        <v>3.4000000000000002E-2</v>
      </c>
      <c r="C786" s="2">
        <v>0.13600000000000001</v>
      </c>
      <c r="D786" s="2">
        <v>0.31</v>
      </c>
      <c r="E786" s="2">
        <v>0.54</v>
      </c>
      <c r="F786" s="2">
        <v>0.80800000000000005</v>
      </c>
      <c r="G786" s="2">
        <v>1.095</v>
      </c>
      <c r="H786" s="2">
        <v>1.387</v>
      </c>
      <c r="I786" s="2">
        <v>1.6739999999999999</v>
      </c>
      <c r="J786" s="2">
        <v>1.946</v>
      </c>
      <c r="K786" s="2">
        <v>2.2010000000000001</v>
      </c>
      <c r="L786" s="2">
        <v>2.4340000000000002</v>
      </c>
      <c r="M786" s="2">
        <v>2.645</v>
      </c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</row>
    <row r="787" spans="1:51" x14ac:dyDescent="0.2">
      <c r="A787" s="4">
        <v>1983</v>
      </c>
      <c r="B787" s="2">
        <v>4.3999999999999997E-2</v>
      </c>
      <c r="C787" s="2">
        <v>0.16</v>
      </c>
      <c r="D787" s="2">
        <v>0.34</v>
      </c>
      <c r="E787" s="2">
        <v>0.56699999999999995</v>
      </c>
      <c r="F787" s="2">
        <v>0.82199999999999995</v>
      </c>
      <c r="G787" s="2">
        <v>1.087</v>
      </c>
      <c r="H787" s="2">
        <v>1.351</v>
      </c>
      <c r="I787" s="2">
        <v>1.6060000000000001</v>
      </c>
      <c r="J787" s="2">
        <v>1.845</v>
      </c>
      <c r="K787" s="2">
        <v>2.0649999999999999</v>
      </c>
      <c r="L787" s="2">
        <v>2.266</v>
      </c>
      <c r="M787" s="2">
        <v>2.4460000000000002</v>
      </c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</row>
    <row r="788" spans="1:51" x14ac:dyDescent="0.2">
      <c r="A788" s="4">
        <v>1984</v>
      </c>
      <c r="B788" s="2">
        <v>3.2000000000000001E-2</v>
      </c>
      <c r="C788" s="2">
        <v>0.13</v>
      </c>
      <c r="D788" s="2">
        <v>0.29399999999999998</v>
      </c>
      <c r="E788" s="2">
        <v>0.51</v>
      </c>
      <c r="F788" s="2">
        <v>0.76</v>
      </c>
      <c r="G788" s="2">
        <v>1.028</v>
      </c>
      <c r="H788" s="2">
        <v>1.3</v>
      </c>
      <c r="I788" s="2">
        <v>1.5660000000000001</v>
      </c>
      <c r="J788" s="2">
        <v>1.8180000000000001</v>
      </c>
      <c r="K788" s="2">
        <v>2.0539999999999998</v>
      </c>
      <c r="L788" s="2">
        <v>2.27</v>
      </c>
      <c r="M788" s="2">
        <v>2.4649999999999999</v>
      </c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</row>
    <row r="789" spans="1:51" x14ac:dyDescent="0.2">
      <c r="A789" s="4">
        <v>1985</v>
      </c>
      <c r="B789" s="2">
        <v>3.2000000000000001E-2</v>
      </c>
      <c r="C789" s="2">
        <v>0.129</v>
      </c>
      <c r="D789" s="2">
        <v>0.29499999999999998</v>
      </c>
      <c r="E789" s="2">
        <v>0.51600000000000001</v>
      </c>
      <c r="F789" s="2">
        <v>0.77400000000000002</v>
      </c>
      <c r="G789" s="2">
        <v>1.05</v>
      </c>
      <c r="H789" s="2">
        <v>1.3320000000000001</v>
      </c>
      <c r="I789" s="2">
        <v>1.6080000000000001</v>
      </c>
      <c r="J789" s="2">
        <v>1.8720000000000001</v>
      </c>
      <c r="K789" s="2">
        <v>2.117</v>
      </c>
      <c r="L789" s="2">
        <v>2.343</v>
      </c>
      <c r="M789" s="2">
        <v>2.5470000000000002</v>
      </c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</row>
    <row r="790" spans="1:51" x14ac:dyDescent="0.2">
      <c r="A790" s="4">
        <v>1986</v>
      </c>
      <c r="B790" s="2">
        <v>3.5999999999999997E-2</v>
      </c>
      <c r="C790" s="2">
        <v>0.13800000000000001</v>
      </c>
      <c r="D790" s="2">
        <v>0.30399999999999999</v>
      </c>
      <c r="E790" s="2">
        <v>0.51800000000000002</v>
      </c>
      <c r="F790" s="2">
        <v>0.76200000000000001</v>
      </c>
      <c r="G790" s="2">
        <v>1.02</v>
      </c>
      <c r="H790" s="2">
        <v>1.28</v>
      </c>
      <c r="I790" s="2">
        <v>1.532</v>
      </c>
      <c r="J790" s="2">
        <v>1.77</v>
      </c>
      <c r="K790" s="2">
        <v>1.9910000000000001</v>
      </c>
      <c r="L790" s="2">
        <v>2.1930000000000001</v>
      </c>
      <c r="M790" s="2">
        <v>2.375</v>
      </c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</row>
    <row r="791" spans="1:51" x14ac:dyDescent="0.2">
      <c r="A791" s="4">
        <v>1987</v>
      </c>
      <c r="B791" s="2">
        <v>3.5999999999999997E-2</v>
      </c>
      <c r="C791" s="2">
        <v>0.13600000000000001</v>
      </c>
      <c r="D791" s="2">
        <v>0.29799999999999999</v>
      </c>
      <c r="E791" s="2">
        <v>0.50600000000000001</v>
      </c>
      <c r="F791" s="2">
        <v>0.74299999999999999</v>
      </c>
      <c r="G791" s="2">
        <v>0.99399999999999999</v>
      </c>
      <c r="H791" s="2">
        <v>1.2450000000000001</v>
      </c>
      <c r="I791" s="2">
        <v>1.49</v>
      </c>
      <c r="J791" s="2">
        <v>1.7210000000000001</v>
      </c>
      <c r="K791" s="2">
        <v>1.9339999999999999</v>
      </c>
      <c r="L791" s="2">
        <v>2.13</v>
      </c>
      <c r="M791" s="2">
        <v>2.306</v>
      </c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</row>
    <row r="792" spans="1:51" x14ac:dyDescent="0.2">
      <c r="A792" s="4">
        <v>1988</v>
      </c>
      <c r="B792" s="2">
        <v>4.1000000000000002E-2</v>
      </c>
      <c r="C792" s="2">
        <v>0.14799999999999999</v>
      </c>
      <c r="D792" s="2">
        <v>0.314</v>
      </c>
      <c r="E792" s="2">
        <v>0.52400000000000002</v>
      </c>
      <c r="F792" s="2">
        <v>0.75800000000000001</v>
      </c>
      <c r="G792" s="2">
        <v>1.0029999999999999</v>
      </c>
      <c r="H792" s="2">
        <v>1.2470000000000001</v>
      </c>
      <c r="I792" s="2">
        <v>1.4810000000000001</v>
      </c>
      <c r="J792" s="2">
        <v>1.702</v>
      </c>
      <c r="K792" s="2">
        <v>1.905</v>
      </c>
      <c r="L792" s="2">
        <v>2.089</v>
      </c>
      <c r="M792" s="2">
        <v>2.2549999999999999</v>
      </c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</row>
    <row r="793" spans="1:51" x14ac:dyDescent="0.2">
      <c r="A793" s="4">
        <v>1989</v>
      </c>
      <c r="B793" s="2">
        <v>3.9E-2</v>
      </c>
      <c r="C793" s="2">
        <v>0.14399999999999999</v>
      </c>
      <c r="D793" s="2">
        <v>0.309</v>
      </c>
      <c r="E793" s="2">
        <v>0.51900000000000002</v>
      </c>
      <c r="F793" s="2">
        <v>0.755</v>
      </c>
      <c r="G793" s="2">
        <v>1.002</v>
      </c>
      <c r="H793" s="2">
        <v>1.2490000000000001</v>
      </c>
      <c r="I793" s="2">
        <v>1.488</v>
      </c>
      <c r="J793" s="2">
        <v>1.712</v>
      </c>
      <c r="K793" s="2">
        <v>1.92</v>
      </c>
      <c r="L793" s="2">
        <v>2.1080000000000001</v>
      </c>
      <c r="M793" s="2">
        <v>2.278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</row>
    <row r="794" spans="1:51" x14ac:dyDescent="0.2">
      <c r="A794" s="4">
        <v>1990</v>
      </c>
      <c r="B794" s="2">
        <v>4.2000000000000003E-2</v>
      </c>
      <c r="C794" s="2">
        <v>0.13800000000000001</v>
      </c>
      <c r="D794" s="2">
        <v>0.28000000000000003</v>
      </c>
      <c r="E794" s="2">
        <v>0.45100000000000001</v>
      </c>
      <c r="F794" s="2">
        <v>0.63800000000000001</v>
      </c>
      <c r="G794" s="2">
        <v>0.82799999999999996</v>
      </c>
      <c r="H794" s="2">
        <v>1.014</v>
      </c>
      <c r="I794" s="2">
        <v>1.1910000000000001</v>
      </c>
      <c r="J794" s="2">
        <v>1.3560000000000001</v>
      </c>
      <c r="K794" s="2">
        <v>1.5069999999999999</v>
      </c>
      <c r="L794" s="2">
        <v>1.643</v>
      </c>
      <c r="M794" s="2">
        <v>1.764</v>
      </c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</row>
    <row r="795" spans="1:51" x14ac:dyDescent="0.2">
      <c r="A795" s="4">
        <v>1991</v>
      </c>
      <c r="B795" s="2">
        <v>4.3999999999999997E-2</v>
      </c>
      <c r="C795" s="2">
        <v>0.156</v>
      </c>
      <c r="D795" s="2">
        <v>0.32800000000000001</v>
      </c>
      <c r="E795" s="2">
        <v>0.54100000000000004</v>
      </c>
      <c r="F795" s="2">
        <v>0.77800000000000002</v>
      </c>
      <c r="G795" s="2">
        <v>1.024</v>
      </c>
      <c r="H795" s="2">
        <v>1.2669999999999999</v>
      </c>
      <c r="I795" s="2">
        <v>1.5009999999999999</v>
      </c>
      <c r="J795" s="2">
        <v>1.7190000000000001</v>
      </c>
      <c r="K795" s="2">
        <v>1.921</v>
      </c>
      <c r="L795" s="2">
        <v>2.1030000000000002</v>
      </c>
      <c r="M795" s="2">
        <v>2.2669999999999999</v>
      </c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</row>
    <row r="796" spans="1:51" x14ac:dyDescent="0.2">
      <c r="A796" s="4">
        <v>1992</v>
      </c>
      <c r="B796" s="2">
        <v>0.04</v>
      </c>
      <c r="C796" s="2">
        <v>0.14899999999999999</v>
      </c>
      <c r="D796" s="2">
        <v>0.32200000000000001</v>
      </c>
      <c r="E796" s="2">
        <v>0.54100000000000004</v>
      </c>
      <c r="F796" s="2">
        <v>0.78900000000000003</v>
      </c>
      <c r="G796" s="2">
        <v>1.048</v>
      </c>
      <c r="H796" s="2">
        <v>1.3080000000000001</v>
      </c>
      <c r="I796" s="2">
        <v>1.5580000000000001</v>
      </c>
      <c r="J796" s="2">
        <v>1.794</v>
      </c>
      <c r="K796" s="2">
        <v>2.012</v>
      </c>
      <c r="L796" s="2">
        <v>2.2109999999999999</v>
      </c>
      <c r="M796" s="2">
        <v>2.3889999999999998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</row>
    <row r="797" spans="1:51" x14ac:dyDescent="0.2">
      <c r="A797" s="4">
        <v>1993</v>
      </c>
      <c r="B797" s="2">
        <v>4.2000000000000003E-2</v>
      </c>
      <c r="C797" s="2">
        <v>0.151</v>
      </c>
      <c r="D797" s="2">
        <v>0.32300000000000001</v>
      </c>
      <c r="E797" s="2">
        <v>0.53900000000000003</v>
      </c>
      <c r="F797" s="2">
        <v>0.78100000000000003</v>
      </c>
      <c r="G797" s="2">
        <v>1.0329999999999999</v>
      </c>
      <c r="H797" s="2">
        <v>1.2849999999999999</v>
      </c>
      <c r="I797" s="2">
        <v>1.5269999999999999</v>
      </c>
      <c r="J797" s="2">
        <v>1.7549999999999999</v>
      </c>
      <c r="K797" s="2">
        <v>1.9650000000000001</v>
      </c>
      <c r="L797" s="2">
        <v>2.1560000000000001</v>
      </c>
      <c r="M797" s="2">
        <v>2.327</v>
      </c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</row>
    <row r="798" spans="1:51" x14ac:dyDescent="0.2">
      <c r="A798" s="4">
        <v>1994</v>
      </c>
      <c r="B798" s="2">
        <v>3.4000000000000002E-2</v>
      </c>
      <c r="C798" s="2">
        <v>0.13200000000000001</v>
      </c>
      <c r="D798" s="2">
        <v>0.29399999999999998</v>
      </c>
      <c r="E798" s="2">
        <v>0.504</v>
      </c>
      <c r="F798" s="2">
        <v>0.745</v>
      </c>
      <c r="G798" s="2">
        <v>1.0009999999999999</v>
      </c>
      <c r="H798" s="2">
        <v>1.26</v>
      </c>
      <c r="I798" s="2">
        <v>1.512</v>
      </c>
      <c r="J798" s="2">
        <v>1.7509999999999999</v>
      </c>
      <c r="K798" s="2">
        <v>1.9730000000000001</v>
      </c>
      <c r="L798" s="2">
        <v>2.1760000000000002</v>
      </c>
      <c r="M798" s="2">
        <v>2.359</v>
      </c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</row>
    <row r="799" spans="1:51" x14ac:dyDescent="0.2">
      <c r="A799" s="4">
        <v>1995</v>
      </c>
      <c r="B799" s="2">
        <v>3.7999999999999999E-2</v>
      </c>
      <c r="C799" s="2">
        <v>0.14499999999999999</v>
      </c>
      <c r="D799" s="2">
        <v>0.315</v>
      </c>
      <c r="E799" s="2">
        <v>0.53300000000000003</v>
      </c>
      <c r="F799" s="2">
        <v>0.78</v>
      </c>
      <c r="G799" s="2">
        <v>1.0409999999999999</v>
      </c>
      <c r="H799" s="2">
        <v>1.302</v>
      </c>
      <c r="I799" s="2">
        <v>1.554</v>
      </c>
      <c r="J799" s="2">
        <v>1.7929999999999999</v>
      </c>
      <c r="K799" s="2">
        <v>2.0129999999999999</v>
      </c>
      <c r="L799" s="2">
        <v>2.2149999999999999</v>
      </c>
      <c r="M799" s="2">
        <v>2.3959999999999999</v>
      </c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</row>
    <row r="800" spans="1:51" x14ac:dyDescent="0.2">
      <c r="A800" s="4">
        <v>1996</v>
      </c>
      <c r="B800" s="2">
        <v>4.3999999999999997E-2</v>
      </c>
      <c r="C800" s="2">
        <v>0.158</v>
      </c>
      <c r="D800" s="2">
        <v>0.33700000000000002</v>
      </c>
      <c r="E800" s="2">
        <v>0.56100000000000005</v>
      </c>
      <c r="F800" s="2">
        <v>0.81200000000000006</v>
      </c>
      <c r="G800" s="2">
        <v>1.0740000000000001</v>
      </c>
      <c r="H800" s="2">
        <v>1.3340000000000001</v>
      </c>
      <c r="I800" s="2">
        <v>1.585</v>
      </c>
      <c r="J800" s="2">
        <v>1.821</v>
      </c>
      <c r="K800" s="2">
        <v>2.0379999999999998</v>
      </c>
      <c r="L800" s="2">
        <v>2.2360000000000002</v>
      </c>
      <c r="M800" s="2">
        <v>2.4129999999999998</v>
      </c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</row>
    <row r="801" spans="1:51" x14ac:dyDescent="0.2">
      <c r="A801" s="4">
        <v>1997</v>
      </c>
      <c r="B801" s="2">
        <v>4.2000000000000003E-2</v>
      </c>
      <c r="C801" s="2">
        <v>0.15</v>
      </c>
      <c r="D801" s="2">
        <v>0.32</v>
      </c>
      <c r="E801" s="2">
        <v>0.53200000000000003</v>
      </c>
      <c r="F801" s="2">
        <v>0.76900000000000002</v>
      </c>
      <c r="G801" s="2">
        <v>1.0169999999999999</v>
      </c>
      <c r="H801" s="2">
        <v>1.2629999999999999</v>
      </c>
      <c r="I801" s="2">
        <v>1.4990000000000001</v>
      </c>
      <c r="J801" s="2">
        <v>1.722</v>
      </c>
      <c r="K801" s="2">
        <v>1.927</v>
      </c>
      <c r="L801" s="2">
        <v>2.113</v>
      </c>
      <c r="M801" s="2">
        <v>2.2799999999999998</v>
      </c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</row>
    <row r="802" spans="1:51" x14ac:dyDescent="0.2">
      <c r="A802" s="4">
        <v>1998</v>
      </c>
      <c r="B802" s="2">
        <v>3.9E-2</v>
      </c>
      <c r="C802" s="2">
        <v>0.14199999999999999</v>
      </c>
      <c r="D802" s="2">
        <v>0.30499999999999999</v>
      </c>
      <c r="E802" s="2">
        <v>0.51100000000000001</v>
      </c>
      <c r="F802" s="2">
        <v>0.74299999999999999</v>
      </c>
      <c r="G802" s="2">
        <v>0.98499999999999999</v>
      </c>
      <c r="H802" s="2">
        <v>1.2270000000000001</v>
      </c>
      <c r="I802" s="2">
        <v>1.4610000000000001</v>
      </c>
      <c r="J802" s="2">
        <v>1.68</v>
      </c>
      <c r="K802" s="2">
        <v>1.883</v>
      </c>
      <c r="L802" s="2">
        <v>2.0680000000000001</v>
      </c>
      <c r="M802" s="2">
        <v>2.234</v>
      </c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</row>
    <row r="803" spans="1:51" x14ac:dyDescent="0.2">
      <c r="A803" s="4">
        <v>1999</v>
      </c>
      <c r="B803" s="2">
        <v>0.04</v>
      </c>
      <c r="C803" s="2">
        <v>0.14799999999999999</v>
      </c>
      <c r="D803" s="2">
        <v>0.318</v>
      </c>
      <c r="E803" s="2">
        <v>0.53400000000000003</v>
      </c>
      <c r="F803" s="2">
        <v>0.77600000000000002</v>
      </c>
      <c r="G803" s="2">
        <v>1.0309999999999999</v>
      </c>
      <c r="H803" s="2">
        <v>1.286</v>
      </c>
      <c r="I803" s="2">
        <v>1.5309999999999999</v>
      </c>
      <c r="J803" s="2">
        <v>1.7629999999999999</v>
      </c>
      <c r="K803" s="2">
        <v>1.976</v>
      </c>
      <c r="L803" s="2">
        <v>2.1709999999999998</v>
      </c>
      <c r="M803" s="2">
        <v>2.3460000000000001</v>
      </c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</row>
    <row r="804" spans="1:51" x14ac:dyDescent="0.2">
      <c r="A804" s="4">
        <v>2000</v>
      </c>
      <c r="B804" s="2">
        <v>3.9E-2</v>
      </c>
      <c r="C804" s="2">
        <v>0.14699999999999999</v>
      </c>
      <c r="D804" s="2">
        <v>0.32300000000000001</v>
      </c>
      <c r="E804" s="2">
        <v>0.54900000000000004</v>
      </c>
      <c r="F804" s="2">
        <v>0.80700000000000005</v>
      </c>
      <c r="G804" s="2">
        <v>1.08</v>
      </c>
      <c r="H804" s="2">
        <v>1.3540000000000001</v>
      </c>
      <c r="I804" s="2">
        <v>1.62</v>
      </c>
      <c r="J804" s="2">
        <v>1.871</v>
      </c>
      <c r="K804" s="2">
        <v>2.1040000000000001</v>
      </c>
      <c r="L804" s="2">
        <v>2.3170000000000002</v>
      </c>
      <c r="M804" s="2">
        <v>2.508</v>
      </c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</row>
    <row r="805" spans="1:51" x14ac:dyDescent="0.2">
      <c r="A805" s="4">
        <v>2001</v>
      </c>
      <c r="B805" s="2">
        <v>3.5999999999999997E-2</v>
      </c>
      <c r="C805" s="2">
        <v>0.14699999999999999</v>
      </c>
      <c r="D805" s="2">
        <v>0.33500000000000002</v>
      </c>
      <c r="E805" s="2">
        <v>0.58399999999999996</v>
      </c>
      <c r="F805" s="2">
        <v>0.874</v>
      </c>
      <c r="G805" s="2">
        <v>1.1859999999999999</v>
      </c>
      <c r="H805" s="2">
        <v>1.5029999999999999</v>
      </c>
      <c r="I805" s="2">
        <v>1.8129999999999999</v>
      </c>
      <c r="J805" s="2">
        <v>2.109</v>
      </c>
      <c r="K805" s="2">
        <v>2.3849999999999998</v>
      </c>
      <c r="L805" s="2">
        <v>2.6379999999999999</v>
      </c>
      <c r="M805" s="2">
        <v>2.867</v>
      </c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</row>
    <row r="806" spans="1:51" x14ac:dyDescent="0.2">
      <c r="A806" s="4">
        <v>2002</v>
      </c>
      <c r="B806" s="2">
        <v>3.7999999999999999E-2</v>
      </c>
      <c r="C806" s="2">
        <v>0.14599999999999999</v>
      </c>
      <c r="D806" s="2">
        <v>0.318</v>
      </c>
      <c r="E806" s="2">
        <v>0.54</v>
      </c>
      <c r="F806" s="2">
        <v>0.79200000000000004</v>
      </c>
      <c r="G806" s="2">
        <v>1.0580000000000001</v>
      </c>
      <c r="H806" s="2">
        <v>1.325</v>
      </c>
      <c r="I806" s="2">
        <v>1.583</v>
      </c>
      <c r="J806" s="2">
        <v>1.827</v>
      </c>
      <c r="K806" s="2">
        <v>2.0529999999999999</v>
      </c>
      <c r="L806" s="2">
        <v>2.2599999999999998</v>
      </c>
      <c r="M806" s="2">
        <v>2.4460000000000002</v>
      </c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</row>
    <row r="807" spans="1:51" x14ac:dyDescent="0.2">
      <c r="A807" s="4">
        <v>2003</v>
      </c>
      <c r="B807" s="2">
        <v>3.7999999999999999E-2</v>
      </c>
      <c r="C807" s="2">
        <v>0.14499999999999999</v>
      </c>
      <c r="D807" s="2">
        <v>0.317</v>
      </c>
      <c r="E807" s="2">
        <v>0.53700000000000003</v>
      </c>
      <c r="F807" s="2">
        <v>0.78800000000000003</v>
      </c>
      <c r="G807" s="2">
        <v>1.0529999999999999</v>
      </c>
      <c r="H807" s="2">
        <v>1.3180000000000001</v>
      </c>
      <c r="I807" s="2">
        <v>1.5760000000000001</v>
      </c>
      <c r="J807" s="2">
        <v>1.82</v>
      </c>
      <c r="K807" s="2">
        <v>2.0449999999999999</v>
      </c>
      <c r="L807" s="2">
        <v>2.2509999999999999</v>
      </c>
      <c r="M807" s="2">
        <v>2.4359999999999999</v>
      </c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</row>
    <row r="808" spans="1:51" x14ac:dyDescent="0.2">
      <c r="A808" s="4">
        <v>2004</v>
      </c>
      <c r="B808" s="2">
        <v>4.4999999999999998E-2</v>
      </c>
      <c r="C808" s="2">
        <v>0.152</v>
      </c>
      <c r="D808" s="2">
        <v>0.312</v>
      </c>
      <c r="E808" s="2">
        <v>0.50600000000000001</v>
      </c>
      <c r="F808" s="2">
        <v>0.72</v>
      </c>
      <c r="G808" s="2">
        <v>0.94</v>
      </c>
      <c r="H808" s="2">
        <v>1.155</v>
      </c>
      <c r="I808" s="2">
        <v>1.361</v>
      </c>
      <c r="J808" s="2">
        <v>1.5529999999999999</v>
      </c>
      <c r="K808" s="2">
        <v>1.7290000000000001</v>
      </c>
      <c r="L808" s="2">
        <v>1.889</v>
      </c>
      <c r="M808" s="2">
        <v>2.0310000000000001</v>
      </c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</row>
    <row r="809" spans="1:51" x14ac:dyDescent="0.2">
      <c r="A809" s="4">
        <v>2005</v>
      </c>
      <c r="B809" s="2">
        <v>0.04</v>
      </c>
      <c r="C809" s="2">
        <v>0.14000000000000001</v>
      </c>
      <c r="D809" s="2">
        <v>0.29399999999999998</v>
      </c>
      <c r="E809" s="2">
        <v>0.48299999999999998</v>
      </c>
      <c r="F809" s="2">
        <v>0.69299999999999995</v>
      </c>
      <c r="G809" s="2">
        <v>0.91100000000000003</v>
      </c>
      <c r="H809" s="2">
        <v>1.1259999999999999</v>
      </c>
      <c r="I809" s="2">
        <v>1.333</v>
      </c>
      <c r="J809" s="2">
        <v>1.526</v>
      </c>
      <c r="K809" s="2">
        <v>1.7030000000000001</v>
      </c>
      <c r="L809" s="2">
        <v>1.8640000000000001</v>
      </c>
      <c r="M809" s="2">
        <v>2.008</v>
      </c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</row>
    <row r="810" spans="1:51" x14ac:dyDescent="0.2">
      <c r="A810" s="4">
        <v>2006</v>
      </c>
      <c r="B810" s="2">
        <v>3.6999999999999998E-2</v>
      </c>
      <c r="C810" s="2">
        <v>0.14599999999999999</v>
      </c>
      <c r="D810" s="2">
        <v>0.32400000000000001</v>
      </c>
      <c r="E810" s="2">
        <v>0.55700000000000005</v>
      </c>
      <c r="F810" s="2">
        <v>0.82399999999999995</v>
      </c>
      <c r="G810" s="2">
        <v>1.107</v>
      </c>
      <c r="H810" s="2">
        <v>1.3939999999999999</v>
      </c>
      <c r="I810" s="2">
        <v>1.673</v>
      </c>
      <c r="J810" s="2">
        <v>1.9379999999999999</v>
      </c>
      <c r="K810" s="2">
        <v>2.1829999999999998</v>
      </c>
      <c r="L810" s="2">
        <v>2.4079999999999999</v>
      </c>
      <c r="M810" s="2">
        <v>2.6110000000000002</v>
      </c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</row>
    <row r="811" spans="1:51" x14ac:dyDescent="0.2">
      <c r="A811" s="4">
        <v>2007</v>
      </c>
      <c r="B811" s="2">
        <v>3.5000000000000003E-2</v>
      </c>
      <c r="C811" s="2">
        <v>0.14499999999999999</v>
      </c>
      <c r="D811" s="2">
        <v>0.33600000000000002</v>
      </c>
      <c r="E811" s="2">
        <v>0.59199999999999997</v>
      </c>
      <c r="F811" s="2">
        <v>0.89300000000000002</v>
      </c>
      <c r="G811" s="2">
        <v>1.218</v>
      </c>
      <c r="H811" s="2">
        <v>1.55</v>
      </c>
      <c r="I811" s="2">
        <v>1.877</v>
      </c>
      <c r="J811" s="2">
        <v>2.1890000000000001</v>
      </c>
      <c r="K811" s="2">
        <v>2.4809999999999999</v>
      </c>
      <c r="L811" s="2">
        <v>2.75</v>
      </c>
      <c r="M811" s="2">
        <v>2.9940000000000002</v>
      </c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</row>
    <row r="812" spans="1:51" x14ac:dyDescent="0.2">
      <c r="A812" s="4">
        <v>2008</v>
      </c>
      <c r="B812" s="2">
        <v>3.3000000000000002E-2</v>
      </c>
      <c r="C812" s="2">
        <v>0.13900000000000001</v>
      </c>
      <c r="D812" s="2">
        <v>0.32400000000000001</v>
      </c>
      <c r="E812" s="2">
        <v>0.57199999999999995</v>
      </c>
      <c r="F812" s="2">
        <v>0.86399999999999999</v>
      </c>
      <c r="G812" s="2">
        <v>1.18</v>
      </c>
      <c r="H812" s="2">
        <v>1.504</v>
      </c>
      <c r="I812" s="2">
        <v>1.8220000000000001</v>
      </c>
      <c r="J812" s="2">
        <v>2.1269999999999998</v>
      </c>
      <c r="K812" s="2">
        <v>2.4119999999999999</v>
      </c>
      <c r="L812" s="2">
        <v>2.6739999999999999</v>
      </c>
      <c r="M812" s="2">
        <v>2.9119999999999999</v>
      </c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</row>
    <row r="813" spans="1:51" x14ac:dyDescent="0.2">
      <c r="A813" s="4">
        <v>2009</v>
      </c>
      <c r="B813" s="2">
        <v>3.5999999999999997E-2</v>
      </c>
      <c r="C813" s="2">
        <v>0.14499999999999999</v>
      </c>
      <c r="D813" s="2">
        <v>0.33</v>
      </c>
      <c r="E813" s="2">
        <v>0.57599999999999996</v>
      </c>
      <c r="F813" s="2">
        <v>0.86099999999999999</v>
      </c>
      <c r="G813" s="2">
        <v>1.167</v>
      </c>
      <c r="H813" s="2">
        <v>1.478</v>
      </c>
      <c r="I813" s="2">
        <v>1.7829999999999999</v>
      </c>
      <c r="J813" s="2">
        <v>2.0739999999999998</v>
      </c>
      <c r="K813" s="2">
        <v>2.3439999999999999</v>
      </c>
      <c r="L813" s="2">
        <v>2.593</v>
      </c>
      <c r="M813" s="2">
        <v>2.8170000000000002</v>
      </c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</row>
    <row r="814" spans="1:51" x14ac:dyDescent="0.2">
      <c r="A814" s="4">
        <v>2010</v>
      </c>
      <c r="B814" s="2">
        <v>0.04</v>
      </c>
      <c r="C814" s="2">
        <v>0.154</v>
      </c>
      <c r="D814" s="2">
        <v>0.34100000000000003</v>
      </c>
      <c r="E814" s="2">
        <v>0.58399999999999996</v>
      </c>
      <c r="F814" s="2">
        <v>0.86199999999999999</v>
      </c>
      <c r="G814" s="2">
        <v>1.157</v>
      </c>
      <c r="H814" s="2">
        <v>1.454</v>
      </c>
      <c r="I814" s="2">
        <v>1.7430000000000001</v>
      </c>
      <c r="J814" s="2">
        <v>2.0169999999999999</v>
      </c>
      <c r="K814" s="2">
        <v>2.2719999999999998</v>
      </c>
      <c r="L814" s="2">
        <v>2.504</v>
      </c>
      <c r="M814" s="2">
        <v>2.714</v>
      </c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</row>
    <row r="815" spans="1:51" x14ac:dyDescent="0.2">
      <c r="A815" s="4">
        <v>2011</v>
      </c>
      <c r="B815" s="2">
        <v>3.7999999999999999E-2</v>
      </c>
      <c r="C815" s="2">
        <v>0.14899999999999999</v>
      </c>
      <c r="D815" s="2">
        <v>0.33300000000000002</v>
      </c>
      <c r="E815" s="2">
        <v>0.57399999999999995</v>
      </c>
      <c r="F815" s="2">
        <v>0.85199999999999998</v>
      </c>
      <c r="G815" s="2">
        <v>1.1479999999999999</v>
      </c>
      <c r="H815" s="2">
        <v>1.4470000000000001</v>
      </c>
      <c r="I815" s="2">
        <v>1.74</v>
      </c>
      <c r="J815" s="2">
        <v>2.0169999999999999</v>
      </c>
      <c r="K815" s="2">
        <v>2.2749999999999999</v>
      </c>
      <c r="L815" s="2">
        <v>2.5110000000000001</v>
      </c>
      <c r="M815" s="2">
        <v>2.7240000000000002</v>
      </c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</row>
    <row r="816" spans="1:51" x14ac:dyDescent="0.2">
      <c r="A816" s="4">
        <v>2012</v>
      </c>
      <c r="B816" s="2">
        <v>3.6999999999999998E-2</v>
      </c>
      <c r="C816" s="2">
        <v>0.15</v>
      </c>
      <c r="D816" s="2">
        <v>0.34100000000000003</v>
      </c>
      <c r="E816" s="2">
        <v>0.59499999999999997</v>
      </c>
      <c r="F816" s="2">
        <v>0.89</v>
      </c>
      <c r="G816" s="2">
        <v>1.206</v>
      </c>
      <c r="H816" s="2">
        <v>1.5269999999999999</v>
      </c>
      <c r="I816" s="2">
        <v>1.8420000000000001</v>
      </c>
      <c r="J816" s="2">
        <v>2.1419999999999999</v>
      </c>
      <c r="K816" s="2">
        <v>2.4220000000000002</v>
      </c>
      <c r="L816" s="2">
        <v>2.6779999999999999</v>
      </c>
      <c r="M816" s="2">
        <v>2.911</v>
      </c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</row>
    <row r="817" spans="1:51" x14ac:dyDescent="0.2">
      <c r="A817" s="4">
        <v>2013</v>
      </c>
      <c r="B817" s="2">
        <v>3.7999999999999999E-2</v>
      </c>
      <c r="C817" s="2">
        <v>0.152</v>
      </c>
      <c r="D817" s="2">
        <v>0.34699999999999998</v>
      </c>
      <c r="E817" s="2">
        <v>0.60599999999999998</v>
      </c>
      <c r="F817" s="2">
        <v>0.90700000000000003</v>
      </c>
      <c r="G817" s="2">
        <v>1.23</v>
      </c>
      <c r="H817" s="2">
        <v>1.5580000000000001</v>
      </c>
      <c r="I817" s="2">
        <v>1.88</v>
      </c>
      <c r="J817" s="2">
        <v>2.1869999999999998</v>
      </c>
      <c r="K817" s="2">
        <v>2.4729999999999999</v>
      </c>
      <c r="L817" s="2">
        <v>2.7349999999999999</v>
      </c>
      <c r="M817" s="2">
        <v>2.9729999999999999</v>
      </c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</row>
    <row r="818" spans="1:51" x14ac:dyDescent="0.2">
      <c r="A818" s="4">
        <v>2014</v>
      </c>
      <c r="B818" s="2">
        <v>3.7999999999999999E-2</v>
      </c>
      <c r="C818" s="2">
        <v>0.14899999999999999</v>
      </c>
      <c r="D818" s="2">
        <v>0.33500000000000002</v>
      </c>
      <c r="E818" s="2">
        <v>0.57899999999999996</v>
      </c>
      <c r="F818" s="2">
        <v>0.86099999999999999</v>
      </c>
      <c r="G818" s="2">
        <v>1.161</v>
      </c>
      <c r="H818" s="2">
        <v>1.4650000000000001</v>
      </c>
      <c r="I818" s="2">
        <v>1.762</v>
      </c>
      <c r="J818" s="2">
        <v>2.044</v>
      </c>
      <c r="K818" s="2">
        <v>2.306</v>
      </c>
      <c r="L818" s="2">
        <v>2.5459999999999998</v>
      </c>
      <c r="M818" s="2">
        <v>2.7629999999999999</v>
      </c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</row>
    <row r="819" spans="1:51" x14ac:dyDescent="0.2">
      <c r="A819" s="4">
        <v>2015</v>
      </c>
      <c r="B819" s="2">
        <v>3.5999999999999997E-2</v>
      </c>
      <c r="C819" s="2">
        <v>0.14599999999999999</v>
      </c>
      <c r="D819" s="2">
        <v>0.33400000000000002</v>
      </c>
      <c r="E819" s="2">
        <v>0.58499999999999996</v>
      </c>
      <c r="F819" s="2">
        <v>0.876</v>
      </c>
      <c r="G819" s="2">
        <v>1.19</v>
      </c>
      <c r="H819" s="2">
        <v>1.51</v>
      </c>
      <c r="I819" s="2">
        <v>1.823</v>
      </c>
      <c r="J819" s="2">
        <v>2.1219999999999999</v>
      </c>
      <c r="K819" s="2">
        <v>2.4</v>
      </c>
      <c r="L819" s="2">
        <v>2.6560000000000001</v>
      </c>
      <c r="M819" s="2">
        <v>2.8879999999999999</v>
      </c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</row>
    <row r="820" spans="1:51" x14ac:dyDescent="0.2">
      <c r="A820" s="4">
        <v>2016</v>
      </c>
      <c r="B820" s="2">
        <v>3.7999999999999999E-2</v>
      </c>
      <c r="C820" s="2">
        <v>0.15</v>
      </c>
      <c r="D820" s="2">
        <v>0.33700000000000002</v>
      </c>
      <c r="E820" s="2">
        <v>0.58199999999999996</v>
      </c>
      <c r="F820" s="2">
        <v>0.86499999999999999</v>
      </c>
      <c r="G820" s="2">
        <v>1.167</v>
      </c>
      <c r="H820" s="2">
        <v>1.474</v>
      </c>
      <c r="I820" s="2">
        <v>1.7729999999999999</v>
      </c>
      <c r="J820" s="2">
        <v>2.0569999999999999</v>
      </c>
      <c r="K820" s="2">
        <v>2.3210000000000002</v>
      </c>
      <c r="L820" s="2">
        <v>2.5630000000000002</v>
      </c>
      <c r="M820" s="2">
        <v>2.782</v>
      </c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</row>
    <row r="821" spans="1:51" x14ac:dyDescent="0.2">
      <c r="A821" s="4">
        <v>2017</v>
      </c>
      <c r="B821" s="2">
        <v>3.9E-2</v>
      </c>
      <c r="C821" s="2">
        <v>0.15</v>
      </c>
      <c r="D821" s="2">
        <v>0.33200000000000002</v>
      </c>
      <c r="E821" s="2">
        <v>0.56699999999999995</v>
      </c>
      <c r="F821" s="2">
        <v>0.83699999999999997</v>
      </c>
      <c r="G821" s="2">
        <v>1.123</v>
      </c>
      <c r="H821" s="2">
        <v>1.411</v>
      </c>
      <c r="I821" s="2">
        <v>1.6910000000000001</v>
      </c>
      <c r="J821" s="2">
        <v>1.956</v>
      </c>
      <c r="K821" s="2">
        <v>2.2029999999999998</v>
      </c>
      <c r="L821" s="2">
        <v>2.4279999999999999</v>
      </c>
      <c r="M821" s="2">
        <v>2.6309999999999998</v>
      </c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</row>
    <row r="822" spans="1:51" x14ac:dyDescent="0.2">
      <c r="A822" s="4">
        <v>2018</v>
      </c>
      <c r="B822" s="2">
        <v>3.1E-2</v>
      </c>
      <c r="C822" s="2">
        <v>0.14299999999999999</v>
      </c>
      <c r="D822" s="2">
        <v>0.35099999999999998</v>
      </c>
      <c r="E822" s="2">
        <v>0.64400000000000002</v>
      </c>
      <c r="F822" s="2">
        <v>1</v>
      </c>
      <c r="G822" s="2">
        <v>1.395</v>
      </c>
      <c r="H822" s="2">
        <v>1.806</v>
      </c>
      <c r="I822" s="2">
        <v>2.2170000000000001</v>
      </c>
      <c r="J822" s="2">
        <v>2.6139999999999999</v>
      </c>
      <c r="K822" s="2">
        <v>2.99</v>
      </c>
      <c r="L822" s="2">
        <v>3.3370000000000002</v>
      </c>
      <c r="M822" s="2">
        <v>3.6549999999999998</v>
      </c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</row>
    <row r="823" spans="1:51" x14ac:dyDescent="0.2">
      <c r="A823" s="4">
        <v>2019</v>
      </c>
      <c r="B823" s="2">
        <v>3.2000000000000001E-2</v>
      </c>
      <c r="C823" s="2">
        <v>0.14499999999999999</v>
      </c>
      <c r="D823" s="2">
        <v>0.34899999999999998</v>
      </c>
      <c r="E823" s="2">
        <v>0.63200000000000001</v>
      </c>
      <c r="F823" s="2">
        <v>0.97099999999999997</v>
      </c>
      <c r="G823" s="2">
        <v>1.3440000000000001</v>
      </c>
      <c r="H823" s="2">
        <v>1.7310000000000001</v>
      </c>
      <c r="I823" s="2">
        <v>2.1150000000000002</v>
      </c>
      <c r="J823" s="2">
        <v>2.4849999999999999</v>
      </c>
      <c r="K823" s="2">
        <v>2.8340000000000001</v>
      </c>
      <c r="L823" s="2">
        <v>3.1560000000000001</v>
      </c>
      <c r="M823" s="2">
        <v>3.4489999999999998</v>
      </c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</row>
    <row r="824" spans="1:51" x14ac:dyDescent="0.2">
      <c r="A824" s="4" t="s">
        <v>74</v>
      </c>
      <c r="B824" s="2">
        <v>3.2000000000000001E-2</v>
      </c>
      <c r="C824" s="2">
        <v>0.14499999999999999</v>
      </c>
      <c r="D824" s="2">
        <v>0.34899999999999998</v>
      </c>
      <c r="E824" s="2">
        <v>0.63200000000000001</v>
      </c>
      <c r="F824" s="2">
        <v>0.97099999999999997</v>
      </c>
      <c r="G824" s="2">
        <v>1.3440000000000001</v>
      </c>
      <c r="H824" s="2">
        <v>1.7310000000000001</v>
      </c>
      <c r="I824" s="2">
        <v>2.1150000000000002</v>
      </c>
      <c r="J824" s="2">
        <v>2.4849999999999999</v>
      </c>
      <c r="K824" s="2">
        <v>2.8340000000000001</v>
      </c>
      <c r="L824" s="2">
        <v>3.1560000000000001</v>
      </c>
      <c r="M824" s="2">
        <v>3.4489999999999998</v>
      </c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</row>
    <row r="825" spans="1:51" x14ac:dyDescent="0.2">
      <c r="A825" s="4">
        <v>1971</v>
      </c>
      <c r="B825" s="2">
        <v>3.2000000000000001E-2</v>
      </c>
      <c r="C825" s="2">
        <v>0.14499999999999999</v>
      </c>
      <c r="D825" s="2">
        <v>0.34899999999999998</v>
      </c>
      <c r="E825" s="2">
        <v>0.63200000000000001</v>
      </c>
      <c r="F825" s="2">
        <v>0.97099999999999997</v>
      </c>
      <c r="G825" s="2">
        <v>1.3440000000000001</v>
      </c>
      <c r="H825" s="2">
        <v>1.7310000000000001</v>
      </c>
      <c r="I825" s="2">
        <v>2.1150000000000002</v>
      </c>
      <c r="J825" s="2">
        <v>2.4849999999999999</v>
      </c>
      <c r="K825" s="2">
        <v>2.8340000000000001</v>
      </c>
      <c r="L825" s="2">
        <v>3.1560000000000001</v>
      </c>
      <c r="M825" s="2">
        <v>3.4489999999999998</v>
      </c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</row>
    <row r="826" spans="1:51" x14ac:dyDescent="0.2">
      <c r="A826" s="4">
        <v>1972</v>
      </c>
      <c r="B826" s="2">
        <v>3.32E-2</v>
      </c>
      <c r="C826" s="2">
        <v>0.14560000000000001</v>
      </c>
      <c r="D826" s="2">
        <v>0.34599999999999997</v>
      </c>
      <c r="E826" s="2">
        <v>0.62139999999999995</v>
      </c>
      <c r="F826" s="2">
        <v>0.95</v>
      </c>
      <c r="G826" s="2">
        <v>1.31</v>
      </c>
      <c r="H826" s="2">
        <v>1.6819999999999999</v>
      </c>
      <c r="I826" s="2">
        <v>2.0506000000000002</v>
      </c>
      <c r="J826" s="2">
        <v>2.4049999999999998</v>
      </c>
      <c r="K826" s="2">
        <v>2.7389999999999999</v>
      </c>
      <c r="L826" s="2">
        <v>3.0466000000000002</v>
      </c>
      <c r="M826" s="2">
        <v>3.3266</v>
      </c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</row>
    <row r="827" spans="1:51" x14ac:dyDescent="0.2">
      <c r="A827" s="4">
        <v>1973</v>
      </c>
      <c r="B827" s="2">
        <v>3.32E-2</v>
      </c>
      <c r="C827" s="2">
        <v>0.14560000000000001</v>
      </c>
      <c r="D827" s="2">
        <v>0.34599999999999997</v>
      </c>
      <c r="E827" s="2">
        <v>0.62139999999999995</v>
      </c>
      <c r="F827" s="2">
        <v>0.95</v>
      </c>
      <c r="G827" s="2">
        <v>1.31</v>
      </c>
      <c r="H827" s="2">
        <v>1.6819999999999999</v>
      </c>
      <c r="I827" s="2">
        <v>2.0506000000000002</v>
      </c>
      <c r="J827" s="2">
        <v>2.4049999999999998</v>
      </c>
      <c r="K827" s="2">
        <v>2.7389999999999999</v>
      </c>
      <c r="L827" s="2">
        <v>3.0466000000000002</v>
      </c>
      <c r="M827" s="2">
        <v>3.3266</v>
      </c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</row>
    <row r="828" spans="1:51" x14ac:dyDescent="0.2">
      <c r="A828" s="4">
        <v>1974</v>
      </c>
      <c r="B828" s="2">
        <v>3.32E-2</v>
      </c>
      <c r="C828" s="2">
        <v>0.14560000000000001</v>
      </c>
      <c r="D828" s="2">
        <v>0.34599999999999997</v>
      </c>
      <c r="E828" s="2">
        <v>0.62139999999999995</v>
      </c>
      <c r="F828" s="2">
        <v>0.95</v>
      </c>
      <c r="G828" s="2">
        <v>1.31</v>
      </c>
      <c r="H828" s="2">
        <v>1.6819999999999999</v>
      </c>
      <c r="I828" s="2">
        <v>2.0506000000000002</v>
      </c>
      <c r="J828" s="2">
        <v>2.4049999999999998</v>
      </c>
      <c r="K828" s="2">
        <v>2.7389999999999999</v>
      </c>
      <c r="L828" s="2">
        <v>3.0466000000000002</v>
      </c>
      <c r="M828" s="2">
        <v>3.3266</v>
      </c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</row>
    <row r="829" spans="1:51" x14ac:dyDescent="0.2">
      <c r="A829" s="4">
        <v>1975</v>
      </c>
      <c r="B829" s="2">
        <v>3.32E-2</v>
      </c>
      <c r="C829" s="2">
        <v>0.14560000000000001</v>
      </c>
      <c r="D829" s="2">
        <v>0.34599999999999997</v>
      </c>
      <c r="E829" s="2">
        <v>0.62139999999999995</v>
      </c>
      <c r="F829" s="2">
        <v>0.95</v>
      </c>
      <c r="G829" s="2">
        <v>1.31</v>
      </c>
      <c r="H829" s="2">
        <v>1.6819999999999999</v>
      </c>
      <c r="I829" s="2">
        <v>2.0506000000000002</v>
      </c>
      <c r="J829" s="2">
        <v>2.4049999999999998</v>
      </c>
      <c r="K829" s="2">
        <v>2.7389999999999999</v>
      </c>
      <c r="L829" s="2">
        <v>3.0466000000000002</v>
      </c>
      <c r="M829" s="2">
        <v>3.3266</v>
      </c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</row>
    <row r="830" spans="1:51" x14ac:dyDescent="0.2">
      <c r="A830" s="4">
        <v>1976</v>
      </c>
      <c r="B830" s="2">
        <v>3.32E-2</v>
      </c>
      <c r="C830" s="2">
        <v>0.14560000000000001</v>
      </c>
      <c r="D830" s="2">
        <v>0.34599999999999997</v>
      </c>
      <c r="E830" s="2">
        <v>0.62139999999999995</v>
      </c>
      <c r="F830" s="2">
        <v>0.95</v>
      </c>
      <c r="G830" s="2">
        <v>1.31</v>
      </c>
      <c r="H830" s="2">
        <v>1.6819999999999999</v>
      </c>
      <c r="I830" s="2">
        <v>2.0506000000000002</v>
      </c>
      <c r="J830" s="2">
        <v>2.4049999999999998</v>
      </c>
      <c r="K830" s="2">
        <v>2.7389999999999999</v>
      </c>
      <c r="L830" s="2">
        <v>3.0466000000000002</v>
      </c>
      <c r="M830" s="2">
        <v>3.3266</v>
      </c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</row>
    <row r="831" spans="1:51" x14ac:dyDescent="0.2">
      <c r="A831" s="4">
        <v>1977</v>
      </c>
      <c r="B831" s="2">
        <v>3.32E-2</v>
      </c>
      <c r="C831" s="2">
        <v>0.14560000000000001</v>
      </c>
      <c r="D831" s="2">
        <v>0.34599999999999997</v>
      </c>
      <c r="E831" s="2">
        <v>0.62139999999999995</v>
      </c>
      <c r="F831" s="2">
        <v>0.95</v>
      </c>
      <c r="G831" s="2">
        <v>1.31</v>
      </c>
      <c r="H831" s="2">
        <v>1.6819999999999999</v>
      </c>
      <c r="I831" s="2">
        <v>2.0506000000000002</v>
      </c>
      <c r="J831" s="2">
        <v>2.4049999999999998</v>
      </c>
      <c r="K831" s="2">
        <v>2.7389999999999999</v>
      </c>
      <c r="L831" s="2">
        <v>3.0466000000000002</v>
      </c>
      <c r="M831" s="2">
        <v>3.3266</v>
      </c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</row>
    <row r="832" spans="1:51" x14ac:dyDescent="0.2">
      <c r="A832" s="4">
        <v>1978</v>
      </c>
      <c r="B832" s="2">
        <v>5.1999999999999998E-2</v>
      </c>
      <c r="C832" s="2">
        <v>9.2999999999999999E-2</v>
      </c>
      <c r="D832" s="2">
        <v>0.13100000000000001</v>
      </c>
      <c r="E832" s="2">
        <v>0.17799999999999999</v>
      </c>
      <c r="F832" s="2">
        <v>0.26200000000000001</v>
      </c>
      <c r="G832" s="2">
        <v>0.29399999999999998</v>
      </c>
      <c r="H832" s="2">
        <v>0.34</v>
      </c>
      <c r="I832" s="2">
        <v>0.39600000000000002</v>
      </c>
      <c r="J832" s="2">
        <v>0.54900000000000004</v>
      </c>
      <c r="K832" s="2">
        <v>0.73799999999999999</v>
      </c>
      <c r="L832" s="2">
        <v>0.98399999999999999</v>
      </c>
      <c r="M832" s="2">
        <v>1.093</v>
      </c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</row>
    <row r="833" spans="1:51" x14ac:dyDescent="0.2">
      <c r="A833" s="4">
        <v>1979</v>
      </c>
      <c r="B833" s="2">
        <v>5.1999999999999998E-2</v>
      </c>
      <c r="C833" s="2">
        <v>9.2999999999999999E-2</v>
      </c>
      <c r="D833" s="2">
        <v>0.13100000000000001</v>
      </c>
      <c r="E833" s="2">
        <v>0.17799999999999999</v>
      </c>
      <c r="F833" s="2">
        <v>0.26200000000000001</v>
      </c>
      <c r="G833" s="2">
        <v>0.29399999999999998</v>
      </c>
      <c r="H833" s="2">
        <v>0.34</v>
      </c>
      <c r="I833" s="2">
        <v>0.39600000000000002</v>
      </c>
      <c r="J833" s="2">
        <v>0.54900000000000004</v>
      </c>
      <c r="K833" s="2">
        <v>0.73799999999999999</v>
      </c>
      <c r="L833" s="2">
        <v>0.98399999999999999</v>
      </c>
      <c r="M833" s="2">
        <v>1.093</v>
      </c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</row>
    <row r="834" spans="1:51" x14ac:dyDescent="0.2">
      <c r="A834" s="4">
        <v>1980</v>
      </c>
      <c r="B834" s="2">
        <v>5.1999999999999998E-2</v>
      </c>
      <c r="C834" s="2">
        <v>9.2999999999999999E-2</v>
      </c>
      <c r="D834" s="2">
        <v>0.13100000000000001</v>
      </c>
      <c r="E834" s="2">
        <v>0.17799999999999999</v>
      </c>
      <c r="F834" s="2">
        <v>0.26200000000000001</v>
      </c>
      <c r="G834" s="2">
        <v>0.29399999999999998</v>
      </c>
      <c r="H834" s="2">
        <v>0.34</v>
      </c>
      <c r="I834" s="2">
        <v>0.39600000000000002</v>
      </c>
      <c r="J834" s="2">
        <v>0.54900000000000004</v>
      </c>
      <c r="K834" s="2">
        <v>0.73799999999999999</v>
      </c>
      <c r="L834" s="2">
        <v>0.98399999999999999</v>
      </c>
      <c r="M834" s="2">
        <v>1.093</v>
      </c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</row>
    <row r="835" spans="1:51" x14ac:dyDescent="0.2">
      <c r="A835" s="4">
        <v>1981</v>
      </c>
      <c r="B835" s="2">
        <v>5.1999999999999998E-2</v>
      </c>
      <c r="C835" s="2">
        <v>9.2999999999999999E-2</v>
      </c>
      <c r="D835" s="2">
        <v>0.13100000000000001</v>
      </c>
      <c r="E835" s="2">
        <v>0.17799999999999999</v>
      </c>
      <c r="F835" s="2">
        <v>0.26200000000000001</v>
      </c>
      <c r="G835" s="2">
        <v>0.29399999999999998</v>
      </c>
      <c r="H835" s="2">
        <v>0.34</v>
      </c>
      <c r="I835" s="2">
        <v>0.39600000000000002</v>
      </c>
      <c r="J835" s="2">
        <v>0.54900000000000004</v>
      </c>
      <c r="K835" s="2">
        <v>0.73799999999999999</v>
      </c>
      <c r="L835" s="2">
        <v>0.98399999999999999</v>
      </c>
      <c r="M835" s="2">
        <v>1.093</v>
      </c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</row>
    <row r="836" spans="1:51" x14ac:dyDescent="0.2">
      <c r="A836" s="4">
        <v>1982</v>
      </c>
      <c r="B836" s="2">
        <v>5.1999999999999998E-2</v>
      </c>
      <c r="C836" s="2">
        <v>9.2999999999999999E-2</v>
      </c>
      <c r="D836" s="2">
        <v>0.13100000000000001</v>
      </c>
      <c r="E836" s="2">
        <v>0.17799999999999999</v>
      </c>
      <c r="F836" s="2">
        <v>0.26200000000000001</v>
      </c>
      <c r="G836" s="2">
        <v>0.29399999999999998</v>
      </c>
      <c r="H836" s="2">
        <v>0.34</v>
      </c>
      <c r="I836" s="2">
        <v>0.39600000000000002</v>
      </c>
      <c r="J836" s="2">
        <v>0.54900000000000004</v>
      </c>
      <c r="K836" s="2">
        <v>0.73799999999999999</v>
      </c>
      <c r="L836" s="2">
        <v>0.98399999999999999</v>
      </c>
      <c r="M836" s="2">
        <v>1.093</v>
      </c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</row>
    <row r="837" spans="1:51" x14ac:dyDescent="0.2">
      <c r="A837" s="4">
        <v>1983</v>
      </c>
      <c r="B837" s="2">
        <v>5.1999999999999998E-2</v>
      </c>
      <c r="C837" s="2">
        <v>9.2999999999999999E-2</v>
      </c>
      <c r="D837" s="2">
        <v>0.13100000000000001</v>
      </c>
      <c r="E837" s="2">
        <v>0.17799999999999999</v>
      </c>
      <c r="F837" s="2">
        <v>0.26200000000000001</v>
      </c>
      <c r="G837" s="2">
        <v>0.29399999999999998</v>
      </c>
      <c r="H837" s="2">
        <v>0.34</v>
      </c>
      <c r="I837" s="2">
        <v>0.39600000000000002</v>
      </c>
      <c r="J837" s="2">
        <v>0.54900000000000004</v>
      </c>
      <c r="K837" s="2">
        <v>0.73799999999999999</v>
      </c>
      <c r="L837" s="2">
        <v>0.98399999999999999</v>
      </c>
      <c r="M837" s="2">
        <v>1.093</v>
      </c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</row>
    <row r="838" spans="1:51" x14ac:dyDescent="0.2">
      <c r="A838" s="4">
        <v>1984</v>
      </c>
      <c r="B838" s="2">
        <v>5.1999999999999998E-2</v>
      </c>
      <c r="C838" s="2">
        <v>7.8E-2</v>
      </c>
      <c r="D838" s="2">
        <v>0.155</v>
      </c>
      <c r="E838" s="2">
        <v>0.214</v>
      </c>
      <c r="F838" s="2">
        <v>0.27500000000000002</v>
      </c>
      <c r="G838" s="2">
        <v>0.33600000000000002</v>
      </c>
      <c r="H838" s="2">
        <v>0.39400000000000002</v>
      </c>
      <c r="I838" s="2">
        <v>0.47199999999999998</v>
      </c>
      <c r="J838" s="2">
        <v>0.63200000000000001</v>
      </c>
      <c r="K838" s="2">
        <v>0.71399999999999997</v>
      </c>
      <c r="L838" s="2">
        <v>0.89800000000000002</v>
      </c>
      <c r="M838" s="2">
        <v>1.538</v>
      </c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</row>
    <row r="839" spans="1:51" x14ac:dyDescent="0.2">
      <c r="A839" s="4">
        <v>1985</v>
      </c>
      <c r="B839" s="2">
        <v>5.5E-2</v>
      </c>
      <c r="C839" s="2">
        <v>9.1999999999999998E-2</v>
      </c>
      <c r="D839" s="2">
        <v>0.109</v>
      </c>
      <c r="E839" s="2">
        <v>0.23599999999999999</v>
      </c>
      <c r="F839" s="2">
        <v>0.27500000000000002</v>
      </c>
      <c r="G839" s="2">
        <v>0.314</v>
      </c>
      <c r="H839" s="2">
        <v>0.375</v>
      </c>
      <c r="I839" s="2">
        <v>0.45600000000000002</v>
      </c>
      <c r="J839" s="2">
        <v>0.52100000000000002</v>
      </c>
      <c r="K839" s="2">
        <v>0.73199999999999998</v>
      </c>
      <c r="L839" s="2">
        <v>0.65100000000000002</v>
      </c>
      <c r="M839" s="2">
        <v>1.137</v>
      </c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</row>
    <row r="840" spans="1:51" x14ac:dyDescent="0.2">
      <c r="A840" s="4">
        <v>1986</v>
      </c>
      <c r="B840" s="2">
        <v>5.1999999999999998E-2</v>
      </c>
      <c r="C840" s="2">
        <v>8.4000000000000005E-2</v>
      </c>
      <c r="D840" s="2">
        <v>0.104</v>
      </c>
      <c r="E840" s="2">
        <v>0.14699999999999999</v>
      </c>
      <c r="F840" s="2">
        <v>0.21099999999999999</v>
      </c>
      <c r="G840" s="2">
        <v>0.32700000000000001</v>
      </c>
      <c r="H840" s="2">
        <v>0.39400000000000002</v>
      </c>
      <c r="I840" s="2">
        <v>0.44900000000000001</v>
      </c>
      <c r="J840" s="2">
        <v>0.51400000000000001</v>
      </c>
      <c r="K840" s="2">
        <v>0.58299999999999996</v>
      </c>
      <c r="L840" s="2">
        <v>0.63100000000000001</v>
      </c>
      <c r="M840" s="2">
        <v>1.538</v>
      </c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</row>
    <row r="841" spans="1:51" x14ac:dyDescent="0.2">
      <c r="A841" s="4">
        <v>1987</v>
      </c>
      <c r="B841" s="2">
        <v>5.1999999999999998E-2</v>
      </c>
      <c r="C841" s="2">
        <v>0.108</v>
      </c>
      <c r="D841" s="2">
        <v>0.16</v>
      </c>
      <c r="E841" s="2">
        <v>0.19900000000000001</v>
      </c>
      <c r="F841" s="2">
        <v>0.24099999999999999</v>
      </c>
      <c r="G841" s="2">
        <v>0.30099999999999999</v>
      </c>
      <c r="H841" s="2">
        <v>0.38800000000000001</v>
      </c>
      <c r="I841" s="2">
        <v>0.46600000000000003</v>
      </c>
      <c r="J841" s="2">
        <v>0.58799999999999997</v>
      </c>
      <c r="K841" s="2">
        <v>0.871</v>
      </c>
      <c r="L841" s="2">
        <v>1.2649999999999999</v>
      </c>
      <c r="M841" s="2">
        <v>1.972</v>
      </c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</row>
    <row r="842" spans="1:51" x14ac:dyDescent="0.2">
      <c r="A842" s="4">
        <v>1988</v>
      </c>
      <c r="B842" s="2">
        <v>2.5999999999999999E-2</v>
      </c>
      <c r="C842" s="2">
        <v>0.06</v>
      </c>
      <c r="D842" s="2">
        <v>0.13200000000000001</v>
      </c>
      <c r="E842" s="2">
        <v>0.23100000000000001</v>
      </c>
      <c r="F842" s="2">
        <v>0.27200000000000002</v>
      </c>
      <c r="G842" s="2">
        <v>0.35</v>
      </c>
      <c r="H842" s="2">
        <v>0.44700000000000001</v>
      </c>
      <c r="I842" s="2">
        <v>0.51900000000000002</v>
      </c>
      <c r="J842" s="2">
        <v>0.71599999999999997</v>
      </c>
      <c r="K842" s="2">
        <v>0.82</v>
      </c>
      <c r="L842" s="2">
        <v>1.073</v>
      </c>
      <c r="M842" s="2">
        <v>1.8540000000000001</v>
      </c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</row>
    <row r="843" spans="1:51" x14ac:dyDescent="0.2">
      <c r="A843" s="4">
        <v>1989</v>
      </c>
      <c r="B843" s="2">
        <v>5.1999999999999998E-2</v>
      </c>
      <c r="C843" s="2">
        <v>9.5000000000000001E-2</v>
      </c>
      <c r="D843" s="2">
        <v>0.14899999999999999</v>
      </c>
      <c r="E843" s="2">
        <v>0.24199999999999999</v>
      </c>
      <c r="F843" s="2">
        <v>0.29399999999999998</v>
      </c>
      <c r="G843" s="2">
        <v>0.34</v>
      </c>
      <c r="H843" s="2">
        <v>0.40699999999999997</v>
      </c>
      <c r="I843" s="2">
        <v>0.503</v>
      </c>
      <c r="J843" s="2">
        <v>0.63700000000000001</v>
      </c>
      <c r="K843" s="2">
        <v>0.76500000000000001</v>
      </c>
      <c r="L843" s="2">
        <v>1.1839999999999999</v>
      </c>
      <c r="M843" s="2">
        <v>1.9</v>
      </c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</row>
    <row r="844" spans="1:51" x14ac:dyDescent="0.2">
      <c r="A844" s="4">
        <v>1990</v>
      </c>
      <c r="B844" s="2">
        <v>5.5E-2</v>
      </c>
      <c r="C844" s="2">
        <v>8.5000000000000006E-2</v>
      </c>
      <c r="D844" s="2">
        <v>0.16600000000000001</v>
      </c>
      <c r="E844" s="2">
        <v>0.20699999999999999</v>
      </c>
      <c r="F844" s="2">
        <v>0.26900000000000002</v>
      </c>
      <c r="G844" s="2">
        <v>0.32300000000000001</v>
      </c>
      <c r="H844" s="2">
        <v>0.378</v>
      </c>
      <c r="I844" s="2">
        <v>0.47199999999999998</v>
      </c>
      <c r="J844" s="2">
        <v>0.53600000000000003</v>
      </c>
      <c r="K844" s="2">
        <v>0.64400000000000002</v>
      </c>
      <c r="L844" s="2">
        <v>0.98699999999999999</v>
      </c>
      <c r="M844" s="2">
        <v>1.1850000000000001</v>
      </c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</row>
    <row r="845" spans="1:51" x14ac:dyDescent="0.2">
      <c r="A845" s="4">
        <v>1991</v>
      </c>
      <c r="B845" s="2">
        <v>7.0000000000000007E-2</v>
      </c>
      <c r="C845" s="2">
        <v>9.9000000000000005E-2</v>
      </c>
      <c r="D845" s="2">
        <v>0.122</v>
      </c>
      <c r="E845" s="2">
        <v>0.23</v>
      </c>
      <c r="F845" s="2">
        <v>0.27300000000000002</v>
      </c>
      <c r="G845" s="2">
        <v>0.32</v>
      </c>
      <c r="H845" s="2">
        <v>0.374</v>
      </c>
      <c r="I845" s="2">
        <v>0.46100000000000002</v>
      </c>
      <c r="J845" s="2">
        <v>0.59599999999999997</v>
      </c>
      <c r="K845" s="2">
        <v>0.70899999999999996</v>
      </c>
      <c r="L845" s="2">
        <v>1.196</v>
      </c>
      <c r="M845" s="2">
        <v>1.7689999999999999</v>
      </c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</row>
    <row r="846" spans="1:51" x14ac:dyDescent="0.2">
      <c r="A846" s="4">
        <v>1992</v>
      </c>
      <c r="B846" s="2">
        <v>3.5000000000000003E-2</v>
      </c>
      <c r="C846" s="2">
        <v>0.13500000000000001</v>
      </c>
      <c r="D846" s="2">
        <v>0.154</v>
      </c>
      <c r="E846" s="2">
        <v>0.185</v>
      </c>
      <c r="F846" s="2">
        <v>0.26600000000000001</v>
      </c>
      <c r="G846" s="2">
        <v>0.33</v>
      </c>
      <c r="H846" s="2">
        <v>0.38300000000000001</v>
      </c>
      <c r="I846" s="2">
        <v>0.44900000000000001</v>
      </c>
      <c r="J846" s="2">
        <v>0.57699999999999996</v>
      </c>
      <c r="K846" s="2">
        <v>0.68500000000000005</v>
      </c>
      <c r="L846" s="2">
        <v>1.012</v>
      </c>
      <c r="M846" s="2">
        <v>1.8460000000000001</v>
      </c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</row>
    <row r="847" spans="1:51" x14ac:dyDescent="0.2">
      <c r="A847" s="4">
        <v>1993</v>
      </c>
      <c r="B847" s="2">
        <v>5.8000000000000003E-2</v>
      </c>
      <c r="C847" s="2">
        <v>0.14799999999999999</v>
      </c>
      <c r="D847" s="2">
        <v>0.18099999999999999</v>
      </c>
      <c r="E847" s="2">
        <v>0.223</v>
      </c>
      <c r="F847" s="2">
        <v>0.27</v>
      </c>
      <c r="G847" s="2">
        <v>0.33900000000000002</v>
      </c>
      <c r="H847" s="2">
        <v>0.39800000000000002</v>
      </c>
      <c r="I847" s="2">
        <v>0.47299999999999998</v>
      </c>
      <c r="J847" s="2">
        <v>0.57299999999999995</v>
      </c>
      <c r="K847" s="2">
        <v>0.79600000000000004</v>
      </c>
      <c r="L847" s="2">
        <v>1.3759999999999999</v>
      </c>
      <c r="M847" s="2">
        <v>1.647</v>
      </c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</row>
    <row r="848" spans="1:51" x14ac:dyDescent="0.2">
      <c r="A848" s="4">
        <v>1994</v>
      </c>
      <c r="B848" s="2">
        <v>7.2999999999999995E-2</v>
      </c>
      <c r="C848" s="2">
        <v>7.4999999999999997E-2</v>
      </c>
      <c r="D848" s="2">
        <v>0.17199999999999999</v>
      </c>
      <c r="E848" s="2">
        <v>0.247</v>
      </c>
      <c r="F848" s="2">
        <v>0.28599999999999998</v>
      </c>
      <c r="G848" s="2">
        <v>0.34599999999999997</v>
      </c>
      <c r="H848" s="2">
        <v>0.42699999999999999</v>
      </c>
      <c r="I848" s="2">
        <v>0.51800000000000002</v>
      </c>
      <c r="J848" s="2">
        <v>0.64</v>
      </c>
      <c r="K848" s="2">
        <v>0.84399999999999997</v>
      </c>
      <c r="L848" s="2">
        <v>1.351</v>
      </c>
      <c r="M848" s="2">
        <v>2.11</v>
      </c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</row>
    <row r="849" spans="1:51" x14ac:dyDescent="0.2">
      <c r="A849" s="4">
        <v>1995</v>
      </c>
      <c r="B849" s="2">
        <v>7.5999999999999998E-2</v>
      </c>
      <c r="C849" s="2">
        <v>0.11700000000000001</v>
      </c>
      <c r="D849" s="2">
        <v>0.14000000000000001</v>
      </c>
      <c r="E849" s="2">
        <v>0.191</v>
      </c>
      <c r="F849" s="2">
        <v>0.27</v>
      </c>
      <c r="G849" s="2">
        <v>0.35699999999999998</v>
      </c>
      <c r="H849" s="2">
        <v>0.434</v>
      </c>
      <c r="I849" s="2">
        <v>0.503</v>
      </c>
      <c r="J849" s="2">
        <v>0.57699999999999996</v>
      </c>
      <c r="K849" s="2">
        <v>0.68899999999999995</v>
      </c>
      <c r="L849" s="2">
        <v>1.089</v>
      </c>
      <c r="M849" s="2">
        <v>1.9790000000000001</v>
      </c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</row>
    <row r="850" spans="1:51" x14ac:dyDescent="0.2">
      <c r="A850" s="4">
        <v>1996</v>
      </c>
      <c r="B850" s="2">
        <v>0.1</v>
      </c>
      <c r="C850" s="2">
        <v>0.124</v>
      </c>
      <c r="D850" s="2">
        <v>0.159</v>
      </c>
      <c r="E850" s="2">
        <v>0.19700000000000001</v>
      </c>
      <c r="F850" s="2">
        <v>0.23300000000000001</v>
      </c>
      <c r="G850" s="2">
        <v>0.34200000000000003</v>
      </c>
      <c r="H850" s="2">
        <v>0.44400000000000001</v>
      </c>
      <c r="I850" s="2">
        <v>0.51200000000000001</v>
      </c>
      <c r="J850" s="2">
        <v>0.58799999999999997</v>
      </c>
      <c r="K850" s="2">
        <v>0.75</v>
      </c>
      <c r="L850" s="2">
        <v>1.012</v>
      </c>
      <c r="M850" s="2">
        <v>1.3720000000000001</v>
      </c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</row>
    <row r="851" spans="1:51" x14ac:dyDescent="0.2">
      <c r="A851" s="4">
        <v>1997</v>
      </c>
      <c r="B851" s="2">
        <v>5.1999999999999998E-2</v>
      </c>
      <c r="C851" s="2">
        <v>0.10299999999999999</v>
      </c>
      <c r="D851" s="2">
        <v>0.22</v>
      </c>
      <c r="E851" s="2">
        <v>0.24099999999999999</v>
      </c>
      <c r="F851" s="2">
        <v>0.27800000000000002</v>
      </c>
      <c r="G851" s="2">
        <v>0.33900000000000002</v>
      </c>
      <c r="H851" s="2">
        <v>0.46700000000000003</v>
      </c>
      <c r="I851" s="2">
        <v>0.58499999999999996</v>
      </c>
      <c r="J851" s="2">
        <v>0.70199999999999996</v>
      </c>
      <c r="K851" s="2">
        <v>0.77900000000000003</v>
      </c>
      <c r="L851" s="2">
        <v>0.88</v>
      </c>
      <c r="M851" s="2">
        <v>1.538</v>
      </c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</row>
    <row r="852" spans="1:51" x14ac:dyDescent="0.2">
      <c r="A852" s="4">
        <v>1998</v>
      </c>
      <c r="B852" s="2">
        <v>6.4000000000000001E-2</v>
      </c>
      <c r="C852" s="2">
        <v>9.0999999999999998E-2</v>
      </c>
      <c r="D852" s="2">
        <v>0.153</v>
      </c>
      <c r="E852" s="2">
        <v>0.26400000000000001</v>
      </c>
      <c r="F852" s="2">
        <v>0.309</v>
      </c>
      <c r="G852" s="2">
        <v>0.373</v>
      </c>
      <c r="H852" s="2">
        <v>0.46100000000000002</v>
      </c>
      <c r="I852" s="2">
        <v>0.58199999999999996</v>
      </c>
      <c r="J852" s="2">
        <v>0.69399999999999995</v>
      </c>
      <c r="K852" s="2">
        <v>0.83499999999999996</v>
      </c>
      <c r="L852" s="2">
        <v>0.97</v>
      </c>
      <c r="M852" s="2">
        <v>1.5980000000000001</v>
      </c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</row>
    <row r="853" spans="1:51" x14ac:dyDescent="0.2">
      <c r="A853" s="4">
        <v>1999</v>
      </c>
      <c r="B853" s="2">
        <v>3.6999999999999998E-2</v>
      </c>
      <c r="C853" s="2">
        <v>0.106</v>
      </c>
      <c r="D853" s="2">
        <v>0.13200000000000001</v>
      </c>
      <c r="E853" s="2">
        <v>0.186</v>
      </c>
      <c r="F853" s="2">
        <v>0.27100000000000002</v>
      </c>
      <c r="G853" s="2">
        <v>0.38100000000000001</v>
      </c>
      <c r="H853" s="2">
        <v>0.45100000000000001</v>
      </c>
      <c r="I853" s="2">
        <v>0.54200000000000004</v>
      </c>
      <c r="J853" s="2">
        <v>0.66700000000000004</v>
      </c>
      <c r="K853" s="2">
        <v>0.78700000000000003</v>
      </c>
      <c r="L853" s="2">
        <v>0.90100000000000002</v>
      </c>
      <c r="M853" s="2">
        <v>1.0529999999999999</v>
      </c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</row>
    <row r="854" spans="1:51" x14ac:dyDescent="0.2">
      <c r="A854" s="4">
        <v>2000</v>
      </c>
      <c r="B854" s="2">
        <v>6.3E-2</v>
      </c>
      <c r="C854" s="2">
        <v>8.3000000000000004E-2</v>
      </c>
      <c r="D854" s="2">
        <v>0.11799999999999999</v>
      </c>
      <c r="E854" s="2">
        <v>0.17699999999999999</v>
      </c>
      <c r="F854" s="2">
        <v>0.23899999999999999</v>
      </c>
      <c r="G854" s="2">
        <v>0.27500000000000002</v>
      </c>
      <c r="H854" s="2">
        <v>0.40899999999999997</v>
      </c>
      <c r="I854" s="2">
        <v>0.52400000000000002</v>
      </c>
      <c r="J854" s="2">
        <v>0.59399999999999997</v>
      </c>
      <c r="K854" s="2">
        <v>0.70899999999999996</v>
      </c>
      <c r="L854" s="2">
        <v>0.85099999999999998</v>
      </c>
      <c r="M854" s="2">
        <v>1.046</v>
      </c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</row>
    <row r="855" spans="1:51" x14ac:dyDescent="0.2">
      <c r="A855" s="4">
        <v>2001</v>
      </c>
      <c r="B855" s="2">
        <v>1.0999999999999999E-2</v>
      </c>
      <c r="C855" s="2">
        <v>8.8999999999999996E-2</v>
      </c>
      <c r="D855" s="2">
        <v>0.121</v>
      </c>
      <c r="E855" s="2">
        <v>0.18099999999999999</v>
      </c>
      <c r="F855" s="2">
        <v>0.246</v>
      </c>
      <c r="G855" s="2">
        <v>0.32</v>
      </c>
      <c r="H855" s="2">
        <v>0.40799999999999997</v>
      </c>
      <c r="I855" s="2">
        <v>0.57899999999999996</v>
      </c>
      <c r="J855" s="2">
        <v>0.71899999999999997</v>
      </c>
      <c r="K855" s="2">
        <v>0.85299999999999998</v>
      </c>
      <c r="L855" s="2">
        <v>0.96499999999999997</v>
      </c>
      <c r="M855" s="2">
        <v>1.1739999999999999</v>
      </c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</row>
    <row r="856" spans="1:51" x14ac:dyDescent="0.2">
      <c r="A856" s="4">
        <v>2002</v>
      </c>
      <c r="B856" s="2">
        <v>4.1000000000000002E-2</v>
      </c>
      <c r="C856" s="2">
        <v>8.4000000000000005E-2</v>
      </c>
      <c r="D856" s="2">
        <v>0.112</v>
      </c>
      <c r="E856" s="2">
        <v>0.224</v>
      </c>
      <c r="F856" s="2">
        <v>0.27</v>
      </c>
      <c r="G856" s="2">
        <v>0.33600000000000002</v>
      </c>
      <c r="H856" s="2">
        <v>0.46200000000000002</v>
      </c>
      <c r="I856" s="2">
        <v>0.64300000000000002</v>
      </c>
      <c r="J856" s="2">
        <v>0.80800000000000005</v>
      </c>
      <c r="K856" s="2">
        <v>0.86799999999999999</v>
      </c>
      <c r="L856" s="2">
        <v>1.0580000000000001</v>
      </c>
      <c r="M856" s="2">
        <v>1.421</v>
      </c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</row>
    <row r="857" spans="1:51" x14ac:dyDescent="0.2">
      <c r="A857" s="4">
        <v>2003</v>
      </c>
      <c r="B857" s="2">
        <v>7.0000000000000007E-2</v>
      </c>
      <c r="C857" s="2">
        <v>9.8000000000000004E-2</v>
      </c>
      <c r="D857" s="2">
        <v>0.14499999999999999</v>
      </c>
      <c r="E857" s="2">
        <v>0.192</v>
      </c>
      <c r="F857" s="2">
        <v>0.27</v>
      </c>
      <c r="G857" s="2">
        <v>0.34</v>
      </c>
      <c r="H857" s="2">
        <v>0.42899999999999999</v>
      </c>
      <c r="I857" s="2">
        <v>0.57699999999999996</v>
      </c>
      <c r="J857" s="2">
        <v>0.80700000000000005</v>
      </c>
      <c r="K857" s="2">
        <v>0.96499999999999997</v>
      </c>
      <c r="L857" s="2">
        <v>1.115</v>
      </c>
      <c r="M857" s="2">
        <v>1.367</v>
      </c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</row>
    <row r="858" spans="1:51" x14ac:dyDescent="0.2">
      <c r="A858" s="4">
        <v>2004</v>
      </c>
      <c r="B858" s="2">
        <v>6.0999999999999999E-2</v>
      </c>
      <c r="C858" s="2">
        <v>9.1999999999999998E-2</v>
      </c>
      <c r="D858" s="2">
        <v>0.151</v>
      </c>
      <c r="E858" s="2">
        <v>0.191</v>
      </c>
      <c r="F858" s="2">
        <v>0.28000000000000003</v>
      </c>
      <c r="G858" s="2">
        <v>0.35199999999999998</v>
      </c>
      <c r="H858" s="2">
        <v>0.52400000000000002</v>
      </c>
      <c r="I858" s="2">
        <v>0.68300000000000005</v>
      </c>
      <c r="J858" s="2">
        <v>0.94499999999999995</v>
      </c>
      <c r="K858" s="2">
        <v>1.216</v>
      </c>
      <c r="L858" s="2">
        <v>1.4259999999999999</v>
      </c>
      <c r="M858" s="2">
        <v>1.4770000000000001</v>
      </c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</row>
    <row r="859" spans="1:51" x14ac:dyDescent="0.2">
      <c r="A859" s="4">
        <v>2005</v>
      </c>
      <c r="B859" s="2">
        <v>0.104</v>
      </c>
      <c r="C859" s="2">
        <v>0.106</v>
      </c>
      <c r="D859" s="2">
        <v>0.14599999999999999</v>
      </c>
      <c r="E859" s="2">
        <v>0.20100000000000001</v>
      </c>
      <c r="F859" s="2">
        <v>0.26</v>
      </c>
      <c r="G859" s="2">
        <v>0.35499999999999998</v>
      </c>
      <c r="H859" s="2">
        <v>0.495</v>
      </c>
      <c r="I859" s="2">
        <v>0.68300000000000005</v>
      </c>
      <c r="J859" s="2">
        <v>0.88400000000000001</v>
      </c>
      <c r="K859" s="2">
        <v>1.0880000000000001</v>
      </c>
      <c r="L859" s="2">
        <v>1.4670000000000001</v>
      </c>
      <c r="M859" s="2">
        <v>1.647</v>
      </c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</row>
    <row r="860" spans="1:51" x14ac:dyDescent="0.2">
      <c r="A860" s="4">
        <v>2006</v>
      </c>
      <c r="B860" s="2">
        <v>8.4000000000000005E-2</v>
      </c>
      <c r="C860" s="2">
        <v>0.128</v>
      </c>
      <c r="D860" s="2">
        <v>0.13800000000000001</v>
      </c>
      <c r="E860" s="2">
        <v>0.17799999999999999</v>
      </c>
      <c r="F860" s="2">
        <v>0.248</v>
      </c>
      <c r="G860" s="2">
        <v>0.34</v>
      </c>
      <c r="H860" s="2">
        <v>0.54500000000000004</v>
      </c>
      <c r="I860" s="2">
        <v>0.80600000000000005</v>
      </c>
      <c r="J860" s="2">
        <v>1.0349999999999999</v>
      </c>
      <c r="K860" s="2">
        <v>1.246</v>
      </c>
      <c r="L860" s="2">
        <v>1.4119999999999999</v>
      </c>
      <c r="M860" s="2">
        <v>1.655</v>
      </c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</row>
    <row r="861" spans="1:51" x14ac:dyDescent="0.2">
      <c r="A861" s="4">
        <v>2007</v>
      </c>
      <c r="B861" s="2">
        <v>0.09</v>
      </c>
      <c r="C861" s="2">
        <v>0.109</v>
      </c>
      <c r="D861" s="2">
        <v>0.13400000000000001</v>
      </c>
      <c r="E861" s="2">
        <v>0.17399999999999999</v>
      </c>
      <c r="F861" s="2">
        <v>0.25</v>
      </c>
      <c r="G861" s="2">
        <v>0.33100000000000002</v>
      </c>
      <c r="H861" s="2">
        <v>0.46500000000000002</v>
      </c>
      <c r="I861" s="2">
        <v>0.74199999999999999</v>
      </c>
      <c r="J861" s="2">
        <v>1.0209999999999999</v>
      </c>
      <c r="K861" s="2">
        <v>1.258</v>
      </c>
      <c r="L861" s="2">
        <v>1.3759999999999999</v>
      </c>
      <c r="M861" s="2">
        <v>1.776</v>
      </c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</row>
    <row r="862" spans="1:51" x14ac:dyDescent="0.2">
      <c r="A862" s="4">
        <v>2008</v>
      </c>
      <c r="B862" s="2">
        <v>4.2999999999999997E-2</v>
      </c>
      <c r="C862" s="2">
        <v>6.4000000000000001E-2</v>
      </c>
      <c r="D862" s="2">
        <v>0.16300000000000001</v>
      </c>
      <c r="E862" s="2">
        <v>0.19600000000000001</v>
      </c>
      <c r="F862" s="2">
        <v>0.255</v>
      </c>
      <c r="G862" s="2">
        <v>0.34599999999999997</v>
      </c>
      <c r="H862" s="2">
        <v>0.46600000000000003</v>
      </c>
      <c r="I862" s="2">
        <v>0.75600000000000001</v>
      </c>
      <c r="J862" s="2">
        <v>0.999</v>
      </c>
      <c r="K862" s="2">
        <v>1.141</v>
      </c>
      <c r="L862" s="2">
        <v>1.228</v>
      </c>
      <c r="M862" s="2">
        <v>1.5629999999999999</v>
      </c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</row>
    <row r="863" spans="1:51" x14ac:dyDescent="0.2">
      <c r="A863" s="4">
        <v>2009</v>
      </c>
      <c r="B863" s="2">
        <v>6.6000000000000003E-2</v>
      </c>
      <c r="C863" s="2">
        <v>9.8000000000000004E-2</v>
      </c>
      <c r="D863" s="2">
        <v>0.122</v>
      </c>
      <c r="E863" s="2">
        <v>0.17899999999999999</v>
      </c>
      <c r="F863" s="2">
        <v>0.25800000000000001</v>
      </c>
      <c r="G863" s="2">
        <v>0.32500000000000001</v>
      </c>
      <c r="H863" s="2">
        <v>0.46100000000000002</v>
      </c>
      <c r="I863" s="2">
        <v>0.61399999999999999</v>
      </c>
      <c r="J863" s="2">
        <v>0.82799999999999996</v>
      </c>
      <c r="K863" s="2">
        <v>1.0740000000000001</v>
      </c>
      <c r="L863" s="2">
        <v>1.36</v>
      </c>
      <c r="M863" s="2">
        <v>1.671</v>
      </c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</row>
    <row r="864" spans="1:51" x14ac:dyDescent="0.2">
      <c r="A864" s="4">
        <v>2010</v>
      </c>
      <c r="B864" s="2">
        <v>3.1E-2</v>
      </c>
      <c r="C864" s="2">
        <v>7.3999999999999996E-2</v>
      </c>
      <c r="D864" s="2">
        <v>0.13</v>
      </c>
      <c r="E864" s="2">
        <v>0.2</v>
      </c>
      <c r="F864" s="2">
        <v>0.25700000000000001</v>
      </c>
      <c r="G864" s="2">
        <v>0.32900000000000001</v>
      </c>
      <c r="H864" s="2">
        <v>0.44500000000000001</v>
      </c>
      <c r="I864" s="2">
        <v>0.64500000000000002</v>
      </c>
      <c r="J864" s="2">
        <v>0.88300000000000001</v>
      </c>
      <c r="K864" s="2">
        <v>1.1020000000000001</v>
      </c>
      <c r="L864" s="2">
        <v>1.321</v>
      </c>
      <c r="M864" s="2">
        <v>1.649</v>
      </c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</row>
    <row r="865" spans="1:51" x14ac:dyDescent="0.2">
      <c r="A865" s="4">
        <v>2011</v>
      </c>
      <c r="B865" s="2">
        <v>3.5999999999999997E-2</v>
      </c>
      <c r="C865" s="2">
        <v>8.5999999999999993E-2</v>
      </c>
      <c r="D865" s="2">
        <v>0.11700000000000001</v>
      </c>
      <c r="E865" s="2">
        <v>0.186</v>
      </c>
      <c r="F865" s="2">
        <v>0.245</v>
      </c>
      <c r="G865" s="2">
        <v>0.307</v>
      </c>
      <c r="H865" s="2">
        <v>0.4</v>
      </c>
      <c r="I865" s="2">
        <v>0.56399999999999995</v>
      </c>
      <c r="J865" s="2">
        <v>0.76800000000000002</v>
      </c>
      <c r="K865" s="2">
        <v>1.0049999999999999</v>
      </c>
      <c r="L865" s="2">
        <v>1.2090000000000001</v>
      </c>
      <c r="M865" s="2">
        <v>1.5369999999999999</v>
      </c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</row>
    <row r="866" spans="1:51" x14ac:dyDescent="0.2">
      <c r="A866" s="4">
        <v>2012</v>
      </c>
      <c r="B866" s="2">
        <v>3.4000000000000002E-2</v>
      </c>
      <c r="C866" s="2">
        <v>0.08</v>
      </c>
      <c r="D866" s="2">
        <v>0.158</v>
      </c>
      <c r="E866" s="2">
        <v>0.193</v>
      </c>
      <c r="F866" s="2">
        <v>0.247</v>
      </c>
      <c r="G866" s="2">
        <v>0.307</v>
      </c>
      <c r="H866" s="2">
        <v>0.38700000000000001</v>
      </c>
      <c r="I866" s="2">
        <v>0.52800000000000002</v>
      </c>
      <c r="J866" s="2">
        <v>0.7</v>
      </c>
      <c r="K866" s="2">
        <v>0.89700000000000002</v>
      </c>
      <c r="L866" s="2">
        <v>1.087</v>
      </c>
      <c r="M866" s="2">
        <v>1.5409999999999999</v>
      </c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</row>
    <row r="867" spans="1:51" x14ac:dyDescent="0.2">
      <c r="A867" s="4">
        <v>2013</v>
      </c>
      <c r="B867" s="2">
        <v>2.9000000000000001E-2</v>
      </c>
      <c r="C867" s="2">
        <v>7.4999999999999997E-2</v>
      </c>
      <c r="D867" s="2">
        <v>0.113</v>
      </c>
      <c r="E867" s="2">
        <v>0.19600000000000001</v>
      </c>
      <c r="F867" s="2">
        <v>0.25900000000000001</v>
      </c>
      <c r="G867" s="2">
        <v>0.318</v>
      </c>
      <c r="H867" s="2">
        <v>0.39900000000000002</v>
      </c>
      <c r="I867" s="2">
        <v>0.51700000000000002</v>
      </c>
      <c r="J867" s="2">
        <v>0.64100000000000001</v>
      </c>
      <c r="K867" s="2">
        <v>0.76700000000000002</v>
      </c>
      <c r="L867" s="2">
        <v>0.91800000000000004</v>
      </c>
      <c r="M867" s="2">
        <v>1.296</v>
      </c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</row>
    <row r="868" spans="1:51" x14ac:dyDescent="0.2">
      <c r="A868" s="4">
        <v>2014</v>
      </c>
      <c r="B868" s="2">
        <v>3.3000000000000002E-2</v>
      </c>
      <c r="C868" s="2">
        <v>7.5999999999999998E-2</v>
      </c>
      <c r="D868" s="2">
        <v>0.11600000000000001</v>
      </c>
      <c r="E868" s="2">
        <v>0.14099999999999999</v>
      </c>
      <c r="F868" s="2">
        <v>0.26100000000000001</v>
      </c>
      <c r="G868" s="2">
        <v>0.35</v>
      </c>
      <c r="H868" s="2">
        <v>0.41899999999999998</v>
      </c>
      <c r="I868" s="2">
        <v>0.51600000000000001</v>
      </c>
      <c r="J868" s="2">
        <v>0.63100000000000001</v>
      </c>
      <c r="K868" s="2">
        <v>0.752</v>
      </c>
      <c r="L868" s="2">
        <v>0.92400000000000004</v>
      </c>
      <c r="M868" s="2">
        <v>1.2629999999999999</v>
      </c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</row>
    <row r="869" spans="1:51" x14ac:dyDescent="0.2">
      <c r="A869" s="4">
        <v>2015</v>
      </c>
      <c r="B869" s="2">
        <v>8.5999999999999993E-2</v>
      </c>
      <c r="C869" s="2">
        <v>7.3999999999999996E-2</v>
      </c>
      <c r="D869" s="2">
        <v>0.121</v>
      </c>
      <c r="E869" s="2">
        <v>0.17199999999999999</v>
      </c>
      <c r="F869" s="2">
        <v>0.22600000000000001</v>
      </c>
      <c r="G869" s="2">
        <v>0.33100000000000002</v>
      </c>
      <c r="H869" s="2">
        <v>0.43099999999999999</v>
      </c>
      <c r="I869" s="2">
        <v>0.51</v>
      </c>
      <c r="J869" s="2">
        <v>0.621</v>
      </c>
      <c r="K869" s="2">
        <v>0.75600000000000001</v>
      </c>
      <c r="L869" s="2">
        <v>0.90300000000000002</v>
      </c>
      <c r="M869" s="2">
        <v>1.177</v>
      </c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</row>
    <row r="870" spans="1:51" x14ac:dyDescent="0.2">
      <c r="A870" s="4">
        <v>2016</v>
      </c>
      <c r="B870" s="2">
        <v>3.5999999999999997E-2</v>
      </c>
      <c r="C870" s="2">
        <v>4.8000000000000001E-2</v>
      </c>
      <c r="D870" s="2">
        <v>6.9000000000000006E-2</v>
      </c>
      <c r="E870" s="2">
        <v>0.186</v>
      </c>
      <c r="F870" s="2">
        <v>0.254</v>
      </c>
      <c r="G870" s="2">
        <v>0.312</v>
      </c>
      <c r="H870" s="2">
        <v>0.41599999999999998</v>
      </c>
      <c r="I870" s="2">
        <v>0.51500000000000001</v>
      </c>
      <c r="J870" s="2">
        <v>0.60499999999999998</v>
      </c>
      <c r="K870" s="2">
        <v>0.71899999999999997</v>
      </c>
      <c r="L870" s="2">
        <v>0.86099999999999999</v>
      </c>
      <c r="M870" s="2">
        <v>1.1479999999999999</v>
      </c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</row>
    <row r="871" spans="1:51" x14ac:dyDescent="0.2">
      <c r="A871" s="4">
        <v>2017</v>
      </c>
      <c r="B871" s="2">
        <v>1.4E-2</v>
      </c>
      <c r="C871" s="2">
        <v>4.4999999999999998E-2</v>
      </c>
      <c r="D871" s="2">
        <v>0.109</v>
      </c>
      <c r="E871" s="2">
        <v>0.14199999999999999</v>
      </c>
      <c r="F871" s="2">
        <v>0.253</v>
      </c>
      <c r="G871" s="2">
        <v>0.33</v>
      </c>
      <c r="H871" s="2">
        <v>0.41099999999999998</v>
      </c>
      <c r="I871" s="2">
        <v>0.53200000000000003</v>
      </c>
      <c r="J871" s="2">
        <v>0.625</v>
      </c>
      <c r="K871" s="2">
        <v>0.76400000000000001</v>
      </c>
      <c r="L871" s="2">
        <v>0.88600000000000001</v>
      </c>
      <c r="M871" s="2">
        <v>1.1439999999999999</v>
      </c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</row>
    <row r="872" spans="1:51" x14ac:dyDescent="0.2">
      <c r="A872" s="4">
        <v>2018</v>
      </c>
      <c r="B872" s="2">
        <v>1.4E-2</v>
      </c>
      <c r="C872" s="2">
        <v>5.1999999999999998E-2</v>
      </c>
      <c r="D872" s="2">
        <v>0.10100000000000001</v>
      </c>
      <c r="E872" s="2">
        <v>0.17499999999999999</v>
      </c>
      <c r="F872" s="2">
        <v>0.23699999999999999</v>
      </c>
      <c r="G872" s="2">
        <v>0.313</v>
      </c>
      <c r="H872" s="2">
        <v>0.41499999999999998</v>
      </c>
      <c r="I872" s="2">
        <v>0.53900000000000003</v>
      </c>
      <c r="J872" s="2">
        <v>0.64900000000000002</v>
      </c>
      <c r="K872" s="2">
        <v>0.78700000000000003</v>
      </c>
      <c r="L872" s="2">
        <v>0.96399999999999997</v>
      </c>
      <c r="M872" s="2">
        <v>1.4730000000000001</v>
      </c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</row>
    <row r="873" spans="1:51" x14ac:dyDescent="0.2">
      <c r="A873" s="4">
        <v>2019</v>
      </c>
      <c r="B873" s="2">
        <v>1.9E-2</v>
      </c>
      <c r="C873" s="2">
        <v>6.7000000000000004E-2</v>
      </c>
      <c r="D873" s="2">
        <v>0.10100000000000001</v>
      </c>
      <c r="E873" s="2">
        <v>0.19</v>
      </c>
      <c r="F873" s="2">
        <v>0.28699999999999998</v>
      </c>
      <c r="G873" s="2">
        <v>0.35299999999999998</v>
      </c>
      <c r="H873" s="2">
        <v>0.46600000000000003</v>
      </c>
      <c r="I873" s="2">
        <v>0.61299999999999999</v>
      </c>
      <c r="J873" s="2">
        <v>0.77400000000000002</v>
      </c>
      <c r="K873" s="2">
        <v>0.92300000000000004</v>
      </c>
      <c r="L873" s="2">
        <v>1.173</v>
      </c>
      <c r="M873" s="2">
        <v>1.514</v>
      </c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</row>
    <row r="874" spans="1:51" x14ac:dyDescent="0.2">
      <c r="A874" s="4" t="s">
        <v>75</v>
      </c>
      <c r="B874" s="2">
        <v>7.0000000000000001E-3</v>
      </c>
      <c r="C874" s="2">
        <v>1.4E-2</v>
      </c>
      <c r="D874" s="2">
        <v>8.2000000000000003E-2</v>
      </c>
      <c r="E874" s="2">
        <v>0.20200000000000001</v>
      </c>
      <c r="F874" s="2">
        <v>0.26400000000000001</v>
      </c>
      <c r="G874" s="2">
        <v>0.35299999999999998</v>
      </c>
      <c r="H874" s="2">
        <v>0.47599999999999998</v>
      </c>
      <c r="I874" s="2">
        <v>0.55800000000000005</v>
      </c>
      <c r="J874" s="2">
        <v>0.71099999999999997</v>
      </c>
      <c r="K874" s="2">
        <v>0.91200000000000003</v>
      </c>
      <c r="L874" s="2">
        <v>1.1459999999999999</v>
      </c>
      <c r="M874" s="2">
        <v>1.6</v>
      </c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</row>
    <row r="875" spans="1:51" x14ac:dyDescent="0.2">
      <c r="A875" s="4">
        <v>1971</v>
      </c>
      <c r="B875" s="2">
        <v>5.1999999999999998E-2</v>
      </c>
      <c r="C875" s="2">
        <v>0.125</v>
      </c>
      <c r="D875" s="2">
        <v>0.26800000000000002</v>
      </c>
      <c r="E875" s="2">
        <v>0.26300000000000001</v>
      </c>
      <c r="F875" s="2">
        <v>0.31</v>
      </c>
      <c r="G875" s="2">
        <v>0.36199999999999999</v>
      </c>
      <c r="H875" s="2">
        <v>0.43099999999999999</v>
      </c>
      <c r="I875" s="2">
        <v>0.50700000000000001</v>
      </c>
      <c r="J875" s="2">
        <v>0.67800000000000005</v>
      </c>
      <c r="K875" s="2">
        <v>0.72599999999999998</v>
      </c>
      <c r="L875" s="2">
        <v>0.93600000000000005</v>
      </c>
      <c r="M875" s="2">
        <v>1.143</v>
      </c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</row>
    <row r="876" spans="1:51" x14ac:dyDescent="0.2">
      <c r="A876" s="4">
        <v>1972</v>
      </c>
      <c r="B876" s="2">
        <v>5.1999999999999998E-2</v>
      </c>
      <c r="C876" s="2">
        <v>9.2999999999999999E-2</v>
      </c>
      <c r="D876" s="2">
        <v>0.2171399</v>
      </c>
      <c r="E876" s="2">
        <v>0.266484</v>
      </c>
      <c r="F876" s="2">
        <v>0.37160189999999999</v>
      </c>
      <c r="G876" s="2">
        <v>0.46985529999999998</v>
      </c>
      <c r="H876" s="2">
        <v>0.60254890000000005</v>
      </c>
      <c r="I876" s="2">
        <v>0.64963400000000004</v>
      </c>
      <c r="J876" s="2">
        <v>0.74736329999999995</v>
      </c>
      <c r="K876" s="2">
        <v>0.7527412</v>
      </c>
      <c r="L876" s="2">
        <v>1.635556</v>
      </c>
      <c r="M876" s="2">
        <v>1.7204010000000001</v>
      </c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</row>
    <row r="877" spans="1:51" x14ac:dyDescent="0.2">
      <c r="A877" s="4">
        <v>1973</v>
      </c>
      <c r="B877" s="2">
        <v>5.1156334999999997E-2</v>
      </c>
      <c r="C877" s="2">
        <v>0.11269135700000001</v>
      </c>
      <c r="D877" s="2">
        <v>0.21576429</v>
      </c>
      <c r="E877" s="2">
        <v>0.276871653</v>
      </c>
      <c r="F877" s="2">
        <v>0.35855736100000002</v>
      </c>
      <c r="G877" s="2">
        <v>0.42754720400000001</v>
      </c>
      <c r="H877" s="2">
        <v>0.54448256900000003</v>
      </c>
      <c r="I877" s="2">
        <v>0.63244164300000005</v>
      </c>
      <c r="J877" s="2">
        <v>0.776859356</v>
      </c>
      <c r="K877" s="2">
        <v>0.83326121900000005</v>
      </c>
      <c r="L877" s="2">
        <v>1.3649336249999999</v>
      </c>
      <c r="M877" s="2">
        <v>1.457508185</v>
      </c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</row>
    <row r="878" spans="1:51" x14ac:dyDescent="0.2">
      <c r="A878" s="4">
        <v>1974</v>
      </c>
      <c r="B878" s="2">
        <v>5.0312669999999997E-2</v>
      </c>
      <c r="C878" s="2">
        <v>0.13238271300000001</v>
      </c>
      <c r="D878" s="2">
        <v>0.214388679</v>
      </c>
      <c r="E878" s="2">
        <v>0.28725930500000002</v>
      </c>
      <c r="F878" s="2">
        <v>0.34551282100000003</v>
      </c>
      <c r="G878" s="2">
        <v>0.385239108</v>
      </c>
      <c r="H878" s="2">
        <v>0.48641623699999997</v>
      </c>
      <c r="I878" s="2">
        <v>0.61524928499999998</v>
      </c>
      <c r="J878" s="2">
        <v>0.80635541200000005</v>
      </c>
      <c r="K878" s="2">
        <v>0.91378123700000002</v>
      </c>
      <c r="L878" s="2">
        <v>1.0943112500000001</v>
      </c>
      <c r="M878" s="2">
        <v>1.1946153690000001</v>
      </c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</row>
    <row r="879" spans="1:51" x14ac:dyDescent="0.2">
      <c r="A879" s="4">
        <v>1975</v>
      </c>
      <c r="B879" s="2">
        <v>5.6209082E-2</v>
      </c>
      <c r="C879" s="2">
        <v>9.3800479000000006E-2</v>
      </c>
      <c r="D879" s="2">
        <v>0.44480210399999998</v>
      </c>
      <c r="E879" s="2">
        <v>0.35272748100000001</v>
      </c>
      <c r="F879" s="2">
        <v>0.36919956399999998</v>
      </c>
      <c r="G879" s="2">
        <v>0.43705342400000002</v>
      </c>
      <c r="H879" s="2">
        <v>0.52465681099999995</v>
      </c>
      <c r="I879" s="2">
        <v>0.615550292</v>
      </c>
      <c r="J879" s="2">
        <v>0.65331058799999997</v>
      </c>
      <c r="K879" s="2">
        <v>0.83728944800000005</v>
      </c>
      <c r="L879" s="2">
        <v>1.0710033029999999</v>
      </c>
      <c r="M879" s="2">
        <v>1.1100000000000001</v>
      </c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</row>
    <row r="880" spans="1:51" x14ac:dyDescent="0.2">
      <c r="A880" s="4">
        <v>1976</v>
      </c>
      <c r="B880" s="2">
        <v>5.2840584000000003E-2</v>
      </c>
      <c r="C880" s="2">
        <v>0.106394397</v>
      </c>
      <c r="D880" s="2">
        <v>0.29211022800000003</v>
      </c>
      <c r="E880" s="2">
        <v>0.30215692900000002</v>
      </c>
      <c r="F880" s="2">
        <v>0.36210476200000002</v>
      </c>
      <c r="G880" s="2">
        <v>0.43071594400000002</v>
      </c>
      <c r="H880" s="2">
        <v>0.537873983</v>
      </c>
      <c r="I880" s="2">
        <v>0.62681119200000002</v>
      </c>
      <c r="J880" s="2">
        <v>0.73567643299999996</v>
      </c>
      <c r="K880" s="2">
        <v>0.83460396199999998</v>
      </c>
      <c r="L880" s="2">
        <v>1.266956851</v>
      </c>
      <c r="M880" s="2">
        <v>1.3416721229999999</v>
      </c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</row>
    <row r="881" spans="1:51" x14ac:dyDescent="0.2">
      <c r="A881" s="4">
        <v>1977</v>
      </c>
      <c r="B881" s="2">
        <v>0.12506348</v>
      </c>
      <c r="C881" s="2">
        <v>0.13132466000000001</v>
      </c>
      <c r="D881" s="2">
        <v>0.19282205899999999</v>
      </c>
      <c r="E881" s="2">
        <v>0.41565906000000002</v>
      </c>
      <c r="F881" s="2">
        <v>0.45121706</v>
      </c>
      <c r="G881" s="2">
        <v>0.61747255000000001</v>
      </c>
      <c r="H881" s="2">
        <v>0.74027778</v>
      </c>
      <c r="I881" s="2">
        <v>0.80396975000000004</v>
      </c>
      <c r="J881" s="2">
        <v>0.96805231999999997</v>
      </c>
      <c r="K881" s="2">
        <v>1.03428853</v>
      </c>
      <c r="L881" s="2">
        <v>1.13204685</v>
      </c>
      <c r="M881" s="2">
        <v>1.16434818</v>
      </c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</row>
    <row r="882" spans="1:51" x14ac:dyDescent="0.2">
      <c r="A882" s="4">
        <v>1978</v>
      </c>
      <c r="B882" s="2">
        <v>0.12506348</v>
      </c>
      <c r="C882" s="2">
        <v>0.13132466000000001</v>
      </c>
      <c r="D882" s="2">
        <v>0.19282205899999999</v>
      </c>
      <c r="E882" s="2">
        <v>0.41565906000000002</v>
      </c>
      <c r="F882" s="2">
        <v>0.45121706</v>
      </c>
      <c r="G882" s="2">
        <v>0.61747255000000001</v>
      </c>
      <c r="H882" s="2">
        <v>0.74027778</v>
      </c>
      <c r="I882" s="2">
        <v>0.80396975000000004</v>
      </c>
      <c r="J882" s="2">
        <v>0.96805231999999997</v>
      </c>
      <c r="K882" s="2">
        <v>1.03428853</v>
      </c>
      <c r="L882" s="2">
        <v>1.13204685</v>
      </c>
      <c r="M882" s="2">
        <v>1.16434818</v>
      </c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</row>
    <row r="883" spans="1:51" x14ac:dyDescent="0.2">
      <c r="A883" s="4">
        <v>1979</v>
      </c>
      <c r="B883" s="2" t="s">
        <v>76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</row>
    <row r="884" spans="1:51" x14ac:dyDescent="0.2">
      <c r="A884" s="4">
        <v>1980</v>
      </c>
      <c r="B884" s="2">
        <v>10.5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</row>
    <row r="885" spans="1:51" x14ac:dyDescent="0.2">
      <c r="A885" s="4">
        <v>1981</v>
      </c>
      <c r="B885" s="2" t="s">
        <v>77</v>
      </c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</row>
    <row r="886" spans="1:51" x14ac:dyDescent="0.2">
      <c r="A886" s="4">
        <v>1982</v>
      </c>
      <c r="B886" s="2">
        <v>1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</row>
    <row r="887" spans="1:51" x14ac:dyDescent="0.2">
      <c r="A887" s="4">
        <v>1983</v>
      </c>
      <c r="B887" s="2">
        <v>0</v>
      </c>
      <c r="C887" s="2">
        <v>0.76249999999999996</v>
      </c>
      <c r="D887" s="2">
        <v>0.24399999999999999</v>
      </c>
      <c r="E887" s="2">
        <v>2.1700000000000001E-2</v>
      </c>
      <c r="F887" s="5">
        <v>5.0000000000000001E-4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</row>
    <row r="888" spans="1:51" x14ac:dyDescent="0.2">
      <c r="A888" s="4">
        <v>1984</v>
      </c>
      <c r="B888" s="2">
        <v>0</v>
      </c>
      <c r="C888" s="2">
        <v>0.2215</v>
      </c>
      <c r="D888" s="2">
        <v>0.51170000000000004</v>
      </c>
      <c r="E888" s="2">
        <v>0.22900000000000001</v>
      </c>
      <c r="F888" s="2">
        <v>2.4299999999999999E-2</v>
      </c>
      <c r="G888" s="5">
        <v>6.9999999999999999E-4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</row>
    <row r="889" spans="1:51" x14ac:dyDescent="0.2">
      <c r="A889" s="4">
        <v>1985</v>
      </c>
      <c r="B889" s="2">
        <v>0</v>
      </c>
      <c r="C889" s="2">
        <v>1.5900000000000001E-2</v>
      </c>
      <c r="D889" s="2">
        <v>0.2253</v>
      </c>
      <c r="E889" s="2">
        <v>0.49909999999999999</v>
      </c>
      <c r="F889" s="2">
        <v>0.23200000000000001</v>
      </c>
      <c r="G889" s="2">
        <v>2.7400000000000001E-2</v>
      </c>
      <c r="H889" s="2">
        <v>1E-3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</row>
    <row r="890" spans="1:51" x14ac:dyDescent="0.2">
      <c r="A890" s="4">
        <v>1986</v>
      </c>
      <c r="B890" s="2">
        <v>0</v>
      </c>
      <c r="C890" s="5">
        <v>2.0000000000000001E-4</v>
      </c>
      <c r="D890" s="2">
        <v>1.8499999999999999E-2</v>
      </c>
      <c r="E890" s="2">
        <v>0.22869999999999999</v>
      </c>
      <c r="F890" s="2">
        <v>0.48699999999999999</v>
      </c>
      <c r="G890" s="2">
        <v>0.23400000000000001</v>
      </c>
      <c r="H890" s="2">
        <v>3.0599999999999999E-2</v>
      </c>
      <c r="I890" s="2">
        <v>1.2999999999999999E-3</v>
      </c>
      <c r="J890" s="2">
        <v>0</v>
      </c>
      <c r="K890" s="2">
        <v>0</v>
      </c>
      <c r="L890" s="2">
        <v>0</v>
      </c>
      <c r="M890" s="2">
        <v>0</v>
      </c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</row>
    <row r="891" spans="1:51" x14ac:dyDescent="0.2">
      <c r="A891" s="4">
        <v>1987</v>
      </c>
      <c r="B891" s="2">
        <v>0</v>
      </c>
      <c r="C891" s="2">
        <v>0</v>
      </c>
      <c r="D891" s="5">
        <v>2.9999999999999997E-4</v>
      </c>
      <c r="E891" s="2">
        <v>2.1299999999999999E-2</v>
      </c>
      <c r="F891" s="2">
        <v>0.2316</v>
      </c>
      <c r="G891" s="2">
        <v>0.47549999999999998</v>
      </c>
      <c r="H891" s="2">
        <v>0.23599999999999999</v>
      </c>
      <c r="I891" s="2">
        <v>3.3799999999999997E-2</v>
      </c>
      <c r="J891" s="2">
        <v>1.6000000000000001E-3</v>
      </c>
      <c r="K891" s="2">
        <v>0</v>
      </c>
      <c r="L891" s="2">
        <v>0</v>
      </c>
      <c r="M891" s="2">
        <v>0</v>
      </c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</row>
    <row r="892" spans="1:51" x14ac:dyDescent="0.2">
      <c r="A892" s="4">
        <v>1988</v>
      </c>
      <c r="B892" s="2">
        <v>0</v>
      </c>
      <c r="C892" s="2">
        <v>0</v>
      </c>
      <c r="D892" s="2">
        <v>0</v>
      </c>
      <c r="E892" s="5">
        <v>4.0000000000000002E-4</v>
      </c>
      <c r="F892" s="2">
        <v>2.4299999999999999E-2</v>
      </c>
      <c r="G892" s="2">
        <v>0.2341</v>
      </c>
      <c r="H892" s="2">
        <v>0.46439999999999998</v>
      </c>
      <c r="I892" s="2">
        <v>0.23799999999999999</v>
      </c>
      <c r="J892" s="2">
        <v>3.7199999999999997E-2</v>
      </c>
      <c r="K892" s="2">
        <v>2E-3</v>
      </c>
      <c r="L892" s="2">
        <v>0</v>
      </c>
      <c r="M892" s="2">
        <v>0</v>
      </c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</row>
    <row r="893" spans="1:51" x14ac:dyDescent="0.2">
      <c r="A893" s="4">
        <v>1989</v>
      </c>
      <c r="B893" s="2">
        <v>0</v>
      </c>
      <c r="C893" s="2">
        <v>0</v>
      </c>
      <c r="D893" s="2">
        <v>0</v>
      </c>
      <c r="E893" s="2">
        <v>0</v>
      </c>
      <c r="F893" s="5">
        <v>5.0000000000000001E-4</v>
      </c>
      <c r="G893" s="2">
        <v>2.7400000000000001E-2</v>
      </c>
      <c r="H893" s="2">
        <v>0.23619999999999999</v>
      </c>
      <c r="I893" s="2">
        <v>0.45379999999999998</v>
      </c>
      <c r="J893" s="2">
        <v>0.2394</v>
      </c>
      <c r="K893" s="2">
        <v>4.0500000000000001E-2</v>
      </c>
      <c r="L893" s="2">
        <v>2.5000000000000001E-3</v>
      </c>
      <c r="M893" s="5">
        <v>1E-4</v>
      </c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</row>
    <row r="894" spans="1:51" x14ac:dyDescent="0.2">
      <c r="A894" s="4">
        <v>1990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5">
        <v>6.9999999999999999E-4</v>
      </c>
      <c r="H894" s="2">
        <v>3.0599999999999999E-2</v>
      </c>
      <c r="I894" s="2">
        <v>0.23799999999999999</v>
      </c>
      <c r="J894" s="2">
        <v>0.44359999999999999</v>
      </c>
      <c r="K894" s="2">
        <v>0.24049999999999999</v>
      </c>
      <c r="L894" s="2">
        <v>4.3900000000000002E-2</v>
      </c>
      <c r="M894" s="2">
        <v>3.0999999999999999E-3</v>
      </c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</row>
    <row r="895" spans="1:51" x14ac:dyDescent="0.2">
      <c r="A895" s="4">
        <v>1991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1E-3</v>
      </c>
      <c r="I895" s="2">
        <v>3.3799999999999997E-2</v>
      </c>
      <c r="J895" s="2">
        <v>0.2394</v>
      </c>
      <c r="K895" s="2">
        <v>0.43390000000000001</v>
      </c>
      <c r="L895" s="2">
        <v>0.24129999999999999</v>
      </c>
      <c r="M895" s="2">
        <v>4.7300000000000002E-2</v>
      </c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</row>
    <row r="896" spans="1:51" x14ac:dyDescent="0.2">
      <c r="A896" s="4">
        <v>1992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1.2999999999999999E-3</v>
      </c>
      <c r="J896" s="2">
        <v>3.7199999999999997E-2</v>
      </c>
      <c r="K896" s="2">
        <v>0.24049999999999999</v>
      </c>
      <c r="L896" s="2">
        <v>0.42449999999999999</v>
      </c>
      <c r="M896" s="2">
        <v>0.24179999999999999</v>
      </c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</row>
    <row r="897" spans="1:51" x14ac:dyDescent="0.2">
      <c r="A897" s="4">
        <v>1993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1.6000000000000001E-3</v>
      </c>
      <c r="K897" s="2">
        <v>4.2599999999999999E-2</v>
      </c>
      <c r="L897" s="2">
        <v>0.28770000000000001</v>
      </c>
      <c r="M897" s="2">
        <v>0.70779999999999998</v>
      </c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</row>
    <row r="898" spans="1:51" x14ac:dyDescent="0.2">
      <c r="A898" s="4">
        <v>1994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</row>
    <row r="899" spans="1:51" x14ac:dyDescent="0.2">
      <c r="A899" s="4">
        <v>1995</v>
      </c>
      <c r="B899" s="2">
        <v>7.0000000000000007E-2</v>
      </c>
      <c r="C899" s="2">
        <v>9.8000000000000004E-2</v>
      </c>
      <c r="D899" s="2">
        <v>0.14499999999999999</v>
      </c>
      <c r="E899" s="2">
        <v>0.192</v>
      </c>
      <c r="F899" s="2">
        <v>0.27</v>
      </c>
      <c r="G899" s="2">
        <v>0.34</v>
      </c>
      <c r="H899" s="2">
        <v>0.42899999999999999</v>
      </c>
      <c r="I899" s="2">
        <v>0.57699999999999996</v>
      </c>
      <c r="J899" s="2">
        <v>0.80700000000000005</v>
      </c>
      <c r="K899" s="2">
        <v>0.96499999999999997</v>
      </c>
      <c r="L899" s="2">
        <v>1.115</v>
      </c>
      <c r="M899" s="2">
        <v>1.367</v>
      </c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</row>
    <row r="900" spans="1:51" x14ac:dyDescent="0.2">
      <c r="A900" s="4">
        <v>1996</v>
      </c>
      <c r="B900" s="2">
        <v>6.0999999999999999E-2</v>
      </c>
      <c r="C900" s="2">
        <v>9.1999999999999998E-2</v>
      </c>
      <c r="D900" s="2">
        <v>0.151</v>
      </c>
      <c r="E900" s="2">
        <v>0.191</v>
      </c>
      <c r="F900" s="2">
        <v>0.28000000000000003</v>
      </c>
      <c r="G900" s="2">
        <v>0.35199999999999998</v>
      </c>
      <c r="H900" s="2">
        <v>0.52400000000000002</v>
      </c>
      <c r="I900" s="2">
        <v>0.68300000000000005</v>
      </c>
      <c r="J900" s="2">
        <v>0.94499999999999995</v>
      </c>
      <c r="K900" s="2">
        <v>1.216</v>
      </c>
      <c r="L900" s="2">
        <v>1.4259999999999999</v>
      </c>
      <c r="M900" s="2">
        <v>1.4770000000000001</v>
      </c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</row>
    <row r="901" spans="1:51" x14ac:dyDescent="0.2">
      <c r="A901" s="4">
        <v>1997</v>
      </c>
      <c r="B901" s="2">
        <v>0.104</v>
      </c>
      <c r="C901" s="2">
        <v>0.106</v>
      </c>
      <c r="D901" s="2">
        <v>0.14599999999999999</v>
      </c>
      <c r="E901" s="2">
        <v>0.20100000000000001</v>
      </c>
      <c r="F901" s="2">
        <v>0.26</v>
      </c>
      <c r="G901" s="2">
        <v>0.35499999999999998</v>
      </c>
      <c r="H901" s="2">
        <v>0.495</v>
      </c>
      <c r="I901" s="2">
        <v>0.68300000000000005</v>
      </c>
      <c r="J901" s="2">
        <v>0.88400000000000001</v>
      </c>
      <c r="K901" s="2">
        <v>1.0880000000000001</v>
      </c>
      <c r="L901" s="2">
        <v>1.4670000000000001</v>
      </c>
      <c r="M901" s="2">
        <v>1.647</v>
      </c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</row>
    <row r="902" spans="1:51" x14ac:dyDescent="0.2">
      <c r="A902" s="4">
        <v>1998</v>
      </c>
      <c r="B902" s="2">
        <v>8.4000000000000005E-2</v>
      </c>
      <c r="C902" s="2">
        <v>0.128</v>
      </c>
      <c r="D902" s="2">
        <v>0.13800000000000001</v>
      </c>
      <c r="E902" s="2">
        <v>0.17799999999999999</v>
      </c>
      <c r="F902" s="2">
        <v>0.248</v>
      </c>
      <c r="G902" s="2">
        <v>0.34</v>
      </c>
      <c r="H902" s="2">
        <v>0.54500000000000004</v>
      </c>
      <c r="I902" s="2">
        <v>0.80600000000000005</v>
      </c>
      <c r="J902" s="2">
        <v>1.0349999999999999</v>
      </c>
      <c r="K902" s="2">
        <v>1.246</v>
      </c>
      <c r="L902" s="2">
        <v>1.4119999999999999</v>
      </c>
      <c r="M902" s="2">
        <v>1.655</v>
      </c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</row>
    <row r="903" spans="1:51" x14ac:dyDescent="0.2">
      <c r="A903" s="4">
        <v>1999</v>
      </c>
      <c r="B903" s="2">
        <v>0.09</v>
      </c>
      <c r="C903" s="2">
        <v>0.109</v>
      </c>
      <c r="D903" s="2">
        <v>0.13400000000000001</v>
      </c>
      <c r="E903" s="2">
        <v>0.17399999999999999</v>
      </c>
      <c r="F903" s="2">
        <v>0.25</v>
      </c>
      <c r="G903" s="2">
        <v>0.33100000000000002</v>
      </c>
      <c r="H903" s="2">
        <v>0.46500000000000002</v>
      </c>
      <c r="I903" s="2">
        <v>0.74199999999999999</v>
      </c>
      <c r="J903" s="2">
        <v>1.0209999999999999</v>
      </c>
      <c r="K903" s="2">
        <v>1.258</v>
      </c>
      <c r="L903" s="2">
        <v>1.3759999999999999</v>
      </c>
      <c r="M903" s="2">
        <v>1.776</v>
      </c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</row>
    <row r="904" spans="1:51" x14ac:dyDescent="0.2">
      <c r="A904" s="4">
        <v>2000</v>
      </c>
      <c r="B904" s="2">
        <v>4.2999999999999997E-2</v>
      </c>
      <c r="C904" s="2">
        <v>6.4000000000000001E-2</v>
      </c>
      <c r="D904" s="2">
        <v>0.16300000000000001</v>
      </c>
      <c r="E904" s="2">
        <v>0.19600000000000001</v>
      </c>
      <c r="F904" s="2">
        <v>0.255</v>
      </c>
      <c r="G904" s="2">
        <v>0.34599999999999997</v>
      </c>
      <c r="H904" s="2">
        <v>0.46600000000000003</v>
      </c>
      <c r="I904" s="2">
        <v>0.75600000000000001</v>
      </c>
      <c r="J904" s="2">
        <v>0.999</v>
      </c>
      <c r="K904" s="2">
        <v>1.141</v>
      </c>
      <c r="L904" s="2">
        <v>1.228</v>
      </c>
      <c r="M904" s="2">
        <v>1.5629999999999999</v>
      </c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</row>
    <row r="905" spans="1:51" x14ac:dyDescent="0.2">
      <c r="A905" s="4">
        <v>2001</v>
      </c>
      <c r="B905" s="2">
        <v>6.6000000000000003E-2</v>
      </c>
      <c r="C905" s="2">
        <v>9.8000000000000004E-2</v>
      </c>
      <c r="D905" s="2">
        <v>0.122</v>
      </c>
      <c r="E905" s="2">
        <v>0.17899999999999999</v>
      </c>
      <c r="F905" s="2">
        <v>0.25800000000000001</v>
      </c>
      <c r="G905" s="2">
        <v>0.32500000000000001</v>
      </c>
      <c r="H905" s="2">
        <v>0.46100000000000002</v>
      </c>
      <c r="I905" s="2">
        <v>0.61399999999999999</v>
      </c>
      <c r="J905" s="2">
        <v>0.82799999999999996</v>
      </c>
      <c r="K905" s="2">
        <v>1.0740000000000001</v>
      </c>
      <c r="L905" s="2">
        <v>1.36</v>
      </c>
      <c r="M905" s="2">
        <v>1.671</v>
      </c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</row>
    <row r="906" spans="1:51" x14ac:dyDescent="0.2">
      <c r="A906" s="4">
        <v>2002</v>
      </c>
      <c r="B906" s="2">
        <v>3.1E-2</v>
      </c>
      <c r="C906" s="2">
        <v>7.3999999999999996E-2</v>
      </c>
      <c r="D906" s="2">
        <v>0.13</v>
      </c>
      <c r="E906" s="2">
        <v>0.2</v>
      </c>
      <c r="F906" s="2">
        <v>0.25700000000000001</v>
      </c>
      <c r="G906" s="2">
        <v>0.32900000000000001</v>
      </c>
      <c r="H906" s="2">
        <v>0.44500000000000001</v>
      </c>
      <c r="I906" s="2">
        <v>0.64500000000000002</v>
      </c>
      <c r="J906" s="2">
        <v>0.88300000000000001</v>
      </c>
      <c r="K906" s="2">
        <v>1.1020000000000001</v>
      </c>
      <c r="L906" s="2">
        <v>1.321</v>
      </c>
      <c r="M906" s="2">
        <v>1.649</v>
      </c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</row>
    <row r="907" spans="1:51" x14ac:dyDescent="0.2">
      <c r="A907" s="4">
        <v>2003</v>
      </c>
      <c r="B907" s="2">
        <v>3.5999999999999997E-2</v>
      </c>
      <c r="C907" s="2">
        <v>8.5999999999999993E-2</v>
      </c>
      <c r="D907" s="2">
        <v>0.11700000000000001</v>
      </c>
      <c r="E907" s="2">
        <v>0.186</v>
      </c>
      <c r="F907" s="2">
        <v>0.245</v>
      </c>
      <c r="G907" s="2">
        <v>0.307</v>
      </c>
      <c r="H907" s="2">
        <v>0.4</v>
      </c>
      <c r="I907" s="2">
        <v>0.56399999999999995</v>
      </c>
      <c r="J907" s="2">
        <v>0.76800000000000002</v>
      </c>
      <c r="K907" s="2">
        <v>1.0049999999999999</v>
      </c>
      <c r="L907" s="2">
        <v>1.2090000000000001</v>
      </c>
      <c r="M907" s="2">
        <v>1.5369999999999999</v>
      </c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</row>
    <row r="908" spans="1:51" x14ac:dyDescent="0.2">
      <c r="A908" s="4">
        <v>2004</v>
      </c>
      <c r="B908" s="2">
        <v>3.4000000000000002E-2</v>
      </c>
      <c r="C908" s="2">
        <v>0.08</v>
      </c>
      <c r="D908" s="2">
        <v>0.158</v>
      </c>
      <c r="E908" s="2">
        <v>0.193</v>
      </c>
      <c r="F908" s="2">
        <v>0.247</v>
      </c>
      <c r="G908" s="2">
        <v>0.307</v>
      </c>
      <c r="H908" s="2">
        <v>0.38700000000000001</v>
      </c>
      <c r="I908" s="2">
        <v>0.52800000000000002</v>
      </c>
      <c r="J908" s="2">
        <v>0.7</v>
      </c>
      <c r="K908" s="2">
        <v>0.89700000000000002</v>
      </c>
      <c r="L908" s="2">
        <v>1.087</v>
      </c>
      <c r="M908" s="2">
        <v>1.5409999999999999</v>
      </c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</row>
    <row r="909" spans="1:51" x14ac:dyDescent="0.2">
      <c r="A909" s="4">
        <v>2005</v>
      </c>
      <c r="B909" s="2">
        <v>2.9000000000000001E-2</v>
      </c>
      <c r="C909" s="2">
        <v>7.4999999999999997E-2</v>
      </c>
      <c r="D909" s="2">
        <v>0.113</v>
      </c>
      <c r="E909" s="2">
        <v>0.19600000000000001</v>
      </c>
      <c r="F909" s="2">
        <v>0.25900000000000001</v>
      </c>
      <c r="G909" s="2">
        <v>0.318</v>
      </c>
      <c r="H909" s="2">
        <v>0.39900000000000002</v>
      </c>
      <c r="I909" s="2">
        <v>0.51700000000000002</v>
      </c>
      <c r="J909" s="2">
        <v>0.64100000000000001</v>
      </c>
      <c r="K909" s="2">
        <v>0.76700000000000002</v>
      </c>
      <c r="L909" s="2">
        <v>0.91800000000000004</v>
      </c>
      <c r="M909" s="2">
        <v>1.296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</row>
    <row r="910" spans="1:51" x14ac:dyDescent="0.2">
      <c r="A910" s="4">
        <v>2006</v>
      </c>
      <c r="B910" s="2">
        <v>3.3000000000000002E-2</v>
      </c>
      <c r="C910" s="2">
        <v>7.5999999999999998E-2</v>
      </c>
      <c r="D910" s="2">
        <v>0.11600000000000001</v>
      </c>
      <c r="E910" s="2">
        <v>0.14099999999999999</v>
      </c>
      <c r="F910" s="2">
        <v>0.26100000000000001</v>
      </c>
      <c r="G910" s="2">
        <v>0.35</v>
      </c>
      <c r="H910" s="2">
        <v>0.41899999999999998</v>
      </c>
      <c r="I910" s="2">
        <v>0.51600000000000001</v>
      </c>
      <c r="J910" s="2">
        <v>0.63100000000000001</v>
      </c>
      <c r="K910" s="2">
        <v>0.752</v>
      </c>
      <c r="L910" s="2">
        <v>0.92400000000000004</v>
      </c>
      <c r="M910" s="2">
        <v>1.2629999999999999</v>
      </c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</row>
    <row r="911" spans="1:51" x14ac:dyDescent="0.2">
      <c r="A911" s="4">
        <v>2007</v>
      </c>
      <c r="B911" s="2">
        <v>8.5999999999999993E-2</v>
      </c>
      <c r="C911" s="2">
        <v>7.3999999999999996E-2</v>
      </c>
      <c r="D911" s="2">
        <v>0.121</v>
      </c>
      <c r="E911" s="2">
        <v>0.17199999999999999</v>
      </c>
      <c r="F911" s="2">
        <v>0.22600000000000001</v>
      </c>
      <c r="G911" s="2">
        <v>0.33100000000000002</v>
      </c>
      <c r="H911" s="2">
        <v>0.43099999999999999</v>
      </c>
      <c r="I911" s="2">
        <v>0.51</v>
      </c>
      <c r="J911" s="2">
        <v>0.621</v>
      </c>
      <c r="K911" s="2">
        <v>0.75600000000000001</v>
      </c>
      <c r="L911" s="2">
        <v>0.90300000000000002</v>
      </c>
      <c r="M911" s="2">
        <v>1.177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</row>
    <row r="912" spans="1:51" x14ac:dyDescent="0.2">
      <c r="A912" s="4">
        <v>2008</v>
      </c>
      <c r="B912" s="2">
        <v>3.5999999999999997E-2</v>
      </c>
      <c r="C912" s="2">
        <v>4.8000000000000001E-2</v>
      </c>
      <c r="D912" s="2">
        <v>6.9000000000000006E-2</v>
      </c>
      <c r="E912" s="2">
        <v>0.186</v>
      </c>
      <c r="F912" s="2">
        <v>0.254</v>
      </c>
      <c r="G912" s="2">
        <v>0.312</v>
      </c>
      <c r="H912" s="2">
        <v>0.41599999999999998</v>
      </c>
      <c r="I912" s="2">
        <v>0.51500000000000001</v>
      </c>
      <c r="J912" s="2">
        <v>0.60499999999999998</v>
      </c>
      <c r="K912" s="2">
        <v>0.71899999999999997</v>
      </c>
      <c r="L912" s="2">
        <v>0.86099999999999999</v>
      </c>
      <c r="M912" s="2">
        <v>1.1479999999999999</v>
      </c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</row>
    <row r="913" spans="1:51" x14ac:dyDescent="0.2">
      <c r="A913" s="4">
        <v>2009</v>
      </c>
      <c r="B913" s="2">
        <v>1.4E-2</v>
      </c>
      <c r="C913" s="2">
        <v>4.4999999999999998E-2</v>
      </c>
      <c r="D913" s="2">
        <v>0.109</v>
      </c>
      <c r="E913" s="2">
        <v>0.14199999999999999</v>
      </c>
      <c r="F913" s="2">
        <v>0.253</v>
      </c>
      <c r="G913" s="2">
        <v>0.33</v>
      </c>
      <c r="H913" s="2">
        <v>0.41099999999999998</v>
      </c>
      <c r="I913" s="2">
        <v>0.53200000000000003</v>
      </c>
      <c r="J913" s="2">
        <v>0.625</v>
      </c>
      <c r="K913" s="2">
        <v>0.76400000000000001</v>
      </c>
      <c r="L913" s="2">
        <v>0.88600000000000001</v>
      </c>
      <c r="M913" s="2">
        <v>1.1439999999999999</v>
      </c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</row>
    <row r="914" spans="1:51" x14ac:dyDescent="0.2">
      <c r="A914" s="4">
        <v>2010</v>
      </c>
      <c r="B914" s="2">
        <v>1.4E-2</v>
      </c>
      <c r="C914" s="2">
        <v>5.1999999999999998E-2</v>
      </c>
      <c r="D914" s="2">
        <v>0.10100000000000001</v>
      </c>
      <c r="E914" s="2">
        <v>0.17499999999999999</v>
      </c>
      <c r="F914" s="2">
        <v>0.23699999999999999</v>
      </c>
      <c r="G914" s="2">
        <v>0.313</v>
      </c>
      <c r="H914" s="2">
        <v>0.41499999999999998</v>
      </c>
      <c r="I914" s="2">
        <v>0.53900000000000003</v>
      </c>
      <c r="J914" s="2">
        <v>0.64900000000000002</v>
      </c>
      <c r="K914" s="2">
        <v>0.78700000000000003</v>
      </c>
      <c r="L914" s="2">
        <v>0.96399999999999997</v>
      </c>
      <c r="M914" s="2">
        <v>1.4730000000000001</v>
      </c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</row>
    <row r="915" spans="1:51" x14ac:dyDescent="0.2">
      <c r="A915" s="4">
        <v>2011</v>
      </c>
      <c r="B915" s="2">
        <v>1.9E-2</v>
      </c>
      <c r="C915" s="2">
        <v>6.7000000000000004E-2</v>
      </c>
      <c r="D915" s="2">
        <v>0.10100000000000001</v>
      </c>
      <c r="E915" s="2">
        <v>0.19</v>
      </c>
      <c r="F915" s="2">
        <v>0.28699999999999998</v>
      </c>
      <c r="G915" s="2">
        <v>0.35299999999999998</v>
      </c>
      <c r="H915" s="2">
        <v>0.46600000000000003</v>
      </c>
      <c r="I915" s="2">
        <v>0.61299999999999999</v>
      </c>
      <c r="J915" s="2">
        <v>0.77400000000000002</v>
      </c>
      <c r="K915" s="2">
        <v>0.92300000000000004</v>
      </c>
      <c r="L915" s="2">
        <v>1.173</v>
      </c>
      <c r="M915" s="2">
        <v>1.514</v>
      </c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</row>
    <row r="916" spans="1:51" x14ac:dyDescent="0.2">
      <c r="A916" s="4">
        <v>2012</v>
      </c>
      <c r="B916" s="2">
        <v>7.0000000000000001E-3</v>
      </c>
      <c r="C916" s="2">
        <v>1.4E-2</v>
      </c>
      <c r="D916" s="2">
        <v>8.2000000000000003E-2</v>
      </c>
      <c r="E916" s="2">
        <v>0.20200000000000001</v>
      </c>
      <c r="F916" s="2">
        <v>0.26400000000000001</v>
      </c>
      <c r="G916" s="2">
        <v>0.35299999999999998</v>
      </c>
      <c r="H916" s="2">
        <v>0.47599999999999998</v>
      </c>
      <c r="I916" s="2">
        <v>0.55800000000000005</v>
      </c>
      <c r="J916" s="2">
        <v>0.71099999999999997</v>
      </c>
      <c r="K916" s="2">
        <v>0.91200000000000003</v>
      </c>
      <c r="L916" s="2">
        <v>1.1459999999999999</v>
      </c>
      <c r="M916" s="2">
        <v>1.6</v>
      </c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</row>
    <row r="917" spans="1:51" x14ac:dyDescent="0.2">
      <c r="A917" s="4">
        <v>2013</v>
      </c>
      <c r="B917" s="2">
        <v>5.1999999999999998E-2</v>
      </c>
      <c r="C917" s="2">
        <v>0.125</v>
      </c>
      <c r="D917" s="2">
        <v>0.26800000000000002</v>
      </c>
      <c r="E917" s="2">
        <v>0.26300000000000001</v>
      </c>
      <c r="F917" s="2">
        <v>0.31</v>
      </c>
      <c r="G917" s="2">
        <v>0.36199999999999999</v>
      </c>
      <c r="H917" s="2">
        <v>0.43099999999999999</v>
      </c>
      <c r="I917" s="2">
        <v>0.50700000000000001</v>
      </c>
      <c r="J917" s="2">
        <v>0.67800000000000005</v>
      </c>
      <c r="K917" s="2">
        <v>0.72599999999999998</v>
      </c>
      <c r="L917" s="2">
        <v>0.93600000000000005</v>
      </c>
      <c r="M917" s="2">
        <v>1.143</v>
      </c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</row>
    <row r="918" spans="1:51" x14ac:dyDescent="0.2">
      <c r="A918" s="4">
        <v>2014</v>
      </c>
      <c r="B918" s="2">
        <v>5.1999999999999998E-2</v>
      </c>
      <c r="C918" s="2">
        <v>9.2999999999999999E-2</v>
      </c>
      <c r="D918" s="2">
        <v>0.2171399</v>
      </c>
      <c r="E918" s="2">
        <v>0.266484</v>
      </c>
      <c r="F918" s="2">
        <v>0.37160189999999999</v>
      </c>
      <c r="G918" s="2">
        <v>0.46985529999999998</v>
      </c>
      <c r="H918" s="2">
        <v>0.60254890000000005</v>
      </c>
      <c r="I918" s="2">
        <v>0.64963400000000004</v>
      </c>
      <c r="J918" s="2">
        <v>0.74736329999999995</v>
      </c>
      <c r="K918" s="2">
        <v>0.7527412</v>
      </c>
      <c r="L918" s="2">
        <v>1.635556</v>
      </c>
      <c r="M918" s="2">
        <v>1.7204010000000001</v>
      </c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</row>
    <row r="919" spans="1:51" x14ac:dyDescent="0.2">
      <c r="A919" s="4">
        <v>2015</v>
      </c>
      <c r="B919" s="2">
        <f>AVERAGE(B920,B918)</f>
        <v>5.1156334999999997E-2</v>
      </c>
      <c r="C919" s="2">
        <f t="shared" ref="C919:M919" si="0">AVERAGE(C920,C918)</f>
        <v>0.11269135650000001</v>
      </c>
      <c r="D919" s="2">
        <f t="shared" si="0"/>
        <v>0.21576428949999998</v>
      </c>
      <c r="E919" s="2">
        <f t="shared" si="0"/>
        <v>0.27687165250000001</v>
      </c>
      <c r="F919" s="2">
        <f t="shared" si="0"/>
        <v>0.35855736049999998</v>
      </c>
      <c r="G919" s="2">
        <f t="shared" si="0"/>
        <v>0.42754720400000001</v>
      </c>
      <c r="H919" s="2">
        <f t="shared" si="0"/>
        <v>0.54448256849999999</v>
      </c>
      <c r="I919" s="2">
        <f t="shared" si="0"/>
        <v>0.63244164250000001</v>
      </c>
      <c r="J919" s="2">
        <f t="shared" si="0"/>
        <v>0.776859356</v>
      </c>
      <c r="K919" s="2">
        <f t="shared" si="0"/>
        <v>0.83326121850000001</v>
      </c>
      <c r="L919" s="2">
        <f t="shared" si="0"/>
        <v>1.3649336249999999</v>
      </c>
      <c r="M919" s="2">
        <f t="shared" si="0"/>
        <v>1.4575081845</v>
      </c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</row>
    <row r="920" spans="1:51" x14ac:dyDescent="0.2">
      <c r="A920" s="4">
        <v>2016</v>
      </c>
      <c r="B920" s="2">
        <v>5.0312669999999997E-2</v>
      </c>
      <c r="C920" s="2">
        <v>0.13238271300000001</v>
      </c>
      <c r="D920" s="2">
        <v>0.214388679</v>
      </c>
      <c r="E920" s="2">
        <v>0.28725930500000002</v>
      </c>
      <c r="F920" s="2">
        <v>0.34551282100000003</v>
      </c>
      <c r="G920" s="2">
        <v>0.385239108</v>
      </c>
      <c r="H920" s="2">
        <v>0.48641623699999997</v>
      </c>
      <c r="I920" s="2">
        <v>0.61524928499999998</v>
      </c>
      <c r="J920" s="2">
        <v>0.80635541200000005</v>
      </c>
      <c r="K920" s="2">
        <v>0.91378123700000002</v>
      </c>
      <c r="L920" s="2">
        <v>1.0943112500000001</v>
      </c>
      <c r="M920" s="2">
        <v>1.1946153690000001</v>
      </c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</row>
    <row r="921" spans="1:51" x14ac:dyDescent="0.2">
      <c r="A921" s="4">
        <v>2017</v>
      </c>
      <c r="B921" s="2">
        <v>5.6209082E-2</v>
      </c>
      <c r="C921" s="2">
        <v>9.3800479000000006E-2</v>
      </c>
      <c r="D921" s="2">
        <v>0.44480210399999998</v>
      </c>
      <c r="E921" s="2">
        <v>0.35272748100000001</v>
      </c>
      <c r="F921" s="2">
        <v>0.36919956399999998</v>
      </c>
      <c r="G921" s="2">
        <v>0.43705342400000002</v>
      </c>
      <c r="H921" s="2">
        <v>0.52465681099999995</v>
      </c>
      <c r="I921" s="2">
        <v>0.615550292</v>
      </c>
      <c r="J921" s="2">
        <v>0.65331058799999997</v>
      </c>
      <c r="K921" s="2">
        <v>0.83728944800000005</v>
      </c>
      <c r="L921" s="2">
        <v>1.0710033029999999</v>
      </c>
      <c r="M921" s="2">
        <v>1.1100000000000001</v>
      </c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</row>
    <row r="922" spans="1:51" x14ac:dyDescent="0.2">
      <c r="A922" s="4">
        <v>2018</v>
      </c>
      <c r="B922" s="2">
        <f>AVERAGE(B918,B920:B921)</f>
        <v>5.2840583999999996E-2</v>
      </c>
      <c r="C922" s="2">
        <f t="shared" ref="C922:M922" si="1">AVERAGE(C918,C920:C921)</f>
        <v>0.10639439733333333</v>
      </c>
      <c r="D922" s="2">
        <f t="shared" si="1"/>
        <v>0.29211022766666667</v>
      </c>
      <c r="E922" s="2">
        <f t="shared" si="1"/>
        <v>0.30215692866666671</v>
      </c>
      <c r="F922" s="2">
        <f t="shared" si="1"/>
        <v>0.36210476166666661</v>
      </c>
      <c r="G922" s="2">
        <f t="shared" si="1"/>
        <v>0.43071594399999996</v>
      </c>
      <c r="H922" s="2">
        <f t="shared" si="1"/>
        <v>0.53787398266666664</v>
      </c>
      <c r="I922" s="2">
        <f t="shared" si="1"/>
        <v>0.62681119233333338</v>
      </c>
      <c r="J922" s="2">
        <f t="shared" si="1"/>
        <v>0.73567643333333332</v>
      </c>
      <c r="K922" s="2">
        <f t="shared" si="1"/>
        <v>0.83460396166666673</v>
      </c>
      <c r="L922" s="2">
        <f t="shared" si="1"/>
        <v>1.266956851</v>
      </c>
      <c r="M922" s="2">
        <f t="shared" si="1"/>
        <v>1.3416721230000002</v>
      </c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</row>
    <row r="923" spans="1:51" x14ac:dyDescent="0.2">
      <c r="A923" s="4">
        <v>2019</v>
      </c>
      <c r="B923" s="2">
        <f>AVERAGE(B918,B920:B921)</f>
        <v>5.2840583999999996E-2</v>
      </c>
      <c r="C923" s="2">
        <f t="shared" ref="C923:M923" si="2">AVERAGE(C918,C920:C921)</f>
        <v>0.10639439733333333</v>
      </c>
      <c r="D923" s="2">
        <f t="shared" si="2"/>
        <v>0.29211022766666667</v>
      </c>
      <c r="E923" s="2">
        <f t="shared" si="2"/>
        <v>0.30215692866666671</v>
      </c>
      <c r="F923" s="2">
        <f t="shared" si="2"/>
        <v>0.36210476166666661</v>
      </c>
      <c r="G923" s="2">
        <f t="shared" si="2"/>
        <v>0.43071594399999996</v>
      </c>
      <c r="H923" s="2">
        <f t="shared" si="2"/>
        <v>0.53787398266666664</v>
      </c>
      <c r="I923" s="2">
        <f t="shared" si="2"/>
        <v>0.62681119233333338</v>
      </c>
      <c r="J923" s="2">
        <f t="shared" si="2"/>
        <v>0.73567643333333332</v>
      </c>
      <c r="K923" s="2">
        <f t="shared" si="2"/>
        <v>0.83460396166666673</v>
      </c>
      <c r="L923" s="2">
        <f t="shared" si="2"/>
        <v>1.266956851</v>
      </c>
      <c r="M923" s="2">
        <f t="shared" si="2"/>
        <v>1.3416721230000002</v>
      </c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</row>
    <row r="924" spans="1:51" x14ac:dyDescent="0.2">
      <c r="A924" s="4"/>
      <c r="B924" s="2" t="s">
        <v>76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</row>
    <row r="925" spans="1:51" x14ac:dyDescent="0.2">
      <c r="A925" s="4"/>
      <c r="B925" s="2">
        <v>10.5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</row>
    <row r="926" spans="1:51" x14ac:dyDescent="0.2">
      <c r="A926" s="4"/>
      <c r="B926" s="2" t="s">
        <v>77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</row>
    <row r="927" spans="1:51" x14ac:dyDescent="0.2">
      <c r="A927" s="4"/>
      <c r="B927" s="2">
        <v>1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</row>
    <row r="928" spans="1:51" x14ac:dyDescent="0.2">
      <c r="A928" s="4"/>
      <c r="B928" s="2">
        <v>0</v>
      </c>
      <c r="C928" s="2">
        <v>0.76249999999999996</v>
      </c>
      <c r="D928" s="2">
        <v>0.24399999999999999</v>
      </c>
      <c r="E928" s="2">
        <v>2.1700000000000001E-2</v>
      </c>
      <c r="F928" s="5">
        <v>5.0000000000000001E-4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</row>
    <row r="929" spans="1:51" x14ac:dyDescent="0.2">
      <c r="A929" s="4"/>
      <c r="B929" s="2">
        <v>0</v>
      </c>
      <c r="C929" s="2">
        <v>0.2215</v>
      </c>
      <c r="D929" s="2">
        <v>0.51170000000000004</v>
      </c>
      <c r="E929" s="2">
        <v>0.22900000000000001</v>
      </c>
      <c r="F929" s="2">
        <v>2.4299999999999999E-2</v>
      </c>
      <c r="G929" s="5">
        <v>6.9999999999999999E-4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</row>
    <row r="930" spans="1:51" x14ac:dyDescent="0.2">
      <c r="A930" s="4"/>
      <c r="B930" s="2">
        <v>0</v>
      </c>
      <c r="C930" s="2">
        <v>1.5900000000000001E-2</v>
      </c>
      <c r="D930" s="2">
        <v>0.2253</v>
      </c>
      <c r="E930" s="2">
        <v>0.49909999999999999</v>
      </c>
      <c r="F930" s="2">
        <v>0.23200000000000001</v>
      </c>
      <c r="G930" s="2">
        <v>2.7400000000000001E-2</v>
      </c>
      <c r="H930" s="2">
        <v>1E-3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</row>
    <row r="931" spans="1:51" x14ac:dyDescent="0.2">
      <c r="A931" s="4"/>
      <c r="B931" s="2">
        <v>0</v>
      </c>
      <c r="C931" s="5">
        <v>2.0000000000000001E-4</v>
      </c>
      <c r="D931" s="2">
        <v>1.8499999999999999E-2</v>
      </c>
      <c r="E931" s="2">
        <v>0.22869999999999999</v>
      </c>
      <c r="F931" s="2">
        <v>0.48699999999999999</v>
      </c>
      <c r="G931" s="2">
        <v>0.23400000000000001</v>
      </c>
      <c r="H931" s="2">
        <v>3.0599999999999999E-2</v>
      </c>
      <c r="I931" s="2">
        <v>1.2999999999999999E-3</v>
      </c>
      <c r="J931" s="2">
        <v>0</v>
      </c>
      <c r="K931" s="2">
        <v>0</v>
      </c>
      <c r="L931" s="2">
        <v>0</v>
      </c>
      <c r="M931" s="2">
        <v>0</v>
      </c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</row>
    <row r="932" spans="1:51" x14ac:dyDescent="0.2">
      <c r="A932" s="4"/>
      <c r="B932" s="2">
        <v>0</v>
      </c>
      <c r="C932" s="2">
        <v>0</v>
      </c>
      <c r="D932" s="5">
        <v>2.9999999999999997E-4</v>
      </c>
      <c r="E932" s="2">
        <v>2.1299999999999999E-2</v>
      </c>
      <c r="F932" s="2">
        <v>0.2316</v>
      </c>
      <c r="G932" s="2">
        <v>0.47549999999999998</v>
      </c>
      <c r="H932" s="2">
        <v>0.23599999999999999</v>
      </c>
      <c r="I932" s="2">
        <v>3.3799999999999997E-2</v>
      </c>
      <c r="J932" s="2">
        <v>1.6000000000000001E-3</v>
      </c>
      <c r="K932" s="2">
        <v>0</v>
      </c>
      <c r="L932" s="2">
        <v>0</v>
      </c>
      <c r="M932" s="2">
        <v>0</v>
      </c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</row>
    <row r="933" spans="1:51" x14ac:dyDescent="0.2">
      <c r="A933" s="4"/>
      <c r="B933" s="2">
        <v>0</v>
      </c>
      <c r="C933" s="2">
        <v>0</v>
      </c>
      <c r="D933" s="2">
        <v>0</v>
      </c>
      <c r="E933" s="5">
        <v>4.0000000000000002E-4</v>
      </c>
      <c r="F933" s="2">
        <v>2.4299999999999999E-2</v>
      </c>
      <c r="G933" s="2">
        <v>0.2341</v>
      </c>
      <c r="H933" s="2">
        <v>0.46439999999999998</v>
      </c>
      <c r="I933" s="2">
        <v>0.23799999999999999</v>
      </c>
      <c r="J933" s="2">
        <v>3.7199999999999997E-2</v>
      </c>
      <c r="K933" s="2">
        <v>2E-3</v>
      </c>
      <c r="L933" s="2">
        <v>0</v>
      </c>
      <c r="M933" s="2">
        <v>0</v>
      </c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</row>
    <row r="934" spans="1:51" x14ac:dyDescent="0.2">
      <c r="A934" s="4"/>
      <c r="B934" s="2">
        <v>0</v>
      </c>
      <c r="C934" s="2">
        <v>0</v>
      </c>
      <c r="D934" s="2">
        <v>0</v>
      </c>
      <c r="E934" s="2">
        <v>0</v>
      </c>
      <c r="F934" s="5">
        <v>5.0000000000000001E-4</v>
      </c>
      <c r="G934" s="2">
        <v>2.7400000000000001E-2</v>
      </c>
      <c r="H934" s="2">
        <v>0.23619999999999999</v>
      </c>
      <c r="I934" s="2">
        <v>0.45379999999999998</v>
      </c>
      <c r="J934" s="2">
        <v>0.2394</v>
      </c>
      <c r="K934" s="2">
        <v>4.0500000000000001E-2</v>
      </c>
      <c r="L934" s="2">
        <v>2.5000000000000001E-3</v>
      </c>
      <c r="M934" s="5">
        <v>1E-4</v>
      </c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</row>
    <row r="935" spans="1:51" x14ac:dyDescent="0.2">
      <c r="A935" s="4"/>
      <c r="B935" s="2">
        <v>0</v>
      </c>
      <c r="C935" s="2">
        <v>0</v>
      </c>
      <c r="D935" s="2">
        <v>0</v>
      </c>
      <c r="E935" s="2">
        <v>0</v>
      </c>
      <c r="F935" s="2">
        <v>0</v>
      </c>
      <c r="G935" s="5">
        <v>6.9999999999999999E-4</v>
      </c>
      <c r="H935" s="2">
        <v>3.0599999999999999E-2</v>
      </c>
      <c r="I935" s="2">
        <v>0.23799999999999999</v>
      </c>
      <c r="J935" s="2">
        <v>0.44359999999999999</v>
      </c>
      <c r="K935" s="2">
        <v>0.24049999999999999</v>
      </c>
      <c r="L935" s="2">
        <v>4.3900000000000002E-2</v>
      </c>
      <c r="M935" s="2">
        <v>3.0999999999999999E-3</v>
      </c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</row>
    <row r="936" spans="1:51" x14ac:dyDescent="0.2">
      <c r="A936" s="4"/>
      <c r="B936" s="2">
        <v>0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1E-3</v>
      </c>
      <c r="I936" s="2">
        <v>3.3799999999999997E-2</v>
      </c>
      <c r="J936" s="2">
        <v>0.2394</v>
      </c>
      <c r="K936" s="2">
        <v>0.43390000000000001</v>
      </c>
      <c r="L936" s="2">
        <v>0.24129999999999999</v>
      </c>
      <c r="M936" s="2">
        <v>4.7300000000000002E-2</v>
      </c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</row>
    <row r="937" spans="1:51" x14ac:dyDescent="0.2">
      <c r="A937" s="4"/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1.2999999999999999E-3</v>
      </c>
      <c r="J937" s="2">
        <v>3.7199999999999997E-2</v>
      </c>
      <c r="K937" s="2">
        <v>0.24049999999999999</v>
      </c>
      <c r="L937" s="2">
        <v>0.42449999999999999</v>
      </c>
      <c r="M937" s="2">
        <v>0.24179999999999999</v>
      </c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</row>
    <row r="938" spans="1:51" x14ac:dyDescent="0.2">
      <c r="A938" s="2"/>
      <c r="B938" s="2">
        <v>0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1.6000000000000001E-3</v>
      </c>
      <c r="K938" s="2">
        <v>4.2599999999999999E-2</v>
      </c>
      <c r="L938" s="2">
        <v>0.28770000000000001</v>
      </c>
      <c r="M938" s="2">
        <v>0.70779999999999998</v>
      </c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501F-274D-664B-8A88-78598C486B91}">
  <dimension ref="A1:AZ938"/>
  <sheetViews>
    <sheetView workbookViewId="0">
      <selection activeCell="D37" sqref="D37"/>
    </sheetView>
  </sheetViews>
  <sheetFormatPr baseColWidth="10" defaultColWidth="11" defaultRowHeight="16" x14ac:dyDescent="0.2"/>
  <cols>
    <col min="1" max="1" width="11" bestFit="1" customWidth="1"/>
    <col min="2" max="3" width="11.1640625" bestFit="1" customWidth="1"/>
    <col min="4" max="4" width="12.1640625" bestFit="1" customWidth="1"/>
    <col min="5" max="51" width="11" bestFit="1" customWidth="1"/>
  </cols>
  <sheetData>
    <row r="1" spans="1:51" x14ac:dyDescent="0.2">
      <c r="A1" s="1"/>
      <c r="B1" s="2" t="s">
        <v>84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x14ac:dyDescent="0.2">
      <c r="A2" s="3" t="s">
        <v>83</v>
      </c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2">
      <c r="A3" s="3" t="s">
        <v>80</v>
      </c>
      <c r="B3" s="2">
        <v>1970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2">
      <c r="A4" s="3" t="s">
        <v>78</v>
      </c>
      <c r="B4" s="2">
        <v>2020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2">
      <c r="A5" s="4"/>
      <c r="B5" s="2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x14ac:dyDescent="0.2">
      <c r="A6" s="4"/>
      <c r="B6" s="2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1:51" x14ac:dyDescent="0.2">
      <c r="A7" s="4"/>
      <c r="B7" s="2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1:51" x14ac:dyDescent="0.2">
      <c r="A8" s="4"/>
      <c r="B8" s="2" t="s">
        <v>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1:51" x14ac:dyDescent="0.2">
      <c r="A9" s="4"/>
      <c r="B9" s="2">
        <v>41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spans="1:51" x14ac:dyDescent="0.2">
      <c r="A10" s="4"/>
      <c r="B10" s="2" t="s">
        <v>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1:51" x14ac:dyDescent="0.2">
      <c r="A11" s="4"/>
      <c r="B11" s="2">
        <v>10</v>
      </c>
      <c r="C11" s="2">
        <v>11</v>
      </c>
      <c r="D11" s="2">
        <v>12</v>
      </c>
      <c r="E11" s="2">
        <v>13</v>
      </c>
      <c r="F11" s="2">
        <v>14</v>
      </c>
      <c r="G11" s="2">
        <v>15</v>
      </c>
      <c r="H11" s="2">
        <v>16</v>
      </c>
      <c r="I11" s="2">
        <v>17</v>
      </c>
      <c r="J11" s="2">
        <v>18</v>
      </c>
      <c r="K11" s="2">
        <v>19</v>
      </c>
      <c r="L11" s="2">
        <v>20</v>
      </c>
      <c r="M11" s="2">
        <v>21</v>
      </c>
      <c r="N11" s="2">
        <v>22</v>
      </c>
      <c r="O11" s="2">
        <v>23</v>
      </c>
      <c r="P11" s="2">
        <v>24</v>
      </c>
      <c r="Q11" s="2">
        <v>25</v>
      </c>
      <c r="R11" s="2">
        <v>26</v>
      </c>
      <c r="S11" s="2">
        <v>27</v>
      </c>
      <c r="T11" s="2">
        <v>28</v>
      </c>
      <c r="U11" s="2">
        <v>29</v>
      </c>
      <c r="V11" s="2">
        <v>30</v>
      </c>
      <c r="W11" s="2">
        <v>31</v>
      </c>
      <c r="X11" s="2">
        <v>32</v>
      </c>
      <c r="Y11" s="2">
        <v>33</v>
      </c>
      <c r="Z11" s="2">
        <v>34</v>
      </c>
      <c r="AA11" s="2">
        <v>35</v>
      </c>
      <c r="AB11" s="2">
        <v>36</v>
      </c>
      <c r="AC11" s="2">
        <v>37</v>
      </c>
      <c r="AD11" s="2">
        <v>38</v>
      </c>
      <c r="AE11" s="2">
        <v>39</v>
      </c>
      <c r="AF11" s="2">
        <v>40</v>
      </c>
      <c r="AG11" s="2">
        <v>41</v>
      </c>
      <c r="AH11" s="2">
        <v>42</v>
      </c>
      <c r="AI11" s="2">
        <v>43</v>
      </c>
      <c r="AJ11" s="2">
        <v>44</v>
      </c>
      <c r="AK11" s="2">
        <v>45</v>
      </c>
      <c r="AL11" s="2">
        <v>46</v>
      </c>
      <c r="AM11" s="2">
        <v>47</v>
      </c>
      <c r="AN11" s="2">
        <v>48</v>
      </c>
      <c r="AO11" s="2">
        <v>49</v>
      </c>
      <c r="AP11" s="2">
        <v>50</v>
      </c>
      <c r="AQ11" s="2"/>
      <c r="AR11" s="2"/>
      <c r="AS11" s="2"/>
      <c r="AT11" s="2"/>
      <c r="AU11" s="2"/>
      <c r="AV11" s="2"/>
      <c r="AW11" s="2"/>
      <c r="AX11" s="2"/>
      <c r="AY11" s="2"/>
    </row>
    <row r="12" spans="1:51" x14ac:dyDescent="0.2">
      <c r="A12" s="4"/>
      <c r="B12" s="2" t="s">
        <v>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1:51" x14ac:dyDescent="0.2">
      <c r="A13" s="4"/>
      <c r="B13" s="2">
        <v>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1:51" x14ac:dyDescent="0.2">
      <c r="A14" s="4"/>
      <c r="B14" s="2" t="s">
        <v>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1:51" x14ac:dyDescent="0.2">
      <c r="A15" s="4"/>
      <c r="B15" s="2" t="s">
        <v>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1:51" x14ac:dyDescent="0.2">
      <c r="A16" s="4"/>
      <c r="B16" s="2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spans="1:52" x14ac:dyDescent="0.2">
      <c r="A17" s="4" t="s">
        <v>8</v>
      </c>
      <c r="B17" s="2">
        <v>101.69</v>
      </c>
      <c r="C17" s="2">
        <v>143.44999999999999</v>
      </c>
      <c r="D17" s="2">
        <v>64.459999999999994</v>
      </c>
      <c r="E17" s="2">
        <v>83.2</v>
      </c>
      <c r="F17" s="2">
        <v>164.76</v>
      </c>
      <c r="G17" s="2">
        <v>207.33</v>
      </c>
      <c r="H17" s="2">
        <v>257.7</v>
      </c>
      <c r="I17" s="2">
        <v>226.23</v>
      </c>
      <c r="J17" s="2">
        <v>398.41</v>
      </c>
      <c r="K17" s="2">
        <v>344.05</v>
      </c>
      <c r="L17" s="2">
        <v>288.81</v>
      </c>
      <c r="M17" s="2">
        <v>474.82</v>
      </c>
      <c r="N17" s="2">
        <v>789.91</v>
      </c>
      <c r="O17" s="2">
        <v>301.93</v>
      </c>
      <c r="P17" s="2">
        <v>727</v>
      </c>
      <c r="Q17" s="2">
        <v>511.15</v>
      </c>
      <c r="R17" s="2">
        <v>55.21</v>
      </c>
      <c r="S17" s="2">
        <v>313.31</v>
      </c>
      <c r="T17" s="2">
        <v>325.45999999999998</v>
      </c>
      <c r="U17" s="2">
        <v>338.6</v>
      </c>
      <c r="V17" s="2">
        <v>323.08999999999997</v>
      </c>
      <c r="W17" s="2">
        <v>346.25</v>
      </c>
      <c r="X17" s="2">
        <v>304.24</v>
      </c>
      <c r="Y17" s="2">
        <v>379.47</v>
      </c>
      <c r="Z17" s="2">
        <v>222.25</v>
      </c>
      <c r="AA17" s="2">
        <v>230.18</v>
      </c>
      <c r="AB17" s="2">
        <v>278.44</v>
      </c>
      <c r="AC17" s="2">
        <v>104.2</v>
      </c>
      <c r="AD17" s="2">
        <v>30.27</v>
      </c>
      <c r="AE17" s="2">
        <v>55.65</v>
      </c>
      <c r="AF17" s="2">
        <v>118.73</v>
      </c>
      <c r="AG17" s="2">
        <v>248.1</v>
      </c>
      <c r="AH17" s="2">
        <v>108.73</v>
      </c>
      <c r="AI17" s="2">
        <v>143.28</v>
      </c>
      <c r="AJ17" s="2">
        <v>158.66</v>
      </c>
      <c r="AK17" s="2">
        <v>165.63</v>
      </c>
      <c r="AL17" s="2">
        <v>155.26</v>
      </c>
      <c r="AM17" s="2">
        <v>172.70099999999999</v>
      </c>
      <c r="AN17" s="2">
        <v>167.25800000000001</v>
      </c>
      <c r="AO17" s="2">
        <v>134.02199999999999</v>
      </c>
      <c r="AP17" s="2">
        <v>169.012</v>
      </c>
      <c r="AQ17" s="2">
        <v>30.824999999999999</v>
      </c>
      <c r="AR17" s="2">
        <v>13.256</v>
      </c>
      <c r="AS17" s="2">
        <v>16.361000000000001</v>
      </c>
      <c r="AT17" s="2">
        <v>18.219000000000001</v>
      </c>
      <c r="AU17" s="2">
        <v>34.886000000000003</v>
      </c>
      <c r="AV17" s="2">
        <v>24.657</v>
      </c>
      <c r="AW17" s="2">
        <v>35.002000000000002</v>
      </c>
      <c r="AX17" s="2">
        <v>11.551</v>
      </c>
      <c r="AY17" s="2">
        <v>11.875</v>
      </c>
      <c r="AZ17">
        <v>45.048999999999999</v>
      </c>
    </row>
    <row r="18" spans="1:52" x14ac:dyDescent="0.2">
      <c r="A18" s="4" t="s">
        <v>9</v>
      </c>
      <c r="B18" s="2">
        <v>10.31</v>
      </c>
      <c r="C18" s="2">
        <v>14.99</v>
      </c>
      <c r="D18" s="2">
        <v>22.55</v>
      </c>
      <c r="E18" s="2">
        <v>38.39</v>
      </c>
      <c r="F18" s="2">
        <v>28.75</v>
      </c>
      <c r="G18" s="2">
        <v>53.88</v>
      </c>
      <c r="H18" s="2">
        <v>84.57</v>
      </c>
      <c r="I18" s="2">
        <v>114.57</v>
      </c>
      <c r="J18" s="2">
        <v>188.27</v>
      </c>
      <c r="K18" s="2">
        <v>253.46</v>
      </c>
      <c r="L18" s="2">
        <v>273.45</v>
      </c>
      <c r="M18" s="2">
        <v>586.09</v>
      </c>
      <c r="N18" s="2">
        <v>704.77</v>
      </c>
      <c r="O18" s="2">
        <v>563.34</v>
      </c>
      <c r="P18" s="2">
        <v>699.3</v>
      </c>
      <c r="Q18" s="2">
        <v>945.84</v>
      </c>
      <c r="R18" s="2">
        <v>1129.1099999999999</v>
      </c>
      <c r="S18" s="2">
        <v>1456.73</v>
      </c>
      <c r="T18" s="2">
        <v>1812.79</v>
      </c>
      <c r="U18" s="2">
        <v>2051.52</v>
      </c>
      <c r="V18" s="2">
        <v>2148.79</v>
      </c>
      <c r="W18" s="2">
        <v>2674.27</v>
      </c>
      <c r="X18" s="2">
        <v>2907.82</v>
      </c>
      <c r="Y18" s="2">
        <v>2856.78</v>
      </c>
      <c r="Z18" s="2">
        <v>3819.19</v>
      </c>
      <c r="AA18" s="2">
        <v>4174.0200000000004</v>
      </c>
      <c r="AB18" s="2">
        <v>3604.89</v>
      </c>
      <c r="AC18" s="2">
        <v>2812.87</v>
      </c>
      <c r="AD18" s="2">
        <v>1582.64</v>
      </c>
      <c r="AE18" s="2">
        <v>1164.04</v>
      </c>
      <c r="AF18" s="2">
        <v>1115.57</v>
      </c>
      <c r="AG18" s="2">
        <v>1401.84</v>
      </c>
      <c r="AH18" s="2">
        <v>1410.27</v>
      </c>
      <c r="AI18" s="2">
        <v>1278.02</v>
      </c>
      <c r="AJ18" s="2">
        <v>1292.94</v>
      </c>
      <c r="AK18" s="2">
        <v>1264.81</v>
      </c>
      <c r="AL18" s="2">
        <v>1224.69</v>
      </c>
      <c r="AM18" s="2">
        <v>1130.0830000000001</v>
      </c>
      <c r="AN18" s="2">
        <v>728.85</v>
      </c>
      <c r="AO18" s="2">
        <v>700.90499999999997</v>
      </c>
      <c r="AP18" s="2">
        <v>295.79599999999999</v>
      </c>
      <c r="AQ18" s="2">
        <v>216.47</v>
      </c>
      <c r="AR18" s="2">
        <v>214.20400000000001</v>
      </c>
      <c r="AS18" s="2">
        <v>214.999</v>
      </c>
      <c r="AT18" s="2">
        <v>254.29499999999999</v>
      </c>
      <c r="AU18" s="2">
        <v>250.327</v>
      </c>
      <c r="AV18" s="2">
        <v>295.16000000000003</v>
      </c>
      <c r="AW18" s="2">
        <v>311.863</v>
      </c>
      <c r="AX18" s="2">
        <v>415.149</v>
      </c>
      <c r="AY18" s="2">
        <v>432.447</v>
      </c>
      <c r="AZ18">
        <v>465</v>
      </c>
    </row>
    <row r="19" spans="1:52" x14ac:dyDescent="0.2">
      <c r="A19" s="4" t="s">
        <v>10</v>
      </c>
      <c r="B19" s="2">
        <v>4.71</v>
      </c>
      <c r="C19" s="2">
        <v>9.19</v>
      </c>
      <c r="D19" s="2">
        <v>18.78</v>
      </c>
      <c r="E19" s="2">
        <v>42.78</v>
      </c>
      <c r="F19" s="2">
        <v>129.21</v>
      </c>
      <c r="G19" s="2">
        <v>37.9</v>
      </c>
      <c r="H19" s="2">
        <v>54.15</v>
      </c>
      <c r="I19" s="2">
        <v>504.99</v>
      </c>
      <c r="J19" s="2">
        <v>386.79</v>
      </c>
      <c r="K19" s="2">
        <v>333.81</v>
      </c>
      <c r="L19" s="2">
        <v>414.3</v>
      </c>
      <c r="M19" s="2">
        <v>445.64</v>
      </c>
      <c r="N19" s="2">
        <v>143.72</v>
      </c>
      <c r="O19" s="2">
        <v>110.69</v>
      </c>
      <c r="P19" s="2">
        <v>200.67</v>
      </c>
      <c r="Q19" s="2">
        <v>114.62</v>
      </c>
      <c r="R19" s="2">
        <v>51.03</v>
      </c>
      <c r="S19" s="2">
        <v>46.3</v>
      </c>
      <c r="T19" s="2">
        <v>244.23</v>
      </c>
      <c r="U19" s="2">
        <v>316.25</v>
      </c>
      <c r="V19" s="2">
        <v>370.82</v>
      </c>
      <c r="W19" s="2">
        <v>213.45</v>
      </c>
      <c r="X19" s="2">
        <v>111.68</v>
      </c>
      <c r="Y19" s="2">
        <v>133.35</v>
      </c>
      <c r="Z19" s="2">
        <v>233.35</v>
      </c>
      <c r="AA19" s="2">
        <v>550.99</v>
      </c>
      <c r="AB19" s="2">
        <v>495.52</v>
      </c>
      <c r="AC19" s="2">
        <v>680.05</v>
      </c>
      <c r="AD19" s="2">
        <v>412.85</v>
      </c>
      <c r="AE19" s="2">
        <v>203.75</v>
      </c>
      <c r="AF19" s="2">
        <v>303.7</v>
      </c>
      <c r="AG19" s="2">
        <v>857.74</v>
      </c>
      <c r="AH19" s="2">
        <v>154.82</v>
      </c>
      <c r="AI19" s="2">
        <v>217.73</v>
      </c>
      <c r="AJ19" s="2">
        <v>187.37</v>
      </c>
      <c r="AK19" s="2">
        <v>80.66</v>
      </c>
      <c r="AL19" s="2">
        <v>277.57</v>
      </c>
      <c r="AM19" s="2">
        <v>255.36</v>
      </c>
      <c r="AN19" s="2">
        <v>169.53700000000001</v>
      </c>
      <c r="AO19" s="2">
        <v>76.629000000000005</v>
      </c>
      <c r="AP19" s="2">
        <v>22.172000000000001</v>
      </c>
      <c r="AQ19" s="2">
        <v>326.39400000000001</v>
      </c>
      <c r="AR19" s="2">
        <v>187.39599999999999</v>
      </c>
      <c r="AS19" s="2">
        <v>80.585999999999999</v>
      </c>
      <c r="AT19" s="2">
        <v>74.531999999999996</v>
      </c>
      <c r="AU19" s="2">
        <v>22.446999999999999</v>
      </c>
      <c r="AV19" s="2">
        <v>15.087999999999999</v>
      </c>
      <c r="AW19" s="2">
        <v>8.8670000000000009</v>
      </c>
      <c r="AX19" s="2">
        <v>57.162999999999997</v>
      </c>
      <c r="AY19" s="2">
        <v>135.78399999999999</v>
      </c>
      <c r="AZ19">
        <v>137</v>
      </c>
    </row>
    <row r="20" spans="1:52" x14ac:dyDescent="0.2">
      <c r="A20" s="4" t="s">
        <v>11</v>
      </c>
      <c r="B20" s="2">
        <v>0</v>
      </c>
      <c r="C20" s="2">
        <v>0</v>
      </c>
      <c r="D20" s="2">
        <v>5.5</v>
      </c>
      <c r="E20" s="2">
        <v>0</v>
      </c>
      <c r="F20" s="2">
        <v>0</v>
      </c>
      <c r="G20" s="2">
        <v>0</v>
      </c>
      <c r="H20" s="2">
        <v>0.04</v>
      </c>
      <c r="I20" s="2">
        <v>2.27</v>
      </c>
      <c r="J20" s="2">
        <v>51.29</v>
      </c>
      <c r="K20" s="2">
        <v>370.29</v>
      </c>
      <c r="L20" s="2">
        <v>339.8</v>
      </c>
      <c r="M20" s="2">
        <v>438.12</v>
      </c>
      <c r="N20" s="2">
        <v>733.2</v>
      </c>
      <c r="O20" s="2">
        <v>894.3</v>
      </c>
      <c r="P20" s="2">
        <v>1059.93</v>
      </c>
      <c r="Q20" s="2">
        <v>799.32</v>
      </c>
      <c r="R20" s="2">
        <v>837.5</v>
      </c>
      <c r="S20" s="2">
        <v>863.42</v>
      </c>
      <c r="T20" s="2">
        <v>863.22</v>
      </c>
      <c r="U20" s="2">
        <v>875.82</v>
      </c>
      <c r="V20" s="2">
        <v>872.06</v>
      </c>
      <c r="W20" s="2">
        <v>543.66</v>
      </c>
      <c r="X20" s="2">
        <v>37.93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0.01</v>
      </c>
      <c r="AF20" s="2">
        <v>2.3199999999999998</v>
      </c>
      <c r="AG20" s="2">
        <v>20.09</v>
      </c>
      <c r="AH20" s="2">
        <v>76.260000000000005</v>
      </c>
      <c r="AI20" s="2">
        <v>158.19999999999999</v>
      </c>
      <c r="AJ20" s="2">
        <v>295.44</v>
      </c>
      <c r="AK20" s="2">
        <v>243.58</v>
      </c>
      <c r="AL20" s="2">
        <v>362.63</v>
      </c>
      <c r="AM20" s="2">
        <v>438.8306</v>
      </c>
      <c r="AN20" s="2">
        <v>406.9864</v>
      </c>
      <c r="AO20" s="2">
        <v>371.91759999999999</v>
      </c>
      <c r="AP20" s="2">
        <v>239.59299999999999</v>
      </c>
      <c r="AQ20" s="2">
        <v>60.891309999999997</v>
      </c>
      <c r="AR20" s="2">
        <v>39.917859999999997</v>
      </c>
      <c r="AS20" s="2">
        <v>41.177</v>
      </c>
      <c r="AT20" s="2">
        <v>63.652000000000001</v>
      </c>
      <c r="AU20" s="2">
        <v>86.671999999999997</v>
      </c>
      <c r="AV20" s="2">
        <v>54.162999999999997</v>
      </c>
      <c r="AW20" s="2">
        <v>49.113</v>
      </c>
      <c r="AX20" s="2">
        <v>42.46</v>
      </c>
      <c r="AY20" s="2">
        <v>51.439</v>
      </c>
      <c r="AZ20">
        <v>2.867</v>
      </c>
    </row>
    <row r="21" spans="1:52" x14ac:dyDescent="0.2">
      <c r="A21" s="4"/>
      <c r="B21" s="2" t="s">
        <v>12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1:52" x14ac:dyDescent="0.2">
      <c r="A22" s="4" t="s">
        <v>8</v>
      </c>
      <c r="B22" s="2">
        <v>0.05</v>
      </c>
      <c r="C22" s="2">
        <v>0.05</v>
      </c>
      <c r="D22" s="2">
        <v>0.05</v>
      </c>
      <c r="E22" s="2">
        <v>0.05</v>
      </c>
      <c r="F22" s="2">
        <v>0.05</v>
      </c>
      <c r="G22" s="2">
        <v>0.05</v>
      </c>
      <c r="H22" s="2">
        <v>0.05</v>
      </c>
      <c r="I22" s="2">
        <v>0.05</v>
      </c>
      <c r="J22" s="2">
        <v>0.05</v>
      </c>
      <c r="K22" s="2">
        <v>0.05</v>
      </c>
      <c r="L22" s="2">
        <v>0.05</v>
      </c>
      <c r="M22" s="2">
        <v>0.05</v>
      </c>
      <c r="N22" s="2">
        <v>0.05</v>
      </c>
      <c r="O22" s="2">
        <v>0.05</v>
      </c>
      <c r="P22" s="2">
        <v>0.05</v>
      </c>
      <c r="Q22" s="2">
        <v>0.05</v>
      </c>
      <c r="R22" s="2">
        <v>0.05</v>
      </c>
      <c r="S22" s="2">
        <v>0.05</v>
      </c>
      <c r="T22" s="2">
        <v>0.05</v>
      </c>
      <c r="U22" s="2">
        <v>0.05</v>
      </c>
      <c r="V22" s="2">
        <v>0.05</v>
      </c>
      <c r="W22" s="2">
        <v>0.05</v>
      </c>
      <c r="X22" s="2">
        <v>0.05</v>
      </c>
      <c r="Y22" s="2">
        <v>0.05</v>
      </c>
      <c r="Z22" s="2">
        <v>0.05</v>
      </c>
      <c r="AA22" s="2">
        <v>0.05</v>
      </c>
      <c r="AB22" s="2">
        <v>0.05</v>
      </c>
      <c r="AC22" s="2">
        <v>0.05</v>
      </c>
      <c r="AD22" s="2">
        <v>0.05</v>
      </c>
      <c r="AE22" s="2">
        <v>0.05</v>
      </c>
      <c r="AF22" s="2">
        <v>0.05</v>
      </c>
      <c r="AG22" s="2">
        <v>0.05</v>
      </c>
      <c r="AH22" s="2">
        <v>0.05</v>
      </c>
      <c r="AI22" s="2">
        <v>0.05</v>
      </c>
      <c r="AJ22" s="2">
        <v>0.05</v>
      </c>
      <c r="AK22" s="2">
        <v>0.05</v>
      </c>
      <c r="AL22" s="2">
        <v>0.05</v>
      </c>
      <c r="AM22" s="2">
        <v>0.05</v>
      </c>
      <c r="AN22" s="2">
        <v>0.05</v>
      </c>
      <c r="AO22" s="2">
        <v>0.05</v>
      </c>
      <c r="AP22" s="2">
        <v>0.05</v>
      </c>
      <c r="AQ22" s="2">
        <v>0.05</v>
      </c>
      <c r="AR22" s="2">
        <v>0.05</v>
      </c>
      <c r="AS22" s="2">
        <v>0.05</v>
      </c>
      <c r="AT22" s="2">
        <v>0.05</v>
      </c>
      <c r="AU22" s="2">
        <v>0.05</v>
      </c>
      <c r="AV22" s="2">
        <v>0.05</v>
      </c>
      <c r="AW22" s="2">
        <v>0.05</v>
      </c>
      <c r="AX22" s="2">
        <v>0.05</v>
      </c>
      <c r="AY22" s="2">
        <v>0.05</v>
      </c>
      <c r="AZ22">
        <v>0.05</v>
      </c>
    </row>
    <row r="23" spans="1:52" x14ac:dyDescent="0.2">
      <c r="A23" s="4" t="s">
        <v>9</v>
      </c>
      <c r="B23" s="2">
        <v>0.05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0.05</v>
      </c>
      <c r="R23" s="2">
        <v>0.05</v>
      </c>
      <c r="S23" s="2">
        <v>0.05</v>
      </c>
      <c r="T23" s="2">
        <v>0.05</v>
      </c>
      <c r="U23" s="2">
        <v>0.05</v>
      </c>
      <c r="V23" s="2">
        <v>0.05</v>
      </c>
      <c r="W23" s="2">
        <v>0.05</v>
      </c>
      <c r="X23" s="2">
        <v>0.05</v>
      </c>
      <c r="Y23" s="2">
        <v>0.05</v>
      </c>
      <c r="Z23" s="2">
        <v>0.05</v>
      </c>
      <c r="AA23" s="2">
        <v>0.05</v>
      </c>
      <c r="AB23" s="2">
        <v>0.05</v>
      </c>
      <c r="AC23" s="2">
        <v>0.05</v>
      </c>
      <c r="AD23" s="2">
        <v>0.05</v>
      </c>
      <c r="AE23" s="2">
        <v>0.05</v>
      </c>
      <c r="AF23" s="2">
        <v>0.05</v>
      </c>
      <c r="AG23" s="2">
        <v>0.05</v>
      </c>
      <c r="AH23" s="2">
        <v>0.05</v>
      </c>
      <c r="AI23" s="2">
        <v>0.05</v>
      </c>
      <c r="AJ23" s="2">
        <v>0.05</v>
      </c>
      <c r="AK23" s="2">
        <v>0.05</v>
      </c>
      <c r="AL23" s="2">
        <v>0.05</v>
      </c>
      <c r="AM23" s="2">
        <v>0.05</v>
      </c>
      <c r="AN23" s="2">
        <v>0.05</v>
      </c>
      <c r="AO23" s="2">
        <v>0.05</v>
      </c>
      <c r="AP23" s="2">
        <v>0.05</v>
      </c>
      <c r="AQ23" s="2">
        <v>0.05</v>
      </c>
      <c r="AR23" s="2">
        <v>0.05</v>
      </c>
      <c r="AS23" s="2">
        <v>0.05</v>
      </c>
      <c r="AT23" s="2">
        <v>0.05</v>
      </c>
      <c r="AU23" s="2">
        <v>0.05</v>
      </c>
      <c r="AV23" s="2">
        <v>0.05</v>
      </c>
      <c r="AW23" s="2">
        <v>0.05</v>
      </c>
      <c r="AX23" s="2">
        <v>0.05</v>
      </c>
      <c r="AY23" s="2">
        <v>0.05</v>
      </c>
      <c r="AZ23">
        <v>0.05</v>
      </c>
    </row>
    <row r="24" spans="1:52" x14ac:dyDescent="0.2">
      <c r="A24" s="4" t="s">
        <v>10</v>
      </c>
      <c r="B24" s="2">
        <v>0.05</v>
      </c>
      <c r="C24" s="2">
        <v>0.05</v>
      </c>
      <c r="D24" s="2">
        <v>0.05</v>
      </c>
      <c r="E24" s="2">
        <v>0.05</v>
      </c>
      <c r="F24" s="2">
        <v>0.05</v>
      </c>
      <c r="G24" s="2">
        <v>0.05</v>
      </c>
      <c r="H24" s="2">
        <v>0.05</v>
      </c>
      <c r="I24" s="2">
        <v>0.05</v>
      </c>
      <c r="J24" s="2">
        <v>0.05</v>
      </c>
      <c r="K24" s="2">
        <v>0.05</v>
      </c>
      <c r="L24" s="2">
        <v>0.05</v>
      </c>
      <c r="M24" s="2">
        <v>0.05</v>
      </c>
      <c r="N24" s="2">
        <v>0.05</v>
      </c>
      <c r="O24" s="2">
        <v>0.05</v>
      </c>
      <c r="P24" s="2">
        <v>0.05</v>
      </c>
      <c r="Q24" s="2">
        <v>0.05</v>
      </c>
      <c r="R24" s="2">
        <v>0.05</v>
      </c>
      <c r="S24" s="2">
        <v>0.05</v>
      </c>
      <c r="T24" s="2">
        <v>0.05</v>
      </c>
      <c r="U24" s="2">
        <v>0.05</v>
      </c>
      <c r="V24" s="2">
        <v>0.05</v>
      </c>
      <c r="W24" s="2">
        <v>0.05</v>
      </c>
      <c r="X24" s="2">
        <v>0.05</v>
      </c>
      <c r="Y24" s="2">
        <v>0.05</v>
      </c>
      <c r="Z24" s="2">
        <v>0.05</v>
      </c>
      <c r="AA24" s="2">
        <v>0.05</v>
      </c>
      <c r="AB24" s="2">
        <v>0.05</v>
      </c>
      <c r="AC24" s="2">
        <v>0.05</v>
      </c>
      <c r="AD24" s="2">
        <v>0.05</v>
      </c>
      <c r="AE24" s="2">
        <v>0.05</v>
      </c>
      <c r="AF24" s="2">
        <v>0.05</v>
      </c>
      <c r="AG24" s="2">
        <v>0.05</v>
      </c>
      <c r="AH24" s="2">
        <v>0.05</v>
      </c>
      <c r="AI24" s="2">
        <v>0.05</v>
      </c>
      <c r="AJ24" s="2">
        <v>0.05</v>
      </c>
      <c r="AK24" s="2">
        <v>0.05</v>
      </c>
      <c r="AL24" s="2">
        <v>0.05</v>
      </c>
      <c r="AM24" s="2">
        <v>0.05</v>
      </c>
      <c r="AN24" s="2">
        <v>0.05</v>
      </c>
      <c r="AO24" s="2">
        <v>0.05</v>
      </c>
      <c r="AP24" s="2">
        <v>0.05</v>
      </c>
      <c r="AQ24" s="2">
        <v>0.05</v>
      </c>
      <c r="AR24" s="2">
        <v>0.05</v>
      </c>
      <c r="AS24" s="2">
        <v>0.05</v>
      </c>
      <c r="AT24" s="2">
        <v>0.05</v>
      </c>
      <c r="AU24" s="2">
        <v>0.05</v>
      </c>
      <c r="AV24" s="2">
        <v>0.05</v>
      </c>
      <c r="AW24" s="2">
        <v>0.05</v>
      </c>
      <c r="AX24" s="2">
        <v>0.05</v>
      </c>
      <c r="AY24" s="2">
        <v>0.05</v>
      </c>
      <c r="AZ24">
        <v>0.05</v>
      </c>
    </row>
    <row r="25" spans="1:52" x14ac:dyDescent="0.2">
      <c r="A25" s="4" t="s">
        <v>11</v>
      </c>
      <c r="B25" s="2">
        <v>0.05</v>
      </c>
      <c r="C25" s="2">
        <v>0.05</v>
      </c>
      <c r="D25" s="2">
        <v>0.05</v>
      </c>
      <c r="E25" s="2">
        <v>0.05</v>
      </c>
      <c r="F25" s="2">
        <v>0.05</v>
      </c>
      <c r="G25" s="2">
        <v>0.05</v>
      </c>
      <c r="H25" s="2">
        <v>0.05</v>
      </c>
      <c r="I25" s="2">
        <v>0.05</v>
      </c>
      <c r="J25" s="2">
        <v>0.05</v>
      </c>
      <c r="K25" s="2">
        <v>0.05</v>
      </c>
      <c r="L25" s="2">
        <v>0.05</v>
      </c>
      <c r="M25" s="2">
        <v>0.05</v>
      </c>
      <c r="N25" s="2">
        <v>0.05</v>
      </c>
      <c r="O25" s="2">
        <v>0.05</v>
      </c>
      <c r="P25" s="2">
        <v>0.05</v>
      </c>
      <c r="Q25" s="2">
        <v>0.05</v>
      </c>
      <c r="R25" s="2">
        <v>0.05</v>
      </c>
      <c r="S25" s="2">
        <v>0.05</v>
      </c>
      <c r="T25" s="2">
        <v>0.05</v>
      </c>
      <c r="U25" s="2">
        <v>0.05</v>
      </c>
      <c r="V25" s="2">
        <v>0.05</v>
      </c>
      <c r="W25" s="2">
        <v>0.05</v>
      </c>
      <c r="X25" s="2">
        <v>0.05</v>
      </c>
      <c r="Y25" s="2">
        <v>0.05</v>
      </c>
      <c r="Z25" s="2">
        <v>0.05</v>
      </c>
      <c r="AA25" s="2">
        <v>0.05</v>
      </c>
      <c r="AB25" s="2">
        <v>0.05</v>
      </c>
      <c r="AC25" s="2">
        <v>0.05</v>
      </c>
      <c r="AD25" s="2">
        <v>0.05</v>
      </c>
      <c r="AE25" s="2">
        <v>0.05</v>
      </c>
      <c r="AF25" s="2">
        <v>0.05</v>
      </c>
      <c r="AG25" s="2">
        <v>0.05</v>
      </c>
      <c r="AH25" s="2">
        <v>0.05</v>
      </c>
      <c r="AI25" s="2">
        <v>0.05</v>
      </c>
      <c r="AJ25" s="2">
        <v>0.05</v>
      </c>
      <c r="AK25" s="2">
        <v>0.05</v>
      </c>
      <c r="AL25" s="2">
        <v>0.05</v>
      </c>
      <c r="AM25" s="2">
        <v>0.05</v>
      </c>
      <c r="AN25" s="2">
        <v>0.05</v>
      </c>
      <c r="AO25" s="2">
        <v>0.05</v>
      </c>
      <c r="AP25" s="2">
        <v>0.05</v>
      </c>
      <c r="AQ25" s="2">
        <v>0.05</v>
      </c>
      <c r="AR25" s="2">
        <v>0.05</v>
      </c>
      <c r="AS25" s="2">
        <v>0.05</v>
      </c>
      <c r="AT25" s="2">
        <v>0.05</v>
      </c>
      <c r="AU25" s="2">
        <v>0.05</v>
      </c>
      <c r="AV25" s="2">
        <v>0.05</v>
      </c>
      <c r="AW25" s="2">
        <v>0.05</v>
      </c>
      <c r="AX25" s="2">
        <v>0.05</v>
      </c>
      <c r="AY25" s="2">
        <v>0.05</v>
      </c>
      <c r="AZ25">
        <v>0.05</v>
      </c>
    </row>
    <row r="26" spans="1:52" x14ac:dyDescent="0.2">
      <c r="A26" s="4"/>
      <c r="B26" s="2" t="s">
        <v>13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spans="1:52" x14ac:dyDescent="0.2">
      <c r="A27" s="4" t="s">
        <v>8</v>
      </c>
      <c r="B27" s="2">
        <v>46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spans="1:52" x14ac:dyDescent="0.2">
      <c r="A28" s="4" t="s">
        <v>9</v>
      </c>
      <c r="B28" s="2">
        <v>46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spans="1:52" x14ac:dyDescent="0.2">
      <c r="A29" s="4" t="s">
        <v>10</v>
      </c>
      <c r="B29" s="2"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spans="1:52" x14ac:dyDescent="0.2">
      <c r="A30" s="4" t="s">
        <v>11</v>
      </c>
      <c r="B30" s="2">
        <v>31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spans="1:52" x14ac:dyDescent="0.2">
      <c r="A31" s="4"/>
      <c r="B31" s="2" t="s">
        <v>14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1:52" x14ac:dyDescent="0.2">
      <c r="A32" s="4" t="s">
        <v>8</v>
      </c>
      <c r="B32" s="2"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1:51" x14ac:dyDescent="0.2">
      <c r="A33" s="4" t="s">
        <v>9</v>
      </c>
      <c r="B33" s="2"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x14ac:dyDescent="0.2">
      <c r="A34" s="4" t="s">
        <v>10</v>
      </c>
      <c r="B34" s="2">
        <v>41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x14ac:dyDescent="0.2">
      <c r="A35" s="4" t="s">
        <v>11</v>
      </c>
      <c r="B35" s="2"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x14ac:dyDescent="0.2">
      <c r="A36" s="4"/>
      <c r="B36" s="2" t="s">
        <v>15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x14ac:dyDescent="0.2">
      <c r="A37" s="4" t="s">
        <v>8</v>
      </c>
      <c r="B37" s="2">
        <v>1975</v>
      </c>
      <c r="C37" s="2">
        <v>1976</v>
      </c>
      <c r="D37" s="2">
        <v>1977</v>
      </c>
      <c r="E37" s="2">
        <v>1978</v>
      </c>
      <c r="F37" s="2">
        <v>1979</v>
      </c>
      <c r="G37" s="2">
        <v>1980</v>
      </c>
      <c r="H37" s="2">
        <v>1981</v>
      </c>
      <c r="I37" s="2">
        <v>1982</v>
      </c>
      <c r="J37" s="2">
        <v>1983</v>
      </c>
      <c r="K37" s="2">
        <v>1984</v>
      </c>
      <c r="L37" s="2">
        <v>1985</v>
      </c>
      <c r="M37" s="2">
        <v>1986</v>
      </c>
      <c r="N37" s="2">
        <v>1987</v>
      </c>
      <c r="O37" s="2">
        <v>1988</v>
      </c>
      <c r="P37" s="2">
        <v>1989</v>
      </c>
      <c r="Q37" s="2">
        <v>1990</v>
      </c>
      <c r="R37" s="2">
        <v>1991</v>
      </c>
      <c r="S37" s="2">
        <v>1992</v>
      </c>
      <c r="T37" s="2">
        <v>1993</v>
      </c>
      <c r="U37" s="2">
        <v>1994</v>
      </c>
      <c r="V37" s="2">
        <v>1995</v>
      </c>
      <c r="W37" s="2">
        <v>1996</v>
      </c>
      <c r="X37" s="2">
        <v>1997</v>
      </c>
      <c r="Y37" s="2">
        <v>1998</v>
      </c>
      <c r="Z37" s="2">
        <v>1999</v>
      </c>
      <c r="AA37" s="2">
        <v>2000</v>
      </c>
      <c r="AB37" s="2">
        <v>2001</v>
      </c>
      <c r="AC37" s="2">
        <v>2002</v>
      </c>
      <c r="AD37" s="2">
        <v>2003</v>
      </c>
      <c r="AE37" s="2">
        <v>2004</v>
      </c>
      <c r="AF37" s="2">
        <v>2005</v>
      </c>
      <c r="AG37" s="2">
        <v>2006</v>
      </c>
      <c r="AH37" s="2">
        <v>2007</v>
      </c>
      <c r="AI37" s="2">
        <v>2008</v>
      </c>
      <c r="AJ37" s="2">
        <v>2009</v>
      </c>
      <c r="AK37" s="2">
        <v>2010</v>
      </c>
      <c r="AL37" s="2">
        <v>2011</v>
      </c>
      <c r="AM37" s="2">
        <v>2012</v>
      </c>
      <c r="AN37" s="2">
        <v>2013</v>
      </c>
      <c r="AO37" s="2">
        <v>2014</v>
      </c>
      <c r="AP37" s="2">
        <v>2015</v>
      </c>
      <c r="AQ37" s="2">
        <v>2016</v>
      </c>
      <c r="AR37" s="2">
        <v>2017</v>
      </c>
      <c r="AS37" s="2">
        <v>2018</v>
      </c>
      <c r="AT37" s="2">
        <v>2019</v>
      </c>
      <c r="AU37" s="2">
        <v>2020</v>
      </c>
      <c r="AV37" s="2"/>
      <c r="AW37" s="2"/>
      <c r="AX37" s="2"/>
      <c r="AY37" s="2"/>
    </row>
    <row r="38" spans="1:51" x14ac:dyDescent="0.2">
      <c r="A38" s="4" t="s">
        <v>9</v>
      </c>
      <c r="B38" s="2">
        <v>1975</v>
      </c>
      <c r="C38" s="2">
        <v>1976</v>
      </c>
      <c r="D38" s="2">
        <v>1977</v>
      </c>
      <c r="E38" s="2">
        <v>1978</v>
      </c>
      <c r="F38" s="2">
        <v>1979</v>
      </c>
      <c r="G38" s="2">
        <v>1980</v>
      </c>
      <c r="H38" s="2">
        <v>1981</v>
      </c>
      <c r="I38" s="2">
        <v>1982</v>
      </c>
      <c r="J38" s="2">
        <v>1983</v>
      </c>
      <c r="K38" s="2">
        <v>1984</v>
      </c>
      <c r="L38" s="2">
        <v>1985</v>
      </c>
      <c r="M38" s="2">
        <v>1986</v>
      </c>
      <c r="N38" s="2">
        <v>1987</v>
      </c>
      <c r="O38" s="2">
        <v>1988</v>
      </c>
      <c r="P38" s="2">
        <v>1989</v>
      </c>
      <c r="Q38" s="2">
        <v>1990</v>
      </c>
      <c r="R38" s="2">
        <v>1991</v>
      </c>
      <c r="S38" s="2">
        <v>1992</v>
      </c>
      <c r="T38" s="2">
        <v>1993</v>
      </c>
      <c r="U38" s="2">
        <v>1994</v>
      </c>
      <c r="V38" s="2">
        <v>1995</v>
      </c>
      <c r="W38" s="2">
        <v>1996</v>
      </c>
      <c r="X38" s="2">
        <v>1997</v>
      </c>
      <c r="Y38" s="2">
        <v>1998</v>
      </c>
      <c r="Z38" s="2">
        <v>1999</v>
      </c>
      <c r="AA38" s="2">
        <v>2000</v>
      </c>
      <c r="AB38" s="2">
        <v>2001</v>
      </c>
      <c r="AC38" s="2">
        <v>2002</v>
      </c>
      <c r="AD38" s="2">
        <v>2003</v>
      </c>
      <c r="AE38" s="2">
        <v>2004</v>
      </c>
      <c r="AF38" s="2">
        <v>2005</v>
      </c>
      <c r="AG38" s="2">
        <v>2006</v>
      </c>
      <c r="AH38" s="2">
        <v>2007</v>
      </c>
      <c r="AI38" s="2">
        <v>2008</v>
      </c>
      <c r="AJ38" s="2">
        <v>2009</v>
      </c>
      <c r="AK38" s="2">
        <v>2010</v>
      </c>
      <c r="AL38" s="2">
        <v>2011</v>
      </c>
      <c r="AM38" s="2">
        <v>2012</v>
      </c>
      <c r="AN38" s="2">
        <v>2013</v>
      </c>
      <c r="AO38" s="2">
        <v>2014</v>
      </c>
      <c r="AP38" s="2">
        <v>2015</v>
      </c>
      <c r="AQ38" s="2">
        <v>2016</v>
      </c>
      <c r="AR38" s="2">
        <v>2017</v>
      </c>
      <c r="AS38" s="2">
        <v>2018</v>
      </c>
      <c r="AT38" s="2">
        <v>2019</v>
      </c>
      <c r="AU38" s="2">
        <v>2020</v>
      </c>
      <c r="AV38" s="2"/>
      <c r="AW38" s="2"/>
      <c r="AX38" s="2"/>
      <c r="AY38" s="2"/>
    </row>
    <row r="39" spans="1:51" x14ac:dyDescent="0.2">
      <c r="A39" s="4" t="s">
        <v>11</v>
      </c>
      <c r="B39" s="2">
        <v>1979</v>
      </c>
      <c r="C39" s="2">
        <v>1980</v>
      </c>
      <c r="D39" s="2">
        <v>1981</v>
      </c>
      <c r="E39" s="2">
        <v>1982</v>
      </c>
      <c r="F39" s="2">
        <v>1983</v>
      </c>
      <c r="G39" s="2">
        <v>1984</v>
      </c>
      <c r="H39" s="2">
        <v>1985</v>
      </c>
      <c r="I39" s="2">
        <v>1986</v>
      </c>
      <c r="J39" s="2">
        <v>1987</v>
      </c>
      <c r="K39" s="2">
        <v>1988</v>
      </c>
      <c r="L39" s="2">
        <v>1989</v>
      </c>
      <c r="M39" s="2">
        <v>1990</v>
      </c>
      <c r="N39" s="2">
        <v>1991</v>
      </c>
      <c r="O39" s="2">
        <v>2000</v>
      </c>
      <c r="P39" s="2">
        <v>2001</v>
      </c>
      <c r="Q39" s="2">
        <v>2002</v>
      </c>
      <c r="R39" s="2">
        <v>2003</v>
      </c>
      <c r="S39" s="2">
        <v>2006</v>
      </c>
      <c r="T39" s="2">
        <v>2007</v>
      </c>
      <c r="U39" s="2">
        <v>2008</v>
      </c>
      <c r="V39" s="2">
        <v>2009</v>
      </c>
      <c r="W39" s="2">
        <v>2010</v>
      </c>
      <c r="X39" s="2">
        <v>2011</v>
      </c>
      <c r="Y39" s="2">
        <v>2012</v>
      </c>
      <c r="Z39" s="2">
        <v>2013</v>
      </c>
      <c r="AA39" s="2">
        <v>2014</v>
      </c>
      <c r="AB39" s="2">
        <v>2015</v>
      </c>
      <c r="AC39" s="2">
        <v>2016</v>
      </c>
      <c r="AD39" s="2">
        <v>2017</v>
      </c>
      <c r="AE39" s="2">
        <v>2018</v>
      </c>
      <c r="AF39" s="2">
        <v>2019</v>
      </c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x14ac:dyDescent="0.2">
      <c r="A40" s="4"/>
      <c r="B40" s="2" t="s">
        <v>16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x14ac:dyDescent="0.2">
      <c r="A41" s="4" t="s">
        <v>10</v>
      </c>
      <c r="B41" s="2">
        <v>1980</v>
      </c>
      <c r="C41" s="2">
        <v>1981</v>
      </c>
      <c r="D41" s="2">
        <v>1982</v>
      </c>
      <c r="E41" s="2">
        <v>1983</v>
      </c>
      <c r="F41" s="2">
        <v>1984</v>
      </c>
      <c r="G41" s="2">
        <v>1985</v>
      </c>
      <c r="H41" s="2">
        <v>1986</v>
      </c>
      <c r="I41" s="2">
        <v>1987</v>
      </c>
      <c r="J41" s="2">
        <v>1988</v>
      </c>
      <c r="K41" s="2">
        <v>1989</v>
      </c>
      <c r="L41" s="2">
        <v>1990</v>
      </c>
      <c r="M41" s="2">
        <v>1991</v>
      </c>
      <c r="N41" s="2">
        <v>1992</v>
      </c>
      <c r="O41" s="2">
        <v>1993</v>
      </c>
      <c r="P41" s="2">
        <v>1994</v>
      </c>
      <c r="Q41" s="2">
        <v>1995</v>
      </c>
      <c r="R41" s="2">
        <v>1996</v>
      </c>
      <c r="S41" s="2">
        <v>1997</v>
      </c>
      <c r="T41" s="2">
        <v>1998</v>
      </c>
      <c r="U41" s="2">
        <v>1999</v>
      </c>
      <c r="V41" s="2">
        <v>2000</v>
      </c>
      <c r="W41" s="2">
        <v>2001</v>
      </c>
      <c r="X41" s="2">
        <v>2002</v>
      </c>
      <c r="Y41" s="2">
        <v>2003</v>
      </c>
      <c r="Z41" s="2">
        <v>2004</v>
      </c>
      <c r="AA41" s="2">
        <v>2005</v>
      </c>
      <c r="AB41" s="2">
        <v>2006</v>
      </c>
      <c r="AC41" s="2">
        <v>2007</v>
      </c>
      <c r="AD41" s="2">
        <v>2008</v>
      </c>
      <c r="AE41" s="2">
        <v>2009</v>
      </c>
      <c r="AF41" s="2">
        <v>2010</v>
      </c>
      <c r="AG41" s="2">
        <v>2011</v>
      </c>
      <c r="AH41" s="2">
        <v>2012</v>
      </c>
      <c r="AI41" s="2">
        <v>2013</v>
      </c>
      <c r="AJ41" s="2">
        <v>2014</v>
      </c>
      <c r="AK41" s="2">
        <v>2015</v>
      </c>
      <c r="AL41" s="2">
        <v>2016</v>
      </c>
      <c r="AM41" s="2">
        <v>2017</v>
      </c>
      <c r="AN41" s="2">
        <v>2018</v>
      </c>
      <c r="AO41" s="2">
        <v>2019</v>
      </c>
      <c r="AP41" s="2">
        <v>2020</v>
      </c>
      <c r="AQ41" s="2"/>
      <c r="AR41" s="2"/>
      <c r="AS41" s="2"/>
      <c r="AT41" s="2"/>
      <c r="AU41" s="2"/>
      <c r="AV41" s="2"/>
      <c r="AW41" s="2"/>
      <c r="AX41" s="2"/>
      <c r="AY41" s="2"/>
    </row>
    <row r="42" spans="1:51" x14ac:dyDescent="0.2">
      <c r="A42" s="4"/>
      <c r="B42" s="2" t="s">
        <v>17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x14ac:dyDescent="0.2">
      <c r="A43" s="4" t="s">
        <v>8</v>
      </c>
      <c r="B43" s="2">
        <v>15.40229113</v>
      </c>
      <c r="C43" s="2">
        <v>15.40229113</v>
      </c>
      <c r="D43" s="2">
        <v>15.40229113</v>
      </c>
      <c r="E43" s="2">
        <v>15.40229113</v>
      </c>
      <c r="F43" s="2">
        <v>15.40229113</v>
      </c>
      <c r="G43" s="2">
        <v>15.40229113</v>
      </c>
      <c r="H43" s="2">
        <v>15.40229113</v>
      </c>
      <c r="I43" s="2">
        <v>15.40229113</v>
      </c>
      <c r="J43" s="2">
        <v>15.40229113</v>
      </c>
      <c r="K43" s="2">
        <v>15.40229113</v>
      </c>
      <c r="L43" s="2">
        <v>15.40229113</v>
      </c>
      <c r="M43" s="2">
        <v>15.40229113</v>
      </c>
      <c r="N43" s="2">
        <v>15.40229113</v>
      </c>
      <c r="O43" s="2">
        <v>15.40229113</v>
      </c>
      <c r="P43" s="2">
        <v>15.40229113</v>
      </c>
      <c r="Q43" s="2">
        <v>15.40229113</v>
      </c>
      <c r="R43" s="2">
        <v>15.40229113</v>
      </c>
      <c r="S43" s="2">
        <v>15.40229113</v>
      </c>
      <c r="T43" s="2">
        <v>15.40229113</v>
      </c>
      <c r="U43" s="2">
        <v>15.40229113</v>
      </c>
      <c r="V43" s="2">
        <v>15.40229113</v>
      </c>
      <c r="W43" s="2">
        <v>15.40229113</v>
      </c>
      <c r="X43" s="2">
        <v>15.40229113</v>
      </c>
      <c r="Y43" s="2">
        <v>15.40229113</v>
      </c>
      <c r="Z43" s="2">
        <v>15.40229113</v>
      </c>
      <c r="AA43" s="2">
        <v>15.40229113</v>
      </c>
      <c r="AB43" s="2">
        <v>15.40229113</v>
      </c>
      <c r="AC43" s="2">
        <v>15.40229113</v>
      </c>
      <c r="AD43" s="2">
        <v>15.40229113</v>
      </c>
      <c r="AE43" s="2">
        <v>15.40229113</v>
      </c>
      <c r="AF43" s="2">
        <v>15.40229113</v>
      </c>
      <c r="AG43" s="2">
        <v>15.40229113</v>
      </c>
      <c r="AH43" s="2">
        <v>15.40229113</v>
      </c>
      <c r="AI43" s="2">
        <v>15.40229113</v>
      </c>
      <c r="AJ43" s="2">
        <v>15.40229113</v>
      </c>
      <c r="AK43" s="2">
        <v>15.40229113</v>
      </c>
      <c r="AL43" s="2">
        <v>15.40229113</v>
      </c>
      <c r="AM43" s="2">
        <v>15.40229113</v>
      </c>
      <c r="AN43" s="2">
        <v>15.40229113</v>
      </c>
      <c r="AO43" s="2">
        <v>15.40229113</v>
      </c>
      <c r="AP43" s="2">
        <v>15.40229113</v>
      </c>
      <c r="AQ43" s="2">
        <v>15.40229113</v>
      </c>
      <c r="AR43" s="2">
        <v>15.40229113</v>
      </c>
      <c r="AS43" s="2">
        <v>15.40229113</v>
      </c>
      <c r="AT43" s="2">
        <v>15.40229113</v>
      </c>
      <c r="AU43" s="2">
        <v>0.15402291100000001</v>
      </c>
      <c r="AV43" s="2" t="s">
        <v>79</v>
      </c>
      <c r="AW43" s="2"/>
      <c r="AX43" s="2"/>
      <c r="AY43" s="2"/>
    </row>
    <row r="44" spans="1:51" x14ac:dyDescent="0.2">
      <c r="A44" s="4" t="s">
        <v>9</v>
      </c>
      <c r="B44" s="2">
        <v>27.110536339999999</v>
      </c>
      <c r="C44" s="2">
        <v>27.110536339999999</v>
      </c>
      <c r="D44" s="2">
        <v>27.110536339999999</v>
      </c>
      <c r="E44" s="2">
        <v>27.110536339999999</v>
      </c>
      <c r="F44" s="2">
        <v>27.110536339999999</v>
      </c>
      <c r="G44" s="2">
        <v>27.110536339999999</v>
      </c>
      <c r="H44" s="2">
        <v>27.110536339999999</v>
      </c>
      <c r="I44" s="2">
        <v>27.110536339999999</v>
      </c>
      <c r="J44" s="2">
        <v>27.110536339999999</v>
      </c>
      <c r="K44" s="2">
        <v>27.110536339999999</v>
      </c>
      <c r="L44" s="2">
        <v>27.110536339999999</v>
      </c>
      <c r="M44" s="2">
        <v>27.110536339999999</v>
      </c>
      <c r="N44" s="2">
        <v>27.110536339999999</v>
      </c>
      <c r="O44" s="2">
        <v>27.110536339999999</v>
      </c>
      <c r="P44" s="2">
        <v>27.110536339999999</v>
      </c>
      <c r="Q44" s="2">
        <v>27.110536339999999</v>
      </c>
      <c r="R44" s="2">
        <v>27.110536339999999</v>
      </c>
      <c r="S44" s="2">
        <v>27.110536339999999</v>
      </c>
      <c r="T44" s="2">
        <v>27.110536339999999</v>
      </c>
      <c r="U44" s="2">
        <v>27.110536339999999</v>
      </c>
      <c r="V44" s="2">
        <v>27.110536339999999</v>
      </c>
      <c r="W44" s="2">
        <v>27.110536339999999</v>
      </c>
      <c r="X44" s="2">
        <v>27.110536339999999</v>
      </c>
      <c r="Y44" s="2">
        <v>27.110536339999999</v>
      </c>
      <c r="Z44" s="2">
        <v>27.110536339999999</v>
      </c>
      <c r="AA44" s="2">
        <v>27.110536339999999</v>
      </c>
      <c r="AB44" s="2">
        <v>27.110536339999999</v>
      </c>
      <c r="AC44" s="2">
        <v>27.110536339999999</v>
      </c>
      <c r="AD44" s="2">
        <v>27.110536339999999</v>
      </c>
      <c r="AE44" s="2">
        <v>27.110536339999999</v>
      </c>
      <c r="AF44" s="2">
        <v>27.110536339999999</v>
      </c>
      <c r="AG44" s="2">
        <v>27.110536339999999</v>
      </c>
      <c r="AH44" s="2">
        <v>27.110536339999999</v>
      </c>
      <c r="AI44" s="2">
        <v>27.110536339999999</v>
      </c>
      <c r="AJ44" s="2">
        <v>27.110536339999999</v>
      </c>
      <c r="AK44" s="2">
        <v>27.110536339999999</v>
      </c>
      <c r="AL44" s="2">
        <v>27.110536339999999</v>
      </c>
      <c r="AM44" s="2">
        <v>27.110536339999999</v>
      </c>
      <c r="AN44" s="2">
        <v>27.110536339999999</v>
      </c>
      <c r="AO44" s="2">
        <v>27.110536339999999</v>
      </c>
      <c r="AP44" s="2">
        <v>27.110536339999999</v>
      </c>
      <c r="AQ44" s="2">
        <v>27.110536339999999</v>
      </c>
      <c r="AR44" s="2">
        <v>27.110536339999999</v>
      </c>
      <c r="AS44" s="2">
        <v>27.110536339999999</v>
      </c>
      <c r="AT44" s="2">
        <v>27.110536339999999</v>
      </c>
      <c r="AU44" s="2">
        <v>2.7110536340000002</v>
      </c>
      <c r="AV44" s="2" t="s">
        <v>18</v>
      </c>
      <c r="AW44" s="2"/>
      <c r="AX44" s="2"/>
      <c r="AY44" s="2"/>
    </row>
    <row r="45" spans="1:51" x14ac:dyDescent="0.2">
      <c r="A45" s="4" t="s">
        <v>11</v>
      </c>
      <c r="B45" s="2">
        <v>13.070817740000001</v>
      </c>
      <c r="C45" s="2">
        <v>13.070817740000001</v>
      </c>
      <c r="D45" s="2">
        <v>13.070817740000001</v>
      </c>
      <c r="E45" s="2">
        <v>13.070817740000001</v>
      </c>
      <c r="F45" s="2">
        <v>13.070817740000001</v>
      </c>
      <c r="G45" s="2">
        <v>13.070817740000001</v>
      </c>
      <c r="H45" s="2">
        <v>13.070817740000001</v>
      </c>
      <c r="I45" s="2">
        <v>13.070817740000001</v>
      </c>
      <c r="J45" s="2">
        <v>13.070817740000001</v>
      </c>
      <c r="K45" s="2">
        <v>13.070817740000001</v>
      </c>
      <c r="L45" s="2">
        <v>13.070817740000001</v>
      </c>
      <c r="M45" s="2">
        <v>13.070817740000001</v>
      </c>
      <c r="N45" s="2">
        <v>13.070817740000001</v>
      </c>
      <c r="O45" s="2">
        <v>13.070817740000001</v>
      </c>
      <c r="P45" s="2">
        <v>13.070817740000001</v>
      </c>
      <c r="Q45" s="2">
        <v>13.070817740000001</v>
      </c>
      <c r="R45" s="2">
        <v>13.070817740000001</v>
      </c>
      <c r="S45" s="2">
        <v>13.070817740000001</v>
      </c>
      <c r="T45" s="2">
        <v>13.070817740000001</v>
      </c>
      <c r="U45" s="2">
        <v>13.070817740000001</v>
      </c>
      <c r="V45" s="2">
        <v>13.070817740000001</v>
      </c>
      <c r="W45" s="2">
        <v>13.070817740000001</v>
      </c>
      <c r="X45" s="2">
        <v>13.070817740000001</v>
      </c>
      <c r="Y45" s="2">
        <v>13.070817740000001</v>
      </c>
      <c r="Z45" s="2">
        <v>13.070817740000001</v>
      </c>
      <c r="AA45" s="2">
        <v>13.070817740000001</v>
      </c>
      <c r="AB45" s="2">
        <v>13.070817740000001</v>
      </c>
      <c r="AC45" s="2">
        <v>13.070817740000001</v>
      </c>
      <c r="AD45" s="2">
        <v>13.070817740000001</v>
      </c>
      <c r="AE45" s="2">
        <v>13.070817740000001</v>
      </c>
      <c r="AF45" s="2">
        <v>13.070817740000001</v>
      </c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 t="s">
        <v>19</v>
      </c>
      <c r="AW45" s="2"/>
      <c r="AX45" s="2"/>
      <c r="AY45" s="2"/>
    </row>
    <row r="46" spans="1:51" x14ac:dyDescent="0.2">
      <c r="A46" s="4"/>
      <c r="B46" s="2" t="s">
        <v>20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 t="s">
        <v>21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x14ac:dyDescent="0.2">
      <c r="A47" s="4" t="s">
        <v>10</v>
      </c>
      <c r="B47" s="2">
        <v>30</v>
      </c>
      <c r="C47" s="2">
        <v>30</v>
      </c>
      <c r="D47" s="2">
        <v>30</v>
      </c>
      <c r="E47" s="2">
        <v>30</v>
      </c>
      <c r="F47" s="2">
        <v>30</v>
      </c>
      <c r="G47" s="2">
        <v>30</v>
      </c>
      <c r="H47" s="2">
        <v>30</v>
      </c>
      <c r="I47" s="2">
        <v>30</v>
      </c>
      <c r="J47" s="2">
        <v>30</v>
      </c>
      <c r="K47" s="2">
        <v>30</v>
      </c>
      <c r="L47" s="2">
        <v>30</v>
      </c>
      <c r="M47" s="2">
        <v>30</v>
      </c>
      <c r="N47" s="2">
        <v>30</v>
      </c>
      <c r="O47" s="2">
        <v>30</v>
      </c>
      <c r="P47" s="2">
        <v>30</v>
      </c>
      <c r="Q47" s="2">
        <v>30</v>
      </c>
      <c r="R47" s="2">
        <v>30</v>
      </c>
      <c r="S47" s="2">
        <v>30</v>
      </c>
      <c r="T47" s="2">
        <v>30</v>
      </c>
      <c r="U47" s="2">
        <v>30</v>
      </c>
      <c r="V47" s="2">
        <v>30</v>
      </c>
      <c r="W47" s="2">
        <v>30</v>
      </c>
      <c r="X47" s="2">
        <v>30</v>
      </c>
      <c r="Y47" s="2">
        <v>30</v>
      </c>
      <c r="Z47" s="2">
        <v>30</v>
      </c>
      <c r="AA47" s="2">
        <v>30</v>
      </c>
      <c r="AB47" s="2">
        <v>30</v>
      </c>
      <c r="AC47" s="2">
        <v>30</v>
      </c>
      <c r="AD47" s="2">
        <v>30</v>
      </c>
      <c r="AE47" s="2">
        <v>30</v>
      </c>
      <c r="AF47" s="2">
        <v>30</v>
      </c>
      <c r="AG47" s="2">
        <v>30</v>
      </c>
      <c r="AH47" s="2">
        <v>30</v>
      </c>
      <c r="AI47" s="2">
        <v>30</v>
      </c>
      <c r="AJ47" s="2">
        <v>30</v>
      </c>
      <c r="AK47" s="2">
        <v>30</v>
      </c>
      <c r="AL47" s="2">
        <v>30</v>
      </c>
      <c r="AM47" s="2">
        <v>30</v>
      </c>
      <c r="AN47" s="2">
        <v>30</v>
      </c>
      <c r="AO47" s="2">
        <v>30</v>
      </c>
      <c r="AP47" s="2">
        <v>30</v>
      </c>
      <c r="AQ47" s="2"/>
      <c r="AR47" s="2"/>
      <c r="AS47" s="2"/>
      <c r="AT47" s="2"/>
      <c r="AU47" s="2"/>
      <c r="AV47" s="2"/>
      <c r="AW47" s="2"/>
      <c r="AX47" s="2"/>
      <c r="AY47" s="2"/>
    </row>
    <row r="48" spans="1:51" x14ac:dyDescent="0.2">
      <c r="A48" s="4"/>
      <c r="B48" s="2" t="s">
        <v>22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x14ac:dyDescent="0.2">
      <c r="A49" s="4" t="s">
        <v>23</v>
      </c>
      <c r="B49" s="2">
        <v>0</v>
      </c>
      <c r="C49" s="2">
        <v>4073</v>
      </c>
      <c r="D49" s="2">
        <v>13776</v>
      </c>
      <c r="E49" s="2">
        <v>44143</v>
      </c>
      <c r="F49" s="2">
        <v>60659</v>
      </c>
      <c r="G49" s="2">
        <v>166146</v>
      </c>
      <c r="H49" s="2">
        <v>171002</v>
      </c>
      <c r="I49" s="2">
        <v>81053</v>
      </c>
      <c r="J49" s="2">
        <v>29641</v>
      </c>
      <c r="K49" s="2">
        <v>8253</v>
      </c>
      <c r="L49" s="2">
        <v>4552</v>
      </c>
      <c r="M49" s="2">
        <v>1070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x14ac:dyDescent="0.2">
      <c r="A50" s="4">
        <v>1976</v>
      </c>
      <c r="B50" s="2">
        <v>0</v>
      </c>
      <c r="C50" s="2">
        <v>27</v>
      </c>
      <c r="D50" s="2">
        <v>1676</v>
      </c>
      <c r="E50" s="2">
        <v>10342</v>
      </c>
      <c r="F50" s="2">
        <v>62211</v>
      </c>
      <c r="G50" s="2">
        <v>190616</v>
      </c>
      <c r="H50" s="2">
        <v>229530</v>
      </c>
      <c r="I50" s="2">
        <v>109553</v>
      </c>
      <c r="J50" s="2">
        <v>17356</v>
      </c>
      <c r="K50" s="2">
        <v>4612</v>
      </c>
      <c r="L50" s="2">
        <v>104</v>
      </c>
      <c r="M50" s="2"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x14ac:dyDescent="0.2">
      <c r="A51" s="4">
        <v>1977</v>
      </c>
      <c r="B51" s="2">
        <v>122</v>
      </c>
      <c r="C51" s="2">
        <v>12767</v>
      </c>
      <c r="D51" s="2">
        <v>20036</v>
      </c>
      <c r="E51" s="2">
        <v>48155</v>
      </c>
      <c r="F51" s="2">
        <v>149760</v>
      </c>
      <c r="G51" s="2">
        <v>239459</v>
      </c>
      <c r="H51" s="2">
        <v>184136</v>
      </c>
      <c r="I51" s="2">
        <v>68069</v>
      </c>
      <c r="J51" s="2">
        <v>10018</v>
      </c>
      <c r="K51" s="2">
        <v>155</v>
      </c>
      <c r="L51" s="2">
        <v>0</v>
      </c>
      <c r="M51" s="2"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2">
      <c r="A52" s="4">
        <v>1978</v>
      </c>
      <c r="B52" s="2">
        <v>0</v>
      </c>
      <c r="C52" s="2">
        <v>5910</v>
      </c>
      <c r="D52" s="2">
        <v>92821</v>
      </c>
      <c r="E52" s="2">
        <v>171908</v>
      </c>
      <c r="F52" s="2">
        <v>149947</v>
      </c>
      <c r="G52" s="2">
        <v>99992</v>
      </c>
      <c r="H52" s="2">
        <v>274829</v>
      </c>
      <c r="I52" s="2">
        <v>227407</v>
      </c>
      <c r="J52" s="2">
        <v>75025</v>
      </c>
      <c r="K52" s="2">
        <v>11649</v>
      </c>
      <c r="L52" s="2">
        <v>99</v>
      </c>
      <c r="M52" s="2"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r="53" spans="1:51" x14ac:dyDescent="0.2">
      <c r="A53" s="4">
        <v>1979</v>
      </c>
      <c r="B53" s="2">
        <v>0</v>
      </c>
      <c r="C53" s="2">
        <v>0</v>
      </c>
      <c r="D53" s="2">
        <v>40320</v>
      </c>
      <c r="E53" s="2">
        <v>104406</v>
      </c>
      <c r="F53" s="2">
        <v>202313</v>
      </c>
      <c r="G53" s="2">
        <v>247236</v>
      </c>
      <c r="H53" s="2">
        <v>261704</v>
      </c>
      <c r="I53" s="2">
        <v>212251</v>
      </c>
      <c r="J53" s="2">
        <v>72124</v>
      </c>
      <c r="K53" s="2">
        <v>7503</v>
      </c>
      <c r="L53" s="2">
        <v>87</v>
      </c>
      <c r="M53" s="2"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spans="1:51" x14ac:dyDescent="0.2">
      <c r="A54" s="4">
        <v>1980</v>
      </c>
      <c r="B54" s="2">
        <v>0</v>
      </c>
      <c r="C54" s="2">
        <v>5663</v>
      </c>
      <c r="D54" s="2">
        <v>19209</v>
      </c>
      <c r="E54" s="2">
        <v>39611</v>
      </c>
      <c r="F54" s="2">
        <v>120365</v>
      </c>
      <c r="G54" s="2">
        <v>158767</v>
      </c>
      <c r="H54" s="2">
        <v>188736</v>
      </c>
      <c r="I54" s="2">
        <v>133955</v>
      </c>
      <c r="J54" s="2">
        <v>25201</v>
      </c>
      <c r="K54" s="2">
        <v>792</v>
      </c>
      <c r="L54" s="2">
        <v>0</v>
      </c>
      <c r="M54" s="2"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x14ac:dyDescent="0.2">
      <c r="A55" s="4">
        <v>1981</v>
      </c>
      <c r="B55" s="2">
        <v>0</v>
      </c>
      <c r="C55" s="2">
        <v>0</v>
      </c>
      <c r="D55" s="2">
        <v>17592</v>
      </c>
      <c r="E55" s="2">
        <v>107026</v>
      </c>
      <c r="F55" s="2">
        <v>226852</v>
      </c>
      <c r="G55" s="2">
        <v>272757</v>
      </c>
      <c r="H55" s="2">
        <v>332572</v>
      </c>
      <c r="I55" s="2">
        <v>167387</v>
      </c>
      <c r="J55" s="2">
        <v>32014</v>
      </c>
      <c r="K55" s="2">
        <v>4135</v>
      </c>
      <c r="L55" s="2">
        <v>31</v>
      </c>
      <c r="M55" s="2"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</row>
    <row r="56" spans="1:51" x14ac:dyDescent="0.2">
      <c r="A56" s="4">
        <v>1982</v>
      </c>
      <c r="B56" s="2">
        <v>0</v>
      </c>
      <c r="C56" s="2">
        <v>1674</v>
      </c>
      <c r="D56" s="2">
        <v>29021</v>
      </c>
      <c r="E56" s="2">
        <v>332623</v>
      </c>
      <c r="F56" s="2">
        <v>362536</v>
      </c>
      <c r="G56" s="2">
        <v>484944</v>
      </c>
      <c r="H56" s="2">
        <v>639872</v>
      </c>
      <c r="I56" s="2">
        <v>367034</v>
      </c>
      <c r="J56" s="2">
        <v>127157</v>
      </c>
      <c r="K56" s="2">
        <v>21795</v>
      </c>
      <c r="L56" s="2">
        <v>225</v>
      </c>
      <c r="M56" s="2"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spans="1:51" x14ac:dyDescent="0.2">
      <c r="A57" s="4">
        <v>1983</v>
      </c>
      <c r="B57" s="2">
        <v>0</v>
      </c>
      <c r="C57" s="2">
        <v>102</v>
      </c>
      <c r="D57" s="2">
        <v>1966</v>
      </c>
      <c r="E57" s="2">
        <v>49812</v>
      </c>
      <c r="F57" s="2">
        <v>151839</v>
      </c>
      <c r="G57" s="2">
        <v>222327</v>
      </c>
      <c r="H57" s="2">
        <v>205704</v>
      </c>
      <c r="I57" s="2">
        <v>103468</v>
      </c>
      <c r="J57" s="2">
        <v>21178</v>
      </c>
      <c r="K57" s="2">
        <v>556</v>
      </c>
      <c r="L57" s="2">
        <v>27</v>
      </c>
      <c r="M57" s="2"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spans="1:51" x14ac:dyDescent="0.2">
      <c r="A58" s="4">
        <v>1984</v>
      </c>
      <c r="B58" s="2">
        <v>0</v>
      </c>
      <c r="C58" s="2">
        <v>4148</v>
      </c>
      <c r="D58" s="2">
        <v>232259</v>
      </c>
      <c r="E58" s="2">
        <v>599923</v>
      </c>
      <c r="F58" s="2">
        <v>284517</v>
      </c>
      <c r="G58" s="2">
        <v>284809</v>
      </c>
      <c r="H58" s="2">
        <v>377052</v>
      </c>
      <c r="I58" s="2">
        <v>318705</v>
      </c>
      <c r="J58" s="2">
        <v>67881</v>
      </c>
      <c r="K58" s="2">
        <v>4009</v>
      </c>
      <c r="L58" s="2">
        <v>0</v>
      </c>
      <c r="M58" s="2"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x14ac:dyDescent="0.2">
      <c r="A59" s="4">
        <v>1985</v>
      </c>
      <c r="B59" s="2">
        <v>0</v>
      </c>
      <c r="C59" s="2">
        <v>886</v>
      </c>
      <c r="D59" s="2">
        <v>53397</v>
      </c>
      <c r="E59" s="2">
        <v>255301</v>
      </c>
      <c r="F59" s="2">
        <v>400091</v>
      </c>
      <c r="G59" s="2">
        <v>427340</v>
      </c>
      <c r="H59" s="2">
        <v>252577</v>
      </c>
      <c r="I59" s="2">
        <v>73876</v>
      </c>
      <c r="J59" s="2">
        <v>12239</v>
      </c>
      <c r="K59" s="2">
        <v>1256</v>
      </c>
      <c r="L59" s="2">
        <v>0</v>
      </c>
      <c r="M59" s="2"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x14ac:dyDescent="0.2">
      <c r="A60" s="4">
        <v>1986</v>
      </c>
      <c r="B60" s="2">
        <v>4646</v>
      </c>
      <c r="C60" s="2">
        <v>15143</v>
      </c>
      <c r="D60" s="2">
        <v>14153</v>
      </c>
      <c r="E60" s="2">
        <v>8069</v>
      </c>
      <c r="F60" s="2">
        <v>9791</v>
      </c>
      <c r="G60" s="2">
        <v>17324</v>
      </c>
      <c r="H60" s="2">
        <v>26790</v>
      </c>
      <c r="I60" s="2">
        <v>15727</v>
      </c>
      <c r="J60" s="2">
        <v>6358</v>
      </c>
      <c r="K60" s="2">
        <v>1078</v>
      </c>
      <c r="L60" s="2">
        <v>0</v>
      </c>
      <c r="M60" s="2"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x14ac:dyDescent="0.2">
      <c r="A61" s="4">
        <v>1987</v>
      </c>
      <c r="B61" s="2">
        <v>940</v>
      </c>
      <c r="C61" s="2">
        <v>69685</v>
      </c>
      <c r="D61" s="2">
        <v>612169</v>
      </c>
      <c r="E61" s="2">
        <v>638980</v>
      </c>
      <c r="F61" s="2">
        <v>149771</v>
      </c>
      <c r="G61" s="2">
        <v>36285</v>
      </c>
      <c r="H61" s="2">
        <v>27361</v>
      </c>
      <c r="I61" s="2">
        <v>8978</v>
      </c>
      <c r="J61" s="2">
        <v>428</v>
      </c>
      <c r="K61" s="2">
        <v>431</v>
      </c>
      <c r="L61" s="2">
        <v>16</v>
      </c>
      <c r="M61" s="2"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r="62" spans="1:51" x14ac:dyDescent="0.2">
      <c r="A62" s="4">
        <v>1988</v>
      </c>
      <c r="B62" s="2">
        <v>0</v>
      </c>
      <c r="C62" s="2">
        <v>3652</v>
      </c>
      <c r="D62" s="2">
        <v>130324</v>
      </c>
      <c r="E62" s="2">
        <v>489772</v>
      </c>
      <c r="F62" s="2">
        <v>452240</v>
      </c>
      <c r="G62" s="2">
        <v>105585</v>
      </c>
      <c r="H62" s="2">
        <v>5445</v>
      </c>
      <c r="I62" s="2">
        <v>647</v>
      </c>
      <c r="J62" s="2">
        <v>14</v>
      </c>
      <c r="K62" s="2">
        <v>0</v>
      </c>
      <c r="L62" s="2">
        <v>0</v>
      </c>
      <c r="M62" s="2"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spans="1:51" x14ac:dyDescent="0.2">
      <c r="A63" s="4">
        <v>1989</v>
      </c>
      <c r="B63" s="2">
        <v>0</v>
      </c>
      <c r="C63" s="2">
        <v>7901</v>
      </c>
      <c r="D63" s="2">
        <v>4867</v>
      </c>
      <c r="E63" s="2">
        <v>43820</v>
      </c>
      <c r="F63" s="2">
        <v>326596</v>
      </c>
      <c r="G63" s="2">
        <v>271953</v>
      </c>
      <c r="H63" s="2">
        <v>55735</v>
      </c>
      <c r="I63" s="2">
        <v>9161</v>
      </c>
      <c r="J63" s="2">
        <v>2786</v>
      </c>
      <c r="K63" s="2">
        <v>295</v>
      </c>
      <c r="L63" s="2">
        <v>47</v>
      </c>
      <c r="M63" s="2"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spans="1:51" x14ac:dyDescent="0.2">
      <c r="A64" s="4">
        <v>1990</v>
      </c>
      <c r="B64" s="2">
        <v>6262</v>
      </c>
      <c r="C64" s="2">
        <v>77422</v>
      </c>
      <c r="D64" s="2">
        <v>5668</v>
      </c>
      <c r="E64" s="2">
        <v>27866</v>
      </c>
      <c r="F64" s="2">
        <v>236685</v>
      </c>
      <c r="G64" s="2">
        <v>412335</v>
      </c>
      <c r="H64" s="2">
        <v>84292</v>
      </c>
      <c r="I64" s="2">
        <v>8079</v>
      </c>
      <c r="J64" s="2">
        <v>388</v>
      </c>
      <c r="K64" s="2">
        <v>94</v>
      </c>
      <c r="L64" s="2">
        <v>3</v>
      </c>
      <c r="M64" s="2"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spans="1:51" x14ac:dyDescent="0.2">
      <c r="A65" s="4">
        <v>1991</v>
      </c>
      <c r="B65" s="2">
        <v>21</v>
      </c>
      <c r="C65" s="2">
        <v>17154</v>
      </c>
      <c r="D65" s="2">
        <v>218253</v>
      </c>
      <c r="E65" s="2">
        <v>217953</v>
      </c>
      <c r="F65" s="2">
        <v>121225</v>
      </c>
      <c r="G65" s="2">
        <v>180648</v>
      </c>
      <c r="H65" s="2">
        <v>259236</v>
      </c>
      <c r="I65" s="2">
        <v>64615</v>
      </c>
      <c r="J65" s="2">
        <v>5402</v>
      </c>
      <c r="K65" s="2">
        <v>5551</v>
      </c>
      <c r="L65" s="2">
        <v>1113</v>
      </c>
      <c r="M65" s="2">
        <v>542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spans="1:51" x14ac:dyDescent="0.2">
      <c r="A66" s="4">
        <v>1992</v>
      </c>
      <c r="B66" s="2">
        <v>1787</v>
      </c>
      <c r="C66" s="2">
        <v>30253</v>
      </c>
      <c r="D66" s="2">
        <v>252037</v>
      </c>
      <c r="E66" s="2">
        <v>142917</v>
      </c>
      <c r="F66" s="2">
        <v>268721</v>
      </c>
      <c r="G66" s="2">
        <v>274311</v>
      </c>
      <c r="H66" s="2">
        <v>149879</v>
      </c>
      <c r="I66" s="2">
        <v>60020</v>
      </c>
      <c r="J66" s="2">
        <v>8877</v>
      </c>
      <c r="K66" s="2">
        <v>790</v>
      </c>
      <c r="L66" s="2">
        <v>39</v>
      </c>
      <c r="M66" s="2"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spans="1:51" x14ac:dyDescent="0.2">
      <c r="A67" s="4">
        <v>1993</v>
      </c>
      <c r="B67" s="2">
        <v>2413</v>
      </c>
      <c r="C67" s="2">
        <v>66476</v>
      </c>
      <c r="D67" s="2">
        <v>1485903</v>
      </c>
      <c r="E67" s="2">
        <v>597010</v>
      </c>
      <c r="F67" s="2">
        <v>115335</v>
      </c>
      <c r="G67" s="2">
        <v>99352</v>
      </c>
      <c r="H67" s="2">
        <v>19235</v>
      </c>
      <c r="I67" s="2">
        <v>7088</v>
      </c>
      <c r="J67" s="2">
        <v>2161</v>
      </c>
      <c r="K67" s="2">
        <v>730</v>
      </c>
      <c r="L67" s="2">
        <v>123</v>
      </c>
      <c r="M67" s="2">
        <v>77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spans="1:51" x14ac:dyDescent="0.2">
      <c r="A68" s="4">
        <v>1994</v>
      </c>
      <c r="B68" s="2">
        <v>431</v>
      </c>
      <c r="C68" s="2">
        <v>139526</v>
      </c>
      <c r="D68" s="2">
        <v>339253</v>
      </c>
      <c r="E68" s="2">
        <v>101904</v>
      </c>
      <c r="F68" s="2">
        <v>266129</v>
      </c>
      <c r="G68" s="2">
        <v>131505</v>
      </c>
      <c r="H68" s="2">
        <v>23152</v>
      </c>
      <c r="I68" s="2">
        <v>3211</v>
      </c>
      <c r="J68" s="2">
        <v>1618</v>
      </c>
      <c r="K68" s="2">
        <v>68</v>
      </c>
      <c r="L68" s="2">
        <v>0</v>
      </c>
      <c r="M68" s="2"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spans="1:51" x14ac:dyDescent="0.2">
      <c r="A69" s="4">
        <v>1995</v>
      </c>
      <c r="B69" s="2">
        <v>2315</v>
      </c>
      <c r="C69" s="2">
        <v>170501</v>
      </c>
      <c r="D69" s="2">
        <v>345192</v>
      </c>
      <c r="E69" s="2">
        <v>296965</v>
      </c>
      <c r="F69" s="2">
        <v>146207</v>
      </c>
      <c r="G69" s="2">
        <v>84328</v>
      </c>
      <c r="H69" s="2">
        <v>17213</v>
      </c>
      <c r="I69" s="2">
        <v>801</v>
      </c>
      <c r="J69" s="2">
        <v>82</v>
      </c>
      <c r="K69" s="2">
        <v>0</v>
      </c>
      <c r="L69" s="2">
        <v>0</v>
      </c>
      <c r="M69" s="2"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spans="1:51" x14ac:dyDescent="0.2">
      <c r="A70" s="4">
        <v>1996</v>
      </c>
      <c r="B70" s="2">
        <v>131844</v>
      </c>
      <c r="C70" s="2">
        <v>269877</v>
      </c>
      <c r="D70" s="2">
        <v>533140</v>
      </c>
      <c r="E70" s="2">
        <v>572880</v>
      </c>
      <c r="F70" s="2">
        <v>155446</v>
      </c>
      <c r="G70" s="2">
        <v>30636</v>
      </c>
      <c r="H70" s="2">
        <v>7068</v>
      </c>
      <c r="I70" s="2">
        <v>63</v>
      </c>
      <c r="J70" s="2">
        <v>68</v>
      </c>
      <c r="K70" s="2">
        <v>0</v>
      </c>
      <c r="L70" s="2">
        <v>0</v>
      </c>
      <c r="M70" s="2"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spans="1:51" x14ac:dyDescent="0.2">
      <c r="A71" s="4">
        <v>1997</v>
      </c>
      <c r="B71" s="2">
        <v>191</v>
      </c>
      <c r="C71" s="2">
        <v>26244</v>
      </c>
      <c r="D71" s="2">
        <v>307207</v>
      </c>
      <c r="E71" s="2">
        <v>204870</v>
      </c>
      <c r="F71" s="2">
        <v>23575</v>
      </c>
      <c r="G71" s="2">
        <v>694</v>
      </c>
      <c r="H71" s="2">
        <v>72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spans="1:51" x14ac:dyDescent="0.2">
      <c r="A72" s="4">
        <v>1998</v>
      </c>
      <c r="B72" s="2">
        <v>0</v>
      </c>
      <c r="C72" s="2">
        <v>3406</v>
      </c>
      <c r="D72" s="2">
        <v>89297</v>
      </c>
      <c r="E72" s="2">
        <v>37875</v>
      </c>
      <c r="F72" s="2">
        <v>18933</v>
      </c>
      <c r="G72" s="2">
        <v>5847</v>
      </c>
      <c r="H72" s="2">
        <v>285</v>
      </c>
      <c r="I72" s="2">
        <v>1</v>
      </c>
      <c r="J72" s="2">
        <v>0</v>
      </c>
      <c r="K72" s="2">
        <v>0</v>
      </c>
      <c r="L72" s="2">
        <v>0</v>
      </c>
      <c r="M72" s="2"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spans="1:51" x14ac:dyDescent="0.2">
      <c r="A73" s="4">
        <v>1999</v>
      </c>
      <c r="B73" s="2">
        <v>38</v>
      </c>
      <c r="C73" s="2">
        <v>24289</v>
      </c>
      <c r="D73" s="2">
        <v>319634</v>
      </c>
      <c r="E73" s="2">
        <v>75711</v>
      </c>
      <c r="F73" s="2">
        <v>15598</v>
      </c>
      <c r="G73" s="2">
        <v>5394</v>
      </c>
      <c r="H73" s="2">
        <v>392</v>
      </c>
      <c r="I73" s="2">
        <v>7</v>
      </c>
      <c r="J73" s="2">
        <v>0</v>
      </c>
      <c r="K73" s="2">
        <v>0</v>
      </c>
      <c r="L73" s="2">
        <v>0</v>
      </c>
      <c r="M73" s="2"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spans="1:51" x14ac:dyDescent="0.2">
      <c r="A74" s="4">
        <v>2000</v>
      </c>
      <c r="B74" s="2">
        <v>57122</v>
      </c>
      <c r="C74" s="2">
        <v>235887</v>
      </c>
      <c r="D74" s="2">
        <v>136283</v>
      </c>
      <c r="E74" s="2">
        <v>236690</v>
      </c>
      <c r="F74" s="2">
        <v>110317</v>
      </c>
      <c r="G74" s="2">
        <v>15424</v>
      </c>
      <c r="H74" s="2">
        <v>39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spans="1:51" x14ac:dyDescent="0.2">
      <c r="A75" s="4">
        <v>2001</v>
      </c>
      <c r="B75" s="2">
        <v>1568</v>
      </c>
      <c r="C75" s="2">
        <v>256795</v>
      </c>
      <c r="D75" s="2">
        <v>1326138</v>
      </c>
      <c r="E75" s="2">
        <v>491732</v>
      </c>
      <c r="F75" s="2">
        <v>25070</v>
      </c>
      <c r="G75" s="2">
        <v>1848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r="76" spans="1:51" x14ac:dyDescent="0.2">
      <c r="A76" s="4">
        <v>2002</v>
      </c>
      <c r="B76" s="2">
        <v>48483</v>
      </c>
      <c r="C76" s="2">
        <v>98920</v>
      </c>
      <c r="D76" s="2">
        <v>391463</v>
      </c>
      <c r="E76" s="2">
        <v>176981</v>
      </c>
      <c r="F76" s="2">
        <v>92150</v>
      </c>
      <c r="G76" s="2">
        <v>18789</v>
      </c>
      <c r="H76" s="2">
        <v>4497</v>
      </c>
      <c r="I76" s="2">
        <v>276</v>
      </c>
      <c r="J76" s="2">
        <v>26</v>
      </c>
      <c r="K76" s="2">
        <v>0</v>
      </c>
      <c r="L76" s="2">
        <v>0</v>
      </c>
      <c r="M76" s="2"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spans="1:51" x14ac:dyDescent="0.2">
      <c r="A77" s="4">
        <v>2003</v>
      </c>
      <c r="B77" s="2">
        <v>7504</v>
      </c>
      <c r="C77" s="2">
        <v>158188</v>
      </c>
      <c r="D77" s="2">
        <v>604518</v>
      </c>
      <c r="E77" s="2">
        <v>242543</v>
      </c>
      <c r="F77" s="2">
        <v>53916</v>
      </c>
      <c r="G77" s="2">
        <v>21616</v>
      </c>
      <c r="H77" s="2">
        <v>9440</v>
      </c>
      <c r="I77" s="2">
        <v>1894</v>
      </c>
      <c r="J77" s="2">
        <v>295</v>
      </c>
      <c r="K77" s="2">
        <v>0</v>
      </c>
      <c r="L77" s="2">
        <v>0</v>
      </c>
      <c r="M77" s="2"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spans="1:51" x14ac:dyDescent="0.2">
      <c r="A78" s="4">
        <v>2004</v>
      </c>
      <c r="B78" s="2">
        <v>747</v>
      </c>
      <c r="C78" s="2">
        <v>17164</v>
      </c>
      <c r="D78" s="2">
        <v>103070</v>
      </c>
      <c r="E78" s="2">
        <v>464915</v>
      </c>
      <c r="F78" s="2">
        <v>191312</v>
      </c>
      <c r="G78" s="2">
        <v>7389</v>
      </c>
      <c r="H78" s="2">
        <v>275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spans="1:51" x14ac:dyDescent="0.2">
      <c r="A79" s="4">
        <v>2005</v>
      </c>
      <c r="B79" s="2">
        <v>43804</v>
      </c>
      <c r="C79" s="2">
        <v>324087</v>
      </c>
      <c r="D79" s="2">
        <v>476065</v>
      </c>
      <c r="E79" s="2">
        <v>193396</v>
      </c>
      <c r="F79" s="2">
        <v>151443</v>
      </c>
      <c r="G79" s="2">
        <v>43843</v>
      </c>
      <c r="H79" s="2">
        <v>5150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</row>
    <row r="80" spans="1:51" x14ac:dyDescent="0.2">
      <c r="A80" s="4">
        <v>2006</v>
      </c>
      <c r="B80" s="2">
        <v>27386</v>
      </c>
      <c r="C80" s="2">
        <v>38392</v>
      </c>
      <c r="D80" s="2">
        <v>390068</v>
      </c>
      <c r="E80" s="2">
        <v>607711</v>
      </c>
      <c r="F80" s="2">
        <v>68098</v>
      </c>
      <c r="G80" s="2">
        <v>25256</v>
      </c>
      <c r="H80" s="2">
        <v>8161</v>
      </c>
      <c r="I80" s="2">
        <v>1256</v>
      </c>
      <c r="J80" s="2">
        <v>49</v>
      </c>
      <c r="K80" s="2">
        <v>0</v>
      </c>
      <c r="L80" s="2">
        <v>0</v>
      </c>
      <c r="M80" s="2"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spans="1:51" x14ac:dyDescent="0.2">
      <c r="A81" s="4">
        <v>2007</v>
      </c>
      <c r="B81" s="2">
        <v>681</v>
      </c>
      <c r="C81" s="2">
        <v>93552</v>
      </c>
      <c r="D81" s="2">
        <v>346671</v>
      </c>
      <c r="E81" s="2">
        <v>475258</v>
      </c>
      <c r="F81" s="2">
        <v>113550</v>
      </c>
      <c r="G81" s="2">
        <v>27460</v>
      </c>
      <c r="H81" s="2">
        <v>17712</v>
      </c>
      <c r="I81" s="2">
        <v>7169</v>
      </c>
      <c r="J81" s="2">
        <v>1191</v>
      </c>
      <c r="K81" s="2">
        <v>165</v>
      </c>
      <c r="L81" s="2">
        <v>165</v>
      </c>
      <c r="M81" s="2">
        <v>66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r="82" spans="1:51" x14ac:dyDescent="0.2">
      <c r="A82" s="4">
        <v>2008</v>
      </c>
      <c r="B82" s="2">
        <v>14499</v>
      </c>
      <c r="C82" s="2">
        <v>712726</v>
      </c>
      <c r="D82" s="2">
        <v>359139</v>
      </c>
      <c r="E82" s="2">
        <v>117862</v>
      </c>
      <c r="F82" s="2">
        <v>138886</v>
      </c>
      <c r="G82" s="2">
        <v>110359</v>
      </c>
      <c r="H82" s="2">
        <v>12931</v>
      </c>
      <c r="I82" s="2">
        <v>844</v>
      </c>
      <c r="J82" s="2">
        <v>191</v>
      </c>
      <c r="K82" s="2">
        <v>41</v>
      </c>
      <c r="L82" s="2">
        <v>0</v>
      </c>
      <c r="M82" s="2"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spans="1:51" x14ac:dyDescent="0.2">
      <c r="A83" s="4">
        <v>2009</v>
      </c>
      <c r="B83" s="2">
        <v>569</v>
      </c>
      <c r="C83" s="2">
        <v>58921</v>
      </c>
      <c r="D83" s="2">
        <v>250894</v>
      </c>
      <c r="E83" s="2">
        <v>432581</v>
      </c>
      <c r="F83" s="2">
        <v>34649</v>
      </c>
      <c r="G83" s="2">
        <v>70639</v>
      </c>
      <c r="H83" s="2">
        <v>3089</v>
      </c>
      <c r="I83" s="2">
        <v>78</v>
      </c>
      <c r="J83" s="2">
        <v>0</v>
      </c>
      <c r="K83" s="2">
        <v>0</v>
      </c>
      <c r="L83" s="2">
        <v>0</v>
      </c>
      <c r="M83" s="2"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spans="1:51" x14ac:dyDescent="0.2">
      <c r="A84" s="4">
        <v>2010</v>
      </c>
      <c r="B84" s="2">
        <v>4</v>
      </c>
      <c r="C84" s="2">
        <v>524298</v>
      </c>
      <c r="D84" s="2">
        <v>57658</v>
      </c>
      <c r="E84" s="2">
        <v>360130</v>
      </c>
      <c r="F84" s="2">
        <v>140820</v>
      </c>
      <c r="G84" s="2">
        <v>36448</v>
      </c>
      <c r="H84" s="2">
        <v>9825</v>
      </c>
      <c r="I84" s="2">
        <v>1044</v>
      </c>
      <c r="J84" s="2">
        <v>506</v>
      </c>
      <c r="K84" s="2">
        <v>146</v>
      </c>
      <c r="L84" s="2">
        <v>0</v>
      </c>
      <c r="M84" s="2"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spans="1:51" x14ac:dyDescent="0.2">
      <c r="A85" s="4">
        <v>2011</v>
      </c>
      <c r="B85" s="2">
        <v>20901</v>
      </c>
      <c r="C85" s="2">
        <v>199846</v>
      </c>
      <c r="D85" s="2">
        <v>94185</v>
      </c>
      <c r="E85" s="2">
        <v>11650</v>
      </c>
      <c r="F85" s="2">
        <v>3387</v>
      </c>
      <c r="G85" s="2">
        <v>5921</v>
      </c>
      <c r="H85" s="2">
        <v>383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spans="1:51" x14ac:dyDescent="0.2">
      <c r="A86" s="4">
        <v>2012</v>
      </c>
      <c r="B86" s="2">
        <v>2080455</v>
      </c>
      <c r="C86" s="2">
        <v>6700598</v>
      </c>
      <c r="D86" s="2">
        <v>8465934</v>
      </c>
      <c r="E86" s="2">
        <v>34863481</v>
      </c>
      <c r="F86" s="2">
        <v>4648381</v>
      </c>
      <c r="G86" s="2">
        <v>106332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51" x14ac:dyDescent="0.2">
      <c r="A87" s="4">
        <v>2013</v>
      </c>
      <c r="B87" s="2">
        <v>5232401</v>
      </c>
      <c r="C87" s="2">
        <v>86320606</v>
      </c>
      <c r="D87" s="2">
        <v>33345959</v>
      </c>
      <c r="E87" s="2">
        <v>861630</v>
      </c>
      <c r="F87" s="2">
        <v>357301</v>
      </c>
      <c r="G87" s="2">
        <v>415201</v>
      </c>
      <c r="H87" s="2">
        <v>245386</v>
      </c>
      <c r="I87" s="2">
        <v>34652</v>
      </c>
      <c r="J87" s="2">
        <v>14421</v>
      </c>
      <c r="K87" s="2">
        <v>0</v>
      </c>
      <c r="L87" s="2">
        <v>0</v>
      </c>
      <c r="M87" s="2"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spans="1:51" x14ac:dyDescent="0.2">
      <c r="A88" s="4">
        <v>2014</v>
      </c>
      <c r="B88" s="2">
        <v>3621810</v>
      </c>
      <c r="C88" s="2">
        <v>55355737</v>
      </c>
      <c r="D88" s="2">
        <v>597793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spans="1:51" x14ac:dyDescent="0.2">
      <c r="A89" s="4">
        <v>2015</v>
      </c>
      <c r="B89" s="2">
        <v>0.1070686</v>
      </c>
      <c r="C89" s="2">
        <v>2.6543560000000001E-2</v>
      </c>
      <c r="D89" s="2">
        <v>0.1050483</v>
      </c>
      <c r="E89" s="2">
        <v>0.48918610000000001</v>
      </c>
      <c r="F89" s="2">
        <v>0.2000989</v>
      </c>
      <c r="G89" s="2">
        <v>5.6453400000000001E-2</v>
      </c>
      <c r="H89" s="2">
        <v>1.083955E-2</v>
      </c>
      <c r="I89" s="2">
        <v>4.7616680000000002E-3</v>
      </c>
      <c r="J89" s="2">
        <v>0</v>
      </c>
      <c r="K89" s="2">
        <v>0</v>
      </c>
      <c r="L89" s="2">
        <v>0</v>
      </c>
      <c r="M89" s="2"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spans="1:51" x14ac:dyDescent="0.2">
      <c r="A90" s="4">
        <v>2016</v>
      </c>
      <c r="B90" s="2">
        <v>0</v>
      </c>
      <c r="C90" s="2">
        <v>0</v>
      </c>
      <c r="D90" s="2">
        <v>0.11949622999999999</v>
      </c>
      <c r="E90" s="2">
        <v>0.19185400899999999</v>
      </c>
      <c r="F90" s="2">
        <v>0.12836256400000001</v>
      </c>
      <c r="G90" s="2">
        <v>0.21069754800000001</v>
      </c>
      <c r="H90" s="2">
        <v>0.15136514300000001</v>
      </c>
      <c r="I90" s="2">
        <v>8.1497640999999996E-2</v>
      </c>
      <c r="J90" s="2">
        <v>7.5119213000000004E-2</v>
      </c>
      <c r="K90" s="2">
        <v>2.6336113000000001E-2</v>
      </c>
      <c r="L90" s="2">
        <v>9.8881139999999999E-3</v>
      </c>
      <c r="M90" s="2">
        <v>5.3834249999999998E-3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spans="1:51" x14ac:dyDescent="0.2">
      <c r="A91" s="4">
        <v>2017</v>
      </c>
      <c r="B91" s="2">
        <v>281849.40210000001</v>
      </c>
      <c r="C91" s="2">
        <v>35099113.25</v>
      </c>
      <c r="D91" s="2">
        <v>29604246.739999998</v>
      </c>
      <c r="E91" s="2">
        <v>85994703.120000005</v>
      </c>
      <c r="F91" s="2">
        <v>29768537.66</v>
      </c>
      <c r="G91" s="2">
        <v>8548291.7229999993</v>
      </c>
      <c r="H91" s="2">
        <v>1249244.088</v>
      </c>
      <c r="I91" s="2">
        <v>269457.34570000001</v>
      </c>
      <c r="J91" s="2">
        <v>137070</v>
      </c>
      <c r="K91" s="2">
        <v>68535</v>
      </c>
      <c r="L91" s="2">
        <v>0</v>
      </c>
      <c r="M91" s="2"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spans="1:51" x14ac:dyDescent="0.2">
      <c r="A92" s="4">
        <v>2018</v>
      </c>
      <c r="B92" s="2">
        <v>34460803.899999999</v>
      </c>
      <c r="C92" s="2">
        <v>105594754.90000001</v>
      </c>
      <c r="D92" s="2">
        <v>283814.32949999999</v>
      </c>
      <c r="E92" s="2">
        <v>62878.780509999997</v>
      </c>
      <c r="F92" s="2">
        <v>51789.740010000001</v>
      </c>
      <c r="G92" s="2">
        <v>75156.281130000003</v>
      </c>
      <c r="H92" s="2">
        <v>31725.13639</v>
      </c>
      <c r="I92" s="2">
        <v>2316.5488420000001</v>
      </c>
      <c r="J92" s="2">
        <v>1158.2744210000001</v>
      </c>
      <c r="K92" s="2">
        <v>0</v>
      </c>
      <c r="L92" s="2">
        <v>0</v>
      </c>
      <c r="M92" s="2"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spans="1:51" x14ac:dyDescent="0.2">
      <c r="A93" s="4">
        <v>2019</v>
      </c>
      <c r="B93" s="2">
        <v>12421.02267</v>
      </c>
      <c r="C93" s="2">
        <v>2520.6487659999998</v>
      </c>
      <c r="D93" s="2">
        <v>165.1260867</v>
      </c>
      <c r="E93" s="2">
        <v>5536.08169</v>
      </c>
      <c r="F93" s="2">
        <v>1834.633178</v>
      </c>
      <c r="G93" s="2">
        <v>5947.3240759999999</v>
      </c>
      <c r="H93" s="2">
        <v>4527.6279690000001</v>
      </c>
      <c r="I93" s="2">
        <v>2293.8953240000001</v>
      </c>
      <c r="J93" s="2">
        <v>2377.1657049999999</v>
      </c>
      <c r="K93" s="2">
        <v>1436.434242</v>
      </c>
      <c r="L93" s="2">
        <v>971.00675090000004</v>
      </c>
      <c r="M93" s="2">
        <v>1735.606781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spans="1:51" x14ac:dyDescent="0.2">
      <c r="A94" s="4" t="s">
        <v>24</v>
      </c>
      <c r="B94" s="2">
        <v>0</v>
      </c>
      <c r="C94" s="2">
        <v>0</v>
      </c>
      <c r="D94" s="2">
        <v>0</v>
      </c>
      <c r="E94" s="2">
        <v>15151.34742</v>
      </c>
      <c r="F94" s="2">
        <v>11722.96322</v>
      </c>
      <c r="G94" s="2">
        <v>19870.441790000001</v>
      </c>
      <c r="H94" s="2">
        <v>33209.819499999998</v>
      </c>
      <c r="I94" s="2">
        <v>11625.6317</v>
      </c>
      <c r="J94" s="2">
        <v>3300.668999</v>
      </c>
      <c r="K94" s="2">
        <v>170.36981489999999</v>
      </c>
      <c r="L94" s="2">
        <v>0</v>
      </c>
      <c r="M94" s="2"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spans="1:51" x14ac:dyDescent="0.2">
      <c r="A95" s="4">
        <v>1976</v>
      </c>
      <c r="B95" s="2">
        <v>0</v>
      </c>
      <c r="C95" s="2">
        <v>0</v>
      </c>
      <c r="D95" s="2">
        <v>355</v>
      </c>
      <c r="E95" s="2">
        <v>633</v>
      </c>
      <c r="F95" s="2">
        <v>2259</v>
      </c>
      <c r="G95" s="2">
        <v>7108</v>
      </c>
      <c r="H95" s="2">
        <v>11305</v>
      </c>
      <c r="I95" s="2">
        <v>10032</v>
      </c>
      <c r="J95" s="2">
        <v>5551</v>
      </c>
      <c r="K95" s="2">
        <v>1867</v>
      </c>
      <c r="L95" s="2">
        <v>999</v>
      </c>
      <c r="M95" s="2">
        <v>190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spans="1:51" x14ac:dyDescent="0.2">
      <c r="A96" s="4">
        <v>1977</v>
      </c>
      <c r="B96" s="2">
        <v>0</v>
      </c>
      <c r="C96" s="2">
        <v>1272</v>
      </c>
      <c r="D96" s="2">
        <v>364</v>
      </c>
      <c r="E96" s="2">
        <v>353</v>
      </c>
      <c r="F96" s="2">
        <v>1550</v>
      </c>
      <c r="G96" s="2">
        <v>17545</v>
      </c>
      <c r="H96" s="2">
        <v>45885</v>
      </c>
      <c r="I96" s="2">
        <v>38920</v>
      </c>
      <c r="J96" s="2">
        <v>18306</v>
      </c>
      <c r="K96" s="2">
        <v>2707</v>
      </c>
      <c r="L96" s="2">
        <v>37</v>
      </c>
      <c r="M96" s="2"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spans="1:51" x14ac:dyDescent="0.2">
      <c r="A97" s="4">
        <v>1978</v>
      </c>
      <c r="B97" s="2">
        <v>1</v>
      </c>
      <c r="C97" s="2">
        <v>223</v>
      </c>
      <c r="D97" s="2">
        <v>462</v>
      </c>
      <c r="E97" s="2">
        <v>5493</v>
      </c>
      <c r="F97" s="2">
        <v>19717</v>
      </c>
      <c r="G97" s="2">
        <v>34341</v>
      </c>
      <c r="H97" s="2">
        <v>61594</v>
      </c>
      <c r="I97" s="2">
        <v>47567</v>
      </c>
      <c r="J97" s="2">
        <v>7128</v>
      </c>
      <c r="K97" s="2">
        <v>684</v>
      </c>
      <c r="L97" s="2">
        <v>70</v>
      </c>
      <c r="M97" s="2">
        <v>4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spans="1:51" x14ac:dyDescent="0.2">
      <c r="A98" s="4">
        <v>1979</v>
      </c>
      <c r="B98" s="2">
        <v>0</v>
      </c>
      <c r="C98" s="2">
        <v>595</v>
      </c>
      <c r="D98" s="2">
        <v>4226</v>
      </c>
      <c r="E98" s="2">
        <v>20574</v>
      </c>
      <c r="F98" s="2">
        <v>70250</v>
      </c>
      <c r="G98" s="2">
        <v>115605</v>
      </c>
      <c r="H98" s="2">
        <v>96857</v>
      </c>
      <c r="I98" s="2">
        <v>45404</v>
      </c>
      <c r="J98" s="2">
        <v>12171</v>
      </c>
      <c r="K98" s="2">
        <v>1330</v>
      </c>
      <c r="L98" s="2">
        <v>0</v>
      </c>
      <c r="M98" s="2"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spans="1:51" x14ac:dyDescent="0.2">
      <c r="A99" s="4">
        <v>1980</v>
      </c>
      <c r="B99" s="2">
        <v>0</v>
      </c>
      <c r="C99" s="2">
        <v>20</v>
      </c>
      <c r="D99" s="2">
        <v>13439</v>
      </c>
      <c r="E99" s="2">
        <v>147552</v>
      </c>
      <c r="F99" s="2">
        <v>206176</v>
      </c>
      <c r="G99" s="2">
        <v>210012</v>
      </c>
      <c r="H99" s="2">
        <v>208192</v>
      </c>
      <c r="I99" s="2">
        <v>180490</v>
      </c>
      <c r="J99" s="2">
        <v>120831</v>
      </c>
      <c r="K99" s="2">
        <v>48163</v>
      </c>
      <c r="L99" s="2">
        <v>4206</v>
      </c>
      <c r="M99" s="2">
        <v>904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spans="1:51" x14ac:dyDescent="0.2">
      <c r="A100" s="4">
        <v>1981</v>
      </c>
      <c r="B100" s="2">
        <v>2152</v>
      </c>
      <c r="C100" s="2">
        <v>3996</v>
      </c>
      <c r="D100" s="2">
        <v>8314</v>
      </c>
      <c r="E100" s="2">
        <v>128820</v>
      </c>
      <c r="F100" s="2">
        <v>322829</v>
      </c>
      <c r="G100" s="2">
        <v>356395</v>
      </c>
      <c r="H100" s="2">
        <v>311998</v>
      </c>
      <c r="I100" s="2">
        <v>166713</v>
      </c>
      <c r="J100" s="2">
        <v>78325</v>
      </c>
      <c r="K100" s="2">
        <v>17706</v>
      </c>
      <c r="L100" s="2">
        <v>686</v>
      </c>
      <c r="M100" s="2">
        <v>995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spans="1:51" x14ac:dyDescent="0.2">
      <c r="A101" s="4">
        <v>1982</v>
      </c>
      <c r="B101" s="2">
        <v>0</v>
      </c>
      <c r="C101" s="2">
        <v>2419</v>
      </c>
      <c r="D101" s="2">
        <v>8973</v>
      </c>
      <c r="E101" s="2">
        <v>83655</v>
      </c>
      <c r="F101" s="2">
        <v>392031</v>
      </c>
      <c r="G101" s="2">
        <v>696981</v>
      </c>
      <c r="H101" s="2">
        <v>627159</v>
      </c>
      <c r="I101" s="2">
        <v>326988</v>
      </c>
      <c r="J101" s="2">
        <v>99193</v>
      </c>
      <c r="K101" s="2">
        <v>23220</v>
      </c>
      <c r="L101" s="2">
        <v>3581</v>
      </c>
      <c r="M101" s="2">
        <v>800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spans="1:51" x14ac:dyDescent="0.2">
      <c r="A102" s="4">
        <v>1983</v>
      </c>
      <c r="B102" s="2">
        <v>1324</v>
      </c>
      <c r="C102" s="2">
        <v>4221</v>
      </c>
      <c r="D102" s="2">
        <v>8889</v>
      </c>
      <c r="E102" s="2">
        <v>118067</v>
      </c>
      <c r="F102" s="2">
        <v>618244</v>
      </c>
      <c r="G102" s="2">
        <v>826235</v>
      </c>
      <c r="H102" s="2">
        <v>877968</v>
      </c>
      <c r="I102" s="2">
        <v>626789</v>
      </c>
      <c r="J102" s="2">
        <v>224844</v>
      </c>
      <c r="K102" s="2">
        <v>57471</v>
      </c>
      <c r="L102" s="2">
        <v>10391</v>
      </c>
      <c r="M102" s="2">
        <v>13914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spans="1:51" x14ac:dyDescent="0.2">
      <c r="A103" s="4">
        <v>1984</v>
      </c>
      <c r="B103" s="2">
        <v>1624</v>
      </c>
      <c r="C103" s="2">
        <v>98937</v>
      </c>
      <c r="D103" s="2">
        <v>191076</v>
      </c>
      <c r="E103" s="2">
        <v>314984</v>
      </c>
      <c r="F103" s="2">
        <v>749070</v>
      </c>
      <c r="G103" s="2">
        <v>1084641</v>
      </c>
      <c r="H103" s="2">
        <v>1113032</v>
      </c>
      <c r="I103" s="2">
        <v>548218</v>
      </c>
      <c r="J103" s="2">
        <v>207964</v>
      </c>
      <c r="K103" s="2">
        <v>30697</v>
      </c>
      <c r="L103" s="2">
        <v>3760</v>
      </c>
      <c r="M103" s="2">
        <v>1259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spans="1:51" x14ac:dyDescent="0.2">
      <c r="A104" s="4">
        <v>1985</v>
      </c>
      <c r="B104" s="2">
        <v>98</v>
      </c>
      <c r="C104" s="2">
        <v>7977</v>
      </c>
      <c r="D104" s="2">
        <v>190091</v>
      </c>
      <c r="E104" s="2">
        <v>357918</v>
      </c>
      <c r="F104" s="2">
        <v>447250</v>
      </c>
      <c r="G104" s="2">
        <v>985396</v>
      </c>
      <c r="H104" s="2">
        <v>1175198</v>
      </c>
      <c r="I104" s="2">
        <v>851961</v>
      </c>
      <c r="J104" s="2">
        <v>292315</v>
      </c>
      <c r="K104" s="2">
        <v>38931</v>
      </c>
      <c r="L104" s="2">
        <v>7977</v>
      </c>
      <c r="M104" s="2">
        <v>394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</row>
    <row r="105" spans="1:51" x14ac:dyDescent="0.2">
      <c r="A105" s="4">
        <v>1986</v>
      </c>
      <c r="B105" s="2">
        <v>53</v>
      </c>
      <c r="C105" s="2">
        <v>889</v>
      </c>
      <c r="D105" s="2">
        <v>39763</v>
      </c>
      <c r="E105" s="2">
        <v>372792</v>
      </c>
      <c r="F105" s="2">
        <v>621888</v>
      </c>
      <c r="G105" s="2">
        <v>1131123</v>
      </c>
      <c r="H105" s="2">
        <v>1405139</v>
      </c>
      <c r="I105" s="2">
        <v>725890</v>
      </c>
      <c r="J105" s="2">
        <v>182303</v>
      </c>
      <c r="K105" s="2">
        <v>21926</v>
      </c>
      <c r="L105" s="2">
        <v>2839</v>
      </c>
      <c r="M105" s="2">
        <v>2111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spans="1:51" x14ac:dyDescent="0.2">
      <c r="A106" s="4">
        <v>1987</v>
      </c>
      <c r="B106" s="2">
        <v>7703</v>
      </c>
      <c r="C106" s="2">
        <v>32892</v>
      </c>
      <c r="D106" s="2">
        <v>50408</v>
      </c>
      <c r="E106" s="2">
        <v>254334</v>
      </c>
      <c r="F106" s="2">
        <v>720436</v>
      </c>
      <c r="G106" s="2">
        <v>1125301</v>
      </c>
      <c r="H106" s="2">
        <v>1563727</v>
      </c>
      <c r="I106" s="2">
        <v>833125</v>
      </c>
      <c r="J106" s="2">
        <v>141461</v>
      </c>
      <c r="K106" s="2">
        <v>12640</v>
      </c>
      <c r="L106" s="2">
        <v>1048</v>
      </c>
      <c r="M106" s="2">
        <v>651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spans="1:51" x14ac:dyDescent="0.2">
      <c r="A107" s="4">
        <v>1988</v>
      </c>
      <c r="B107" s="2">
        <v>8538</v>
      </c>
      <c r="C107" s="2">
        <v>240224</v>
      </c>
      <c r="D107" s="2">
        <v>509673</v>
      </c>
      <c r="E107" s="2">
        <v>459902</v>
      </c>
      <c r="F107" s="2">
        <v>311739</v>
      </c>
      <c r="G107" s="2">
        <v>907439</v>
      </c>
      <c r="H107" s="2">
        <v>1929691</v>
      </c>
      <c r="I107" s="2">
        <v>1290613</v>
      </c>
      <c r="J107" s="2">
        <v>257500</v>
      </c>
      <c r="K107" s="2">
        <v>39754</v>
      </c>
      <c r="L107" s="2">
        <v>3890</v>
      </c>
      <c r="M107" s="2">
        <v>922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spans="1:51" x14ac:dyDescent="0.2">
      <c r="A108" s="4">
        <v>1989</v>
      </c>
      <c r="B108" s="2">
        <v>442</v>
      </c>
      <c r="C108" s="2">
        <v>23756</v>
      </c>
      <c r="D108" s="2">
        <v>228313</v>
      </c>
      <c r="E108" s="2">
        <v>1415721</v>
      </c>
      <c r="F108" s="2">
        <v>1662909</v>
      </c>
      <c r="G108" s="2">
        <v>665913</v>
      </c>
      <c r="H108" s="2">
        <v>1203766</v>
      </c>
      <c r="I108" s="2">
        <v>1215469</v>
      </c>
      <c r="J108" s="2">
        <v>405628</v>
      </c>
      <c r="K108" s="2">
        <v>50539</v>
      </c>
      <c r="L108" s="2">
        <v>6623</v>
      </c>
      <c r="M108" s="2">
        <v>114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  <row r="109" spans="1:51" x14ac:dyDescent="0.2">
      <c r="A109" s="4">
        <v>1990</v>
      </c>
      <c r="B109" s="2">
        <v>0</v>
      </c>
      <c r="C109" s="2">
        <v>5570</v>
      </c>
      <c r="D109" s="2">
        <v>34610</v>
      </c>
      <c r="E109" s="2">
        <v>283575</v>
      </c>
      <c r="F109" s="2">
        <v>1634407</v>
      </c>
      <c r="G109" s="2">
        <v>2293278</v>
      </c>
      <c r="H109" s="2">
        <v>1376907</v>
      </c>
      <c r="I109" s="2">
        <v>1070507</v>
      </c>
      <c r="J109" s="2">
        <v>406813</v>
      </c>
      <c r="K109" s="2">
        <v>64106</v>
      </c>
      <c r="L109" s="2">
        <v>1490</v>
      </c>
      <c r="M109" s="2"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</row>
    <row r="110" spans="1:51" x14ac:dyDescent="0.2">
      <c r="A110" s="4">
        <v>1991</v>
      </c>
      <c r="B110" s="2">
        <v>248</v>
      </c>
      <c r="C110" s="2">
        <v>5228</v>
      </c>
      <c r="D110" s="2">
        <v>1826</v>
      </c>
      <c r="E110" s="2">
        <v>31608</v>
      </c>
      <c r="F110" s="2">
        <v>506751</v>
      </c>
      <c r="G110" s="2">
        <v>1598666</v>
      </c>
      <c r="H110" s="2">
        <v>2003162</v>
      </c>
      <c r="I110" s="2">
        <v>1148443</v>
      </c>
      <c r="J110" s="2">
        <v>668436</v>
      </c>
      <c r="K110" s="2">
        <v>128313</v>
      </c>
      <c r="L110" s="2">
        <v>8666</v>
      </c>
      <c r="M110" s="2">
        <v>130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</row>
    <row r="111" spans="1:51" x14ac:dyDescent="0.2">
      <c r="A111" s="4">
        <v>1992</v>
      </c>
      <c r="B111" s="2">
        <v>54</v>
      </c>
      <c r="C111" s="2">
        <v>30081</v>
      </c>
      <c r="D111" s="2">
        <v>134146</v>
      </c>
      <c r="E111" s="2">
        <v>122717</v>
      </c>
      <c r="F111" s="2">
        <v>56100</v>
      </c>
      <c r="G111" s="2">
        <v>419889</v>
      </c>
      <c r="H111" s="2">
        <v>1682863</v>
      </c>
      <c r="I111" s="2">
        <v>1831750</v>
      </c>
      <c r="J111" s="2">
        <v>982207</v>
      </c>
      <c r="K111" s="2">
        <v>504943</v>
      </c>
      <c r="L111" s="2">
        <v>158725</v>
      </c>
      <c r="M111" s="2">
        <v>46297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</row>
    <row r="112" spans="1:51" x14ac:dyDescent="0.2">
      <c r="A112" s="4">
        <v>1993</v>
      </c>
      <c r="B112" s="2">
        <v>0</v>
      </c>
      <c r="C112" s="2">
        <v>0</v>
      </c>
      <c r="D112" s="2">
        <v>71389</v>
      </c>
      <c r="E112" s="2">
        <v>186534</v>
      </c>
      <c r="F112" s="2">
        <v>321697</v>
      </c>
      <c r="G112" s="2">
        <v>367160</v>
      </c>
      <c r="H112" s="2">
        <v>405356</v>
      </c>
      <c r="I112" s="2">
        <v>1258212</v>
      </c>
      <c r="J112" s="2">
        <v>1072392</v>
      </c>
      <c r="K112" s="2">
        <v>952609</v>
      </c>
      <c r="L112" s="2">
        <v>406683</v>
      </c>
      <c r="M112" s="2">
        <v>151907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</row>
    <row r="113" spans="1:51" x14ac:dyDescent="0.2">
      <c r="A113" s="4">
        <v>1994</v>
      </c>
      <c r="B113" s="2">
        <v>0</v>
      </c>
      <c r="C113" s="2">
        <v>11391</v>
      </c>
      <c r="D113" s="2">
        <v>231606</v>
      </c>
      <c r="E113" s="2">
        <v>759545</v>
      </c>
      <c r="F113" s="2">
        <v>940331</v>
      </c>
      <c r="G113" s="2">
        <v>854977</v>
      </c>
      <c r="H113" s="2">
        <v>790767</v>
      </c>
      <c r="I113" s="2">
        <v>758606</v>
      </c>
      <c r="J113" s="2">
        <v>893719</v>
      </c>
      <c r="K113" s="2">
        <v>721295</v>
      </c>
      <c r="L113" s="2">
        <v>259075</v>
      </c>
      <c r="M113" s="2">
        <v>41588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</row>
    <row r="114" spans="1:51" x14ac:dyDescent="0.2">
      <c r="A114" s="4">
        <v>1995</v>
      </c>
      <c r="B114" s="2">
        <v>0</v>
      </c>
      <c r="C114" s="2">
        <v>21702</v>
      </c>
      <c r="D114" s="2">
        <v>87328</v>
      </c>
      <c r="E114" s="2">
        <v>808441</v>
      </c>
      <c r="F114" s="2">
        <v>1200387</v>
      </c>
      <c r="G114" s="2">
        <v>1266242</v>
      </c>
      <c r="H114" s="2">
        <v>802876</v>
      </c>
      <c r="I114" s="2">
        <v>692317</v>
      </c>
      <c r="J114" s="2">
        <v>1102792</v>
      </c>
      <c r="K114" s="2">
        <v>853702</v>
      </c>
      <c r="L114" s="2">
        <v>284938</v>
      </c>
      <c r="M114" s="2">
        <v>26970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</row>
    <row r="115" spans="1:51" x14ac:dyDescent="0.2">
      <c r="A115" s="4">
        <v>1996</v>
      </c>
      <c r="B115" s="2">
        <v>760</v>
      </c>
      <c r="C115" s="2">
        <v>9375</v>
      </c>
      <c r="D115" s="2">
        <v>365691</v>
      </c>
      <c r="E115" s="2">
        <v>1727987</v>
      </c>
      <c r="F115" s="2">
        <v>1350915</v>
      </c>
      <c r="G115" s="2">
        <v>2318999</v>
      </c>
      <c r="H115" s="2">
        <v>1687597</v>
      </c>
      <c r="I115" s="2">
        <v>807698</v>
      </c>
      <c r="J115" s="2">
        <v>562790</v>
      </c>
      <c r="K115" s="2">
        <v>385464</v>
      </c>
      <c r="L115" s="2">
        <v>170813</v>
      </c>
      <c r="M115" s="2">
        <v>31602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spans="1:51" x14ac:dyDescent="0.2">
      <c r="A116" s="4">
        <v>1997</v>
      </c>
      <c r="B116" s="2">
        <v>3354</v>
      </c>
      <c r="C116" s="2">
        <v>48674</v>
      </c>
      <c r="D116" s="2">
        <v>835128</v>
      </c>
      <c r="E116" s="2">
        <v>1041899</v>
      </c>
      <c r="F116" s="2">
        <v>1421658</v>
      </c>
      <c r="G116" s="2">
        <v>1327055</v>
      </c>
      <c r="H116" s="2">
        <v>1172716</v>
      </c>
      <c r="I116" s="2">
        <v>792734</v>
      </c>
      <c r="J116" s="2">
        <v>374612</v>
      </c>
      <c r="K116" s="2">
        <v>171145</v>
      </c>
      <c r="L116" s="2">
        <v>70209</v>
      </c>
      <c r="M116" s="2">
        <v>20378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spans="1:51" x14ac:dyDescent="0.2">
      <c r="A117" s="4">
        <v>1998</v>
      </c>
      <c r="B117" s="2">
        <v>7893</v>
      </c>
      <c r="C117" s="2">
        <v>191472</v>
      </c>
      <c r="D117" s="2">
        <v>1428562</v>
      </c>
      <c r="E117" s="2">
        <v>2627586</v>
      </c>
      <c r="F117" s="2">
        <v>1898630</v>
      </c>
      <c r="G117" s="2">
        <v>906334</v>
      </c>
      <c r="H117" s="2">
        <v>488229</v>
      </c>
      <c r="I117" s="2">
        <v>377039</v>
      </c>
      <c r="J117" s="2">
        <v>302621</v>
      </c>
      <c r="K117" s="2">
        <v>132121</v>
      </c>
      <c r="L117" s="2">
        <v>75881</v>
      </c>
      <c r="M117" s="2">
        <v>42083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</row>
    <row r="118" spans="1:51" x14ac:dyDescent="0.2">
      <c r="A118" s="4">
        <v>1999</v>
      </c>
      <c r="B118" s="2">
        <v>25251</v>
      </c>
      <c r="C118" s="2">
        <v>242671</v>
      </c>
      <c r="D118" s="2">
        <v>1516538</v>
      </c>
      <c r="E118" s="2">
        <v>1864189</v>
      </c>
      <c r="F118" s="2">
        <v>763106</v>
      </c>
      <c r="G118" s="2">
        <v>345371</v>
      </c>
      <c r="H118" s="2">
        <v>165969</v>
      </c>
      <c r="I118" s="2">
        <v>178113</v>
      </c>
      <c r="J118" s="2">
        <v>173183</v>
      </c>
      <c r="K118" s="2">
        <v>79161</v>
      </c>
      <c r="L118" s="2">
        <v>32019</v>
      </c>
      <c r="M118" s="2">
        <v>13170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</row>
    <row r="119" spans="1:51" x14ac:dyDescent="0.2">
      <c r="A119" s="4">
        <v>2000</v>
      </c>
      <c r="B119" s="2">
        <v>2407</v>
      </c>
      <c r="C119" s="2">
        <v>190107</v>
      </c>
      <c r="D119" s="2">
        <v>1825090</v>
      </c>
      <c r="E119" s="2">
        <v>1676166</v>
      </c>
      <c r="F119" s="2">
        <v>718361</v>
      </c>
      <c r="G119" s="2">
        <v>267024</v>
      </c>
      <c r="H119" s="2">
        <v>76733</v>
      </c>
      <c r="I119" s="2">
        <v>34947</v>
      </c>
      <c r="J119" s="2">
        <v>59069</v>
      </c>
      <c r="K119" s="2">
        <v>54516</v>
      </c>
      <c r="L119" s="2">
        <v>34827</v>
      </c>
      <c r="M119" s="2">
        <v>28903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</row>
    <row r="120" spans="1:51" x14ac:dyDescent="0.2">
      <c r="A120" s="4">
        <v>2001</v>
      </c>
      <c r="B120" s="2">
        <v>780</v>
      </c>
      <c r="C120" s="2">
        <v>46357</v>
      </c>
      <c r="D120" s="2">
        <v>597816</v>
      </c>
      <c r="E120" s="2">
        <v>1633359</v>
      </c>
      <c r="F120" s="2">
        <v>1015296</v>
      </c>
      <c r="G120" s="2">
        <v>412689</v>
      </c>
      <c r="H120" s="2">
        <v>115221</v>
      </c>
      <c r="I120" s="2">
        <v>42928</v>
      </c>
      <c r="J120" s="2">
        <v>47268</v>
      </c>
      <c r="K120" s="2">
        <v>58944</v>
      </c>
      <c r="L120" s="2">
        <v>37371</v>
      </c>
      <c r="M120" s="2">
        <v>31373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</row>
    <row r="121" spans="1:51" x14ac:dyDescent="0.2">
      <c r="A121" s="4">
        <v>2002</v>
      </c>
      <c r="B121" s="2">
        <v>3</v>
      </c>
      <c r="C121" s="2">
        <v>32966</v>
      </c>
      <c r="D121" s="2">
        <v>361663</v>
      </c>
      <c r="E121" s="2">
        <v>970229</v>
      </c>
      <c r="F121" s="2">
        <v>1270037</v>
      </c>
      <c r="G121" s="2">
        <v>594890</v>
      </c>
      <c r="H121" s="2">
        <v>184069</v>
      </c>
      <c r="I121" s="2">
        <v>82580</v>
      </c>
      <c r="J121" s="2">
        <v>61986</v>
      </c>
      <c r="K121" s="2">
        <v>57150</v>
      </c>
      <c r="L121" s="2">
        <v>47079</v>
      </c>
      <c r="M121" s="2">
        <v>76019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</row>
    <row r="122" spans="1:51" x14ac:dyDescent="0.2">
      <c r="A122" s="4">
        <v>2003</v>
      </c>
      <c r="B122" s="2">
        <v>3553</v>
      </c>
      <c r="C122" s="2">
        <v>44875</v>
      </c>
      <c r="D122" s="2">
        <v>395001</v>
      </c>
      <c r="E122" s="2">
        <v>846794</v>
      </c>
      <c r="F122" s="2">
        <v>853666</v>
      </c>
      <c r="G122" s="2">
        <v>522140</v>
      </c>
      <c r="H122" s="2">
        <v>191428</v>
      </c>
      <c r="I122" s="2">
        <v>97160</v>
      </c>
      <c r="J122" s="2">
        <v>80106</v>
      </c>
      <c r="K122" s="2">
        <v>76745</v>
      </c>
      <c r="L122" s="2">
        <v>63094</v>
      </c>
      <c r="M122" s="2">
        <v>99435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</row>
    <row r="123" spans="1:51" x14ac:dyDescent="0.2">
      <c r="A123" s="4">
        <v>2004</v>
      </c>
      <c r="B123" s="2">
        <v>5</v>
      </c>
      <c r="C123" s="2">
        <v>16651</v>
      </c>
      <c r="D123" s="2">
        <v>232038</v>
      </c>
      <c r="E123" s="2">
        <v>908724</v>
      </c>
      <c r="F123" s="2">
        <v>1101223</v>
      </c>
      <c r="G123" s="2">
        <v>740572</v>
      </c>
      <c r="H123" s="2">
        <v>303108</v>
      </c>
      <c r="I123" s="2">
        <v>100321</v>
      </c>
      <c r="J123" s="2">
        <v>77824</v>
      </c>
      <c r="K123" s="2">
        <v>61641</v>
      </c>
      <c r="L123" s="2">
        <v>37835</v>
      </c>
      <c r="M123" s="2">
        <v>38325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</row>
    <row r="124" spans="1:51" x14ac:dyDescent="0.2">
      <c r="A124" s="4">
        <v>2005</v>
      </c>
      <c r="B124" s="2">
        <v>0</v>
      </c>
      <c r="C124" s="2">
        <v>1617</v>
      </c>
      <c r="D124" s="2">
        <v>128611</v>
      </c>
      <c r="E124" s="2">
        <v>449306</v>
      </c>
      <c r="F124" s="2">
        <v>920244</v>
      </c>
      <c r="G124" s="2">
        <v>917951</v>
      </c>
      <c r="H124" s="2">
        <v>422033</v>
      </c>
      <c r="I124" s="2">
        <v>156434</v>
      </c>
      <c r="J124" s="2">
        <v>98973</v>
      </c>
      <c r="K124" s="2">
        <v>58716</v>
      </c>
      <c r="L124" s="2">
        <v>27757</v>
      </c>
      <c r="M124" s="2">
        <v>30207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</row>
    <row r="125" spans="1:51" x14ac:dyDescent="0.2">
      <c r="A125" s="4">
        <v>2006</v>
      </c>
      <c r="B125" s="2">
        <v>14398</v>
      </c>
      <c r="C125" s="2">
        <v>15576</v>
      </c>
      <c r="D125" s="2">
        <v>14953</v>
      </c>
      <c r="E125" s="2">
        <v>145195</v>
      </c>
      <c r="F125" s="2">
        <v>460828</v>
      </c>
      <c r="G125" s="2">
        <v>1047649</v>
      </c>
      <c r="H125" s="2">
        <v>518471</v>
      </c>
      <c r="I125" s="2">
        <v>208577</v>
      </c>
      <c r="J125" s="2">
        <v>141084</v>
      </c>
      <c r="K125" s="2">
        <v>66743</v>
      </c>
      <c r="L125" s="2">
        <v>28283</v>
      </c>
      <c r="M125" s="2">
        <v>32878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</row>
    <row r="126" spans="1:51" x14ac:dyDescent="0.2">
      <c r="A126" s="4">
        <v>2007</v>
      </c>
      <c r="B126" s="2">
        <v>401</v>
      </c>
      <c r="C126" s="2">
        <v>4986</v>
      </c>
      <c r="D126" s="2">
        <v>11959</v>
      </c>
      <c r="E126" s="2">
        <v>82227</v>
      </c>
      <c r="F126" s="2">
        <v>150385</v>
      </c>
      <c r="G126" s="2">
        <v>390459</v>
      </c>
      <c r="H126" s="2">
        <v>490794</v>
      </c>
      <c r="I126" s="2">
        <v>255963</v>
      </c>
      <c r="J126" s="2">
        <v>191215</v>
      </c>
      <c r="K126" s="2">
        <v>127571</v>
      </c>
      <c r="L126" s="2">
        <v>67970</v>
      </c>
      <c r="M126" s="2">
        <v>60057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</row>
    <row r="127" spans="1:51" x14ac:dyDescent="0.2">
      <c r="A127" s="4">
        <v>2008</v>
      </c>
      <c r="B127" s="2">
        <v>0</v>
      </c>
      <c r="C127" s="2">
        <v>260</v>
      </c>
      <c r="D127" s="2">
        <v>26043</v>
      </c>
      <c r="E127" s="2">
        <v>250100</v>
      </c>
      <c r="F127" s="2">
        <v>293211</v>
      </c>
      <c r="G127" s="2">
        <v>206428</v>
      </c>
      <c r="H127" s="2">
        <v>282545</v>
      </c>
      <c r="I127" s="2">
        <v>280026</v>
      </c>
      <c r="J127" s="2">
        <v>242885</v>
      </c>
      <c r="K127" s="2">
        <v>165923</v>
      </c>
      <c r="L127" s="2">
        <v>92414</v>
      </c>
      <c r="M127" s="2">
        <v>86474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</row>
    <row r="128" spans="1:51" x14ac:dyDescent="0.2">
      <c r="A128" s="4">
        <v>2009</v>
      </c>
      <c r="B128" s="2">
        <v>6542</v>
      </c>
      <c r="C128" s="2">
        <v>23768</v>
      </c>
      <c r="D128" s="2">
        <v>1806</v>
      </c>
      <c r="E128" s="2">
        <v>6768</v>
      </c>
      <c r="F128" s="2">
        <v>74663</v>
      </c>
      <c r="G128" s="2">
        <v>237017</v>
      </c>
      <c r="H128" s="2">
        <v>215953</v>
      </c>
      <c r="I128" s="2">
        <v>168781</v>
      </c>
      <c r="J128" s="2">
        <v>124776</v>
      </c>
      <c r="K128" s="2">
        <v>104046</v>
      </c>
      <c r="L128" s="2">
        <v>55045</v>
      </c>
      <c r="M128" s="2">
        <v>100625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</row>
    <row r="129" spans="1:51" x14ac:dyDescent="0.2">
      <c r="A129" s="4">
        <v>2010</v>
      </c>
      <c r="B129" s="2">
        <v>0</v>
      </c>
      <c r="C129" s="2">
        <v>1581</v>
      </c>
      <c r="D129" s="2">
        <v>43860</v>
      </c>
      <c r="E129" s="2">
        <v>108580</v>
      </c>
      <c r="F129" s="2">
        <v>22418</v>
      </c>
      <c r="G129" s="2">
        <v>222409</v>
      </c>
      <c r="H129" s="2">
        <v>250865</v>
      </c>
      <c r="I129" s="2">
        <v>193736</v>
      </c>
      <c r="J129" s="2">
        <v>120657</v>
      </c>
      <c r="K129" s="2">
        <v>77999</v>
      </c>
      <c r="L129" s="2">
        <v>55350</v>
      </c>
      <c r="M129" s="2">
        <v>47561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</row>
    <row r="130" spans="1:51" x14ac:dyDescent="0.2">
      <c r="A130" s="4">
        <v>2011</v>
      </c>
      <c r="B130" s="2">
        <v>0</v>
      </c>
      <c r="C130" s="2">
        <v>1799</v>
      </c>
      <c r="D130" s="2">
        <v>24389</v>
      </c>
      <c r="E130" s="2">
        <v>176203</v>
      </c>
      <c r="F130" s="2">
        <v>122711</v>
      </c>
      <c r="G130" s="2">
        <v>59484</v>
      </c>
      <c r="H130" s="2">
        <v>63728</v>
      </c>
      <c r="I130" s="2">
        <v>38970</v>
      </c>
      <c r="J130" s="2">
        <v>55112</v>
      </c>
      <c r="K130" s="2">
        <v>40186</v>
      </c>
      <c r="L130" s="2">
        <v>12155</v>
      </c>
      <c r="M130" s="2">
        <v>13967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</row>
    <row r="131" spans="1:51" x14ac:dyDescent="0.2">
      <c r="A131" s="4">
        <v>2012</v>
      </c>
      <c r="B131" s="2">
        <v>0</v>
      </c>
      <c r="C131" s="2">
        <v>29</v>
      </c>
      <c r="D131" s="2">
        <v>3626</v>
      </c>
      <c r="E131" s="2">
        <v>55109</v>
      </c>
      <c r="F131" s="2">
        <v>45036</v>
      </c>
      <c r="G131" s="2">
        <v>121204</v>
      </c>
      <c r="H131" s="2">
        <v>33101</v>
      </c>
      <c r="I131" s="2">
        <v>20726</v>
      </c>
      <c r="J131" s="2">
        <v>45281</v>
      </c>
      <c r="K131" s="2">
        <v>16068</v>
      </c>
      <c r="L131" s="2">
        <v>3724</v>
      </c>
      <c r="M131" s="2">
        <v>4334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</row>
    <row r="132" spans="1:51" x14ac:dyDescent="0.2">
      <c r="A132" s="4">
        <v>2013</v>
      </c>
      <c r="B132" s="2">
        <v>0</v>
      </c>
      <c r="C132" s="2">
        <v>0</v>
      </c>
      <c r="D132" s="2">
        <v>0</v>
      </c>
      <c r="E132" s="2">
        <v>33833</v>
      </c>
      <c r="F132" s="2">
        <v>151629</v>
      </c>
      <c r="G132" s="2">
        <v>151544</v>
      </c>
      <c r="H132" s="2">
        <v>85613</v>
      </c>
      <c r="I132" s="2">
        <v>34624</v>
      </c>
      <c r="J132" s="2">
        <v>20360</v>
      </c>
      <c r="K132" s="2">
        <v>3061</v>
      </c>
      <c r="L132" s="2">
        <v>842</v>
      </c>
      <c r="M132" s="2">
        <v>834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</row>
    <row r="133" spans="1:51" x14ac:dyDescent="0.2">
      <c r="A133" s="4">
        <v>2014</v>
      </c>
      <c r="B133" s="2">
        <v>2000</v>
      </c>
      <c r="C133" s="2">
        <v>40778</v>
      </c>
      <c r="D133" s="2">
        <v>12467295</v>
      </c>
      <c r="E133" s="2">
        <v>101991694</v>
      </c>
      <c r="F133" s="2">
        <v>162856221</v>
      </c>
      <c r="G133" s="2">
        <v>181274927</v>
      </c>
      <c r="H133" s="2">
        <v>78563279</v>
      </c>
      <c r="I133" s="2">
        <v>14567793</v>
      </c>
      <c r="J133" s="2">
        <v>2215252</v>
      </c>
      <c r="K133" s="2">
        <v>980360</v>
      </c>
      <c r="L133" s="2">
        <v>171018</v>
      </c>
      <c r="M133" s="2">
        <v>459068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</row>
    <row r="134" spans="1:51" x14ac:dyDescent="0.2">
      <c r="A134" s="4">
        <v>2015</v>
      </c>
      <c r="B134" s="2">
        <v>0</v>
      </c>
      <c r="C134" s="2">
        <v>0</v>
      </c>
      <c r="D134" s="2">
        <v>9531574</v>
      </c>
      <c r="E134" s="2">
        <v>40557271</v>
      </c>
      <c r="F134" s="2">
        <v>89339609</v>
      </c>
      <c r="G134" s="2">
        <v>56536654</v>
      </c>
      <c r="H134" s="2">
        <v>33595902</v>
      </c>
      <c r="I134" s="2">
        <v>5156324</v>
      </c>
      <c r="J134" s="2">
        <v>290963</v>
      </c>
      <c r="K134" s="2">
        <v>160488</v>
      </c>
      <c r="L134" s="2">
        <v>90086</v>
      </c>
      <c r="M134" s="2">
        <v>19865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</row>
    <row r="135" spans="1:51" x14ac:dyDescent="0.2">
      <c r="A135" s="4">
        <v>2016</v>
      </c>
      <c r="B135" s="2">
        <v>2.59172E-4</v>
      </c>
      <c r="C135" s="2">
        <v>2.6733019999999998E-3</v>
      </c>
      <c r="D135" s="2">
        <v>0.10956</v>
      </c>
      <c r="E135" s="2">
        <v>0.397115</v>
      </c>
      <c r="F135" s="2">
        <v>0.16743920000000001</v>
      </c>
      <c r="G135" s="2">
        <v>0.11128250000000001</v>
      </c>
      <c r="H135" s="2">
        <v>0.1042206</v>
      </c>
      <c r="I135" s="2">
        <v>6.6095180000000003E-2</v>
      </c>
      <c r="J135" s="2">
        <v>2.3103439999999999E-2</v>
      </c>
      <c r="K135" s="2">
        <v>9.5136089999999993E-3</v>
      </c>
      <c r="L135" s="2">
        <v>3.8837680000000001E-3</v>
      </c>
      <c r="M135" s="2">
        <v>4.8541840000000001E-3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</row>
    <row r="136" spans="1:51" x14ac:dyDescent="0.2">
      <c r="A136" s="4">
        <v>2017</v>
      </c>
      <c r="B136" s="2">
        <v>0</v>
      </c>
      <c r="C136" s="2">
        <v>1.19679E-4</v>
      </c>
      <c r="D136" s="2">
        <v>2.5534037999999998E-2</v>
      </c>
      <c r="E136" s="2">
        <v>0.19662996599999999</v>
      </c>
      <c r="F136" s="2">
        <v>0.25943760799999999</v>
      </c>
      <c r="G136" s="2">
        <v>0.219934184</v>
      </c>
      <c r="H136" s="2">
        <v>0.14133959900000001</v>
      </c>
      <c r="I136" s="2">
        <v>8.2113211000000005E-2</v>
      </c>
      <c r="J136" s="2">
        <v>3.8268908999999997E-2</v>
      </c>
      <c r="K136" s="2">
        <v>2.2514487E-2</v>
      </c>
      <c r="L136" s="2">
        <v>7.1435090000000001E-3</v>
      </c>
      <c r="M136" s="2">
        <v>6.9648100000000001E-3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</row>
    <row r="137" spans="1:51" x14ac:dyDescent="0.2">
      <c r="A137" s="4">
        <v>2018</v>
      </c>
      <c r="B137" s="2">
        <v>275</v>
      </c>
      <c r="C137" s="2">
        <v>1707691.1359999999</v>
      </c>
      <c r="D137" s="2">
        <v>51790535.829999998</v>
      </c>
      <c r="E137" s="2">
        <v>122476064.3</v>
      </c>
      <c r="F137" s="2">
        <v>99063835.140000001</v>
      </c>
      <c r="G137" s="2">
        <v>115545973.7</v>
      </c>
      <c r="H137" s="2">
        <v>98222117.480000004</v>
      </c>
      <c r="I137" s="2">
        <v>64284592.969999999</v>
      </c>
      <c r="J137" s="2">
        <v>34235629.380000003</v>
      </c>
      <c r="K137" s="2">
        <v>25644078.539999999</v>
      </c>
      <c r="L137" s="2">
        <v>20242167.34</v>
      </c>
      <c r="M137" s="2">
        <v>16440602.75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</row>
    <row r="138" spans="1:51" x14ac:dyDescent="0.2">
      <c r="A138" s="4">
        <v>2019</v>
      </c>
      <c r="B138" s="2">
        <v>1250886.5220000001</v>
      </c>
      <c r="C138" s="2">
        <v>8761729.0840000007</v>
      </c>
      <c r="D138" s="2">
        <v>8221931.7309999997</v>
      </c>
      <c r="E138" s="2">
        <v>151899516.90000001</v>
      </c>
      <c r="F138" s="2">
        <v>212053291.90000001</v>
      </c>
      <c r="G138" s="2">
        <v>176377638.5</v>
      </c>
      <c r="H138" s="2">
        <v>152310045.80000001</v>
      </c>
      <c r="I138" s="2">
        <v>77762219.510000005</v>
      </c>
      <c r="J138" s="2">
        <v>46534016.079999998</v>
      </c>
      <c r="K138" s="2">
        <v>24883238.809999999</v>
      </c>
      <c r="L138" s="2">
        <v>13165827.140000001</v>
      </c>
      <c r="M138" s="2">
        <v>12812629.18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</row>
    <row r="139" spans="1:51" x14ac:dyDescent="0.2">
      <c r="A139" s="4" t="s">
        <v>25</v>
      </c>
      <c r="B139" s="2">
        <v>513.30317609999997</v>
      </c>
      <c r="C139" s="2">
        <v>298.95536470000002</v>
      </c>
      <c r="D139" s="2">
        <v>2153.6023270000001</v>
      </c>
      <c r="E139" s="2">
        <v>85603.070730000007</v>
      </c>
      <c r="F139" s="2">
        <v>166103.69699999999</v>
      </c>
      <c r="G139" s="2">
        <v>204268.56709999999</v>
      </c>
      <c r="H139" s="2">
        <v>217945.7678</v>
      </c>
      <c r="I139" s="2">
        <v>129481.58500000001</v>
      </c>
      <c r="J139" s="2">
        <v>75728.283339999994</v>
      </c>
      <c r="K139" s="2">
        <v>38996.856899999999</v>
      </c>
      <c r="L139" s="2">
        <v>10571.667589999999</v>
      </c>
      <c r="M139" s="2">
        <v>2391.2043950000002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</row>
    <row r="140" spans="1:51" x14ac:dyDescent="0.2">
      <c r="A140" s="4">
        <v>1980</v>
      </c>
      <c r="B140" s="2">
        <v>0</v>
      </c>
      <c r="C140" s="2">
        <v>0</v>
      </c>
      <c r="D140" s="2">
        <v>1534.414186</v>
      </c>
      <c r="E140" s="2">
        <v>71348.67843</v>
      </c>
      <c r="F140" s="2">
        <v>82677.071150000003</v>
      </c>
      <c r="G140" s="2">
        <v>118734.9256</v>
      </c>
      <c r="H140" s="2">
        <v>164681.5564</v>
      </c>
      <c r="I140" s="2">
        <v>139805.86670000001</v>
      </c>
      <c r="J140" s="2">
        <v>103928.133</v>
      </c>
      <c r="K140" s="2">
        <v>62801.757180000001</v>
      </c>
      <c r="L140" s="2">
        <v>24205.28673</v>
      </c>
      <c r="M140" s="2">
        <v>6881.4874689999997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</row>
    <row r="141" spans="1:51" x14ac:dyDescent="0.2">
      <c r="A141" s="4">
        <v>1981</v>
      </c>
      <c r="B141" s="2">
        <v>0</v>
      </c>
      <c r="C141" s="2">
        <v>0</v>
      </c>
      <c r="D141" s="2">
        <v>49</v>
      </c>
      <c r="E141" s="2">
        <v>1905</v>
      </c>
      <c r="F141" s="2">
        <v>20679</v>
      </c>
      <c r="G141" s="2">
        <v>69124</v>
      </c>
      <c r="H141" s="2">
        <v>132249</v>
      </c>
      <c r="I141" s="2">
        <v>157481</v>
      </c>
      <c r="J141" s="2">
        <v>97437</v>
      </c>
      <c r="K141" s="2">
        <v>40291</v>
      </c>
      <c r="L141" s="2">
        <v>3780</v>
      </c>
      <c r="M141" s="2">
        <v>904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</row>
    <row r="142" spans="1:51" x14ac:dyDescent="0.2">
      <c r="A142" s="4">
        <v>1982</v>
      </c>
      <c r="B142" s="2">
        <v>0</v>
      </c>
      <c r="C142" s="2">
        <v>3842</v>
      </c>
      <c r="D142" s="2">
        <v>4615</v>
      </c>
      <c r="E142" s="2">
        <v>38803</v>
      </c>
      <c r="F142" s="2">
        <v>114107</v>
      </c>
      <c r="G142" s="2">
        <v>173964</v>
      </c>
      <c r="H142" s="2">
        <v>187248</v>
      </c>
      <c r="I142" s="2">
        <v>122439</v>
      </c>
      <c r="J142" s="2">
        <v>64819</v>
      </c>
      <c r="K142" s="2">
        <v>17129</v>
      </c>
      <c r="L142" s="2">
        <v>686</v>
      </c>
      <c r="M142" s="2">
        <v>995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</row>
    <row r="143" spans="1:51" x14ac:dyDescent="0.2">
      <c r="A143" s="4">
        <v>1983</v>
      </c>
      <c r="B143" s="2">
        <v>0</v>
      </c>
      <c r="C143" s="2">
        <v>239</v>
      </c>
      <c r="D143" s="2">
        <v>2919</v>
      </c>
      <c r="E143" s="2">
        <v>18545</v>
      </c>
      <c r="F143" s="2">
        <v>99141</v>
      </c>
      <c r="G143" s="2">
        <v>229509</v>
      </c>
      <c r="H143" s="2">
        <v>297020</v>
      </c>
      <c r="I143" s="2">
        <v>208303</v>
      </c>
      <c r="J143" s="2">
        <v>75791</v>
      </c>
      <c r="K143" s="2">
        <v>19940</v>
      </c>
      <c r="L143" s="2">
        <v>3221</v>
      </c>
      <c r="M143" s="2">
        <v>800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</row>
    <row r="144" spans="1:51" x14ac:dyDescent="0.2">
      <c r="A144" s="4">
        <v>1984</v>
      </c>
      <c r="B144" s="2">
        <v>0</v>
      </c>
      <c r="C144" s="2">
        <v>2756</v>
      </c>
      <c r="D144" s="2">
        <v>1078</v>
      </c>
      <c r="E144" s="2">
        <v>9883</v>
      </c>
      <c r="F144" s="2">
        <v>108378</v>
      </c>
      <c r="G144" s="2">
        <v>299527</v>
      </c>
      <c r="H144" s="2">
        <v>472354</v>
      </c>
      <c r="I144" s="2">
        <v>395188</v>
      </c>
      <c r="J144" s="2">
        <v>169863</v>
      </c>
      <c r="K144" s="2">
        <v>45982</v>
      </c>
      <c r="L144" s="2">
        <v>10106</v>
      </c>
      <c r="M144" s="2">
        <v>13829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</row>
    <row r="145" spans="1:51" x14ac:dyDescent="0.2">
      <c r="A145" s="4">
        <v>1985</v>
      </c>
      <c r="B145" s="2">
        <v>0</v>
      </c>
      <c r="C145" s="2">
        <v>55448</v>
      </c>
      <c r="D145" s="2">
        <v>99493</v>
      </c>
      <c r="E145" s="2">
        <v>73750</v>
      </c>
      <c r="F145" s="2">
        <v>253656</v>
      </c>
      <c r="G145" s="2">
        <v>586485</v>
      </c>
      <c r="H145" s="2">
        <v>753756</v>
      </c>
      <c r="I145" s="2">
        <v>461208</v>
      </c>
      <c r="J145" s="2">
        <v>181606</v>
      </c>
      <c r="K145" s="2">
        <v>28049</v>
      </c>
      <c r="L145" s="2">
        <v>3760</v>
      </c>
      <c r="M145" s="2">
        <v>1259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</row>
    <row r="146" spans="1:51" x14ac:dyDescent="0.2">
      <c r="A146" s="4">
        <v>1986</v>
      </c>
      <c r="B146" s="2">
        <v>0</v>
      </c>
      <c r="C146" s="2">
        <v>2428</v>
      </c>
      <c r="D146" s="2">
        <v>53471</v>
      </c>
      <c r="E146" s="2">
        <v>168678</v>
      </c>
      <c r="F146" s="2">
        <v>238212</v>
      </c>
      <c r="G146" s="2">
        <v>433429</v>
      </c>
      <c r="H146" s="2">
        <v>594472</v>
      </c>
      <c r="I146" s="2">
        <v>526601</v>
      </c>
      <c r="J146" s="2">
        <v>208110</v>
      </c>
      <c r="K146" s="2">
        <v>26780</v>
      </c>
      <c r="L146" s="2">
        <v>7176</v>
      </c>
      <c r="M146" s="2">
        <v>394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</row>
    <row r="147" spans="1:51" x14ac:dyDescent="0.2">
      <c r="A147" s="4">
        <v>1987</v>
      </c>
      <c r="B147" s="2">
        <v>0</v>
      </c>
      <c r="C147" s="2">
        <v>539</v>
      </c>
      <c r="D147" s="2">
        <v>20116</v>
      </c>
      <c r="E147" s="2">
        <v>194707</v>
      </c>
      <c r="F147" s="2">
        <v>339644</v>
      </c>
      <c r="G147" s="2">
        <v>508644</v>
      </c>
      <c r="H147" s="2">
        <v>556157</v>
      </c>
      <c r="I147" s="2">
        <v>284185</v>
      </c>
      <c r="J147" s="2">
        <v>96589</v>
      </c>
      <c r="K147" s="2">
        <v>16896</v>
      </c>
      <c r="L147" s="2">
        <v>2661</v>
      </c>
      <c r="M147" s="2">
        <v>1840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</row>
    <row r="148" spans="1:51" x14ac:dyDescent="0.2">
      <c r="A148" s="4">
        <v>1988</v>
      </c>
      <c r="B148" s="2">
        <v>0</v>
      </c>
      <c r="C148" s="2">
        <v>27483</v>
      </c>
      <c r="D148" s="2">
        <v>33424</v>
      </c>
      <c r="E148" s="2">
        <v>143556</v>
      </c>
      <c r="F148" s="2">
        <v>392093</v>
      </c>
      <c r="G148" s="2">
        <v>486785</v>
      </c>
      <c r="H148" s="2">
        <v>515762</v>
      </c>
      <c r="I148" s="2">
        <v>300147</v>
      </c>
      <c r="J148" s="2">
        <v>62152</v>
      </c>
      <c r="K148" s="2">
        <v>6636</v>
      </c>
      <c r="L148" s="2">
        <v>748</v>
      </c>
      <c r="M148" s="2">
        <v>651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</row>
    <row r="149" spans="1:51" x14ac:dyDescent="0.2">
      <c r="A149" s="4">
        <v>1989</v>
      </c>
      <c r="B149" s="2">
        <v>0</v>
      </c>
      <c r="C149" s="2">
        <v>93104</v>
      </c>
      <c r="D149" s="2">
        <v>107476</v>
      </c>
      <c r="E149" s="2">
        <v>73668</v>
      </c>
      <c r="F149" s="2">
        <v>162818</v>
      </c>
      <c r="G149" s="2">
        <v>504537</v>
      </c>
      <c r="H149" s="2">
        <v>709648</v>
      </c>
      <c r="I149" s="2">
        <v>379588</v>
      </c>
      <c r="J149" s="2">
        <v>79536</v>
      </c>
      <c r="K149" s="2">
        <v>18316</v>
      </c>
      <c r="L149" s="2">
        <v>2974</v>
      </c>
      <c r="M149" s="2">
        <v>878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</row>
    <row r="150" spans="1:51" x14ac:dyDescent="0.2">
      <c r="A150" s="4">
        <v>1990</v>
      </c>
      <c r="B150" s="2">
        <v>0</v>
      </c>
      <c r="C150" s="2">
        <v>12902</v>
      </c>
      <c r="D150" s="2">
        <v>89058</v>
      </c>
      <c r="E150" s="2">
        <v>315639</v>
      </c>
      <c r="F150" s="2">
        <v>346045</v>
      </c>
      <c r="G150" s="2">
        <v>354066</v>
      </c>
      <c r="H150" s="2">
        <v>517995</v>
      </c>
      <c r="I150" s="2">
        <v>374576</v>
      </c>
      <c r="J150" s="2">
        <v>129093</v>
      </c>
      <c r="K150" s="2">
        <v>23035</v>
      </c>
      <c r="L150" s="2">
        <v>5183</v>
      </c>
      <c r="M150" s="2">
        <v>114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</row>
    <row r="151" spans="1:51" x14ac:dyDescent="0.2">
      <c r="A151" s="4">
        <v>1991</v>
      </c>
      <c r="B151" s="2">
        <v>0</v>
      </c>
      <c r="C151" s="2">
        <v>265</v>
      </c>
      <c r="D151" s="2">
        <v>12357</v>
      </c>
      <c r="E151" s="2">
        <v>100209</v>
      </c>
      <c r="F151" s="2">
        <v>462408</v>
      </c>
      <c r="G151" s="2">
        <v>557035</v>
      </c>
      <c r="H151" s="2">
        <v>434806</v>
      </c>
      <c r="I151" s="2">
        <v>304694</v>
      </c>
      <c r="J151" s="2">
        <v>167223</v>
      </c>
      <c r="K151" s="2">
        <v>35858</v>
      </c>
      <c r="L151" s="2">
        <v>1293</v>
      </c>
      <c r="M151" s="2">
        <v>0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</row>
    <row r="152" spans="1:51" x14ac:dyDescent="0.2">
      <c r="A152" s="4">
        <v>2000</v>
      </c>
      <c r="B152" s="2">
        <v>0</v>
      </c>
      <c r="C152" s="2">
        <v>536</v>
      </c>
      <c r="D152" s="2">
        <v>316</v>
      </c>
      <c r="E152" s="2">
        <v>10917</v>
      </c>
      <c r="F152" s="2">
        <v>176551</v>
      </c>
      <c r="G152" s="2">
        <v>590038</v>
      </c>
      <c r="H152" s="2">
        <v>501485</v>
      </c>
      <c r="I152" s="2">
        <v>265987</v>
      </c>
      <c r="J152" s="2">
        <v>179336</v>
      </c>
      <c r="K152" s="2">
        <v>56477</v>
      </c>
      <c r="L152" s="2">
        <v>5452</v>
      </c>
      <c r="M152" s="2">
        <v>130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</row>
    <row r="153" spans="1:51" x14ac:dyDescent="0.2">
      <c r="A153" s="4">
        <v>2001</v>
      </c>
      <c r="B153" s="2">
        <v>0</v>
      </c>
      <c r="C153" s="2">
        <v>3175</v>
      </c>
      <c r="D153" s="2">
        <v>4982</v>
      </c>
      <c r="E153" s="2">
        <v>9073</v>
      </c>
      <c r="F153" s="2">
        <v>21237</v>
      </c>
      <c r="G153" s="2">
        <v>176787</v>
      </c>
      <c r="H153" s="2">
        <v>431464</v>
      </c>
      <c r="I153" s="2">
        <v>247646</v>
      </c>
      <c r="J153" s="2">
        <v>104900</v>
      </c>
      <c r="K153" s="2">
        <v>57856</v>
      </c>
      <c r="L153" s="2">
        <v>22617</v>
      </c>
      <c r="M153" s="2">
        <v>9811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</row>
    <row r="154" spans="1:51" x14ac:dyDescent="0.2">
      <c r="A154" s="4">
        <v>2002</v>
      </c>
      <c r="B154" s="2">
        <v>6306</v>
      </c>
      <c r="C154" s="2">
        <v>137881</v>
      </c>
      <c r="D154" s="2">
        <v>942618</v>
      </c>
      <c r="E154" s="2">
        <v>1441303</v>
      </c>
      <c r="F154" s="2">
        <v>899838</v>
      </c>
      <c r="G154" s="2">
        <v>596871</v>
      </c>
      <c r="H154" s="2">
        <v>366956</v>
      </c>
      <c r="I154" s="2">
        <v>293198</v>
      </c>
      <c r="J154" s="2">
        <v>252406</v>
      </c>
      <c r="K154" s="2">
        <v>212107</v>
      </c>
      <c r="L154" s="2">
        <v>124963</v>
      </c>
      <c r="M154" s="2">
        <v>0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</row>
    <row r="155" spans="1:51" x14ac:dyDescent="0.2">
      <c r="A155" s="4">
        <v>2003</v>
      </c>
      <c r="B155" s="2">
        <v>0</v>
      </c>
      <c r="C155" s="2">
        <v>934657</v>
      </c>
      <c r="D155" s="2">
        <v>9037192</v>
      </c>
      <c r="E155" s="2">
        <v>17997686</v>
      </c>
      <c r="F155" s="2">
        <v>17908922</v>
      </c>
      <c r="G155" s="2">
        <v>8531161</v>
      </c>
      <c r="H155" s="2">
        <v>2716624</v>
      </c>
      <c r="I155" s="2">
        <v>1449259</v>
      </c>
      <c r="J155" s="2">
        <v>1080466</v>
      </c>
      <c r="K155" s="2">
        <v>634021</v>
      </c>
      <c r="L155" s="2">
        <v>270044</v>
      </c>
      <c r="M155" s="2">
        <v>0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</row>
    <row r="156" spans="1:51" x14ac:dyDescent="0.2">
      <c r="A156" s="4">
        <v>2006</v>
      </c>
      <c r="B156" s="2">
        <v>4000081</v>
      </c>
      <c r="C156" s="2">
        <v>5531716</v>
      </c>
      <c r="D156" s="2">
        <v>67349731</v>
      </c>
      <c r="E156" s="2">
        <v>140982758</v>
      </c>
      <c r="F156" s="2">
        <v>70957813</v>
      </c>
      <c r="G156" s="2">
        <v>30605657</v>
      </c>
      <c r="H156" s="2">
        <v>9201408</v>
      </c>
      <c r="I156" s="2">
        <v>4008110</v>
      </c>
      <c r="J156" s="2">
        <v>2741518</v>
      </c>
      <c r="K156" s="2">
        <v>1270299</v>
      </c>
      <c r="L156" s="2">
        <v>355388</v>
      </c>
      <c r="M156" s="2">
        <v>0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</row>
    <row r="157" spans="1:51" x14ac:dyDescent="0.2">
      <c r="A157" s="4">
        <v>2007</v>
      </c>
      <c r="B157" s="2">
        <v>0</v>
      </c>
      <c r="C157" s="2">
        <v>6341275</v>
      </c>
      <c r="D157" s="2">
        <v>85745637</v>
      </c>
      <c r="E157" s="2">
        <v>224217697</v>
      </c>
      <c r="F157" s="2">
        <v>114492265</v>
      </c>
      <c r="G157" s="2">
        <v>31203519</v>
      </c>
      <c r="H157" s="2">
        <v>3066560</v>
      </c>
      <c r="I157" s="2">
        <v>284648</v>
      </c>
      <c r="J157" s="2">
        <v>12549</v>
      </c>
      <c r="K157" s="2">
        <v>0</v>
      </c>
      <c r="L157" s="2">
        <v>0</v>
      </c>
      <c r="M157" s="2">
        <v>0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</row>
    <row r="158" spans="1:51" x14ac:dyDescent="0.2">
      <c r="A158" s="4">
        <v>2008</v>
      </c>
      <c r="B158" s="2">
        <v>0</v>
      </c>
      <c r="C158" s="2">
        <v>0</v>
      </c>
      <c r="D158" s="2">
        <v>16612</v>
      </c>
      <c r="E158" s="2">
        <v>4415462</v>
      </c>
      <c r="F158" s="2">
        <v>52466764</v>
      </c>
      <c r="G158" s="2">
        <v>147301785</v>
      </c>
      <c r="H158" s="2">
        <v>115905775</v>
      </c>
      <c r="I158" s="2">
        <v>38040648</v>
      </c>
      <c r="J158" s="2">
        <v>20259323</v>
      </c>
      <c r="K158" s="2">
        <v>11303820</v>
      </c>
      <c r="L158" s="2">
        <v>4769559</v>
      </c>
      <c r="M158" s="2">
        <v>0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</row>
    <row r="159" spans="1:51" x14ac:dyDescent="0.2">
      <c r="A159" s="4">
        <v>2009</v>
      </c>
      <c r="B159" s="2">
        <v>0</v>
      </c>
      <c r="C159" s="2">
        <v>0</v>
      </c>
      <c r="D159" s="2">
        <v>78923</v>
      </c>
      <c r="E159" s="2">
        <v>3543660</v>
      </c>
      <c r="F159" s="2">
        <v>33450334</v>
      </c>
      <c r="G159" s="2">
        <v>108484144</v>
      </c>
      <c r="H159" s="2">
        <v>111754594</v>
      </c>
      <c r="I159" s="2">
        <v>80023232</v>
      </c>
      <c r="J159" s="2">
        <v>71533710</v>
      </c>
      <c r="K159" s="2">
        <v>47261396</v>
      </c>
      <c r="L159" s="2">
        <v>29658723</v>
      </c>
      <c r="M159" s="2">
        <v>0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</row>
    <row r="160" spans="1:51" x14ac:dyDescent="0.2">
      <c r="A160" s="4">
        <v>2010</v>
      </c>
      <c r="B160" s="2">
        <v>0</v>
      </c>
      <c r="C160" s="2">
        <v>26553</v>
      </c>
      <c r="D160" s="2">
        <v>107275</v>
      </c>
      <c r="E160" s="2">
        <v>148191</v>
      </c>
      <c r="F160" s="2">
        <v>4403828</v>
      </c>
      <c r="G160" s="2">
        <v>44644663</v>
      </c>
      <c r="H160" s="2">
        <v>117513820</v>
      </c>
      <c r="I160" s="2">
        <v>100660545</v>
      </c>
      <c r="J160" s="2">
        <v>62122541</v>
      </c>
      <c r="K160" s="2">
        <v>40957740</v>
      </c>
      <c r="L160" s="2">
        <v>22518714</v>
      </c>
      <c r="M160" s="2">
        <v>0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</row>
    <row r="161" spans="1:51" x14ac:dyDescent="0.2">
      <c r="A161" s="4">
        <v>2011</v>
      </c>
      <c r="B161" s="2">
        <v>0</v>
      </c>
      <c r="C161" s="2">
        <v>1333996</v>
      </c>
      <c r="D161" s="2">
        <v>1946600</v>
      </c>
      <c r="E161" s="2">
        <v>2280073</v>
      </c>
      <c r="F161" s="2">
        <v>746645</v>
      </c>
      <c r="G161" s="2">
        <v>6406989</v>
      </c>
      <c r="H161" s="2">
        <v>52406193</v>
      </c>
      <c r="I161" s="2">
        <v>124204486</v>
      </c>
      <c r="J161" s="2">
        <v>89674456</v>
      </c>
      <c r="K161" s="2">
        <v>48539818</v>
      </c>
      <c r="L161" s="2">
        <v>31530284</v>
      </c>
      <c r="M161" s="2">
        <v>0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</row>
    <row r="162" spans="1:51" x14ac:dyDescent="0.2">
      <c r="A162" s="4">
        <v>2012</v>
      </c>
      <c r="B162" s="2">
        <v>0</v>
      </c>
      <c r="C162" s="2">
        <v>3782200</v>
      </c>
      <c r="D162" s="2">
        <v>76966142</v>
      </c>
      <c r="E162" s="2">
        <v>37427807</v>
      </c>
      <c r="F162" s="2">
        <v>1275573</v>
      </c>
      <c r="G162" s="2">
        <v>1121486</v>
      </c>
      <c r="H162" s="2">
        <v>12670939</v>
      </c>
      <c r="I162" s="2">
        <v>26986174</v>
      </c>
      <c r="J162" s="2">
        <v>49866868</v>
      </c>
      <c r="K162" s="2">
        <v>39441453</v>
      </c>
      <c r="L162" s="2">
        <v>13471705</v>
      </c>
      <c r="M162" s="2">
        <v>0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spans="1:51" x14ac:dyDescent="0.2">
      <c r="A163" s="4">
        <v>2013</v>
      </c>
      <c r="B163" s="2">
        <v>0</v>
      </c>
      <c r="C163" s="2">
        <v>858</v>
      </c>
      <c r="D163" s="2">
        <v>196980</v>
      </c>
      <c r="E163" s="2">
        <v>1526682</v>
      </c>
      <c r="F163" s="2">
        <v>1355508</v>
      </c>
      <c r="G163" s="2">
        <v>2714187</v>
      </c>
      <c r="H163" s="2">
        <v>1758017</v>
      </c>
      <c r="I163" s="2">
        <v>1648247</v>
      </c>
      <c r="J163" s="2">
        <v>3940873</v>
      </c>
      <c r="K163" s="2">
        <v>2319730</v>
      </c>
      <c r="L163" s="2">
        <v>903688</v>
      </c>
      <c r="M163" s="2">
        <v>0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</row>
    <row r="164" spans="1:51" x14ac:dyDescent="0.2">
      <c r="A164" s="4">
        <v>2014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40</v>
      </c>
      <c r="H164" s="2">
        <v>598</v>
      </c>
      <c r="I164" s="2">
        <v>1601</v>
      </c>
      <c r="J164" s="2">
        <v>18477</v>
      </c>
      <c r="K164" s="2">
        <v>10000</v>
      </c>
      <c r="L164" s="2">
        <v>3052</v>
      </c>
      <c r="M164" s="2">
        <v>2932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</row>
    <row r="165" spans="1:51" x14ac:dyDescent="0.2">
      <c r="A165" s="4">
        <v>2015</v>
      </c>
      <c r="B165" s="5">
        <v>0</v>
      </c>
      <c r="C165" s="2">
        <v>1</v>
      </c>
      <c r="D165" s="2">
        <v>1044</v>
      </c>
      <c r="E165" s="2">
        <v>18799</v>
      </c>
      <c r="F165" s="2">
        <v>21113</v>
      </c>
      <c r="G165" s="2">
        <v>25626</v>
      </c>
      <c r="H165" s="2">
        <v>16848</v>
      </c>
      <c r="I165" s="2">
        <v>8282</v>
      </c>
      <c r="J165" s="2">
        <v>3278</v>
      </c>
      <c r="K165" s="2">
        <v>4366</v>
      </c>
      <c r="L165" s="2">
        <v>1374</v>
      </c>
      <c r="M165" s="2">
        <v>1040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</row>
    <row r="166" spans="1:51" x14ac:dyDescent="0.2">
      <c r="A166" s="4">
        <v>2016</v>
      </c>
      <c r="B166" s="5">
        <v>0</v>
      </c>
      <c r="C166" s="2">
        <v>797</v>
      </c>
      <c r="D166" s="2">
        <v>14195</v>
      </c>
      <c r="E166" s="2">
        <v>10921</v>
      </c>
      <c r="F166" s="2">
        <v>6912</v>
      </c>
      <c r="G166" s="2">
        <v>7281</v>
      </c>
      <c r="H166" s="2">
        <v>5920</v>
      </c>
      <c r="I166" s="2">
        <v>2354</v>
      </c>
      <c r="J166" s="2">
        <v>1088</v>
      </c>
      <c r="K166" s="2">
        <v>526</v>
      </c>
      <c r="L166" s="2">
        <v>337</v>
      </c>
      <c r="M166" s="2">
        <v>676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</row>
    <row r="167" spans="1:51" x14ac:dyDescent="0.2">
      <c r="A167" s="4">
        <v>2017</v>
      </c>
      <c r="B167" s="5">
        <v>1.17E-5</v>
      </c>
      <c r="C167" s="2">
        <v>3.9886920000000003E-3</v>
      </c>
      <c r="D167" s="2">
        <v>9.5879989999999998E-2</v>
      </c>
      <c r="E167" s="2">
        <v>0.18613499999999999</v>
      </c>
      <c r="F167" s="2">
        <v>0.13965079999999999</v>
      </c>
      <c r="G167" s="2">
        <v>0.15134600000000001</v>
      </c>
      <c r="H167" s="2">
        <v>0.16049289999999999</v>
      </c>
      <c r="I167" s="2">
        <v>0.14145089999999999</v>
      </c>
      <c r="J167" s="2">
        <v>4.8689290000000003E-2</v>
      </c>
      <c r="K167" s="2">
        <v>2.9899479999999999E-2</v>
      </c>
      <c r="L167" s="2">
        <v>1.756023E-2</v>
      </c>
      <c r="M167" s="2">
        <v>2.4894920000000001E-2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</row>
    <row r="168" spans="1:51" x14ac:dyDescent="0.2">
      <c r="A168" s="4">
        <v>2018</v>
      </c>
      <c r="B168" s="7">
        <v>0</v>
      </c>
      <c r="C168" s="6">
        <v>1.7012138999999999E-2</v>
      </c>
      <c r="D168" s="6">
        <v>0.13048412200000001</v>
      </c>
      <c r="E168" s="6">
        <v>0.20502441699999999</v>
      </c>
      <c r="F168" s="6">
        <v>0.23870456900000001</v>
      </c>
      <c r="G168" s="6">
        <v>0.17149798799999999</v>
      </c>
      <c r="H168" s="6">
        <v>0.11394699599999999</v>
      </c>
      <c r="I168" s="6">
        <v>5.8575553000000002E-2</v>
      </c>
      <c r="J168" s="6">
        <v>3.3933892E-2</v>
      </c>
      <c r="K168" s="6">
        <v>2.1002765E-2</v>
      </c>
      <c r="L168" s="6">
        <v>2.9220930000000002E-3</v>
      </c>
      <c r="M168" s="6">
        <v>6.8954660000000003E-3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</row>
    <row r="169" spans="1:51" x14ac:dyDescent="0.2">
      <c r="A169" s="4"/>
      <c r="B169" s="2">
        <v>63499.17856</v>
      </c>
      <c r="C169" s="2">
        <v>64286.407370000001</v>
      </c>
      <c r="D169" s="2">
        <v>30671.980500000001</v>
      </c>
      <c r="E169" s="2">
        <v>22142.807229999999</v>
      </c>
      <c r="F169" s="2">
        <v>9864.7552919999998</v>
      </c>
      <c r="G169" s="2">
        <v>5475.1288990000003</v>
      </c>
      <c r="H169" s="2">
        <v>5909.5348329999997</v>
      </c>
      <c r="I169" s="2">
        <v>4230.6655289999999</v>
      </c>
      <c r="J169" s="2">
        <v>2314.0675000000001</v>
      </c>
      <c r="K169" s="2">
        <v>938.1815828</v>
      </c>
      <c r="L169" s="2">
        <v>79.729958069999995</v>
      </c>
      <c r="M169" s="2">
        <v>1.1793833229999999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</row>
    <row r="170" spans="1:51" x14ac:dyDescent="0.2">
      <c r="A170" s="4" t="s">
        <v>27</v>
      </c>
      <c r="B170" s="2">
        <v>0</v>
      </c>
      <c r="C170" s="2">
        <v>6606071.0360000003</v>
      </c>
      <c r="D170" s="2">
        <v>66987907.920000002</v>
      </c>
      <c r="E170" s="2">
        <v>70476929.859999999</v>
      </c>
      <c r="F170" s="2">
        <v>43639045.270000003</v>
      </c>
      <c r="G170" s="2">
        <v>14990832.59</v>
      </c>
      <c r="H170" s="2">
        <v>8159109.4890000001</v>
      </c>
      <c r="I170" s="2">
        <v>3738142.676</v>
      </c>
      <c r="J170" s="2">
        <v>1783142.287</v>
      </c>
      <c r="K170" s="2">
        <v>992511.33990000002</v>
      </c>
      <c r="L170" s="2">
        <v>55865.13278</v>
      </c>
      <c r="M170" s="2">
        <v>50345.342490000003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</row>
    <row r="171" spans="1:51" x14ac:dyDescent="0.2">
      <c r="A171" s="4">
        <v>1981</v>
      </c>
      <c r="B171" s="2">
        <v>9861.0502120000001</v>
      </c>
      <c r="C171" s="2">
        <v>31045.071800000002</v>
      </c>
      <c r="D171" s="2">
        <v>11047.258669999999</v>
      </c>
      <c r="E171" s="2">
        <v>9989.5036600000003</v>
      </c>
      <c r="F171" s="2">
        <v>13530.24343</v>
      </c>
      <c r="G171" s="2">
        <v>8567.6722210000007</v>
      </c>
      <c r="H171" s="2">
        <v>6850.3930609999998</v>
      </c>
      <c r="I171" s="2">
        <v>6234.2873920000002</v>
      </c>
      <c r="J171" s="2">
        <v>8520.3885320000009</v>
      </c>
      <c r="K171" s="2">
        <v>6625.9814509999997</v>
      </c>
      <c r="L171" s="2">
        <v>2466.666056</v>
      </c>
      <c r="M171" s="2">
        <v>332.73996670000002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</row>
    <row r="172" spans="1:51" x14ac:dyDescent="0.2">
      <c r="A172" s="4">
        <v>1982</v>
      </c>
      <c r="B172" s="2" t="s">
        <v>26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</row>
    <row r="173" spans="1:51" x14ac:dyDescent="0.2">
      <c r="A173" s="4">
        <v>1983</v>
      </c>
      <c r="B173" s="2">
        <v>44</v>
      </c>
      <c r="C173" s="2">
        <v>59</v>
      </c>
      <c r="D173" s="2">
        <v>71</v>
      </c>
      <c r="E173" s="2">
        <v>59</v>
      </c>
      <c r="F173" s="2">
        <v>126</v>
      </c>
      <c r="G173" s="2">
        <v>67</v>
      </c>
      <c r="H173" s="2">
        <v>184</v>
      </c>
      <c r="I173" s="2">
        <v>105</v>
      </c>
      <c r="J173" s="2">
        <v>67</v>
      </c>
      <c r="K173" s="2">
        <v>50</v>
      </c>
      <c r="L173" s="2">
        <v>0</v>
      </c>
      <c r="M173" s="2">
        <v>0</v>
      </c>
      <c r="N173" s="2">
        <v>0</v>
      </c>
      <c r="O173" s="2">
        <v>33</v>
      </c>
      <c r="P173" s="2">
        <v>46</v>
      </c>
      <c r="Q173" s="2">
        <v>25</v>
      </c>
      <c r="R173" s="2">
        <v>9</v>
      </c>
      <c r="S173" s="2">
        <v>9</v>
      </c>
      <c r="T173" s="2">
        <v>50</v>
      </c>
      <c r="U173" s="2">
        <v>101</v>
      </c>
      <c r="V173" s="2">
        <v>134</v>
      </c>
      <c r="W173" s="2">
        <v>209</v>
      </c>
      <c r="X173" s="2">
        <v>318</v>
      </c>
      <c r="Y173" s="2">
        <v>471</v>
      </c>
      <c r="Z173" s="2">
        <v>419</v>
      </c>
      <c r="AA173" s="2">
        <v>343</v>
      </c>
      <c r="AB173" s="2">
        <v>251</v>
      </c>
      <c r="AC173" s="2">
        <v>184</v>
      </c>
      <c r="AD173" s="2">
        <v>134</v>
      </c>
      <c r="AE173" s="2">
        <v>84</v>
      </c>
      <c r="AF173" s="2">
        <v>50</v>
      </c>
      <c r="AG173" s="2">
        <v>33</v>
      </c>
      <c r="AH173" s="2">
        <v>33</v>
      </c>
      <c r="AI173" s="2">
        <v>29</v>
      </c>
      <c r="AJ173" s="2">
        <v>17</v>
      </c>
      <c r="AK173" s="2">
        <v>9</v>
      </c>
      <c r="AL173" s="2">
        <v>9</v>
      </c>
      <c r="AM173" s="2">
        <v>0</v>
      </c>
      <c r="AN173" s="2">
        <v>0</v>
      </c>
      <c r="AO173" s="2">
        <v>0</v>
      </c>
      <c r="AP173" s="2">
        <v>0</v>
      </c>
      <c r="AQ173" s="2"/>
      <c r="AR173" s="2"/>
      <c r="AS173" s="2"/>
      <c r="AT173" s="2"/>
      <c r="AU173" s="2"/>
      <c r="AV173" s="2"/>
      <c r="AW173" s="2"/>
      <c r="AX173" s="2"/>
      <c r="AY173" s="2"/>
    </row>
    <row r="174" spans="1:51" x14ac:dyDescent="0.2">
      <c r="A174" s="4">
        <v>1984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6</v>
      </c>
      <c r="S174" s="2">
        <v>14</v>
      </c>
      <c r="T174" s="2">
        <v>28</v>
      </c>
      <c r="U174" s="2">
        <v>101</v>
      </c>
      <c r="V174" s="2">
        <v>129</v>
      </c>
      <c r="W174" s="2">
        <v>105</v>
      </c>
      <c r="X174" s="2">
        <v>109</v>
      </c>
      <c r="Y174" s="2">
        <v>112</v>
      </c>
      <c r="Z174" s="2">
        <v>105</v>
      </c>
      <c r="AA174" s="2">
        <v>87</v>
      </c>
      <c r="AB174" s="2">
        <v>78</v>
      </c>
      <c r="AC174" s="2">
        <v>62</v>
      </c>
      <c r="AD174" s="2">
        <v>50</v>
      </c>
      <c r="AE174" s="2">
        <v>36</v>
      </c>
      <c r="AF174" s="2">
        <v>34</v>
      </c>
      <c r="AG174" s="2">
        <v>22</v>
      </c>
      <c r="AH174" s="2">
        <v>20</v>
      </c>
      <c r="AI174" s="2">
        <v>17</v>
      </c>
      <c r="AJ174" s="2">
        <v>8</v>
      </c>
      <c r="AK174" s="2">
        <v>3</v>
      </c>
      <c r="AL174" s="2">
        <v>1</v>
      </c>
      <c r="AM174" s="2">
        <v>0</v>
      </c>
      <c r="AN174" s="2">
        <v>0</v>
      </c>
      <c r="AO174" s="2">
        <v>0</v>
      </c>
      <c r="AP174" s="2">
        <v>0</v>
      </c>
      <c r="AQ174" s="2"/>
      <c r="AR174" s="2"/>
      <c r="AS174" s="2"/>
      <c r="AT174" s="2"/>
      <c r="AU174" s="2"/>
      <c r="AV174" s="2"/>
      <c r="AW174" s="2"/>
      <c r="AX174" s="2"/>
      <c r="AY174" s="2"/>
    </row>
    <row r="175" spans="1:51" x14ac:dyDescent="0.2">
      <c r="A175" s="4">
        <v>1985</v>
      </c>
      <c r="B175" s="2">
        <v>0</v>
      </c>
      <c r="C175" s="2">
        <v>23</v>
      </c>
      <c r="D175" s="2">
        <v>91</v>
      </c>
      <c r="E175" s="2">
        <v>272</v>
      </c>
      <c r="F175" s="2">
        <v>545</v>
      </c>
      <c r="G175" s="2">
        <v>545</v>
      </c>
      <c r="H175" s="2">
        <v>523</v>
      </c>
      <c r="I175" s="2">
        <v>477</v>
      </c>
      <c r="J175" s="2">
        <v>409</v>
      </c>
      <c r="K175" s="2">
        <v>432</v>
      </c>
      <c r="L175" s="2">
        <v>545</v>
      </c>
      <c r="M175" s="2">
        <v>364</v>
      </c>
      <c r="N175" s="2">
        <v>68</v>
      </c>
      <c r="O175" s="2">
        <v>23</v>
      </c>
      <c r="P175" s="2">
        <v>0</v>
      </c>
      <c r="Q175" s="2">
        <v>0</v>
      </c>
      <c r="R175" s="2">
        <v>0</v>
      </c>
      <c r="S175" s="2">
        <v>0</v>
      </c>
      <c r="T175" s="2">
        <v>45</v>
      </c>
      <c r="U175" s="2">
        <v>91</v>
      </c>
      <c r="V175" s="2">
        <v>136</v>
      </c>
      <c r="W175" s="2">
        <v>409</v>
      </c>
      <c r="X175" s="2">
        <v>795</v>
      </c>
      <c r="Y175" s="2">
        <v>1136</v>
      </c>
      <c r="Z175" s="2">
        <v>840</v>
      </c>
      <c r="AA175" s="2">
        <v>545</v>
      </c>
      <c r="AB175" s="2">
        <v>296</v>
      </c>
      <c r="AC175" s="2">
        <v>227</v>
      </c>
      <c r="AD175" s="2">
        <v>181</v>
      </c>
      <c r="AE175" s="2">
        <v>159</v>
      </c>
      <c r="AF175" s="2">
        <v>136</v>
      </c>
      <c r="AG175" s="2">
        <v>113</v>
      </c>
      <c r="AH175" s="2">
        <v>23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/>
      <c r="AR175" s="2"/>
      <c r="AS175" s="2"/>
      <c r="AT175" s="2"/>
      <c r="AU175" s="2"/>
      <c r="AV175" s="2"/>
      <c r="AW175" s="2"/>
      <c r="AX175" s="2"/>
      <c r="AY175" s="2"/>
    </row>
    <row r="176" spans="1:51" x14ac:dyDescent="0.2">
      <c r="A176" s="4">
        <v>1986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22</v>
      </c>
      <c r="R176" s="2">
        <v>114</v>
      </c>
      <c r="S176" s="2">
        <v>137</v>
      </c>
      <c r="T176" s="2">
        <v>182</v>
      </c>
      <c r="U176" s="2">
        <v>206</v>
      </c>
      <c r="V176" s="2">
        <v>297</v>
      </c>
      <c r="W176" s="2">
        <v>707</v>
      </c>
      <c r="X176" s="2">
        <v>1426</v>
      </c>
      <c r="Y176" s="2">
        <v>1711</v>
      </c>
      <c r="Z176" s="2">
        <v>1426</v>
      </c>
      <c r="AA176" s="2">
        <v>1254</v>
      </c>
      <c r="AB176" s="2">
        <v>707</v>
      </c>
      <c r="AC176" s="2">
        <v>502</v>
      </c>
      <c r="AD176" s="2">
        <v>297</v>
      </c>
      <c r="AE176" s="2">
        <v>228</v>
      </c>
      <c r="AF176" s="2">
        <v>114</v>
      </c>
      <c r="AG176" s="2">
        <v>69</v>
      </c>
      <c r="AH176" s="2">
        <v>137</v>
      </c>
      <c r="AI176" s="2">
        <v>69</v>
      </c>
      <c r="AJ176" s="2">
        <v>22</v>
      </c>
      <c r="AK176" s="2">
        <v>46</v>
      </c>
      <c r="AL176" s="2">
        <v>22</v>
      </c>
      <c r="AM176" s="2">
        <v>0</v>
      </c>
      <c r="AN176" s="2">
        <v>0</v>
      </c>
      <c r="AO176" s="2">
        <v>0</v>
      </c>
      <c r="AP176" s="2">
        <v>0</v>
      </c>
      <c r="AQ176" s="2"/>
      <c r="AR176" s="2"/>
      <c r="AS176" s="2"/>
      <c r="AT176" s="2"/>
      <c r="AU176" s="2"/>
      <c r="AV176" s="2"/>
      <c r="AW176" s="2"/>
      <c r="AX176" s="2"/>
      <c r="AY176" s="2"/>
    </row>
    <row r="177" spans="1:51" x14ac:dyDescent="0.2">
      <c r="A177" s="4">
        <v>1987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8</v>
      </c>
      <c r="H177" s="2">
        <v>16</v>
      </c>
      <c r="I177" s="2">
        <v>8</v>
      </c>
      <c r="J177" s="2">
        <v>4</v>
      </c>
      <c r="K177" s="2">
        <v>0</v>
      </c>
      <c r="L177" s="2">
        <v>4</v>
      </c>
      <c r="M177" s="2">
        <v>8</v>
      </c>
      <c r="N177" s="2">
        <v>41</v>
      </c>
      <c r="O177" s="2">
        <v>90</v>
      </c>
      <c r="P177" s="2">
        <v>160</v>
      </c>
      <c r="Q177" s="2">
        <v>340</v>
      </c>
      <c r="R177" s="2">
        <v>872</v>
      </c>
      <c r="S177" s="2">
        <v>1743</v>
      </c>
      <c r="T177" s="2">
        <v>2472</v>
      </c>
      <c r="U177" s="2">
        <v>3355</v>
      </c>
      <c r="V177" s="2">
        <v>3441</v>
      </c>
      <c r="W177" s="2">
        <v>3270</v>
      </c>
      <c r="X177" s="2">
        <v>4325</v>
      </c>
      <c r="Y177" s="2">
        <v>4657</v>
      </c>
      <c r="Z177" s="2">
        <v>4153</v>
      </c>
      <c r="AA177" s="2">
        <v>3245</v>
      </c>
      <c r="AB177" s="2">
        <v>2545</v>
      </c>
      <c r="AC177" s="2">
        <v>1731</v>
      </c>
      <c r="AD177" s="2">
        <v>1166</v>
      </c>
      <c r="AE177" s="2">
        <v>777</v>
      </c>
      <c r="AF177" s="2">
        <v>585</v>
      </c>
      <c r="AG177" s="2">
        <v>401</v>
      </c>
      <c r="AH177" s="2">
        <v>274</v>
      </c>
      <c r="AI177" s="2">
        <v>258</v>
      </c>
      <c r="AJ177" s="2">
        <v>209</v>
      </c>
      <c r="AK177" s="2">
        <v>147</v>
      </c>
      <c r="AL177" s="2">
        <v>217</v>
      </c>
      <c r="AM177" s="2">
        <v>147</v>
      </c>
      <c r="AN177" s="2">
        <v>123</v>
      </c>
      <c r="AO177" s="2">
        <v>45</v>
      </c>
      <c r="AP177" s="2">
        <v>0</v>
      </c>
      <c r="AQ177" s="2"/>
      <c r="AR177" s="2"/>
      <c r="AS177" s="2"/>
      <c r="AT177" s="2"/>
      <c r="AU177" s="2"/>
      <c r="AV177" s="2"/>
      <c r="AW177" s="2"/>
      <c r="AX177" s="2"/>
      <c r="AY177" s="2"/>
    </row>
    <row r="178" spans="1:51" x14ac:dyDescent="0.2">
      <c r="A178" s="4">
        <v>1988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3</v>
      </c>
      <c r="J178" s="2">
        <v>6</v>
      </c>
      <c r="K178" s="2">
        <v>8</v>
      </c>
      <c r="L178" s="2">
        <v>16</v>
      </c>
      <c r="M178" s="2">
        <v>16</v>
      </c>
      <c r="N178" s="2">
        <v>19</v>
      </c>
      <c r="O178" s="2">
        <v>19</v>
      </c>
      <c r="P178" s="2">
        <v>22</v>
      </c>
      <c r="Q178" s="2">
        <v>31</v>
      </c>
      <c r="R178" s="2">
        <v>62</v>
      </c>
      <c r="S178" s="2">
        <v>136</v>
      </c>
      <c r="T178" s="2">
        <v>215</v>
      </c>
      <c r="U178" s="2">
        <v>399</v>
      </c>
      <c r="V178" s="2">
        <v>535</v>
      </c>
      <c r="W178" s="2">
        <v>615</v>
      </c>
      <c r="X178" s="2">
        <v>818</v>
      </c>
      <c r="Y178" s="2">
        <v>848</v>
      </c>
      <c r="Z178" s="2">
        <v>949</v>
      </c>
      <c r="AA178" s="2">
        <v>987</v>
      </c>
      <c r="AB178" s="2">
        <v>888</v>
      </c>
      <c r="AC178" s="2">
        <v>906</v>
      </c>
      <c r="AD178" s="2">
        <v>822</v>
      </c>
      <c r="AE178" s="2">
        <v>821</v>
      </c>
      <c r="AF178" s="2">
        <v>725</v>
      </c>
      <c r="AG178" s="2">
        <v>585</v>
      </c>
      <c r="AH178" s="2">
        <v>439</v>
      </c>
      <c r="AI178" s="2">
        <v>353</v>
      </c>
      <c r="AJ178" s="2">
        <v>277</v>
      </c>
      <c r="AK178" s="2">
        <v>259</v>
      </c>
      <c r="AL178" s="2">
        <v>242</v>
      </c>
      <c r="AM178" s="2">
        <v>179</v>
      </c>
      <c r="AN178" s="2">
        <v>199</v>
      </c>
      <c r="AO178" s="2">
        <v>150</v>
      </c>
      <c r="AP178" s="2">
        <v>0</v>
      </c>
      <c r="AQ178" s="2"/>
      <c r="AR178" s="2"/>
      <c r="AS178" s="2"/>
      <c r="AT178" s="2"/>
      <c r="AU178" s="2"/>
      <c r="AV178" s="2"/>
      <c r="AW178" s="2"/>
      <c r="AX178" s="2"/>
      <c r="AY178" s="2"/>
    </row>
    <row r="179" spans="1:51" x14ac:dyDescent="0.2">
      <c r="A179" s="4">
        <v>1989</v>
      </c>
      <c r="B179" s="2">
        <v>3</v>
      </c>
      <c r="C179" s="2">
        <v>8</v>
      </c>
      <c r="D179" s="2">
        <v>18</v>
      </c>
      <c r="E179" s="2">
        <v>13</v>
      </c>
      <c r="F179" s="2">
        <v>13</v>
      </c>
      <c r="G179" s="2">
        <v>27</v>
      </c>
      <c r="H179" s="2">
        <v>39</v>
      </c>
      <c r="I179" s="2">
        <v>29</v>
      </c>
      <c r="J179" s="2">
        <v>14</v>
      </c>
      <c r="K179" s="2">
        <v>17</v>
      </c>
      <c r="L179" s="2">
        <v>24</v>
      </c>
      <c r="M179" s="2">
        <v>36</v>
      </c>
      <c r="N179" s="2">
        <v>51</v>
      </c>
      <c r="O179" s="2">
        <v>63</v>
      </c>
      <c r="P179" s="2">
        <v>64</v>
      </c>
      <c r="Q179" s="2">
        <v>67</v>
      </c>
      <c r="R179" s="2">
        <v>57</v>
      </c>
      <c r="S179" s="2">
        <v>37</v>
      </c>
      <c r="T179" s="2">
        <v>23</v>
      </c>
      <c r="U179" s="2">
        <v>17</v>
      </c>
      <c r="V179" s="2">
        <v>30</v>
      </c>
      <c r="W179" s="2">
        <v>53</v>
      </c>
      <c r="X179" s="2">
        <v>165</v>
      </c>
      <c r="Y179" s="2">
        <v>397</v>
      </c>
      <c r="Z179" s="2">
        <v>691</v>
      </c>
      <c r="AA179" s="2">
        <v>1066</v>
      </c>
      <c r="AB179" s="2">
        <v>1337</v>
      </c>
      <c r="AC179" s="2">
        <v>1260</v>
      </c>
      <c r="AD179" s="2">
        <v>1255</v>
      </c>
      <c r="AE179" s="2">
        <v>896</v>
      </c>
      <c r="AF179" s="2">
        <v>637</v>
      </c>
      <c r="AG179" s="2">
        <v>478</v>
      </c>
      <c r="AH179" s="2">
        <v>369</v>
      </c>
      <c r="AI179" s="2">
        <v>287</v>
      </c>
      <c r="AJ179" s="2">
        <v>257</v>
      </c>
      <c r="AK179" s="2">
        <v>207</v>
      </c>
      <c r="AL179" s="2">
        <v>195</v>
      </c>
      <c r="AM179" s="2">
        <v>141</v>
      </c>
      <c r="AN179" s="2">
        <v>140</v>
      </c>
      <c r="AO179" s="2">
        <v>109</v>
      </c>
      <c r="AP179" s="2">
        <v>0</v>
      </c>
      <c r="AQ179" s="2"/>
      <c r="AR179" s="2"/>
      <c r="AS179" s="2"/>
      <c r="AT179" s="2"/>
      <c r="AU179" s="2"/>
      <c r="AV179" s="2"/>
      <c r="AW179" s="2"/>
      <c r="AX179" s="2"/>
      <c r="AY179" s="2"/>
    </row>
    <row r="180" spans="1:51" x14ac:dyDescent="0.2">
      <c r="A180" s="4">
        <v>1990</v>
      </c>
      <c r="B180" s="2">
        <v>2</v>
      </c>
      <c r="C180" s="2">
        <v>6</v>
      </c>
      <c r="D180" s="2">
        <v>8</v>
      </c>
      <c r="E180" s="2">
        <v>10</v>
      </c>
      <c r="F180" s="2">
        <v>6</v>
      </c>
      <c r="G180" s="2">
        <v>21</v>
      </c>
      <c r="H180" s="2">
        <v>52</v>
      </c>
      <c r="I180" s="2">
        <v>61</v>
      </c>
      <c r="J180" s="2">
        <v>43</v>
      </c>
      <c r="K180" s="2">
        <v>44</v>
      </c>
      <c r="L180" s="2">
        <v>74</v>
      </c>
      <c r="M180" s="2">
        <v>95</v>
      </c>
      <c r="N180" s="2">
        <v>106</v>
      </c>
      <c r="O180" s="2">
        <v>169</v>
      </c>
      <c r="P180" s="2">
        <v>254</v>
      </c>
      <c r="Q180" s="2">
        <v>395</v>
      </c>
      <c r="R180" s="2">
        <v>533</v>
      </c>
      <c r="S180" s="2">
        <v>830</v>
      </c>
      <c r="T180" s="2">
        <v>1110</v>
      </c>
      <c r="U180" s="2">
        <v>1215</v>
      </c>
      <c r="V180" s="2">
        <v>1071</v>
      </c>
      <c r="W180" s="2">
        <v>861</v>
      </c>
      <c r="X180" s="2">
        <v>537</v>
      </c>
      <c r="Y180" s="2">
        <v>337</v>
      </c>
      <c r="Z180" s="2">
        <v>249</v>
      </c>
      <c r="AA180" s="2">
        <v>308</v>
      </c>
      <c r="AB180" s="2">
        <v>376</v>
      </c>
      <c r="AC180" s="2">
        <v>408</v>
      </c>
      <c r="AD180" s="2">
        <v>335</v>
      </c>
      <c r="AE180" s="2">
        <v>213</v>
      </c>
      <c r="AF180" s="2">
        <v>200</v>
      </c>
      <c r="AG180" s="2">
        <v>160</v>
      </c>
      <c r="AH180" s="2">
        <v>130</v>
      </c>
      <c r="AI180" s="2">
        <v>92</v>
      </c>
      <c r="AJ180" s="2">
        <v>61</v>
      </c>
      <c r="AK180" s="2">
        <v>44</v>
      </c>
      <c r="AL180" s="2">
        <v>19</v>
      </c>
      <c r="AM180" s="2">
        <v>10</v>
      </c>
      <c r="AN180" s="2">
        <v>7</v>
      </c>
      <c r="AO180" s="2">
        <v>8</v>
      </c>
      <c r="AP180" s="2">
        <v>0</v>
      </c>
      <c r="AQ180" s="2"/>
      <c r="AR180" s="2"/>
      <c r="AS180" s="2"/>
      <c r="AT180" s="2"/>
      <c r="AU180" s="2"/>
      <c r="AV180" s="2"/>
      <c r="AW180" s="2"/>
      <c r="AX180" s="2"/>
      <c r="AY180" s="2"/>
    </row>
    <row r="181" spans="1:51" x14ac:dyDescent="0.2">
      <c r="A181" s="4">
        <v>1991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4</v>
      </c>
      <c r="J181" s="2">
        <v>22</v>
      </c>
      <c r="K181" s="2">
        <v>60</v>
      </c>
      <c r="L181" s="2">
        <v>73</v>
      </c>
      <c r="M181" s="2">
        <v>95</v>
      </c>
      <c r="N181" s="2">
        <v>186</v>
      </c>
      <c r="O181" s="2">
        <v>354</v>
      </c>
      <c r="P181" s="2">
        <v>739</v>
      </c>
      <c r="Q181" s="2">
        <v>1663</v>
      </c>
      <c r="R181" s="2">
        <v>2985</v>
      </c>
      <c r="S181" s="2">
        <v>3961</v>
      </c>
      <c r="T181" s="2">
        <v>4250</v>
      </c>
      <c r="U181" s="2">
        <v>3615</v>
      </c>
      <c r="V181" s="2">
        <v>2985</v>
      </c>
      <c r="W181" s="2">
        <v>2134</v>
      </c>
      <c r="X181" s="2">
        <v>1559</v>
      </c>
      <c r="Y181" s="2">
        <v>1378</v>
      </c>
      <c r="Z181" s="2">
        <v>1309</v>
      </c>
      <c r="AA181" s="2">
        <v>1304</v>
      </c>
      <c r="AB181" s="2">
        <v>1266</v>
      </c>
      <c r="AC181" s="2">
        <v>1136</v>
      </c>
      <c r="AD181" s="2">
        <v>981</v>
      </c>
      <c r="AE181" s="2">
        <v>1019</v>
      </c>
      <c r="AF181" s="2">
        <v>972</v>
      </c>
      <c r="AG181" s="2">
        <v>1149</v>
      </c>
      <c r="AH181" s="2">
        <v>1058</v>
      </c>
      <c r="AI181" s="2">
        <v>1045</v>
      </c>
      <c r="AJ181" s="2">
        <v>1088</v>
      </c>
      <c r="AK181" s="2">
        <v>1145</v>
      </c>
      <c r="AL181" s="2">
        <v>1045</v>
      </c>
      <c r="AM181" s="2">
        <v>747</v>
      </c>
      <c r="AN181" s="2">
        <v>596</v>
      </c>
      <c r="AO181" s="2">
        <v>354</v>
      </c>
      <c r="AP181" s="2">
        <v>0</v>
      </c>
      <c r="AQ181" s="2"/>
      <c r="AR181" s="2"/>
      <c r="AS181" s="2"/>
      <c r="AT181" s="2"/>
      <c r="AU181" s="2"/>
      <c r="AV181" s="2"/>
      <c r="AW181" s="2"/>
      <c r="AX181" s="2"/>
      <c r="AY181" s="2"/>
    </row>
    <row r="182" spans="1:51" x14ac:dyDescent="0.2">
      <c r="A182" s="4">
        <v>1992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7</v>
      </c>
      <c r="L182" s="2">
        <v>179</v>
      </c>
      <c r="M182" s="2">
        <v>365</v>
      </c>
      <c r="N182" s="2">
        <v>3204</v>
      </c>
      <c r="O182" s="2">
        <v>4837</v>
      </c>
      <c r="P182" s="2">
        <v>2294</v>
      </c>
      <c r="Q182" s="2">
        <v>2723</v>
      </c>
      <c r="R182" s="2">
        <v>1988</v>
      </c>
      <c r="S182" s="2">
        <v>1212</v>
      </c>
      <c r="T182" s="2">
        <v>877</v>
      </c>
      <c r="U182" s="2">
        <v>1009</v>
      </c>
      <c r="V182" s="2">
        <v>1157</v>
      </c>
      <c r="W182" s="2">
        <v>1309</v>
      </c>
      <c r="X182" s="2">
        <v>2110</v>
      </c>
      <c r="Y182" s="2">
        <v>2874</v>
      </c>
      <c r="Z182" s="2">
        <v>3570</v>
      </c>
      <c r="AA182" s="2">
        <v>3979</v>
      </c>
      <c r="AB182" s="2">
        <v>3959</v>
      </c>
      <c r="AC182" s="2">
        <v>2848</v>
      </c>
      <c r="AD182" s="2">
        <v>2080</v>
      </c>
      <c r="AE182" s="2">
        <v>1295</v>
      </c>
      <c r="AF182" s="2">
        <v>705</v>
      </c>
      <c r="AG182" s="2">
        <v>498</v>
      </c>
      <c r="AH182" s="2">
        <v>386</v>
      </c>
      <c r="AI182" s="2">
        <v>297</v>
      </c>
      <c r="AJ182" s="2">
        <v>260</v>
      </c>
      <c r="AK182" s="2">
        <v>251</v>
      </c>
      <c r="AL182" s="2">
        <v>260</v>
      </c>
      <c r="AM182" s="2">
        <v>237</v>
      </c>
      <c r="AN182" s="2">
        <v>191</v>
      </c>
      <c r="AO182" s="2">
        <v>185</v>
      </c>
      <c r="AP182" s="2">
        <v>0</v>
      </c>
      <c r="AQ182" s="2"/>
      <c r="AR182" s="2"/>
      <c r="AS182" s="2"/>
      <c r="AT182" s="2"/>
      <c r="AU182" s="2"/>
      <c r="AV182" s="2"/>
      <c r="AW182" s="2"/>
      <c r="AX182" s="2"/>
      <c r="AY182" s="2"/>
    </row>
    <row r="183" spans="1:51" x14ac:dyDescent="0.2">
      <c r="A183" s="4">
        <v>1993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22</v>
      </c>
      <c r="M183" s="2">
        <v>45</v>
      </c>
      <c r="N183" s="2">
        <v>90</v>
      </c>
      <c r="O183" s="2">
        <v>90</v>
      </c>
      <c r="P183" s="2">
        <v>127</v>
      </c>
      <c r="Q183" s="2">
        <v>187</v>
      </c>
      <c r="R183" s="2">
        <v>247</v>
      </c>
      <c r="S183" s="2">
        <v>284</v>
      </c>
      <c r="T183" s="2">
        <v>486</v>
      </c>
      <c r="U183" s="2">
        <v>860</v>
      </c>
      <c r="V183" s="2">
        <v>1533</v>
      </c>
      <c r="W183" s="2">
        <v>2326</v>
      </c>
      <c r="X183" s="2">
        <v>3373</v>
      </c>
      <c r="Y183" s="2">
        <v>4548</v>
      </c>
      <c r="Z183" s="2">
        <v>5221</v>
      </c>
      <c r="AA183" s="2">
        <v>6769</v>
      </c>
      <c r="AB183" s="2">
        <v>8579</v>
      </c>
      <c r="AC183" s="2">
        <v>9410</v>
      </c>
      <c r="AD183" s="2">
        <v>7353</v>
      </c>
      <c r="AE183" s="2">
        <v>6119</v>
      </c>
      <c r="AF183" s="2">
        <v>4473</v>
      </c>
      <c r="AG183" s="2">
        <v>3194</v>
      </c>
      <c r="AH183" s="2">
        <v>2409</v>
      </c>
      <c r="AI183" s="2">
        <v>1855</v>
      </c>
      <c r="AJ183" s="2">
        <v>1279</v>
      </c>
      <c r="AK183" s="2">
        <v>808</v>
      </c>
      <c r="AL183" s="2">
        <v>554</v>
      </c>
      <c r="AM183" s="2">
        <v>292</v>
      </c>
      <c r="AN183" s="2">
        <v>202</v>
      </c>
      <c r="AO183" s="2">
        <v>90</v>
      </c>
      <c r="AP183" s="2">
        <v>0</v>
      </c>
      <c r="AQ183" s="2"/>
      <c r="AR183" s="2"/>
      <c r="AS183" s="2"/>
      <c r="AT183" s="2"/>
      <c r="AU183" s="2"/>
      <c r="AV183" s="2"/>
      <c r="AW183" s="2"/>
      <c r="AX183" s="2"/>
      <c r="AY183" s="2"/>
    </row>
    <row r="184" spans="1:51" x14ac:dyDescent="0.2">
      <c r="A184" s="4">
        <v>1994</v>
      </c>
      <c r="B184" s="2">
        <v>0</v>
      </c>
      <c r="C184" s="2">
        <v>0</v>
      </c>
      <c r="D184" s="2">
        <v>0</v>
      </c>
      <c r="E184" s="2">
        <v>3</v>
      </c>
      <c r="F184" s="2">
        <v>0</v>
      </c>
      <c r="G184" s="2">
        <v>13</v>
      </c>
      <c r="H184" s="2">
        <v>62</v>
      </c>
      <c r="I184" s="2">
        <v>112</v>
      </c>
      <c r="J184" s="2">
        <v>85</v>
      </c>
      <c r="K184" s="2">
        <v>102</v>
      </c>
      <c r="L184" s="2">
        <v>131</v>
      </c>
      <c r="M184" s="2">
        <v>99</v>
      </c>
      <c r="N184" s="2">
        <v>118</v>
      </c>
      <c r="O184" s="2">
        <v>927</v>
      </c>
      <c r="P184" s="2">
        <v>2308</v>
      </c>
      <c r="Q184" s="2">
        <v>1107</v>
      </c>
      <c r="R184" s="2">
        <v>686</v>
      </c>
      <c r="S184" s="2">
        <v>628</v>
      </c>
      <c r="T184" s="2">
        <v>658</v>
      </c>
      <c r="U184" s="2">
        <v>813</v>
      </c>
      <c r="V184" s="2">
        <v>1134</v>
      </c>
      <c r="W184" s="2">
        <v>1749</v>
      </c>
      <c r="X184" s="2">
        <v>2249</v>
      </c>
      <c r="Y184" s="2">
        <v>2786</v>
      </c>
      <c r="Z184" s="2">
        <v>2851</v>
      </c>
      <c r="AA184" s="2">
        <v>3441</v>
      </c>
      <c r="AB184" s="2">
        <v>4354</v>
      </c>
      <c r="AC184" s="2">
        <v>4262</v>
      </c>
      <c r="AD184" s="2">
        <v>3939</v>
      </c>
      <c r="AE184" s="2">
        <v>3496</v>
      </c>
      <c r="AF184" s="2">
        <v>2993</v>
      </c>
      <c r="AG184" s="2">
        <v>1877</v>
      </c>
      <c r="AH184" s="2">
        <v>1405</v>
      </c>
      <c r="AI184" s="2">
        <v>1469</v>
      </c>
      <c r="AJ184" s="2">
        <v>1237</v>
      </c>
      <c r="AK184" s="2">
        <v>1167</v>
      </c>
      <c r="AL184" s="2">
        <v>1130</v>
      </c>
      <c r="AM184" s="2">
        <v>864</v>
      </c>
      <c r="AN184" s="2">
        <v>687</v>
      </c>
      <c r="AO184" s="2">
        <v>616</v>
      </c>
      <c r="AP184" s="2">
        <v>504</v>
      </c>
      <c r="AQ184" s="2"/>
      <c r="AR184" s="2"/>
      <c r="AS184" s="2"/>
      <c r="AT184" s="2"/>
      <c r="AU184" s="2"/>
      <c r="AV184" s="2"/>
      <c r="AW184" s="2"/>
      <c r="AX184" s="2"/>
      <c r="AY184" s="2"/>
    </row>
    <row r="185" spans="1:51" x14ac:dyDescent="0.2">
      <c r="A185" s="4">
        <v>1995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19</v>
      </c>
      <c r="L185" s="2">
        <v>103</v>
      </c>
      <c r="M185" s="2">
        <v>306</v>
      </c>
      <c r="N185" s="2">
        <v>166</v>
      </c>
      <c r="O185" s="2">
        <v>124</v>
      </c>
      <c r="P185" s="2">
        <v>162</v>
      </c>
      <c r="Q185" s="2">
        <v>131</v>
      </c>
      <c r="R185" s="2">
        <v>116</v>
      </c>
      <c r="S185" s="2">
        <v>136</v>
      </c>
      <c r="T185" s="2">
        <v>164</v>
      </c>
      <c r="U185" s="2">
        <v>273</v>
      </c>
      <c r="V185" s="2">
        <v>471</v>
      </c>
      <c r="W185" s="2">
        <v>698</v>
      </c>
      <c r="X185" s="2">
        <v>1108</v>
      </c>
      <c r="Y185" s="2">
        <v>1555</v>
      </c>
      <c r="Z185" s="2">
        <v>1948</v>
      </c>
      <c r="AA185" s="2">
        <v>1862</v>
      </c>
      <c r="AB185" s="2">
        <v>1393</v>
      </c>
      <c r="AC185" s="2">
        <v>1054</v>
      </c>
      <c r="AD185" s="2">
        <v>979</v>
      </c>
      <c r="AE185" s="2">
        <v>866</v>
      </c>
      <c r="AF185" s="2">
        <v>812</v>
      </c>
      <c r="AG185" s="2">
        <v>597</v>
      </c>
      <c r="AH185" s="2">
        <v>532</v>
      </c>
      <c r="AI185" s="2">
        <v>401</v>
      </c>
      <c r="AJ185" s="2">
        <v>168</v>
      </c>
      <c r="AK185" s="2">
        <v>104</v>
      </c>
      <c r="AL185" s="2">
        <v>79</v>
      </c>
      <c r="AM185" s="2">
        <v>64</v>
      </c>
      <c r="AN185" s="2">
        <v>63</v>
      </c>
      <c r="AO185" s="2">
        <v>76</v>
      </c>
      <c r="AP185" s="2">
        <v>0</v>
      </c>
      <c r="AQ185" s="2"/>
      <c r="AR185" s="2"/>
      <c r="AS185" s="2"/>
      <c r="AT185" s="2"/>
      <c r="AU185" s="2"/>
      <c r="AV185" s="2"/>
      <c r="AW185" s="2"/>
      <c r="AX185" s="2"/>
      <c r="AY185" s="2"/>
    </row>
    <row r="186" spans="1:51" x14ac:dyDescent="0.2">
      <c r="A186" s="4">
        <v>1996</v>
      </c>
      <c r="B186" s="2">
        <v>0</v>
      </c>
      <c r="C186" s="2">
        <v>3</v>
      </c>
      <c r="D186" s="2">
        <v>20</v>
      </c>
      <c r="E186" s="2">
        <v>16</v>
      </c>
      <c r="F186" s="2">
        <v>3</v>
      </c>
      <c r="G186" s="2">
        <v>0</v>
      </c>
      <c r="H186" s="2">
        <v>3</v>
      </c>
      <c r="I186" s="2">
        <v>26</v>
      </c>
      <c r="J186" s="2">
        <v>66</v>
      </c>
      <c r="K186" s="2">
        <v>201</v>
      </c>
      <c r="L186" s="2">
        <v>497</v>
      </c>
      <c r="M186" s="2">
        <v>691</v>
      </c>
      <c r="N186" s="2">
        <v>1036</v>
      </c>
      <c r="O186" s="2">
        <v>1266</v>
      </c>
      <c r="P186" s="2">
        <v>1963</v>
      </c>
      <c r="Q186" s="2">
        <v>2943</v>
      </c>
      <c r="R186" s="2">
        <v>3798</v>
      </c>
      <c r="S186" s="2">
        <v>2821</v>
      </c>
      <c r="T186" s="2">
        <v>2430</v>
      </c>
      <c r="U186" s="2">
        <v>1934</v>
      </c>
      <c r="V186" s="2">
        <v>1726</v>
      </c>
      <c r="W186" s="2">
        <v>1605</v>
      </c>
      <c r="X186" s="2">
        <v>1809</v>
      </c>
      <c r="Y186" s="2">
        <v>1670</v>
      </c>
      <c r="Z186" s="2">
        <v>1684</v>
      </c>
      <c r="AA186" s="2">
        <v>1506</v>
      </c>
      <c r="AB186" s="2">
        <v>1154</v>
      </c>
      <c r="AC186" s="2">
        <v>658</v>
      </c>
      <c r="AD186" s="2">
        <v>480</v>
      </c>
      <c r="AE186" s="2">
        <v>224</v>
      </c>
      <c r="AF186" s="2">
        <v>164</v>
      </c>
      <c r="AG186" s="2">
        <v>155</v>
      </c>
      <c r="AH186" s="2">
        <v>122</v>
      </c>
      <c r="AI186" s="2">
        <v>128</v>
      </c>
      <c r="AJ186" s="2">
        <v>43</v>
      </c>
      <c r="AK186" s="2">
        <v>30</v>
      </c>
      <c r="AL186" s="2">
        <v>7</v>
      </c>
      <c r="AM186" s="2">
        <v>3</v>
      </c>
      <c r="AN186" s="2">
        <v>0</v>
      </c>
      <c r="AO186" s="2">
        <v>3</v>
      </c>
      <c r="AP186" s="2">
        <v>0</v>
      </c>
      <c r="AQ186" s="2"/>
      <c r="AR186" s="2"/>
      <c r="AS186" s="2"/>
      <c r="AT186" s="2"/>
      <c r="AU186" s="2"/>
      <c r="AV186" s="2"/>
      <c r="AW186" s="2"/>
      <c r="AX186" s="2"/>
      <c r="AY186" s="2"/>
    </row>
    <row r="187" spans="1:51" x14ac:dyDescent="0.2">
      <c r="A187" s="4">
        <v>1997</v>
      </c>
      <c r="B187" s="2">
        <v>4</v>
      </c>
      <c r="C187" s="2">
        <v>4</v>
      </c>
      <c r="D187" s="2">
        <v>0</v>
      </c>
      <c r="E187" s="2">
        <v>4</v>
      </c>
      <c r="F187" s="2">
        <v>4</v>
      </c>
      <c r="G187" s="2">
        <v>11</v>
      </c>
      <c r="H187" s="2">
        <v>7</v>
      </c>
      <c r="I187" s="2">
        <v>0</v>
      </c>
      <c r="J187" s="2">
        <v>4</v>
      </c>
      <c r="K187" s="2">
        <v>29</v>
      </c>
      <c r="L187" s="2">
        <v>72</v>
      </c>
      <c r="M187" s="2">
        <v>133</v>
      </c>
      <c r="N187" s="2">
        <v>176</v>
      </c>
      <c r="O187" s="2">
        <v>240</v>
      </c>
      <c r="P187" s="2">
        <v>341</v>
      </c>
      <c r="Q187" s="2">
        <v>452</v>
      </c>
      <c r="R187" s="2">
        <v>625</v>
      </c>
      <c r="S187" s="2">
        <v>958</v>
      </c>
      <c r="T187" s="2">
        <v>1253</v>
      </c>
      <c r="U187" s="2">
        <v>1450</v>
      </c>
      <c r="V187" s="2">
        <v>2175</v>
      </c>
      <c r="W187" s="2">
        <v>4824</v>
      </c>
      <c r="X187" s="2">
        <v>6041</v>
      </c>
      <c r="Y187" s="2">
        <v>4810</v>
      </c>
      <c r="Z187" s="2">
        <v>3331</v>
      </c>
      <c r="AA187" s="2">
        <v>2495</v>
      </c>
      <c r="AB187" s="2">
        <v>1920</v>
      </c>
      <c r="AC187" s="2">
        <v>1407</v>
      </c>
      <c r="AD187" s="2">
        <v>1472</v>
      </c>
      <c r="AE187" s="2">
        <v>1088</v>
      </c>
      <c r="AF187" s="2">
        <v>1141</v>
      </c>
      <c r="AG187" s="2">
        <v>962</v>
      </c>
      <c r="AH187" s="2">
        <v>1267</v>
      </c>
      <c r="AI187" s="2">
        <v>908</v>
      </c>
      <c r="AJ187" s="2">
        <v>965</v>
      </c>
      <c r="AK187" s="2">
        <v>815</v>
      </c>
      <c r="AL187" s="2">
        <v>510</v>
      </c>
      <c r="AM187" s="2">
        <v>445</v>
      </c>
      <c r="AN187" s="2">
        <v>298</v>
      </c>
      <c r="AO187" s="2">
        <v>334</v>
      </c>
      <c r="AP187" s="2">
        <v>194</v>
      </c>
      <c r="AQ187" s="2"/>
      <c r="AR187" s="2"/>
      <c r="AS187" s="2"/>
      <c r="AT187" s="2"/>
      <c r="AU187" s="2"/>
      <c r="AV187" s="2"/>
      <c r="AW187" s="2"/>
      <c r="AX187" s="2"/>
      <c r="AY187" s="2"/>
    </row>
    <row r="188" spans="1:51" x14ac:dyDescent="0.2">
      <c r="A188" s="4">
        <v>1998</v>
      </c>
      <c r="B188" s="2">
        <v>0</v>
      </c>
      <c r="C188" s="2">
        <v>0</v>
      </c>
      <c r="D188" s="2">
        <v>0</v>
      </c>
      <c r="E188" s="2">
        <v>22</v>
      </c>
      <c r="F188" s="2">
        <v>73</v>
      </c>
      <c r="G188" s="2">
        <v>103</v>
      </c>
      <c r="H188" s="2">
        <v>125</v>
      </c>
      <c r="I188" s="2">
        <v>95</v>
      </c>
      <c r="J188" s="2">
        <v>51</v>
      </c>
      <c r="K188" s="2">
        <v>44</v>
      </c>
      <c r="L188" s="2">
        <v>103</v>
      </c>
      <c r="M188" s="2">
        <v>396</v>
      </c>
      <c r="N188" s="2">
        <v>792</v>
      </c>
      <c r="O188" s="2">
        <v>1041</v>
      </c>
      <c r="P188" s="2">
        <v>1459</v>
      </c>
      <c r="Q188" s="2">
        <v>2236</v>
      </c>
      <c r="R188" s="2">
        <v>3043</v>
      </c>
      <c r="S188" s="2">
        <v>3263</v>
      </c>
      <c r="T188" s="2">
        <v>4326</v>
      </c>
      <c r="U188" s="2">
        <v>5635</v>
      </c>
      <c r="V188" s="2">
        <v>7159</v>
      </c>
      <c r="W188" s="2">
        <v>9177</v>
      </c>
      <c r="X188" s="2">
        <v>10307</v>
      </c>
      <c r="Y188" s="2">
        <v>10768</v>
      </c>
      <c r="Z188" s="2">
        <v>13407</v>
      </c>
      <c r="AA188" s="2">
        <v>14406</v>
      </c>
      <c r="AB188" s="2">
        <v>12580</v>
      </c>
      <c r="AC188" s="2">
        <v>6838</v>
      </c>
      <c r="AD188" s="2">
        <v>4115</v>
      </c>
      <c r="AE188" s="2">
        <v>2602</v>
      </c>
      <c r="AF188" s="2">
        <v>2003</v>
      </c>
      <c r="AG188" s="2">
        <v>1675</v>
      </c>
      <c r="AH188" s="2">
        <v>1201</v>
      </c>
      <c r="AI188" s="2">
        <v>789</v>
      </c>
      <c r="AJ188" s="2">
        <v>761</v>
      </c>
      <c r="AK188" s="2">
        <v>594</v>
      </c>
      <c r="AL188" s="2">
        <v>501</v>
      </c>
      <c r="AM188" s="2">
        <v>488</v>
      </c>
      <c r="AN188" s="2">
        <v>232</v>
      </c>
      <c r="AO188" s="2">
        <v>119</v>
      </c>
      <c r="AP188" s="2">
        <v>154</v>
      </c>
      <c r="AQ188" s="2"/>
      <c r="AR188" s="2"/>
      <c r="AS188" s="2"/>
      <c r="AT188" s="2"/>
      <c r="AU188" s="2"/>
      <c r="AV188" s="2"/>
      <c r="AW188" s="2"/>
      <c r="AX188" s="2"/>
      <c r="AY188" s="2"/>
    </row>
    <row r="189" spans="1:51" x14ac:dyDescent="0.2">
      <c r="A189" s="4">
        <v>1999</v>
      </c>
      <c r="B189" s="2">
        <v>0</v>
      </c>
      <c r="C189" s="2">
        <v>0</v>
      </c>
      <c r="D189" s="2">
        <v>0</v>
      </c>
      <c r="E189" s="2">
        <v>0</v>
      </c>
      <c r="F189" s="2">
        <v>6</v>
      </c>
      <c r="G189" s="2">
        <v>44</v>
      </c>
      <c r="H189" s="2">
        <v>200</v>
      </c>
      <c r="I189" s="2">
        <v>194</v>
      </c>
      <c r="J189" s="2">
        <v>237</v>
      </c>
      <c r="K189" s="2">
        <v>712</v>
      </c>
      <c r="L189" s="2">
        <v>1437</v>
      </c>
      <c r="M189" s="2">
        <v>1469</v>
      </c>
      <c r="N189" s="2">
        <v>1462</v>
      </c>
      <c r="O189" s="2">
        <v>2550</v>
      </c>
      <c r="P189" s="2">
        <v>3834</v>
      </c>
      <c r="Q189" s="2">
        <v>4445</v>
      </c>
      <c r="R189" s="2">
        <v>4353</v>
      </c>
      <c r="S189" s="2">
        <v>4211</v>
      </c>
      <c r="T189" s="2">
        <v>4457</v>
      </c>
      <c r="U189" s="2">
        <v>5153</v>
      </c>
      <c r="V189" s="2">
        <v>6419</v>
      </c>
      <c r="W189" s="2">
        <v>6045</v>
      </c>
      <c r="X189" s="2">
        <v>4674</v>
      </c>
      <c r="Y189" s="2">
        <v>4311</v>
      </c>
      <c r="Z189" s="2">
        <v>3460</v>
      </c>
      <c r="AA189" s="2">
        <v>2887</v>
      </c>
      <c r="AB189" s="2">
        <v>2815</v>
      </c>
      <c r="AC189" s="2">
        <v>2487</v>
      </c>
      <c r="AD189" s="2">
        <v>2268</v>
      </c>
      <c r="AE189" s="2">
        <v>1352</v>
      </c>
      <c r="AF189" s="2">
        <v>849</v>
      </c>
      <c r="AG189" s="2">
        <v>549</v>
      </c>
      <c r="AH189" s="2">
        <v>319</v>
      </c>
      <c r="AI189" s="2">
        <v>211</v>
      </c>
      <c r="AJ189" s="2">
        <v>76</v>
      </c>
      <c r="AK189" s="2">
        <v>44</v>
      </c>
      <c r="AL189" s="2">
        <v>12</v>
      </c>
      <c r="AM189" s="2">
        <v>12</v>
      </c>
      <c r="AN189" s="2">
        <v>6</v>
      </c>
      <c r="AO189" s="2">
        <v>0</v>
      </c>
      <c r="AP189" s="2">
        <v>0</v>
      </c>
      <c r="AQ189" s="2"/>
      <c r="AR189" s="2"/>
      <c r="AS189" s="2"/>
      <c r="AT189" s="2"/>
      <c r="AU189" s="2"/>
      <c r="AV189" s="2"/>
      <c r="AW189" s="2"/>
      <c r="AX189" s="2"/>
      <c r="AY189" s="2"/>
    </row>
    <row r="190" spans="1:51" x14ac:dyDescent="0.2">
      <c r="A190" s="4">
        <v>2000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5</v>
      </c>
      <c r="K190" s="2">
        <v>14</v>
      </c>
      <c r="L190" s="2">
        <v>57</v>
      </c>
      <c r="M190" s="2">
        <v>109</v>
      </c>
      <c r="N190" s="2">
        <v>166</v>
      </c>
      <c r="O190" s="2">
        <v>332</v>
      </c>
      <c r="P190" s="2">
        <v>916</v>
      </c>
      <c r="Q190" s="2">
        <v>1832</v>
      </c>
      <c r="R190" s="2">
        <v>3506</v>
      </c>
      <c r="S190" s="2">
        <v>5749</v>
      </c>
      <c r="T190" s="2">
        <v>5052</v>
      </c>
      <c r="U190" s="2">
        <v>2855</v>
      </c>
      <c r="V190" s="2">
        <v>2347</v>
      </c>
      <c r="W190" s="2">
        <v>3963</v>
      </c>
      <c r="X190" s="2">
        <v>7246</v>
      </c>
      <c r="Y190" s="2">
        <v>8255</v>
      </c>
      <c r="Z190" s="2">
        <v>4460</v>
      </c>
      <c r="AA190" s="2">
        <v>2297</v>
      </c>
      <c r="AB190" s="2">
        <v>1380</v>
      </c>
      <c r="AC190" s="2">
        <v>737</v>
      </c>
      <c r="AD190" s="2">
        <v>506</v>
      </c>
      <c r="AE190" s="2">
        <v>371</v>
      </c>
      <c r="AF190" s="2">
        <v>234</v>
      </c>
      <c r="AG190" s="2">
        <v>163</v>
      </c>
      <c r="AH190" s="2">
        <v>103</v>
      </c>
      <c r="AI190" s="2">
        <v>65</v>
      </c>
      <c r="AJ190" s="2">
        <v>38</v>
      </c>
      <c r="AK190" s="2">
        <v>24</v>
      </c>
      <c r="AL190" s="2">
        <v>10</v>
      </c>
      <c r="AM190" s="2">
        <v>5</v>
      </c>
      <c r="AN190" s="2">
        <v>0</v>
      </c>
      <c r="AO190" s="2">
        <v>5</v>
      </c>
      <c r="AP190" s="2">
        <v>0</v>
      </c>
      <c r="AQ190" s="2"/>
      <c r="AR190" s="2"/>
      <c r="AS190" s="2"/>
      <c r="AT190" s="2"/>
      <c r="AU190" s="2"/>
      <c r="AV190" s="2"/>
      <c r="AW190" s="2"/>
      <c r="AX190" s="2"/>
      <c r="AY190" s="2"/>
    </row>
    <row r="191" spans="1:51" x14ac:dyDescent="0.2">
      <c r="A191" s="4">
        <v>2001</v>
      </c>
      <c r="B191" s="2">
        <v>0</v>
      </c>
      <c r="C191" s="2">
        <v>0</v>
      </c>
      <c r="D191" s="2">
        <v>0</v>
      </c>
      <c r="E191" s="2">
        <v>5</v>
      </c>
      <c r="F191" s="2">
        <v>65</v>
      </c>
      <c r="G191" s="2">
        <v>207</v>
      </c>
      <c r="H191" s="2">
        <v>109</v>
      </c>
      <c r="I191" s="2">
        <v>71</v>
      </c>
      <c r="J191" s="2">
        <v>283</v>
      </c>
      <c r="K191" s="2">
        <v>1301</v>
      </c>
      <c r="L191" s="2">
        <v>1927</v>
      </c>
      <c r="M191" s="2">
        <v>1600</v>
      </c>
      <c r="N191" s="2">
        <v>1339</v>
      </c>
      <c r="O191" s="2">
        <v>1937</v>
      </c>
      <c r="P191" s="2">
        <v>3940</v>
      </c>
      <c r="Q191" s="2">
        <v>8593</v>
      </c>
      <c r="R191" s="2">
        <v>10727</v>
      </c>
      <c r="S191" s="2">
        <v>7402</v>
      </c>
      <c r="T191" s="2">
        <v>4272</v>
      </c>
      <c r="U191" s="2">
        <v>2444</v>
      </c>
      <c r="V191" s="2">
        <v>1453</v>
      </c>
      <c r="W191" s="2">
        <v>1012</v>
      </c>
      <c r="X191" s="2">
        <v>936</v>
      </c>
      <c r="Y191" s="2">
        <v>1176</v>
      </c>
      <c r="Z191" s="2">
        <v>980</v>
      </c>
      <c r="AA191" s="2">
        <v>555</v>
      </c>
      <c r="AB191" s="2">
        <v>425</v>
      </c>
      <c r="AC191" s="2">
        <v>343</v>
      </c>
      <c r="AD191" s="2">
        <v>261</v>
      </c>
      <c r="AE191" s="2">
        <v>234</v>
      </c>
      <c r="AF191" s="2">
        <v>174</v>
      </c>
      <c r="AG191" s="2">
        <v>147</v>
      </c>
      <c r="AH191" s="2">
        <v>109</v>
      </c>
      <c r="AI191" s="2">
        <v>98</v>
      </c>
      <c r="AJ191" s="2">
        <v>87</v>
      </c>
      <c r="AK191" s="2">
        <v>60</v>
      </c>
      <c r="AL191" s="2">
        <v>49</v>
      </c>
      <c r="AM191" s="2">
        <v>27</v>
      </c>
      <c r="AN191" s="2">
        <v>27</v>
      </c>
      <c r="AO191" s="2">
        <v>16</v>
      </c>
      <c r="AP191" s="2">
        <v>0</v>
      </c>
      <c r="AQ191" s="2"/>
      <c r="AR191" s="2"/>
      <c r="AS191" s="2"/>
      <c r="AT191" s="2"/>
      <c r="AU191" s="2"/>
      <c r="AV191" s="2"/>
      <c r="AW191" s="2"/>
      <c r="AX191" s="2"/>
      <c r="AY191" s="2"/>
    </row>
    <row r="192" spans="1:51" x14ac:dyDescent="0.2">
      <c r="A192" s="4">
        <v>2002</v>
      </c>
      <c r="B192" s="2">
        <v>0</v>
      </c>
      <c r="C192" s="2">
        <v>0</v>
      </c>
      <c r="D192" s="2">
        <v>0</v>
      </c>
      <c r="E192" s="2">
        <v>0</v>
      </c>
      <c r="F192" s="2">
        <v>21</v>
      </c>
      <c r="G192" s="2">
        <v>80</v>
      </c>
      <c r="H192" s="2">
        <v>80</v>
      </c>
      <c r="I192" s="2">
        <v>101</v>
      </c>
      <c r="J192" s="2">
        <v>155</v>
      </c>
      <c r="K192" s="2">
        <v>174</v>
      </c>
      <c r="L192" s="2">
        <v>140</v>
      </c>
      <c r="M192" s="2">
        <v>186</v>
      </c>
      <c r="N192" s="2">
        <v>270</v>
      </c>
      <c r="O192" s="2">
        <v>457</v>
      </c>
      <c r="P192" s="2">
        <v>762</v>
      </c>
      <c r="Q192" s="2">
        <v>1035</v>
      </c>
      <c r="R192" s="2">
        <v>1838</v>
      </c>
      <c r="S192" s="2">
        <v>2102</v>
      </c>
      <c r="T192" s="2">
        <v>2532</v>
      </c>
      <c r="U192" s="2">
        <v>2300</v>
      </c>
      <c r="V192" s="2">
        <v>1279</v>
      </c>
      <c r="W192" s="2">
        <v>755</v>
      </c>
      <c r="X192" s="2">
        <v>464</v>
      </c>
      <c r="Y192" s="2">
        <v>284</v>
      </c>
      <c r="Z192" s="2">
        <v>183</v>
      </c>
      <c r="AA192" s="2">
        <v>127</v>
      </c>
      <c r="AB192" s="2">
        <v>120</v>
      </c>
      <c r="AC192" s="2">
        <v>57</v>
      </c>
      <c r="AD192" s="2">
        <v>64</v>
      </c>
      <c r="AE192" s="2">
        <v>106</v>
      </c>
      <c r="AF192" s="2">
        <v>43</v>
      </c>
      <c r="AG192" s="2">
        <v>27</v>
      </c>
      <c r="AH192" s="2">
        <v>27</v>
      </c>
      <c r="AI192" s="2">
        <v>21</v>
      </c>
      <c r="AJ192" s="2">
        <v>15</v>
      </c>
      <c r="AK192" s="2">
        <v>17</v>
      </c>
      <c r="AL192" s="2">
        <v>3</v>
      </c>
      <c r="AM192" s="2">
        <v>17</v>
      </c>
      <c r="AN192" s="2">
        <v>3</v>
      </c>
      <c r="AO192" s="2">
        <v>5</v>
      </c>
      <c r="AP192" s="2">
        <v>0</v>
      </c>
      <c r="AQ192" s="2"/>
      <c r="AR192" s="2"/>
      <c r="AS192" s="2"/>
      <c r="AT192" s="2"/>
      <c r="AU192" s="2"/>
      <c r="AV192" s="2"/>
      <c r="AW192" s="2"/>
      <c r="AX192" s="2"/>
      <c r="AY192" s="2"/>
    </row>
    <row r="193" spans="1:51" x14ac:dyDescent="0.2">
      <c r="A193" s="4">
        <v>2003</v>
      </c>
      <c r="B193" s="2">
        <v>0</v>
      </c>
      <c r="C193" s="2">
        <v>0</v>
      </c>
      <c r="D193" s="2">
        <v>0</v>
      </c>
      <c r="E193" s="2">
        <v>4</v>
      </c>
      <c r="F193" s="2">
        <v>7</v>
      </c>
      <c r="G193" s="2">
        <v>7</v>
      </c>
      <c r="H193" s="2">
        <v>7</v>
      </c>
      <c r="I193" s="2">
        <v>18</v>
      </c>
      <c r="J193" s="2">
        <v>178</v>
      </c>
      <c r="K193" s="2">
        <v>1495</v>
      </c>
      <c r="L193" s="2">
        <v>2766</v>
      </c>
      <c r="M193" s="2">
        <v>2473</v>
      </c>
      <c r="N193" s="2">
        <v>1856</v>
      </c>
      <c r="O193" s="2">
        <v>1341</v>
      </c>
      <c r="P193" s="2">
        <v>1339</v>
      </c>
      <c r="Q193" s="2">
        <v>3492</v>
      </c>
      <c r="R193" s="2">
        <v>2839</v>
      </c>
      <c r="S193" s="2">
        <v>2483</v>
      </c>
      <c r="T193" s="2">
        <v>3039</v>
      </c>
      <c r="U193" s="2">
        <v>4523</v>
      </c>
      <c r="V193" s="2">
        <v>4097</v>
      </c>
      <c r="W193" s="2">
        <v>2703</v>
      </c>
      <c r="X193" s="2">
        <v>1151</v>
      </c>
      <c r="Y193" s="2">
        <v>387</v>
      </c>
      <c r="Z193" s="2">
        <v>119</v>
      </c>
      <c r="AA193" s="2">
        <v>31</v>
      </c>
      <c r="AB193" s="2">
        <v>11</v>
      </c>
      <c r="AC193" s="2">
        <v>4</v>
      </c>
      <c r="AD193" s="2">
        <v>4</v>
      </c>
      <c r="AE193" s="2">
        <v>4</v>
      </c>
      <c r="AF193" s="2">
        <v>7</v>
      </c>
      <c r="AG193" s="2">
        <v>0</v>
      </c>
      <c r="AH193" s="2">
        <v>4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/>
      <c r="AR193" s="2"/>
      <c r="AS193" s="2"/>
      <c r="AT193" s="2"/>
      <c r="AU193" s="2"/>
      <c r="AV193" s="2"/>
      <c r="AW193" s="2"/>
      <c r="AX193" s="2"/>
      <c r="AY193" s="2"/>
    </row>
    <row r="194" spans="1:51" x14ac:dyDescent="0.2">
      <c r="A194" s="4">
        <v>2004</v>
      </c>
      <c r="B194" s="2">
        <v>0</v>
      </c>
      <c r="C194" s="2">
        <v>0</v>
      </c>
      <c r="D194" s="2">
        <v>16</v>
      </c>
      <c r="E194" s="2">
        <v>33</v>
      </c>
      <c r="F194" s="2">
        <v>33</v>
      </c>
      <c r="G194" s="2">
        <v>16</v>
      </c>
      <c r="H194" s="2">
        <v>41</v>
      </c>
      <c r="I194" s="2">
        <v>188</v>
      </c>
      <c r="J194" s="2">
        <v>459</v>
      </c>
      <c r="K194" s="2">
        <v>942</v>
      </c>
      <c r="L194" s="2">
        <v>1500</v>
      </c>
      <c r="M194" s="2">
        <v>1344</v>
      </c>
      <c r="N194" s="2">
        <v>1304</v>
      </c>
      <c r="O194" s="2">
        <v>2041</v>
      </c>
      <c r="P194" s="2">
        <v>4038</v>
      </c>
      <c r="Q194" s="2">
        <v>6242</v>
      </c>
      <c r="R194" s="2">
        <v>9220</v>
      </c>
      <c r="S194" s="2">
        <v>11965</v>
      </c>
      <c r="T194" s="2">
        <v>15404</v>
      </c>
      <c r="U194" s="2">
        <v>15088</v>
      </c>
      <c r="V194" s="2">
        <v>13405</v>
      </c>
      <c r="W194" s="2">
        <v>8369</v>
      </c>
      <c r="X194" s="2">
        <v>2959</v>
      </c>
      <c r="Y194" s="2">
        <v>850</v>
      </c>
      <c r="Z194" s="2">
        <v>239</v>
      </c>
      <c r="AA194" s="2">
        <v>97</v>
      </c>
      <c r="AB194" s="2">
        <v>28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/>
      <c r="AR194" s="2"/>
      <c r="AS194" s="2"/>
      <c r="AT194" s="2"/>
      <c r="AU194" s="2"/>
      <c r="AV194" s="2"/>
      <c r="AW194" s="2"/>
      <c r="AX194" s="2"/>
      <c r="AY194" s="2"/>
    </row>
    <row r="195" spans="1:51" x14ac:dyDescent="0.2">
      <c r="A195" s="4">
        <v>2005</v>
      </c>
      <c r="B195" s="2">
        <v>8</v>
      </c>
      <c r="C195" s="2">
        <v>15</v>
      </c>
      <c r="D195" s="2">
        <v>33</v>
      </c>
      <c r="E195" s="2">
        <v>71</v>
      </c>
      <c r="F195" s="2">
        <v>81</v>
      </c>
      <c r="G195" s="2">
        <v>101</v>
      </c>
      <c r="H195" s="2">
        <v>71</v>
      </c>
      <c r="I195" s="2">
        <v>47</v>
      </c>
      <c r="J195" s="2">
        <v>35</v>
      </c>
      <c r="K195" s="2">
        <v>45</v>
      </c>
      <c r="L195" s="2">
        <v>40</v>
      </c>
      <c r="M195" s="2">
        <v>57</v>
      </c>
      <c r="N195" s="2">
        <v>93</v>
      </c>
      <c r="O195" s="2">
        <v>123</v>
      </c>
      <c r="P195" s="2">
        <v>140</v>
      </c>
      <c r="Q195" s="2">
        <v>68</v>
      </c>
      <c r="R195" s="2">
        <v>61</v>
      </c>
      <c r="S195" s="2">
        <v>120</v>
      </c>
      <c r="T195" s="2">
        <v>449</v>
      </c>
      <c r="U195" s="2">
        <v>1426</v>
      </c>
      <c r="V195" s="2">
        <v>2689</v>
      </c>
      <c r="W195" s="2">
        <v>3181</v>
      </c>
      <c r="X195" s="2">
        <v>3146</v>
      </c>
      <c r="Y195" s="2">
        <v>2300</v>
      </c>
      <c r="Z195" s="2">
        <v>1102</v>
      </c>
      <c r="AA195" s="2">
        <v>462</v>
      </c>
      <c r="AB195" s="2">
        <v>337</v>
      </c>
      <c r="AC195" s="2">
        <v>183</v>
      </c>
      <c r="AD195" s="2">
        <v>93</v>
      </c>
      <c r="AE195" s="2">
        <v>28</v>
      </c>
      <c r="AF195" s="2">
        <v>8</v>
      </c>
      <c r="AG195" s="2">
        <v>2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/>
      <c r="AR195" s="2"/>
      <c r="AS195" s="2"/>
      <c r="AT195" s="2"/>
      <c r="AU195" s="2"/>
      <c r="AV195" s="2"/>
      <c r="AW195" s="2"/>
      <c r="AX195" s="2"/>
      <c r="AY195" s="2"/>
    </row>
    <row r="196" spans="1:51" x14ac:dyDescent="0.2">
      <c r="A196" s="4">
        <v>2006</v>
      </c>
      <c r="B196" s="2">
        <v>0</v>
      </c>
      <c r="C196" s="2">
        <v>0</v>
      </c>
      <c r="D196" s="2">
        <v>0</v>
      </c>
      <c r="E196" s="2">
        <v>0</v>
      </c>
      <c r="F196" s="2">
        <v>2</v>
      </c>
      <c r="G196" s="2">
        <v>2</v>
      </c>
      <c r="H196" s="2">
        <v>8</v>
      </c>
      <c r="I196" s="2">
        <v>31</v>
      </c>
      <c r="J196" s="2">
        <v>61</v>
      </c>
      <c r="K196" s="2">
        <v>159</v>
      </c>
      <c r="L196" s="2">
        <v>278</v>
      </c>
      <c r="M196" s="2">
        <v>453</v>
      </c>
      <c r="N196" s="2">
        <v>905</v>
      </c>
      <c r="O196" s="2">
        <v>1419</v>
      </c>
      <c r="P196" s="2">
        <v>1555</v>
      </c>
      <c r="Q196" s="2">
        <v>1173</v>
      </c>
      <c r="R196" s="2">
        <v>1063</v>
      </c>
      <c r="S196" s="2">
        <v>1254</v>
      </c>
      <c r="T196" s="2">
        <v>1732</v>
      </c>
      <c r="U196" s="2">
        <v>1911</v>
      </c>
      <c r="V196" s="2">
        <v>1399</v>
      </c>
      <c r="W196" s="2">
        <v>961</v>
      </c>
      <c r="X196" s="2">
        <v>795</v>
      </c>
      <c r="Y196" s="2">
        <v>687</v>
      </c>
      <c r="Z196" s="2">
        <v>697</v>
      </c>
      <c r="AA196" s="2">
        <v>937</v>
      </c>
      <c r="AB196" s="2">
        <v>972</v>
      </c>
      <c r="AC196" s="2">
        <v>640</v>
      </c>
      <c r="AD196" s="2">
        <v>348</v>
      </c>
      <c r="AE196" s="2">
        <v>154</v>
      </c>
      <c r="AF196" s="2">
        <v>63</v>
      </c>
      <c r="AG196" s="2">
        <v>18</v>
      </c>
      <c r="AH196" s="2">
        <v>4</v>
      </c>
      <c r="AI196" s="2">
        <v>2</v>
      </c>
      <c r="AJ196" s="2">
        <v>2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/>
      <c r="AR196" s="2"/>
      <c r="AS196" s="2"/>
      <c r="AT196" s="2"/>
      <c r="AU196" s="2"/>
      <c r="AV196" s="2"/>
      <c r="AW196" s="2"/>
      <c r="AX196" s="2"/>
      <c r="AY196" s="2"/>
    </row>
    <row r="197" spans="1:51" x14ac:dyDescent="0.2">
      <c r="A197" s="4">
        <v>2007</v>
      </c>
      <c r="B197" s="2">
        <v>8</v>
      </c>
      <c r="C197" s="2">
        <v>15</v>
      </c>
      <c r="D197" s="2">
        <v>47</v>
      </c>
      <c r="E197" s="2">
        <v>51</v>
      </c>
      <c r="F197" s="2">
        <v>45</v>
      </c>
      <c r="G197" s="2">
        <v>40</v>
      </c>
      <c r="H197" s="2">
        <v>55</v>
      </c>
      <c r="I197" s="2">
        <v>48</v>
      </c>
      <c r="J197" s="2">
        <v>19</v>
      </c>
      <c r="K197" s="2">
        <v>5</v>
      </c>
      <c r="L197" s="2">
        <v>1</v>
      </c>
      <c r="M197" s="2">
        <v>0</v>
      </c>
      <c r="N197" s="2">
        <v>1</v>
      </c>
      <c r="O197" s="2">
        <v>1</v>
      </c>
      <c r="P197" s="2">
        <v>1</v>
      </c>
      <c r="Q197" s="2">
        <v>1</v>
      </c>
      <c r="R197" s="2">
        <v>5</v>
      </c>
      <c r="S197" s="2">
        <v>38</v>
      </c>
      <c r="T197" s="2">
        <v>196</v>
      </c>
      <c r="U197" s="2">
        <v>577</v>
      </c>
      <c r="V197" s="2">
        <v>879</v>
      </c>
      <c r="W197" s="2">
        <v>1015</v>
      </c>
      <c r="X197" s="2">
        <v>1269</v>
      </c>
      <c r="Y197" s="2">
        <v>1665</v>
      </c>
      <c r="Z197" s="2">
        <v>1779</v>
      </c>
      <c r="AA197" s="2">
        <v>1478</v>
      </c>
      <c r="AB197" s="2">
        <v>1086</v>
      </c>
      <c r="AC197" s="2">
        <v>1040</v>
      </c>
      <c r="AD197" s="2">
        <v>946</v>
      </c>
      <c r="AE197" s="2">
        <v>657</v>
      </c>
      <c r="AF197" s="2">
        <v>350</v>
      </c>
      <c r="AG197" s="2">
        <v>206</v>
      </c>
      <c r="AH197" s="2">
        <v>103</v>
      </c>
      <c r="AI197" s="2">
        <v>45</v>
      </c>
      <c r="AJ197" s="2">
        <v>22</v>
      </c>
      <c r="AK197" s="2">
        <v>8</v>
      </c>
      <c r="AL197" s="2">
        <v>3</v>
      </c>
      <c r="AM197" s="2">
        <v>1</v>
      </c>
      <c r="AN197" s="2">
        <v>0</v>
      </c>
      <c r="AO197" s="2">
        <v>0</v>
      </c>
      <c r="AP197" s="2">
        <v>0</v>
      </c>
      <c r="AQ197" s="2"/>
      <c r="AR197" s="2"/>
      <c r="AS197" s="2"/>
      <c r="AT197" s="2"/>
      <c r="AU197" s="2"/>
      <c r="AV197" s="2"/>
      <c r="AW197" s="2"/>
      <c r="AX197" s="2"/>
      <c r="AY197" s="2"/>
    </row>
    <row r="198" spans="1:51" x14ac:dyDescent="0.2">
      <c r="A198" s="4">
        <v>2008</v>
      </c>
      <c r="B198" s="2">
        <v>9</v>
      </c>
      <c r="C198" s="2">
        <v>71</v>
      </c>
      <c r="D198" s="2">
        <v>220</v>
      </c>
      <c r="E198" s="2">
        <v>226</v>
      </c>
      <c r="F198" s="2">
        <v>151</v>
      </c>
      <c r="G198" s="2">
        <v>93</v>
      </c>
      <c r="H198" s="2">
        <v>65</v>
      </c>
      <c r="I198" s="2">
        <v>95</v>
      </c>
      <c r="J198" s="2">
        <v>581</v>
      </c>
      <c r="K198" s="2">
        <v>1147</v>
      </c>
      <c r="L198" s="2">
        <v>1409</v>
      </c>
      <c r="M198" s="2">
        <v>1553</v>
      </c>
      <c r="N198" s="2">
        <v>1803</v>
      </c>
      <c r="O198" s="2">
        <v>1846</v>
      </c>
      <c r="P198" s="2">
        <v>1130</v>
      </c>
      <c r="Q198" s="2">
        <v>471</v>
      </c>
      <c r="R198" s="2">
        <v>263</v>
      </c>
      <c r="S198" s="2">
        <v>200</v>
      </c>
      <c r="T198" s="2">
        <v>198</v>
      </c>
      <c r="U198" s="2">
        <v>123</v>
      </c>
      <c r="V198" s="2">
        <v>97</v>
      </c>
      <c r="W198" s="2">
        <v>71</v>
      </c>
      <c r="X198" s="2">
        <v>47</v>
      </c>
      <c r="Y198" s="2">
        <v>34</v>
      </c>
      <c r="Z198" s="2">
        <v>7</v>
      </c>
      <c r="AA198" s="2">
        <v>11</v>
      </c>
      <c r="AB198" s="2">
        <v>22</v>
      </c>
      <c r="AC198" s="2">
        <v>78</v>
      </c>
      <c r="AD198" s="2">
        <v>329</v>
      </c>
      <c r="AE198" s="2">
        <v>942</v>
      </c>
      <c r="AF198" s="2">
        <v>1676</v>
      </c>
      <c r="AG198" s="2">
        <v>1618</v>
      </c>
      <c r="AH198" s="2">
        <v>994</v>
      </c>
      <c r="AI198" s="2">
        <v>499</v>
      </c>
      <c r="AJ198" s="2">
        <v>314</v>
      </c>
      <c r="AK198" s="2">
        <v>163</v>
      </c>
      <c r="AL198" s="2">
        <v>84</v>
      </c>
      <c r="AM198" s="2">
        <v>28</v>
      </c>
      <c r="AN198" s="2">
        <v>9</v>
      </c>
      <c r="AO198" s="2">
        <v>0</v>
      </c>
      <c r="AP198" s="2">
        <v>0</v>
      </c>
      <c r="AQ198" s="2"/>
      <c r="AR198" s="2"/>
      <c r="AS198" s="2"/>
      <c r="AT198" s="2"/>
      <c r="AU198" s="2"/>
      <c r="AV198" s="2"/>
      <c r="AW198" s="2"/>
      <c r="AX198" s="2"/>
      <c r="AY198" s="2"/>
    </row>
    <row r="199" spans="1:51" x14ac:dyDescent="0.2">
      <c r="A199" s="4">
        <v>2009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40</v>
      </c>
      <c r="K199" s="2">
        <v>392</v>
      </c>
      <c r="L199" s="2">
        <v>1200</v>
      </c>
      <c r="M199" s="2">
        <v>2432</v>
      </c>
      <c r="N199" s="2">
        <v>5056</v>
      </c>
      <c r="O199" s="2">
        <v>6408</v>
      </c>
      <c r="P199" s="2">
        <v>5992</v>
      </c>
      <c r="Q199" s="2">
        <v>6200</v>
      </c>
      <c r="R199" s="2">
        <v>6424</v>
      </c>
      <c r="S199" s="2">
        <v>6304</v>
      </c>
      <c r="T199" s="2">
        <v>5784</v>
      </c>
      <c r="U199" s="2">
        <v>6176</v>
      </c>
      <c r="V199" s="2">
        <v>6664</v>
      </c>
      <c r="W199" s="2">
        <v>6224</v>
      </c>
      <c r="X199" s="2">
        <v>5448</v>
      </c>
      <c r="Y199" s="2">
        <v>3928</v>
      </c>
      <c r="Z199" s="2">
        <v>2464</v>
      </c>
      <c r="AA199" s="2">
        <v>1296</v>
      </c>
      <c r="AB199" s="2">
        <v>712</v>
      </c>
      <c r="AC199" s="2">
        <v>392</v>
      </c>
      <c r="AD199" s="2">
        <v>216</v>
      </c>
      <c r="AE199" s="2">
        <v>120</v>
      </c>
      <c r="AF199" s="2">
        <v>56</v>
      </c>
      <c r="AG199" s="2">
        <v>24</v>
      </c>
      <c r="AH199" s="2">
        <v>16</v>
      </c>
      <c r="AI199" s="2">
        <v>0</v>
      </c>
      <c r="AJ199" s="2">
        <v>0</v>
      </c>
      <c r="AK199" s="2">
        <v>8</v>
      </c>
      <c r="AL199" s="2">
        <v>8</v>
      </c>
      <c r="AM199" s="2">
        <v>8</v>
      </c>
      <c r="AN199" s="2">
        <v>8</v>
      </c>
      <c r="AO199" s="2">
        <v>0</v>
      </c>
      <c r="AP199" s="2">
        <v>0</v>
      </c>
      <c r="AQ199" s="2"/>
      <c r="AR199" s="2"/>
      <c r="AS199" s="2"/>
      <c r="AT199" s="2"/>
      <c r="AU199" s="2"/>
      <c r="AV199" s="2"/>
      <c r="AW199" s="2"/>
      <c r="AX199" s="2"/>
      <c r="AY199" s="2"/>
    </row>
    <row r="200" spans="1:51" x14ac:dyDescent="0.2">
      <c r="A200" s="4">
        <v>2010</v>
      </c>
      <c r="B200" s="2">
        <v>0</v>
      </c>
      <c r="C200" s="2">
        <v>0</v>
      </c>
      <c r="D200" s="2">
        <v>0</v>
      </c>
      <c r="E200" s="2">
        <v>0</v>
      </c>
      <c r="F200" s="2">
        <v>34</v>
      </c>
      <c r="G200" s="2">
        <v>52</v>
      </c>
      <c r="H200" s="2">
        <v>52</v>
      </c>
      <c r="I200" s="2">
        <v>155</v>
      </c>
      <c r="J200" s="2">
        <v>258</v>
      </c>
      <c r="K200" s="2">
        <v>206</v>
      </c>
      <c r="L200" s="2">
        <v>189</v>
      </c>
      <c r="M200" s="2">
        <v>275</v>
      </c>
      <c r="N200" s="2">
        <v>430</v>
      </c>
      <c r="O200" s="2">
        <v>1324</v>
      </c>
      <c r="P200" s="2">
        <v>7738</v>
      </c>
      <c r="Q200" s="2">
        <v>15184</v>
      </c>
      <c r="R200" s="2">
        <v>13224</v>
      </c>
      <c r="S200" s="2">
        <v>8976</v>
      </c>
      <c r="T200" s="2">
        <v>9853</v>
      </c>
      <c r="U200" s="2">
        <v>6895</v>
      </c>
      <c r="V200" s="2">
        <v>5984</v>
      </c>
      <c r="W200" s="2">
        <v>10145</v>
      </c>
      <c r="X200" s="2">
        <v>16972</v>
      </c>
      <c r="Y200" s="2">
        <v>20704</v>
      </c>
      <c r="Z200" s="2">
        <v>19190</v>
      </c>
      <c r="AA200" s="2">
        <v>14358</v>
      </c>
      <c r="AB200" s="2">
        <v>9853</v>
      </c>
      <c r="AC200" s="2">
        <v>5399</v>
      </c>
      <c r="AD200" s="2">
        <v>2528</v>
      </c>
      <c r="AE200" s="2">
        <v>1135</v>
      </c>
      <c r="AF200" s="2">
        <v>447</v>
      </c>
      <c r="AG200" s="2">
        <v>258</v>
      </c>
      <c r="AH200" s="2">
        <v>103</v>
      </c>
      <c r="AI200" s="2">
        <v>17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/>
      <c r="AR200" s="2"/>
      <c r="AS200" s="2"/>
      <c r="AT200" s="2"/>
      <c r="AU200" s="2"/>
      <c r="AV200" s="2"/>
      <c r="AW200" s="2"/>
      <c r="AX200" s="2"/>
      <c r="AY200" s="2"/>
    </row>
    <row r="201" spans="1:51" x14ac:dyDescent="0.2">
      <c r="A201" s="4">
        <v>2011</v>
      </c>
      <c r="B201" s="2">
        <v>0</v>
      </c>
      <c r="C201" s="2">
        <v>0</v>
      </c>
      <c r="D201" s="2">
        <v>2</v>
      </c>
      <c r="E201" s="2">
        <v>4</v>
      </c>
      <c r="F201" s="2">
        <v>13</v>
      </c>
      <c r="G201" s="2">
        <v>22</v>
      </c>
      <c r="H201" s="2">
        <v>11</v>
      </c>
      <c r="I201" s="2">
        <v>4</v>
      </c>
      <c r="J201" s="2">
        <v>2</v>
      </c>
      <c r="K201" s="2">
        <v>4</v>
      </c>
      <c r="L201" s="2">
        <v>11</v>
      </c>
      <c r="M201" s="2">
        <v>22</v>
      </c>
      <c r="N201" s="2">
        <v>20</v>
      </c>
      <c r="O201" s="2">
        <v>31</v>
      </c>
      <c r="P201" s="2">
        <v>74</v>
      </c>
      <c r="Q201" s="2">
        <v>120</v>
      </c>
      <c r="R201" s="2">
        <v>142</v>
      </c>
      <c r="S201" s="2">
        <v>179</v>
      </c>
      <c r="T201" s="2">
        <v>316</v>
      </c>
      <c r="U201" s="2">
        <v>763</v>
      </c>
      <c r="V201" s="2">
        <v>2120</v>
      </c>
      <c r="W201" s="2">
        <v>3978</v>
      </c>
      <c r="X201" s="2">
        <v>4641</v>
      </c>
      <c r="Y201" s="2">
        <v>3688</v>
      </c>
      <c r="Z201" s="2">
        <v>2233</v>
      </c>
      <c r="AA201" s="2">
        <v>1213</v>
      </c>
      <c r="AB201" s="2">
        <v>652</v>
      </c>
      <c r="AC201" s="2">
        <v>375</v>
      </c>
      <c r="AD201" s="2">
        <v>277</v>
      </c>
      <c r="AE201" s="2">
        <v>338</v>
      </c>
      <c r="AF201" s="2">
        <v>275</v>
      </c>
      <c r="AG201" s="2">
        <v>166</v>
      </c>
      <c r="AH201" s="2">
        <v>74</v>
      </c>
      <c r="AI201" s="2">
        <v>24</v>
      </c>
      <c r="AJ201" s="2">
        <v>7</v>
      </c>
      <c r="AK201" s="2">
        <v>2</v>
      </c>
      <c r="AL201" s="2">
        <v>2</v>
      </c>
      <c r="AM201" s="2">
        <v>0</v>
      </c>
      <c r="AN201" s="2">
        <v>0</v>
      </c>
      <c r="AO201" s="2">
        <v>0</v>
      </c>
      <c r="AP201" s="2">
        <v>0</v>
      </c>
      <c r="AQ201" s="2"/>
      <c r="AR201" s="2"/>
      <c r="AS201" s="2"/>
      <c r="AT201" s="2"/>
      <c r="AU201" s="2"/>
      <c r="AV201" s="2"/>
      <c r="AW201" s="2"/>
      <c r="AX201" s="2"/>
      <c r="AY201" s="2"/>
    </row>
    <row r="202" spans="1:51" x14ac:dyDescent="0.2">
      <c r="A202" s="4">
        <v>2012</v>
      </c>
      <c r="B202" s="2">
        <v>169</v>
      </c>
      <c r="C202" s="2">
        <v>161</v>
      </c>
      <c r="D202" s="2">
        <v>227</v>
      </c>
      <c r="E202" s="2">
        <v>227</v>
      </c>
      <c r="F202" s="2">
        <v>54</v>
      </c>
      <c r="G202" s="2">
        <v>21</v>
      </c>
      <c r="H202" s="2">
        <v>0</v>
      </c>
      <c r="I202" s="2">
        <v>0</v>
      </c>
      <c r="J202" s="2">
        <v>0</v>
      </c>
      <c r="K202" s="2">
        <v>27</v>
      </c>
      <c r="L202" s="2">
        <v>182</v>
      </c>
      <c r="M202" s="2">
        <v>729</v>
      </c>
      <c r="N202" s="2">
        <v>822</v>
      </c>
      <c r="O202" s="2">
        <v>756</v>
      </c>
      <c r="P202" s="2">
        <v>467</v>
      </c>
      <c r="Q202" s="2">
        <v>314</v>
      </c>
      <c r="R202" s="2">
        <v>114</v>
      </c>
      <c r="S202" s="2">
        <v>74</v>
      </c>
      <c r="T202" s="2">
        <v>138</v>
      </c>
      <c r="U202" s="2">
        <v>149</v>
      </c>
      <c r="V202" s="2">
        <v>85</v>
      </c>
      <c r="W202" s="2">
        <v>43</v>
      </c>
      <c r="X202" s="2">
        <v>64</v>
      </c>
      <c r="Y202" s="2">
        <v>91</v>
      </c>
      <c r="Z202" s="2">
        <v>89</v>
      </c>
      <c r="AA202" s="2">
        <v>145</v>
      </c>
      <c r="AB202" s="2">
        <v>460</v>
      </c>
      <c r="AC202" s="2">
        <v>1034</v>
      </c>
      <c r="AD202" s="2">
        <v>2137</v>
      </c>
      <c r="AE202" s="2">
        <v>3803</v>
      </c>
      <c r="AF202" s="2">
        <v>4100</v>
      </c>
      <c r="AG202" s="2">
        <v>2182</v>
      </c>
      <c r="AH202" s="2">
        <v>915</v>
      </c>
      <c r="AI202" s="2">
        <v>299</v>
      </c>
      <c r="AJ202" s="2">
        <v>95</v>
      </c>
      <c r="AK202" s="2">
        <v>31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/>
      <c r="AR202" s="2"/>
      <c r="AS202" s="2"/>
      <c r="AT202" s="2"/>
      <c r="AU202" s="2"/>
      <c r="AV202" s="2"/>
      <c r="AW202" s="2"/>
      <c r="AX202" s="2"/>
      <c r="AY202" s="2"/>
    </row>
    <row r="203" spans="1:51" x14ac:dyDescent="0.2">
      <c r="A203" s="4">
        <v>2013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17</v>
      </c>
      <c r="M203" s="2">
        <v>0</v>
      </c>
      <c r="N203" s="2">
        <v>17</v>
      </c>
      <c r="O203" s="2">
        <v>231</v>
      </c>
      <c r="P203" s="2">
        <v>451</v>
      </c>
      <c r="Q203" s="2">
        <v>162</v>
      </c>
      <c r="R203" s="2">
        <v>35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/>
      <c r="AR203" s="2"/>
      <c r="AS203" s="2"/>
      <c r="AT203" s="2"/>
      <c r="AU203" s="2"/>
      <c r="AV203" s="2"/>
      <c r="AW203" s="2"/>
      <c r="AX203" s="2"/>
      <c r="AY203" s="2"/>
    </row>
    <row r="204" spans="1:51" x14ac:dyDescent="0.2">
      <c r="A204" s="4">
        <v>2014</v>
      </c>
      <c r="B204" s="2">
        <v>0</v>
      </c>
      <c r="C204" s="2">
        <v>0</v>
      </c>
      <c r="D204" s="2">
        <v>0</v>
      </c>
      <c r="E204" s="2">
        <v>53</v>
      </c>
      <c r="F204" s="2">
        <v>53</v>
      </c>
      <c r="G204" s="2">
        <v>53</v>
      </c>
      <c r="H204" s="2">
        <v>53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53</v>
      </c>
      <c r="O204" s="2">
        <v>0</v>
      </c>
      <c r="P204" s="2">
        <v>106</v>
      </c>
      <c r="Q204" s="2">
        <v>4377</v>
      </c>
      <c r="R204" s="2">
        <v>18221</v>
      </c>
      <c r="S204" s="2">
        <v>52278</v>
      </c>
      <c r="T204" s="2">
        <v>119239</v>
      </c>
      <c r="U204" s="2">
        <v>150535</v>
      </c>
      <c r="V204" s="2">
        <v>157464</v>
      </c>
      <c r="W204" s="2">
        <v>117077</v>
      </c>
      <c r="X204" s="2">
        <v>30214</v>
      </c>
      <c r="Y204" s="2">
        <v>425</v>
      </c>
      <c r="Z204" s="2">
        <v>53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/>
      <c r="AR204" s="2"/>
      <c r="AS204" s="2"/>
      <c r="AT204" s="2"/>
      <c r="AU204" s="2"/>
      <c r="AV204" s="2"/>
      <c r="AW204" s="2"/>
      <c r="AX204" s="2"/>
      <c r="AY204" s="2"/>
    </row>
    <row r="205" spans="1:51" x14ac:dyDescent="0.2">
      <c r="A205" s="4">
        <v>2015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3.8414360000000002E-2</v>
      </c>
      <c r="P205" s="2">
        <v>0.36864770000000002</v>
      </c>
      <c r="Q205" s="2">
        <v>0.807589</v>
      </c>
      <c r="R205" s="2">
        <v>0.70673470000000005</v>
      </c>
      <c r="S205" s="2">
        <v>0.12712770000000001</v>
      </c>
      <c r="T205" s="2">
        <v>0.104904</v>
      </c>
      <c r="U205" s="2">
        <v>0.1955548</v>
      </c>
      <c r="V205" s="2">
        <v>2.4904670000000002</v>
      </c>
      <c r="W205" s="2">
        <v>14.764810000000001</v>
      </c>
      <c r="X205" s="2">
        <v>31.855250000000002</v>
      </c>
      <c r="Y205" s="2">
        <v>27.33906</v>
      </c>
      <c r="Z205" s="2">
        <v>13.683439999999999</v>
      </c>
      <c r="AA205" s="2">
        <v>5.9515149999999997</v>
      </c>
      <c r="AB205" s="5">
        <v>1.361081</v>
      </c>
      <c r="AC205" s="2">
        <v>0.19652459999999999</v>
      </c>
      <c r="AD205" s="2">
        <v>8.8859620000000007E-3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/>
      <c r="AR205" s="2"/>
      <c r="AS205" s="2"/>
      <c r="AT205" s="2"/>
      <c r="AU205" s="2"/>
      <c r="AV205" s="2"/>
      <c r="AW205" s="2"/>
      <c r="AX205" s="2"/>
      <c r="AY205" s="2"/>
    </row>
    <row r="206" spans="1:51" x14ac:dyDescent="0.2">
      <c r="A206" s="4">
        <v>2016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0.12439890000000001</v>
      </c>
      <c r="L206" s="2">
        <v>0.7130571</v>
      </c>
      <c r="M206" s="2">
        <v>1.1303129999999999</v>
      </c>
      <c r="N206" s="2">
        <v>0.63216220000000001</v>
      </c>
      <c r="O206" s="2">
        <v>0.20919979999999999</v>
      </c>
      <c r="P206" s="2">
        <v>0.94491360000000002</v>
      </c>
      <c r="Q206" s="2">
        <v>1.7192890000000001</v>
      </c>
      <c r="R206" s="2">
        <v>1.992029</v>
      </c>
      <c r="S206" s="2">
        <v>3.8072469999999998</v>
      </c>
      <c r="T206" s="2">
        <v>4.3262429999999998</v>
      </c>
      <c r="U206" s="2">
        <v>10.580489999999999</v>
      </c>
      <c r="V206" s="2">
        <v>8.3180429999999994</v>
      </c>
      <c r="W206" s="2">
        <v>4.8470610000000001</v>
      </c>
      <c r="X206" s="2">
        <v>2.152752</v>
      </c>
      <c r="Y206" s="2">
        <v>0.39232210000000001</v>
      </c>
      <c r="Z206" s="2">
        <v>0.68156419999999995</v>
      </c>
      <c r="AA206" s="2">
        <v>1.064184</v>
      </c>
      <c r="AB206" s="2">
        <v>1.1193500000000001</v>
      </c>
      <c r="AC206" s="2">
        <v>2.8370009999999999</v>
      </c>
      <c r="AD206" s="2">
        <v>11.51454</v>
      </c>
      <c r="AE206" s="2">
        <v>20.241150000000001</v>
      </c>
      <c r="AF206" s="2">
        <v>15.31362</v>
      </c>
      <c r="AG206" s="2">
        <v>4.3636739999999996</v>
      </c>
      <c r="AH206" s="2">
        <v>0.95361030000000002</v>
      </c>
      <c r="AI206" s="2">
        <v>2.1787549999999999E-2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/>
      <c r="AR206" s="2"/>
      <c r="AS206" s="2"/>
      <c r="AT206" s="2"/>
      <c r="AU206" s="2"/>
      <c r="AV206" s="2"/>
      <c r="AW206" s="2"/>
      <c r="AX206" s="2"/>
      <c r="AY206" s="2"/>
    </row>
    <row r="207" spans="1:51" x14ac:dyDescent="0.2">
      <c r="A207" s="4">
        <v>2017</v>
      </c>
      <c r="B207" s="2">
        <v>0</v>
      </c>
      <c r="C207" s="2">
        <v>0</v>
      </c>
      <c r="D207" s="2">
        <v>0</v>
      </c>
      <c r="E207" s="2">
        <v>0</v>
      </c>
      <c r="F207" s="2">
        <v>4327.8469999999998</v>
      </c>
      <c r="G207" s="2">
        <v>15868.77</v>
      </c>
      <c r="H207" s="2">
        <v>25967.08</v>
      </c>
      <c r="I207" s="2">
        <v>25967.08</v>
      </c>
      <c r="J207" s="2">
        <v>7213.0780000000004</v>
      </c>
      <c r="K207" s="2">
        <v>2885.2310000000002</v>
      </c>
      <c r="L207" s="2">
        <v>1442.616</v>
      </c>
      <c r="M207" s="2">
        <v>2885.2310000000002</v>
      </c>
      <c r="N207" s="2">
        <v>7213.0780000000004</v>
      </c>
      <c r="O207" s="2">
        <v>17311.39</v>
      </c>
      <c r="P207" s="2">
        <v>14426.16</v>
      </c>
      <c r="Q207" s="2">
        <v>14426.16</v>
      </c>
      <c r="R207" s="2">
        <v>142818.9</v>
      </c>
      <c r="S207" s="2">
        <v>725635.7</v>
      </c>
      <c r="T207" s="2">
        <v>2234612</v>
      </c>
      <c r="U207" s="2">
        <v>3062673</v>
      </c>
      <c r="V207" s="2">
        <v>3391589</v>
      </c>
      <c r="W207" s="2">
        <v>6820687</v>
      </c>
      <c r="X207" s="2">
        <v>26946617</v>
      </c>
      <c r="Y207" s="2">
        <v>42294605</v>
      </c>
      <c r="Z207" s="2">
        <v>25791082</v>
      </c>
      <c r="AA207" s="2">
        <v>10924928</v>
      </c>
      <c r="AB207" s="2">
        <v>4763517</v>
      </c>
      <c r="AC207" s="2">
        <v>3166541</v>
      </c>
      <c r="AD207" s="2">
        <v>2781363</v>
      </c>
      <c r="AE207" s="2">
        <v>1905695</v>
      </c>
      <c r="AF207" s="2">
        <v>773242</v>
      </c>
      <c r="AG207" s="2">
        <v>323145.90000000002</v>
      </c>
      <c r="AH207" s="2">
        <v>24524.47</v>
      </c>
      <c r="AI207" s="2">
        <v>12983.54</v>
      </c>
      <c r="AJ207" s="2">
        <v>0</v>
      </c>
      <c r="AK207" s="2">
        <v>0</v>
      </c>
      <c r="AL207" s="2">
        <v>0</v>
      </c>
      <c r="AM207" s="2">
        <v>0</v>
      </c>
      <c r="AN207" s="2">
        <v>1442.616</v>
      </c>
      <c r="AO207" s="2">
        <v>0</v>
      </c>
      <c r="AP207" s="2">
        <v>0</v>
      </c>
      <c r="AQ207" s="2"/>
      <c r="AR207" s="2"/>
      <c r="AS207" s="2"/>
      <c r="AT207" s="2"/>
      <c r="AU207" s="2"/>
      <c r="AV207" s="2"/>
      <c r="AW207" s="2"/>
      <c r="AX207" s="2"/>
      <c r="AY207" s="2"/>
    </row>
    <row r="208" spans="1:51" x14ac:dyDescent="0.2">
      <c r="A208" s="4">
        <v>2018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2.5742499999999998E-4</v>
      </c>
      <c r="H208" s="2">
        <v>1.07632E-4</v>
      </c>
      <c r="I208" s="2">
        <v>2.3200529999999999E-3</v>
      </c>
      <c r="J208" s="2">
        <v>3.7643009999999998E-3</v>
      </c>
      <c r="K208" s="2">
        <v>4.8804019999999998E-3</v>
      </c>
      <c r="L208" s="2">
        <v>8.3098649999999996E-3</v>
      </c>
      <c r="M208" s="2">
        <v>1.4655400000000001E-2</v>
      </c>
      <c r="N208" s="2">
        <v>3.4622569999999998E-2</v>
      </c>
      <c r="O208" s="2">
        <v>0.10555150000000001</v>
      </c>
      <c r="P208" s="2">
        <v>0.1307652</v>
      </c>
      <c r="Q208" s="2">
        <v>0.12630060000000001</v>
      </c>
      <c r="R208" s="2">
        <v>0.14008609999999999</v>
      </c>
      <c r="S208" s="2">
        <v>0.14030629999999999</v>
      </c>
      <c r="T208" s="2">
        <v>9.5244780000000001E-2</v>
      </c>
      <c r="U208" s="2">
        <v>4.6668130000000002E-2</v>
      </c>
      <c r="V208" s="2">
        <v>4.2044610000000003E-2</v>
      </c>
      <c r="W208" s="2">
        <v>4.1487419999999997E-2</v>
      </c>
      <c r="X208" s="2">
        <v>3.1734129999999999E-2</v>
      </c>
      <c r="Y208" s="2">
        <v>2.4457639999999999E-2</v>
      </c>
      <c r="Z208" s="2">
        <v>6.2915369999999998E-3</v>
      </c>
      <c r="AA208" s="2">
        <v>1.31614E-4</v>
      </c>
      <c r="AB208" s="5">
        <v>1.29E-5</v>
      </c>
      <c r="AC208" s="2">
        <v>0</v>
      </c>
      <c r="AD208" s="2">
        <v>0</v>
      </c>
      <c r="AE208" s="2">
        <v>0</v>
      </c>
      <c r="AF208" s="2">
        <v>0</v>
      </c>
      <c r="AG208" s="2">
        <v>9.2632800000000005E-3</v>
      </c>
      <c r="AH208" s="2">
        <v>4.3894240000000003E-3</v>
      </c>
      <c r="AI208" s="2">
        <v>2.2423619999999999E-3</v>
      </c>
      <c r="AJ208" s="2">
        <v>1.390942E-3</v>
      </c>
      <c r="AK208" s="2">
        <v>1.829668E-3</v>
      </c>
      <c r="AL208" s="2">
        <v>1.095443E-3</v>
      </c>
      <c r="AM208" s="2">
        <v>0</v>
      </c>
      <c r="AN208" s="2">
        <v>0</v>
      </c>
      <c r="AO208" s="2">
        <v>0</v>
      </c>
      <c r="AP208" s="2">
        <v>0</v>
      </c>
      <c r="AQ208" s="2"/>
      <c r="AR208" s="2"/>
      <c r="AS208" s="2"/>
      <c r="AT208" s="2"/>
      <c r="AU208" s="2"/>
      <c r="AV208" s="2"/>
      <c r="AW208" s="2"/>
      <c r="AX208" s="2"/>
      <c r="AY208" s="2"/>
    </row>
    <row r="209" spans="1:51" x14ac:dyDescent="0.2">
      <c r="A209" s="4">
        <v>2019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3.9603821479999999</v>
      </c>
      <c r="J209" s="2">
        <v>41.79291018</v>
      </c>
      <c r="K209" s="2">
        <v>63.592828099999998</v>
      </c>
      <c r="L209" s="2">
        <v>172.96080259999999</v>
      </c>
      <c r="M209" s="2">
        <v>438.05056719999999</v>
      </c>
      <c r="N209" s="2">
        <v>1094.5699540000001</v>
      </c>
      <c r="O209" s="2">
        <v>2353.8653389999999</v>
      </c>
      <c r="P209" s="2">
        <v>2871.8252830000001</v>
      </c>
      <c r="Q209" s="2">
        <v>2719.8594349999998</v>
      </c>
      <c r="R209" s="2">
        <v>2936.9743250000001</v>
      </c>
      <c r="S209" s="2">
        <v>3425.4170260000001</v>
      </c>
      <c r="T209" s="2">
        <v>3244.01674</v>
      </c>
      <c r="U209" s="2">
        <v>3366.192685</v>
      </c>
      <c r="V209" s="2">
        <v>3408.4992339999999</v>
      </c>
      <c r="W209" s="2">
        <v>3683.638058</v>
      </c>
      <c r="X209" s="2">
        <v>3378.7433550000001</v>
      </c>
      <c r="Y209" s="2">
        <v>3121.850672</v>
      </c>
      <c r="Z209" s="2">
        <v>2803.6437599999999</v>
      </c>
      <c r="AA209" s="2">
        <v>2203.7200039999998</v>
      </c>
      <c r="AB209" s="2">
        <v>1289.139975</v>
      </c>
      <c r="AC209" s="2">
        <v>711.145309</v>
      </c>
      <c r="AD209" s="2">
        <v>416.94473110000001</v>
      </c>
      <c r="AE209" s="2">
        <v>214.03755839999999</v>
      </c>
      <c r="AF209" s="2">
        <v>189.81496150000001</v>
      </c>
      <c r="AG209" s="2">
        <v>136.12373400000001</v>
      </c>
      <c r="AH209" s="2">
        <v>31.61673953</v>
      </c>
      <c r="AI209" s="2">
        <v>18.428505390000002</v>
      </c>
      <c r="AJ209" s="2">
        <v>7.5271920569999997</v>
      </c>
      <c r="AK209" s="2">
        <v>5.6703593489999999</v>
      </c>
      <c r="AL209" s="2">
        <v>9.5748193090000004</v>
      </c>
      <c r="AM209" s="2">
        <v>5.6064343909999996</v>
      </c>
      <c r="AN209" s="2">
        <v>0.57712667799999995</v>
      </c>
      <c r="AO209" s="2">
        <v>0</v>
      </c>
      <c r="AP209" s="2">
        <v>0</v>
      </c>
      <c r="AQ209" s="2"/>
      <c r="AR209" s="2"/>
      <c r="AS209" s="2"/>
      <c r="AT209" s="2"/>
      <c r="AU209" s="2"/>
      <c r="AV209" s="2"/>
      <c r="AW209" s="2"/>
      <c r="AX209" s="2"/>
      <c r="AY209" s="2"/>
    </row>
    <row r="210" spans="1:51" x14ac:dyDescent="0.2">
      <c r="A210" s="4"/>
      <c r="B210" s="2">
        <v>0</v>
      </c>
      <c r="C210" s="2">
        <v>0</v>
      </c>
      <c r="D210" s="2">
        <v>0</v>
      </c>
      <c r="E210" s="2">
        <v>3.252930171</v>
      </c>
      <c r="F210" s="2">
        <v>37.191132140000001</v>
      </c>
      <c r="G210" s="2">
        <v>202.2133302</v>
      </c>
      <c r="H210" s="2">
        <v>468.41903589999998</v>
      </c>
      <c r="I210" s="2">
        <v>851.10023090000004</v>
      </c>
      <c r="J210" s="2">
        <v>1152.8459580000001</v>
      </c>
      <c r="K210" s="2">
        <v>1481.451341</v>
      </c>
      <c r="L210" s="2">
        <v>1976.5301979999999</v>
      </c>
      <c r="M210" s="2">
        <v>2595.6008109999998</v>
      </c>
      <c r="N210" s="2">
        <v>3197.197388</v>
      </c>
      <c r="O210" s="2">
        <v>3076.7962339999999</v>
      </c>
      <c r="P210" s="2">
        <v>2905.2822759999999</v>
      </c>
      <c r="Q210" s="2">
        <v>2734.0445530000002</v>
      </c>
      <c r="R210" s="2">
        <v>3087.8343439999999</v>
      </c>
      <c r="S210" s="2">
        <v>3072.7869019999998</v>
      </c>
      <c r="T210" s="2">
        <v>2682.3819189999999</v>
      </c>
      <c r="U210" s="2">
        <v>1982.8464200000001</v>
      </c>
      <c r="V210" s="2">
        <v>1861.2867200000001</v>
      </c>
      <c r="W210" s="2">
        <v>1391.2322320000001</v>
      </c>
      <c r="X210" s="2">
        <v>1142.2779720000001</v>
      </c>
      <c r="Y210" s="2">
        <v>1172.067055</v>
      </c>
      <c r="Z210" s="2">
        <v>1154.4050580000001</v>
      </c>
      <c r="AA210" s="2">
        <v>852.83453110000005</v>
      </c>
      <c r="AB210" s="2">
        <v>619.10110529999997</v>
      </c>
      <c r="AC210" s="2">
        <v>463.48858999999999</v>
      </c>
      <c r="AD210" s="2">
        <v>274.55157229999998</v>
      </c>
      <c r="AE210" s="2">
        <v>78.839393419999993</v>
      </c>
      <c r="AF210" s="2">
        <v>43.783505509999998</v>
      </c>
      <c r="AG210" s="2">
        <v>15.937447199999999</v>
      </c>
      <c r="AH210" s="2">
        <v>7.8352580100000004</v>
      </c>
      <c r="AI210" s="2">
        <v>9.1208749630000003</v>
      </c>
      <c r="AJ210" s="2">
        <v>16.69576464</v>
      </c>
      <c r="AK210" s="2">
        <v>13.388495600000001</v>
      </c>
      <c r="AL210" s="2">
        <v>18.488274870000001</v>
      </c>
      <c r="AM210" s="2">
        <v>11.43492241</v>
      </c>
      <c r="AN210" s="2">
        <v>6.3351431360000001</v>
      </c>
      <c r="AO210" s="2">
        <v>1.5739247860000001</v>
      </c>
      <c r="AP210" s="2">
        <v>8</v>
      </c>
      <c r="AQ210" s="2"/>
      <c r="AR210" s="2"/>
      <c r="AS210" s="2"/>
      <c r="AT210" s="2"/>
      <c r="AU210" s="2"/>
      <c r="AV210" s="2"/>
      <c r="AW210" s="2"/>
      <c r="AX210" s="2"/>
      <c r="AY210" s="2"/>
    </row>
    <row r="211" spans="1:51" x14ac:dyDescent="0.2">
      <c r="A211" s="4" t="s">
        <v>29</v>
      </c>
      <c r="B211" s="2">
        <v>0</v>
      </c>
      <c r="C211" s="2">
        <v>0</v>
      </c>
      <c r="D211" s="2">
        <v>2.1061124699999998</v>
      </c>
      <c r="E211" s="2">
        <v>11.431643640000001</v>
      </c>
      <c r="F211" s="2">
        <v>44.164358739999997</v>
      </c>
      <c r="G211" s="2">
        <v>83.987619769999995</v>
      </c>
      <c r="H211" s="2">
        <v>277.19611409999999</v>
      </c>
      <c r="I211" s="2">
        <v>689.7673767</v>
      </c>
      <c r="J211" s="2">
        <v>1150.402859</v>
      </c>
      <c r="K211" s="2">
        <v>1303.687719</v>
      </c>
      <c r="L211" s="2">
        <v>1344.1443839999999</v>
      </c>
      <c r="M211" s="2">
        <v>1893.159163</v>
      </c>
      <c r="N211" s="2">
        <v>3984.6196709999999</v>
      </c>
      <c r="O211" s="2">
        <v>7099.5370140000005</v>
      </c>
      <c r="P211" s="2">
        <v>14494.206330000001</v>
      </c>
      <c r="Q211" s="2">
        <v>22497.34492</v>
      </c>
      <c r="R211" s="2">
        <v>30094.57158</v>
      </c>
      <c r="S211" s="2">
        <v>37378.021919999999</v>
      </c>
      <c r="T211" s="2">
        <v>29902.822779999999</v>
      </c>
      <c r="U211" s="2">
        <v>14623.9784</v>
      </c>
      <c r="V211" s="2">
        <v>9824.0156160000006</v>
      </c>
      <c r="W211" s="2">
        <v>7308.5431349999999</v>
      </c>
      <c r="X211" s="2">
        <v>5373.9891189999998</v>
      </c>
      <c r="Y211" s="2">
        <v>3991.4327840000001</v>
      </c>
      <c r="Z211" s="2">
        <v>3097.5869600000001</v>
      </c>
      <c r="AA211" s="2">
        <v>2432.0753650000001</v>
      </c>
      <c r="AB211" s="2">
        <v>1912.0156010000001</v>
      </c>
      <c r="AC211" s="2">
        <v>1351.7142530000001</v>
      </c>
      <c r="AD211" s="2">
        <v>978.66734480000002</v>
      </c>
      <c r="AE211" s="2">
        <v>643.71129059999998</v>
      </c>
      <c r="AF211" s="2">
        <v>263.61864120000001</v>
      </c>
      <c r="AG211" s="2">
        <v>189.88017730000001</v>
      </c>
      <c r="AH211" s="2">
        <v>88.515430179999996</v>
      </c>
      <c r="AI211" s="2">
        <v>62.315171049999996</v>
      </c>
      <c r="AJ211" s="2">
        <v>52.512979340000001</v>
      </c>
      <c r="AK211" s="2">
        <v>26.897472230000002</v>
      </c>
      <c r="AL211" s="2">
        <v>11.26523718</v>
      </c>
      <c r="AM211" s="2">
        <v>4.8639121899999997</v>
      </c>
      <c r="AN211" s="2">
        <v>0.72891809600000002</v>
      </c>
      <c r="AO211" s="2">
        <v>0</v>
      </c>
      <c r="AP211" s="2">
        <v>0</v>
      </c>
      <c r="AQ211" s="2"/>
      <c r="AR211" s="2"/>
      <c r="AS211" s="2"/>
      <c r="AT211" s="2"/>
      <c r="AU211" s="2"/>
      <c r="AV211" s="2"/>
      <c r="AW211" s="2"/>
      <c r="AX211" s="2"/>
      <c r="AY211" s="2"/>
    </row>
    <row r="212" spans="1:51" x14ac:dyDescent="0.2">
      <c r="A212" s="4">
        <v>1971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3.2532949480000002</v>
      </c>
      <c r="H212" s="2">
        <v>66.480021980000004</v>
      </c>
      <c r="I212" s="2">
        <v>87.021221639999993</v>
      </c>
      <c r="J212" s="2">
        <v>94.828893010000002</v>
      </c>
      <c r="K212" s="2">
        <v>122.67706920000001</v>
      </c>
      <c r="L212" s="2">
        <v>297.62803780000002</v>
      </c>
      <c r="M212" s="2">
        <v>909.51397799999995</v>
      </c>
      <c r="N212" s="2">
        <v>1662.4220299999999</v>
      </c>
      <c r="O212" s="2">
        <v>2504.5857030000002</v>
      </c>
      <c r="P212" s="2">
        <v>3557.4657120000002</v>
      </c>
      <c r="Q212" s="2">
        <v>4987.1970719999999</v>
      </c>
      <c r="R212" s="2">
        <v>6588.567986</v>
      </c>
      <c r="S212" s="2">
        <v>10299.62305</v>
      </c>
      <c r="T212" s="2">
        <v>17116.985830000001</v>
      </c>
      <c r="U212" s="2">
        <v>26852.00994</v>
      </c>
      <c r="V212" s="2">
        <v>38965.206180000001</v>
      </c>
      <c r="W212" s="2">
        <v>53692.857730000003</v>
      </c>
      <c r="X212" s="2">
        <v>58023.588759999999</v>
      </c>
      <c r="Y212" s="2">
        <v>45494.204579999998</v>
      </c>
      <c r="Z212" s="2">
        <v>28298.588179999999</v>
      </c>
      <c r="AA212" s="2">
        <v>16069.182779999999</v>
      </c>
      <c r="AB212" s="2">
        <v>9355.1428820000001</v>
      </c>
      <c r="AC212" s="2">
        <v>5578.936944</v>
      </c>
      <c r="AD212" s="2">
        <v>3747.4581939999998</v>
      </c>
      <c r="AE212" s="2">
        <v>1929.5749060000001</v>
      </c>
      <c r="AF212" s="2">
        <v>812.30067450000001</v>
      </c>
      <c r="AG212" s="2">
        <v>564.49395249999998</v>
      </c>
      <c r="AH212" s="2">
        <v>260.82607059999998</v>
      </c>
      <c r="AI212" s="2">
        <v>177.7634912</v>
      </c>
      <c r="AJ212" s="2">
        <v>119.4509319</v>
      </c>
      <c r="AK212" s="2">
        <v>43.496813789999997</v>
      </c>
      <c r="AL212" s="2">
        <v>5.9718187699999996</v>
      </c>
      <c r="AM212" s="2">
        <v>0</v>
      </c>
      <c r="AN212" s="2">
        <v>0</v>
      </c>
      <c r="AO212" s="2">
        <v>0</v>
      </c>
      <c r="AP212" s="2">
        <v>0</v>
      </c>
      <c r="AQ212" s="2"/>
      <c r="AR212" s="2"/>
      <c r="AS212" s="2"/>
      <c r="AT212" s="2"/>
      <c r="AU212" s="2"/>
      <c r="AV212" s="2"/>
      <c r="AW212" s="2"/>
      <c r="AX212" s="2"/>
      <c r="AY212" s="2"/>
    </row>
    <row r="213" spans="1:51" x14ac:dyDescent="0.2">
      <c r="A213" s="4">
        <v>1972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24.494669829999999</v>
      </c>
      <c r="N213" s="2">
        <v>61.511433779999997</v>
      </c>
      <c r="O213" s="2">
        <v>238.03913109999999</v>
      </c>
      <c r="P213" s="2">
        <v>611.76965089999999</v>
      </c>
      <c r="Q213" s="2">
        <v>1027.2229689999999</v>
      </c>
      <c r="R213" s="2">
        <v>1417.3091569999999</v>
      </c>
      <c r="S213" s="2">
        <v>2111.491004</v>
      </c>
      <c r="T213" s="2">
        <v>2733.0669619999999</v>
      </c>
      <c r="U213" s="2">
        <v>3405.6973109999999</v>
      </c>
      <c r="V213" s="2">
        <v>5231.8377540000001</v>
      </c>
      <c r="W213" s="2">
        <v>8907.3985960000009</v>
      </c>
      <c r="X213" s="2">
        <v>17238.876810000002</v>
      </c>
      <c r="Y213" s="2">
        <v>28685.221610000001</v>
      </c>
      <c r="Z213" s="2">
        <v>37826.593350000003</v>
      </c>
      <c r="AA213" s="2">
        <v>34396.694860000003</v>
      </c>
      <c r="AB213" s="2">
        <v>22929.813689999999</v>
      </c>
      <c r="AC213" s="2">
        <v>12276.258900000001</v>
      </c>
      <c r="AD213" s="2">
        <v>7033.027744</v>
      </c>
      <c r="AE213" s="2">
        <v>2900.5052999999998</v>
      </c>
      <c r="AF213" s="2">
        <v>1323.9982339999999</v>
      </c>
      <c r="AG213" s="2">
        <v>486.45925269999998</v>
      </c>
      <c r="AH213" s="2">
        <v>129.6158289</v>
      </c>
      <c r="AI213" s="2">
        <v>60.240907589999999</v>
      </c>
      <c r="AJ213" s="2">
        <v>38.206466579999997</v>
      </c>
      <c r="AK213" s="2">
        <v>27.943196449999999</v>
      </c>
      <c r="AL213" s="2">
        <v>19.103587269999998</v>
      </c>
      <c r="AM213" s="2">
        <v>10.1978557</v>
      </c>
      <c r="AN213" s="2">
        <v>1.1311553599999999</v>
      </c>
      <c r="AO213" s="2">
        <v>0</v>
      </c>
      <c r="AP213" s="2">
        <v>0</v>
      </c>
      <c r="AQ213" s="2"/>
      <c r="AR213" s="2"/>
      <c r="AS213" s="2"/>
      <c r="AT213" s="2"/>
      <c r="AU213" s="2"/>
      <c r="AV213" s="2"/>
      <c r="AW213" s="2"/>
      <c r="AX213" s="2"/>
      <c r="AY213" s="2"/>
    </row>
    <row r="214" spans="1:51" x14ac:dyDescent="0.2">
      <c r="A214" s="4">
        <v>1973</v>
      </c>
      <c r="B214" s="2" t="s">
        <v>28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</row>
    <row r="215" spans="1:51" x14ac:dyDescent="0.2">
      <c r="A215" s="4">
        <v>1974</v>
      </c>
      <c r="B215" s="2">
        <v>0.05</v>
      </c>
      <c r="C215" s="2">
        <v>8.8999999999999996E-2</v>
      </c>
      <c r="D215" s="2">
        <v>0.129</v>
      </c>
      <c r="E215" s="2">
        <v>0.189</v>
      </c>
      <c r="F215" s="2">
        <v>0.248</v>
      </c>
      <c r="G215" s="2">
        <v>0.313</v>
      </c>
      <c r="H215" s="2">
        <v>0.39600000000000002</v>
      </c>
      <c r="I215" s="2">
        <v>0.48799999999999999</v>
      </c>
      <c r="J215" s="2">
        <v>0.58399999999999996</v>
      </c>
      <c r="K215" s="2">
        <v>0.72799999999999998</v>
      </c>
      <c r="L215" s="2">
        <v>0.88</v>
      </c>
      <c r="M215" s="2">
        <v>1.115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</row>
    <row r="216" spans="1:51" x14ac:dyDescent="0.2">
      <c r="A216" s="4">
        <v>1975</v>
      </c>
      <c r="B216" s="2">
        <v>0.05</v>
      </c>
      <c r="C216" s="2">
        <v>8.8999999999999996E-2</v>
      </c>
      <c r="D216" s="2">
        <v>0.129</v>
      </c>
      <c r="E216" s="2">
        <v>0.189</v>
      </c>
      <c r="F216" s="2">
        <v>0.248</v>
      </c>
      <c r="G216" s="2">
        <v>0.313</v>
      </c>
      <c r="H216" s="2">
        <v>0.39600000000000002</v>
      </c>
      <c r="I216" s="2">
        <v>0.48799999999999999</v>
      </c>
      <c r="J216" s="2">
        <v>0.58399999999999996</v>
      </c>
      <c r="K216" s="2">
        <v>0.72799999999999998</v>
      </c>
      <c r="L216" s="2">
        <v>0.88</v>
      </c>
      <c r="M216" s="2">
        <v>1.115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</row>
    <row r="217" spans="1:51" x14ac:dyDescent="0.2">
      <c r="A217" s="4">
        <v>1976</v>
      </c>
      <c r="B217" s="2">
        <v>0.05</v>
      </c>
      <c r="C217" s="2">
        <v>8.8999999999999996E-2</v>
      </c>
      <c r="D217" s="2">
        <v>0.129</v>
      </c>
      <c r="E217" s="2">
        <v>0.189</v>
      </c>
      <c r="F217" s="2">
        <v>0.248</v>
      </c>
      <c r="G217" s="2">
        <v>0.313</v>
      </c>
      <c r="H217" s="2">
        <v>0.39600000000000002</v>
      </c>
      <c r="I217" s="2">
        <v>0.48799999999999999</v>
      </c>
      <c r="J217" s="2">
        <v>0.58399999999999996</v>
      </c>
      <c r="K217" s="2">
        <v>0.72799999999999998</v>
      </c>
      <c r="L217" s="2">
        <v>0.88</v>
      </c>
      <c r="M217" s="2">
        <v>1.115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</row>
    <row r="218" spans="1:51" x14ac:dyDescent="0.2">
      <c r="A218" s="4">
        <v>1977</v>
      </c>
      <c r="B218" s="2">
        <v>0.05</v>
      </c>
      <c r="C218" s="2">
        <v>8.8999999999999996E-2</v>
      </c>
      <c r="D218" s="2">
        <v>0.129</v>
      </c>
      <c r="E218" s="2">
        <v>0.189</v>
      </c>
      <c r="F218" s="2">
        <v>0.248</v>
      </c>
      <c r="G218" s="2">
        <v>0.313</v>
      </c>
      <c r="H218" s="2">
        <v>0.39600000000000002</v>
      </c>
      <c r="I218" s="2">
        <v>0.48799999999999999</v>
      </c>
      <c r="J218" s="2">
        <v>0.58399999999999996</v>
      </c>
      <c r="K218" s="2">
        <v>0.72799999999999998</v>
      </c>
      <c r="L218" s="2">
        <v>0.88</v>
      </c>
      <c r="M218" s="2">
        <v>1.115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</row>
    <row r="219" spans="1:51" x14ac:dyDescent="0.2">
      <c r="A219" s="4">
        <v>1978</v>
      </c>
      <c r="B219" s="2">
        <v>0.05</v>
      </c>
      <c r="C219" s="2">
        <v>8.8999999999999996E-2</v>
      </c>
      <c r="D219" s="2">
        <v>0.129</v>
      </c>
      <c r="E219" s="2">
        <v>0.189</v>
      </c>
      <c r="F219" s="2">
        <v>0.248</v>
      </c>
      <c r="G219" s="2">
        <v>0.313</v>
      </c>
      <c r="H219" s="2">
        <v>0.39600000000000002</v>
      </c>
      <c r="I219" s="2">
        <v>0.48799999999999999</v>
      </c>
      <c r="J219" s="2">
        <v>0.58399999999999996</v>
      </c>
      <c r="K219" s="2">
        <v>0.72799999999999998</v>
      </c>
      <c r="L219" s="2">
        <v>0.88</v>
      </c>
      <c r="M219" s="2">
        <v>1.115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</row>
    <row r="220" spans="1:51" x14ac:dyDescent="0.2">
      <c r="A220" s="4">
        <v>1979</v>
      </c>
      <c r="B220" s="2">
        <v>0.05</v>
      </c>
      <c r="C220" s="2">
        <v>8.8999999999999996E-2</v>
      </c>
      <c r="D220" s="2">
        <v>0.129</v>
      </c>
      <c r="E220" s="2">
        <v>0.189</v>
      </c>
      <c r="F220" s="2">
        <v>0.248</v>
      </c>
      <c r="G220" s="2">
        <v>0.313</v>
      </c>
      <c r="H220" s="2">
        <v>0.39600000000000002</v>
      </c>
      <c r="I220" s="2">
        <v>0.48799999999999999</v>
      </c>
      <c r="J220" s="2">
        <v>0.58399999999999996</v>
      </c>
      <c r="K220" s="2">
        <v>0.72799999999999998</v>
      </c>
      <c r="L220" s="2">
        <v>0.88</v>
      </c>
      <c r="M220" s="2">
        <v>1.115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</row>
    <row r="221" spans="1:51" x14ac:dyDescent="0.2">
      <c r="A221" s="4">
        <v>1980</v>
      </c>
      <c r="B221" s="2">
        <v>0.05</v>
      </c>
      <c r="C221" s="2">
        <v>8.8999999999999996E-2</v>
      </c>
      <c r="D221" s="2">
        <v>0.129</v>
      </c>
      <c r="E221" s="2">
        <v>0.189</v>
      </c>
      <c r="F221" s="2">
        <v>0.248</v>
      </c>
      <c r="G221" s="2">
        <v>0.313</v>
      </c>
      <c r="H221" s="2">
        <v>0.39600000000000002</v>
      </c>
      <c r="I221" s="2">
        <v>0.48799999999999999</v>
      </c>
      <c r="J221" s="2">
        <v>0.58399999999999996</v>
      </c>
      <c r="K221" s="2">
        <v>0.72799999999999998</v>
      </c>
      <c r="L221" s="2">
        <v>0.88</v>
      </c>
      <c r="M221" s="2">
        <v>1.115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</row>
    <row r="222" spans="1:51" x14ac:dyDescent="0.2">
      <c r="A222" s="4">
        <v>1981</v>
      </c>
      <c r="B222" s="2">
        <v>0.05</v>
      </c>
      <c r="C222" s="2">
        <v>8.8999999999999996E-2</v>
      </c>
      <c r="D222" s="2">
        <v>0.129</v>
      </c>
      <c r="E222" s="2">
        <v>0.189</v>
      </c>
      <c r="F222" s="2">
        <v>0.248</v>
      </c>
      <c r="G222" s="2">
        <v>0.313</v>
      </c>
      <c r="H222" s="2">
        <v>0.39600000000000002</v>
      </c>
      <c r="I222" s="2">
        <v>0.48799999999999999</v>
      </c>
      <c r="J222" s="2">
        <v>0.58399999999999996</v>
      </c>
      <c r="K222" s="2">
        <v>0.72799999999999998</v>
      </c>
      <c r="L222" s="2">
        <v>0.88</v>
      </c>
      <c r="M222" s="2">
        <v>1.115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</row>
    <row r="223" spans="1:51" x14ac:dyDescent="0.2">
      <c r="A223" s="4">
        <v>1982</v>
      </c>
      <c r="B223" s="2">
        <v>0.05</v>
      </c>
      <c r="C223" s="2">
        <v>0.105</v>
      </c>
      <c r="D223" s="2">
        <v>0.124</v>
      </c>
      <c r="E223" s="2">
        <v>0.16300000000000001</v>
      </c>
      <c r="F223" s="2">
        <v>0.20399999999999999</v>
      </c>
      <c r="G223" s="2">
        <v>0.314</v>
      </c>
      <c r="H223" s="2">
        <v>0.36899999999999999</v>
      </c>
      <c r="I223" s="2">
        <v>0.40500000000000003</v>
      </c>
      <c r="J223" s="2">
        <v>0.434</v>
      </c>
      <c r="K223" s="2">
        <v>0.45300000000000001</v>
      </c>
      <c r="L223" s="2">
        <v>0.59</v>
      </c>
      <c r="M223" s="2">
        <v>1.115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</row>
    <row r="224" spans="1:51" x14ac:dyDescent="0.2">
      <c r="A224" s="4">
        <v>1983</v>
      </c>
      <c r="B224" s="2">
        <v>0.05</v>
      </c>
      <c r="C224" s="2">
        <v>0.108</v>
      </c>
      <c r="D224" s="2">
        <v>0.16300000000000001</v>
      </c>
      <c r="E224" s="2">
        <v>0.17899999999999999</v>
      </c>
      <c r="F224" s="2">
        <v>0.217</v>
      </c>
      <c r="G224" s="2">
        <v>0.27400000000000002</v>
      </c>
      <c r="H224" s="2">
        <v>0.37</v>
      </c>
      <c r="I224" s="2">
        <v>0.42</v>
      </c>
      <c r="J224" s="2">
        <v>0.47399999999999998</v>
      </c>
      <c r="K224" s="2">
        <v>0.629</v>
      </c>
      <c r="L224" s="2">
        <v>0.63300000000000001</v>
      </c>
      <c r="M224" s="2">
        <v>1.115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</row>
    <row r="225" spans="1:51" x14ac:dyDescent="0.2">
      <c r="A225" s="4">
        <v>1984</v>
      </c>
      <c r="B225" s="2">
        <v>0.05</v>
      </c>
      <c r="C225" s="2">
        <v>6.9000000000000006E-2</v>
      </c>
      <c r="D225" s="2">
        <v>0.11799999999999999</v>
      </c>
      <c r="E225" s="2">
        <v>0.21</v>
      </c>
      <c r="F225" s="2">
        <v>0.25600000000000001</v>
      </c>
      <c r="G225" s="2">
        <v>0.32400000000000001</v>
      </c>
      <c r="H225" s="2">
        <v>0.41</v>
      </c>
      <c r="I225" s="2">
        <v>0.45100000000000001</v>
      </c>
      <c r="J225" s="2">
        <v>0.51100000000000001</v>
      </c>
      <c r="K225" s="2">
        <v>0.998</v>
      </c>
      <c r="L225" s="2">
        <v>0.88</v>
      </c>
      <c r="M225" s="2">
        <v>1.115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</row>
    <row r="226" spans="1:51" x14ac:dyDescent="0.2">
      <c r="A226" s="4">
        <v>1985</v>
      </c>
      <c r="B226" s="2">
        <v>0.05</v>
      </c>
      <c r="C226" s="2">
        <v>9.4E-2</v>
      </c>
      <c r="D226" s="2">
        <v>0.13900000000000001</v>
      </c>
      <c r="E226" s="2">
        <v>0.214</v>
      </c>
      <c r="F226" s="2">
        <v>0.26900000000000002</v>
      </c>
      <c r="G226" s="2">
        <v>0.33100000000000002</v>
      </c>
      <c r="H226" s="2">
        <v>0.41199999999999998</v>
      </c>
      <c r="I226" s="2">
        <v>0.48099999999999998</v>
      </c>
      <c r="J226" s="2">
        <v>0.57999999999999996</v>
      </c>
      <c r="K226" s="2">
        <v>0.66100000000000003</v>
      </c>
      <c r="L226" s="2">
        <v>1.1120000000000001</v>
      </c>
      <c r="M226" s="2">
        <v>1.115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</row>
    <row r="227" spans="1:51" x14ac:dyDescent="0.2">
      <c r="A227" s="4">
        <v>1986</v>
      </c>
      <c r="B227" s="2">
        <v>7.0999999999999994E-2</v>
      </c>
      <c r="C227" s="2">
        <v>9.2999999999999999E-2</v>
      </c>
      <c r="D227" s="2">
        <v>0.16800000000000001</v>
      </c>
      <c r="E227" s="2">
        <v>0.20200000000000001</v>
      </c>
      <c r="F227" s="2">
        <v>0.248</v>
      </c>
      <c r="G227" s="2">
        <v>0.30499999999999999</v>
      </c>
      <c r="H227" s="2">
        <v>0.35599999999999998</v>
      </c>
      <c r="I227" s="2">
        <v>0.41099999999999998</v>
      </c>
      <c r="J227" s="2">
        <v>0.44600000000000001</v>
      </c>
      <c r="K227" s="2">
        <v>0.47099999999999997</v>
      </c>
      <c r="L227" s="2">
        <v>0.71899999999999997</v>
      </c>
      <c r="M227" s="2">
        <v>1.115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</row>
    <row r="228" spans="1:51" x14ac:dyDescent="0.2">
      <c r="A228" s="4">
        <v>1987</v>
      </c>
      <c r="B228" s="2">
        <v>8.4000000000000005E-2</v>
      </c>
      <c r="C228" s="2">
        <v>9.9000000000000005E-2</v>
      </c>
      <c r="D228" s="2">
        <v>0.11899999999999999</v>
      </c>
      <c r="E228" s="2">
        <v>0.221</v>
      </c>
      <c r="F228" s="2">
        <v>0.26400000000000001</v>
      </c>
      <c r="G228" s="2">
        <v>0.314</v>
      </c>
      <c r="H228" s="2">
        <v>0.377</v>
      </c>
      <c r="I228" s="2">
        <v>0.42899999999999999</v>
      </c>
      <c r="J228" s="2">
        <v>0.47499999999999998</v>
      </c>
      <c r="K228" s="2">
        <v>0.52800000000000002</v>
      </c>
      <c r="L228" s="2">
        <v>0.54</v>
      </c>
      <c r="M228" s="2">
        <v>1.115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</row>
    <row r="229" spans="1:51" x14ac:dyDescent="0.2">
      <c r="A229" s="4">
        <v>1988</v>
      </c>
      <c r="B229" s="2">
        <v>0.05</v>
      </c>
      <c r="C229" s="2">
        <v>0.16400000000000001</v>
      </c>
      <c r="D229" s="2">
        <v>0.186</v>
      </c>
      <c r="E229" s="2">
        <v>0.217</v>
      </c>
      <c r="F229" s="2">
        <v>0.27300000000000002</v>
      </c>
      <c r="G229" s="2">
        <v>0.34499999999999997</v>
      </c>
      <c r="H229" s="2">
        <v>0.39400000000000002</v>
      </c>
      <c r="I229" s="2">
        <v>0.437</v>
      </c>
      <c r="J229" s="2">
        <v>0.497</v>
      </c>
      <c r="K229" s="2">
        <v>0.56799999999999995</v>
      </c>
      <c r="L229" s="2">
        <v>0.78600000000000003</v>
      </c>
      <c r="M229" s="2">
        <v>1.115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</row>
    <row r="230" spans="1:51" x14ac:dyDescent="0.2">
      <c r="A230" s="4">
        <v>1989</v>
      </c>
      <c r="B230" s="2">
        <v>0.05</v>
      </c>
      <c r="C230" s="2">
        <v>0.16700000000000001</v>
      </c>
      <c r="D230" s="2">
        <v>0.17299999999999999</v>
      </c>
      <c r="E230" s="2">
        <v>0.224</v>
      </c>
      <c r="F230" s="2">
        <v>0.27100000000000002</v>
      </c>
      <c r="G230" s="2">
        <v>0.34</v>
      </c>
      <c r="H230" s="2">
        <v>0.40100000000000002</v>
      </c>
      <c r="I230" s="2">
        <v>0.46500000000000002</v>
      </c>
      <c r="J230" s="2">
        <v>0.53600000000000003</v>
      </c>
      <c r="K230" s="2">
        <v>0.58199999999999996</v>
      </c>
      <c r="L230" s="2">
        <v>0.72599999999999998</v>
      </c>
      <c r="M230" s="2">
        <v>1.115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</row>
    <row r="231" spans="1:51" x14ac:dyDescent="0.2">
      <c r="A231" s="4">
        <v>1990</v>
      </c>
      <c r="B231" s="2">
        <v>9.6000000000000002E-2</v>
      </c>
      <c r="C231" s="2">
        <v>9.9000000000000005E-2</v>
      </c>
      <c r="D231" s="2">
        <v>0.14299999999999999</v>
      </c>
      <c r="E231" s="2">
        <v>0.222</v>
      </c>
      <c r="F231" s="2">
        <v>0.28899999999999998</v>
      </c>
      <c r="G231" s="2">
        <v>0.33200000000000002</v>
      </c>
      <c r="H231" s="2">
        <v>0.41799999999999998</v>
      </c>
      <c r="I231" s="2">
        <v>0.497</v>
      </c>
      <c r="J231" s="2">
        <v>0.55000000000000004</v>
      </c>
      <c r="K231" s="2">
        <v>0.86899999999999999</v>
      </c>
      <c r="L231" s="2">
        <v>0.88</v>
      </c>
      <c r="M231" s="2">
        <v>1.115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</row>
    <row r="232" spans="1:51" x14ac:dyDescent="0.2">
      <c r="A232" s="4">
        <v>1991</v>
      </c>
      <c r="B232" s="2">
        <v>9.1999999999999998E-2</v>
      </c>
      <c r="C232" s="2">
        <v>0.121</v>
      </c>
      <c r="D232" s="2">
        <v>0.14599999999999999</v>
      </c>
      <c r="E232" s="2">
        <v>0.189</v>
      </c>
      <c r="F232" s="2">
        <v>0.23300000000000001</v>
      </c>
      <c r="G232" s="2">
        <v>0.33600000000000002</v>
      </c>
      <c r="H232" s="2">
        <v>0.42699999999999999</v>
      </c>
      <c r="I232" s="2">
        <v>0.47699999999999998</v>
      </c>
      <c r="J232" s="2">
        <v>0.51300000000000001</v>
      </c>
      <c r="K232" s="2">
        <v>0.65</v>
      </c>
      <c r="L232" s="2">
        <v>0.80300000000000005</v>
      </c>
      <c r="M232" s="2">
        <v>1.115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</row>
    <row r="233" spans="1:51" x14ac:dyDescent="0.2">
      <c r="A233" s="4">
        <v>1992</v>
      </c>
      <c r="B233" s="2">
        <v>0.05</v>
      </c>
      <c r="C233" s="2">
        <v>0.11</v>
      </c>
      <c r="D233" s="2">
        <v>0.16700000000000001</v>
      </c>
      <c r="E233" s="2">
        <v>0.19700000000000001</v>
      </c>
      <c r="F233" s="2">
        <v>0.23</v>
      </c>
      <c r="G233" s="2">
        <v>0.29799999999999999</v>
      </c>
      <c r="H233" s="2">
        <v>0.47199999999999998</v>
      </c>
      <c r="I233" s="2">
        <v>0.54500000000000004</v>
      </c>
      <c r="J233" s="2">
        <v>0.58599999999999997</v>
      </c>
      <c r="K233" s="2">
        <v>0.60950000000000004</v>
      </c>
      <c r="L233" s="2">
        <v>0.88</v>
      </c>
      <c r="M233" s="2">
        <v>1.115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</row>
    <row r="234" spans="1:51" x14ac:dyDescent="0.2">
      <c r="A234" s="4">
        <v>1993</v>
      </c>
      <c r="B234" s="2">
        <v>0.05</v>
      </c>
      <c r="C234" s="2">
        <v>0.123</v>
      </c>
      <c r="D234" s="2">
        <v>0.16700000000000001</v>
      </c>
      <c r="E234" s="2">
        <v>0.23</v>
      </c>
      <c r="F234" s="2">
        <v>0.27</v>
      </c>
      <c r="G234" s="2">
        <v>0.31</v>
      </c>
      <c r="H234" s="2">
        <v>0.379</v>
      </c>
      <c r="I234" s="2">
        <v>0.49099999999999999</v>
      </c>
      <c r="J234" s="2">
        <v>0.54100000000000004</v>
      </c>
      <c r="K234" s="2">
        <v>0.56899999999999995</v>
      </c>
      <c r="L234" s="2">
        <v>0.71299999999999997</v>
      </c>
      <c r="M234" s="2">
        <v>1.115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</row>
    <row r="235" spans="1:51" x14ac:dyDescent="0.2">
      <c r="A235" s="4">
        <v>1994</v>
      </c>
      <c r="B235" s="2">
        <v>6.9000000000000006E-2</v>
      </c>
      <c r="C235" s="2">
        <v>9.9000000000000005E-2</v>
      </c>
      <c r="D235" s="2">
        <v>0.16</v>
      </c>
      <c r="E235" s="2">
        <v>0.248</v>
      </c>
      <c r="F235" s="2">
        <v>0.28999999999999998</v>
      </c>
      <c r="G235" s="2">
        <v>0.33800000000000002</v>
      </c>
      <c r="H235" s="2">
        <v>0.40899999999999997</v>
      </c>
      <c r="I235" s="2">
        <v>0.53300000000000003</v>
      </c>
      <c r="J235" s="2">
        <v>0.65100000000000002</v>
      </c>
      <c r="K235" s="2">
        <v>0.67700000000000005</v>
      </c>
      <c r="L235" s="2">
        <v>0.75600000000000001</v>
      </c>
      <c r="M235" s="2">
        <v>1.115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</row>
    <row r="236" spans="1:51" x14ac:dyDescent="0.2">
      <c r="A236" s="4">
        <v>1995</v>
      </c>
      <c r="B236" s="2">
        <v>4.9000000000000002E-2</v>
      </c>
      <c r="C236" s="2">
        <v>0.121</v>
      </c>
      <c r="D236" s="2">
        <v>0.14299999999999999</v>
      </c>
      <c r="E236" s="2">
        <v>0.20100000000000001</v>
      </c>
      <c r="F236" s="2">
        <v>0.27700000000000002</v>
      </c>
      <c r="G236" s="2">
        <v>0.36599999999999999</v>
      </c>
      <c r="H236" s="2">
        <v>0.40799999999999997</v>
      </c>
      <c r="I236" s="2">
        <v>0.47799999999999998</v>
      </c>
      <c r="J236" s="2">
        <v>0.63700000000000001</v>
      </c>
      <c r="K236" s="2">
        <v>0.72</v>
      </c>
      <c r="L236" s="2">
        <v>0.79400000000000004</v>
      </c>
      <c r="M236" s="2">
        <v>0.88300000000000001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</row>
    <row r="237" spans="1:51" x14ac:dyDescent="0.2">
      <c r="A237" s="4">
        <v>1996</v>
      </c>
      <c r="B237" s="2">
        <v>6.9000000000000006E-2</v>
      </c>
      <c r="C237" s="2">
        <v>9.1999999999999998E-2</v>
      </c>
      <c r="D237" s="2">
        <v>0.127</v>
      </c>
      <c r="E237" s="2">
        <v>0.20100000000000001</v>
      </c>
      <c r="F237" s="2">
        <v>0.26800000000000002</v>
      </c>
      <c r="G237" s="2">
        <v>0.3</v>
      </c>
      <c r="H237" s="2">
        <v>0.373</v>
      </c>
      <c r="I237" s="2">
        <v>0.44400000000000001</v>
      </c>
      <c r="J237" s="2">
        <v>0.51200000000000001</v>
      </c>
      <c r="K237" s="2">
        <v>0.59499999999999997</v>
      </c>
      <c r="L237" s="2">
        <v>0.68100000000000005</v>
      </c>
      <c r="M237" s="2">
        <v>0.78600000000000003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</row>
    <row r="238" spans="1:51" x14ac:dyDescent="0.2">
      <c r="A238" s="4">
        <v>1997</v>
      </c>
      <c r="B238" s="2">
        <v>2.1000000000000001E-2</v>
      </c>
      <c r="C238" s="2">
        <v>0.11600000000000001</v>
      </c>
      <c r="D238" s="2">
        <v>0.152</v>
      </c>
      <c r="E238" s="2">
        <v>0.20499999999999999</v>
      </c>
      <c r="F238" s="2">
        <v>0.29799999999999999</v>
      </c>
      <c r="G238" s="2">
        <v>0.36399999999999999</v>
      </c>
      <c r="H238" s="2">
        <v>0.42199999999999999</v>
      </c>
      <c r="I238" s="2">
        <v>0.48899999999999999</v>
      </c>
      <c r="J238" s="2">
        <v>0.52800000000000002</v>
      </c>
      <c r="K238" s="2">
        <v>0.59599999999999997</v>
      </c>
      <c r="L238" s="2">
        <v>0.77400000000000002</v>
      </c>
      <c r="M238" s="2">
        <v>0.88900000000000001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</row>
    <row r="239" spans="1:51" x14ac:dyDescent="0.2">
      <c r="A239" s="4">
        <v>1998</v>
      </c>
      <c r="B239" s="2">
        <v>5.8999999999999997E-2</v>
      </c>
      <c r="C239" s="2">
        <v>9.7000000000000003E-2</v>
      </c>
      <c r="D239" s="2">
        <v>0.107</v>
      </c>
      <c r="E239" s="2">
        <v>0.23499999999999999</v>
      </c>
      <c r="F239" s="2">
        <v>0.29099999999999998</v>
      </c>
      <c r="G239" s="2">
        <v>0.33</v>
      </c>
      <c r="H239" s="2">
        <v>0.38700000000000001</v>
      </c>
      <c r="I239" s="2">
        <v>0.45900000000000002</v>
      </c>
      <c r="J239" s="2">
        <v>0.56499999999999995</v>
      </c>
      <c r="K239" s="2">
        <v>0.748</v>
      </c>
      <c r="L239" s="2">
        <v>0.79800000000000004</v>
      </c>
      <c r="M239" s="2">
        <v>0.89800000000000002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</row>
    <row r="240" spans="1:51" x14ac:dyDescent="0.2">
      <c r="A240" s="4">
        <v>1999</v>
      </c>
      <c r="B240" s="2">
        <v>6.9000000000000006E-2</v>
      </c>
      <c r="C240" s="2">
        <v>0.10100000000000001</v>
      </c>
      <c r="D240" s="2">
        <v>0.13700000000000001</v>
      </c>
      <c r="E240" s="2">
        <v>0.186</v>
      </c>
      <c r="F240" s="2">
        <v>0.26300000000000001</v>
      </c>
      <c r="G240" s="2">
        <v>0.32100000000000001</v>
      </c>
      <c r="H240" s="2">
        <v>0.35699999999999998</v>
      </c>
      <c r="I240" s="2">
        <v>0.434</v>
      </c>
      <c r="J240" s="2">
        <v>0.56100000000000005</v>
      </c>
      <c r="K240" s="2">
        <v>0.66800000000000004</v>
      </c>
      <c r="L240" s="2">
        <v>0.88</v>
      </c>
      <c r="M240" s="2">
        <v>1.115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</row>
    <row r="241" spans="1:51" x14ac:dyDescent="0.2">
      <c r="A241" s="4">
        <v>2000</v>
      </c>
      <c r="B241" s="2">
        <v>6.7000000000000004E-2</v>
      </c>
      <c r="C241" s="2">
        <v>0</v>
      </c>
      <c r="D241" s="2">
        <v>0.14000000000000001</v>
      </c>
      <c r="E241" s="2">
        <v>0.17</v>
      </c>
      <c r="F241" s="2">
        <v>0.22900000000000001</v>
      </c>
      <c r="G241" s="2">
        <v>0.29499999999999998</v>
      </c>
      <c r="H241" s="2">
        <v>0.36699999999999999</v>
      </c>
      <c r="I241" s="2">
        <v>0.50700000000000001</v>
      </c>
      <c r="J241" s="2">
        <v>0.65700000000000003</v>
      </c>
      <c r="K241" s="2">
        <v>0.63900000000000001</v>
      </c>
      <c r="L241" s="2">
        <v>0.88</v>
      </c>
      <c r="M241" s="2">
        <v>1.115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</row>
    <row r="242" spans="1:51" x14ac:dyDescent="0.2">
      <c r="A242" s="4">
        <v>2001</v>
      </c>
      <c r="B242" s="2">
        <v>2.9000000000000001E-2</v>
      </c>
      <c r="C242" s="2">
        <v>6.3E-2</v>
      </c>
      <c r="D242" s="2">
        <v>0.125</v>
      </c>
      <c r="E242" s="2">
        <v>0.17699999999999999</v>
      </c>
      <c r="F242" s="2">
        <v>0.246</v>
      </c>
      <c r="G242" s="2">
        <v>0.35699999999999998</v>
      </c>
      <c r="H242" s="2">
        <v>0.503</v>
      </c>
      <c r="I242" s="2">
        <v>0.61499999999999999</v>
      </c>
      <c r="J242" s="2">
        <v>0.58399999999999996</v>
      </c>
      <c r="K242" s="2">
        <v>0.72799999999999998</v>
      </c>
      <c r="L242" s="2">
        <v>0.88</v>
      </c>
      <c r="M242" s="2">
        <v>1.115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</row>
    <row r="243" spans="1:51" x14ac:dyDescent="0.2">
      <c r="A243" s="4">
        <v>2002</v>
      </c>
      <c r="B243" s="2">
        <v>0</v>
      </c>
      <c r="C243" s="2">
        <v>8.2000000000000003E-2</v>
      </c>
      <c r="D243" s="2">
        <v>0.104</v>
      </c>
      <c r="E243" s="2">
        <v>0.19500000000000001</v>
      </c>
      <c r="F243" s="2">
        <v>0.249</v>
      </c>
      <c r="G243" s="2">
        <v>0.28999999999999998</v>
      </c>
      <c r="H243" s="2">
        <v>0.39</v>
      </c>
      <c r="I243" s="2">
        <v>0.47499999999999998</v>
      </c>
      <c r="J243" s="2">
        <v>0.63400000000000001</v>
      </c>
      <c r="K243" s="2">
        <v>0.72799999999999998</v>
      </c>
      <c r="L243" s="2">
        <v>0.88</v>
      </c>
      <c r="M243" s="2">
        <v>1.115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</row>
    <row r="244" spans="1:51" x14ac:dyDescent="0.2">
      <c r="A244" s="4">
        <v>2003</v>
      </c>
      <c r="B244" s="2">
        <v>7.0999999999999994E-2</v>
      </c>
      <c r="C244" s="2">
        <v>7.3999999999999996E-2</v>
      </c>
      <c r="D244" s="2">
        <v>8.8999999999999996E-2</v>
      </c>
      <c r="E244" s="2">
        <v>0.14699999999999999</v>
      </c>
      <c r="F244" s="2">
        <v>0.27</v>
      </c>
      <c r="G244" s="2">
        <v>0.315</v>
      </c>
      <c r="H244" s="2">
        <v>0.44600000000000001</v>
      </c>
      <c r="I244" s="2">
        <v>0.72199999999999998</v>
      </c>
      <c r="J244" s="2">
        <v>0.58399999999999996</v>
      </c>
      <c r="K244" s="2">
        <v>0.72799999999999998</v>
      </c>
      <c r="L244" s="2">
        <v>0.88</v>
      </c>
      <c r="M244" s="2">
        <v>1.115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</row>
    <row r="245" spans="1:51" x14ac:dyDescent="0.2">
      <c r="A245" s="4">
        <v>2004</v>
      </c>
      <c r="B245" s="2">
        <v>4.2999999999999997E-2</v>
      </c>
      <c r="C245" s="2">
        <v>5.3999999999999999E-2</v>
      </c>
      <c r="D245" s="2">
        <v>0.13800000000000001</v>
      </c>
      <c r="E245" s="2">
        <v>0.191</v>
      </c>
      <c r="F245" s="2">
        <v>0.22500000000000001</v>
      </c>
      <c r="G245" s="2">
        <v>0.251</v>
      </c>
      <c r="H245" s="2">
        <v>0.372</v>
      </c>
      <c r="I245" s="2">
        <v>0.48799999999999999</v>
      </c>
      <c r="J245" s="2">
        <v>0.58399999999999996</v>
      </c>
      <c r="K245" s="2">
        <v>0.72799999999999998</v>
      </c>
      <c r="L245" s="2">
        <v>0.88</v>
      </c>
      <c r="M245" s="2">
        <v>1.115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</row>
    <row r="246" spans="1:51" x14ac:dyDescent="0.2">
      <c r="A246" s="4">
        <v>2005</v>
      </c>
      <c r="B246" s="2">
        <v>6.6000000000000003E-2</v>
      </c>
      <c r="C246" s="2">
        <v>9.2999999999999999E-2</v>
      </c>
      <c r="D246" s="2">
        <v>0.112</v>
      </c>
      <c r="E246" s="2">
        <v>0.13300000000000001</v>
      </c>
      <c r="F246" s="2">
        <v>0.20399999999999999</v>
      </c>
      <c r="G246" s="2">
        <v>0.28599999999999998</v>
      </c>
      <c r="H246" s="2">
        <v>0.42099999999999999</v>
      </c>
      <c r="I246" s="2">
        <v>0.48799999999999999</v>
      </c>
      <c r="J246" s="2">
        <v>0.58399999999999996</v>
      </c>
      <c r="K246" s="2">
        <v>0.72799999999999998</v>
      </c>
      <c r="L246" s="2">
        <v>0.88</v>
      </c>
      <c r="M246" s="2">
        <v>1.115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</row>
    <row r="247" spans="1:51" x14ac:dyDescent="0.2">
      <c r="A247" s="4">
        <v>2006</v>
      </c>
      <c r="B247" s="2">
        <v>2.9000000000000001E-2</v>
      </c>
      <c r="C247" s="2">
        <v>5.8999999999999997E-2</v>
      </c>
      <c r="D247" s="2">
        <v>9.1999999999999998E-2</v>
      </c>
      <c r="E247" s="2">
        <v>0.17199999999999999</v>
      </c>
      <c r="F247" s="2">
        <v>0.23799999999999999</v>
      </c>
      <c r="G247" s="2">
        <v>0.32700000000000001</v>
      </c>
      <c r="H247" s="2">
        <v>0.39800000000000002</v>
      </c>
      <c r="I247" s="2">
        <v>0.41599999999999998</v>
      </c>
      <c r="J247" s="2">
        <v>0.628</v>
      </c>
      <c r="K247" s="2">
        <v>0.72799999999999998</v>
      </c>
      <c r="L247" s="2">
        <v>0.88</v>
      </c>
      <c r="M247" s="2">
        <v>1.115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</row>
    <row r="248" spans="1:51" x14ac:dyDescent="0.2">
      <c r="A248" s="4">
        <v>2007</v>
      </c>
      <c r="B248" s="2">
        <v>3.5999999999999997E-2</v>
      </c>
      <c r="C248" s="2">
        <v>8.2000000000000003E-2</v>
      </c>
      <c r="D248" s="2">
        <v>0.10199999999999999</v>
      </c>
      <c r="E248" s="2">
        <v>0.14099999999999999</v>
      </c>
      <c r="F248" s="2">
        <v>0.22700000000000001</v>
      </c>
      <c r="G248" s="2">
        <v>0.309</v>
      </c>
      <c r="H248" s="2">
        <v>0.41599999999999998</v>
      </c>
      <c r="I248" s="2">
        <v>0.46400000000000002</v>
      </c>
      <c r="J248" s="2">
        <v>0.53400000000000003</v>
      </c>
      <c r="K248" s="2">
        <v>0.72799999999999998</v>
      </c>
      <c r="L248" s="2">
        <v>0.88</v>
      </c>
      <c r="M248" s="2">
        <v>1.115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</row>
    <row r="249" spans="1:51" x14ac:dyDescent="0.2">
      <c r="A249" s="4">
        <v>2008</v>
      </c>
      <c r="B249" s="2">
        <v>3.6999999999999998E-2</v>
      </c>
      <c r="C249" s="2">
        <v>7.8E-2</v>
      </c>
      <c r="D249" s="2">
        <v>0.16400000000000001</v>
      </c>
      <c r="E249" s="2">
        <v>0.186</v>
      </c>
      <c r="F249" s="2">
        <v>0.20300000000000001</v>
      </c>
      <c r="G249" s="2">
        <v>0.25700000000000001</v>
      </c>
      <c r="H249" s="2">
        <v>0.34200000000000003</v>
      </c>
      <c r="I249" s="2">
        <v>0.48799999999999999</v>
      </c>
      <c r="J249" s="2">
        <v>0.58399999999999996</v>
      </c>
      <c r="K249" s="2">
        <v>0.72799999999999998</v>
      </c>
      <c r="L249" s="2">
        <v>0.88</v>
      </c>
      <c r="M249" s="2">
        <v>1.115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</row>
    <row r="250" spans="1:51" x14ac:dyDescent="0.2">
      <c r="A250" s="4">
        <v>2009</v>
      </c>
      <c r="B250" s="2">
        <v>2.9000000000000001E-2</v>
      </c>
      <c r="C250" s="2">
        <v>7.5999999999999998E-2</v>
      </c>
      <c r="D250" s="2">
        <v>0.111</v>
      </c>
      <c r="E250" s="2">
        <v>0.17499999999999999</v>
      </c>
      <c r="F250" s="2">
        <v>0.222</v>
      </c>
      <c r="G250" s="2">
        <v>0.26800000000000002</v>
      </c>
      <c r="H250" s="2">
        <v>0.28100000000000003</v>
      </c>
      <c r="I250" s="2">
        <v>0.48799999999999999</v>
      </c>
      <c r="J250" s="2">
        <v>0.58399999999999996</v>
      </c>
      <c r="K250" s="2">
        <v>0.72799999999999998</v>
      </c>
      <c r="L250" s="2">
        <v>0.88</v>
      </c>
      <c r="M250" s="2">
        <v>1.115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</row>
    <row r="251" spans="1:51" x14ac:dyDescent="0.2">
      <c r="A251" s="4">
        <v>2010</v>
      </c>
      <c r="B251" s="2">
        <v>3.2000000000000001E-2</v>
      </c>
      <c r="C251" s="2">
        <v>7.3999999999999996E-2</v>
      </c>
      <c r="D251" s="2">
        <v>0.114</v>
      </c>
      <c r="E251" s="2">
        <v>0.13200000000000001</v>
      </c>
      <c r="F251" s="2">
        <v>0.20399999999999999</v>
      </c>
      <c r="G251" s="2">
        <v>0.374</v>
      </c>
      <c r="H251" s="2">
        <v>0.442</v>
      </c>
      <c r="I251" s="2">
        <v>0.50600000000000001</v>
      </c>
      <c r="J251" s="2">
        <v>0.60599999999999998</v>
      </c>
      <c r="K251" s="2">
        <v>0.72799999999999998</v>
      </c>
      <c r="L251" s="2">
        <v>0.88</v>
      </c>
      <c r="M251" s="2">
        <v>1.115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</row>
    <row r="252" spans="1:51" x14ac:dyDescent="0.2">
      <c r="A252" s="4">
        <v>2011</v>
      </c>
      <c r="B252" s="2">
        <v>8.6999999999999994E-2</v>
      </c>
      <c r="C252" s="2">
        <v>7.4999999999999997E-2</v>
      </c>
      <c r="D252" s="2">
        <v>0.122</v>
      </c>
      <c r="E252" s="2">
        <v>0.158</v>
      </c>
      <c r="F252" s="2">
        <v>0.222</v>
      </c>
      <c r="G252" s="2">
        <v>0.29599999999999999</v>
      </c>
      <c r="H252" s="2">
        <v>0.40400000000000003</v>
      </c>
      <c r="I252" s="2">
        <v>0.51400000000000001</v>
      </c>
      <c r="J252" s="2">
        <v>0.61399999999999999</v>
      </c>
      <c r="K252" s="2">
        <v>0.72299999999999998</v>
      </c>
      <c r="L252" s="2">
        <v>0.72299999999999998</v>
      </c>
      <c r="M252" s="2">
        <v>1.115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</row>
    <row r="253" spans="1:51" x14ac:dyDescent="0.2">
      <c r="A253" s="4">
        <v>2012</v>
      </c>
      <c r="B253" s="2">
        <v>4.2000000000000003E-2</v>
      </c>
      <c r="C253" s="2">
        <v>4.7E-2</v>
      </c>
      <c r="D253" s="2">
        <v>6.6000000000000003E-2</v>
      </c>
      <c r="E253" s="2">
        <v>0.187</v>
      </c>
      <c r="F253" s="2">
        <v>0.24299999999999999</v>
      </c>
      <c r="G253" s="2">
        <v>0.29099999999999998</v>
      </c>
      <c r="H253" s="2">
        <v>0.38800000000000001</v>
      </c>
      <c r="I253" s="2">
        <v>0.56299999999999994</v>
      </c>
      <c r="J253" s="2">
        <v>0.61599999999999999</v>
      </c>
      <c r="K253" s="2">
        <v>0.748</v>
      </c>
      <c r="L253" s="2">
        <v>0.88</v>
      </c>
      <c r="M253" s="2">
        <v>1.115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</row>
    <row r="254" spans="1:51" x14ac:dyDescent="0.2">
      <c r="A254" s="4">
        <v>2013</v>
      </c>
      <c r="B254" s="2">
        <v>1.4999999999999999E-2</v>
      </c>
      <c r="C254" s="2">
        <v>4.7E-2</v>
      </c>
      <c r="D254" s="2">
        <v>0.106</v>
      </c>
      <c r="E254" s="2">
        <v>0.13800000000000001</v>
      </c>
      <c r="F254" s="2">
        <v>0.23899999999999999</v>
      </c>
      <c r="G254" s="2">
        <v>0.28499999999999998</v>
      </c>
      <c r="H254" s="2">
        <v>0.33500000000000002</v>
      </c>
      <c r="I254" s="2">
        <v>0.52600000000000002</v>
      </c>
      <c r="J254" s="2">
        <v>0.58399999999999996</v>
      </c>
      <c r="K254" s="2">
        <v>0.72799999999999998</v>
      </c>
      <c r="L254" s="2">
        <v>0.88</v>
      </c>
      <c r="M254" s="2">
        <v>1.115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</row>
    <row r="255" spans="1:51" x14ac:dyDescent="0.2">
      <c r="A255" s="4">
        <v>2014</v>
      </c>
      <c r="B255" s="2">
        <v>1.2999999999999999E-2</v>
      </c>
      <c r="C255" s="2">
        <v>4.8000000000000001E-2</v>
      </c>
      <c r="D255" s="2">
        <v>0.10100000000000001</v>
      </c>
      <c r="E255" s="2">
        <v>0.17199999999999999</v>
      </c>
      <c r="F255" s="2">
        <v>0.23300000000000001</v>
      </c>
      <c r="G255" s="2">
        <v>0.30099999999999999</v>
      </c>
      <c r="H255" s="2">
        <v>0.39700000000000002</v>
      </c>
      <c r="I255" s="2">
        <v>0.49299999999999999</v>
      </c>
      <c r="J255" s="2">
        <v>0.63900000000000001</v>
      </c>
      <c r="K255" s="2">
        <v>0.77200000000000002</v>
      </c>
      <c r="L255" s="2">
        <v>0.88</v>
      </c>
      <c r="M255" s="2">
        <v>1.115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</row>
    <row r="256" spans="1:51" x14ac:dyDescent="0.2">
      <c r="A256" s="4">
        <v>2015</v>
      </c>
      <c r="B256" s="2">
        <v>1.9E-2</v>
      </c>
      <c r="C256" s="2">
        <v>6.5000000000000002E-2</v>
      </c>
      <c r="D256" s="2">
        <v>9.5000000000000001E-2</v>
      </c>
      <c r="E256" s="2">
        <v>0.16700000000000001</v>
      </c>
      <c r="F256" s="2">
        <v>0.27600000000000002</v>
      </c>
      <c r="G256" s="2">
        <v>0.314</v>
      </c>
      <c r="H256" s="2">
        <v>0.39800000000000002</v>
      </c>
      <c r="I256" s="2">
        <v>0.48799999999999999</v>
      </c>
      <c r="J256" s="2">
        <v>0.58399999999999996</v>
      </c>
      <c r="K256" s="2">
        <v>0.72799999999999998</v>
      </c>
      <c r="L256" s="2">
        <v>0.88</v>
      </c>
      <c r="M256" s="2">
        <v>1.115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</row>
    <row r="257" spans="1:51" x14ac:dyDescent="0.2">
      <c r="A257" s="4">
        <v>2016</v>
      </c>
      <c r="B257" s="2">
        <v>1.6E-2</v>
      </c>
      <c r="C257" s="2">
        <v>4.8000000000000001E-2</v>
      </c>
      <c r="D257" s="2">
        <v>8.7999999999999995E-2</v>
      </c>
      <c r="E257" s="2">
        <v>0.20200000000000001</v>
      </c>
      <c r="F257" s="2">
        <v>0.23499999999999999</v>
      </c>
      <c r="G257" s="2">
        <v>0.26900000000000002</v>
      </c>
      <c r="H257" s="2">
        <v>0.39600000000000002</v>
      </c>
      <c r="I257" s="2">
        <v>0.48799999999999999</v>
      </c>
      <c r="J257" s="2">
        <v>0.58399999999999996</v>
      </c>
      <c r="K257" s="2">
        <v>0.72799999999999998</v>
      </c>
      <c r="L257" s="2">
        <v>0.88</v>
      </c>
      <c r="M257" s="2">
        <v>1.115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</row>
    <row r="258" spans="1:51" x14ac:dyDescent="0.2">
      <c r="A258" s="4">
        <v>2017</v>
      </c>
      <c r="B258" s="2">
        <v>3.7999999999999999E-2</v>
      </c>
      <c r="C258" s="2">
        <v>5.1999999999999998E-2</v>
      </c>
      <c r="D258" s="2">
        <v>6.9000000000000006E-2</v>
      </c>
      <c r="E258" s="2">
        <v>0.151</v>
      </c>
      <c r="F258" s="2">
        <v>0.255</v>
      </c>
      <c r="G258" s="2">
        <v>0.43</v>
      </c>
      <c r="H258" s="2">
        <v>0.495</v>
      </c>
      <c r="I258" s="2">
        <v>0.66400000000000003</v>
      </c>
      <c r="J258" s="2">
        <v>0.52500000000000002</v>
      </c>
      <c r="K258" s="2">
        <v>0.68700000000000006</v>
      </c>
      <c r="L258" s="2">
        <v>0.82099999999999995</v>
      </c>
      <c r="M258" s="2">
        <v>1.0860000000000001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</row>
    <row r="259" spans="1:51" x14ac:dyDescent="0.2">
      <c r="A259" s="4">
        <v>2018</v>
      </c>
      <c r="B259" s="2">
        <v>1.7999999999999999E-2</v>
      </c>
      <c r="C259" s="2">
        <v>0.04</v>
      </c>
      <c r="D259" s="2">
        <v>8.2000000000000003E-2</v>
      </c>
      <c r="E259" s="2">
        <v>0.189</v>
      </c>
      <c r="F259" s="2">
        <v>0.248</v>
      </c>
      <c r="G259" s="2">
        <v>0.313</v>
      </c>
      <c r="H259" s="2">
        <v>0.39600000000000002</v>
      </c>
      <c r="I259" s="2">
        <v>0.48799999999999999</v>
      </c>
      <c r="J259" s="2">
        <v>0.58399999999999996</v>
      </c>
      <c r="K259" s="2">
        <v>0.72799999999999998</v>
      </c>
      <c r="L259" s="2">
        <v>0.88</v>
      </c>
      <c r="M259" s="2">
        <v>1.115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</row>
    <row r="260" spans="1:51" x14ac:dyDescent="0.2">
      <c r="A260" s="4">
        <v>2019</v>
      </c>
      <c r="B260" s="2">
        <v>2.7431549999999999E-2</v>
      </c>
      <c r="C260" s="2">
        <v>5.8092499999999998E-2</v>
      </c>
      <c r="D260" s="2">
        <v>0.17667169999999999</v>
      </c>
      <c r="E260" s="2">
        <v>0.1830677</v>
      </c>
      <c r="F260" s="2">
        <v>0.29804259999999999</v>
      </c>
      <c r="G260" s="2">
        <v>0.44188470000000002</v>
      </c>
      <c r="H260" s="2">
        <v>0.62101260000000003</v>
      </c>
      <c r="I260" s="2">
        <v>0.52015409999999995</v>
      </c>
      <c r="J260" s="2">
        <v>0.58320000000000005</v>
      </c>
      <c r="K260" s="2">
        <v>0.72860000000000003</v>
      </c>
      <c r="L260" s="2">
        <v>0.86819999999999997</v>
      </c>
      <c r="M260" s="2">
        <v>1.1092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</row>
    <row r="261" spans="1:51" x14ac:dyDescent="0.2">
      <c r="A261" s="4" t="s">
        <v>30</v>
      </c>
      <c r="B261" s="2">
        <v>2.7431549999999999E-2</v>
      </c>
      <c r="C261" s="2">
        <v>5.8092499999999998E-2</v>
      </c>
      <c r="D261" s="2">
        <v>0.158003487</v>
      </c>
      <c r="E261" s="2">
        <v>0.19485053299999999</v>
      </c>
      <c r="F261" s="2">
        <v>0.23478644600000001</v>
      </c>
      <c r="G261" s="2">
        <v>0.30017365800000001</v>
      </c>
      <c r="H261" s="2">
        <v>0.35293130900000003</v>
      </c>
      <c r="I261" s="2">
        <v>0.53499333100000002</v>
      </c>
      <c r="J261" s="2">
        <v>0.69180905299999995</v>
      </c>
      <c r="K261" s="2">
        <v>0.74158166599999997</v>
      </c>
      <c r="L261" s="2">
        <v>0.85946900299999995</v>
      </c>
      <c r="M261" s="2">
        <v>0.97370456900000002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</row>
    <row r="262" spans="1:51" x14ac:dyDescent="0.2">
      <c r="A262" s="4">
        <v>1971</v>
      </c>
      <c r="B262" s="2">
        <v>2.360481E-2</v>
      </c>
      <c r="C262" s="2">
        <v>6.2896277E-2</v>
      </c>
      <c r="D262" s="2">
        <v>0.139868296</v>
      </c>
      <c r="E262" s="2">
        <v>0.16353384900000001</v>
      </c>
      <c r="F262" s="2">
        <v>0.18110032100000001</v>
      </c>
      <c r="G262" s="2">
        <v>0.22345184300000001</v>
      </c>
      <c r="H262" s="2">
        <v>0.299281242</v>
      </c>
      <c r="I262" s="2">
        <v>0.39962847600000001</v>
      </c>
      <c r="J262" s="2">
        <v>0.60029117899999995</v>
      </c>
      <c r="K262" s="2">
        <v>0.52840940199999997</v>
      </c>
      <c r="L262" s="2">
        <v>0.88</v>
      </c>
      <c r="M262" s="2">
        <v>1.115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</row>
    <row r="263" spans="1:51" x14ac:dyDescent="0.2">
      <c r="A263" s="4">
        <v>1972</v>
      </c>
      <c r="B263" s="2">
        <v>1.6490650999999999E-2</v>
      </c>
      <c r="C263" s="2">
        <v>4.0831500999999999E-2</v>
      </c>
      <c r="D263" s="2">
        <v>9.3486191999999996E-2</v>
      </c>
      <c r="E263" s="2">
        <v>0.19901485799999999</v>
      </c>
      <c r="F263" s="2">
        <v>0.23469911299999999</v>
      </c>
      <c r="G263" s="2">
        <v>0.25851995799999999</v>
      </c>
      <c r="H263" s="2">
        <v>0.271824022</v>
      </c>
      <c r="I263" s="2">
        <v>0.32267799699999999</v>
      </c>
      <c r="J263" s="2">
        <v>0.32267799699999999</v>
      </c>
      <c r="K263" s="2">
        <v>0.52840940199999997</v>
      </c>
      <c r="L263" s="2">
        <v>0.88</v>
      </c>
      <c r="M263" s="2">
        <v>1.115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</row>
    <row r="264" spans="1:51" x14ac:dyDescent="0.2">
      <c r="A264" s="4">
        <v>1973</v>
      </c>
      <c r="B264" s="2">
        <v>1.3011688E-2</v>
      </c>
      <c r="C264" s="2">
        <v>3.3373231000000003E-2</v>
      </c>
      <c r="D264" s="2">
        <v>0.128087969</v>
      </c>
      <c r="E264" s="2">
        <v>0.18048750799999999</v>
      </c>
      <c r="F264" s="2">
        <v>0.28014415100000001</v>
      </c>
      <c r="G264" s="2">
        <v>0.44409480000000001</v>
      </c>
      <c r="H264" s="2">
        <v>0.50106874199999996</v>
      </c>
      <c r="I264" s="2">
        <v>0.52761858699999997</v>
      </c>
      <c r="J264" s="2">
        <v>0.73243501700000002</v>
      </c>
      <c r="K264" s="2">
        <v>0.85293416099999997</v>
      </c>
      <c r="L264" s="2">
        <v>0.88798438300000004</v>
      </c>
      <c r="M264" s="2">
        <v>1.512220659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</row>
    <row r="265" spans="1:51" x14ac:dyDescent="0.2">
      <c r="A265" s="4">
        <v>1974</v>
      </c>
      <c r="B265" s="2">
        <v>1.3011688E-2</v>
      </c>
      <c r="C265" s="2">
        <v>3.3373231000000003E-2</v>
      </c>
      <c r="D265" s="2">
        <v>0.128087969</v>
      </c>
      <c r="E265" s="2">
        <v>0.23146399600000001</v>
      </c>
      <c r="F265" s="2">
        <v>0.28295678099999999</v>
      </c>
      <c r="G265" s="2">
        <v>0.36471911499999998</v>
      </c>
      <c r="H265" s="2">
        <v>0.48615804000000001</v>
      </c>
      <c r="I265" s="2">
        <v>0.62218137200000001</v>
      </c>
      <c r="J265" s="2">
        <v>0.77738088100000002</v>
      </c>
      <c r="K265" s="2">
        <v>1.078650471</v>
      </c>
      <c r="L265" s="2">
        <v>0.88798438300000004</v>
      </c>
      <c r="M265" s="2">
        <v>1.512220659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</row>
    <row r="266" spans="1:51" x14ac:dyDescent="0.2">
      <c r="A266" s="4">
        <v>1975</v>
      </c>
      <c r="B266" s="2">
        <v>5.1999999999999998E-2</v>
      </c>
      <c r="C266" s="2">
        <v>9.2999999999999999E-2</v>
      </c>
      <c r="D266" s="2">
        <v>0.13100000000000001</v>
      </c>
      <c r="E266" s="2">
        <v>0.17799999999999999</v>
      </c>
      <c r="F266" s="2">
        <v>0.26200000000000001</v>
      </c>
      <c r="G266" s="2">
        <v>0.29399999999999998</v>
      </c>
      <c r="H266" s="2">
        <v>0.34</v>
      </c>
      <c r="I266" s="2">
        <v>0.39600000000000002</v>
      </c>
      <c r="J266" s="2">
        <v>0.54900000000000004</v>
      </c>
      <c r="K266" s="2">
        <v>0.73799999999999999</v>
      </c>
      <c r="L266" s="2">
        <v>0.98399999999999999</v>
      </c>
      <c r="M266" s="2">
        <v>1.093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</row>
    <row r="267" spans="1:51" x14ac:dyDescent="0.2">
      <c r="A267" s="4">
        <v>1976</v>
      </c>
      <c r="B267" s="2">
        <v>5.1999999999999998E-2</v>
      </c>
      <c r="C267" s="2">
        <v>9.2999999999999999E-2</v>
      </c>
      <c r="D267" s="2">
        <v>0.13100000000000001</v>
      </c>
      <c r="E267" s="2">
        <v>0.17799999999999999</v>
      </c>
      <c r="F267" s="2">
        <v>0.26200000000000001</v>
      </c>
      <c r="G267" s="2">
        <v>0.29399999999999998</v>
      </c>
      <c r="H267" s="2">
        <v>0.34</v>
      </c>
      <c r="I267" s="2">
        <v>0.39600000000000002</v>
      </c>
      <c r="J267" s="2">
        <v>0.54900000000000004</v>
      </c>
      <c r="K267" s="2">
        <v>0.73799999999999999</v>
      </c>
      <c r="L267" s="2">
        <v>0.98399999999999999</v>
      </c>
      <c r="M267" s="2">
        <v>1.093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</row>
    <row r="268" spans="1:51" x14ac:dyDescent="0.2">
      <c r="A268" s="4">
        <v>1977</v>
      </c>
      <c r="B268" s="2">
        <v>5.1999999999999998E-2</v>
      </c>
      <c r="C268" s="2">
        <v>9.2999999999999999E-2</v>
      </c>
      <c r="D268" s="2">
        <v>0.13100000000000001</v>
      </c>
      <c r="E268" s="2">
        <v>0.17799999999999999</v>
      </c>
      <c r="F268" s="2">
        <v>0.26200000000000001</v>
      </c>
      <c r="G268" s="2">
        <v>0.29399999999999998</v>
      </c>
      <c r="H268" s="2">
        <v>0.34</v>
      </c>
      <c r="I268" s="2">
        <v>0.39600000000000002</v>
      </c>
      <c r="J268" s="2">
        <v>0.54900000000000004</v>
      </c>
      <c r="K268" s="2">
        <v>0.73799999999999999</v>
      </c>
      <c r="L268" s="2">
        <v>0.98399999999999999</v>
      </c>
      <c r="M268" s="2">
        <v>1.093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</row>
    <row r="269" spans="1:51" x14ac:dyDescent="0.2">
      <c r="A269" s="4">
        <v>1978</v>
      </c>
      <c r="B269" s="2">
        <v>5.1999999999999998E-2</v>
      </c>
      <c r="C269" s="2">
        <v>9.2999999999999999E-2</v>
      </c>
      <c r="D269" s="2">
        <v>0.13100000000000001</v>
      </c>
      <c r="E269" s="2">
        <v>0.17799999999999999</v>
      </c>
      <c r="F269" s="2">
        <v>0.26200000000000001</v>
      </c>
      <c r="G269" s="2">
        <v>0.29399999999999998</v>
      </c>
      <c r="H269" s="2">
        <v>0.34</v>
      </c>
      <c r="I269" s="2">
        <v>0.39600000000000002</v>
      </c>
      <c r="J269" s="2">
        <v>0.54900000000000004</v>
      </c>
      <c r="K269" s="2">
        <v>0.73799999999999999</v>
      </c>
      <c r="L269" s="2">
        <v>0.98399999999999999</v>
      </c>
      <c r="M269" s="2">
        <v>1.093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</row>
    <row r="270" spans="1:51" x14ac:dyDescent="0.2">
      <c r="A270" s="4">
        <v>1979</v>
      </c>
      <c r="B270" s="2">
        <v>5.1999999999999998E-2</v>
      </c>
      <c r="C270" s="2">
        <v>9.2999999999999999E-2</v>
      </c>
      <c r="D270" s="2">
        <v>0.13100000000000001</v>
      </c>
      <c r="E270" s="2">
        <v>0.17799999999999999</v>
      </c>
      <c r="F270" s="2">
        <v>0.26200000000000001</v>
      </c>
      <c r="G270" s="2">
        <v>0.29399999999999998</v>
      </c>
      <c r="H270" s="2">
        <v>0.34</v>
      </c>
      <c r="I270" s="2">
        <v>0.39600000000000002</v>
      </c>
      <c r="J270" s="2">
        <v>0.54900000000000004</v>
      </c>
      <c r="K270" s="2">
        <v>0.73799999999999999</v>
      </c>
      <c r="L270" s="2">
        <v>0.98399999999999999</v>
      </c>
      <c r="M270" s="2">
        <v>1.093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</row>
    <row r="271" spans="1:51" x14ac:dyDescent="0.2">
      <c r="A271" s="4">
        <v>1980</v>
      </c>
      <c r="B271" s="2">
        <v>5.1999999999999998E-2</v>
      </c>
      <c r="C271" s="2">
        <v>9.2999999999999999E-2</v>
      </c>
      <c r="D271" s="2">
        <v>0.13100000000000001</v>
      </c>
      <c r="E271" s="2">
        <v>0.17799999999999999</v>
      </c>
      <c r="F271" s="2">
        <v>0.26200000000000001</v>
      </c>
      <c r="G271" s="2">
        <v>0.29399999999999998</v>
      </c>
      <c r="H271" s="2">
        <v>0.34</v>
      </c>
      <c r="I271" s="2">
        <v>0.39600000000000002</v>
      </c>
      <c r="J271" s="2">
        <v>0.54900000000000004</v>
      </c>
      <c r="K271" s="2">
        <v>0.73799999999999999</v>
      </c>
      <c r="L271" s="2">
        <v>0.98399999999999999</v>
      </c>
      <c r="M271" s="2">
        <v>1.093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</row>
    <row r="272" spans="1:51" x14ac:dyDescent="0.2">
      <c r="A272" s="4">
        <v>1981</v>
      </c>
      <c r="B272" s="2">
        <v>5.1999999999999998E-2</v>
      </c>
      <c r="C272" s="2">
        <v>7.8E-2</v>
      </c>
      <c r="D272" s="2">
        <v>0.155</v>
      </c>
      <c r="E272" s="2">
        <v>0.214</v>
      </c>
      <c r="F272" s="2">
        <v>0.27500000000000002</v>
      </c>
      <c r="G272" s="2">
        <v>0.33600000000000002</v>
      </c>
      <c r="H272" s="2">
        <v>0.39400000000000002</v>
      </c>
      <c r="I272" s="2">
        <v>0.47199999999999998</v>
      </c>
      <c r="J272" s="2">
        <v>0.63200000000000001</v>
      </c>
      <c r="K272" s="2">
        <v>0.71399999999999997</v>
      </c>
      <c r="L272" s="2">
        <v>0.89800000000000002</v>
      </c>
      <c r="M272" s="2">
        <v>1.538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</row>
    <row r="273" spans="1:51" x14ac:dyDescent="0.2">
      <c r="A273" s="4">
        <v>1982</v>
      </c>
      <c r="B273" s="2">
        <v>5.5E-2</v>
      </c>
      <c r="C273" s="2">
        <v>9.1999999999999998E-2</v>
      </c>
      <c r="D273" s="2">
        <v>0.109</v>
      </c>
      <c r="E273" s="2">
        <v>0.23599999999999999</v>
      </c>
      <c r="F273" s="2">
        <v>0.27500000000000002</v>
      </c>
      <c r="G273" s="2">
        <v>0.314</v>
      </c>
      <c r="H273" s="2">
        <v>0.375</v>
      </c>
      <c r="I273" s="2">
        <v>0.45600000000000002</v>
      </c>
      <c r="J273" s="2">
        <v>0.52100000000000002</v>
      </c>
      <c r="K273" s="2">
        <v>0.73199999999999998</v>
      </c>
      <c r="L273" s="2">
        <v>0.65100000000000002</v>
      </c>
      <c r="M273" s="2">
        <v>1.137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</row>
    <row r="274" spans="1:51" x14ac:dyDescent="0.2">
      <c r="A274" s="4">
        <v>1983</v>
      </c>
      <c r="B274" s="2">
        <v>5.1999999999999998E-2</v>
      </c>
      <c r="C274" s="2">
        <v>8.4000000000000005E-2</v>
      </c>
      <c r="D274" s="2">
        <v>0.104</v>
      </c>
      <c r="E274" s="2">
        <v>0.14699999999999999</v>
      </c>
      <c r="F274" s="2">
        <v>0.21099999999999999</v>
      </c>
      <c r="G274" s="2">
        <v>0.32700000000000001</v>
      </c>
      <c r="H274" s="2">
        <v>0.39400000000000002</v>
      </c>
      <c r="I274" s="2">
        <v>0.44900000000000001</v>
      </c>
      <c r="J274" s="2">
        <v>0.51400000000000001</v>
      </c>
      <c r="K274" s="2">
        <v>0.58299999999999996</v>
      </c>
      <c r="L274" s="2">
        <v>0.63100000000000001</v>
      </c>
      <c r="M274" s="2">
        <v>1.538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</row>
    <row r="275" spans="1:51" x14ac:dyDescent="0.2">
      <c r="A275" s="4">
        <v>1984</v>
      </c>
      <c r="B275" s="2">
        <v>5.1999999999999998E-2</v>
      </c>
      <c r="C275" s="2">
        <v>0.108</v>
      </c>
      <c r="D275" s="2">
        <v>0.16</v>
      </c>
      <c r="E275" s="2">
        <v>0.19900000000000001</v>
      </c>
      <c r="F275" s="2">
        <v>0.24099999999999999</v>
      </c>
      <c r="G275" s="2">
        <v>0.30099999999999999</v>
      </c>
      <c r="H275" s="2">
        <v>0.38800000000000001</v>
      </c>
      <c r="I275" s="2">
        <v>0.46600000000000003</v>
      </c>
      <c r="J275" s="2">
        <v>0.58799999999999997</v>
      </c>
      <c r="K275" s="2">
        <v>0.871</v>
      </c>
      <c r="L275" s="2">
        <v>1.2649999999999999</v>
      </c>
      <c r="M275" s="2">
        <v>1.972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</row>
    <row r="276" spans="1:51" x14ac:dyDescent="0.2">
      <c r="A276" s="4">
        <v>1985</v>
      </c>
      <c r="B276" s="2">
        <v>2.5999999999999999E-2</v>
      </c>
      <c r="C276" s="2">
        <v>0.06</v>
      </c>
      <c r="D276" s="2">
        <v>0.13200000000000001</v>
      </c>
      <c r="E276" s="2">
        <v>0.23100000000000001</v>
      </c>
      <c r="F276" s="2">
        <v>0.27200000000000002</v>
      </c>
      <c r="G276" s="2">
        <v>0.35</v>
      </c>
      <c r="H276" s="2">
        <v>0.44700000000000001</v>
      </c>
      <c r="I276" s="2">
        <v>0.51900000000000002</v>
      </c>
      <c r="J276" s="2">
        <v>0.71599999999999997</v>
      </c>
      <c r="K276" s="2">
        <v>0.82</v>
      </c>
      <c r="L276" s="2">
        <v>1.073</v>
      </c>
      <c r="M276" s="2">
        <v>1.8540000000000001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</row>
    <row r="277" spans="1:51" x14ac:dyDescent="0.2">
      <c r="A277" s="4">
        <v>1986</v>
      </c>
      <c r="B277" s="2">
        <v>5.1999999999999998E-2</v>
      </c>
      <c r="C277" s="2">
        <v>9.5000000000000001E-2</v>
      </c>
      <c r="D277" s="2">
        <v>0.14899999999999999</v>
      </c>
      <c r="E277" s="2">
        <v>0.24199999999999999</v>
      </c>
      <c r="F277" s="2">
        <v>0.29399999999999998</v>
      </c>
      <c r="G277" s="2">
        <v>0.34</v>
      </c>
      <c r="H277" s="2">
        <v>0.40699999999999997</v>
      </c>
      <c r="I277" s="2">
        <v>0.503</v>
      </c>
      <c r="J277" s="2">
        <v>0.63700000000000001</v>
      </c>
      <c r="K277" s="2">
        <v>0.76500000000000001</v>
      </c>
      <c r="L277" s="2">
        <v>1.1839999999999999</v>
      </c>
      <c r="M277" s="2">
        <v>1.9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</row>
    <row r="278" spans="1:51" x14ac:dyDescent="0.2">
      <c r="A278" s="4">
        <v>1987</v>
      </c>
      <c r="B278" s="2">
        <v>5.5E-2</v>
      </c>
      <c r="C278" s="2">
        <v>8.5000000000000006E-2</v>
      </c>
      <c r="D278" s="2">
        <v>0.16600000000000001</v>
      </c>
      <c r="E278" s="2">
        <v>0.20699999999999999</v>
      </c>
      <c r="F278" s="2">
        <v>0.26900000000000002</v>
      </c>
      <c r="G278" s="2">
        <v>0.32300000000000001</v>
      </c>
      <c r="H278" s="2">
        <v>0.378</v>
      </c>
      <c r="I278" s="2">
        <v>0.47199999999999998</v>
      </c>
      <c r="J278" s="2">
        <v>0.53600000000000003</v>
      </c>
      <c r="K278" s="2">
        <v>0.64400000000000002</v>
      </c>
      <c r="L278" s="2">
        <v>0.98699999999999999</v>
      </c>
      <c r="M278" s="2">
        <v>1.1850000000000001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</row>
    <row r="279" spans="1:51" x14ac:dyDescent="0.2">
      <c r="A279" s="4">
        <v>1988</v>
      </c>
      <c r="B279" s="2">
        <v>7.0000000000000007E-2</v>
      </c>
      <c r="C279" s="2">
        <v>9.9000000000000005E-2</v>
      </c>
      <c r="D279" s="2">
        <v>0.122</v>
      </c>
      <c r="E279" s="2">
        <v>0.23</v>
      </c>
      <c r="F279" s="2">
        <v>0.27300000000000002</v>
      </c>
      <c r="G279" s="2">
        <v>0.32</v>
      </c>
      <c r="H279" s="2">
        <v>0.374</v>
      </c>
      <c r="I279" s="2">
        <v>0.46100000000000002</v>
      </c>
      <c r="J279" s="2">
        <v>0.59599999999999997</v>
      </c>
      <c r="K279" s="2">
        <v>0.70899999999999996</v>
      </c>
      <c r="L279" s="2">
        <v>1.196</v>
      </c>
      <c r="M279" s="2">
        <v>1.7689999999999999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</row>
    <row r="280" spans="1:51" x14ac:dyDescent="0.2">
      <c r="A280" s="4">
        <v>1989</v>
      </c>
      <c r="B280" s="2">
        <v>3.5000000000000003E-2</v>
      </c>
      <c r="C280" s="2">
        <v>0.13500000000000001</v>
      </c>
      <c r="D280" s="2">
        <v>0.154</v>
      </c>
      <c r="E280" s="2">
        <v>0.185</v>
      </c>
      <c r="F280" s="2">
        <v>0.26600000000000001</v>
      </c>
      <c r="G280" s="2">
        <v>0.33</v>
      </c>
      <c r="H280" s="2">
        <v>0.38300000000000001</v>
      </c>
      <c r="I280" s="2">
        <v>0.44900000000000001</v>
      </c>
      <c r="J280" s="2">
        <v>0.57699999999999996</v>
      </c>
      <c r="K280" s="2">
        <v>0.68500000000000005</v>
      </c>
      <c r="L280" s="2">
        <v>1.012</v>
      </c>
      <c r="M280" s="2">
        <v>1.8460000000000001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</row>
    <row r="281" spans="1:51" x14ac:dyDescent="0.2">
      <c r="A281" s="4">
        <v>1990</v>
      </c>
      <c r="B281" s="2">
        <v>5.8000000000000003E-2</v>
      </c>
      <c r="C281" s="2">
        <v>0.14799999999999999</v>
      </c>
      <c r="D281" s="2">
        <v>0.18099999999999999</v>
      </c>
      <c r="E281" s="2">
        <v>0.223</v>
      </c>
      <c r="F281" s="2">
        <v>0.27</v>
      </c>
      <c r="G281" s="2">
        <v>0.33900000000000002</v>
      </c>
      <c r="H281" s="2">
        <v>0.39800000000000002</v>
      </c>
      <c r="I281" s="2">
        <v>0.47299999999999998</v>
      </c>
      <c r="J281" s="2">
        <v>0.57299999999999995</v>
      </c>
      <c r="K281" s="2">
        <v>0.79600000000000004</v>
      </c>
      <c r="L281" s="2">
        <v>1.3759999999999999</v>
      </c>
      <c r="M281" s="2">
        <v>1.647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</row>
    <row r="282" spans="1:51" x14ac:dyDescent="0.2">
      <c r="A282" s="4">
        <v>1991</v>
      </c>
      <c r="B282" s="2">
        <v>7.2999999999999995E-2</v>
      </c>
      <c r="C282" s="2">
        <v>7.4999999999999997E-2</v>
      </c>
      <c r="D282" s="2">
        <v>0.17199999999999999</v>
      </c>
      <c r="E282" s="2">
        <v>0.247</v>
      </c>
      <c r="F282" s="2">
        <v>0.28599999999999998</v>
      </c>
      <c r="G282" s="2">
        <v>0.34599999999999997</v>
      </c>
      <c r="H282" s="2">
        <v>0.42699999999999999</v>
      </c>
      <c r="I282" s="2">
        <v>0.51800000000000002</v>
      </c>
      <c r="J282" s="2">
        <v>0.64</v>
      </c>
      <c r="K282" s="2">
        <v>0.84399999999999997</v>
      </c>
      <c r="L282" s="2">
        <v>1.351</v>
      </c>
      <c r="M282" s="2">
        <v>2.11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</row>
    <row r="283" spans="1:51" x14ac:dyDescent="0.2">
      <c r="A283" s="4">
        <v>1992</v>
      </c>
      <c r="B283" s="2">
        <v>7.5999999999999998E-2</v>
      </c>
      <c r="C283" s="2">
        <v>0.11700000000000001</v>
      </c>
      <c r="D283" s="2">
        <v>0.14000000000000001</v>
      </c>
      <c r="E283" s="2">
        <v>0.191</v>
      </c>
      <c r="F283" s="2">
        <v>0.27</v>
      </c>
      <c r="G283" s="2">
        <v>0.35699999999999998</v>
      </c>
      <c r="H283" s="2">
        <v>0.434</v>
      </c>
      <c r="I283" s="2">
        <v>0.503</v>
      </c>
      <c r="J283" s="2">
        <v>0.57699999999999996</v>
      </c>
      <c r="K283" s="2">
        <v>0.68899999999999995</v>
      </c>
      <c r="L283" s="2">
        <v>1.089</v>
      </c>
      <c r="M283" s="2">
        <v>1.9790000000000001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</row>
    <row r="284" spans="1:51" x14ac:dyDescent="0.2">
      <c r="A284" s="4">
        <v>1993</v>
      </c>
      <c r="B284" s="2">
        <v>0.1</v>
      </c>
      <c r="C284" s="2">
        <v>0.124</v>
      </c>
      <c r="D284" s="2">
        <v>0.159</v>
      </c>
      <c r="E284" s="2">
        <v>0.19700000000000001</v>
      </c>
      <c r="F284" s="2">
        <v>0.23300000000000001</v>
      </c>
      <c r="G284" s="2">
        <v>0.34200000000000003</v>
      </c>
      <c r="H284" s="2">
        <v>0.44400000000000001</v>
      </c>
      <c r="I284" s="2">
        <v>0.51200000000000001</v>
      </c>
      <c r="J284" s="2">
        <v>0.58799999999999997</v>
      </c>
      <c r="K284" s="2">
        <v>0.75</v>
      </c>
      <c r="L284" s="2">
        <v>1.012</v>
      </c>
      <c r="M284" s="2">
        <v>1.3720000000000001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</row>
    <row r="285" spans="1:51" x14ac:dyDescent="0.2">
      <c r="A285" s="4">
        <v>1994</v>
      </c>
      <c r="B285" s="2">
        <v>5.1999999999999998E-2</v>
      </c>
      <c r="C285" s="2">
        <v>0.10299999999999999</v>
      </c>
      <c r="D285" s="2">
        <v>0.22</v>
      </c>
      <c r="E285" s="2">
        <v>0.24099999999999999</v>
      </c>
      <c r="F285" s="2">
        <v>0.27800000000000002</v>
      </c>
      <c r="G285" s="2">
        <v>0.33900000000000002</v>
      </c>
      <c r="H285" s="2">
        <v>0.46700000000000003</v>
      </c>
      <c r="I285" s="2">
        <v>0.58499999999999996</v>
      </c>
      <c r="J285" s="2">
        <v>0.70199999999999996</v>
      </c>
      <c r="K285" s="2">
        <v>0.77900000000000003</v>
      </c>
      <c r="L285" s="2">
        <v>0.88</v>
      </c>
      <c r="M285" s="2">
        <v>1.538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</row>
    <row r="286" spans="1:51" x14ac:dyDescent="0.2">
      <c r="A286" s="4">
        <v>1995</v>
      </c>
      <c r="B286" s="2">
        <v>6.4000000000000001E-2</v>
      </c>
      <c r="C286" s="2">
        <v>9.0999999999999998E-2</v>
      </c>
      <c r="D286" s="2">
        <v>0.153</v>
      </c>
      <c r="E286" s="2">
        <v>0.26400000000000001</v>
      </c>
      <c r="F286" s="2">
        <v>0.309</v>
      </c>
      <c r="G286" s="2">
        <v>0.373</v>
      </c>
      <c r="H286" s="2">
        <v>0.46100000000000002</v>
      </c>
      <c r="I286" s="2">
        <v>0.58199999999999996</v>
      </c>
      <c r="J286" s="2">
        <v>0.69399999999999995</v>
      </c>
      <c r="K286" s="2">
        <v>0.83499999999999996</v>
      </c>
      <c r="L286" s="2">
        <v>0.97</v>
      </c>
      <c r="M286" s="2">
        <v>1.5980000000000001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</row>
    <row r="287" spans="1:51" x14ac:dyDescent="0.2">
      <c r="A287" s="4">
        <v>1996</v>
      </c>
      <c r="B287" s="2">
        <v>3.6999999999999998E-2</v>
      </c>
      <c r="C287" s="2">
        <v>0.106</v>
      </c>
      <c r="D287" s="2">
        <v>0.13200000000000001</v>
      </c>
      <c r="E287" s="2">
        <v>0.186</v>
      </c>
      <c r="F287" s="2">
        <v>0.27100000000000002</v>
      </c>
      <c r="G287" s="2">
        <v>0.38100000000000001</v>
      </c>
      <c r="H287" s="2">
        <v>0.45100000000000001</v>
      </c>
      <c r="I287" s="2">
        <v>0.54200000000000004</v>
      </c>
      <c r="J287" s="2">
        <v>0.66700000000000004</v>
      </c>
      <c r="K287" s="2">
        <v>0.78700000000000003</v>
      </c>
      <c r="L287" s="2">
        <v>0.90100000000000002</v>
      </c>
      <c r="M287" s="2">
        <v>1.0529999999999999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</row>
    <row r="288" spans="1:51" x14ac:dyDescent="0.2">
      <c r="A288" s="4">
        <v>1997</v>
      </c>
      <c r="B288" s="2">
        <v>6.3E-2</v>
      </c>
      <c r="C288" s="2">
        <v>8.3000000000000004E-2</v>
      </c>
      <c r="D288" s="2">
        <v>0.11799999999999999</v>
      </c>
      <c r="E288" s="2">
        <v>0.17699999999999999</v>
      </c>
      <c r="F288" s="2">
        <v>0.23899999999999999</v>
      </c>
      <c r="G288" s="2">
        <v>0.27500000000000002</v>
      </c>
      <c r="H288" s="2">
        <v>0.40899999999999997</v>
      </c>
      <c r="I288" s="2">
        <v>0.52400000000000002</v>
      </c>
      <c r="J288" s="2">
        <v>0.59399999999999997</v>
      </c>
      <c r="K288" s="2">
        <v>0.70899999999999996</v>
      </c>
      <c r="L288" s="2">
        <v>0.85099999999999998</v>
      </c>
      <c r="M288" s="2">
        <v>1.046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</row>
    <row r="289" spans="1:51" x14ac:dyDescent="0.2">
      <c r="A289" s="4">
        <v>1998</v>
      </c>
      <c r="B289" s="2">
        <v>1.0999999999999999E-2</v>
      </c>
      <c r="C289" s="2">
        <v>8.8999999999999996E-2</v>
      </c>
      <c r="D289" s="2">
        <v>0.121</v>
      </c>
      <c r="E289" s="2">
        <v>0.18099999999999999</v>
      </c>
      <c r="F289" s="2">
        <v>0.246</v>
      </c>
      <c r="G289" s="2">
        <v>0.32</v>
      </c>
      <c r="H289" s="2">
        <v>0.40799999999999997</v>
      </c>
      <c r="I289" s="2">
        <v>0.57899999999999996</v>
      </c>
      <c r="J289" s="2">
        <v>0.71899999999999997</v>
      </c>
      <c r="K289" s="2">
        <v>0.85299999999999998</v>
      </c>
      <c r="L289" s="2">
        <v>0.96499999999999997</v>
      </c>
      <c r="M289" s="2">
        <v>1.1739999999999999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</row>
    <row r="290" spans="1:51" x14ac:dyDescent="0.2">
      <c r="A290" s="4">
        <v>1999</v>
      </c>
      <c r="B290" s="2">
        <v>4.1000000000000002E-2</v>
      </c>
      <c r="C290" s="2">
        <v>8.4000000000000005E-2</v>
      </c>
      <c r="D290" s="2">
        <v>0.112</v>
      </c>
      <c r="E290" s="2">
        <v>0.224</v>
      </c>
      <c r="F290" s="2">
        <v>0.27</v>
      </c>
      <c r="G290" s="2">
        <v>0.33600000000000002</v>
      </c>
      <c r="H290" s="2">
        <v>0.46200000000000002</v>
      </c>
      <c r="I290" s="2">
        <v>0.64300000000000002</v>
      </c>
      <c r="J290" s="2">
        <v>0.80800000000000005</v>
      </c>
      <c r="K290" s="2">
        <v>0.86799999999999999</v>
      </c>
      <c r="L290" s="2">
        <v>1.0580000000000001</v>
      </c>
      <c r="M290" s="2">
        <v>1.421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</row>
    <row r="291" spans="1:51" x14ac:dyDescent="0.2">
      <c r="A291" s="4">
        <v>2000</v>
      </c>
      <c r="B291" s="2">
        <v>7.0000000000000007E-2</v>
      </c>
      <c r="C291" s="2">
        <v>9.8000000000000004E-2</v>
      </c>
      <c r="D291" s="2">
        <v>0.14499999999999999</v>
      </c>
      <c r="E291" s="2">
        <v>0.192</v>
      </c>
      <c r="F291" s="2">
        <v>0.27</v>
      </c>
      <c r="G291" s="2">
        <v>0.34</v>
      </c>
      <c r="H291" s="2">
        <v>0.42899999999999999</v>
      </c>
      <c r="I291" s="2">
        <v>0.57699999999999996</v>
      </c>
      <c r="J291" s="2">
        <v>0.80700000000000005</v>
      </c>
      <c r="K291" s="2">
        <v>0.96499999999999997</v>
      </c>
      <c r="L291" s="2">
        <v>1.115</v>
      </c>
      <c r="M291" s="2">
        <v>1.367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</row>
    <row r="292" spans="1:51" x14ac:dyDescent="0.2">
      <c r="A292" s="4">
        <v>2001</v>
      </c>
      <c r="B292" s="2">
        <v>6.0999999999999999E-2</v>
      </c>
      <c r="C292" s="2">
        <v>9.1999999999999998E-2</v>
      </c>
      <c r="D292" s="2">
        <v>0.151</v>
      </c>
      <c r="E292" s="2">
        <v>0.191</v>
      </c>
      <c r="F292" s="2">
        <v>0.28000000000000003</v>
      </c>
      <c r="G292" s="2">
        <v>0.35199999999999998</v>
      </c>
      <c r="H292" s="2">
        <v>0.52400000000000002</v>
      </c>
      <c r="I292" s="2">
        <v>0.68300000000000005</v>
      </c>
      <c r="J292" s="2">
        <v>0.94499999999999995</v>
      </c>
      <c r="K292" s="2">
        <v>1.216</v>
      </c>
      <c r="L292" s="2">
        <v>1.4259999999999999</v>
      </c>
      <c r="M292" s="2">
        <v>1.4770000000000001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</row>
    <row r="293" spans="1:51" x14ac:dyDescent="0.2">
      <c r="A293" s="4">
        <v>2002</v>
      </c>
      <c r="B293" s="2">
        <v>0.104</v>
      </c>
      <c r="C293" s="2">
        <v>0.106</v>
      </c>
      <c r="D293" s="2">
        <v>0.14599999999999999</v>
      </c>
      <c r="E293" s="2">
        <v>0.20100000000000001</v>
      </c>
      <c r="F293" s="2">
        <v>0.26</v>
      </c>
      <c r="G293" s="2">
        <v>0.35499999999999998</v>
      </c>
      <c r="H293" s="2">
        <v>0.495</v>
      </c>
      <c r="I293" s="2">
        <v>0.68300000000000005</v>
      </c>
      <c r="J293" s="2">
        <v>0.88400000000000001</v>
      </c>
      <c r="K293" s="2">
        <v>1.0880000000000001</v>
      </c>
      <c r="L293" s="2">
        <v>1.4670000000000001</v>
      </c>
      <c r="M293" s="2">
        <v>1.647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</row>
    <row r="294" spans="1:51" x14ac:dyDescent="0.2">
      <c r="A294" s="4">
        <v>2003</v>
      </c>
      <c r="B294" s="2">
        <v>8.4000000000000005E-2</v>
      </c>
      <c r="C294" s="2">
        <v>0.128</v>
      </c>
      <c r="D294" s="2">
        <v>0.13800000000000001</v>
      </c>
      <c r="E294" s="2">
        <v>0.17799999999999999</v>
      </c>
      <c r="F294" s="2">
        <v>0.248</v>
      </c>
      <c r="G294" s="2">
        <v>0.34</v>
      </c>
      <c r="H294" s="2">
        <v>0.54500000000000004</v>
      </c>
      <c r="I294" s="2">
        <v>0.80600000000000005</v>
      </c>
      <c r="J294" s="2">
        <v>1.0349999999999999</v>
      </c>
      <c r="K294" s="2">
        <v>1.246</v>
      </c>
      <c r="L294" s="2">
        <v>1.4119999999999999</v>
      </c>
      <c r="M294" s="2">
        <v>1.655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</row>
    <row r="295" spans="1:51" x14ac:dyDescent="0.2">
      <c r="A295" s="4">
        <v>2004</v>
      </c>
      <c r="B295" s="2">
        <v>0.09</v>
      </c>
      <c r="C295" s="2">
        <v>0.109</v>
      </c>
      <c r="D295" s="2">
        <v>0.13400000000000001</v>
      </c>
      <c r="E295" s="2">
        <v>0.17399999999999999</v>
      </c>
      <c r="F295" s="2">
        <v>0.25</v>
      </c>
      <c r="G295" s="2">
        <v>0.33100000000000002</v>
      </c>
      <c r="H295" s="2">
        <v>0.46500000000000002</v>
      </c>
      <c r="I295" s="2">
        <v>0.74199999999999999</v>
      </c>
      <c r="J295" s="2">
        <v>1.0209999999999999</v>
      </c>
      <c r="K295" s="2">
        <v>1.258</v>
      </c>
      <c r="L295" s="2">
        <v>1.3759999999999999</v>
      </c>
      <c r="M295" s="2">
        <v>1.776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</row>
    <row r="296" spans="1:51" x14ac:dyDescent="0.2">
      <c r="A296" s="4">
        <v>2005</v>
      </c>
      <c r="B296" s="2">
        <v>4.2999999999999997E-2</v>
      </c>
      <c r="C296" s="2">
        <v>6.4000000000000001E-2</v>
      </c>
      <c r="D296" s="2">
        <v>0.16300000000000001</v>
      </c>
      <c r="E296" s="2">
        <v>0.19600000000000001</v>
      </c>
      <c r="F296" s="2">
        <v>0.255</v>
      </c>
      <c r="G296" s="2">
        <v>0.34599999999999997</v>
      </c>
      <c r="H296" s="2">
        <v>0.46600000000000003</v>
      </c>
      <c r="I296" s="2">
        <v>0.75600000000000001</v>
      </c>
      <c r="J296" s="2">
        <v>0.999</v>
      </c>
      <c r="K296" s="2">
        <v>1.141</v>
      </c>
      <c r="L296" s="2">
        <v>1.228</v>
      </c>
      <c r="M296" s="2">
        <v>1.5629999999999999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</row>
    <row r="297" spans="1:51" x14ac:dyDescent="0.2">
      <c r="A297" s="4">
        <v>2006</v>
      </c>
      <c r="B297" s="2">
        <v>6.6000000000000003E-2</v>
      </c>
      <c r="C297" s="2">
        <v>9.8000000000000004E-2</v>
      </c>
      <c r="D297" s="2">
        <v>0.122</v>
      </c>
      <c r="E297" s="2">
        <v>0.17899999999999999</v>
      </c>
      <c r="F297" s="2">
        <v>0.25800000000000001</v>
      </c>
      <c r="G297" s="2">
        <v>0.32500000000000001</v>
      </c>
      <c r="H297" s="2">
        <v>0.46100000000000002</v>
      </c>
      <c r="I297" s="2">
        <v>0.61399999999999999</v>
      </c>
      <c r="J297" s="2">
        <v>0.82799999999999996</v>
      </c>
      <c r="K297" s="2">
        <v>1.0740000000000001</v>
      </c>
      <c r="L297" s="2">
        <v>1.36</v>
      </c>
      <c r="M297" s="2">
        <v>1.671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</row>
    <row r="298" spans="1:51" x14ac:dyDescent="0.2">
      <c r="A298" s="4">
        <v>2007</v>
      </c>
      <c r="B298" s="2">
        <v>3.1E-2</v>
      </c>
      <c r="C298" s="2">
        <v>7.3999999999999996E-2</v>
      </c>
      <c r="D298" s="2">
        <v>0.13</v>
      </c>
      <c r="E298" s="2">
        <v>0.2</v>
      </c>
      <c r="F298" s="2">
        <v>0.25700000000000001</v>
      </c>
      <c r="G298" s="2">
        <v>0.32900000000000001</v>
      </c>
      <c r="H298" s="2">
        <v>0.44500000000000001</v>
      </c>
      <c r="I298" s="2">
        <v>0.64500000000000002</v>
      </c>
      <c r="J298" s="2">
        <v>0.88300000000000001</v>
      </c>
      <c r="K298" s="2">
        <v>1.1020000000000001</v>
      </c>
      <c r="L298" s="2">
        <v>1.321</v>
      </c>
      <c r="M298" s="2">
        <v>1.649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</row>
    <row r="299" spans="1:51" x14ac:dyDescent="0.2">
      <c r="A299" s="4">
        <v>2008</v>
      </c>
      <c r="B299" s="2">
        <v>3.5999999999999997E-2</v>
      </c>
      <c r="C299" s="2">
        <v>8.5999999999999993E-2</v>
      </c>
      <c r="D299" s="2">
        <v>0.11700000000000001</v>
      </c>
      <c r="E299" s="2">
        <v>0.186</v>
      </c>
      <c r="F299" s="2">
        <v>0.245</v>
      </c>
      <c r="G299" s="2">
        <v>0.307</v>
      </c>
      <c r="H299" s="2">
        <v>0.4</v>
      </c>
      <c r="I299" s="2">
        <v>0.56399999999999995</v>
      </c>
      <c r="J299" s="2">
        <v>0.76800000000000002</v>
      </c>
      <c r="K299" s="2">
        <v>1.0049999999999999</v>
      </c>
      <c r="L299" s="2">
        <v>1.2090000000000001</v>
      </c>
      <c r="M299" s="2">
        <v>1.5369999999999999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</row>
    <row r="300" spans="1:51" x14ac:dyDescent="0.2">
      <c r="A300" s="4">
        <v>2009</v>
      </c>
      <c r="B300" s="2">
        <v>3.4000000000000002E-2</v>
      </c>
      <c r="C300" s="2">
        <v>0.08</v>
      </c>
      <c r="D300" s="2">
        <v>0.158</v>
      </c>
      <c r="E300" s="2">
        <v>0.193</v>
      </c>
      <c r="F300" s="2">
        <v>0.247</v>
      </c>
      <c r="G300" s="2">
        <v>0.307</v>
      </c>
      <c r="H300" s="2">
        <v>0.38700000000000001</v>
      </c>
      <c r="I300" s="2">
        <v>0.52800000000000002</v>
      </c>
      <c r="J300" s="2">
        <v>0.7</v>
      </c>
      <c r="K300" s="2">
        <v>0.89700000000000002</v>
      </c>
      <c r="L300" s="2">
        <v>1.087</v>
      </c>
      <c r="M300" s="2">
        <v>1.5409999999999999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</row>
    <row r="301" spans="1:51" x14ac:dyDescent="0.2">
      <c r="A301" s="4">
        <v>2010</v>
      </c>
      <c r="B301" s="2">
        <v>2.9000000000000001E-2</v>
      </c>
      <c r="C301" s="2">
        <v>7.4999999999999997E-2</v>
      </c>
      <c r="D301" s="2">
        <v>0.113</v>
      </c>
      <c r="E301" s="2">
        <v>0.19600000000000001</v>
      </c>
      <c r="F301" s="2">
        <v>0.25900000000000001</v>
      </c>
      <c r="G301" s="2">
        <v>0.318</v>
      </c>
      <c r="H301" s="2">
        <v>0.39900000000000002</v>
      </c>
      <c r="I301" s="2">
        <v>0.51700000000000002</v>
      </c>
      <c r="J301" s="2">
        <v>0.64100000000000001</v>
      </c>
      <c r="K301" s="2">
        <v>0.76700000000000002</v>
      </c>
      <c r="L301" s="2">
        <v>0.91800000000000004</v>
      </c>
      <c r="M301" s="2">
        <v>1.296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</row>
    <row r="302" spans="1:51" x14ac:dyDescent="0.2">
      <c r="A302" s="4">
        <v>2011</v>
      </c>
      <c r="B302" s="2">
        <v>3.3000000000000002E-2</v>
      </c>
      <c r="C302" s="2">
        <v>7.5999999999999998E-2</v>
      </c>
      <c r="D302" s="2">
        <v>0.11600000000000001</v>
      </c>
      <c r="E302" s="2">
        <v>0.14099999999999999</v>
      </c>
      <c r="F302" s="2">
        <v>0.26100000000000001</v>
      </c>
      <c r="G302" s="2">
        <v>0.35</v>
      </c>
      <c r="H302" s="2">
        <v>0.41899999999999998</v>
      </c>
      <c r="I302" s="2">
        <v>0.51600000000000001</v>
      </c>
      <c r="J302" s="2">
        <v>0.63100000000000001</v>
      </c>
      <c r="K302" s="2">
        <v>0.752</v>
      </c>
      <c r="L302" s="2">
        <v>0.92400000000000004</v>
      </c>
      <c r="M302" s="2">
        <v>1.2629999999999999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</row>
    <row r="303" spans="1:51" x14ac:dyDescent="0.2">
      <c r="A303" s="4">
        <v>2012</v>
      </c>
      <c r="B303" s="2">
        <v>8.5999999999999993E-2</v>
      </c>
      <c r="C303" s="2">
        <v>7.3999999999999996E-2</v>
      </c>
      <c r="D303" s="2">
        <v>0.121</v>
      </c>
      <c r="E303" s="2">
        <v>0.17199999999999999</v>
      </c>
      <c r="F303" s="2">
        <v>0.22600000000000001</v>
      </c>
      <c r="G303" s="2">
        <v>0.33100000000000002</v>
      </c>
      <c r="H303" s="2">
        <v>0.43099999999999999</v>
      </c>
      <c r="I303" s="2">
        <v>0.51</v>
      </c>
      <c r="J303" s="2">
        <v>0.621</v>
      </c>
      <c r="K303" s="2">
        <v>0.75600000000000001</v>
      </c>
      <c r="L303" s="2">
        <v>0.90300000000000002</v>
      </c>
      <c r="M303" s="2">
        <v>1.177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</row>
    <row r="304" spans="1:51" x14ac:dyDescent="0.2">
      <c r="A304" s="4">
        <v>2013</v>
      </c>
      <c r="B304" s="2">
        <v>3.5999999999999997E-2</v>
      </c>
      <c r="C304" s="2">
        <v>4.8000000000000001E-2</v>
      </c>
      <c r="D304" s="2">
        <v>6.9000000000000006E-2</v>
      </c>
      <c r="E304" s="2">
        <v>0.186</v>
      </c>
      <c r="F304" s="2">
        <v>0.254</v>
      </c>
      <c r="G304" s="2">
        <v>0.312</v>
      </c>
      <c r="H304" s="2">
        <v>0.41599999999999998</v>
      </c>
      <c r="I304" s="2">
        <v>0.51500000000000001</v>
      </c>
      <c r="J304" s="2">
        <v>0.60499999999999998</v>
      </c>
      <c r="K304" s="2">
        <v>0.71899999999999997</v>
      </c>
      <c r="L304" s="2">
        <v>0.86099999999999999</v>
      </c>
      <c r="M304" s="2">
        <v>1.1479999999999999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</row>
    <row r="305" spans="1:51" x14ac:dyDescent="0.2">
      <c r="A305" s="4">
        <v>2014</v>
      </c>
      <c r="B305" s="2">
        <v>1.4E-2</v>
      </c>
      <c r="C305" s="2">
        <v>4.4999999999999998E-2</v>
      </c>
      <c r="D305" s="2">
        <v>0.109</v>
      </c>
      <c r="E305" s="2">
        <v>0.14199999999999999</v>
      </c>
      <c r="F305" s="2">
        <v>0.253</v>
      </c>
      <c r="G305" s="2">
        <v>0.33</v>
      </c>
      <c r="H305" s="2">
        <v>0.41099999999999998</v>
      </c>
      <c r="I305" s="2">
        <v>0.53200000000000003</v>
      </c>
      <c r="J305" s="2">
        <v>0.625</v>
      </c>
      <c r="K305" s="2">
        <v>0.76400000000000001</v>
      </c>
      <c r="L305" s="2">
        <v>0.88600000000000001</v>
      </c>
      <c r="M305" s="2">
        <v>1.1439999999999999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</row>
    <row r="306" spans="1:51" x14ac:dyDescent="0.2">
      <c r="A306" s="4">
        <v>2015</v>
      </c>
      <c r="B306" s="2">
        <v>1.4E-2</v>
      </c>
      <c r="C306" s="2">
        <v>5.1999999999999998E-2</v>
      </c>
      <c r="D306" s="2">
        <v>0.10100000000000001</v>
      </c>
      <c r="E306" s="2">
        <v>0.17499999999999999</v>
      </c>
      <c r="F306" s="2">
        <v>0.23699999999999999</v>
      </c>
      <c r="G306" s="2">
        <v>0.313</v>
      </c>
      <c r="H306" s="2">
        <v>0.41499999999999998</v>
      </c>
      <c r="I306" s="2">
        <v>0.53900000000000003</v>
      </c>
      <c r="J306" s="2">
        <v>0.64900000000000002</v>
      </c>
      <c r="K306" s="2">
        <v>0.78700000000000003</v>
      </c>
      <c r="L306" s="2">
        <v>0.96399999999999997</v>
      </c>
      <c r="M306" s="2">
        <v>1.4730000000000001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</row>
    <row r="307" spans="1:51" x14ac:dyDescent="0.2">
      <c r="A307" s="4">
        <v>2016</v>
      </c>
      <c r="B307" s="2">
        <v>1.9E-2</v>
      </c>
      <c r="C307" s="2">
        <v>6.7000000000000004E-2</v>
      </c>
      <c r="D307" s="2">
        <v>0.10100000000000001</v>
      </c>
      <c r="E307" s="2">
        <v>0.19</v>
      </c>
      <c r="F307" s="2">
        <v>0.28699999999999998</v>
      </c>
      <c r="G307" s="2">
        <v>0.35299999999999998</v>
      </c>
      <c r="H307" s="2">
        <v>0.46600000000000003</v>
      </c>
      <c r="I307" s="2">
        <v>0.61299999999999999</v>
      </c>
      <c r="J307" s="2">
        <v>0.77400000000000002</v>
      </c>
      <c r="K307" s="2">
        <v>0.92300000000000004</v>
      </c>
      <c r="L307" s="2">
        <v>1.173</v>
      </c>
      <c r="M307" s="2">
        <v>1.514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</row>
    <row r="308" spans="1:51" x14ac:dyDescent="0.2">
      <c r="A308" s="4">
        <v>2017</v>
      </c>
      <c r="B308" s="2">
        <v>7.0000000000000001E-3</v>
      </c>
      <c r="C308" s="2">
        <v>1.4E-2</v>
      </c>
      <c r="D308" s="2">
        <v>8.2000000000000003E-2</v>
      </c>
      <c r="E308" s="2">
        <v>0.20200000000000001</v>
      </c>
      <c r="F308" s="2">
        <v>0.26400000000000001</v>
      </c>
      <c r="G308" s="2">
        <v>0.35299999999999998</v>
      </c>
      <c r="H308" s="2">
        <v>0.47599999999999998</v>
      </c>
      <c r="I308" s="2">
        <v>0.55800000000000005</v>
      </c>
      <c r="J308" s="2">
        <v>0.71099999999999997</v>
      </c>
      <c r="K308" s="2">
        <v>0.91200000000000003</v>
      </c>
      <c r="L308" s="2">
        <v>1.1459999999999999</v>
      </c>
      <c r="M308" s="2">
        <v>1.6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</row>
    <row r="309" spans="1:51" x14ac:dyDescent="0.2">
      <c r="A309" s="4">
        <v>2018</v>
      </c>
      <c r="B309" s="2">
        <v>5.3999999999999999E-2</v>
      </c>
      <c r="C309" s="2">
        <v>0.158</v>
      </c>
      <c r="D309" s="2">
        <v>0.251</v>
      </c>
      <c r="E309" s="2">
        <v>0.26</v>
      </c>
      <c r="F309" s="2">
        <v>0.318</v>
      </c>
      <c r="G309" s="2">
        <v>0.38500000000000001</v>
      </c>
      <c r="H309" s="2">
        <v>0.45</v>
      </c>
      <c r="I309" s="2">
        <v>0.55300000000000005</v>
      </c>
      <c r="J309" s="2">
        <v>0.70499999999999996</v>
      </c>
      <c r="K309" s="2">
        <v>0.82899999999999996</v>
      </c>
      <c r="L309" s="2">
        <v>1.117</v>
      </c>
      <c r="M309" s="2">
        <v>1.9770000000000001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</row>
    <row r="310" spans="1:51" x14ac:dyDescent="0.2">
      <c r="A310" s="4">
        <v>2019</v>
      </c>
      <c r="B310" s="2">
        <v>5.1999999999999998E-2</v>
      </c>
      <c r="C310" s="2">
        <v>9.2999999999999999E-2</v>
      </c>
      <c r="D310" s="2">
        <v>0.18162449999999999</v>
      </c>
      <c r="E310" s="2">
        <v>0.2471216</v>
      </c>
      <c r="F310" s="2">
        <v>0.3748244</v>
      </c>
      <c r="G310" s="2">
        <v>0.4846821</v>
      </c>
      <c r="H310" s="2">
        <v>0.53434590000000004</v>
      </c>
      <c r="I310" s="2">
        <v>0.68240809999999996</v>
      </c>
      <c r="J310" s="2">
        <v>1.0936980000000001</v>
      </c>
      <c r="K310" s="2">
        <v>1.2805359999999999</v>
      </c>
      <c r="L310" s="2">
        <v>1.302017</v>
      </c>
      <c r="M310" s="2">
        <v>1.656231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</row>
    <row r="311" spans="1:51" x14ac:dyDescent="0.2">
      <c r="A311" s="4" t="s">
        <v>31</v>
      </c>
      <c r="B311" s="2">
        <v>5.1156334999999997E-2</v>
      </c>
      <c r="C311" s="2">
        <v>0.112200779</v>
      </c>
      <c r="D311" s="2">
        <v>0.19093136799999999</v>
      </c>
      <c r="E311" s="2">
        <v>0.25619424099999999</v>
      </c>
      <c r="F311" s="2">
        <v>0.34527360499999998</v>
      </c>
      <c r="G311" s="2">
        <v>0.42853607100000002</v>
      </c>
      <c r="H311" s="2">
        <v>0.50444999700000004</v>
      </c>
      <c r="I311" s="2">
        <v>0.62718589700000005</v>
      </c>
      <c r="J311" s="2">
        <v>0.93520943400000001</v>
      </c>
      <c r="K311" s="2">
        <v>1.069493665</v>
      </c>
      <c r="L311" s="2">
        <v>1.2060219329999999</v>
      </c>
      <c r="M311" s="2">
        <v>1.4466478279999999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</row>
    <row r="312" spans="1:51" x14ac:dyDescent="0.2">
      <c r="A312" s="4">
        <v>1971</v>
      </c>
      <c r="B312" s="2">
        <v>5.0312669999999997E-2</v>
      </c>
      <c r="C312" s="2">
        <v>0.131401558</v>
      </c>
      <c r="D312" s="2">
        <v>0.20023823499999999</v>
      </c>
      <c r="E312" s="2">
        <v>0.26526688100000001</v>
      </c>
      <c r="F312" s="2">
        <v>0.31572281000000002</v>
      </c>
      <c r="G312" s="2">
        <v>0.372390041</v>
      </c>
      <c r="H312" s="2">
        <v>0.47455409300000001</v>
      </c>
      <c r="I312" s="2">
        <v>0.57196369400000002</v>
      </c>
      <c r="J312" s="2">
        <v>0.77672086699999998</v>
      </c>
      <c r="K312" s="2">
        <v>0.85845132999999996</v>
      </c>
      <c r="L312" s="2">
        <v>1.1100268659999999</v>
      </c>
      <c r="M312" s="2">
        <v>1.237064655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</row>
    <row r="313" spans="1:51" x14ac:dyDescent="0.2">
      <c r="A313" s="4">
        <v>1972</v>
      </c>
      <c r="B313" s="2">
        <v>1.6734393E-2</v>
      </c>
      <c r="C313" s="2">
        <v>5.8394525000000003E-2</v>
      </c>
      <c r="D313" s="2">
        <v>0.20054005799999999</v>
      </c>
      <c r="E313" s="2">
        <v>0.239941402</v>
      </c>
      <c r="F313" s="2">
        <v>0.30339664100000002</v>
      </c>
      <c r="G313" s="2">
        <v>0.38183531500000001</v>
      </c>
      <c r="H313" s="2">
        <v>0.468163473</v>
      </c>
      <c r="I313" s="2">
        <v>0.56217300199999998</v>
      </c>
      <c r="J313" s="2">
        <v>0.72121926000000003</v>
      </c>
      <c r="K313" s="2">
        <v>0.95325742300000005</v>
      </c>
      <c r="L313" s="2">
        <v>1.095713277</v>
      </c>
      <c r="M313" s="2">
        <v>1.61642719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</row>
    <row r="314" spans="1:51" x14ac:dyDescent="0.2">
      <c r="A314" s="4">
        <v>1973</v>
      </c>
      <c r="B314" s="2">
        <v>1.5553529999999999E-2</v>
      </c>
      <c r="C314" s="2">
        <v>3.0954781000000001E-2</v>
      </c>
      <c r="D314" s="2">
        <v>0.21244037599999999</v>
      </c>
      <c r="E314" s="2">
        <v>0.241102232</v>
      </c>
      <c r="F314" s="2">
        <v>0.30509367399999998</v>
      </c>
      <c r="G314" s="2">
        <v>0.37764882300000002</v>
      </c>
      <c r="H314" s="2">
        <v>0.49450017800000001</v>
      </c>
      <c r="I314" s="2">
        <v>0.59430035000000003</v>
      </c>
      <c r="J314" s="2">
        <v>0.77990906800000004</v>
      </c>
      <c r="K314" s="2">
        <v>0.91597075999999999</v>
      </c>
      <c r="L314" s="2">
        <v>1.346189643</v>
      </c>
      <c r="M314" s="2">
        <v>1.8236984300000001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</row>
    <row r="315" spans="1:51" x14ac:dyDescent="0.2">
      <c r="A315" s="4">
        <v>1974</v>
      </c>
      <c r="B315" s="2">
        <v>1.4596174E-2</v>
      </c>
      <c r="C315" s="2">
        <v>2.4990087000000001E-2</v>
      </c>
      <c r="D315" s="2">
        <v>0.18745980600000001</v>
      </c>
      <c r="E315" s="2">
        <v>0.26985513500000002</v>
      </c>
      <c r="F315" s="2">
        <v>0.30460896799999998</v>
      </c>
      <c r="G315" s="2">
        <v>0.39067675000000002</v>
      </c>
      <c r="H315" s="2">
        <v>0.48069443699999997</v>
      </c>
      <c r="I315" s="2">
        <v>0.57867890499999997</v>
      </c>
      <c r="J315" s="2">
        <v>0.68549167300000002</v>
      </c>
      <c r="K315" s="2">
        <v>0.76116063</v>
      </c>
      <c r="L315" s="2">
        <v>0.89770300199999997</v>
      </c>
      <c r="M315" s="2">
        <v>1.627863458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</row>
    <row r="316" spans="1:51" x14ac:dyDescent="0.2">
      <c r="A316" s="4">
        <v>1975</v>
      </c>
      <c r="B316" s="2">
        <v>1.4596174E-2</v>
      </c>
      <c r="C316" s="2">
        <v>2.4990087000000001E-2</v>
      </c>
      <c r="D316" s="2">
        <v>0.23219203499999999</v>
      </c>
      <c r="E316" s="2">
        <v>0.229945077</v>
      </c>
      <c r="F316" s="2">
        <v>0.30857574599999998</v>
      </c>
      <c r="G316" s="2">
        <v>0.40427915800000003</v>
      </c>
      <c r="H316" s="2">
        <v>0.53159663599999996</v>
      </c>
      <c r="I316" s="2">
        <v>0.61348729400000002</v>
      </c>
      <c r="J316" s="2">
        <v>0.78822171200000002</v>
      </c>
      <c r="K316" s="2">
        <v>0.98428673799999999</v>
      </c>
      <c r="L316" s="2">
        <v>1.270804665</v>
      </c>
      <c r="M316" s="2">
        <v>1.6580264060000001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</row>
    <row r="317" spans="1:51" x14ac:dyDescent="0.2">
      <c r="A317" s="4">
        <v>1976</v>
      </c>
      <c r="B317" s="2">
        <v>4.4999999999999998E-2</v>
      </c>
      <c r="C317" s="2">
        <v>0.17100000000000001</v>
      </c>
      <c r="D317" s="2">
        <v>0.377</v>
      </c>
      <c r="E317" s="2">
        <v>0.64200000000000002</v>
      </c>
      <c r="F317" s="2">
        <v>0.94499999999999995</v>
      </c>
      <c r="G317" s="2">
        <v>1.2649999999999999</v>
      </c>
      <c r="H317" s="2">
        <v>1.587</v>
      </c>
      <c r="I317" s="2">
        <v>1.9</v>
      </c>
      <c r="J317" s="2">
        <v>2.1960000000000002</v>
      </c>
      <c r="K317" s="2">
        <v>2.4700000000000002</v>
      </c>
      <c r="L317" s="2">
        <v>2.7210000000000001</v>
      </c>
      <c r="M317" s="2">
        <v>2.9460000000000002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</row>
    <row r="318" spans="1:51" x14ac:dyDescent="0.2">
      <c r="A318" s="4">
        <v>1977</v>
      </c>
      <c r="B318" s="2">
        <v>4.4999999999999998E-2</v>
      </c>
      <c r="C318" s="2">
        <v>0.17100000000000001</v>
      </c>
      <c r="D318" s="2">
        <v>0.377</v>
      </c>
      <c r="E318" s="2">
        <v>0.64300000000000002</v>
      </c>
      <c r="F318" s="2">
        <v>0.94599999999999995</v>
      </c>
      <c r="G318" s="2">
        <v>1.266</v>
      </c>
      <c r="H318" s="2">
        <v>1.5880000000000001</v>
      </c>
      <c r="I318" s="2">
        <v>1.9019999999999999</v>
      </c>
      <c r="J318" s="2">
        <v>2.198</v>
      </c>
      <c r="K318" s="2">
        <v>2.472</v>
      </c>
      <c r="L318" s="2">
        <v>2.7229999999999999</v>
      </c>
      <c r="M318" s="2">
        <v>2.9489999999999998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</row>
    <row r="319" spans="1:51" x14ac:dyDescent="0.2">
      <c r="A319" s="4">
        <v>1978</v>
      </c>
      <c r="B319" s="2">
        <v>0.03</v>
      </c>
      <c r="C319" s="2">
        <v>0.13</v>
      </c>
      <c r="D319" s="2">
        <v>0.30599999999999999</v>
      </c>
      <c r="E319" s="2">
        <v>0.54800000000000004</v>
      </c>
      <c r="F319" s="2">
        <v>0.83499999999999996</v>
      </c>
      <c r="G319" s="2">
        <v>1.1479999999999999</v>
      </c>
      <c r="H319" s="2">
        <v>1.47</v>
      </c>
      <c r="I319" s="2">
        <v>1.7889999999999999</v>
      </c>
      <c r="J319" s="2">
        <v>2.0950000000000002</v>
      </c>
      <c r="K319" s="2">
        <v>2.3820000000000001</v>
      </c>
      <c r="L319" s="2">
        <v>2.6469999999999998</v>
      </c>
      <c r="M319" s="2">
        <v>2.887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</row>
    <row r="320" spans="1:51" x14ac:dyDescent="0.2">
      <c r="A320" s="4">
        <v>1979</v>
      </c>
      <c r="B320" s="2">
        <v>3.6999999999999998E-2</v>
      </c>
      <c r="C320" s="2">
        <v>0.14699999999999999</v>
      </c>
      <c r="D320" s="2">
        <v>0.33</v>
      </c>
      <c r="E320" s="2">
        <v>0.56799999999999995</v>
      </c>
      <c r="F320" s="2">
        <v>0.84199999999999997</v>
      </c>
      <c r="G320" s="2">
        <v>1.1339999999999999</v>
      </c>
      <c r="H320" s="2">
        <v>1.43</v>
      </c>
      <c r="I320" s="2">
        <v>1.718</v>
      </c>
      <c r="J320" s="2">
        <v>1.9910000000000001</v>
      </c>
      <c r="K320" s="2">
        <v>2.246</v>
      </c>
      <c r="L320" s="2">
        <v>2.4780000000000002</v>
      </c>
      <c r="M320" s="2">
        <v>2.6880000000000002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</row>
    <row r="321" spans="1:51" x14ac:dyDescent="0.2">
      <c r="A321" s="4">
        <v>1980</v>
      </c>
      <c r="B321" s="2">
        <v>3.7999999999999999E-2</v>
      </c>
      <c r="C321" s="2">
        <v>0.14699999999999999</v>
      </c>
      <c r="D321" s="2">
        <v>0.32600000000000001</v>
      </c>
      <c r="E321" s="2">
        <v>0.55800000000000005</v>
      </c>
      <c r="F321" s="2">
        <v>0.82499999999999996</v>
      </c>
      <c r="G321" s="2">
        <v>1.1080000000000001</v>
      </c>
      <c r="H321" s="2">
        <v>1.393</v>
      </c>
      <c r="I321" s="2">
        <v>1.671</v>
      </c>
      <c r="J321" s="2">
        <v>1.9339999999999999</v>
      </c>
      <c r="K321" s="2">
        <v>2.1779999999999999</v>
      </c>
      <c r="L321" s="2">
        <v>2.4020000000000001</v>
      </c>
      <c r="M321" s="2">
        <v>2.6030000000000002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</row>
    <row r="322" spans="1:51" x14ac:dyDescent="0.2">
      <c r="A322" s="4">
        <v>1981</v>
      </c>
      <c r="B322" s="2">
        <v>3.4000000000000002E-2</v>
      </c>
      <c r="C322" s="2">
        <v>0.13600000000000001</v>
      </c>
      <c r="D322" s="2">
        <v>0.31</v>
      </c>
      <c r="E322" s="2">
        <v>0.54</v>
      </c>
      <c r="F322" s="2">
        <v>0.80800000000000005</v>
      </c>
      <c r="G322" s="2">
        <v>1.095</v>
      </c>
      <c r="H322" s="2">
        <v>1.387</v>
      </c>
      <c r="I322" s="2">
        <v>1.6739999999999999</v>
      </c>
      <c r="J322" s="2">
        <v>1.946</v>
      </c>
      <c r="K322" s="2">
        <v>2.2010000000000001</v>
      </c>
      <c r="L322" s="2">
        <v>2.4340000000000002</v>
      </c>
      <c r="M322" s="2">
        <v>2.645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</row>
    <row r="323" spans="1:51" x14ac:dyDescent="0.2">
      <c r="A323" s="4">
        <v>1982</v>
      </c>
      <c r="B323" s="2">
        <v>4.3999999999999997E-2</v>
      </c>
      <c r="C323" s="2">
        <v>0.16</v>
      </c>
      <c r="D323" s="2">
        <v>0.34</v>
      </c>
      <c r="E323" s="2">
        <v>0.56699999999999995</v>
      </c>
      <c r="F323" s="2">
        <v>0.82199999999999995</v>
      </c>
      <c r="G323" s="2">
        <v>1.087</v>
      </c>
      <c r="H323" s="2">
        <v>1.351</v>
      </c>
      <c r="I323" s="2">
        <v>1.6060000000000001</v>
      </c>
      <c r="J323" s="2">
        <v>1.845</v>
      </c>
      <c r="K323" s="2">
        <v>2.0649999999999999</v>
      </c>
      <c r="L323" s="2">
        <v>2.266</v>
      </c>
      <c r="M323" s="2">
        <v>2.4460000000000002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</row>
    <row r="324" spans="1:51" x14ac:dyDescent="0.2">
      <c r="A324" s="4">
        <v>1983</v>
      </c>
      <c r="B324" s="2">
        <v>3.2000000000000001E-2</v>
      </c>
      <c r="C324" s="2">
        <v>0.13</v>
      </c>
      <c r="D324" s="2">
        <v>0.29399999999999998</v>
      </c>
      <c r="E324" s="2">
        <v>0.51</v>
      </c>
      <c r="F324" s="2">
        <v>0.76</v>
      </c>
      <c r="G324" s="2">
        <v>1.028</v>
      </c>
      <c r="H324" s="2">
        <v>1.3</v>
      </c>
      <c r="I324" s="2">
        <v>1.5660000000000001</v>
      </c>
      <c r="J324" s="2">
        <v>1.8180000000000001</v>
      </c>
      <c r="K324" s="2">
        <v>2.0539999999999998</v>
      </c>
      <c r="L324" s="2">
        <v>2.27</v>
      </c>
      <c r="M324" s="2">
        <v>2.4649999999999999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</row>
    <row r="325" spans="1:51" x14ac:dyDescent="0.2">
      <c r="A325" s="4">
        <v>1984</v>
      </c>
      <c r="B325" s="2">
        <v>3.2000000000000001E-2</v>
      </c>
      <c r="C325" s="2">
        <v>0.129</v>
      </c>
      <c r="D325" s="2">
        <v>0.29499999999999998</v>
      </c>
      <c r="E325" s="2">
        <v>0.51600000000000001</v>
      </c>
      <c r="F325" s="2">
        <v>0.77400000000000002</v>
      </c>
      <c r="G325" s="2">
        <v>1.05</v>
      </c>
      <c r="H325" s="2">
        <v>1.3320000000000001</v>
      </c>
      <c r="I325" s="2">
        <v>1.6080000000000001</v>
      </c>
      <c r="J325" s="2">
        <v>1.8720000000000001</v>
      </c>
      <c r="K325" s="2">
        <v>2.117</v>
      </c>
      <c r="L325" s="2">
        <v>2.343</v>
      </c>
      <c r="M325" s="2">
        <v>2.5470000000000002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</row>
    <row r="326" spans="1:51" x14ac:dyDescent="0.2">
      <c r="A326" s="4">
        <v>1985</v>
      </c>
      <c r="B326" s="2">
        <v>3.5999999999999997E-2</v>
      </c>
      <c r="C326" s="2">
        <v>0.13800000000000001</v>
      </c>
      <c r="D326" s="2">
        <v>0.30399999999999999</v>
      </c>
      <c r="E326" s="2">
        <v>0.51800000000000002</v>
      </c>
      <c r="F326" s="2">
        <v>0.76200000000000001</v>
      </c>
      <c r="G326" s="2">
        <v>1.02</v>
      </c>
      <c r="H326" s="2">
        <v>1.28</v>
      </c>
      <c r="I326" s="2">
        <v>1.532</v>
      </c>
      <c r="J326" s="2">
        <v>1.77</v>
      </c>
      <c r="K326" s="2">
        <v>1.9910000000000001</v>
      </c>
      <c r="L326" s="2">
        <v>2.1930000000000001</v>
      </c>
      <c r="M326" s="2">
        <v>2.375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</row>
    <row r="327" spans="1:51" x14ac:dyDescent="0.2">
      <c r="A327" s="4">
        <v>1986</v>
      </c>
      <c r="B327" s="2">
        <v>3.5999999999999997E-2</v>
      </c>
      <c r="C327" s="2">
        <v>0.13600000000000001</v>
      </c>
      <c r="D327" s="2">
        <v>0.29799999999999999</v>
      </c>
      <c r="E327" s="2">
        <v>0.50600000000000001</v>
      </c>
      <c r="F327" s="2">
        <v>0.74299999999999999</v>
      </c>
      <c r="G327" s="2">
        <v>0.99399999999999999</v>
      </c>
      <c r="H327" s="2">
        <v>1.2450000000000001</v>
      </c>
      <c r="I327" s="2">
        <v>1.49</v>
      </c>
      <c r="J327" s="2">
        <v>1.7210000000000001</v>
      </c>
      <c r="K327" s="2">
        <v>1.9339999999999999</v>
      </c>
      <c r="L327" s="2">
        <v>2.13</v>
      </c>
      <c r="M327" s="2">
        <v>2.306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</row>
    <row r="328" spans="1:51" x14ac:dyDescent="0.2">
      <c r="A328" s="4">
        <v>1987</v>
      </c>
      <c r="B328" s="2">
        <v>4.1000000000000002E-2</v>
      </c>
      <c r="C328" s="2">
        <v>0.14799999999999999</v>
      </c>
      <c r="D328" s="2">
        <v>0.314</v>
      </c>
      <c r="E328" s="2">
        <v>0.52400000000000002</v>
      </c>
      <c r="F328" s="2">
        <v>0.75800000000000001</v>
      </c>
      <c r="G328" s="2">
        <v>1.0029999999999999</v>
      </c>
      <c r="H328" s="2">
        <v>1.2470000000000001</v>
      </c>
      <c r="I328" s="2">
        <v>1.4810000000000001</v>
      </c>
      <c r="J328" s="2">
        <v>1.702</v>
      </c>
      <c r="K328" s="2">
        <v>1.905</v>
      </c>
      <c r="L328" s="2">
        <v>2.089</v>
      </c>
      <c r="M328" s="2">
        <v>2.2549999999999999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</row>
    <row r="329" spans="1:51" x14ac:dyDescent="0.2">
      <c r="A329" s="4">
        <v>1988</v>
      </c>
      <c r="B329" s="2">
        <v>3.9E-2</v>
      </c>
      <c r="C329" s="2">
        <v>0.14399999999999999</v>
      </c>
      <c r="D329" s="2">
        <v>0.309</v>
      </c>
      <c r="E329" s="2">
        <v>0.51900000000000002</v>
      </c>
      <c r="F329" s="2">
        <v>0.755</v>
      </c>
      <c r="G329" s="2">
        <v>1.002</v>
      </c>
      <c r="H329" s="2">
        <v>1.2490000000000001</v>
      </c>
      <c r="I329" s="2">
        <v>1.488</v>
      </c>
      <c r="J329" s="2">
        <v>1.712</v>
      </c>
      <c r="K329" s="2">
        <v>1.92</v>
      </c>
      <c r="L329" s="2">
        <v>2.1080000000000001</v>
      </c>
      <c r="M329" s="2">
        <v>2.278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</row>
    <row r="330" spans="1:51" x14ac:dyDescent="0.2">
      <c r="A330" s="4">
        <v>1989</v>
      </c>
      <c r="B330" s="2">
        <v>4.2000000000000003E-2</v>
      </c>
      <c r="C330" s="2">
        <v>0.13800000000000001</v>
      </c>
      <c r="D330" s="2">
        <v>0.28000000000000003</v>
      </c>
      <c r="E330" s="2">
        <v>0.45100000000000001</v>
      </c>
      <c r="F330" s="2">
        <v>0.63800000000000001</v>
      </c>
      <c r="G330" s="2">
        <v>0.82799999999999996</v>
      </c>
      <c r="H330" s="2">
        <v>1.014</v>
      </c>
      <c r="I330" s="2">
        <v>1.1910000000000001</v>
      </c>
      <c r="J330" s="2">
        <v>1.3560000000000001</v>
      </c>
      <c r="K330" s="2">
        <v>1.5069999999999999</v>
      </c>
      <c r="L330" s="2">
        <v>1.643</v>
      </c>
      <c r="M330" s="2">
        <v>1.764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</row>
    <row r="331" spans="1:51" x14ac:dyDescent="0.2">
      <c r="A331" s="4">
        <v>1990</v>
      </c>
      <c r="B331" s="2">
        <v>4.3999999999999997E-2</v>
      </c>
      <c r="C331" s="2">
        <v>0.156</v>
      </c>
      <c r="D331" s="2">
        <v>0.32800000000000001</v>
      </c>
      <c r="E331" s="2">
        <v>0.54100000000000004</v>
      </c>
      <c r="F331" s="2">
        <v>0.77800000000000002</v>
      </c>
      <c r="G331" s="2">
        <v>1.024</v>
      </c>
      <c r="H331" s="2">
        <v>1.2669999999999999</v>
      </c>
      <c r="I331" s="2">
        <v>1.5009999999999999</v>
      </c>
      <c r="J331" s="2">
        <v>1.7190000000000001</v>
      </c>
      <c r="K331" s="2">
        <v>1.921</v>
      </c>
      <c r="L331" s="2">
        <v>2.1030000000000002</v>
      </c>
      <c r="M331" s="2">
        <v>2.2669999999999999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</row>
    <row r="332" spans="1:51" x14ac:dyDescent="0.2">
      <c r="A332" s="4">
        <v>1991</v>
      </c>
      <c r="B332" s="2">
        <v>0.04</v>
      </c>
      <c r="C332" s="2">
        <v>0.14899999999999999</v>
      </c>
      <c r="D332" s="2">
        <v>0.32200000000000001</v>
      </c>
      <c r="E332" s="2">
        <v>0.54100000000000004</v>
      </c>
      <c r="F332" s="2">
        <v>0.78900000000000003</v>
      </c>
      <c r="G332" s="2">
        <v>1.048</v>
      </c>
      <c r="H332" s="2">
        <v>1.3080000000000001</v>
      </c>
      <c r="I332" s="2">
        <v>1.5580000000000001</v>
      </c>
      <c r="J332" s="2">
        <v>1.794</v>
      </c>
      <c r="K332" s="2">
        <v>2.012</v>
      </c>
      <c r="L332" s="2">
        <v>2.2109999999999999</v>
      </c>
      <c r="M332" s="2">
        <v>2.3889999999999998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</row>
    <row r="333" spans="1:51" x14ac:dyDescent="0.2">
      <c r="A333" s="4">
        <v>1992</v>
      </c>
      <c r="B333" s="2">
        <v>4.2000000000000003E-2</v>
      </c>
      <c r="C333" s="2">
        <v>0.151</v>
      </c>
      <c r="D333" s="2">
        <v>0.32300000000000001</v>
      </c>
      <c r="E333" s="2">
        <v>0.53900000000000003</v>
      </c>
      <c r="F333" s="2">
        <v>0.78100000000000003</v>
      </c>
      <c r="G333" s="2">
        <v>1.0329999999999999</v>
      </c>
      <c r="H333" s="2">
        <v>1.2849999999999999</v>
      </c>
      <c r="I333" s="2">
        <v>1.5269999999999999</v>
      </c>
      <c r="J333" s="2">
        <v>1.7549999999999999</v>
      </c>
      <c r="K333" s="2">
        <v>1.9650000000000001</v>
      </c>
      <c r="L333" s="2">
        <v>2.1560000000000001</v>
      </c>
      <c r="M333" s="2">
        <v>2.327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</row>
    <row r="334" spans="1:51" x14ac:dyDescent="0.2">
      <c r="A334" s="4">
        <v>1993</v>
      </c>
      <c r="B334" s="2">
        <v>3.4000000000000002E-2</v>
      </c>
      <c r="C334" s="2">
        <v>0.13200000000000001</v>
      </c>
      <c r="D334" s="2">
        <v>0.29399999999999998</v>
      </c>
      <c r="E334" s="2">
        <v>0.504</v>
      </c>
      <c r="F334" s="2">
        <v>0.745</v>
      </c>
      <c r="G334" s="2">
        <v>1.0009999999999999</v>
      </c>
      <c r="H334" s="2">
        <v>1.26</v>
      </c>
      <c r="I334" s="2">
        <v>1.512</v>
      </c>
      <c r="J334" s="2">
        <v>1.7509999999999999</v>
      </c>
      <c r="K334" s="2">
        <v>1.9730000000000001</v>
      </c>
      <c r="L334" s="2">
        <v>2.1760000000000002</v>
      </c>
      <c r="M334" s="2">
        <v>2.359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</row>
    <row r="335" spans="1:51" x14ac:dyDescent="0.2">
      <c r="A335" s="4">
        <v>1994</v>
      </c>
      <c r="B335" s="2">
        <v>3.7999999999999999E-2</v>
      </c>
      <c r="C335" s="2">
        <v>0.14499999999999999</v>
      </c>
      <c r="D335" s="2">
        <v>0.315</v>
      </c>
      <c r="E335" s="2">
        <v>0.53300000000000003</v>
      </c>
      <c r="F335" s="2">
        <v>0.78</v>
      </c>
      <c r="G335" s="2">
        <v>1.0409999999999999</v>
      </c>
      <c r="H335" s="2">
        <v>1.302</v>
      </c>
      <c r="I335" s="2">
        <v>1.554</v>
      </c>
      <c r="J335" s="2">
        <v>1.7929999999999999</v>
      </c>
      <c r="K335" s="2">
        <v>2.0129999999999999</v>
      </c>
      <c r="L335" s="2">
        <v>2.2149999999999999</v>
      </c>
      <c r="M335" s="2">
        <v>2.3959999999999999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</row>
    <row r="336" spans="1:51" x14ac:dyDescent="0.2">
      <c r="A336" s="4">
        <v>1995</v>
      </c>
      <c r="B336" s="2">
        <v>4.3999999999999997E-2</v>
      </c>
      <c r="C336" s="2">
        <v>0.158</v>
      </c>
      <c r="D336" s="2">
        <v>0.33700000000000002</v>
      </c>
      <c r="E336" s="2">
        <v>0.56100000000000005</v>
      </c>
      <c r="F336" s="2">
        <v>0.81200000000000006</v>
      </c>
      <c r="G336" s="2">
        <v>1.0740000000000001</v>
      </c>
      <c r="H336" s="2">
        <v>1.3340000000000001</v>
      </c>
      <c r="I336" s="2">
        <v>1.585</v>
      </c>
      <c r="J336" s="2">
        <v>1.821</v>
      </c>
      <c r="K336" s="2">
        <v>2.0379999999999998</v>
      </c>
      <c r="L336" s="2">
        <v>2.2360000000000002</v>
      </c>
      <c r="M336" s="2">
        <v>2.4129999999999998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</row>
    <row r="337" spans="1:51" x14ac:dyDescent="0.2">
      <c r="A337" s="4">
        <v>1996</v>
      </c>
      <c r="B337" s="2">
        <v>4.2000000000000003E-2</v>
      </c>
      <c r="C337" s="2">
        <v>0.15</v>
      </c>
      <c r="D337" s="2">
        <v>0.32</v>
      </c>
      <c r="E337" s="2">
        <v>0.53200000000000003</v>
      </c>
      <c r="F337" s="2">
        <v>0.76900000000000002</v>
      </c>
      <c r="G337" s="2">
        <v>1.0169999999999999</v>
      </c>
      <c r="H337" s="2">
        <v>1.2629999999999999</v>
      </c>
      <c r="I337" s="2">
        <v>1.4990000000000001</v>
      </c>
      <c r="J337" s="2">
        <v>1.722</v>
      </c>
      <c r="K337" s="2">
        <v>1.927</v>
      </c>
      <c r="L337" s="2">
        <v>2.113</v>
      </c>
      <c r="M337" s="2">
        <v>2.2799999999999998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</row>
    <row r="338" spans="1:51" x14ac:dyDescent="0.2">
      <c r="A338" s="4">
        <v>1997</v>
      </c>
      <c r="B338" s="2">
        <v>3.9E-2</v>
      </c>
      <c r="C338" s="2">
        <v>0.14199999999999999</v>
      </c>
      <c r="D338" s="2">
        <v>0.30499999999999999</v>
      </c>
      <c r="E338" s="2">
        <v>0.51100000000000001</v>
      </c>
      <c r="F338" s="2">
        <v>0.74299999999999999</v>
      </c>
      <c r="G338" s="2">
        <v>0.98499999999999999</v>
      </c>
      <c r="H338" s="2">
        <v>1.2270000000000001</v>
      </c>
      <c r="I338" s="2">
        <v>1.4610000000000001</v>
      </c>
      <c r="J338" s="2">
        <v>1.68</v>
      </c>
      <c r="K338" s="2">
        <v>1.883</v>
      </c>
      <c r="L338" s="2">
        <v>2.0680000000000001</v>
      </c>
      <c r="M338" s="2">
        <v>2.234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</row>
    <row r="339" spans="1:51" x14ac:dyDescent="0.2">
      <c r="A339" s="4">
        <v>1998</v>
      </c>
      <c r="B339" s="2">
        <v>0.04</v>
      </c>
      <c r="C339" s="2">
        <v>0.14799999999999999</v>
      </c>
      <c r="D339" s="2">
        <v>0.318</v>
      </c>
      <c r="E339" s="2">
        <v>0.53400000000000003</v>
      </c>
      <c r="F339" s="2">
        <v>0.77600000000000002</v>
      </c>
      <c r="G339" s="2">
        <v>1.0309999999999999</v>
      </c>
      <c r="H339" s="2">
        <v>1.286</v>
      </c>
      <c r="I339" s="2">
        <v>1.5309999999999999</v>
      </c>
      <c r="J339" s="2">
        <v>1.7629999999999999</v>
      </c>
      <c r="K339" s="2">
        <v>1.976</v>
      </c>
      <c r="L339" s="2">
        <v>2.1709999999999998</v>
      </c>
      <c r="M339" s="2">
        <v>2.3460000000000001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</row>
    <row r="340" spans="1:51" x14ac:dyDescent="0.2">
      <c r="A340" s="4">
        <v>1999</v>
      </c>
      <c r="B340" s="2">
        <v>3.9E-2</v>
      </c>
      <c r="C340" s="2">
        <v>0.14699999999999999</v>
      </c>
      <c r="D340" s="2">
        <v>0.32300000000000001</v>
      </c>
      <c r="E340" s="2">
        <v>0.54900000000000004</v>
      </c>
      <c r="F340" s="2">
        <v>0.80700000000000005</v>
      </c>
      <c r="G340" s="2">
        <v>1.08</v>
      </c>
      <c r="H340" s="2">
        <v>1.3540000000000001</v>
      </c>
      <c r="I340" s="2">
        <v>1.62</v>
      </c>
      <c r="J340" s="2">
        <v>1.871</v>
      </c>
      <c r="K340" s="2">
        <v>2.1040000000000001</v>
      </c>
      <c r="L340" s="2">
        <v>2.3170000000000002</v>
      </c>
      <c r="M340" s="2">
        <v>2.508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</row>
    <row r="341" spans="1:51" x14ac:dyDescent="0.2">
      <c r="A341" s="4">
        <v>2000</v>
      </c>
      <c r="B341" s="2">
        <v>3.5999999999999997E-2</v>
      </c>
      <c r="C341" s="2">
        <v>0.14699999999999999</v>
      </c>
      <c r="D341" s="2">
        <v>0.33500000000000002</v>
      </c>
      <c r="E341" s="2">
        <v>0.58399999999999996</v>
      </c>
      <c r="F341" s="2">
        <v>0.874</v>
      </c>
      <c r="G341" s="2">
        <v>1.1859999999999999</v>
      </c>
      <c r="H341" s="2">
        <v>1.5029999999999999</v>
      </c>
      <c r="I341" s="2">
        <v>1.8129999999999999</v>
      </c>
      <c r="J341" s="2">
        <v>2.109</v>
      </c>
      <c r="K341" s="2">
        <v>2.3849999999999998</v>
      </c>
      <c r="L341" s="2">
        <v>2.6379999999999999</v>
      </c>
      <c r="M341" s="2">
        <v>2.867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</row>
    <row r="342" spans="1:51" x14ac:dyDescent="0.2">
      <c r="A342" s="4">
        <v>2001</v>
      </c>
      <c r="B342" s="2">
        <v>3.7999999999999999E-2</v>
      </c>
      <c r="C342" s="2">
        <v>0.14599999999999999</v>
      </c>
      <c r="D342" s="2">
        <v>0.318</v>
      </c>
      <c r="E342" s="2">
        <v>0.54</v>
      </c>
      <c r="F342" s="2">
        <v>0.79200000000000004</v>
      </c>
      <c r="G342" s="2">
        <v>1.0580000000000001</v>
      </c>
      <c r="H342" s="2">
        <v>1.325</v>
      </c>
      <c r="I342" s="2">
        <v>1.583</v>
      </c>
      <c r="J342" s="2">
        <v>1.827</v>
      </c>
      <c r="K342" s="2">
        <v>2.0529999999999999</v>
      </c>
      <c r="L342" s="2">
        <v>2.2599999999999998</v>
      </c>
      <c r="M342" s="2">
        <v>2.4460000000000002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</row>
    <row r="343" spans="1:51" x14ac:dyDescent="0.2">
      <c r="A343" s="4">
        <v>2002</v>
      </c>
      <c r="B343" s="2">
        <v>3.7999999999999999E-2</v>
      </c>
      <c r="C343" s="2">
        <v>0.14499999999999999</v>
      </c>
      <c r="D343" s="2">
        <v>0.317</v>
      </c>
      <c r="E343" s="2">
        <v>0.53700000000000003</v>
      </c>
      <c r="F343" s="2">
        <v>0.78800000000000003</v>
      </c>
      <c r="G343" s="2">
        <v>1.0529999999999999</v>
      </c>
      <c r="H343" s="2">
        <v>1.3180000000000001</v>
      </c>
      <c r="I343" s="2">
        <v>1.5760000000000001</v>
      </c>
      <c r="J343" s="2">
        <v>1.82</v>
      </c>
      <c r="K343" s="2">
        <v>2.0449999999999999</v>
      </c>
      <c r="L343" s="2">
        <v>2.2509999999999999</v>
      </c>
      <c r="M343" s="2">
        <v>2.4359999999999999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</row>
    <row r="344" spans="1:51" x14ac:dyDescent="0.2">
      <c r="A344" s="4">
        <v>2003</v>
      </c>
      <c r="B344" s="2">
        <v>4.4999999999999998E-2</v>
      </c>
      <c r="C344" s="2">
        <v>0.152</v>
      </c>
      <c r="D344" s="2">
        <v>0.312</v>
      </c>
      <c r="E344" s="2">
        <v>0.50600000000000001</v>
      </c>
      <c r="F344" s="2">
        <v>0.72</v>
      </c>
      <c r="G344" s="2">
        <v>0.94</v>
      </c>
      <c r="H344" s="2">
        <v>1.155</v>
      </c>
      <c r="I344" s="2">
        <v>1.361</v>
      </c>
      <c r="J344" s="2">
        <v>1.5529999999999999</v>
      </c>
      <c r="K344" s="2">
        <v>1.7290000000000001</v>
      </c>
      <c r="L344" s="2">
        <v>1.889</v>
      </c>
      <c r="M344" s="2">
        <v>2.0310000000000001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</row>
    <row r="345" spans="1:51" x14ac:dyDescent="0.2">
      <c r="A345" s="4">
        <v>2004</v>
      </c>
      <c r="B345" s="2">
        <v>0.04</v>
      </c>
      <c r="C345" s="2">
        <v>0.14000000000000001</v>
      </c>
      <c r="D345" s="2">
        <v>0.29399999999999998</v>
      </c>
      <c r="E345" s="2">
        <v>0.48299999999999998</v>
      </c>
      <c r="F345" s="2">
        <v>0.69299999999999995</v>
      </c>
      <c r="G345" s="2">
        <v>0.91100000000000003</v>
      </c>
      <c r="H345" s="2">
        <v>1.1259999999999999</v>
      </c>
      <c r="I345" s="2">
        <v>1.333</v>
      </c>
      <c r="J345" s="2">
        <v>1.526</v>
      </c>
      <c r="K345" s="2">
        <v>1.7030000000000001</v>
      </c>
      <c r="L345" s="2">
        <v>1.8640000000000001</v>
      </c>
      <c r="M345" s="2">
        <v>2.008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</row>
    <row r="346" spans="1:51" x14ac:dyDescent="0.2">
      <c r="A346" s="4">
        <v>2005</v>
      </c>
      <c r="B346" s="2">
        <v>3.6999999999999998E-2</v>
      </c>
      <c r="C346" s="2">
        <v>0.14599999999999999</v>
      </c>
      <c r="D346" s="2">
        <v>0.32400000000000001</v>
      </c>
      <c r="E346" s="2">
        <v>0.55700000000000005</v>
      </c>
      <c r="F346" s="2">
        <v>0.82399999999999995</v>
      </c>
      <c r="G346" s="2">
        <v>1.107</v>
      </c>
      <c r="H346" s="2">
        <v>1.3939999999999999</v>
      </c>
      <c r="I346" s="2">
        <v>1.673</v>
      </c>
      <c r="J346" s="2">
        <v>1.9379999999999999</v>
      </c>
      <c r="K346" s="2">
        <v>2.1829999999999998</v>
      </c>
      <c r="L346" s="2">
        <v>2.4079999999999999</v>
      </c>
      <c r="M346" s="2">
        <v>2.6110000000000002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</row>
    <row r="347" spans="1:51" x14ac:dyDescent="0.2">
      <c r="A347" s="4">
        <v>2006</v>
      </c>
      <c r="B347" s="2">
        <v>3.5000000000000003E-2</v>
      </c>
      <c r="C347" s="2">
        <v>0.14499999999999999</v>
      </c>
      <c r="D347" s="2">
        <v>0.33600000000000002</v>
      </c>
      <c r="E347" s="2">
        <v>0.59199999999999997</v>
      </c>
      <c r="F347" s="2">
        <v>0.89300000000000002</v>
      </c>
      <c r="G347" s="2">
        <v>1.218</v>
      </c>
      <c r="H347" s="2">
        <v>1.55</v>
      </c>
      <c r="I347" s="2">
        <v>1.877</v>
      </c>
      <c r="J347" s="2">
        <v>2.1890000000000001</v>
      </c>
      <c r="K347" s="2">
        <v>2.4809999999999999</v>
      </c>
      <c r="L347" s="2">
        <v>2.75</v>
      </c>
      <c r="M347" s="2">
        <v>2.9940000000000002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</row>
    <row r="348" spans="1:51" x14ac:dyDescent="0.2">
      <c r="A348" s="4">
        <v>2007</v>
      </c>
      <c r="B348" s="2">
        <v>3.3000000000000002E-2</v>
      </c>
      <c r="C348" s="2">
        <v>0.13900000000000001</v>
      </c>
      <c r="D348" s="2">
        <v>0.32400000000000001</v>
      </c>
      <c r="E348" s="2">
        <v>0.57199999999999995</v>
      </c>
      <c r="F348" s="2">
        <v>0.86399999999999999</v>
      </c>
      <c r="G348" s="2">
        <v>1.18</v>
      </c>
      <c r="H348" s="2">
        <v>1.504</v>
      </c>
      <c r="I348" s="2">
        <v>1.8220000000000001</v>
      </c>
      <c r="J348" s="2">
        <v>2.1269999999999998</v>
      </c>
      <c r="K348" s="2">
        <v>2.4119999999999999</v>
      </c>
      <c r="L348" s="2">
        <v>2.6739999999999999</v>
      </c>
      <c r="M348" s="2">
        <v>2.9119999999999999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</row>
    <row r="349" spans="1:51" x14ac:dyDescent="0.2">
      <c r="A349" s="4">
        <v>2008</v>
      </c>
      <c r="B349" s="2">
        <v>3.5999999999999997E-2</v>
      </c>
      <c r="C349" s="2">
        <v>0.14499999999999999</v>
      </c>
      <c r="D349" s="2">
        <v>0.33</v>
      </c>
      <c r="E349" s="2">
        <v>0.57599999999999996</v>
      </c>
      <c r="F349" s="2">
        <v>0.86099999999999999</v>
      </c>
      <c r="G349" s="2">
        <v>1.167</v>
      </c>
      <c r="H349" s="2">
        <v>1.478</v>
      </c>
      <c r="I349" s="2">
        <v>1.7829999999999999</v>
      </c>
      <c r="J349" s="2">
        <v>2.0739999999999998</v>
      </c>
      <c r="K349" s="2">
        <v>2.3439999999999999</v>
      </c>
      <c r="L349" s="2">
        <v>2.593</v>
      </c>
      <c r="M349" s="2">
        <v>2.8170000000000002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</row>
    <row r="350" spans="1:51" x14ac:dyDescent="0.2">
      <c r="A350" s="4">
        <v>2009</v>
      </c>
      <c r="B350" s="2">
        <v>0.04</v>
      </c>
      <c r="C350" s="2">
        <v>0.154</v>
      </c>
      <c r="D350" s="2">
        <v>0.34100000000000003</v>
      </c>
      <c r="E350" s="2">
        <v>0.58399999999999996</v>
      </c>
      <c r="F350" s="2">
        <v>0.86199999999999999</v>
      </c>
      <c r="G350" s="2">
        <v>1.157</v>
      </c>
      <c r="H350" s="2">
        <v>1.454</v>
      </c>
      <c r="I350" s="2">
        <v>1.7430000000000001</v>
      </c>
      <c r="J350" s="2">
        <v>2.0169999999999999</v>
      </c>
      <c r="K350" s="2">
        <v>2.2719999999999998</v>
      </c>
      <c r="L350" s="2">
        <v>2.504</v>
      </c>
      <c r="M350" s="2">
        <v>2.714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</row>
    <row r="351" spans="1:51" x14ac:dyDescent="0.2">
      <c r="A351" s="4">
        <v>2010</v>
      </c>
      <c r="B351" s="2">
        <v>3.7999999999999999E-2</v>
      </c>
      <c r="C351" s="2">
        <v>0.14899999999999999</v>
      </c>
      <c r="D351" s="2">
        <v>0.33300000000000002</v>
      </c>
      <c r="E351" s="2">
        <v>0.57399999999999995</v>
      </c>
      <c r="F351" s="2">
        <v>0.85199999999999998</v>
      </c>
      <c r="G351" s="2">
        <v>1.1479999999999999</v>
      </c>
      <c r="H351" s="2">
        <v>1.4470000000000001</v>
      </c>
      <c r="I351" s="2">
        <v>1.74</v>
      </c>
      <c r="J351" s="2">
        <v>2.0169999999999999</v>
      </c>
      <c r="K351" s="2">
        <v>2.2749999999999999</v>
      </c>
      <c r="L351" s="2">
        <v>2.5110000000000001</v>
      </c>
      <c r="M351" s="2">
        <v>2.7240000000000002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</row>
    <row r="352" spans="1:51" x14ac:dyDescent="0.2">
      <c r="A352" s="4">
        <v>2011</v>
      </c>
      <c r="B352" s="2">
        <v>3.6999999999999998E-2</v>
      </c>
      <c r="C352" s="2">
        <v>0.15</v>
      </c>
      <c r="D352" s="2">
        <v>0.34100000000000003</v>
      </c>
      <c r="E352" s="2">
        <v>0.59499999999999997</v>
      </c>
      <c r="F352" s="2">
        <v>0.89</v>
      </c>
      <c r="G352" s="2">
        <v>1.206</v>
      </c>
      <c r="H352" s="2">
        <v>1.5269999999999999</v>
      </c>
      <c r="I352" s="2">
        <v>1.8420000000000001</v>
      </c>
      <c r="J352" s="2">
        <v>2.1419999999999999</v>
      </c>
      <c r="K352" s="2">
        <v>2.4220000000000002</v>
      </c>
      <c r="L352" s="2">
        <v>2.6779999999999999</v>
      </c>
      <c r="M352" s="2">
        <v>2.911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</row>
    <row r="353" spans="1:51" x14ac:dyDescent="0.2">
      <c r="A353" s="4">
        <v>2012</v>
      </c>
      <c r="B353" s="2">
        <v>3.7999999999999999E-2</v>
      </c>
      <c r="C353" s="2">
        <v>0.152</v>
      </c>
      <c r="D353" s="2">
        <v>0.34699999999999998</v>
      </c>
      <c r="E353" s="2">
        <v>0.60599999999999998</v>
      </c>
      <c r="F353" s="2">
        <v>0.90700000000000003</v>
      </c>
      <c r="G353" s="2">
        <v>1.23</v>
      </c>
      <c r="H353" s="2">
        <v>1.5580000000000001</v>
      </c>
      <c r="I353" s="2">
        <v>1.88</v>
      </c>
      <c r="J353" s="2">
        <v>2.1869999999999998</v>
      </c>
      <c r="K353" s="2">
        <v>2.4729999999999999</v>
      </c>
      <c r="L353" s="2">
        <v>2.7349999999999999</v>
      </c>
      <c r="M353" s="2">
        <v>2.9729999999999999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</row>
    <row r="354" spans="1:51" x14ac:dyDescent="0.2">
      <c r="A354" s="4">
        <v>2013</v>
      </c>
      <c r="B354" s="2">
        <v>3.7999999999999999E-2</v>
      </c>
      <c r="C354" s="2">
        <v>0.14899999999999999</v>
      </c>
      <c r="D354" s="2">
        <v>0.33500000000000002</v>
      </c>
      <c r="E354" s="2">
        <v>0.57899999999999996</v>
      </c>
      <c r="F354" s="2">
        <v>0.86099999999999999</v>
      </c>
      <c r="G354" s="2">
        <v>1.161</v>
      </c>
      <c r="H354" s="2">
        <v>1.4650000000000001</v>
      </c>
      <c r="I354" s="2">
        <v>1.762</v>
      </c>
      <c r="J354" s="2">
        <v>2.044</v>
      </c>
      <c r="K354" s="2">
        <v>2.306</v>
      </c>
      <c r="L354" s="2">
        <v>2.5459999999999998</v>
      </c>
      <c r="M354" s="2">
        <v>2.7629999999999999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</row>
    <row r="355" spans="1:51" x14ac:dyDescent="0.2">
      <c r="A355" s="4">
        <v>2014</v>
      </c>
      <c r="B355" s="2">
        <v>3.5999999999999997E-2</v>
      </c>
      <c r="C355" s="2">
        <v>0.14599999999999999</v>
      </c>
      <c r="D355" s="2">
        <v>0.33400000000000002</v>
      </c>
      <c r="E355" s="2">
        <v>0.58499999999999996</v>
      </c>
      <c r="F355" s="2">
        <v>0.876</v>
      </c>
      <c r="G355" s="2">
        <v>1.19</v>
      </c>
      <c r="H355" s="2">
        <v>1.51</v>
      </c>
      <c r="I355" s="2">
        <v>1.823</v>
      </c>
      <c r="J355" s="2">
        <v>2.1219999999999999</v>
      </c>
      <c r="K355" s="2">
        <v>2.4</v>
      </c>
      <c r="L355" s="2">
        <v>2.6560000000000001</v>
      </c>
      <c r="M355" s="2">
        <v>2.8879999999999999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</row>
    <row r="356" spans="1:51" x14ac:dyDescent="0.2">
      <c r="A356" s="4">
        <v>2015</v>
      </c>
      <c r="B356" s="2">
        <v>3.7999999999999999E-2</v>
      </c>
      <c r="C356" s="2">
        <v>0.15</v>
      </c>
      <c r="D356" s="2">
        <v>0.33700000000000002</v>
      </c>
      <c r="E356" s="2">
        <v>0.58199999999999996</v>
      </c>
      <c r="F356" s="2">
        <v>0.86499999999999999</v>
      </c>
      <c r="G356" s="2">
        <v>1.167</v>
      </c>
      <c r="H356" s="2">
        <v>1.474</v>
      </c>
      <c r="I356" s="2">
        <v>1.7729999999999999</v>
      </c>
      <c r="J356" s="2">
        <v>2.0569999999999999</v>
      </c>
      <c r="K356" s="2">
        <v>2.3210000000000002</v>
      </c>
      <c r="L356" s="2">
        <v>2.5630000000000002</v>
      </c>
      <c r="M356" s="2">
        <v>2.782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</row>
    <row r="357" spans="1:51" x14ac:dyDescent="0.2">
      <c r="A357" s="4">
        <v>2016</v>
      </c>
      <c r="B357" s="2">
        <v>3.9E-2</v>
      </c>
      <c r="C357" s="2">
        <v>0.15</v>
      </c>
      <c r="D357" s="2">
        <v>0.33200000000000002</v>
      </c>
      <c r="E357" s="2">
        <v>0.56699999999999995</v>
      </c>
      <c r="F357" s="2">
        <v>0.83699999999999997</v>
      </c>
      <c r="G357" s="2">
        <v>1.123</v>
      </c>
      <c r="H357" s="2">
        <v>1.411</v>
      </c>
      <c r="I357" s="2">
        <v>1.6910000000000001</v>
      </c>
      <c r="J357" s="2">
        <v>1.956</v>
      </c>
      <c r="K357" s="2">
        <v>2.2029999999999998</v>
      </c>
      <c r="L357" s="2">
        <v>2.4279999999999999</v>
      </c>
      <c r="M357" s="2">
        <v>2.6309999999999998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</row>
    <row r="358" spans="1:51" x14ac:dyDescent="0.2">
      <c r="A358" s="4">
        <v>2017</v>
      </c>
      <c r="B358" s="2">
        <v>3.1E-2</v>
      </c>
      <c r="C358" s="2">
        <v>0.14299999999999999</v>
      </c>
      <c r="D358" s="2">
        <v>0.35099999999999998</v>
      </c>
      <c r="E358" s="2">
        <v>0.64400000000000002</v>
      </c>
      <c r="F358" s="2">
        <v>1</v>
      </c>
      <c r="G358" s="2">
        <v>1.395</v>
      </c>
      <c r="H358" s="2">
        <v>1.806</v>
      </c>
      <c r="I358" s="2">
        <v>2.2170000000000001</v>
      </c>
      <c r="J358" s="2">
        <v>2.6139999999999999</v>
      </c>
      <c r="K358" s="2">
        <v>2.99</v>
      </c>
      <c r="L358" s="2">
        <v>3.3370000000000002</v>
      </c>
      <c r="M358" s="2">
        <v>3.6549999999999998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</row>
    <row r="359" spans="1:51" x14ac:dyDescent="0.2">
      <c r="A359" s="4">
        <v>2018</v>
      </c>
      <c r="B359" s="2">
        <v>3.2000000000000001E-2</v>
      </c>
      <c r="C359" s="2">
        <v>0.14499999999999999</v>
      </c>
      <c r="D359" s="2">
        <v>0.34899999999999998</v>
      </c>
      <c r="E359" s="2">
        <v>0.63200000000000001</v>
      </c>
      <c r="F359" s="2">
        <v>0.97099999999999997</v>
      </c>
      <c r="G359" s="2">
        <v>1.3440000000000001</v>
      </c>
      <c r="H359" s="2">
        <v>1.7310000000000001</v>
      </c>
      <c r="I359" s="2">
        <v>2.1150000000000002</v>
      </c>
      <c r="J359" s="2">
        <v>2.4849999999999999</v>
      </c>
      <c r="K359" s="2">
        <v>2.8340000000000001</v>
      </c>
      <c r="L359" s="2">
        <v>3.1560000000000001</v>
      </c>
      <c r="M359" s="2">
        <v>3.4489999999999998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</row>
    <row r="360" spans="1:51" x14ac:dyDescent="0.2">
      <c r="A360" s="4">
        <v>2019</v>
      </c>
      <c r="B360" s="2">
        <v>3.2000000000000001E-2</v>
      </c>
      <c r="C360" s="2">
        <v>0.14499999999999999</v>
      </c>
      <c r="D360" s="2">
        <v>0.34899999999999998</v>
      </c>
      <c r="E360" s="2">
        <v>0.63200000000000001</v>
      </c>
      <c r="F360" s="2">
        <v>0.97099999999999997</v>
      </c>
      <c r="G360" s="2">
        <v>1.3440000000000001</v>
      </c>
      <c r="H360" s="2">
        <v>1.7310000000000001</v>
      </c>
      <c r="I360" s="2">
        <v>2.1150000000000002</v>
      </c>
      <c r="J360" s="2">
        <v>2.4849999999999999</v>
      </c>
      <c r="K360" s="2">
        <v>2.8340000000000001</v>
      </c>
      <c r="L360" s="2">
        <v>3.1560000000000001</v>
      </c>
      <c r="M360" s="2">
        <v>3.4489999999999998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</row>
    <row r="361" spans="1:51" x14ac:dyDescent="0.2">
      <c r="A361" s="4" t="s">
        <v>32</v>
      </c>
      <c r="B361" s="2">
        <v>3.2000000000000001E-2</v>
      </c>
      <c r="C361" s="2">
        <v>0.14499999999999999</v>
      </c>
      <c r="D361" s="2">
        <v>0.34899999999999998</v>
      </c>
      <c r="E361" s="2">
        <v>0.63200000000000001</v>
      </c>
      <c r="F361" s="2">
        <v>0.97099999999999997</v>
      </c>
      <c r="G361" s="2">
        <v>1.3440000000000001</v>
      </c>
      <c r="H361" s="2">
        <v>1.7310000000000001</v>
      </c>
      <c r="I361" s="2">
        <v>2.1150000000000002</v>
      </c>
      <c r="J361" s="2">
        <v>2.4849999999999999</v>
      </c>
      <c r="K361" s="2">
        <v>2.8340000000000001</v>
      </c>
      <c r="L361" s="2">
        <v>3.1560000000000001</v>
      </c>
      <c r="M361" s="2">
        <v>3.4489999999999998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</row>
    <row r="362" spans="1:51" x14ac:dyDescent="0.2">
      <c r="A362" s="4">
        <v>1971</v>
      </c>
      <c r="B362" s="2">
        <v>3.32E-2</v>
      </c>
      <c r="C362" s="2">
        <v>0.14560000000000001</v>
      </c>
      <c r="D362" s="2">
        <v>0.34599999999999997</v>
      </c>
      <c r="E362" s="2">
        <v>0.62139999999999995</v>
      </c>
      <c r="F362" s="2">
        <v>0.95</v>
      </c>
      <c r="G362" s="2">
        <v>1.31</v>
      </c>
      <c r="H362" s="2">
        <v>1.6819999999999999</v>
      </c>
      <c r="I362" s="2">
        <v>2.0506000000000002</v>
      </c>
      <c r="J362" s="2">
        <v>2.4049999999999998</v>
      </c>
      <c r="K362" s="2">
        <v>2.7389999999999999</v>
      </c>
      <c r="L362" s="2">
        <v>3.0466000000000002</v>
      </c>
      <c r="M362" s="2">
        <v>3.3266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</row>
    <row r="363" spans="1:51" x14ac:dyDescent="0.2">
      <c r="A363" s="4">
        <v>1972</v>
      </c>
      <c r="B363" s="2">
        <v>3.32E-2</v>
      </c>
      <c r="C363" s="2">
        <v>0.14560000000000001</v>
      </c>
      <c r="D363" s="2">
        <v>0.34599999999999997</v>
      </c>
      <c r="E363" s="2">
        <v>0.62139999999999995</v>
      </c>
      <c r="F363" s="2">
        <v>0.95</v>
      </c>
      <c r="G363" s="2">
        <v>1.31</v>
      </c>
      <c r="H363" s="2">
        <v>1.6819999999999999</v>
      </c>
      <c r="I363" s="2">
        <v>2.0506000000000002</v>
      </c>
      <c r="J363" s="2">
        <v>2.4049999999999998</v>
      </c>
      <c r="K363" s="2">
        <v>2.7389999999999999</v>
      </c>
      <c r="L363" s="2">
        <v>3.0466000000000002</v>
      </c>
      <c r="M363" s="2">
        <v>3.3266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</row>
    <row r="364" spans="1:51" x14ac:dyDescent="0.2">
      <c r="A364" s="4">
        <v>1973</v>
      </c>
      <c r="B364" s="2">
        <v>3.32E-2</v>
      </c>
      <c r="C364" s="2">
        <v>0.14560000000000001</v>
      </c>
      <c r="D364" s="2">
        <v>0.34599999999999997</v>
      </c>
      <c r="E364" s="2">
        <v>0.62139999999999995</v>
      </c>
      <c r="F364" s="2">
        <v>0.95</v>
      </c>
      <c r="G364" s="2">
        <v>1.31</v>
      </c>
      <c r="H364" s="2">
        <v>1.6819999999999999</v>
      </c>
      <c r="I364" s="2">
        <v>2.0506000000000002</v>
      </c>
      <c r="J364" s="2">
        <v>2.4049999999999998</v>
      </c>
      <c r="K364" s="2">
        <v>2.7389999999999999</v>
      </c>
      <c r="L364" s="2">
        <v>3.0466000000000002</v>
      </c>
      <c r="M364" s="2">
        <v>3.3266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</row>
    <row r="365" spans="1:51" x14ac:dyDescent="0.2">
      <c r="A365" s="4">
        <v>1974</v>
      </c>
      <c r="B365" s="2">
        <v>3.32E-2</v>
      </c>
      <c r="C365" s="2">
        <v>0.14560000000000001</v>
      </c>
      <c r="D365" s="2">
        <v>0.34599999999999997</v>
      </c>
      <c r="E365" s="2">
        <v>0.62139999999999995</v>
      </c>
      <c r="F365" s="2">
        <v>0.95</v>
      </c>
      <c r="G365" s="2">
        <v>1.31</v>
      </c>
      <c r="H365" s="2">
        <v>1.6819999999999999</v>
      </c>
      <c r="I365" s="2">
        <v>2.0506000000000002</v>
      </c>
      <c r="J365" s="2">
        <v>2.4049999999999998</v>
      </c>
      <c r="K365" s="2">
        <v>2.7389999999999999</v>
      </c>
      <c r="L365" s="2">
        <v>3.0466000000000002</v>
      </c>
      <c r="M365" s="2">
        <v>3.3266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</row>
    <row r="366" spans="1:51" x14ac:dyDescent="0.2">
      <c r="A366" s="4">
        <v>1975</v>
      </c>
      <c r="B366" s="2">
        <v>3.32E-2</v>
      </c>
      <c r="C366" s="2">
        <v>0.14560000000000001</v>
      </c>
      <c r="D366" s="2">
        <v>0.34599999999999997</v>
      </c>
      <c r="E366" s="2">
        <v>0.62139999999999995</v>
      </c>
      <c r="F366" s="2">
        <v>0.95</v>
      </c>
      <c r="G366" s="2">
        <v>1.31</v>
      </c>
      <c r="H366" s="2">
        <v>1.6819999999999999</v>
      </c>
      <c r="I366" s="2">
        <v>2.0506000000000002</v>
      </c>
      <c r="J366" s="2">
        <v>2.4049999999999998</v>
      </c>
      <c r="K366" s="2">
        <v>2.7389999999999999</v>
      </c>
      <c r="L366" s="2">
        <v>3.0466000000000002</v>
      </c>
      <c r="M366" s="2">
        <v>3.3266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</row>
    <row r="367" spans="1:51" x14ac:dyDescent="0.2">
      <c r="A367" s="4">
        <v>1976</v>
      </c>
      <c r="B367" s="2">
        <v>3.32E-2</v>
      </c>
      <c r="C367" s="2">
        <v>0.14560000000000001</v>
      </c>
      <c r="D367" s="2">
        <v>0.34599999999999997</v>
      </c>
      <c r="E367" s="2">
        <v>0.62139999999999995</v>
      </c>
      <c r="F367" s="2">
        <v>0.95</v>
      </c>
      <c r="G367" s="2">
        <v>1.31</v>
      </c>
      <c r="H367" s="2">
        <v>1.6819999999999999</v>
      </c>
      <c r="I367" s="2">
        <v>2.0506000000000002</v>
      </c>
      <c r="J367" s="2">
        <v>2.4049999999999998</v>
      </c>
      <c r="K367" s="2">
        <v>2.7389999999999999</v>
      </c>
      <c r="L367" s="2">
        <v>3.0466000000000002</v>
      </c>
      <c r="M367" s="2">
        <v>3.3266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</row>
    <row r="368" spans="1:51" x14ac:dyDescent="0.2">
      <c r="A368" s="4">
        <v>1977</v>
      </c>
      <c r="B368" s="2">
        <v>5.1999999999999998E-2</v>
      </c>
      <c r="C368" s="2">
        <v>9.2999999999999999E-2</v>
      </c>
      <c r="D368" s="2">
        <v>0.13100000000000001</v>
      </c>
      <c r="E368" s="2">
        <v>0.17799999999999999</v>
      </c>
      <c r="F368" s="2">
        <v>0.26200000000000001</v>
      </c>
      <c r="G368" s="2">
        <v>0.29399999999999998</v>
      </c>
      <c r="H368" s="2">
        <v>0.34</v>
      </c>
      <c r="I368" s="2">
        <v>0.39600000000000002</v>
      </c>
      <c r="J368" s="2">
        <v>0.54900000000000004</v>
      </c>
      <c r="K368" s="2">
        <v>0.73799999999999999</v>
      </c>
      <c r="L368" s="2">
        <v>0.98399999999999999</v>
      </c>
      <c r="M368" s="2">
        <v>1.093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</row>
    <row r="369" spans="1:51" x14ac:dyDescent="0.2">
      <c r="A369" s="4">
        <v>1978</v>
      </c>
      <c r="B369" s="2">
        <v>5.1999999999999998E-2</v>
      </c>
      <c r="C369" s="2">
        <v>9.2999999999999999E-2</v>
      </c>
      <c r="D369" s="2">
        <v>0.13100000000000001</v>
      </c>
      <c r="E369" s="2">
        <v>0.17799999999999999</v>
      </c>
      <c r="F369" s="2">
        <v>0.26200000000000001</v>
      </c>
      <c r="G369" s="2">
        <v>0.29399999999999998</v>
      </c>
      <c r="H369" s="2">
        <v>0.34</v>
      </c>
      <c r="I369" s="2">
        <v>0.39600000000000002</v>
      </c>
      <c r="J369" s="2">
        <v>0.54900000000000004</v>
      </c>
      <c r="K369" s="2">
        <v>0.73799999999999999</v>
      </c>
      <c r="L369" s="2">
        <v>0.98399999999999999</v>
      </c>
      <c r="M369" s="2">
        <v>1.093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</row>
    <row r="370" spans="1:51" x14ac:dyDescent="0.2">
      <c r="A370" s="4">
        <v>1979</v>
      </c>
      <c r="B370" s="2">
        <v>5.1999999999999998E-2</v>
      </c>
      <c r="C370" s="2">
        <v>9.2999999999999999E-2</v>
      </c>
      <c r="D370" s="2">
        <v>0.13100000000000001</v>
      </c>
      <c r="E370" s="2">
        <v>0.17799999999999999</v>
      </c>
      <c r="F370" s="2">
        <v>0.26200000000000001</v>
      </c>
      <c r="G370" s="2">
        <v>0.29399999999999998</v>
      </c>
      <c r="H370" s="2">
        <v>0.34</v>
      </c>
      <c r="I370" s="2">
        <v>0.39600000000000002</v>
      </c>
      <c r="J370" s="2">
        <v>0.54900000000000004</v>
      </c>
      <c r="K370" s="2">
        <v>0.73799999999999999</v>
      </c>
      <c r="L370" s="2">
        <v>0.98399999999999999</v>
      </c>
      <c r="M370" s="2">
        <v>1.093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</row>
    <row r="371" spans="1:51" x14ac:dyDescent="0.2">
      <c r="A371" s="4">
        <v>1980</v>
      </c>
      <c r="B371" s="2">
        <v>5.1999999999999998E-2</v>
      </c>
      <c r="C371" s="2">
        <v>9.2999999999999999E-2</v>
      </c>
      <c r="D371" s="2">
        <v>0.13100000000000001</v>
      </c>
      <c r="E371" s="2">
        <v>0.17799999999999999</v>
      </c>
      <c r="F371" s="2">
        <v>0.26200000000000001</v>
      </c>
      <c r="G371" s="2">
        <v>0.29399999999999998</v>
      </c>
      <c r="H371" s="2">
        <v>0.34</v>
      </c>
      <c r="I371" s="2">
        <v>0.39600000000000002</v>
      </c>
      <c r="J371" s="2">
        <v>0.54900000000000004</v>
      </c>
      <c r="K371" s="2">
        <v>0.73799999999999999</v>
      </c>
      <c r="L371" s="2">
        <v>0.98399999999999999</v>
      </c>
      <c r="M371" s="2">
        <v>1.093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</row>
    <row r="372" spans="1:51" x14ac:dyDescent="0.2">
      <c r="A372" s="4">
        <v>1981</v>
      </c>
      <c r="B372" s="2">
        <v>5.1999999999999998E-2</v>
      </c>
      <c r="C372" s="2">
        <v>9.2999999999999999E-2</v>
      </c>
      <c r="D372" s="2">
        <v>0.13100000000000001</v>
      </c>
      <c r="E372" s="2">
        <v>0.17799999999999999</v>
      </c>
      <c r="F372" s="2">
        <v>0.26200000000000001</v>
      </c>
      <c r="G372" s="2">
        <v>0.29399999999999998</v>
      </c>
      <c r="H372" s="2">
        <v>0.34</v>
      </c>
      <c r="I372" s="2">
        <v>0.39600000000000002</v>
      </c>
      <c r="J372" s="2">
        <v>0.54900000000000004</v>
      </c>
      <c r="K372" s="2">
        <v>0.73799999999999999</v>
      </c>
      <c r="L372" s="2">
        <v>0.98399999999999999</v>
      </c>
      <c r="M372" s="2">
        <v>1.093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</row>
    <row r="373" spans="1:51" x14ac:dyDescent="0.2">
      <c r="A373" s="4">
        <v>1982</v>
      </c>
      <c r="B373" s="2">
        <v>5.1999999999999998E-2</v>
      </c>
      <c r="C373" s="2">
        <v>9.2999999999999999E-2</v>
      </c>
      <c r="D373" s="2">
        <v>0.13100000000000001</v>
      </c>
      <c r="E373" s="2">
        <v>0.17799999999999999</v>
      </c>
      <c r="F373" s="2">
        <v>0.26200000000000001</v>
      </c>
      <c r="G373" s="2">
        <v>0.29399999999999998</v>
      </c>
      <c r="H373" s="2">
        <v>0.34</v>
      </c>
      <c r="I373" s="2">
        <v>0.39600000000000002</v>
      </c>
      <c r="J373" s="2">
        <v>0.54900000000000004</v>
      </c>
      <c r="K373" s="2">
        <v>0.73799999999999999</v>
      </c>
      <c r="L373" s="2">
        <v>0.98399999999999999</v>
      </c>
      <c r="M373" s="2">
        <v>1.093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</row>
    <row r="374" spans="1:51" x14ac:dyDescent="0.2">
      <c r="A374" s="4">
        <v>1983</v>
      </c>
      <c r="B374" s="2">
        <v>5.1999999999999998E-2</v>
      </c>
      <c r="C374" s="2">
        <v>7.8E-2</v>
      </c>
      <c r="D374" s="2">
        <v>0.155</v>
      </c>
      <c r="E374" s="2">
        <v>0.214</v>
      </c>
      <c r="F374" s="2">
        <v>0.27500000000000002</v>
      </c>
      <c r="G374" s="2">
        <v>0.33600000000000002</v>
      </c>
      <c r="H374" s="2">
        <v>0.39400000000000002</v>
      </c>
      <c r="I374" s="2">
        <v>0.47199999999999998</v>
      </c>
      <c r="J374" s="2">
        <v>0.63200000000000001</v>
      </c>
      <c r="K374" s="2">
        <v>0.71399999999999997</v>
      </c>
      <c r="L374" s="2">
        <v>0.89800000000000002</v>
      </c>
      <c r="M374" s="2">
        <v>1.538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</row>
    <row r="375" spans="1:51" x14ac:dyDescent="0.2">
      <c r="A375" s="4">
        <v>1984</v>
      </c>
      <c r="B375" s="2">
        <v>5.5E-2</v>
      </c>
      <c r="C375" s="2">
        <v>9.1999999999999998E-2</v>
      </c>
      <c r="D375" s="2">
        <v>0.109</v>
      </c>
      <c r="E375" s="2">
        <v>0.23599999999999999</v>
      </c>
      <c r="F375" s="2">
        <v>0.27500000000000002</v>
      </c>
      <c r="G375" s="2">
        <v>0.314</v>
      </c>
      <c r="H375" s="2">
        <v>0.375</v>
      </c>
      <c r="I375" s="2">
        <v>0.45600000000000002</v>
      </c>
      <c r="J375" s="2">
        <v>0.52100000000000002</v>
      </c>
      <c r="K375" s="2">
        <v>0.73199999999999998</v>
      </c>
      <c r="L375" s="2">
        <v>0.65100000000000002</v>
      </c>
      <c r="M375" s="2">
        <v>1.137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</row>
    <row r="376" spans="1:51" x14ac:dyDescent="0.2">
      <c r="A376" s="4">
        <v>1985</v>
      </c>
      <c r="B376" s="2">
        <v>5.1999999999999998E-2</v>
      </c>
      <c r="C376" s="2">
        <v>8.4000000000000005E-2</v>
      </c>
      <c r="D376" s="2">
        <v>0.104</v>
      </c>
      <c r="E376" s="2">
        <v>0.14699999999999999</v>
      </c>
      <c r="F376" s="2">
        <v>0.21099999999999999</v>
      </c>
      <c r="G376" s="2">
        <v>0.32700000000000001</v>
      </c>
      <c r="H376" s="2">
        <v>0.39400000000000002</v>
      </c>
      <c r="I376" s="2">
        <v>0.44900000000000001</v>
      </c>
      <c r="J376" s="2">
        <v>0.51400000000000001</v>
      </c>
      <c r="K376" s="2">
        <v>0.58299999999999996</v>
      </c>
      <c r="L376" s="2">
        <v>0.63100000000000001</v>
      </c>
      <c r="M376" s="2">
        <v>1.538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</row>
    <row r="377" spans="1:51" x14ac:dyDescent="0.2">
      <c r="A377" s="4">
        <v>1986</v>
      </c>
      <c r="B377" s="2">
        <v>5.1999999999999998E-2</v>
      </c>
      <c r="C377" s="2">
        <v>0.108</v>
      </c>
      <c r="D377" s="2">
        <v>0.16</v>
      </c>
      <c r="E377" s="2">
        <v>0.19900000000000001</v>
      </c>
      <c r="F377" s="2">
        <v>0.24099999999999999</v>
      </c>
      <c r="G377" s="2">
        <v>0.30099999999999999</v>
      </c>
      <c r="H377" s="2">
        <v>0.38800000000000001</v>
      </c>
      <c r="I377" s="2">
        <v>0.46600000000000003</v>
      </c>
      <c r="J377" s="2">
        <v>0.58799999999999997</v>
      </c>
      <c r="K377" s="2">
        <v>0.871</v>
      </c>
      <c r="L377" s="2">
        <v>1.2649999999999999</v>
      </c>
      <c r="M377" s="2">
        <v>1.972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</row>
    <row r="378" spans="1:51" x14ac:dyDescent="0.2">
      <c r="A378" s="4">
        <v>1987</v>
      </c>
      <c r="B378" s="2">
        <v>2.5999999999999999E-2</v>
      </c>
      <c r="C378" s="2">
        <v>0.06</v>
      </c>
      <c r="D378" s="2">
        <v>0.13200000000000001</v>
      </c>
      <c r="E378" s="2">
        <v>0.23100000000000001</v>
      </c>
      <c r="F378" s="2">
        <v>0.27200000000000002</v>
      </c>
      <c r="G378" s="2">
        <v>0.35</v>
      </c>
      <c r="H378" s="2">
        <v>0.44700000000000001</v>
      </c>
      <c r="I378" s="2">
        <v>0.51900000000000002</v>
      </c>
      <c r="J378" s="2">
        <v>0.71599999999999997</v>
      </c>
      <c r="K378" s="2">
        <v>0.82</v>
      </c>
      <c r="L378" s="2">
        <v>1.073</v>
      </c>
      <c r="M378" s="2">
        <v>1.8540000000000001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</row>
    <row r="379" spans="1:51" x14ac:dyDescent="0.2">
      <c r="A379" s="4">
        <v>1988</v>
      </c>
      <c r="B379" s="2">
        <v>5.1999999999999998E-2</v>
      </c>
      <c r="C379" s="2">
        <v>9.5000000000000001E-2</v>
      </c>
      <c r="D379" s="2">
        <v>0.14899999999999999</v>
      </c>
      <c r="E379" s="2">
        <v>0.24199999999999999</v>
      </c>
      <c r="F379" s="2">
        <v>0.29399999999999998</v>
      </c>
      <c r="G379" s="2">
        <v>0.34</v>
      </c>
      <c r="H379" s="2">
        <v>0.40699999999999997</v>
      </c>
      <c r="I379" s="2">
        <v>0.503</v>
      </c>
      <c r="J379" s="2">
        <v>0.63700000000000001</v>
      </c>
      <c r="K379" s="2">
        <v>0.76500000000000001</v>
      </c>
      <c r="L379" s="2">
        <v>1.1839999999999999</v>
      </c>
      <c r="M379" s="2">
        <v>1.9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</row>
    <row r="380" spans="1:51" x14ac:dyDescent="0.2">
      <c r="A380" s="4">
        <v>1989</v>
      </c>
      <c r="B380" s="2">
        <v>5.5E-2</v>
      </c>
      <c r="C380" s="2">
        <v>8.5000000000000006E-2</v>
      </c>
      <c r="D380" s="2">
        <v>0.16600000000000001</v>
      </c>
      <c r="E380" s="2">
        <v>0.20699999999999999</v>
      </c>
      <c r="F380" s="2">
        <v>0.26900000000000002</v>
      </c>
      <c r="G380" s="2">
        <v>0.32300000000000001</v>
      </c>
      <c r="H380" s="2">
        <v>0.378</v>
      </c>
      <c r="I380" s="2">
        <v>0.47199999999999998</v>
      </c>
      <c r="J380" s="2">
        <v>0.53600000000000003</v>
      </c>
      <c r="K380" s="2">
        <v>0.64400000000000002</v>
      </c>
      <c r="L380" s="2">
        <v>0.98699999999999999</v>
      </c>
      <c r="M380" s="2">
        <v>1.1850000000000001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</row>
    <row r="381" spans="1:51" x14ac:dyDescent="0.2">
      <c r="A381" s="4">
        <v>1990</v>
      </c>
      <c r="B381" s="2">
        <v>7.0000000000000007E-2</v>
      </c>
      <c r="C381" s="2">
        <v>9.9000000000000005E-2</v>
      </c>
      <c r="D381" s="2">
        <v>0.122</v>
      </c>
      <c r="E381" s="2">
        <v>0.23</v>
      </c>
      <c r="F381" s="2">
        <v>0.27300000000000002</v>
      </c>
      <c r="G381" s="2">
        <v>0.32</v>
      </c>
      <c r="H381" s="2">
        <v>0.374</v>
      </c>
      <c r="I381" s="2">
        <v>0.46100000000000002</v>
      </c>
      <c r="J381" s="2">
        <v>0.59599999999999997</v>
      </c>
      <c r="K381" s="2">
        <v>0.70899999999999996</v>
      </c>
      <c r="L381" s="2">
        <v>1.196</v>
      </c>
      <c r="M381" s="2">
        <v>1.7689999999999999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</row>
    <row r="382" spans="1:51" x14ac:dyDescent="0.2">
      <c r="A382" s="4">
        <v>1991</v>
      </c>
      <c r="B382" s="2">
        <v>3.5000000000000003E-2</v>
      </c>
      <c r="C382" s="2">
        <v>0.13500000000000001</v>
      </c>
      <c r="D382" s="2">
        <v>0.154</v>
      </c>
      <c r="E382" s="2">
        <v>0.185</v>
      </c>
      <c r="F382" s="2">
        <v>0.26600000000000001</v>
      </c>
      <c r="G382" s="2">
        <v>0.33</v>
      </c>
      <c r="H382" s="2">
        <v>0.38300000000000001</v>
      </c>
      <c r="I382" s="2">
        <v>0.44900000000000001</v>
      </c>
      <c r="J382" s="2">
        <v>0.57699999999999996</v>
      </c>
      <c r="K382" s="2">
        <v>0.68500000000000005</v>
      </c>
      <c r="L382" s="2">
        <v>1.012</v>
      </c>
      <c r="M382" s="2">
        <v>1.8460000000000001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</row>
    <row r="383" spans="1:51" x14ac:dyDescent="0.2">
      <c r="A383" s="4">
        <v>1992</v>
      </c>
      <c r="B383" s="2">
        <v>5.8000000000000003E-2</v>
      </c>
      <c r="C383" s="2">
        <v>0.14799999999999999</v>
      </c>
      <c r="D383" s="2">
        <v>0.18099999999999999</v>
      </c>
      <c r="E383" s="2">
        <v>0.223</v>
      </c>
      <c r="F383" s="2">
        <v>0.27</v>
      </c>
      <c r="G383" s="2">
        <v>0.33900000000000002</v>
      </c>
      <c r="H383" s="2">
        <v>0.39800000000000002</v>
      </c>
      <c r="I383" s="2">
        <v>0.47299999999999998</v>
      </c>
      <c r="J383" s="2">
        <v>0.57299999999999995</v>
      </c>
      <c r="K383" s="2">
        <v>0.79600000000000004</v>
      </c>
      <c r="L383" s="2">
        <v>1.3759999999999999</v>
      </c>
      <c r="M383" s="2">
        <v>1.647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</row>
    <row r="384" spans="1:51" x14ac:dyDescent="0.2">
      <c r="A384" s="4">
        <v>1993</v>
      </c>
      <c r="B384" s="2">
        <v>7.2999999999999995E-2</v>
      </c>
      <c r="C384" s="2">
        <v>7.4999999999999997E-2</v>
      </c>
      <c r="D384" s="2">
        <v>0.17199999999999999</v>
      </c>
      <c r="E384" s="2">
        <v>0.247</v>
      </c>
      <c r="F384" s="2">
        <v>0.28599999999999998</v>
      </c>
      <c r="G384" s="2">
        <v>0.34599999999999997</v>
      </c>
      <c r="H384" s="2">
        <v>0.42699999999999999</v>
      </c>
      <c r="I384" s="2">
        <v>0.51800000000000002</v>
      </c>
      <c r="J384" s="2">
        <v>0.64</v>
      </c>
      <c r="K384" s="2">
        <v>0.84399999999999997</v>
      </c>
      <c r="L384" s="2">
        <v>1.351</v>
      </c>
      <c r="M384" s="2">
        <v>2.11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</row>
    <row r="385" spans="1:51" x14ac:dyDescent="0.2">
      <c r="A385" s="4">
        <v>1994</v>
      </c>
      <c r="B385" s="2">
        <v>7.5999999999999998E-2</v>
      </c>
      <c r="C385" s="2">
        <v>0.11700000000000001</v>
      </c>
      <c r="D385" s="2">
        <v>0.14000000000000001</v>
      </c>
      <c r="E385" s="2">
        <v>0.191</v>
      </c>
      <c r="F385" s="2">
        <v>0.27</v>
      </c>
      <c r="G385" s="2">
        <v>0.35699999999999998</v>
      </c>
      <c r="H385" s="2">
        <v>0.434</v>
      </c>
      <c r="I385" s="2">
        <v>0.503</v>
      </c>
      <c r="J385" s="2">
        <v>0.57699999999999996</v>
      </c>
      <c r="K385" s="2">
        <v>0.68899999999999995</v>
      </c>
      <c r="L385" s="2">
        <v>1.089</v>
      </c>
      <c r="M385" s="2">
        <v>1.9790000000000001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</row>
    <row r="386" spans="1:51" x14ac:dyDescent="0.2">
      <c r="A386" s="4">
        <v>1995</v>
      </c>
      <c r="B386" s="2">
        <v>0.1</v>
      </c>
      <c r="C386" s="2">
        <v>0.124</v>
      </c>
      <c r="D386" s="2">
        <v>0.159</v>
      </c>
      <c r="E386" s="2">
        <v>0.19700000000000001</v>
      </c>
      <c r="F386" s="2">
        <v>0.23300000000000001</v>
      </c>
      <c r="G386" s="2">
        <v>0.34200000000000003</v>
      </c>
      <c r="H386" s="2">
        <v>0.44400000000000001</v>
      </c>
      <c r="I386" s="2">
        <v>0.51200000000000001</v>
      </c>
      <c r="J386" s="2">
        <v>0.58799999999999997</v>
      </c>
      <c r="K386" s="2">
        <v>0.75</v>
      </c>
      <c r="L386" s="2">
        <v>1.012</v>
      </c>
      <c r="M386" s="2">
        <v>1.3720000000000001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</row>
    <row r="387" spans="1:51" x14ac:dyDescent="0.2">
      <c r="A387" s="4">
        <v>1996</v>
      </c>
      <c r="B387" s="2">
        <v>5.1999999999999998E-2</v>
      </c>
      <c r="C387" s="2">
        <v>0.10299999999999999</v>
      </c>
      <c r="D387" s="2">
        <v>0.22</v>
      </c>
      <c r="E387" s="2">
        <v>0.24099999999999999</v>
      </c>
      <c r="F387" s="2">
        <v>0.27800000000000002</v>
      </c>
      <c r="G387" s="2">
        <v>0.33900000000000002</v>
      </c>
      <c r="H387" s="2">
        <v>0.46700000000000003</v>
      </c>
      <c r="I387" s="2">
        <v>0.58499999999999996</v>
      </c>
      <c r="J387" s="2">
        <v>0.70199999999999996</v>
      </c>
      <c r="K387" s="2">
        <v>0.77900000000000003</v>
      </c>
      <c r="L387" s="2">
        <v>0.88</v>
      </c>
      <c r="M387" s="2">
        <v>1.538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</row>
    <row r="388" spans="1:51" x14ac:dyDescent="0.2">
      <c r="A388" s="4">
        <v>1997</v>
      </c>
      <c r="B388" s="2">
        <v>6.4000000000000001E-2</v>
      </c>
      <c r="C388" s="2">
        <v>9.0999999999999998E-2</v>
      </c>
      <c r="D388" s="2">
        <v>0.153</v>
      </c>
      <c r="E388" s="2">
        <v>0.26400000000000001</v>
      </c>
      <c r="F388" s="2">
        <v>0.309</v>
      </c>
      <c r="G388" s="2">
        <v>0.373</v>
      </c>
      <c r="H388" s="2">
        <v>0.46100000000000002</v>
      </c>
      <c r="I388" s="2">
        <v>0.58199999999999996</v>
      </c>
      <c r="J388" s="2">
        <v>0.69399999999999995</v>
      </c>
      <c r="K388" s="2">
        <v>0.83499999999999996</v>
      </c>
      <c r="L388" s="2">
        <v>0.97</v>
      </c>
      <c r="M388" s="2">
        <v>1.5980000000000001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</row>
    <row r="389" spans="1:51" x14ac:dyDescent="0.2">
      <c r="A389" s="4">
        <v>1998</v>
      </c>
      <c r="B389" s="2">
        <v>3.6999999999999998E-2</v>
      </c>
      <c r="C389" s="2">
        <v>0.106</v>
      </c>
      <c r="D389" s="2">
        <v>0.13200000000000001</v>
      </c>
      <c r="E389" s="2">
        <v>0.186</v>
      </c>
      <c r="F389" s="2">
        <v>0.27100000000000002</v>
      </c>
      <c r="G389" s="2">
        <v>0.38100000000000001</v>
      </c>
      <c r="H389" s="2">
        <v>0.45100000000000001</v>
      </c>
      <c r="I389" s="2">
        <v>0.54200000000000004</v>
      </c>
      <c r="J389" s="2">
        <v>0.66700000000000004</v>
      </c>
      <c r="K389" s="2">
        <v>0.78700000000000003</v>
      </c>
      <c r="L389" s="2">
        <v>0.90100000000000002</v>
      </c>
      <c r="M389" s="2">
        <v>1.0529999999999999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</row>
    <row r="390" spans="1:51" x14ac:dyDescent="0.2">
      <c r="A390" s="4">
        <v>1999</v>
      </c>
      <c r="B390" s="2">
        <v>6.3E-2</v>
      </c>
      <c r="C390" s="2">
        <v>8.3000000000000004E-2</v>
      </c>
      <c r="D390" s="2">
        <v>0.11799999999999999</v>
      </c>
      <c r="E390" s="2">
        <v>0.17699999999999999</v>
      </c>
      <c r="F390" s="2">
        <v>0.23899999999999999</v>
      </c>
      <c r="G390" s="2">
        <v>0.27500000000000002</v>
      </c>
      <c r="H390" s="2">
        <v>0.40899999999999997</v>
      </c>
      <c r="I390" s="2">
        <v>0.52400000000000002</v>
      </c>
      <c r="J390" s="2">
        <v>0.59399999999999997</v>
      </c>
      <c r="K390" s="2">
        <v>0.70899999999999996</v>
      </c>
      <c r="L390" s="2">
        <v>0.85099999999999998</v>
      </c>
      <c r="M390" s="2">
        <v>1.046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</row>
    <row r="391" spans="1:51" x14ac:dyDescent="0.2">
      <c r="A391" s="4">
        <v>2000</v>
      </c>
      <c r="B391" s="2">
        <v>1.0999999999999999E-2</v>
      </c>
      <c r="C391" s="2">
        <v>8.8999999999999996E-2</v>
      </c>
      <c r="D391" s="2">
        <v>0.121</v>
      </c>
      <c r="E391" s="2">
        <v>0.18099999999999999</v>
      </c>
      <c r="F391" s="2">
        <v>0.246</v>
      </c>
      <c r="G391" s="2">
        <v>0.32</v>
      </c>
      <c r="H391" s="2">
        <v>0.40799999999999997</v>
      </c>
      <c r="I391" s="2">
        <v>0.57899999999999996</v>
      </c>
      <c r="J391" s="2">
        <v>0.71899999999999997</v>
      </c>
      <c r="K391" s="2">
        <v>0.85299999999999998</v>
      </c>
      <c r="L391" s="2">
        <v>0.96499999999999997</v>
      </c>
      <c r="M391" s="2">
        <v>1.1739999999999999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</row>
    <row r="392" spans="1:51" x14ac:dyDescent="0.2">
      <c r="A392" s="4">
        <v>2001</v>
      </c>
      <c r="B392" s="2">
        <v>4.1000000000000002E-2</v>
      </c>
      <c r="C392" s="2">
        <v>8.4000000000000005E-2</v>
      </c>
      <c r="D392" s="2">
        <v>0.112</v>
      </c>
      <c r="E392" s="2">
        <v>0.224</v>
      </c>
      <c r="F392" s="2">
        <v>0.27</v>
      </c>
      <c r="G392" s="2">
        <v>0.33600000000000002</v>
      </c>
      <c r="H392" s="2">
        <v>0.46200000000000002</v>
      </c>
      <c r="I392" s="2">
        <v>0.64300000000000002</v>
      </c>
      <c r="J392" s="2">
        <v>0.80800000000000005</v>
      </c>
      <c r="K392" s="2">
        <v>0.86799999999999999</v>
      </c>
      <c r="L392" s="2">
        <v>1.0580000000000001</v>
      </c>
      <c r="M392" s="2">
        <v>1.421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</row>
    <row r="393" spans="1:51" x14ac:dyDescent="0.2">
      <c r="A393" s="4">
        <v>2002</v>
      </c>
      <c r="B393" s="2">
        <v>7.0000000000000007E-2</v>
      </c>
      <c r="C393" s="2">
        <v>9.8000000000000004E-2</v>
      </c>
      <c r="D393" s="2">
        <v>0.14499999999999999</v>
      </c>
      <c r="E393" s="2">
        <v>0.192</v>
      </c>
      <c r="F393" s="2">
        <v>0.27</v>
      </c>
      <c r="G393" s="2">
        <v>0.34</v>
      </c>
      <c r="H393" s="2">
        <v>0.42899999999999999</v>
      </c>
      <c r="I393" s="2">
        <v>0.57699999999999996</v>
      </c>
      <c r="J393" s="2">
        <v>0.80700000000000005</v>
      </c>
      <c r="K393" s="2">
        <v>0.96499999999999997</v>
      </c>
      <c r="L393" s="2">
        <v>1.115</v>
      </c>
      <c r="M393" s="2">
        <v>1.367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</row>
    <row r="394" spans="1:51" x14ac:dyDescent="0.2">
      <c r="A394" s="4">
        <v>2003</v>
      </c>
      <c r="B394" s="2">
        <v>6.0999999999999999E-2</v>
      </c>
      <c r="C394" s="2">
        <v>9.1999999999999998E-2</v>
      </c>
      <c r="D394" s="2">
        <v>0.151</v>
      </c>
      <c r="E394" s="2">
        <v>0.191</v>
      </c>
      <c r="F394" s="2">
        <v>0.28000000000000003</v>
      </c>
      <c r="G394" s="2">
        <v>0.35199999999999998</v>
      </c>
      <c r="H394" s="2">
        <v>0.52400000000000002</v>
      </c>
      <c r="I394" s="2">
        <v>0.68300000000000005</v>
      </c>
      <c r="J394" s="2">
        <v>0.94499999999999995</v>
      </c>
      <c r="K394" s="2">
        <v>1.216</v>
      </c>
      <c r="L394" s="2">
        <v>1.4259999999999999</v>
      </c>
      <c r="M394" s="2">
        <v>1.4770000000000001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</row>
    <row r="395" spans="1:51" x14ac:dyDescent="0.2">
      <c r="A395" s="4">
        <v>2004</v>
      </c>
      <c r="B395" s="2">
        <v>0.104</v>
      </c>
      <c r="C395" s="2">
        <v>0.106</v>
      </c>
      <c r="D395" s="2">
        <v>0.14599999999999999</v>
      </c>
      <c r="E395" s="2">
        <v>0.20100000000000001</v>
      </c>
      <c r="F395" s="2">
        <v>0.26</v>
      </c>
      <c r="G395" s="2">
        <v>0.35499999999999998</v>
      </c>
      <c r="H395" s="2">
        <v>0.495</v>
      </c>
      <c r="I395" s="2">
        <v>0.68300000000000005</v>
      </c>
      <c r="J395" s="2">
        <v>0.88400000000000001</v>
      </c>
      <c r="K395" s="2">
        <v>1.0880000000000001</v>
      </c>
      <c r="L395" s="2">
        <v>1.4670000000000001</v>
      </c>
      <c r="M395" s="2">
        <v>1.647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</row>
    <row r="396" spans="1:51" x14ac:dyDescent="0.2">
      <c r="A396" s="4">
        <v>2005</v>
      </c>
      <c r="B396" s="2">
        <v>8.4000000000000005E-2</v>
      </c>
      <c r="C396" s="2">
        <v>0.128</v>
      </c>
      <c r="D396" s="2">
        <v>0.13800000000000001</v>
      </c>
      <c r="E396" s="2">
        <v>0.17799999999999999</v>
      </c>
      <c r="F396" s="2">
        <v>0.248</v>
      </c>
      <c r="G396" s="2">
        <v>0.34</v>
      </c>
      <c r="H396" s="2">
        <v>0.54500000000000004</v>
      </c>
      <c r="I396" s="2">
        <v>0.80600000000000005</v>
      </c>
      <c r="J396" s="2">
        <v>1.0349999999999999</v>
      </c>
      <c r="K396" s="2">
        <v>1.246</v>
      </c>
      <c r="L396" s="2">
        <v>1.4119999999999999</v>
      </c>
      <c r="M396" s="2">
        <v>1.655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</row>
    <row r="397" spans="1:51" x14ac:dyDescent="0.2">
      <c r="A397" s="4">
        <v>2006</v>
      </c>
      <c r="B397" s="2">
        <v>0.09</v>
      </c>
      <c r="C397" s="2">
        <v>0.109</v>
      </c>
      <c r="D397" s="2">
        <v>0.13400000000000001</v>
      </c>
      <c r="E397" s="2">
        <v>0.17399999999999999</v>
      </c>
      <c r="F397" s="2">
        <v>0.25</v>
      </c>
      <c r="G397" s="2">
        <v>0.33100000000000002</v>
      </c>
      <c r="H397" s="2">
        <v>0.46500000000000002</v>
      </c>
      <c r="I397" s="2">
        <v>0.74199999999999999</v>
      </c>
      <c r="J397" s="2">
        <v>1.0209999999999999</v>
      </c>
      <c r="K397" s="2">
        <v>1.258</v>
      </c>
      <c r="L397" s="2">
        <v>1.3759999999999999</v>
      </c>
      <c r="M397" s="2">
        <v>1.776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</row>
    <row r="398" spans="1:51" x14ac:dyDescent="0.2">
      <c r="A398" s="4">
        <v>2007</v>
      </c>
      <c r="B398" s="2">
        <v>4.2999999999999997E-2</v>
      </c>
      <c r="C398" s="2">
        <v>6.4000000000000001E-2</v>
      </c>
      <c r="D398" s="2">
        <v>0.16300000000000001</v>
      </c>
      <c r="E398" s="2">
        <v>0.19600000000000001</v>
      </c>
      <c r="F398" s="2">
        <v>0.255</v>
      </c>
      <c r="G398" s="2">
        <v>0.34599999999999997</v>
      </c>
      <c r="H398" s="2">
        <v>0.46600000000000003</v>
      </c>
      <c r="I398" s="2">
        <v>0.75600000000000001</v>
      </c>
      <c r="J398" s="2">
        <v>0.999</v>
      </c>
      <c r="K398" s="2">
        <v>1.141</v>
      </c>
      <c r="L398" s="2">
        <v>1.228</v>
      </c>
      <c r="M398" s="2">
        <v>1.5629999999999999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</row>
    <row r="399" spans="1:51" x14ac:dyDescent="0.2">
      <c r="A399" s="4">
        <v>2008</v>
      </c>
      <c r="B399" s="2">
        <v>6.6000000000000003E-2</v>
      </c>
      <c r="C399" s="2">
        <v>9.8000000000000004E-2</v>
      </c>
      <c r="D399" s="2">
        <v>0.122</v>
      </c>
      <c r="E399" s="2">
        <v>0.17899999999999999</v>
      </c>
      <c r="F399" s="2">
        <v>0.25800000000000001</v>
      </c>
      <c r="G399" s="2">
        <v>0.32500000000000001</v>
      </c>
      <c r="H399" s="2">
        <v>0.46100000000000002</v>
      </c>
      <c r="I399" s="2">
        <v>0.61399999999999999</v>
      </c>
      <c r="J399" s="2">
        <v>0.82799999999999996</v>
      </c>
      <c r="K399" s="2">
        <v>1.0740000000000001</v>
      </c>
      <c r="L399" s="2">
        <v>1.36</v>
      </c>
      <c r="M399" s="2">
        <v>1.671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</row>
    <row r="400" spans="1:51" x14ac:dyDescent="0.2">
      <c r="A400" s="4">
        <v>2009</v>
      </c>
      <c r="B400" s="2">
        <v>3.1E-2</v>
      </c>
      <c r="C400" s="2">
        <v>7.3999999999999996E-2</v>
      </c>
      <c r="D400" s="2">
        <v>0.13</v>
      </c>
      <c r="E400" s="2">
        <v>0.2</v>
      </c>
      <c r="F400" s="2">
        <v>0.25700000000000001</v>
      </c>
      <c r="G400" s="2">
        <v>0.32900000000000001</v>
      </c>
      <c r="H400" s="2">
        <v>0.44500000000000001</v>
      </c>
      <c r="I400" s="2">
        <v>0.64500000000000002</v>
      </c>
      <c r="J400" s="2">
        <v>0.88300000000000001</v>
      </c>
      <c r="K400" s="2">
        <v>1.1020000000000001</v>
      </c>
      <c r="L400" s="2">
        <v>1.321</v>
      </c>
      <c r="M400" s="2">
        <v>1.649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</row>
    <row r="401" spans="1:51" x14ac:dyDescent="0.2">
      <c r="A401" s="4">
        <v>2010</v>
      </c>
      <c r="B401" s="2">
        <v>3.5999999999999997E-2</v>
      </c>
      <c r="C401" s="2">
        <v>8.5999999999999993E-2</v>
      </c>
      <c r="D401" s="2">
        <v>0.11700000000000001</v>
      </c>
      <c r="E401" s="2">
        <v>0.186</v>
      </c>
      <c r="F401" s="2">
        <v>0.245</v>
      </c>
      <c r="G401" s="2">
        <v>0.307</v>
      </c>
      <c r="H401" s="2">
        <v>0.4</v>
      </c>
      <c r="I401" s="2">
        <v>0.56399999999999995</v>
      </c>
      <c r="J401" s="2">
        <v>0.76800000000000002</v>
      </c>
      <c r="K401" s="2">
        <v>1.0049999999999999</v>
      </c>
      <c r="L401" s="2">
        <v>1.2090000000000001</v>
      </c>
      <c r="M401" s="2">
        <v>1.5369999999999999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</row>
    <row r="402" spans="1:51" x14ac:dyDescent="0.2">
      <c r="A402" s="4">
        <v>2011</v>
      </c>
      <c r="B402" s="2">
        <v>3.4000000000000002E-2</v>
      </c>
      <c r="C402" s="2">
        <v>0.08</v>
      </c>
      <c r="D402" s="2">
        <v>0.158</v>
      </c>
      <c r="E402" s="2">
        <v>0.193</v>
      </c>
      <c r="F402" s="2">
        <v>0.247</v>
      </c>
      <c r="G402" s="2">
        <v>0.307</v>
      </c>
      <c r="H402" s="2">
        <v>0.38700000000000001</v>
      </c>
      <c r="I402" s="2">
        <v>0.52800000000000002</v>
      </c>
      <c r="J402" s="2">
        <v>0.7</v>
      </c>
      <c r="K402" s="2">
        <v>0.89700000000000002</v>
      </c>
      <c r="L402" s="2">
        <v>1.087</v>
      </c>
      <c r="M402" s="2">
        <v>1.5409999999999999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</row>
    <row r="403" spans="1:51" x14ac:dyDescent="0.2">
      <c r="A403" s="4">
        <v>2012</v>
      </c>
      <c r="B403" s="2">
        <v>2.9000000000000001E-2</v>
      </c>
      <c r="C403" s="2">
        <v>7.4999999999999997E-2</v>
      </c>
      <c r="D403" s="2">
        <v>0.113</v>
      </c>
      <c r="E403" s="2">
        <v>0.19600000000000001</v>
      </c>
      <c r="F403" s="2">
        <v>0.25900000000000001</v>
      </c>
      <c r="G403" s="2">
        <v>0.318</v>
      </c>
      <c r="H403" s="2">
        <v>0.39900000000000002</v>
      </c>
      <c r="I403" s="2">
        <v>0.51700000000000002</v>
      </c>
      <c r="J403" s="2">
        <v>0.64100000000000001</v>
      </c>
      <c r="K403" s="2">
        <v>0.76700000000000002</v>
      </c>
      <c r="L403" s="2">
        <v>0.91800000000000004</v>
      </c>
      <c r="M403" s="2">
        <v>1.296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</row>
    <row r="404" spans="1:51" x14ac:dyDescent="0.2">
      <c r="A404" s="4">
        <v>2013</v>
      </c>
      <c r="B404" s="2">
        <v>3.3000000000000002E-2</v>
      </c>
      <c r="C404" s="2">
        <v>7.5999999999999998E-2</v>
      </c>
      <c r="D404" s="2">
        <v>0.11600000000000001</v>
      </c>
      <c r="E404" s="2">
        <v>0.14099999999999999</v>
      </c>
      <c r="F404" s="2">
        <v>0.26100000000000001</v>
      </c>
      <c r="G404" s="2">
        <v>0.35</v>
      </c>
      <c r="H404" s="2">
        <v>0.41899999999999998</v>
      </c>
      <c r="I404" s="2">
        <v>0.51600000000000001</v>
      </c>
      <c r="J404" s="2">
        <v>0.63100000000000001</v>
      </c>
      <c r="K404" s="2">
        <v>0.752</v>
      </c>
      <c r="L404" s="2">
        <v>0.92400000000000004</v>
      </c>
      <c r="M404" s="2">
        <v>1.2629999999999999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</row>
    <row r="405" spans="1:51" x14ac:dyDescent="0.2">
      <c r="A405" s="4">
        <v>2014</v>
      </c>
      <c r="B405" s="2">
        <v>8.5999999999999993E-2</v>
      </c>
      <c r="C405" s="2">
        <v>7.3999999999999996E-2</v>
      </c>
      <c r="D405" s="2">
        <v>0.121</v>
      </c>
      <c r="E405" s="2">
        <v>0.17199999999999999</v>
      </c>
      <c r="F405" s="2">
        <v>0.22600000000000001</v>
      </c>
      <c r="G405" s="2">
        <v>0.33100000000000002</v>
      </c>
      <c r="H405" s="2">
        <v>0.43099999999999999</v>
      </c>
      <c r="I405" s="2">
        <v>0.51</v>
      </c>
      <c r="J405" s="2">
        <v>0.621</v>
      </c>
      <c r="K405" s="2">
        <v>0.75600000000000001</v>
      </c>
      <c r="L405" s="2">
        <v>0.90300000000000002</v>
      </c>
      <c r="M405" s="2">
        <v>1.177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</row>
    <row r="406" spans="1:51" x14ac:dyDescent="0.2">
      <c r="A406" s="4">
        <v>2015</v>
      </c>
      <c r="B406" s="2">
        <v>3.5999999999999997E-2</v>
      </c>
      <c r="C406" s="2">
        <v>4.8000000000000001E-2</v>
      </c>
      <c r="D406" s="2">
        <v>6.9000000000000006E-2</v>
      </c>
      <c r="E406" s="2">
        <v>0.186</v>
      </c>
      <c r="F406" s="2">
        <v>0.254</v>
      </c>
      <c r="G406" s="2">
        <v>0.312</v>
      </c>
      <c r="H406" s="2">
        <v>0.41599999999999998</v>
      </c>
      <c r="I406" s="2">
        <v>0.51500000000000001</v>
      </c>
      <c r="J406" s="2">
        <v>0.60499999999999998</v>
      </c>
      <c r="K406" s="2">
        <v>0.71899999999999997</v>
      </c>
      <c r="L406" s="2">
        <v>0.86099999999999999</v>
      </c>
      <c r="M406" s="2">
        <v>1.1479999999999999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</row>
    <row r="407" spans="1:51" x14ac:dyDescent="0.2">
      <c r="A407" s="4">
        <v>2016</v>
      </c>
      <c r="B407" s="2">
        <v>1.4E-2</v>
      </c>
      <c r="C407" s="2">
        <v>4.4999999999999998E-2</v>
      </c>
      <c r="D407" s="2">
        <v>0.109</v>
      </c>
      <c r="E407" s="2">
        <v>0.14199999999999999</v>
      </c>
      <c r="F407" s="2">
        <v>0.253</v>
      </c>
      <c r="G407" s="2">
        <v>0.33</v>
      </c>
      <c r="H407" s="2">
        <v>0.41099999999999998</v>
      </c>
      <c r="I407" s="2">
        <v>0.53200000000000003</v>
      </c>
      <c r="J407" s="2">
        <v>0.625</v>
      </c>
      <c r="K407" s="2">
        <v>0.76400000000000001</v>
      </c>
      <c r="L407" s="2">
        <v>0.88600000000000001</v>
      </c>
      <c r="M407" s="2">
        <v>1.1439999999999999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</row>
    <row r="408" spans="1:51" x14ac:dyDescent="0.2">
      <c r="A408" s="4">
        <v>2017</v>
      </c>
      <c r="B408" s="2">
        <v>1.4E-2</v>
      </c>
      <c r="C408" s="2">
        <v>5.1999999999999998E-2</v>
      </c>
      <c r="D408" s="2">
        <v>0.10100000000000001</v>
      </c>
      <c r="E408" s="2">
        <v>0.17499999999999999</v>
      </c>
      <c r="F408" s="2">
        <v>0.23699999999999999</v>
      </c>
      <c r="G408" s="2">
        <v>0.313</v>
      </c>
      <c r="H408" s="2">
        <v>0.41499999999999998</v>
      </c>
      <c r="I408" s="2">
        <v>0.53900000000000003</v>
      </c>
      <c r="J408" s="2">
        <v>0.64900000000000002</v>
      </c>
      <c r="K408" s="2">
        <v>0.78700000000000003</v>
      </c>
      <c r="L408" s="2">
        <v>0.96399999999999997</v>
      </c>
      <c r="M408" s="2">
        <v>1.4730000000000001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</row>
    <row r="409" spans="1:51" x14ac:dyDescent="0.2">
      <c r="A409" s="4">
        <v>2018</v>
      </c>
      <c r="B409" s="2">
        <v>1.9E-2</v>
      </c>
      <c r="C409" s="2">
        <v>6.7000000000000004E-2</v>
      </c>
      <c r="D409" s="2">
        <v>0.10100000000000001</v>
      </c>
      <c r="E409" s="2">
        <v>0.19</v>
      </c>
      <c r="F409" s="2">
        <v>0.28699999999999998</v>
      </c>
      <c r="G409" s="2">
        <v>0.35299999999999998</v>
      </c>
      <c r="H409" s="2">
        <v>0.46600000000000003</v>
      </c>
      <c r="I409" s="2">
        <v>0.61299999999999999</v>
      </c>
      <c r="J409" s="2">
        <v>0.77400000000000002</v>
      </c>
      <c r="K409" s="2">
        <v>0.92300000000000004</v>
      </c>
      <c r="L409" s="2">
        <v>1.173</v>
      </c>
      <c r="M409" s="2">
        <v>1.514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</row>
    <row r="410" spans="1:51" x14ac:dyDescent="0.2">
      <c r="A410" s="4">
        <v>2019</v>
      </c>
      <c r="B410" s="2">
        <v>7.0000000000000001E-3</v>
      </c>
      <c r="C410" s="2">
        <v>1.4E-2</v>
      </c>
      <c r="D410" s="2">
        <v>8.2000000000000003E-2</v>
      </c>
      <c r="E410" s="2">
        <v>0.20200000000000001</v>
      </c>
      <c r="F410" s="2">
        <v>0.26400000000000001</v>
      </c>
      <c r="G410" s="2">
        <v>0.35299999999999998</v>
      </c>
      <c r="H410" s="2">
        <v>0.47599999999999998</v>
      </c>
      <c r="I410" s="2">
        <v>0.55800000000000005</v>
      </c>
      <c r="J410" s="2">
        <v>0.71099999999999997</v>
      </c>
      <c r="K410" s="2">
        <v>0.91200000000000003</v>
      </c>
      <c r="L410" s="2">
        <v>1.1459999999999999</v>
      </c>
      <c r="M410" s="2">
        <v>1.6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</row>
    <row r="411" spans="1:51" x14ac:dyDescent="0.2">
      <c r="A411" s="4"/>
      <c r="B411" s="2">
        <v>5.1999999999999998E-2</v>
      </c>
      <c r="C411" s="2">
        <v>0.125</v>
      </c>
      <c r="D411" s="2">
        <v>0.26800000000000002</v>
      </c>
      <c r="E411" s="2">
        <v>0.26300000000000001</v>
      </c>
      <c r="F411" s="2">
        <v>0.31</v>
      </c>
      <c r="G411" s="2">
        <v>0.36199999999999999</v>
      </c>
      <c r="H411" s="2">
        <v>0.43099999999999999</v>
      </c>
      <c r="I411" s="2">
        <v>0.50700000000000001</v>
      </c>
      <c r="J411" s="2">
        <v>0.67800000000000005</v>
      </c>
      <c r="K411" s="2">
        <v>0.72599999999999998</v>
      </c>
      <c r="L411" s="2">
        <v>0.93600000000000005</v>
      </c>
      <c r="M411" s="2">
        <v>1.143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</row>
    <row r="412" spans="1:51" x14ac:dyDescent="0.2">
      <c r="A412" s="4"/>
      <c r="B412" s="2">
        <v>5.1999999999999998E-2</v>
      </c>
      <c r="C412" s="2">
        <v>9.2999999999999999E-2</v>
      </c>
      <c r="D412" s="2">
        <v>0.2171399</v>
      </c>
      <c r="E412" s="2">
        <v>0.266484</v>
      </c>
      <c r="F412" s="2">
        <v>0.37160189999999999</v>
      </c>
      <c r="G412" s="2">
        <v>0.46985529999999998</v>
      </c>
      <c r="H412" s="2">
        <v>0.60254890000000005</v>
      </c>
      <c r="I412" s="2">
        <v>0.64963400000000004</v>
      </c>
      <c r="J412" s="2">
        <v>0.74736329999999995</v>
      </c>
      <c r="K412" s="2">
        <v>0.7527412</v>
      </c>
      <c r="L412" s="2">
        <v>1.635556</v>
      </c>
      <c r="M412" s="2">
        <v>1.7204010000000001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</row>
    <row r="413" spans="1:51" x14ac:dyDescent="0.2">
      <c r="A413" s="4"/>
      <c r="B413" s="2">
        <v>5.1156334999999997E-2</v>
      </c>
      <c r="C413" s="2">
        <v>0.11269135700000001</v>
      </c>
      <c r="D413" s="2">
        <v>0.21576429</v>
      </c>
      <c r="E413" s="2">
        <v>0.276871653</v>
      </c>
      <c r="F413" s="2">
        <v>0.35855736100000002</v>
      </c>
      <c r="G413" s="2">
        <v>0.42754720400000001</v>
      </c>
      <c r="H413" s="2">
        <v>0.54448256900000003</v>
      </c>
      <c r="I413" s="2">
        <v>0.63244164300000005</v>
      </c>
      <c r="J413" s="2">
        <v>0.776859356</v>
      </c>
      <c r="K413" s="2">
        <v>0.83326121900000005</v>
      </c>
      <c r="L413" s="2">
        <v>1.3649336249999999</v>
      </c>
      <c r="M413" s="2">
        <v>1.457508185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</row>
    <row r="414" spans="1:51" x14ac:dyDescent="0.2">
      <c r="A414" s="4"/>
      <c r="B414" s="2">
        <v>5.0312669999999997E-2</v>
      </c>
      <c r="C414" s="2">
        <v>0.13238271300000001</v>
      </c>
      <c r="D414" s="2">
        <v>0.214388679</v>
      </c>
      <c r="E414" s="2">
        <v>0.28725930500000002</v>
      </c>
      <c r="F414" s="2">
        <v>0.34551282100000003</v>
      </c>
      <c r="G414" s="2">
        <v>0.385239108</v>
      </c>
      <c r="H414" s="2">
        <v>0.48641623699999997</v>
      </c>
      <c r="I414" s="2">
        <v>0.61524928499999998</v>
      </c>
      <c r="J414" s="2">
        <v>0.80635541200000005</v>
      </c>
      <c r="K414" s="2">
        <v>0.91378123700000002</v>
      </c>
      <c r="L414" s="2">
        <v>1.0943112500000001</v>
      </c>
      <c r="M414" s="2">
        <v>1.1946153690000001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</row>
    <row r="415" spans="1:51" x14ac:dyDescent="0.2">
      <c r="A415" s="4"/>
      <c r="B415" s="2">
        <v>5.6209082E-2</v>
      </c>
      <c r="C415" s="2">
        <v>9.3800479000000006E-2</v>
      </c>
      <c r="D415" s="2">
        <v>0.44480210399999998</v>
      </c>
      <c r="E415" s="2">
        <v>0.35272748100000001</v>
      </c>
      <c r="F415" s="2">
        <v>0.36919956399999998</v>
      </c>
      <c r="G415" s="2">
        <v>0.43705342400000002</v>
      </c>
      <c r="H415" s="2">
        <v>0.52465681099999995</v>
      </c>
      <c r="I415" s="2">
        <v>0.615550292</v>
      </c>
      <c r="J415" s="2">
        <v>0.65331058799999997</v>
      </c>
      <c r="K415" s="2">
        <v>0.83728944800000005</v>
      </c>
      <c r="L415" s="2">
        <v>1.0710033029999999</v>
      </c>
      <c r="M415" s="2">
        <v>1.1100000000000001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</row>
    <row r="416" spans="1:51" x14ac:dyDescent="0.2">
      <c r="A416" s="4" t="s">
        <v>36</v>
      </c>
      <c r="B416" s="2">
        <v>5.2840584000000003E-2</v>
      </c>
      <c r="C416" s="2">
        <v>0.106394397</v>
      </c>
      <c r="D416" s="2">
        <v>0.29211022800000003</v>
      </c>
      <c r="E416" s="2">
        <v>0.30215692900000002</v>
      </c>
      <c r="F416" s="2">
        <v>0.36210476200000002</v>
      </c>
      <c r="G416" s="2">
        <v>0.43071594400000002</v>
      </c>
      <c r="H416" s="2">
        <v>0.537873983</v>
      </c>
      <c r="I416" s="2">
        <v>0.62681119200000002</v>
      </c>
      <c r="J416" s="2">
        <v>0.73567643299999996</v>
      </c>
      <c r="K416" s="2">
        <v>0.83460396199999998</v>
      </c>
      <c r="L416" s="2">
        <v>1.266956851</v>
      </c>
      <c r="M416" s="2">
        <v>1.3416721229999999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</row>
    <row r="417" spans="1:51" x14ac:dyDescent="0.2">
      <c r="A417" s="4" t="s">
        <v>37</v>
      </c>
      <c r="B417" s="2">
        <v>0.12506348</v>
      </c>
      <c r="C417" s="2">
        <v>0.13132466000000001</v>
      </c>
      <c r="D417" s="2">
        <v>0.19282205899999999</v>
      </c>
      <c r="E417" s="2">
        <v>0.41565906000000002</v>
      </c>
      <c r="F417" s="2">
        <v>0.45121706</v>
      </c>
      <c r="G417" s="2">
        <v>0.61747255000000001</v>
      </c>
      <c r="H417" s="2">
        <v>0.74027778</v>
      </c>
      <c r="I417" s="2">
        <v>0.80396975000000004</v>
      </c>
      <c r="J417" s="2">
        <v>0.96805231999999997</v>
      </c>
      <c r="K417" s="2">
        <v>1.03428853</v>
      </c>
      <c r="L417" s="2">
        <v>1.13204685</v>
      </c>
      <c r="M417" s="2">
        <v>1.16434818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</row>
    <row r="418" spans="1:51" x14ac:dyDescent="0.2">
      <c r="A418" s="4" t="s">
        <v>38</v>
      </c>
      <c r="B418" s="2">
        <v>0.12506348</v>
      </c>
      <c r="C418" s="2">
        <v>0.13132466000000001</v>
      </c>
      <c r="D418" s="2">
        <v>0.19282205899999999</v>
      </c>
      <c r="E418" s="2">
        <v>0.41565906000000002</v>
      </c>
      <c r="F418" s="2">
        <v>0.45121706</v>
      </c>
      <c r="G418" s="2">
        <v>0.61747255000000001</v>
      </c>
      <c r="H418" s="2">
        <v>0.74027778</v>
      </c>
      <c r="I418" s="2">
        <v>0.80396975000000004</v>
      </c>
      <c r="J418" s="2">
        <v>0.96805231999999997</v>
      </c>
      <c r="K418" s="2">
        <v>1.03428853</v>
      </c>
      <c r="L418" s="2">
        <v>1.13204685</v>
      </c>
      <c r="M418" s="2">
        <v>1.16434818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</row>
    <row r="419" spans="1:51" x14ac:dyDescent="0.2">
      <c r="A419" s="4" t="s">
        <v>39</v>
      </c>
      <c r="B419" s="2" t="s">
        <v>33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</row>
    <row r="420" spans="1:51" x14ac:dyDescent="0.2">
      <c r="A420" s="4" t="s">
        <v>40</v>
      </c>
      <c r="B420" s="2">
        <v>7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</row>
    <row r="421" spans="1:51" x14ac:dyDescent="0.2">
      <c r="A421" s="4" t="s">
        <v>41</v>
      </c>
      <c r="B421" s="2" t="s">
        <v>34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</row>
    <row r="422" spans="1:51" x14ac:dyDescent="0.2">
      <c r="A422" s="4" t="s">
        <v>42</v>
      </c>
      <c r="B422" s="2" t="s">
        <v>82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</row>
    <row r="423" spans="1:51" x14ac:dyDescent="0.2">
      <c r="A423" s="4" t="s">
        <v>43</v>
      </c>
      <c r="B423" s="2" t="s">
        <v>35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</row>
    <row r="424" spans="1:51" x14ac:dyDescent="0.2">
      <c r="A424" s="4"/>
      <c r="B424" s="2">
        <v>13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</row>
    <row r="425" spans="1:51" x14ac:dyDescent="0.2">
      <c r="A425" s="4" t="s">
        <v>36</v>
      </c>
      <c r="B425" s="2">
        <v>21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</row>
    <row r="426" spans="1:51" x14ac:dyDescent="0.2">
      <c r="A426" s="4" t="s">
        <v>37</v>
      </c>
      <c r="B426" s="2">
        <v>38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</row>
    <row r="427" spans="1:51" x14ac:dyDescent="0.2">
      <c r="A427" s="4" t="s">
        <v>38</v>
      </c>
      <c r="B427" s="2">
        <v>9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</row>
    <row r="428" spans="1:51" x14ac:dyDescent="0.2">
      <c r="A428" s="4" t="s">
        <v>39</v>
      </c>
      <c r="B428" s="2">
        <v>28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</row>
    <row r="429" spans="1:51" x14ac:dyDescent="0.2">
      <c r="A429" s="4" t="s">
        <v>40</v>
      </c>
      <c r="B429" s="2">
        <v>19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</row>
    <row r="430" spans="1:51" x14ac:dyDescent="0.2">
      <c r="A430" s="4" t="s">
        <v>41</v>
      </c>
      <c r="B430" s="2">
        <v>12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</row>
    <row r="431" spans="1:51" x14ac:dyDescent="0.2">
      <c r="A431" s="4" t="s">
        <v>42</v>
      </c>
      <c r="B431" s="2" t="s">
        <v>44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</row>
    <row r="432" spans="1:51" x14ac:dyDescent="0.2">
      <c r="A432" s="4" t="s">
        <v>43</v>
      </c>
      <c r="B432" s="2">
        <v>1997</v>
      </c>
      <c r="C432" s="2">
        <v>1998</v>
      </c>
      <c r="D432" s="2">
        <v>1999</v>
      </c>
      <c r="E432" s="2">
        <v>2000</v>
      </c>
      <c r="F432" s="2">
        <v>2001</v>
      </c>
      <c r="G432" s="2">
        <v>2002</v>
      </c>
      <c r="H432" s="2">
        <v>2003</v>
      </c>
      <c r="I432" s="2">
        <v>2004</v>
      </c>
      <c r="J432" s="2">
        <v>2005</v>
      </c>
      <c r="K432" s="2">
        <v>2006</v>
      </c>
      <c r="L432" s="2">
        <v>2007</v>
      </c>
      <c r="M432" s="2">
        <v>2008</v>
      </c>
      <c r="N432" s="2">
        <v>2009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</row>
    <row r="433" spans="1:51" x14ac:dyDescent="0.2">
      <c r="A433" s="4"/>
      <c r="B433" s="2">
        <v>1984</v>
      </c>
      <c r="C433" s="2">
        <v>1985</v>
      </c>
      <c r="D433" s="2">
        <v>1986</v>
      </c>
      <c r="E433" s="2">
        <v>1987</v>
      </c>
      <c r="F433" s="2">
        <v>1988</v>
      </c>
      <c r="G433" s="2">
        <v>1991</v>
      </c>
      <c r="H433" s="2">
        <v>2006</v>
      </c>
      <c r="I433" s="2">
        <v>2007</v>
      </c>
      <c r="J433" s="2">
        <v>2008</v>
      </c>
      <c r="K433" s="2">
        <v>2009</v>
      </c>
      <c r="L433" s="2">
        <v>2010</v>
      </c>
      <c r="M433" s="2">
        <v>2011</v>
      </c>
      <c r="N433" s="2">
        <v>2012</v>
      </c>
      <c r="O433" s="2">
        <v>2013</v>
      </c>
      <c r="P433" s="2">
        <v>2014</v>
      </c>
      <c r="Q433" s="2">
        <v>2015</v>
      </c>
      <c r="R433" s="2">
        <v>2016</v>
      </c>
      <c r="S433" s="2">
        <v>2017</v>
      </c>
      <c r="T433" s="2">
        <v>2018</v>
      </c>
      <c r="U433" s="2">
        <v>2019</v>
      </c>
      <c r="V433" s="2">
        <v>2020</v>
      </c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</row>
    <row r="434" spans="1:51" x14ac:dyDescent="0.2">
      <c r="A434" s="4" t="s">
        <v>36</v>
      </c>
      <c r="B434" s="2">
        <v>1983</v>
      </c>
      <c r="C434" s="2">
        <v>1984</v>
      </c>
      <c r="D434" s="2">
        <v>1985</v>
      </c>
      <c r="E434" s="2">
        <v>1986</v>
      </c>
      <c r="F434" s="2">
        <v>1987</v>
      </c>
      <c r="G434" s="2">
        <v>1988</v>
      </c>
      <c r="H434" s="2">
        <v>1989</v>
      </c>
      <c r="I434" s="2">
        <v>1990</v>
      </c>
      <c r="J434" s="2">
        <v>1991</v>
      </c>
      <c r="K434" s="2">
        <v>1992</v>
      </c>
      <c r="L434" s="2">
        <v>1993</v>
      </c>
      <c r="M434" s="2">
        <v>1994</v>
      </c>
      <c r="N434" s="2">
        <v>1995</v>
      </c>
      <c r="O434" s="2">
        <v>1996</v>
      </c>
      <c r="P434" s="2">
        <v>1997</v>
      </c>
      <c r="Q434" s="2">
        <v>1998</v>
      </c>
      <c r="R434" s="2">
        <v>1999</v>
      </c>
      <c r="S434" s="2">
        <v>2000</v>
      </c>
      <c r="T434" s="2">
        <v>2001</v>
      </c>
      <c r="U434" s="2">
        <v>2002</v>
      </c>
      <c r="V434" s="2">
        <v>2003</v>
      </c>
      <c r="W434" s="2">
        <v>2004</v>
      </c>
      <c r="X434" s="2">
        <v>2005</v>
      </c>
      <c r="Y434" s="2">
        <v>2006</v>
      </c>
      <c r="Z434" s="2">
        <v>2007</v>
      </c>
      <c r="AA434" s="2">
        <v>2008</v>
      </c>
      <c r="AB434" s="2">
        <v>2009</v>
      </c>
      <c r="AC434" s="2">
        <v>2010</v>
      </c>
      <c r="AD434" s="2">
        <v>2011</v>
      </c>
      <c r="AE434" s="2">
        <v>2012</v>
      </c>
      <c r="AF434" s="2">
        <v>2013</v>
      </c>
      <c r="AG434" s="2">
        <v>2014</v>
      </c>
      <c r="AH434" s="2">
        <v>2015</v>
      </c>
      <c r="AI434" s="2">
        <v>2016</v>
      </c>
      <c r="AJ434" s="2">
        <v>2017</v>
      </c>
      <c r="AK434" s="2">
        <v>2018</v>
      </c>
      <c r="AL434" s="2">
        <v>2019</v>
      </c>
      <c r="AM434" s="2">
        <v>2020</v>
      </c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</row>
    <row r="435" spans="1:51" x14ac:dyDescent="0.2">
      <c r="A435" s="4" t="s">
        <v>37</v>
      </c>
      <c r="B435" s="2">
        <v>1999</v>
      </c>
      <c r="C435" s="2">
        <v>2000</v>
      </c>
      <c r="D435" s="2">
        <v>2001</v>
      </c>
      <c r="E435" s="2">
        <v>2003</v>
      </c>
      <c r="F435" s="2">
        <v>2004</v>
      </c>
      <c r="G435" s="2">
        <v>2005</v>
      </c>
      <c r="H435" s="2">
        <v>2006</v>
      </c>
      <c r="I435" s="2">
        <v>2007</v>
      </c>
      <c r="J435" s="2">
        <v>2008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</row>
    <row r="436" spans="1:51" x14ac:dyDescent="0.2">
      <c r="A436" s="4" t="s">
        <v>38</v>
      </c>
      <c r="B436" s="2">
        <v>1985</v>
      </c>
      <c r="C436" s="2">
        <v>1986</v>
      </c>
      <c r="D436" s="2">
        <v>1987</v>
      </c>
      <c r="E436" s="2">
        <v>1988</v>
      </c>
      <c r="F436" s="2">
        <v>1989</v>
      </c>
      <c r="G436" s="2">
        <v>1990</v>
      </c>
      <c r="H436" s="2">
        <v>1991</v>
      </c>
      <c r="I436" s="2">
        <v>1992</v>
      </c>
      <c r="J436" s="2">
        <v>1993</v>
      </c>
      <c r="K436" s="2">
        <v>1994</v>
      </c>
      <c r="L436" s="2">
        <v>1995</v>
      </c>
      <c r="M436" s="2">
        <v>1996</v>
      </c>
      <c r="N436" s="2">
        <v>1997</v>
      </c>
      <c r="O436" s="2">
        <v>1998</v>
      </c>
      <c r="P436" s="2">
        <v>1999</v>
      </c>
      <c r="Q436" s="2">
        <v>2000</v>
      </c>
      <c r="R436" s="2">
        <v>2001</v>
      </c>
      <c r="S436" s="2">
        <v>2002</v>
      </c>
      <c r="T436" s="2">
        <v>2003</v>
      </c>
      <c r="U436" s="2">
        <v>2004</v>
      </c>
      <c r="V436" s="2">
        <v>2005</v>
      </c>
      <c r="W436" s="2">
        <v>2006</v>
      </c>
      <c r="X436" s="2">
        <v>2007</v>
      </c>
      <c r="Y436" s="2">
        <v>2008</v>
      </c>
      <c r="Z436" s="2">
        <v>2010</v>
      </c>
      <c r="AA436" s="2">
        <v>2011</v>
      </c>
      <c r="AB436" s="2">
        <v>2012</v>
      </c>
      <c r="AC436" s="2">
        <v>2013</v>
      </c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</row>
    <row r="437" spans="1:51" x14ac:dyDescent="0.2">
      <c r="A437" s="4" t="s">
        <v>39</v>
      </c>
      <c r="B437" s="2">
        <v>2002</v>
      </c>
      <c r="C437" s="2">
        <v>2003</v>
      </c>
      <c r="D437" s="2">
        <v>2004</v>
      </c>
      <c r="E437" s="2">
        <v>2005</v>
      </c>
      <c r="F437" s="2">
        <v>2006</v>
      </c>
      <c r="G437" s="2">
        <v>2007</v>
      </c>
      <c r="H437" s="2">
        <v>2008</v>
      </c>
      <c r="I437" s="2">
        <v>2009</v>
      </c>
      <c r="J437" s="2">
        <v>2010</v>
      </c>
      <c r="K437" s="2">
        <v>2011</v>
      </c>
      <c r="L437" s="2">
        <v>2012</v>
      </c>
      <c r="M437" s="2">
        <v>2013</v>
      </c>
      <c r="N437" s="2">
        <v>2014</v>
      </c>
      <c r="O437" s="2">
        <v>2015</v>
      </c>
      <c r="P437" s="2">
        <v>2016</v>
      </c>
      <c r="Q437" s="2">
        <v>2017</v>
      </c>
      <c r="R437" s="2">
        <v>2018</v>
      </c>
      <c r="S437" s="2">
        <v>2019</v>
      </c>
      <c r="T437" s="2">
        <v>2020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</row>
    <row r="438" spans="1:51" x14ac:dyDescent="0.2">
      <c r="A438" s="4" t="s">
        <v>40</v>
      </c>
      <c r="B438" s="2">
        <v>2008</v>
      </c>
      <c r="C438" s="2">
        <v>2009</v>
      </c>
      <c r="D438" s="2">
        <v>2010</v>
      </c>
      <c r="E438" s="2">
        <v>2011</v>
      </c>
      <c r="F438" s="2">
        <v>2012</v>
      </c>
      <c r="G438" s="2">
        <v>2013</v>
      </c>
      <c r="H438" s="2">
        <v>2014</v>
      </c>
      <c r="I438" s="2">
        <v>2015</v>
      </c>
      <c r="J438" s="2">
        <v>2016</v>
      </c>
      <c r="K438" s="2">
        <v>2017</v>
      </c>
      <c r="L438" s="2">
        <v>2018</v>
      </c>
      <c r="M438" s="2">
        <v>2019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</row>
    <row r="439" spans="1:51" x14ac:dyDescent="0.2">
      <c r="A439" s="4" t="s">
        <v>41</v>
      </c>
      <c r="B439" s="2" t="s">
        <v>45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</row>
    <row r="440" spans="1:51" x14ac:dyDescent="0.2">
      <c r="A440" s="4" t="s">
        <v>42</v>
      </c>
      <c r="B440" s="2">
        <v>6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</row>
    <row r="441" spans="1:51" x14ac:dyDescent="0.2">
      <c r="A441" s="4" t="s">
        <v>43</v>
      </c>
      <c r="B441" s="2">
        <v>11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</row>
    <row r="442" spans="1:51" x14ac:dyDescent="0.2">
      <c r="A442" s="4"/>
      <c r="B442" s="2">
        <v>6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</row>
    <row r="443" spans="1:51" x14ac:dyDescent="0.2">
      <c r="A443" s="4" t="s">
        <v>36</v>
      </c>
      <c r="B443" s="2">
        <v>10.5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</row>
    <row r="444" spans="1:51" x14ac:dyDescent="0.2">
      <c r="A444" s="4" t="s">
        <v>37</v>
      </c>
      <c r="B444" s="2">
        <v>1.5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</row>
    <row r="445" spans="1:51" x14ac:dyDescent="0.2">
      <c r="A445" s="4" t="s">
        <v>38</v>
      </c>
      <c r="B445" s="2">
        <v>2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</row>
    <row r="446" spans="1:51" x14ac:dyDescent="0.2">
      <c r="A446" s="4" t="s">
        <v>39</v>
      </c>
      <c r="B446" s="2">
        <v>6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</row>
    <row r="447" spans="1:51" x14ac:dyDescent="0.2">
      <c r="A447" s="4" t="s">
        <v>40</v>
      </c>
      <c r="B447" s="2" t="s">
        <v>46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</row>
    <row r="448" spans="1:51" x14ac:dyDescent="0.2">
      <c r="A448" s="4" t="s">
        <v>41</v>
      </c>
      <c r="B448" s="2">
        <v>3530</v>
      </c>
      <c r="C448" s="2">
        <v>3200</v>
      </c>
      <c r="D448" s="2">
        <v>4100</v>
      </c>
      <c r="E448" s="2">
        <v>5600</v>
      </c>
      <c r="F448" s="2">
        <v>5950</v>
      </c>
      <c r="G448" s="2">
        <v>3700</v>
      </c>
      <c r="H448" s="2">
        <v>2640</v>
      </c>
      <c r="I448" s="2">
        <v>2640</v>
      </c>
      <c r="J448" s="2">
        <v>4110</v>
      </c>
      <c r="K448" s="2">
        <v>3192</v>
      </c>
      <c r="L448" s="2">
        <v>3140</v>
      </c>
      <c r="M448" s="2">
        <v>487</v>
      </c>
      <c r="N448" s="2">
        <v>328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</row>
    <row r="449" spans="1:51" x14ac:dyDescent="0.2">
      <c r="A449" s="4" t="s">
        <v>42</v>
      </c>
      <c r="B449" s="2">
        <v>99</v>
      </c>
      <c r="C449" s="2">
        <v>324</v>
      </c>
      <c r="D449" s="2">
        <v>123</v>
      </c>
      <c r="E449" s="2">
        <v>213</v>
      </c>
      <c r="F449" s="2">
        <v>134</v>
      </c>
      <c r="G449" s="2">
        <v>242</v>
      </c>
      <c r="H449" s="2">
        <v>112</v>
      </c>
      <c r="I449" s="2">
        <v>275</v>
      </c>
      <c r="J449" s="2">
        <v>259</v>
      </c>
      <c r="K449" s="2">
        <v>18</v>
      </c>
      <c r="L449" s="2">
        <v>440</v>
      </c>
      <c r="M449" s="2">
        <v>432</v>
      </c>
      <c r="N449" s="2">
        <v>230</v>
      </c>
      <c r="O449" s="2">
        <v>144</v>
      </c>
      <c r="P449" s="2">
        <v>87</v>
      </c>
      <c r="Q449" s="2">
        <v>459</v>
      </c>
      <c r="R449" s="2">
        <v>587.24400000000003</v>
      </c>
      <c r="S449" s="2">
        <v>610.47</v>
      </c>
      <c r="T449" s="2">
        <v>374.11020000000002</v>
      </c>
      <c r="U449" s="2">
        <v>1487.0696740000001</v>
      </c>
      <c r="V449" s="2">
        <v>1728.268</v>
      </c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</row>
    <row r="450" spans="1:51" x14ac:dyDescent="0.2">
      <c r="A450" s="4" t="s">
        <v>43</v>
      </c>
      <c r="B450" s="2">
        <v>0.85401985300000005</v>
      </c>
      <c r="C450" s="2">
        <v>0.78297484500000003</v>
      </c>
      <c r="D450" s="2">
        <v>0.69429058799999999</v>
      </c>
      <c r="E450" s="2">
        <v>0.585701684</v>
      </c>
      <c r="F450" s="2">
        <v>0.70047255200000003</v>
      </c>
      <c r="G450" s="2">
        <v>0.62117585500000005</v>
      </c>
      <c r="H450" s="2">
        <v>0.61267526500000002</v>
      </c>
      <c r="I450" s="2">
        <v>0.52762808900000002</v>
      </c>
      <c r="J450" s="2">
        <v>0.59519827800000003</v>
      </c>
      <c r="K450" s="2">
        <v>0.56033902300000005</v>
      </c>
      <c r="L450" s="2">
        <v>0.49869922500000002</v>
      </c>
      <c r="M450" s="2">
        <v>0.54059354199999998</v>
      </c>
      <c r="N450" s="2">
        <v>0.48827431500000001</v>
      </c>
      <c r="O450" s="2">
        <v>0.49026203800000001</v>
      </c>
      <c r="P450" s="2">
        <v>0.403764018</v>
      </c>
      <c r="Q450" s="2">
        <v>0.342212719</v>
      </c>
      <c r="R450" s="2">
        <v>0.34992843000000001</v>
      </c>
      <c r="S450" s="2">
        <v>0.34163800599999999</v>
      </c>
      <c r="T450" s="2">
        <v>0.41439261599999999</v>
      </c>
      <c r="U450" s="2">
        <v>0.36455194499999999</v>
      </c>
      <c r="V450" s="2">
        <v>0.32224921899999998</v>
      </c>
      <c r="W450" s="2">
        <v>0.34686125299999998</v>
      </c>
      <c r="X450" s="2">
        <v>0.316367654</v>
      </c>
      <c r="Y450" s="2">
        <v>0.358306917</v>
      </c>
      <c r="Z450" s="2">
        <v>0.26161589600000001</v>
      </c>
      <c r="AA450" s="2">
        <v>0.18340530999999999</v>
      </c>
      <c r="AB450" s="2">
        <v>0.15272690899999999</v>
      </c>
      <c r="AC450" s="2">
        <v>0.114852382</v>
      </c>
      <c r="AD450" s="2">
        <v>6.4046827000000001E-2</v>
      </c>
      <c r="AE450" s="2">
        <v>0.197127474</v>
      </c>
      <c r="AF450" s="2">
        <v>0.17460875200000001</v>
      </c>
      <c r="AG450" s="2">
        <v>0.138505035</v>
      </c>
      <c r="AH450" s="2">
        <v>0.1165054</v>
      </c>
      <c r="AI450" s="2">
        <v>0.21398964100000001</v>
      </c>
      <c r="AJ450" s="2">
        <v>0.25449796800000002</v>
      </c>
      <c r="AK450" s="2">
        <v>0.25022428000000002</v>
      </c>
      <c r="AL450" s="2">
        <v>0.286546256</v>
      </c>
      <c r="AM450" s="2">
        <v>0.365768818</v>
      </c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</row>
    <row r="451" spans="1:51" x14ac:dyDescent="0.2">
      <c r="A451" s="4"/>
      <c r="B451" s="2">
        <v>5724</v>
      </c>
      <c r="C451" s="2">
        <v>4688</v>
      </c>
      <c r="D451" s="2">
        <v>5627</v>
      </c>
      <c r="E451" s="2">
        <v>1388</v>
      </c>
      <c r="F451" s="2">
        <v>3287</v>
      </c>
      <c r="G451" s="2">
        <v>1043</v>
      </c>
      <c r="H451" s="2">
        <v>3283</v>
      </c>
      <c r="I451" s="2">
        <v>626</v>
      </c>
      <c r="J451" s="2">
        <v>1935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</row>
    <row r="452" spans="1:51" x14ac:dyDescent="0.2">
      <c r="A452" s="4" t="s">
        <v>36</v>
      </c>
      <c r="B452" s="2">
        <v>94.315989999999999</v>
      </c>
      <c r="C452" s="2">
        <v>108.11579999999999</v>
      </c>
      <c r="D452" s="2">
        <v>109.78870000000001</v>
      </c>
      <c r="E452" s="2">
        <v>114.17959999999999</v>
      </c>
      <c r="F452" s="2">
        <v>157.39449999999999</v>
      </c>
      <c r="G452" s="2">
        <v>229.7567</v>
      </c>
      <c r="H452" s="2">
        <v>231.67189999999999</v>
      </c>
      <c r="I452" s="2">
        <v>180.35480000000001</v>
      </c>
      <c r="J452" s="2">
        <v>145.72550000000001</v>
      </c>
      <c r="K452" s="2">
        <v>95.245249999999999</v>
      </c>
      <c r="L452" s="2">
        <v>54.257309999999997</v>
      </c>
      <c r="M452" s="2">
        <v>29.967179999999999</v>
      </c>
      <c r="N452" s="2">
        <v>31.664429999999999</v>
      </c>
      <c r="O452" s="2">
        <v>43.994349999999997</v>
      </c>
      <c r="P452" s="2">
        <v>52.681159999999998</v>
      </c>
      <c r="Q452" s="2">
        <v>105.7835</v>
      </c>
      <c r="R452" s="2">
        <v>131.58580000000001</v>
      </c>
      <c r="S452" s="2">
        <v>96.660690000000002</v>
      </c>
      <c r="T452" s="2">
        <v>67.470569999999995</v>
      </c>
      <c r="U452" s="2">
        <v>51.85284</v>
      </c>
      <c r="V452" s="2">
        <v>75.171300000000002</v>
      </c>
      <c r="W452" s="2">
        <v>111.25879999999999</v>
      </c>
      <c r="X452" s="2">
        <v>79.749650000000003</v>
      </c>
      <c r="Y452" s="2">
        <v>24.250869999999999</v>
      </c>
      <c r="Z452" s="2">
        <v>7.247058</v>
      </c>
      <c r="AA452" s="2">
        <v>35.283090000000001</v>
      </c>
      <c r="AB452" s="2">
        <v>50.332160000000002</v>
      </c>
      <c r="AC452" s="2">
        <v>64.504170000000002</v>
      </c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</row>
    <row r="453" spans="1:51" x14ac:dyDescent="0.2">
      <c r="A453" s="4" t="s">
        <v>37</v>
      </c>
      <c r="B453" s="2">
        <v>4.1926960940000004</v>
      </c>
      <c r="C453" s="2">
        <v>5.043809907</v>
      </c>
      <c r="D453" s="2">
        <v>5.5515183209999996</v>
      </c>
      <c r="E453" s="2">
        <v>4.36812413</v>
      </c>
      <c r="F453" s="2">
        <v>5.8198309899999998</v>
      </c>
      <c r="G453" s="2">
        <v>8.2543794669999997</v>
      </c>
      <c r="H453" s="2">
        <v>4.1060433940000003</v>
      </c>
      <c r="I453" s="2">
        <v>1.5061657610000001</v>
      </c>
      <c r="J453" s="2">
        <v>2.7801771039999998</v>
      </c>
      <c r="K453" s="2">
        <v>7.1432653850000003</v>
      </c>
      <c r="L453" s="2">
        <v>6.3329218330000003</v>
      </c>
      <c r="M453" s="2">
        <v>2.8145647949999999</v>
      </c>
      <c r="N453" s="2">
        <v>3.9472249769999999</v>
      </c>
      <c r="O453" s="2">
        <v>3.1981329430000001</v>
      </c>
      <c r="P453" s="2">
        <v>2.7687450309999999</v>
      </c>
      <c r="Q453" s="2">
        <v>3.65276033</v>
      </c>
      <c r="R453" s="2">
        <v>10.05051604</v>
      </c>
      <c r="S453" s="2">
        <v>17.912440149999998</v>
      </c>
      <c r="T453" s="2">
        <v>11.756000330000001</v>
      </c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</row>
    <row r="454" spans="1:51" x14ac:dyDescent="0.2">
      <c r="A454" s="4" t="s">
        <v>38</v>
      </c>
      <c r="B454" s="2">
        <v>1584.94748</v>
      </c>
      <c r="C454" s="2">
        <v>1417.3475800000001</v>
      </c>
      <c r="D454" s="2">
        <v>867.24394389999998</v>
      </c>
      <c r="E454" s="2">
        <v>712.38672610000003</v>
      </c>
      <c r="F454" s="2">
        <v>623.9566615</v>
      </c>
      <c r="G454" s="2">
        <v>762.38267150000001</v>
      </c>
      <c r="H454" s="2">
        <v>737.48028509999995</v>
      </c>
      <c r="I454" s="2">
        <v>1184.332369</v>
      </c>
      <c r="J454" s="2">
        <v>781.824704</v>
      </c>
      <c r="K454" s="2">
        <v>950.50324990000001</v>
      </c>
      <c r="L454" s="2">
        <v>873.47398380000004</v>
      </c>
      <c r="M454" s="2">
        <v>1107.1835840000001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</row>
    <row r="455" spans="1:51" x14ac:dyDescent="0.2">
      <c r="A455" s="4" t="s">
        <v>39</v>
      </c>
      <c r="B455" s="2" t="s">
        <v>48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</row>
    <row r="456" spans="1:51" x14ac:dyDescent="0.2">
      <c r="A456" s="4" t="s">
        <v>40</v>
      </c>
      <c r="B456" s="2">
        <v>706</v>
      </c>
      <c r="C456" s="2">
        <v>640</v>
      </c>
      <c r="D456" s="2">
        <v>820</v>
      </c>
      <c r="E456" s="2">
        <v>1120</v>
      </c>
      <c r="F456" s="2">
        <v>1190</v>
      </c>
      <c r="G456" s="2">
        <v>740</v>
      </c>
      <c r="H456" s="2">
        <v>528</v>
      </c>
      <c r="I456" s="2">
        <v>528</v>
      </c>
      <c r="J456" s="2">
        <v>822</v>
      </c>
      <c r="K456" s="2">
        <v>638.4</v>
      </c>
      <c r="L456" s="2">
        <v>628</v>
      </c>
      <c r="M456" s="2">
        <v>97.4</v>
      </c>
      <c r="N456" s="2">
        <v>65.599999999999994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</row>
    <row r="457" spans="1:51" x14ac:dyDescent="0.2">
      <c r="A457" s="4" t="s">
        <v>41</v>
      </c>
      <c r="B457" s="2">
        <v>49.5</v>
      </c>
      <c r="C457" s="2">
        <v>162</v>
      </c>
      <c r="D457" s="2">
        <v>61.5</v>
      </c>
      <c r="E457" s="2">
        <v>106.5</v>
      </c>
      <c r="F457" s="2">
        <v>67</v>
      </c>
      <c r="G457" s="2">
        <v>121</v>
      </c>
      <c r="H457" s="2">
        <v>56</v>
      </c>
      <c r="I457" s="2">
        <v>137.5</v>
      </c>
      <c r="J457" s="2">
        <v>129.5</v>
      </c>
      <c r="K457" s="2">
        <v>9</v>
      </c>
      <c r="L457" s="2">
        <v>220</v>
      </c>
      <c r="M457" s="2">
        <v>216</v>
      </c>
      <c r="N457" s="2">
        <v>115</v>
      </c>
      <c r="O457" s="2">
        <v>72</v>
      </c>
      <c r="P457" s="2">
        <v>43.5</v>
      </c>
      <c r="Q457" s="2">
        <v>229.5</v>
      </c>
      <c r="R457" s="2">
        <v>293.62200000000001</v>
      </c>
      <c r="S457" s="2">
        <v>305.23500000000001</v>
      </c>
      <c r="T457" s="2">
        <v>187.8193354</v>
      </c>
      <c r="U457" s="2">
        <v>743.53483700000004</v>
      </c>
      <c r="V457" s="2">
        <v>864.13400000000001</v>
      </c>
      <c r="W457" s="2" t="s">
        <v>47</v>
      </c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</row>
    <row r="458" spans="1:51" x14ac:dyDescent="0.2">
      <c r="A458" s="4" t="s">
        <v>42</v>
      </c>
      <c r="B458" s="2">
        <v>0.170803971</v>
      </c>
      <c r="C458" s="2">
        <v>0.156594969</v>
      </c>
      <c r="D458" s="2">
        <v>0.138858118</v>
      </c>
      <c r="E458" s="2">
        <v>0.117140337</v>
      </c>
      <c r="F458" s="2">
        <v>0.14009451000000001</v>
      </c>
      <c r="G458" s="2">
        <v>0.12423517100000001</v>
      </c>
      <c r="H458" s="2">
        <v>0.122535053</v>
      </c>
      <c r="I458" s="2">
        <v>0.105525618</v>
      </c>
      <c r="J458" s="2">
        <v>0.11903965599999999</v>
      </c>
      <c r="K458" s="2">
        <v>0.11206780500000001</v>
      </c>
      <c r="L458" s="2">
        <v>9.9739844999999994E-2</v>
      </c>
      <c r="M458" s="2">
        <v>0.10811870799999999</v>
      </c>
      <c r="N458" s="2">
        <v>9.7654862999999995E-2</v>
      </c>
      <c r="O458" s="2">
        <v>9.8052407999999994E-2</v>
      </c>
      <c r="P458" s="2">
        <v>8.0752803999999997E-2</v>
      </c>
      <c r="Q458" s="2">
        <v>6.8442543999999994E-2</v>
      </c>
      <c r="R458" s="2">
        <v>6.9985686000000005E-2</v>
      </c>
      <c r="S458" s="2">
        <v>6.8327601000000002E-2</v>
      </c>
      <c r="T458" s="2">
        <v>8.2878522999999996E-2</v>
      </c>
      <c r="U458" s="2">
        <v>7.2910389000000006E-2</v>
      </c>
      <c r="V458" s="2">
        <v>6.4449844000000006E-2</v>
      </c>
      <c r="W458" s="2">
        <v>6.9372250999999996E-2</v>
      </c>
      <c r="X458" s="2">
        <v>6.3273530999999994E-2</v>
      </c>
      <c r="Y458" s="2">
        <v>7.1661382999999995E-2</v>
      </c>
      <c r="Z458" s="2">
        <v>5.2323178999999997E-2</v>
      </c>
      <c r="AA458" s="2">
        <v>3.6681062E-2</v>
      </c>
      <c r="AB458" s="2">
        <v>3.0545381999999999E-2</v>
      </c>
      <c r="AC458" s="2">
        <v>2.2970476E-2</v>
      </c>
      <c r="AD458" s="2">
        <v>1.2809365E-2</v>
      </c>
      <c r="AE458" s="2">
        <v>3.9425494999999998E-2</v>
      </c>
      <c r="AF458" s="2">
        <v>3.4921750000000001E-2</v>
      </c>
      <c r="AG458" s="2">
        <v>2.7701007E-2</v>
      </c>
      <c r="AH458" s="2">
        <v>2.3301079999999998E-2</v>
      </c>
      <c r="AI458" s="2">
        <v>4.2797927999999999E-2</v>
      </c>
      <c r="AJ458" s="2">
        <v>5.0899593999999999E-2</v>
      </c>
      <c r="AK458" s="2">
        <v>5.0044855999999999E-2</v>
      </c>
      <c r="AL458" s="2">
        <v>5.7309250999999999E-2</v>
      </c>
      <c r="AM458" s="2">
        <v>7.3153763999999996E-2</v>
      </c>
      <c r="AN458" s="2" t="s">
        <v>49</v>
      </c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</row>
    <row r="459" spans="1:51" x14ac:dyDescent="0.2">
      <c r="A459" s="4" t="s">
        <v>43</v>
      </c>
      <c r="B459" s="2">
        <v>2862</v>
      </c>
      <c r="C459" s="2">
        <v>2344</v>
      </c>
      <c r="D459" s="2">
        <v>2813.5</v>
      </c>
      <c r="E459" s="2">
        <v>694</v>
      </c>
      <c r="F459" s="2">
        <v>1643.5</v>
      </c>
      <c r="G459" s="2">
        <v>521.5</v>
      </c>
      <c r="H459" s="2">
        <v>1641.5</v>
      </c>
      <c r="I459" s="2">
        <v>313</v>
      </c>
      <c r="J459" s="2">
        <v>967.5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</row>
    <row r="460" spans="1:51" x14ac:dyDescent="0.2">
      <c r="A460" s="4"/>
      <c r="B460" s="2">
        <v>18.863199999999999</v>
      </c>
      <c r="C460" s="2">
        <v>21.623159999999999</v>
      </c>
      <c r="D460" s="2">
        <v>21.957740000000001</v>
      </c>
      <c r="E460" s="2">
        <v>22.835909999999998</v>
      </c>
      <c r="F460" s="2">
        <v>31.478899999999999</v>
      </c>
      <c r="G460" s="2">
        <v>45.951329999999999</v>
      </c>
      <c r="H460" s="2">
        <v>46.334380000000003</v>
      </c>
      <c r="I460" s="2">
        <v>36.070970000000003</v>
      </c>
      <c r="J460" s="2">
        <v>29.14509</v>
      </c>
      <c r="K460" s="2">
        <v>19.049050000000001</v>
      </c>
      <c r="L460" s="2">
        <v>10.851459999999999</v>
      </c>
      <c r="M460" s="2">
        <v>5.993436</v>
      </c>
      <c r="N460" s="2">
        <v>6.3328860000000002</v>
      </c>
      <c r="O460" s="2">
        <v>8.7988700000000009</v>
      </c>
      <c r="P460" s="2">
        <v>10.53623</v>
      </c>
      <c r="Q460" s="2">
        <v>21.156700000000001</v>
      </c>
      <c r="R460" s="2">
        <v>26.317150000000002</v>
      </c>
      <c r="S460" s="2">
        <v>19.332139999999999</v>
      </c>
      <c r="T460" s="2">
        <v>13.494109999999999</v>
      </c>
      <c r="U460" s="2">
        <v>10.370570000000001</v>
      </c>
      <c r="V460" s="2">
        <v>15.03426</v>
      </c>
      <c r="W460" s="2">
        <v>22.251750000000001</v>
      </c>
      <c r="X460" s="2">
        <v>15.94993</v>
      </c>
      <c r="Y460" s="2">
        <v>4.8501729999999998</v>
      </c>
      <c r="Z460" s="2">
        <v>1.4494119999999999</v>
      </c>
      <c r="AA460" s="2">
        <v>7.0566180000000003</v>
      </c>
      <c r="AB460" s="2">
        <v>10.06643</v>
      </c>
      <c r="AC460" s="2">
        <v>12.900829999999999</v>
      </c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</row>
    <row r="461" spans="1:51" x14ac:dyDescent="0.2">
      <c r="A461" s="4" t="s">
        <v>36</v>
      </c>
      <c r="B461" s="2">
        <v>0.83853921899999995</v>
      </c>
      <c r="C461" s="2">
        <v>1.0087619809999999</v>
      </c>
      <c r="D461" s="2">
        <v>1.1103036639999999</v>
      </c>
      <c r="E461" s="2">
        <v>0.87362482600000002</v>
      </c>
      <c r="F461" s="2">
        <v>1.163966198</v>
      </c>
      <c r="G461" s="2">
        <v>1.650875893</v>
      </c>
      <c r="H461" s="2">
        <v>0.82120867900000005</v>
      </c>
      <c r="I461" s="2">
        <v>0.301233152</v>
      </c>
      <c r="J461" s="2">
        <v>0.55603542100000003</v>
      </c>
      <c r="K461" s="2">
        <v>1.4286530770000001</v>
      </c>
      <c r="L461" s="2">
        <v>1.2665843670000001</v>
      </c>
      <c r="M461" s="2">
        <v>0.56291295900000005</v>
      </c>
      <c r="N461" s="2">
        <v>0.78944499499999998</v>
      </c>
      <c r="O461" s="2">
        <v>0.63962658900000002</v>
      </c>
      <c r="P461" s="2">
        <v>0.55374900599999999</v>
      </c>
      <c r="Q461" s="2">
        <v>0.730552066</v>
      </c>
      <c r="R461" s="2">
        <v>2.0101032079999999</v>
      </c>
      <c r="S461" s="2">
        <v>3.582488031</v>
      </c>
      <c r="T461" s="2">
        <v>2.3512000670000002</v>
      </c>
      <c r="U461" s="2" t="s">
        <v>49</v>
      </c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</row>
    <row r="462" spans="1:51" x14ac:dyDescent="0.2">
      <c r="A462" s="4" t="s">
        <v>37</v>
      </c>
      <c r="B462" s="2">
        <v>316.98949599999997</v>
      </c>
      <c r="C462" s="2">
        <v>283.469516</v>
      </c>
      <c r="D462" s="2">
        <v>173.44878879999999</v>
      </c>
      <c r="E462" s="2">
        <v>142.4773452</v>
      </c>
      <c r="F462" s="2">
        <v>124.79133229999999</v>
      </c>
      <c r="G462" s="2">
        <v>152.4765343</v>
      </c>
      <c r="H462" s="2">
        <v>147.49605700000001</v>
      </c>
      <c r="I462" s="2">
        <v>236.86647389999999</v>
      </c>
      <c r="J462" s="2">
        <v>156.3649408</v>
      </c>
      <c r="K462" s="2">
        <v>190.10065</v>
      </c>
      <c r="L462" s="2">
        <v>174.69479680000001</v>
      </c>
      <c r="M462" s="2">
        <v>221.43671670000001</v>
      </c>
      <c r="N462" s="2" t="s">
        <v>49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</row>
    <row r="463" spans="1:51" x14ac:dyDescent="0.2">
      <c r="A463" s="4" t="s">
        <v>38</v>
      </c>
      <c r="B463" s="2" t="s">
        <v>50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</row>
    <row r="464" spans="1:51" x14ac:dyDescent="0.2">
      <c r="A464" s="4" t="s">
        <v>39</v>
      </c>
      <c r="B464" s="2">
        <v>13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</row>
    <row r="465" spans="1:51" x14ac:dyDescent="0.2">
      <c r="A465" s="4" t="s">
        <v>40</v>
      </c>
      <c r="B465" s="2">
        <v>15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</row>
    <row r="466" spans="1:51" x14ac:dyDescent="0.2">
      <c r="A466" s="4" t="s">
        <v>41</v>
      </c>
      <c r="B466" s="2">
        <v>0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</row>
    <row r="467" spans="1:51" x14ac:dyDescent="0.2">
      <c r="A467" s="4" t="s">
        <v>42</v>
      </c>
      <c r="B467" s="2">
        <v>6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</row>
    <row r="468" spans="1:51" x14ac:dyDescent="0.2">
      <c r="A468" s="4" t="s">
        <v>43</v>
      </c>
      <c r="B468" s="2">
        <v>0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</row>
    <row r="469" spans="1:51" x14ac:dyDescent="0.2">
      <c r="A469" s="4"/>
      <c r="B469" s="2">
        <v>0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</row>
    <row r="470" spans="1:51" x14ac:dyDescent="0.2">
      <c r="A470" s="4" t="s">
        <v>36</v>
      </c>
      <c r="B470" s="2">
        <v>0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</row>
    <row r="471" spans="1:51" x14ac:dyDescent="0.2">
      <c r="A471" s="4" t="s">
        <v>37</v>
      </c>
      <c r="B471" s="2" t="s">
        <v>51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</row>
    <row r="472" spans="1:51" x14ac:dyDescent="0.2">
      <c r="A472" s="4" t="s">
        <v>38</v>
      </c>
      <c r="B472" s="2">
        <v>0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</row>
    <row r="473" spans="1:51" x14ac:dyDescent="0.2">
      <c r="A473" s="4" t="s">
        <v>39</v>
      </c>
      <c r="B473" s="2">
        <v>0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</row>
    <row r="474" spans="1:51" x14ac:dyDescent="0.2">
      <c r="A474" s="4" t="s">
        <v>40</v>
      </c>
      <c r="B474" s="2">
        <v>0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</row>
    <row r="475" spans="1:51" x14ac:dyDescent="0.2">
      <c r="A475" s="4" t="s">
        <v>41</v>
      </c>
      <c r="B475" s="2">
        <v>0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</row>
    <row r="476" spans="1:51" x14ac:dyDescent="0.2">
      <c r="A476" s="4" t="s">
        <v>42</v>
      </c>
      <c r="B476" s="2">
        <v>0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</row>
    <row r="477" spans="1:51" x14ac:dyDescent="0.2">
      <c r="A477" s="4" t="s">
        <v>43</v>
      </c>
      <c r="B477" s="2">
        <v>0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</row>
    <row r="478" spans="1:51" x14ac:dyDescent="0.2">
      <c r="A478" s="4"/>
      <c r="B478" s="2">
        <v>0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</row>
    <row r="479" spans="1:51" x14ac:dyDescent="0.2">
      <c r="A479" s="4"/>
      <c r="B479" s="2" t="s">
        <v>52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</row>
    <row r="480" spans="1:51" x14ac:dyDescent="0.2">
      <c r="A480" s="4" t="s">
        <v>54</v>
      </c>
      <c r="B480" s="2" t="s">
        <v>53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</row>
    <row r="481" spans="1:51" x14ac:dyDescent="0.2">
      <c r="A481" s="4" t="s">
        <v>55</v>
      </c>
      <c r="B481" s="2">
        <v>1997</v>
      </c>
      <c r="C481" s="2">
        <v>1998</v>
      </c>
      <c r="D481" s="2">
        <v>1999</v>
      </c>
      <c r="E481" s="2">
        <v>2000</v>
      </c>
      <c r="F481" s="2">
        <v>2001</v>
      </c>
      <c r="G481" s="2">
        <v>2002</v>
      </c>
      <c r="H481" s="2">
        <v>2003</v>
      </c>
      <c r="I481" s="2">
        <v>2004</v>
      </c>
      <c r="J481" s="2">
        <v>2005</v>
      </c>
      <c r="K481" s="2">
        <v>2006</v>
      </c>
      <c r="L481" s="2">
        <v>2007</v>
      </c>
      <c r="M481" s="2">
        <v>2008</v>
      </c>
      <c r="N481" s="2">
        <v>2009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</row>
    <row r="482" spans="1:51" x14ac:dyDescent="0.2">
      <c r="A482" s="4" t="s">
        <v>56</v>
      </c>
      <c r="B482" s="2">
        <v>2006</v>
      </c>
      <c r="C482" s="2">
        <v>2007</v>
      </c>
      <c r="D482" s="2">
        <v>2008</v>
      </c>
      <c r="E482" s="2">
        <v>2009</v>
      </c>
      <c r="F482" s="2">
        <v>2010</v>
      </c>
      <c r="G482" s="2">
        <v>2011</v>
      </c>
      <c r="H482" s="2">
        <v>2012</v>
      </c>
      <c r="I482" s="2">
        <v>2013</v>
      </c>
      <c r="J482" s="2">
        <v>2014</v>
      </c>
      <c r="K482" s="2">
        <v>2015</v>
      </c>
      <c r="L482" s="2">
        <v>2016</v>
      </c>
      <c r="M482" s="2">
        <v>2017</v>
      </c>
      <c r="N482" s="2">
        <v>2018</v>
      </c>
      <c r="O482" s="2">
        <v>2019</v>
      </c>
      <c r="P482" s="2">
        <v>2020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</row>
    <row r="483" spans="1:51" x14ac:dyDescent="0.2">
      <c r="A483" s="4"/>
      <c r="B483" s="2">
        <v>2001</v>
      </c>
      <c r="C483" s="2">
        <v>2003</v>
      </c>
      <c r="D483" s="2">
        <v>2004</v>
      </c>
      <c r="E483" s="2">
        <v>2005</v>
      </c>
      <c r="F483" s="2">
        <v>2006</v>
      </c>
      <c r="G483" s="2">
        <v>2008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</row>
    <row r="484" spans="1:51" x14ac:dyDescent="0.2">
      <c r="A484" s="4" t="s">
        <v>54</v>
      </c>
      <c r="B484" s="2" t="s">
        <v>57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</row>
    <row r="485" spans="1:51" x14ac:dyDescent="0.2">
      <c r="A485" s="4" t="s">
        <v>55</v>
      </c>
      <c r="B485" s="2">
        <v>4.0710947549999998</v>
      </c>
      <c r="C485" s="2">
        <v>4.0710947549999998</v>
      </c>
      <c r="D485" s="2">
        <v>4.0710947549999998</v>
      </c>
      <c r="E485" s="2">
        <v>4.0710947549999998</v>
      </c>
      <c r="F485" s="2">
        <v>4.0710947549999998</v>
      </c>
      <c r="G485" s="2">
        <v>4.0710947549999998</v>
      </c>
      <c r="H485" s="2">
        <v>4.0710947549999998</v>
      </c>
      <c r="I485" s="2">
        <v>4.0710947549999998</v>
      </c>
      <c r="J485" s="2">
        <v>4.0710947549999998</v>
      </c>
      <c r="K485" s="2">
        <v>4.0710947549999998</v>
      </c>
      <c r="L485" s="2">
        <v>4.0710947549999998</v>
      </c>
      <c r="M485" s="2">
        <v>4.0710947549999998</v>
      </c>
      <c r="N485" s="2">
        <v>4.0710947549999998</v>
      </c>
      <c r="O485" s="2"/>
      <c r="P485" s="2" t="s">
        <v>58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</row>
    <row r="486" spans="1:51" x14ac:dyDescent="0.2">
      <c r="A486" s="4" t="s">
        <v>56</v>
      </c>
      <c r="B486" s="2">
        <v>5.3689065149999999</v>
      </c>
      <c r="C486" s="2">
        <v>5.3689065149999999</v>
      </c>
      <c r="D486" s="2">
        <v>5.3689065149999999</v>
      </c>
      <c r="E486" s="2">
        <v>5.3689065149999999</v>
      </c>
      <c r="F486" s="2">
        <v>5.3689065149999999</v>
      </c>
      <c r="G486" s="2">
        <v>5.3689065149999999</v>
      </c>
      <c r="H486" s="2">
        <v>5.3689065149999999</v>
      </c>
      <c r="I486" s="2">
        <v>5.3689065149999999</v>
      </c>
      <c r="J486" s="2">
        <v>5.3689065149999999</v>
      </c>
      <c r="K486" s="2">
        <v>5.3689065149999999</v>
      </c>
      <c r="L486" s="2">
        <v>5.3689065149999999</v>
      </c>
      <c r="M486" s="2">
        <v>5.3689065149999999</v>
      </c>
      <c r="N486" s="2">
        <v>5.3689065149999999</v>
      </c>
      <c r="O486" s="2">
        <v>5.3689065149999999</v>
      </c>
      <c r="P486" s="2">
        <v>5.3689065149999999</v>
      </c>
      <c r="Q486" s="2" t="s">
        <v>59</v>
      </c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</row>
    <row r="487" spans="1:51" x14ac:dyDescent="0.2">
      <c r="A487" s="4"/>
      <c r="B487" s="2">
        <v>26.088700119999999</v>
      </c>
      <c r="C487" s="2">
        <v>26.088700119999999</v>
      </c>
      <c r="D487" s="2">
        <v>26.088700119999999</v>
      </c>
      <c r="E487" s="2">
        <v>26.088700119999999</v>
      </c>
      <c r="F487" s="2">
        <v>26.088700119999999</v>
      </c>
      <c r="G487" s="2">
        <v>26.088700119999999</v>
      </c>
      <c r="H487" s="2"/>
      <c r="I487" s="2"/>
      <c r="J487" s="2"/>
      <c r="K487" s="2"/>
      <c r="L487" s="2"/>
      <c r="M487" s="2"/>
      <c r="N487" s="2"/>
      <c r="O487" s="2"/>
      <c r="P487" s="2" t="s">
        <v>60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</row>
    <row r="488" spans="1:51" x14ac:dyDescent="0.2">
      <c r="A488" s="4" t="s">
        <v>62</v>
      </c>
      <c r="B488" s="2" t="s">
        <v>61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</row>
    <row r="489" spans="1:51" x14ac:dyDescent="0.2">
      <c r="A489" s="4">
        <v>1998</v>
      </c>
      <c r="B489" s="2">
        <v>74</v>
      </c>
      <c r="C489" s="2">
        <v>265</v>
      </c>
      <c r="D489" s="2">
        <v>7857</v>
      </c>
      <c r="E489" s="2">
        <v>8492</v>
      </c>
      <c r="F489" s="2">
        <v>2422</v>
      </c>
      <c r="G489" s="2">
        <v>668</v>
      </c>
      <c r="H489" s="2">
        <v>131</v>
      </c>
      <c r="I489" s="2">
        <v>115</v>
      </c>
      <c r="J489" s="2">
        <v>128</v>
      </c>
      <c r="K489" s="2">
        <v>75</v>
      </c>
      <c r="L489" s="2">
        <v>76</v>
      </c>
      <c r="M489" s="2">
        <v>95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</row>
    <row r="490" spans="1:51" x14ac:dyDescent="0.2">
      <c r="A490" s="4">
        <v>1999</v>
      </c>
      <c r="B490" s="2">
        <v>3</v>
      </c>
      <c r="C490" s="2">
        <v>119</v>
      </c>
      <c r="D490" s="2">
        <v>10599</v>
      </c>
      <c r="E490" s="2">
        <v>9851</v>
      </c>
      <c r="F490" s="2">
        <v>912</v>
      </c>
      <c r="G490" s="2">
        <v>236</v>
      </c>
      <c r="H490" s="2">
        <v>142</v>
      </c>
      <c r="I490" s="2">
        <v>241</v>
      </c>
      <c r="J490" s="2">
        <v>166</v>
      </c>
      <c r="K490" s="2">
        <v>24</v>
      </c>
      <c r="L490" s="2">
        <v>4</v>
      </c>
      <c r="M490" s="2">
        <v>6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</row>
    <row r="491" spans="1:51" x14ac:dyDescent="0.2">
      <c r="A491" s="4">
        <v>2000</v>
      </c>
      <c r="B491" s="2">
        <v>0</v>
      </c>
      <c r="C491" s="2">
        <v>365</v>
      </c>
      <c r="D491" s="2">
        <v>5368</v>
      </c>
      <c r="E491" s="2">
        <v>7891</v>
      </c>
      <c r="F491" s="2">
        <v>1963</v>
      </c>
      <c r="G491" s="2">
        <v>1014</v>
      </c>
      <c r="H491" s="2">
        <v>377</v>
      </c>
      <c r="I491" s="2">
        <v>194</v>
      </c>
      <c r="J491" s="2">
        <v>500</v>
      </c>
      <c r="K491" s="2">
        <v>357</v>
      </c>
      <c r="L491" s="2">
        <v>212</v>
      </c>
      <c r="M491" s="2">
        <v>63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</row>
    <row r="492" spans="1:51" x14ac:dyDescent="0.2">
      <c r="A492" s="4">
        <v>2001</v>
      </c>
      <c r="B492" s="2">
        <v>0</v>
      </c>
      <c r="C492" s="2">
        <v>0</v>
      </c>
      <c r="D492" s="2">
        <v>2529</v>
      </c>
      <c r="E492" s="2">
        <v>11296</v>
      </c>
      <c r="F492" s="2">
        <v>7864</v>
      </c>
      <c r="G492" s="2">
        <v>2787</v>
      </c>
      <c r="H492" s="2">
        <v>567</v>
      </c>
      <c r="I492" s="2">
        <v>113</v>
      </c>
      <c r="J492" s="2">
        <v>42</v>
      </c>
      <c r="K492" s="2">
        <v>20</v>
      </c>
      <c r="L492" s="2">
        <v>16</v>
      </c>
      <c r="M492" s="2">
        <v>20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</row>
    <row r="493" spans="1:51" x14ac:dyDescent="0.2">
      <c r="A493" s="4">
        <v>2002</v>
      </c>
      <c r="B493" s="2">
        <v>0</v>
      </c>
      <c r="C493" s="2">
        <v>280</v>
      </c>
      <c r="D493" s="2">
        <v>6596</v>
      </c>
      <c r="E493" s="2">
        <v>14354</v>
      </c>
      <c r="F493" s="2">
        <v>7124</v>
      </c>
      <c r="G493" s="2">
        <v>1792</v>
      </c>
      <c r="H493" s="2">
        <v>428</v>
      </c>
      <c r="I493" s="2">
        <v>241</v>
      </c>
      <c r="J493" s="2">
        <v>177</v>
      </c>
      <c r="K493" s="2">
        <v>103</v>
      </c>
      <c r="L493" s="2">
        <v>44</v>
      </c>
      <c r="M493" s="2">
        <v>7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</row>
    <row r="494" spans="1:51" x14ac:dyDescent="0.2">
      <c r="A494" s="4">
        <v>2003</v>
      </c>
      <c r="B494" s="2">
        <v>0</v>
      </c>
      <c r="C494" s="2">
        <v>1</v>
      </c>
      <c r="D494" s="2">
        <v>498</v>
      </c>
      <c r="E494" s="2">
        <v>2217</v>
      </c>
      <c r="F494" s="2">
        <v>1833</v>
      </c>
      <c r="G494" s="2">
        <v>2363</v>
      </c>
      <c r="H494" s="2">
        <v>565</v>
      </c>
      <c r="I494" s="2">
        <v>280</v>
      </c>
      <c r="J494" s="2">
        <v>80</v>
      </c>
      <c r="K494" s="2">
        <v>21</v>
      </c>
      <c r="L494" s="2">
        <v>7</v>
      </c>
      <c r="M494" s="2">
        <v>2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</row>
    <row r="495" spans="1:51" x14ac:dyDescent="0.2">
      <c r="A495" s="4">
        <v>2004</v>
      </c>
      <c r="B495" s="2">
        <v>0</v>
      </c>
      <c r="C495" s="2">
        <v>1</v>
      </c>
      <c r="D495" s="2">
        <v>276</v>
      </c>
      <c r="E495" s="2">
        <v>2132</v>
      </c>
      <c r="F495" s="2">
        <v>3089</v>
      </c>
      <c r="G495" s="2">
        <v>2343</v>
      </c>
      <c r="H495" s="2">
        <v>680</v>
      </c>
      <c r="I495" s="2">
        <v>200</v>
      </c>
      <c r="J495" s="2">
        <v>156</v>
      </c>
      <c r="K495" s="2">
        <v>115</v>
      </c>
      <c r="L495" s="2">
        <v>54</v>
      </c>
      <c r="M495" s="2">
        <v>41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</row>
    <row r="496" spans="1:51" x14ac:dyDescent="0.2">
      <c r="A496" s="4">
        <v>2005</v>
      </c>
      <c r="B496" s="2">
        <v>0</v>
      </c>
      <c r="C496" s="2">
        <v>0</v>
      </c>
      <c r="D496" s="2">
        <v>120</v>
      </c>
      <c r="E496" s="2">
        <v>662</v>
      </c>
      <c r="F496" s="2">
        <v>1833</v>
      </c>
      <c r="G496" s="2">
        <v>2277</v>
      </c>
      <c r="H496" s="2">
        <v>1709</v>
      </c>
      <c r="I496" s="2">
        <v>1128</v>
      </c>
      <c r="J496" s="2">
        <v>910</v>
      </c>
      <c r="K496" s="2">
        <v>893</v>
      </c>
      <c r="L496" s="2">
        <v>320</v>
      </c>
      <c r="M496" s="2">
        <v>62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</row>
    <row r="497" spans="1:51" x14ac:dyDescent="0.2">
      <c r="A497" s="4">
        <v>2006</v>
      </c>
      <c r="B497" s="2">
        <v>0</v>
      </c>
      <c r="C497" s="2">
        <v>0</v>
      </c>
      <c r="D497" s="2">
        <v>0</v>
      </c>
      <c r="E497" s="2">
        <v>1210</v>
      </c>
      <c r="F497" s="2">
        <v>2670</v>
      </c>
      <c r="G497" s="2">
        <v>5250</v>
      </c>
      <c r="H497" s="2">
        <v>2377</v>
      </c>
      <c r="I497" s="2">
        <v>701</v>
      </c>
      <c r="J497" s="2">
        <v>320</v>
      </c>
      <c r="K497" s="2">
        <v>64</v>
      </c>
      <c r="L497" s="2">
        <v>82</v>
      </c>
      <c r="M497" s="2">
        <v>188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</row>
    <row r="498" spans="1:51" x14ac:dyDescent="0.2">
      <c r="A498" s="4">
        <v>2007</v>
      </c>
      <c r="B498" s="2">
        <v>0</v>
      </c>
      <c r="C498" s="2">
        <v>0</v>
      </c>
      <c r="D498" s="2">
        <v>0</v>
      </c>
      <c r="E498" s="2">
        <v>12</v>
      </c>
      <c r="F498" s="2">
        <v>1799</v>
      </c>
      <c r="G498" s="2">
        <v>4266</v>
      </c>
      <c r="H498" s="2">
        <v>2625</v>
      </c>
      <c r="I498" s="2">
        <v>511</v>
      </c>
      <c r="J498" s="2">
        <v>322</v>
      </c>
      <c r="K498" s="2">
        <v>188</v>
      </c>
      <c r="L498" s="2">
        <v>110</v>
      </c>
      <c r="M498" s="2">
        <v>70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</row>
    <row r="499" spans="1:51" x14ac:dyDescent="0.2">
      <c r="A499" s="4">
        <v>2008</v>
      </c>
      <c r="B499" s="2">
        <v>0</v>
      </c>
      <c r="C499" s="2">
        <v>0</v>
      </c>
      <c r="D499" s="2">
        <v>0</v>
      </c>
      <c r="E499" s="2">
        <v>0</v>
      </c>
      <c r="F499" s="2">
        <v>1</v>
      </c>
      <c r="G499" s="2">
        <v>339</v>
      </c>
      <c r="H499" s="2">
        <v>1113</v>
      </c>
      <c r="I499" s="2">
        <v>1058</v>
      </c>
      <c r="J499" s="2">
        <v>976</v>
      </c>
      <c r="K499" s="2">
        <v>869</v>
      </c>
      <c r="L499" s="2">
        <v>439</v>
      </c>
      <c r="M499" s="2">
        <v>411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</row>
    <row r="500" spans="1:51" x14ac:dyDescent="0.2">
      <c r="A500" s="4">
        <v>2009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96</v>
      </c>
      <c r="H500" s="2">
        <v>317</v>
      </c>
      <c r="I500" s="2">
        <v>256</v>
      </c>
      <c r="J500" s="2">
        <v>117</v>
      </c>
      <c r="K500" s="2">
        <v>87</v>
      </c>
      <c r="L500" s="2">
        <v>34</v>
      </c>
      <c r="M500" s="2">
        <v>49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</row>
    <row r="501" spans="1:51" x14ac:dyDescent="0.2">
      <c r="A501" s="4" t="s">
        <v>63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7</v>
      </c>
      <c r="I501" s="2">
        <v>265</v>
      </c>
      <c r="J501" s="2">
        <v>169</v>
      </c>
      <c r="K501" s="2">
        <v>143</v>
      </c>
      <c r="L501" s="2">
        <v>127</v>
      </c>
      <c r="M501" s="2">
        <v>98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</row>
    <row r="502" spans="1:51" x14ac:dyDescent="0.2">
      <c r="A502" s="4">
        <v>2007</v>
      </c>
      <c r="B502" s="2">
        <v>116822</v>
      </c>
      <c r="C502" s="2">
        <v>403538</v>
      </c>
      <c r="D502" s="2">
        <v>272612</v>
      </c>
      <c r="E502" s="2">
        <v>154651</v>
      </c>
      <c r="F502" s="2">
        <v>21715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</row>
    <row r="503" spans="1:51" x14ac:dyDescent="0.2">
      <c r="A503" s="4">
        <v>2008</v>
      </c>
      <c r="B503" s="2">
        <v>273</v>
      </c>
      <c r="C503" s="2">
        <v>69043</v>
      </c>
      <c r="D503" s="2">
        <v>241335</v>
      </c>
      <c r="E503" s="2">
        <v>755691</v>
      </c>
      <c r="F503" s="2">
        <v>292140</v>
      </c>
      <c r="G503" s="2">
        <v>19746</v>
      </c>
      <c r="H503" s="2">
        <v>2980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</row>
    <row r="504" spans="1:51" x14ac:dyDescent="0.2">
      <c r="A504" s="4">
        <v>2009</v>
      </c>
      <c r="B504" s="2">
        <v>14998</v>
      </c>
      <c r="C504" s="2">
        <v>1664458</v>
      </c>
      <c r="D504" s="2">
        <v>1622848</v>
      </c>
      <c r="E504" s="2">
        <v>41648</v>
      </c>
      <c r="F504" s="2">
        <v>45795</v>
      </c>
      <c r="G504" s="2">
        <v>16174</v>
      </c>
      <c r="H504" s="2">
        <v>145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</row>
    <row r="505" spans="1:51" x14ac:dyDescent="0.2">
      <c r="A505" s="4">
        <v>2010</v>
      </c>
      <c r="B505" s="2">
        <v>0</v>
      </c>
      <c r="C505" s="2">
        <v>54510</v>
      </c>
      <c r="D505" s="2">
        <v>55714</v>
      </c>
      <c r="E505" s="2">
        <v>20943</v>
      </c>
      <c r="F505" s="2">
        <v>392</v>
      </c>
      <c r="G505" s="2">
        <v>721</v>
      </c>
      <c r="H505" s="2">
        <v>129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</row>
    <row r="506" spans="1:51" x14ac:dyDescent="0.2">
      <c r="A506" s="4">
        <v>2011</v>
      </c>
      <c r="B506" s="2">
        <v>0</v>
      </c>
      <c r="C506" s="2">
        <v>10321</v>
      </c>
      <c r="D506" s="2">
        <v>175262</v>
      </c>
      <c r="E506" s="2">
        <v>1671927</v>
      </c>
      <c r="F506" s="2">
        <v>401742</v>
      </c>
      <c r="G506" s="2">
        <v>79272</v>
      </c>
      <c r="H506" s="2">
        <v>20972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</row>
    <row r="507" spans="1:51" x14ac:dyDescent="0.2">
      <c r="A507" s="4">
        <v>2012</v>
      </c>
      <c r="B507" s="2">
        <v>0</v>
      </c>
      <c r="C507" s="2">
        <v>764206</v>
      </c>
      <c r="D507" s="2">
        <v>350733</v>
      </c>
      <c r="E507" s="2">
        <v>1429044</v>
      </c>
      <c r="F507" s="2">
        <v>103679</v>
      </c>
      <c r="G507" s="2">
        <v>144140</v>
      </c>
      <c r="H507" s="2">
        <v>37702</v>
      </c>
      <c r="I507" s="2">
        <v>2300</v>
      </c>
      <c r="J507" s="2">
        <v>0</v>
      </c>
      <c r="K507" s="2">
        <v>0</v>
      </c>
      <c r="L507" s="2">
        <v>0</v>
      </c>
      <c r="M507" s="2">
        <v>0</v>
      </c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</row>
    <row r="508" spans="1:51" x14ac:dyDescent="0.2">
      <c r="A508" s="4">
        <v>2013</v>
      </c>
      <c r="B508" s="2">
        <v>721</v>
      </c>
      <c r="C508" s="2">
        <v>538523</v>
      </c>
      <c r="D508" s="2">
        <v>63430</v>
      </c>
      <c r="E508" s="2">
        <v>214664</v>
      </c>
      <c r="F508" s="2">
        <v>307532</v>
      </c>
      <c r="G508" s="2">
        <v>116579</v>
      </c>
      <c r="H508" s="2">
        <v>9419</v>
      </c>
      <c r="I508" s="2">
        <v>779</v>
      </c>
      <c r="J508" s="2">
        <v>0</v>
      </c>
      <c r="K508" s="2">
        <v>0</v>
      </c>
      <c r="L508" s="2">
        <v>0</v>
      </c>
      <c r="M508" s="2">
        <v>0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</row>
    <row r="509" spans="1:51" x14ac:dyDescent="0.2">
      <c r="A509" s="4">
        <v>2014</v>
      </c>
      <c r="B509" s="2">
        <v>83292</v>
      </c>
      <c r="C509" s="2">
        <v>269344</v>
      </c>
      <c r="D509" s="2">
        <v>16908</v>
      </c>
      <c r="E509" s="2">
        <v>134710</v>
      </c>
      <c r="F509" s="2">
        <v>128512</v>
      </c>
      <c r="G509" s="2">
        <v>114395</v>
      </c>
      <c r="H509" s="2">
        <v>29374</v>
      </c>
      <c r="I509" s="2">
        <v>4131</v>
      </c>
      <c r="J509" s="2">
        <v>0</v>
      </c>
      <c r="K509" s="2">
        <v>0</v>
      </c>
      <c r="L509" s="2">
        <v>0</v>
      </c>
      <c r="M509" s="2">
        <v>0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</row>
    <row r="510" spans="1:51" x14ac:dyDescent="0.2">
      <c r="A510" s="4">
        <v>2015</v>
      </c>
      <c r="B510" s="2">
        <v>473762</v>
      </c>
      <c r="C510" s="2">
        <v>1040247</v>
      </c>
      <c r="D510" s="2">
        <v>14319</v>
      </c>
      <c r="E510" s="2">
        <v>20965</v>
      </c>
      <c r="F510" s="2">
        <v>5207</v>
      </c>
      <c r="G510" s="2">
        <v>19510</v>
      </c>
      <c r="H510" s="2">
        <v>12090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</row>
    <row r="511" spans="1:51" x14ac:dyDescent="0.2">
      <c r="A511" s="4">
        <v>2016</v>
      </c>
      <c r="B511" s="2">
        <v>0.62461889999999998</v>
      </c>
      <c r="C511" s="2">
        <v>9.7500920000000005E-2</v>
      </c>
      <c r="D511" s="2">
        <v>5.251654E-2</v>
      </c>
      <c r="E511" s="2">
        <v>0.15255179999999999</v>
      </c>
      <c r="F511" s="2">
        <v>4.1368990000000001E-2</v>
      </c>
      <c r="G511" s="2">
        <v>2.3896150000000001E-2</v>
      </c>
      <c r="H511" s="2">
        <v>6.9288370000000002E-3</v>
      </c>
      <c r="I511" s="2">
        <v>3.9702500000000001E-4</v>
      </c>
      <c r="J511" s="2">
        <v>2.2079900000000001E-4</v>
      </c>
      <c r="K511" s="2">
        <v>0</v>
      </c>
      <c r="L511" s="2">
        <v>0</v>
      </c>
      <c r="M511" s="2">
        <v>0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</row>
    <row r="512" spans="1:51" x14ac:dyDescent="0.2">
      <c r="A512" s="4">
        <v>2017</v>
      </c>
      <c r="B512" s="2">
        <v>0.69671726</v>
      </c>
      <c r="C512" s="2">
        <v>4.0761060000000002E-2</v>
      </c>
      <c r="D512" s="2">
        <v>0.10400300699999999</v>
      </c>
      <c r="E512" s="2">
        <v>9.9386774999999997E-2</v>
      </c>
      <c r="F512" s="2">
        <v>3.6418613000000002E-2</v>
      </c>
      <c r="G512" s="2">
        <v>1.1740448000000001E-2</v>
      </c>
      <c r="H512" s="2">
        <v>4.7630249999999997E-3</v>
      </c>
      <c r="I512" s="2">
        <v>4.3789220000000004E-3</v>
      </c>
      <c r="J512" s="2">
        <v>1.167792E-3</v>
      </c>
      <c r="K512" s="2">
        <v>0</v>
      </c>
      <c r="L512" s="2">
        <v>6.63099E-4</v>
      </c>
      <c r="M512" s="2">
        <v>0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</row>
    <row r="513" spans="1:51" x14ac:dyDescent="0.2">
      <c r="A513" s="4">
        <v>2018</v>
      </c>
      <c r="B513" s="2">
        <v>1659934856</v>
      </c>
      <c r="C513" s="2">
        <v>4852624453</v>
      </c>
      <c r="D513" s="2">
        <v>603616527.39999998</v>
      </c>
      <c r="E513" s="2">
        <v>844897714.39999998</v>
      </c>
      <c r="F513" s="2">
        <v>461500302.69999999</v>
      </c>
      <c r="G513" s="2">
        <v>87949909.730000004</v>
      </c>
      <c r="H513" s="2">
        <v>11702777.42</v>
      </c>
      <c r="I513" s="2">
        <v>0</v>
      </c>
      <c r="J513" s="2">
        <v>4504618.3140000002</v>
      </c>
      <c r="K513" s="2">
        <v>0</v>
      </c>
      <c r="L513" s="2">
        <v>0</v>
      </c>
      <c r="M513" s="2">
        <v>0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</row>
    <row r="514" spans="1:51" x14ac:dyDescent="0.2">
      <c r="A514" s="4">
        <v>2019</v>
      </c>
      <c r="B514" s="2">
        <v>7852188</v>
      </c>
      <c r="C514" s="2">
        <v>1547867</v>
      </c>
      <c r="D514" s="2">
        <v>176582</v>
      </c>
      <c r="E514" s="2">
        <v>329996</v>
      </c>
      <c r="F514" s="2">
        <v>107735</v>
      </c>
      <c r="G514" s="2">
        <v>21123</v>
      </c>
      <c r="H514" s="2">
        <v>10351</v>
      </c>
      <c r="I514" s="2">
        <v>3951</v>
      </c>
      <c r="J514" s="2">
        <v>3092</v>
      </c>
      <c r="K514" s="2">
        <v>855</v>
      </c>
      <c r="L514" s="2">
        <v>0</v>
      </c>
      <c r="M514" s="2">
        <v>0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</row>
    <row r="515" spans="1:51" x14ac:dyDescent="0.2">
      <c r="A515" s="4" t="s">
        <v>64</v>
      </c>
      <c r="B515" s="2">
        <v>321111.24930000002</v>
      </c>
      <c r="C515" s="2">
        <v>1037707.054</v>
      </c>
      <c r="D515" s="2">
        <v>1681739.5</v>
      </c>
      <c r="E515" s="2">
        <v>3357273.6170000001</v>
      </c>
      <c r="F515" s="2">
        <v>1702772.5009999999</v>
      </c>
      <c r="G515" s="2">
        <v>313053.1532</v>
      </c>
      <c r="H515" s="2">
        <v>98911.161989999993</v>
      </c>
      <c r="I515" s="2">
        <v>22145.128720000001</v>
      </c>
      <c r="J515" s="2">
        <v>6554.281164</v>
      </c>
      <c r="K515" s="2">
        <v>0</v>
      </c>
      <c r="L515" s="2">
        <v>0</v>
      </c>
      <c r="M515" s="2">
        <v>0</v>
      </c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</row>
    <row r="516" spans="1:51" x14ac:dyDescent="0.2">
      <c r="A516" s="4">
        <v>2003</v>
      </c>
      <c r="B516" s="2">
        <v>1719522.986</v>
      </c>
      <c r="C516" s="2">
        <v>358324.913</v>
      </c>
      <c r="D516" s="2">
        <v>121423.94929999999</v>
      </c>
      <c r="E516" s="2">
        <v>591882.41189999995</v>
      </c>
      <c r="F516" s="2">
        <v>2285598.6770000001</v>
      </c>
      <c r="G516" s="2">
        <v>2810449.6209999998</v>
      </c>
      <c r="H516" s="2">
        <v>973363.80119999999</v>
      </c>
      <c r="I516" s="2">
        <v>153178.1948</v>
      </c>
      <c r="J516" s="2">
        <v>0</v>
      </c>
      <c r="K516" s="2">
        <v>0</v>
      </c>
      <c r="L516" s="2">
        <v>0</v>
      </c>
      <c r="M516" s="2">
        <v>0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</row>
    <row r="517" spans="1:51" x14ac:dyDescent="0.2">
      <c r="A517" s="4">
        <v>2004</v>
      </c>
      <c r="B517" s="2">
        <v>0</v>
      </c>
      <c r="C517" s="2">
        <v>3787</v>
      </c>
      <c r="D517" s="2">
        <v>8944</v>
      </c>
      <c r="E517" s="2">
        <v>9208</v>
      </c>
      <c r="F517" s="2">
        <v>1436</v>
      </c>
      <c r="G517" s="2">
        <v>700</v>
      </c>
      <c r="H517" s="2">
        <v>420</v>
      </c>
      <c r="I517" s="2">
        <v>401</v>
      </c>
      <c r="J517" s="2">
        <v>182</v>
      </c>
      <c r="K517" s="2">
        <v>58</v>
      </c>
      <c r="L517" s="2">
        <v>14</v>
      </c>
      <c r="M517" s="2">
        <v>9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</row>
    <row r="518" spans="1:51" x14ac:dyDescent="0.2">
      <c r="A518" s="4">
        <v>2005</v>
      </c>
      <c r="B518" s="2">
        <v>0</v>
      </c>
      <c r="C518" s="2">
        <v>54</v>
      </c>
      <c r="D518" s="2">
        <v>529</v>
      </c>
      <c r="E518" s="2">
        <v>837</v>
      </c>
      <c r="F518" s="2">
        <v>336</v>
      </c>
      <c r="G518" s="2">
        <v>563</v>
      </c>
      <c r="H518" s="2">
        <v>398</v>
      </c>
      <c r="I518" s="2">
        <v>400</v>
      </c>
      <c r="J518" s="2">
        <v>219</v>
      </c>
      <c r="K518" s="2">
        <v>84</v>
      </c>
      <c r="L518" s="2">
        <v>35</v>
      </c>
      <c r="M518" s="2">
        <v>6</v>
      </c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</row>
    <row r="519" spans="1:51" x14ac:dyDescent="0.2">
      <c r="A519" s="4">
        <v>2006</v>
      </c>
      <c r="B519" s="2">
        <v>0</v>
      </c>
      <c r="C519" s="2">
        <v>122</v>
      </c>
      <c r="D519" s="2">
        <v>1217</v>
      </c>
      <c r="E519" s="2">
        <v>2801</v>
      </c>
      <c r="F519" s="2">
        <v>1511</v>
      </c>
      <c r="G519" s="2">
        <v>719</v>
      </c>
      <c r="H519" s="2">
        <v>405</v>
      </c>
      <c r="I519" s="2">
        <v>584</v>
      </c>
      <c r="J519" s="2">
        <v>376</v>
      </c>
      <c r="K519" s="2">
        <v>168</v>
      </c>
      <c r="L519" s="2">
        <v>66</v>
      </c>
      <c r="M519" s="2">
        <v>9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</row>
    <row r="520" spans="1:51" x14ac:dyDescent="0.2">
      <c r="A520" s="4">
        <v>2008</v>
      </c>
      <c r="B520" s="2">
        <v>0</v>
      </c>
      <c r="C520" s="2">
        <v>0</v>
      </c>
      <c r="D520" s="2">
        <v>0</v>
      </c>
      <c r="E520" s="2">
        <v>21</v>
      </c>
      <c r="F520" s="2">
        <v>1115</v>
      </c>
      <c r="G520" s="2">
        <v>718</v>
      </c>
      <c r="H520" s="2">
        <v>485</v>
      </c>
      <c r="I520" s="2">
        <v>336</v>
      </c>
      <c r="J520" s="2">
        <v>136</v>
      </c>
      <c r="K520" s="2">
        <v>94</v>
      </c>
      <c r="L520" s="2">
        <v>57</v>
      </c>
      <c r="M520" s="2">
        <v>0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</row>
    <row r="521" spans="1:51" x14ac:dyDescent="0.2">
      <c r="A521" s="4"/>
      <c r="B521" s="2">
        <v>0</v>
      </c>
      <c r="C521" s="2">
        <v>0</v>
      </c>
      <c r="D521" s="2">
        <v>6</v>
      </c>
      <c r="E521" s="2">
        <v>216</v>
      </c>
      <c r="F521" s="2">
        <v>1232</v>
      </c>
      <c r="G521" s="2">
        <v>1892</v>
      </c>
      <c r="H521" s="2">
        <v>1473</v>
      </c>
      <c r="I521" s="2">
        <v>849</v>
      </c>
      <c r="J521" s="2">
        <v>304</v>
      </c>
      <c r="K521" s="2">
        <v>114</v>
      </c>
      <c r="L521" s="2">
        <v>78</v>
      </c>
      <c r="M521" s="2">
        <v>0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</row>
    <row r="522" spans="1:51" x14ac:dyDescent="0.2">
      <c r="A522" s="4"/>
      <c r="B522" s="2">
        <v>0</v>
      </c>
      <c r="C522" s="2">
        <v>0</v>
      </c>
      <c r="D522" s="2">
        <v>0</v>
      </c>
      <c r="E522" s="2">
        <v>146</v>
      </c>
      <c r="F522" s="2">
        <v>419</v>
      </c>
      <c r="G522" s="2">
        <v>778</v>
      </c>
      <c r="H522" s="2">
        <v>982</v>
      </c>
      <c r="I522" s="2">
        <v>716</v>
      </c>
      <c r="J522" s="2">
        <v>323</v>
      </c>
      <c r="K522" s="2">
        <v>194</v>
      </c>
      <c r="L522" s="2">
        <v>9</v>
      </c>
      <c r="M522" s="2">
        <v>9</v>
      </c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</row>
    <row r="523" spans="1:51" x14ac:dyDescent="0.2">
      <c r="A523" s="4"/>
      <c r="B523" s="2" t="s">
        <v>65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</row>
    <row r="524" spans="1:51" x14ac:dyDescent="0.2">
      <c r="A524" s="4" t="s">
        <v>68</v>
      </c>
      <c r="B524" s="2" t="s">
        <v>66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</row>
    <row r="525" spans="1:51" x14ac:dyDescent="0.2">
      <c r="A525" s="4">
        <v>1971</v>
      </c>
      <c r="B525" s="2" t="s">
        <v>67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</row>
    <row r="526" spans="1:51" x14ac:dyDescent="0.2">
      <c r="A526" s="4">
        <v>1972</v>
      </c>
      <c r="B526" s="2">
        <v>6.3735159999999999E-2</v>
      </c>
      <c r="C526" s="2">
        <v>0.12726090000000001</v>
      </c>
      <c r="D526" s="2">
        <v>0.1642728</v>
      </c>
      <c r="E526" s="2">
        <v>0.20671610000000001</v>
      </c>
      <c r="F526" s="2">
        <v>0.26582109999999998</v>
      </c>
      <c r="G526" s="2">
        <v>0.3581125</v>
      </c>
      <c r="H526" s="2">
        <v>0.42996820000000002</v>
      </c>
      <c r="I526" s="2">
        <v>0.52825250000000001</v>
      </c>
      <c r="J526" s="2">
        <v>0.63550930000000005</v>
      </c>
      <c r="K526" s="2">
        <v>0.77912320000000002</v>
      </c>
      <c r="L526" s="2">
        <v>0.89601220000000004</v>
      </c>
      <c r="M526" s="2">
        <v>1.021506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</row>
    <row r="527" spans="1:51" x14ac:dyDescent="0.2">
      <c r="A527" s="4">
        <v>1973</v>
      </c>
      <c r="B527" s="2">
        <v>6.3735159999999999E-2</v>
      </c>
      <c r="C527" s="2">
        <v>0.12726090000000001</v>
      </c>
      <c r="D527" s="2">
        <v>0.1642728</v>
      </c>
      <c r="E527" s="2">
        <v>0.20671610000000001</v>
      </c>
      <c r="F527" s="2">
        <v>0.26582109999999998</v>
      </c>
      <c r="G527" s="2">
        <v>0.3581125</v>
      </c>
      <c r="H527" s="2">
        <v>0.42996820000000002</v>
      </c>
      <c r="I527" s="2">
        <v>0.52825250000000001</v>
      </c>
      <c r="J527" s="2">
        <v>0.63550930000000005</v>
      </c>
      <c r="K527" s="2">
        <v>0.77912320000000002</v>
      </c>
      <c r="L527" s="2">
        <v>0.89601220000000004</v>
      </c>
      <c r="M527" s="2">
        <v>1.021506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</row>
    <row r="528" spans="1:51" x14ac:dyDescent="0.2">
      <c r="A528" s="4">
        <v>1974</v>
      </c>
      <c r="B528" s="2">
        <v>6.3735159999999999E-2</v>
      </c>
      <c r="C528" s="2">
        <v>0.12726090000000001</v>
      </c>
      <c r="D528" s="2">
        <v>0.1642728</v>
      </c>
      <c r="E528" s="2">
        <v>0.20671610000000001</v>
      </c>
      <c r="F528" s="2">
        <v>0.26582109999999998</v>
      </c>
      <c r="G528" s="2">
        <v>0.3581125</v>
      </c>
      <c r="H528" s="2">
        <v>0.42996820000000002</v>
      </c>
      <c r="I528" s="2">
        <v>0.52825250000000001</v>
      </c>
      <c r="J528" s="2">
        <v>0.63550930000000005</v>
      </c>
      <c r="K528" s="2">
        <v>0.77912320000000002</v>
      </c>
      <c r="L528" s="2">
        <v>0.89601220000000004</v>
      </c>
      <c r="M528" s="2">
        <v>1.021506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</row>
    <row r="529" spans="1:51" x14ac:dyDescent="0.2">
      <c r="A529" s="4">
        <v>1975</v>
      </c>
      <c r="B529" s="2">
        <v>6.3735159999999999E-2</v>
      </c>
      <c r="C529" s="2">
        <v>0.12726090000000001</v>
      </c>
      <c r="D529" s="2">
        <v>0.1642728</v>
      </c>
      <c r="E529" s="2">
        <v>0.20671610000000001</v>
      </c>
      <c r="F529" s="2">
        <v>0.26582109999999998</v>
      </c>
      <c r="G529" s="2">
        <v>0.3581125</v>
      </c>
      <c r="H529" s="2">
        <v>0.42996820000000002</v>
      </c>
      <c r="I529" s="2">
        <v>0.52825250000000001</v>
      </c>
      <c r="J529" s="2">
        <v>0.63550930000000005</v>
      </c>
      <c r="K529" s="2">
        <v>0.77912320000000002</v>
      </c>
      <c r="L529" s="2">
        <v>0.89601220000000004</v>
      </c>
      <c r="M529" s="2">
        <v>1.021506</v>
      </c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</row>
    <row r="530" spans="1:51" x14ac:dyDescent="0.2">
      <c r="A530" s="4">
        <v>1976</v>
      </c>
      <c r="B530" s="2">
        <v>6.3735159999999999E-2</v>
      </c>
      <c r="C530" s="2">
        <v>0.12726090000000001</v>
      </c>
      <c r="D530" s="2">
        <v>0.1642728</v>
      </c>
      <c r="E530" s="2">
        <v>0.20671610000000001</v>
      </c>
      <c r="F530" s="2">
        <v>0.26582109999999998</v>
      </c>
      <c r="G530" s="2">
        <v>0.3581125</v>
      </c>
      <c r="H530" s="2">
        <v>0.42996820000000002</v>
      </c>
      <c r="I530" s="2">
        <v>0.52825250000000001</v>
      </c>
      <c r="J530" s="2">
        <v>0.63550930000000005</v>
      </c>
      <c r="K530" s="2">
        <v>0.77912320000000002</v>
      </c>
      <c r="L530" s="2">
        <v>0.89601220000000004</v>
      </c>
      <c r="M530" s="2">
        <v>1.021506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</row>
    <row r="531" spans="1:51" x14ac:dyDescent="0.2">
      <c r="A531" s="4">
        <v>1977</v>
      </c>
      <c r="B531" s="2">
        <v>6.3735159999999999E-2</v>
      </c>
      <c r="C531" s="2">
        <v>0.12726090000000001</v>
      </c>
      <c r="D531" s="2">
        <v>0.1642728</v>
      </c>
      <c r="E531" s="2">
        <v>0.20671610000000001</v>
      </c>
      <c r="F531" s="2">
        <v>0.26582109999999998</v>
      </c>
      <c r="G531" s="2">
        <v>0.3581125</v>
      </c>
      <c r="H531" s="2">
        <v>0.42996820000000002</v>
      </c>
      <c r="I531" s="2">
        <v>0.52825250000000001</v>
      </c>
      <c r="J531" s="2">
        <v>0.63550930000000005</v>
      </c>
      <c r="K531" s="2">
        <v>0.77912320000000002</v>
      </c>
      <c r="L531" s="2">
        <v>0.89601220000000004</v>
      </c>
      <c r="M531" s="2">
        <v>1.021506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</row>
    <row r="532" spans="1:51" x14ac:dyDescent="0.2">
      <c r="A532" s="4">
        <v>1978</v>
      </c>
      <c r="B532" s="2">
        <v>6.3735159999999999E-2</v>
      </c>
      <c r="C532" s="2">
        <v>0.12726090000000001</v>
      </c>
      <c r="D532" s="2">
        <v>0.1642728</v>
      </c>
      <c r="E532" s="2">
        <v>0.20671610000000001</v>
      </c>
      <c r="F532" s="2">
        <v>0.26582109999999998</v>
      </c>
      <c r="G532" s="2">
        <v>0.3581125</v>
      </c>
      <c r="H532" s="2">
        <v>0.42996820000000002</v>
      </c>
      <c r="I532" s="2">
        <v>0.52825250000000001</v>
      </c>
      <c r="J532" s="2">
        <v>0.63550930000000005</v>
      </c>
      <c r="K532" s="2">
        <v>0.77912320000000002</v>
      </c>
      <c r="L532" s="2">
        <v>0.89601220000000004</v>
      </c>
      <c r="M532" s="2">
        <v>1.021506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</row>
    <row r="533" spans="1:51" x14ac:dyDescent="0.2">
      <c r="A533" s="4">
        <v>1979</v>
      </c>
      <c r="B533" s="2">
        <v>6.3735159999999999E-2</v>
      </c>
      <c r="C533" s="2">
        <v>0.12726090000000001</v>
      </c>
      <c r="D533" s="2">
        <v>0.1642728</v>
      </c>
      <c r="E533" s="2">
        <v>0.20671610000000001</v>
      </c>
      <c r="F533" s="2">
        <v>0.26582109999999998</v>
      </c>
      <c r="G533" s="2">
        <v>0.3581125</v>
      </c>
      <c r="H533" s="2">
        <v>0.42996820000000002</v>
      </c>
      <c r="I533" s="2">
        <v>0.52825250000000001</v>
      </c>
      <c r="J533" s="2">
        <v>0.63550930000000005</v>
      </c>
      <c r="K533" s="2">
        <v>0.77912320000000002</v>
      </c>
      <c r="L533" s="2">
        <v>0.89601220000000004</v>
      </c>
      <c r="M533" s="2">
        <v>1.021506</v>
      </c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</row>
    <row r="534" spans="1:51" x14ac:dyDescent="0.2">
      <c r="A534" s="4">
        <v>1980</v>
      </c>
      <c r="B534" s="2">
        <v>6.3735159999999999E-2</v>
      </c>
      <c r="C534" s="2">
        <v>0.12726090000000001</v>
      </c>
      <c r="D534" s="2">
        <v>0.1642728</v>
      </c>
      <c r="E534" s="2">
        <v>0.20671610000000001</v>
      </c>
      <c r="F534" s="2">
        <v>0.26582109999999998</v>
      </c>
      <c r="G534" s="2">
        <v>0.3581125</v>
      </c>
      <c r="H534" s="2">
        <v>0.42996820000000002</v>
      </c>
      <c r="I534" s="2">
        <v>0.52825250000000001</v>
      </c>
      <c r="J534" s="2">
        <v>0.63550930000000005</v>
      </c>
      <c r="K534" s="2">
        <v>0.77912320000000002</v>
      </c>
      <c r="L534" s="2">
        <v>0.89601220000000004</v>
      </c>
      <c r="M534" s="2">
        <v>1.021506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</row>
    <row r="535" spans="1:51" x14ac:dyDescent="0.2">
      <c r="A535" s="4">
        <v>1981</v>
      </c>
      <c r="B535" s="2">
        <v>6.3735159999999999E-2</v>
      </c>
      <c r="C535" s="2">
        <v>0.12726090000000001</v>
      </c>
      <c r="D535" s="2">
        <v>0.1642728</v>
      </c>
      <c r="E535" s="2">
        <v>0.20671610000000001</v>
      </c>
      <c r="F535" s="2">
        <v>0.26582109999999998</v>
      </c>
      <c r="G535" s="2">
        <v>0.3581125</v>
      </c>
      <c r="H535" s="2">
        <v>0.42996820000000002</v>
      </c>
      <c r="I535" s="2">
        <v>0.52825250000000001</v>
      </c>
      <c r="J535" s="2">
        <v>0.63550930000000005</v>
      </c>
      <c r="K535" s="2">
        <v>0.77912320000000002</v>
      </c>
      <c r="L535" s="2">
        <v>0.89601220000000004</v>
      </c>
      <c r="M535" s="2">
        <v>1.021506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</row>
    <row r="536" spans="1:51" x14ac:dyDescent="0.2">
      <c r="A536" s="4">
        <v>1982</v>
      </c>
      <c r="B536" s="2">
        <v>6.3735159999999999E-2</v>
      </c>
      <c r="C536" s="2">
        <v>0.12726090000000001</v>
      </c>
      <c r="D536" s="2">
        <v>0.1642728</v>
      </c>
      <c r="E536" s="2">
        <v>0.20671610000000001</v>
      </c>
      <c r="F536" s="2">
        <v>0.26582109999999998</v>
      </c>
      <c r="G536" s="2">
        <v>0.3581125</v>
      </c>
      <c r="H536" s="2">
        <v>0.42996820000000002</v>
      </c>
      <c r="I536" s="2">
        <v>0.52825250000000001</v>
      </c>
      <c r="J536" s="2">
        <v>0.63550930000000005</v>
      </c>
      <c r="K536" s="2">
        <v>0.77912320000000002</v>
      </c>
      <c r="L536" s="2">
        <v>0.89601220000000004</v>
      </c>
      <c r="M536" s="2">
        <v>1.021506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</row>
    <row r="537" spans="1:51" x14ac:dyDescent="0.2">
      <c r="A537" s="4">
        <v>1983</v>
      </c>
      <c r="B537" s="2">
        <v>6.3735159999999999E-2</v>
      </c>
      <c r="C537" s="2">
        <v>0.12726090000000001</v>
      </c>
      <c r="D537" s="2">
        <v>0.1642728</v>
      </c>
      <c r="E537" s="2">
        <v>0.20671610000000001</v>
      </c>
      <c r="F537" s="2">
        <v>0.26582109999999998</v>
      </c>
      <c r="G537" s="2">
        <v>0.3581125</v>
      </c>
      <c r="H537" s="2">
        <v>0.42996820000000002</v>
      </c>
      <c r="I537" s="2">
        <v>0.52825250000000001</v>
      </c>
      <c r="J537" s="2">
        <v>0.63550930000000005</v>
      </c>
      <c r="K537" s="2">
        <v>0.77912320000000002</v>
      </c>
      <c r="L537" s="2">
        <v>0.89601220000000004</v>
      </c>
      <c r="M537" s="2">
        <v>1.021506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</row>
    <row r="538" spans="1:51" x14ac:dyDescent="0.2">
      <c r="A538" s="4">
        <v>1984</v>
      </c>
      <c r="B538" s="2">
        <v>6.3735159999999999E-2</v>
      </c>
      <c r="C538" s="2">
        <v>0.12726090000000001</v>
      </c>
      <c r="D538" s="2">
        <v>0.1642728</v>
      </c>
      <c r="E538" s="2">
        <v>0.20671610000000001</v>
      </c>
      <c r="F538" s="2">
        <v>0.26582109999999998</v>
      </c>
      <c r="G538" s="2">
        <v>0.3581125</v>
      </c>
      <c r="H538" s="2">
        <v>0.42996820000000002</v>
      </c>
      <c r="I538" s="2">
        <v>0.52825250000000001</v>
      </c>
      <c r="J538" s="2">
        <v>0.63550930000000005</v>
      </c>
      <c r="K538" s="2">
        <v>0.77912320000000002</v>
      </c>
      <c r="L538" s="2">
        <v>0.89601220000000004</v>
      </c>
      <c r="M538" s="2">
        <v>1.021506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</row>
    <row r="539" spans="1:51" x14ac:dyDescent="0.2">
      <c r="A539" s="4">
        <v>1985</v>
      </c>
      <c r="B539" s="2">
        <v>6.3735159999999999E-2</v>
      </c>
      <c r="C539" s="2">
        <v>0.12726090000000001</v>
      </c>
      <c r="D539" s="2">
        <v>0.1642728</v>
      </c>
      <c r="E539" s="2">
        <v>0.20671610000000001</v>
      </c>
      <c r="F539" s="2">
        <v>0.26582109999999998</v>
      </c>
      <c r="G539" s="2">
        <v>0.3581125</v>
      </c>
      <c r="H539" s="2">
        <v>0.42996820000000002</v>
      </c>
      <c r="I539" s="2">
        <v>0.52825250000000001</v>
      </c>
      <c r="J539" s="2">
        <v>0.63550930000000005</v>
      </c>
      <c r="K539" s="2">
        <v>0.77912320000000002</v>
      </c>
      <c r="L539" s="2">
        <v>0.89601220000000004</v>
      </c>
      <c r="M539" s="2">
        <v>1.021506</v>
      </c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</row>
    <row r="540" spans="1:51" x14ac:dyDescent="0.2">
      <c r="A540" s="4">
        <v>1986</v>
      </c>
      <c r="B540" s="2">
        <v>6.3735159999999999E-2</v>
      </c>
      <c r="C540" s="2">
        <v>0.12726090000000001</v>
      </c>
      <c r="D540" s="2">
        <v>0.1642728</v>
      </c>
      <c r="E540" s="2">
        <v>0.20671610000000001</v>
      </c>
      <c r="F540" s="2">
        <v>0.26582109999999998</v>
      </c>
      <c r="G540" s="2">
        <v>0.3581125</v>
      </c>
      <c r="H540" s="2">
        <v>0.42996820000000002</v>
      </c>
      <c r="I540" s="2">
        <v>0.52825250000000001</v>
      </c>
      <c r="J540" s="2">
        <v>0.63550930000000005</v>
      </c>
      <c r="K540" s="2">
        <v>0.77912320000000002</v>
      </c>
      <c r="L540" s="2">
        <v>0.89601220000000004</v>
      </c>
      <c r="M540" s="2">
        <v>1.021506</v>
      </c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</row>
    <row r="541" spans="1:51" x14ac:dyDescent="0.2">
      <c r="A541" s="4">
        <v>1987</v>
      </c>
      <c r="B541" s="2">
        <v>6.3735159999999999E-2</v>
      </c>
      <c r="C541" s="2">
        <v>0.12726090000000001</v>
      </c>
      <c r="D541" s="2">
        <v>0.1642728</v>
      </c>
      <c r="E541" s="2">
        <v>0.20671610000000001</v>
      </c>
      <c r="F541" s="2">
        <v>0.26582109999999998</v>
      </c>
      <c r="G541" s="2">
        <v>0.3581125</v>
      </c>
      <c r="H541" s="2">
        <v>0.42996820000000002</v>
      </c>
      <c r="I541" s="2">
        <v>0.52825250000000001</v>
      </c>
      <c r="J541" s="2">
        <v>0.63550930000000005</v>
      </c>
      <c r="K541" s="2">
        <v>0.77912320000000002</v>
      </c>
      <c r="L541" s="2">
        <v>0.89601220000000004</v>
      </c>
      <c r="M541" s="2">
        <v>1.021506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</row>
    <row r="542" spans="1:51" x14ac:dyDescent="0.2">
      <c r="A542" s="4">
        <v>1988</v>
      </c>
      <c r="B542" s="2">
        <v>6.3735159999999999E-2</v>
      </c>
      <c r="C542" s="2">
        <v>0.12726090000000001</v>
      </c>
      <c r="D542" s="2">
        <v>0.1642728</v>
      </c>
      <c r="E542" s="2">
        <v>0.20671610000000001</v>
      </c>
      <c r="F542" s="2">
        <v>0.26582109999999998</v>
      </c>
      <c r="G542" s="2">
        <v>0.3581125</v>
      </c>
      <c r="H542" s="2">
        <v>0.42996820000000002</v>
      </c>
      <c r="I542" s="2">
        <v>0.52825250000000001</v>
      </c>
      <c r="J542" s="2">
        <v>0.63550930000000005</v>
      </c>
      <c r="K542" s="2">
        <v>0.77912320000000002</v>
      </c>
      <c r="L542" s="2">
        <v>0.89601220000000004</v>
      </c>
      <c r="M542" s="2">
        <v>1.021506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</row>
    <row r="543" spans="1:51" x14ac:dyDescent="0.2">
      <c r="A543" s="4">
        <v>1989</v>
      </c>
      <c r="B543" s="2">
        <v>6.3735159999999999E-2</v>
      </c>
      <c r="C543" s="2">
        <v>0.12726090000000001</v>
      </c>
      <c r="D543" s="2">
        <v>0.1642728</v>
      </c>
      <c r="E543" s="2">
        <v>0.20671610000000001</v>
      </c>
      <c r="F543" s="2">
        <v>0.26582109999999998</v>
      </c>
      <c r="G543" s="2">
        <v>0.3581125</v>
      </c>
      <c r="H543" s="2">
        <v>0.42996820000000002</v>
      </c>
      <c r="I543" s="2">
        <v>0.52825250000000001</v>
      </c>
      <c r="J543" s="2">
        <v>0.63550930000000005</v>
      </c>
      <c r="K543" s="2">
        <v>0.77912320000000002</v>
      </c>
      <c r="L543" s="2">
        <v>0.89601220000000004</v>
      </c>
      <c r="M543" s="2">
        <v>1.021506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</row>
    <row r="544" spans="1:51" x14ac:dyDescent="0.2">
      <c r="A544" s="4">
        <v>1990</v>
      </c>
      <c r="B544" s="2">
        <v>6.3735159999999999E-2</v>
      </c>
      <c r="C544" s="2">
        <v>0.12726090000000001</v>
      </c>
      <c r="D544" s="2">
        <v>0.1642728</v>
      </c>
      <c r="E544" s="2">
        <v>0.20671610000000001</v>
      </c>
      <c r="F544" s="2">
        <v>0.26582109999999998</v>
      </c>
      <c r="G544" s="2">
        <v>0.3581125</v>
      </c>
      <c r="H544" s="2">
        <v>0.42996820000000002</v>
      </c>
      <c r="I544" s="2">
        <v>0.52825250000000001</v>
      </c>
      <c r="J544" s="2">
        <v>0.63550930000000005</v>
      </c>
      <c r="K544" s="2">
        <v>0.77912320000000002</v>
      </c>
      <c r="L544" s="2">
        <v>0.89601220000000004</v>
      </c>
      <c r="M544" s="2">
        <v>1.021506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</row>
    <row r="545" spans="1:51" x14ac:dyDescent="0.2">
      <c r="A545" s="4">
        <v>1991</v>
      </c>
      <c r="B545" s="2">
        <v>6.3735159999999999E-2</v>
      </c>
      <c r="C545" s="2">
        <v>0.12726090000000001</v>
      </c>
      <c r="D545" s="2">
        <v>0.1642728</v>
      </c>
      <c r="E545" s="2">
        <v>0.20671610000000001</v>
      </c>
      <c r="F545" s="2">
        <v>0.26582109999999998</v>
      </c>
      <c r="G545" s="2">
        <v>0.3581125</v>
      </c>
      <c r="H545" s="2">
        <v>0.42996820000000002</v>
      </c>
      <c r="I545" s="2">
        <v>0.52825250000000001</v>
      </c>
      <c r="J545" s="2">
        <v>0.63550930000000005</v>
      </c>
      <c r="K545" s="2">
        <v>0.77912320000000002</v>
      </c>
      <c r="L545" s="2">
        <v>0.89601220000000004</v>
      </c>
      <c r="M545" s="2">
        <v>1.021506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</row>
    <row r="546" spans="1:51" x14ac:dyDescent="0.2">
      <c r="A546" s="4">
        <v>1992</v>
      </c>
      <c r="B546" s="2">
        <v>6.3735159999999999E-2</v>
      </c>
      <c r="C546" s="2">
        <v>0.12726090000000001</v>
      </c>
      <c r="D546" s="2">
        <v>0.1642728</v>
      </c>
      <c r="E546" s="2">
        <v>0.20671610000000001</v>
      </c>
      <c r="F546" s="2">
        <v>0.26582109999999998</v>
      </c>
      <c r="G546" s="2">
        <v>0.3581125</v>
      </c>
      <c r="H546" s="2">
        <v>0.42996820000000002</v>
      </c>
      <c r="I546" s="2">
        <v>0.52825250000000001</v>
      </c>
      <c r="J546" s="2">
        <v>0.63550930000000005</v>
      </c>
      <c r="K546" s="2">
        <v>0.77912320000000002</v>
      </c>
      <c r="L546" s="2">
        <v>0.89601220000000004</v>
      </c>
      <c r="M546" s="2">
        <v>1.021506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</row>
    <row r="547" spans="1:51" x14ac:dyDescent="0.2">
      <c r="A547" s="4">
        <v>1993</v>
      </c>
      <c r="B547" s="2">
        <v>6.3735159999999999E-2</v>
      </c>
      <c r="C547" s="2">
        <v>0.12726090000000001</v>
      </c>
      <c r="D547" s="2">
        <v>0.1642728</v>
      </c>
      <c r="E547" s="2">
        <v>0.20671610000000001</v>
      </c>
      <c r="F547" s="2">
        <v>0.26582109999999998</v>
      </c>
      <c r="G547" s="2">
        <v>0.3581125</v>
      </c>
      <c r="H547" s="2">
        <v>0.42996820000000002</v>
      </c>
      <c r="I547" s="2">
        <v>0.52825250000000001</v>
      </c>
      <c r="J547" s="2">
        <v>0.63550930000000005</v>
      </c>
      <c r="K547" s="2">
        <v>0.77912320000000002</v>
      </c>
      <c r="L547" s="2">
        <v>0.89601220000000004</v>
      </c>
      <c r="M547" s="2">
        <v>1.021506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</row>
    <row r="548" spans="1:51" x14ac:dyDescent="0.2">
      <c r="A548" s="4">
        <v>1994</v>
      </c>
      <c r="B548" s="2">
        <v>6.3735159999999999E-2</v>
      </c>
      <c r="C548" s="2">
        <v>0.12726090000000001</v>
      </c>
      <c r="D548" s="2">
        <v>0.1642728</v>
      </c>
      <c r="E548" s="2">
        <v>0.20671610000000001</v>
      </c>
      <c r="F548" s="2">
        <v>0.26582109999999998</v>
      </c>
      <c r="G548" s="2">
        <v>0.3581125</v>
      </c>
      <c r="H548" s="2">
        <v>0.42996820000000002</v>
      </c>
      <c r="I548" s="2">
        <v>0.52825250000000001</v>
      </c>
      <c r="J548" s="2">
        <v>0.63550930000000005</v>
      </c>
      <c r="K548" s="2">
        <v>0.77912320000000002</v>
      </c>
      <c r="L548" s="2">
        <v>0.89601220000000004</v>
      </c>
      <c r="M548" s="2">
        <v>1.021506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</row>
    <row r="549" spans="1:51" x14ac:dyDescent="0.2">
      <c r="A549" s="4">
        <v>1995</v>
      </c>
      <c r="B549" s="2">
        <v>6.3735159999999999E-2</v>
      </c>
      <c r="C549" s="2">
        <v>0.12726090000000001</v>
      </c>
      <c r="D549" s="2">
        <v>0.1642728</v>
      </c>
      <c r="E549" s="2">
        <v>0.20671610000000001</v>
      </c>
      <c r="F549" s="2">
        <v>0.26582109999999998</v>
      </c>
      <c r="G549" s="2">
        <v>0.3581125</v>
      </c>
      <c r="H549" s="2">
        <v>0.42996820000000002</v>
      </c>
      <c r="I549" s="2">
        <v>0.52825250000000001</v>
      </c>
      <c r="J549" s="2">
        <v>0.63550930000000005</v>
      </c>
      <c r="K549" s="2">
        <v>0.77912320000000002</v>
      </c>
      <c r="L549" s="2">
        <v>0.89601220000000004</v>
      </c>
      <c r="M549" s="2">
        <v>1.021506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</row>
    <row r="550" spans="1:51" x14ac:dyDescent="0.2">
      <c r="A550" s="4">
        <v>1996</v>
      </c>
      <c r="B550" s="2">
        <v>6.3735159999999999E-2</v>
      </c>
      <c r="C550" s="2">
        <v>0.12726090000000001</v>
      </c>
      <c r="D550" s="2">
        <v>0.1642728</v>
      </c>
      <c r="E550" s="2">
        <v>0.20671610000000001</v>
      </c>
      <c r="F550" s="2">
        <v>0.26582109999999998</v>
      </c>
      <c r="G550" s="2">
        <v>0.3581125</v>
      </c>
      <c r="H550" s="2">
        <v>0.42996820000000002</v>
      </c>
      <c r="I550" s="2">
        <v>0.52825250000000001</v>
      </c>
      <c r="J550" s="2">
        <v>0.63550930000000005</v>
      </c>
      <c r="K550" s="2">
        <v>0.77912320000000002</v>
      </c>
      <c r="L550" s="2">
        <v>0.89601220000000004</v>
      </c>
      <c r="M550" s="2">
        <v>1.021506</v>
      </c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</row>
    <row r="551" spans="1:51" x14ac:dyDescent="0.2">
      <c r="A551" s="4">
        <v>1997</v>
      </c>
      <c r="B551" s="2">
        <v>6.3735159999999999E-2</v>
      </c>
      <c r="C551" s="2">
        <v>0.12726090000000001</v>
      </c>
      <c r="D551" s="2">
        <v>0.1642728</v>
      </c>
      <c r="E551" s="2">
        <v>0.20671610000000001</v>
      </c>
      <c r="F551" s="2">
        <v>0.26582109999999998</v>
      </c>
      <c r="G551" s="2">
        <v>0.3581125</v>
      </c>
      <c r="H551" s="2">
        <v>0.42996820000000002</v>
      </c>
      <c r="I551" s="2">
        <v>0.52825250000000001</v>
      </c>
      <c r="J551" s="2">
        <v>0.63550930000000005</v>
      </c>
      <c r="K551" s="2">
        <v>0.77912320000000002</v>
      </c>
      <c r="L551" s="2">
        <v>0.89601220000000004</v>
      </c>
      <c r="M551" s="2">
        <v>1.021506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</row>
    <row r="552" spans="1:51" x14ac:dyDescent="0.2">
      <c r="A552" s="4">
        <v>1998</v>
      </c>
      <c r="B552" s="2">
        <v>6.3735159999999999E-2</v>
      </c>
      <c r="C552" s="2">
        <v>0.12726090000000001</v>
      </c>
      <c r="D552" s="2">
        <v>0.1642728</v>
      </c>
      <c r="E552" s="2">
        <v>0.20671610000000001</v>
      </c>
      <c r="F552" s="2">
        <v>0.26582109999999998</v>
      </c>
      <c r="G552" s="2">
        <v>0.3581125</v>
      </c>
      <c r="H552" s="2">
        <v>0.42996820000000002</v>
      </c>
      <c r="I552" s="2">
        <v>0.52825250000000001</v>
      </c>
      <c r="J552" s="2">
        <v>0.63550930000000005</v>
      </c>
      <c r="K552" s="2">
        <v>0.77912320000000002</v>
      </c>
      <c r="L552" s="2">
        <v>0.89601220000000004</v>
      </c>
      <c r="M552" s="2">
        <v>1.021506</v>
      </c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</row>
    <row r="553" spans="1:51" x14ac:dyDescent="0.2">
      <c r="A553" s="4">
        <v>1999</v>
      </c>
      <c r="B553" s="2">
        <v>6.3735159999999999E-2</v>
      </c>
      <c r="C553" s="2">
        <v>0.13935420000000001</v>
      </c>
      <c r="D553" s="2">
        <v>0.1602297</v>
      </c>
      <c r="E553" s="2">
        <v>0.19719610000000001</v>
      </c>
      <c r="F553" s="2">
        <v>0.2505387</v>
      </c>
      <c r="G553" s="2">
        <v>0.3109208</v>
      </c>
      <c r="H553" s="2">
        <v>0.39625739999999998</v>
      </c>
      <c r="I553" s="2">
        <v>0.53575779999999995</v>
      </c>
      <c r="J553" s="2">
        <v>0.71140130000000001</v>
      </c>
      <c r="K553" s="2">
        <v>0.89481080000000002</v>
      </c>
      <c r="L553" s="2">
        <v>1.0657140000000001</v>
      </c>
      <c r="M553" s="2">
        <v>1.2408170000000001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</row>
    <row r="554" spans="1:51" x14ac:dyDescent="0.2">
      <c r="A554" s="4">
        <v>2000</v>
      </c>
      <c r="B554" s="2">
        <v>6.3735159999999999E-2</v>
      </c>
      <c r="C554" s="2">
        <v>4.4714999999999998E-2</v>
      </c>
      <c r="D554" s="2">
        <v>0.15051139999999999</v>
      </c>
      <c r="E554" s="2">
        <v>0.16825370000000001</v>
      </c>
      <c r="F554" s="2">
        <v>0.2116046</v>
      </c>
      <c r="G554" s="2">
        <v>0.28674359999999999</v>
      </c>
      <c r="H554" s="2">
        <v>0.37875750000000002</v>
      </c>
      <c r="I554" s="2">
        <v>0.56790240000000003</v>
      </c>
      <c r="J554" s="2">
        <v>0.81406599999999996</v>
      </c>
      <c r="K554" s="2">
        <v>1.0463480000000001</v>
      </c>
      <c r="L554" s="2">
        <v>1.2386839999999999</v>
      </c>
      <c r="M554" s="2">
        <v>1.4238679999999999</v>
      </c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</row>
    <row r="555" spans="1:51" x14ac:dyDescent="0.2">
      <c r="A555" s="4">
        <v>2001</v>
      </c>
      <c r="B555" s="2">
        <v>6.3735159999999999E-2</v>
      </c>
      <c r="C555" s="2">
        <v>9.6535120000000002E-2</v>
      </c>
      <c r="D555" s="2">
        <v>0.1213249</v>
      </c>
      <c r="E555" s="2">
        <v>0.15105859999999999</v>
      </c>
      <c r="F555" s="2">
        <v>0.184777</v>
      </c>
      <c r="G555" s="2">
        <v>0.26381949999999998</v>
      </c>
      <c r="H555" s="2">
        <v>0.35045799999999999</v>
      </c>
      <c r="I555" s="2">
        <v>0.48860940000000003</v>
      </c>
      <c r="J555" s="2">
        <v>0.77170439999999996</v>
      </c>
      <c r="K555" s="2">
        <v>1.069072</v>
      </c>
      <c r="L555" s="2">
        <v>1.308249</v>
      </c>
      <c r="M555" s="2">
        <v>1.4294480000000001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</row>
    <row r="556" spans="1:51" x14ac:dyDescent="0.2">
      <c r="A556" s="4">
        <v>2002</v>
      </c>
      <c r="B556" s="2">
        <v>6.3735159999999999E-2</v>
      </c>
      <c r="C556" s="2">
        <v>0.10989649999999999</v>
      </c>
      <c r="D556" s="2">
        <v>0.12665170000000001</v>
      </c>
      <c r="E556" s="2">
        <v>0.17080719999999999</v>
      </c>
      <c r="F556" s="2">
        <v>0.1978569</v>
      </c>
      <c r="G556" s="2">
        <v>0.26059569999999999</v>
      </c>
      <c r="H556" s="2">
        <v>0.35108549999999999</v>
      </c>
      <c r="I556" s="2">
        <v>0.46986040000000001</v>
      </c>
      <c r="J556" s="2">
        <v>0.76926439999999996</v>
      </c>
      <c r="K556" s="2">
        <v>1.019593</v>
      </c>
      <c r="L556" s="2">
        <v>1.162002</v>
      </c>
      <c r="M556" s="2">
        <v>1.254238</v>
      </c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</row>
    <row r="557" spans="1:51" x14ac:dyDescent="0.2">
      <c r="A557" s="4">
        <v>2003</v>
      </c>
      <c r="B557" s="2">
        <v>6.3735159999999999E-2</v>
      </c>
      <c r="C557" s="2">
        <v>0.12726090000000001</v>
      </c>
      <c r="D557" s="2">
        <v>0.14030570000000001</v>
      </c>
      <c r="E557" s="2">
        <v>0.158582</v>
      </c>
      <c r="F557" s="2">
        <v>0.20010919999999999</v>
      </c>
      <c r="G557" s="2">
        <v>0.25663940000000002</v>
      </c>
      <c r="H557" s="2">
        <v>0.3232698</v>
      </c>
      <c r="I557" s="2">
        <v>0.46076830000000002</v>
      </c>
      <c r="J557" s="2">
        <v>0.61423019999999995</v>
      </c>
      <c r="K557" s="2">
        <v>0.8311866</v>
      </c>
      <c r="L557" s="2">
        <v>1.081054</v>
      </c>
      <c r="M557" s="2">
        <v>1.371292</v>
      </c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</row>
    <row r="558" spans="1:51" x14ac:dyDescent="0.2">
      <c r="A558" s="4">
        <v>2004</v>
      </c>
      <c r="B558" s="2">
        <v>6.5451200000000001E-2</v>
      </c>
      <c r="C558" s="2">
        <v>0.1287856</v>
      </c>
      <c r="D558" s="2">
        <v>0.17377580000000001</v>
      </c>
      <c r="E558" s="2">
        <v>0.22501370000000001</v>
      </c>
      <c r="F558" s="2">
        <v>0.28427269999999999</v>
      </c>
      <c r="G558" s="2">
        <v>0.4436638</v>
      </c>
      <c r="H558" s="2">
        <v>0.52525679999999997</v>
      </c>
      <c r="I558" s="2">
        <v>0.6198591</v>
      </c>
      <c r="J558" s="2">
        <v>0.68187279999999995</v>
      </c>
      <c r="K558" s="2">
        <v>0.89962629999999999</v>
      </c>
      <c r="L558" s="2">
        <v>0.80575140000000001</v>
      </c>
      <c r="M558" s="2">
        <v>1.0167740000000001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</row>
    <row r="559" spans="1:51" x14ac:dyDescent="0.2">
      <c r="A559" s="4">
        <v>2005</v>
      </c>
      <c r="B559" s="2">
        <v>6.2019119999999997E-2</v>
      </c>
      <c r="C559" s="2">
        <v>0.1431008</v>
      </c>
      <c r="D559" s="2">
        <v>0.17786650000000001</v>
      </c>
      <c r="E559" s="2">
        <v>0.23385549999999999</v>
      </c>
      <c r="F559" s="2">
        <v>0.28889819999999999</v>
      </c>
      <c r="G559" s="2">
        <v>0.36352960000000001</v>
      </c>
      <c r="H559" s="2">
        <v>0.46544360000000001</v>
      </c>
      <c r="I559" s="2">
        <v>0.54540909999999998</v>
      </c>
      <c r="J559" s="2">
        <v>0.62738640000000001</v>
      </c>
      <c r="K559" s="2">
        <v>0.71105309999999999</v>
      </c>
      <c r="L559" s="2">
        <v>0.97689349999999997</v>
      </c>
      <c r="M559" s="2">
        <v>0.95009209999999999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</row>
    <row r="560" spans="1:51" x14ac:dyDescent="0.2">
      <c r="A560" s="4">
        <v>2006</v>
      </c>
      <c r="B560" s="2">
        <v>6.3735159999999999E-2</v>
      </c>
      <c r="C560" s="2">
        <v>0.12726090000000001</v>
      </c>
      <c r="D560" s="2">
        <v>0.20276459999999999</v>
      </c>
      <c r="E560" s="2">
        <v>0.24569659999999999</v>
      </c>
      <c r="F560" s="2">
        <v>0.28550989999999998</v>
      </c>
      <c r="G560" s="2">
        <v>0.36473640000000002</v>
      </c>
      <c r="H560" s="2">
        <v>0.46448679999999998</v>
      </c>
      <c r="I560" s="2">
        <v>0.59188470000000004</v>
      </c>
      <c r="J560" s="2">
        <v>0.67253600000000002</v>
      </c>
      <c r="K560" s="2">
        <v>0.80845619999999996</v>
      </c>
      <c r="L560" s="2">
        <v>1.039274</v>
      </c>
      <c r="M560" s="2">
        <v>1.1186780000000001</v>
      </c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</row>
    <row r="561" spans="1:51" x14ac:dyDescent="0.2">
      <c r="A561" s="4">
        <v>2007</v>
      </c>
      <c r="B561" s="2">
        <v>6.3735159999999999E-2</v>
      </c>
      <c r="C561" s="2">
        <v>0.12726090000000001</v>
      </c>
      <c r="D561" s="2">
        <v>0.1642728</v>
      </c>
      <c r="E561" s="2">
        <v>0.20671610000000001</v>
      </c>
      <c r="F561" s="2">
        <v>0.20276459999999999</v>
      </c>
      <c r="G561" s="2">
        <v>0.24565380000000001</v>
      </c>
      <c r="H561" s="2">
        <v>0.28418110000000002</v>
      </c>
      <c r="I561" s="2">
        <v>0.36332629999999999</v>
      </c>
      <c r="J561" s="2">
        <v>0.46604259999999997</v>
      </c>
      <c r="K561" s="2">
        <v>0.59188470000000004</v>
      </c>
      <c r="L561" s="2">
        <v>0.67253600000000002</v>
      </c>
      <c r="M561" s="2">
        <v>0.80845619999999996</v>
      </c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</row>
    <row r="562" spans="1:51" x14ac:dyDescent="0.2">
      <c r="A562" s="4">
        <v>2008</v>
      </c>
      <c r="B562" s="2">
        <v>6.3735159999999999E-2</v>
      </c>
      <c r="C562" s="2">
        <v>0.12726090000000001</v>
      </c>
      <c r="D562" s="2">
        <v>0.1642728</v>
      </c>
      <c r="E562" s="2">
        <v>0.26109850000000001</v>
      </c>
      <c r="F562" s="2">
        <v>0.36595339999999998</v>
      </c>
      <c r="G562" s="2">
        <v>0.41380329999999999</v>
      </c>
      <c r="H562" s="2">
        <v>0.49951099999999998</v>
      </c>
      <c r="I562" s="2">
        <v>0.58869490000000002</v>
      </c>
      <c r="J562" s="2">
        <v>0.73758389999999996</v>
      </c>
      <c r="K562" s="2">
        <v>0.87189059999999996</v>
      </c>
      <c r="L562" s="2">
        <v>0.90557739999999998</v>
      </c>
      <c r="M562" s="2">
        <v>1.0912679999999999</v>
      </c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</row>
    <row r="563" spans="1:51" x14ac:dyDescent="0.2">
      <c r="A563" s="4">
        <v>2009</v>
      </c>
      <c r="B563" s="2">
        <v>6.3735159999999999E-2</v>
      </c>
      <c r="C563" s="2">
        <v>0.12726090000000001</v>
      </c>
      <c r="D563" s="2">
        <v>0.1642728</v>
      </c>
      <c r="E563" s="2">
        <v>0.20671610000000001</v>
      </c>
      <c r="F563" s="2">
        <v>0.39677659999999998</v>
      </c>
      <c r="G563" s="2">
        <v>0.42854550000000002</v>
      </c>
      <c r="H563" s="2">
        <v>0.50709490000000002</v>
      </c>
      <c r="I563" s="2">
        <v>0.59906210000000004</v>
      </c>
      <c r="J563" s="2">
        <v>0.67086389999999996</v>
      </c>
      <c r="K563" s="2">
        <v>0.88883369999999995</v>
      </c>
      <c r="L563" s="2">
        <v>1.0239990000000001</v>
      </c>
      <c r="M563" s="2">
        <v>1.1473359999999999</v>
      </c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</row>
    <row r="564" spans="1:51" x14ac:dyDescent="0.2">
      <c r="A564" s="4">
        <v>2010</v>
      </c>
      <c r="B564" s="2">
        <v>6.3735159999999999E-2</v>
      </c>
      <c r="C564" s="2">
        <v>0.12726090000000001</v>
      </c>
      <c r="D564" s="2">
        <v>0.1642728</v>
      </c>
      <c r="E564" s="2">
        <v>0.20671610000000001</v>
      </c>
      <c r="F564" s="2">
        <v>0.26582109999999998</v>
      </c>
      <c r="G564" s="2">
        <v>0.44584499999999999</v>
      </c>
      <c r="H564" s="2">
        <v>0.52341349999999998</v>
      </c>
      <c r="I564" s="2">
        <v>0.59010499999999999</v>
      </c>
      <c r="J564" s="2">
        <v>0.67824260000000003</v>
      </c>
      <c r="K564" s="2">
        <v>0.78316459999999999</v>
      </c>
      <c r="L564" s="2">
        <v>0.86792150000000001</v>
      </c>
      <c r="M564" s="2">
        <v>0.97414310000000004</v>
      </c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</row>
    <row r="565" spans="1:51" x14ac:dyDescent="0.2">
      <c r="A565" s="4">
        <v>2011</v>
      </c>
      <c r="B565" s="2">
        <v>6.3735159999999999E-2</v>
      </c>
      <c r="C565" s="2">
        <v>0.12726090000000001</v>
      </c>
      <c r="D565" s="2">
        <v>0.1642728</v>
      </c>
      <c r="E565" s="2">
        <v>0.20671610000000001</v>
      </c>
      <c r="F565" s="2">
        <v>0.26582109999999998</v>
      </c>
      <c r="G565" s="2">
        <v>0.3581125</v>
      </c>
      <c r="H565" s="2">
        <v>0.42996820000000002</v>
      </c>
      <c r="I565" s="2">
        <v>0.44584499999999999</v>
      </c>
      <c r="J565" s="2">
        <v>0.52341349999999998</v>
      </c>
      <c r="K565" s="2">
        <v>0.59010499999999999</v>
      </c>
      <c r="L565" s="2">
        <v>0.67824260000000003</v>
      </c>
      <c r="M565" s="2">
        <v>0.78316459999999999</v>
      </c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</row>
    <row r="566" spans="1:51" x14ac:dyDescent="0.2">
      <c r="A566" s="4">
        <v>2012</v>
      </c>
      <c r="B566" s="2">
        <v>6.3735159999999999E-2</v>
      </c>
      <c r="C566" s="2">
        <v>0.12726090000000001</v>
      </c>
      <c r="D566" s="2">
        <v>0.1642728</v>
      </c>
      <c r="E566" s="2">
        <v>0.15195939999999999</v>
      </c>
      <c r="F566" s="2">
        <v>0.17024839999999999</v>
      </c>
      <c r="G566" s="2">
        <v>0.3581125</v>
      </c>
      <c r="H566" s="2">
        <v>0.35593930000000001</v>
      </c>
      <c r="I566" s="2">
        <v>0.47746169999999999</v>
      </c>
      <c r="J566" s="2">
        <v>0.5728278</v>
      </c>
      <c r="K566" s="2">
        <v>0.64733459999999998</v>
      </c>
      <c r="L566" s="2">
        <v>0.75975870000000001</v>
      </c>
      <c r="M566" s="2">
        <v>0.86134730000000004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</row>
    <row r="567" spans="1:51" x14ac:dyDescent="0.2">
      <c r="A567" s="4">
        <v>2013</v>
      </c>
      <c r="B567" s="2">
        <v>6.3735159999999999E-2</v>
      </c>
      <c r="C567" s="2">
        <v>0.12726090000000001</v>
      </c>
      <c r="D567" s="2">
        <v>0.1642728</v>
      </c>
      <c r="E567" s="2">
        <v>0.20671610000000001</v>
      </c>
      <c r="F567" s="2">
        <v>0.26582109999999998</v>
      </c>
      <c r="G567" s="2">
        <v>0.3581125</v>
      </c>
      <c r="H567" s="2">
        <v>0.42996820000000002</v>
      </c>
      <c r="I567" s="2">
        <v>0.58675319999999997</v>
      </c>
      <c r="J567" s="2">
        <v>0.61184740000000004</v>
      </c>
      <c r="K567" s="2">
        <v>0.70634960000000002</v>
      </c>
      <c r="L567" s="2">
        <v>0.77913589999999999</v>
      </c>
      <c r="M567" s="2">
        <v>0.88127800000000001</v>
      </c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</row>
    <row r="568" spans="1:51" x14ac:dyDescent="0.2">
      <c r="A568" s="4">
        <v>2014</v>
      </c>
      <c r="B568" s="2">
        <v>6.3735159999999999E-2</v>
      </c>
      <c r="C568" s="2">
        <v>0.12726090000000001</v>
      </c>
      <c r="D568" s="2">
        <v>0.1642728</v>
      </c>
      <c r="E568" s="2">
        <v>0.20671610000000001</v>
      </c>
      <c r="F568" s="2">
        <v>0.26582109999999998</v>
      </c>
      <c r="G568" s="2">
        <v>0.3581125</v>
      </c>
      <c r="H568" s="2">
        <v>0.42996820000000002</v>
      </c>
      <c r="I568" s="2">
        <v>0.52825250000000001</v>
      </c>
      <c r="J568" s="2">
        <v>0.63550930000000005</v>
      </c>
      <c r="K568" s="2">
        <v>0.77912320000000002</v>
      </c>
      <c r="L568" s="2">
        <v>0.89601220000000004</v>
      </c>
      <c r="M568" s="2">
        <v>1.021506</v>
      </c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</row>
    <row r="569" spans="1:51" x14ac:dyDescent="0.2">
      <c r="A569" s="4">
        <v>2015</v>
      </c>
      <c r="B569" s="2">
        <v>6.3735159999999999E-2</v>
      </c>
      <c r="C569" s="2">
        <v>0.12726090000000001</v>
      </c>
      <c r="D569" s="2">
        <v>0.1642728</v>
      </c>
      <c r="E569" s="2">
        <v>0.20671610000000001</v>
      </c>
      <c r="F569" s="2">
        <v>0.26582109999999998</v>
      </c>
      <c r="G569" s="2">
        <v>0.3581125</v>
      </c>
      <c r="H569" s="2">
        <v>0.42996820000000002</v>
      </c>
      <c r="I569" s="2">
        <v>0.52825250000000001</v>
      </c>
      <c r="J569" s="2">
        <v>0.63550930000000005</v>
      </c>
      <c r="K569" s="2">
        <v>0.77912320000000002</v>
      </c>
      <c r="L569" s="2">
        <v>0.89601220000000004</v>
      </c>
      <c r="M569" s="2">
        <v>1.021506</v>
      </c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</row>
    <row r="570" spans="1:51" x14ac:dyDescent="0.2">
      <c r="A570" s="4">
        <v>2016</v>
      </c>
      <c r="B570" s="2">
        <v>6.3735159999999999E-2</v>
      </c>
      <c r="C570" s="2">
        <v>0.12726090000000001</v>
      </c>
      <c r="D570" s="2">
        <v>0.1642728</v>
      </c>
      <c r="E570" s="2">
        <v>0.20671610000000001</v>
      </c>
      <c r="F570" s="2">
        <v>0.26582109999999998</v>
      </c>
      <c r="G570" s="2">
        <v>0.3581125</v>
      </c>
      <c r="H570" s="2">
        <v>0.42996820000000002</v>
      </c>
      <c r="I570" s="2">
        <v>0.52825250000000001</v>
      </c>
      <c r="J570" s="2">
        <v>0.63550930000000005</v>
      </c>
      <c r="K570" s="2">
        <v>0.77912320000000002</v>
      </c>
      <c r="L570" s="2">
        <v>0.89601220000000004</v>
      </c>
      <c r="M570" s="2">
        <v>1.021506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</row>
    <row r="571" spans="1:51" x14ac:dyDescent="0.2">
      <c r="A571" s="4">
        <v>2017</v>
      </c>
      <c r="B571" s="2">
        <v>6.3735159999999999E-2</v>
      </c>
      <c r="C571" s="2">
        <v>0.12726090000000001</v>
      </c>
      <c r="D571" s="2">
        <v>0.1642728</v>
      </c>
      <c r="E571" s="2">
        <v>0.20671610000000001</v>
      </c>
      <c r="F571" s="2">
        <v>0.26582109999999998</v>
      </c>
      <c r="G571" s="2">
        <v>0.3581125</v>
      </c>
      <c r="H571" s="2">
        <v>0.42996820000000002</v>
      </c>
      <c r="I571" s="2">
        <v>0.52825250000000001</v>
      </c>
      <c r="J571" s="2">
        <v>0.63550930000000005</v>
      </c>
      <c r="K571" s="2">
        <v>0.77912320000000002</v>
      </c>
      <c r="L571" s="2">
        <v>0.89601220000000004</v>
      </c>
      <c r="M571" s="2">
        <v>1.021506</v>
      </c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</row>
    <row r="572" spans="1:51" x14ac:dyDescent="0.2">
      <c r="A572" s="4">
        <v>2018</v>
      </c>
      <c r="B572" s="2">
        <v>6.3735159999999999E-2</v>
      </c>
      <c r="C572" s="2">
        <v>0.12726090000000001</v>
      </c>
      <c r="D572" s="2">
        <v>0.1642728</v>
      </c>
      <c r="E572" s="2">
        <v>0.20671610000000001</v>
      </c>
      <c r="F572" s="2">
        <v>0.26582109999999998</v>
      </c>
      <c r="G572" s="2">
        <v>0.3581125</v>
      </c>
      <c r="H572" s="2">
        <v>0.42996820000000002</v>
      </c>
      <c r="I572" s="2">
        <v>0.52825250000000001</v>
      </c>
      <c r="J572" s="2">
        <v>0.63550930000000005</v>
      </c>
      <c r="K572" s="2">
        <v>0.77912320000000002</v>
      </c>
      <c r="L572" s="2">
        <v>0.89601220000000004</v>
      </c>
      <c r="M572" s="2">
        <v>1.021506</v>
      </c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</row>
    <row r="573" spans="1:51" x14ac:dyDescent="0.2">
      <c r="A573" s="4">
        <v>2019</v>
      </c>
      <c r="B573" s="2">
        <v>6.3735159999999999E-2</v>
      </c>
      <c r="C573" s="2">
        <v>0.12726090000000001</v>
      </c>
      <c r="D573" s="2">
        <v>0.1642728</v>
      </c>
      <c r="E573" s="2">
        <v>0.20671610000000001</v>
      </c>
      <c r="F573" s="2">
        <v>0.26582109999999998</v>
      </c>
      <c r="G573" s="2">
        <v>0.3581125</v>
      </c>
      <c r="H573" s="2">
        <v>0.42996820000000002</v>
      </c>
      <c r="I573" s="2">
        <v>0.52825250000000001</v>
      </c>
      <c r="J573" s="2">
        <v>0.63550930000000005</v>
      </c>
      <c r="K573" s="2">
        <v>0.77912320000000002</v>
      </c>
      <c r="L573" s="2">
        <v>0.89601220000000004</v>
      </c>
      <c r="M573" s="2">
        <v>1.021506</v>
      </c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</row>
    <row r="574" spans="1:51" x14ac:dyDescent="0.2">
      <c r="A574" s="4" t="s">
        <v>69</v>
      </c>
      <c r="B574" s="2">
        <v>6.3735159999999999E-2</v>
      </c>
      <c r="C574" s="2">
        <v>0.12726090000000001</v>
      </c>
      <c r="D574" s="2">
        <v>0.1642728</v>
      </c>
      <c r="E574" s="2">
        <v>0.20671610000000001</v>
      </c>
      <c r="F574" s="2">
        <v>0.26582109999999998</v>
      </c>
      <c r="G574" s="2">
        <v>0.3581125</v>
      </c>
      <c r="H574" s="2">
        <v>0.42996820000000002</v>
      </c>
      <c r="I574" s="2">
        <v>0.52825250000000001</v>
      </c>
      <c r="J574" s="2">
        <v>0.63550930000000005</v>
      </c>
      <c r="K574" s="2">
        <v>0.77912320000000002</v>
      </c>
      <c r="L574" s="2">
        <v>0.89601220000000004</v>
      </c>
      <c r="M574" s="2">
        <v>1.021506</v>
      </c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</row>
    <row r="575" spans="1:51" x14ac:dyDescent="0.2">
      <c r="A575" s="4">
        <v>1971</v>
      </c>
      <c r="B575" s="2">
        <v>6.3735159999999999E-2</v>
      </c>
      <c r="C575" s="2">
        <v>0.12726090000000001</v>
      </c>
      <c r="D575" s="2">
        <v>0.1642728</v>
      </c>
      <c r="E575" s="2">
        <v>0.20671610000000001</v>
      </c>
      <c r="F575" s="2">
        <v>0.26582109999999998</v>
      </c>
      <c r="G575" s="2">
        <v>0.3581125</v>
      </c>
      <c r="H575" s="2">
        <v>0.42996820000000002</v>
      </c>
      <c r="I575" s="2">
        <v>0.52825250000000001</v>
      </c>
      <c r="J575" s="2">
        <v>0.63550930000000005</v>
      </c>
      <c r="K575" s="2">
        <v>0.77912320000000002</v>
      </c>
      <c r="L575" s="2">
        <v>0.89601220000000004</v>
      </c>
      <c r="M575" s="2">
        <v>1.021506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</row>
    <row r="576" spans="1:51" x14ac:dyDescent="0.2">
      <c r="A576" s="4">
        <v>1972</v>
      </c>
      <c r="B576" s="2">
        <v>6.3735159999999999E-2</v>
      </c>
      <c r="C576" s="2">
        <v>0.12726090000000001</v>
      </c>
      <c r="D576" s="2">
        <v>0.1642728</v>
      </c>
      <c r="E576" s="2">
        <v>0.20671610000000001</v>
      </c>
      <c r="F576" s="2">
        <v>0.26582109999999998</v>
      </c>
      <c r="G576" s="2">
        <v>0.3581125</v>
      </c>
      <c r="H576" s="2">
        <v>0.42996820000000002</v>
      </c>
      <c r="I576" s="2">
        <v>0.52825250000000001</v>
      </c>
      <c r="J576" s="2">
        <v>0.63550930000000005</v>
      </c>
      <c r="K576" s="2">
        <v>0.77912320000000002</v>
      </c>
      <c r="L576" s="2">
        <v>0.89601220000000004</v>
      </c>
      <c r="M576" s="2">
        <v>1.021506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</row>
    <row r="577" spans="1:51" x14ac:dyDescent="0.2">
      <c r="A577" s="4">
        <v>1973</v>
      </c>
      <c r="B577" s="2">
        <v>3.8100000000000002E-2</v>
      </c>
      <c r="C577" s="2">
        <v>8.09E-2</v>
      </c>
      <c r="D577" s="2">
        <v>0.1227</v>
      </c>
      <c r="E577" s="2">
        <v>0.1822</v>
      </c>
      <c r="F577" s="2">
        <v>0.2487</v>
      </c>
      <c r="G577" s="2">
        <v>0.30690000000000001</v>
      </c>
      <c r="H577" s="2">
        <v>0.40710000000000002</v>
      </c>
      <c r="I577" s="2">
        <v>0.4879</v>
      </c>
      <c r="J577" s="2">
        <v>0.63549999999999995</v>
      </c>
      <c r="K577" s="2">
        <v>0.77910000000000001</v>
      </c>
      <c r="L577" s="2">
        <v>0.89600000000000002</v>
      </c>
      <c r="M577" s="2">
        <v>1.0215000000000001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</row>
    <row r="578" spans="1:51" x14ac:dyDescent="0.2">
      <c r="A578" s="4">
        <v>1974</v>
      </c>
      <c r="B578" s="2">
        <v>3.8100000000000002E-2</v>
      </c>
      <c r="C578" s="2">
        <v>8.09E-2</v>
      </c>
      <c r="D578" s="2">
        <v>0.1227</v>
      </c>
      <c r="E578" s="2">
        <v>0.1822</v>
      </c>
      <c r="F578" s="2">
        <v>0.2487</v>
      </c>
      <c r="G578" s="2">
        <v>0.30690000000000001</v>
      </c>
      <c r="H578" s="2">
        <v>0.40710000000000002</v>
      </c>
      <c r="I578" s="2">
        <v>0.4879</v>
      </c>
      <c r="J578" s="2">
        <v>0.63549999999999995</v>
      </c>
      <c r="K578" s="2">
        <v>0.77910000000000001</v>
      </c>
      <c r="L578" s="2">
        <v>0.89600000000000002</v>
      </c>
      <c r="M578" s="2">
        <v>1.0215000000000001</v>
      </c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</row>
    <row r="579" spans="1:51" x14ac:dyDescent="0.2">
      <c r="A579" s="4">
        <v>1975</v>
      </c>
      <c r="B579" s="2">
        <v>3.8100000000000002E-2</v>
      </c>
      <c r="C579" s="2">
        <v>8.09E-2</v>
      </c>
      <c r="D579" s="2">
        <v>0.1227</v>
      </c>
      <c r="E579" s="2">
        <v>0.1822</v>
      </c>
      <c r="F579" s="2">
        <v>0.2487</v>
      </c>
      <c r="G579" s="2">
        <v>0.30690000000000001</v>
      </c>
      <c r="H579" s="2">
        <v>0.40710000000000002</v>
      </c>
      <c r="I579" s="2">
        <v>0.4879</v>
      </c>
      <c r="J579" s="2">
        <v>0.63549999999999995</v>
      </c>
      <c r="K579" s="2">
        <v>0.77910000000000001</v>
      </c>
      <c r="L579" s="2">
        <v>0.89600000000000002</v>
      </c>
      <c r="M579" s="2">
        <v>1.0215000000000001</v>
      </c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</row>
    <row r="580" spans="1:51" x14ac:dyDescent="0.2">
      <c r="A580" s="4">
        <v>1976</v>
      </c>
      <c r="B580" s="2">
        <v>3.8100000000000002E-2</v>
      </c>
      <c r="C580" s="2">
        <v>8.09E-2</v>
      </c>
      <c r="D580" s="2">
        <v>0.1227</v>
      </c>
      <c r="E580" s="2">
        <v>0.1822</v>
      </c>
      <c r="F580" s="2">
        <v>0.2487</v>
      </c>
      <c r="G580" s="2">
        <v>0.30690000000000001</v>
      </c>
      <c r="H580" s="2">
        <v>0.40710000000000002</v>
      </c>
      <c r="I580" s="2">
        <v>0.4879</v>
      </c>
      <c r="J580" s="2">
        <v>0.63549999999999995</v>
      </c>
      <c r="K580" s="2">
        <v>0.77910000000000001</v>
      </c>
      <c r="L580" s="2">
        <v>0.89600000000000002</v>
      </c>
      <c r="M580" s="2">
        <v>1.0215000000000001</v>
      </c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</row>
    <row r="581" spans="1:51" x14ac:dyDescent="0.2">
      <c r="A581" s="4">
        <v>1977</v>
      </c>
      <c r="B581" s="2">
        <v>3.8100000000000002E-2</v>
      </c>
      <c r="C581" s="2">
        <v>8.09E-2</v>
      </c>
      <c r="D581" s="2">
        <v>0.1227</v>
      </c>
      <c r="E581" s="2">
        <v>0.1822</v>
      </c>
      <c r="F581" s="2">
        <v>0.2487</v>
      </c>
      <c r="G581" s="2">
        <v>0.30690000000000001</v>
      </c>
      <c r="H581" s="2">
        <v>0.40710000000000002</v>
      </c>
      <c r="I581" s="2">
        <v>0.4879</v>
      </c>
      <c r="J581" s="2">
        <v>0.63549999999999995</v>
      </c>
      <c r="K581" s="2">
        <v>0.77910000000000001</v>
      </c>
      <c r="L581" s="2">
        <v>0.89600000000000002</v>
      </c>
      <c r="M581" s="2">
        <v>1.0215000000000001</v>
      </c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</row>
    <row r="582" spans="1:51" x14ac:dyDescent="0.2">
      <c r="A582" s="4">
        <v>1978</v>
      </c>
      <c r="B582" s="2">
        <v>3.8100000000000002E-2</v>
      </c>
      <c r="C582" s="2">
        <v>8.09E-2</v>
      </c>
      <c r="D582" s="2">
        <v>0.1227</v>
      </c>
      <c r="E582" s="2">
        <v>0.1822</v>
      </c>
      <c r="F582" s="2">
        <v>0.2487</v>
      </c>
      <c r="G582" s="2">
        <v>0.30690000000000001</v>
      </c>
      <c r="H582" s="2">
        <v>0.40710000000000002</v>
      </c>
      <c r="I582" s="2">
        <v>0.4879</v>
      </c>
      <c r="J582" s="2">
        <v>0.63549999999999995</v>
      </c>
      <c r="K582" s="2">
        <v>0.77910000000000001</v>
      </c>
      <c r="L582" s="2">
        <v>0.89600000000000002</v>
      </c>
      <c r="M582" s="2">
        <v>1.0215000000000001</v>
      </c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</row>
    <row r="583" spans="1:51" x14ac:dyDescent="0.2">
      <c r="A583" s="4">
        <v>1979</v>
      </c>
      <c r="B583" s="2">
        <v>3.8100000000000002E-2</v>
      </c>
      <c r="C583" s="2">
        <v>8.09E-2</v>
      </c>
      <c r="D583" s="2">
        <v>0.1227</v>
      </c>
      <c r="E583" s="2">
        <v>0.1822</v>
      </c>
      <c r="F583" s="2">
        <v>0.2487</v>
      </c>
      <c r="G583" s="2">
        <v>0.30690000000000001</v>
      </c>
      <c r="H583" s="2">
        <v>0.40710000000000002</v>
      </c>
      <c r="I583" s="2">
        <v>0.4879</v>
      </c>
      <c r="J583" s="2">
        <v>0.63549999999999995</v>
      </c>
      <c r="K583" s="2">
        <v>0.77910000000000001</v>
      </c>
      <c r="L583" s="2">
        <v>0.89600000000000002</v>
      </c>
      <c r="M583" s="2">
        <v>1.0215000000000001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</row>
    <row r="584" spans="1:51" x14ac:dyDescent="0.2">
      <c r="A584" s="4">
        <v>1980</v>
      </c>
      <c r="B584" s="2">
        <v>3.8100000000000002E-2</v>
      </c>
      <c r="C584" s="2">
        <v>8.09E-2</v>
      </c>
      <c r="D584" s="2">
        <v>0.1227</v>
      </c>
      <c r="E584" s="2">
        <v>0.1822</v>
      </c>
      <c r="F584" s="2">
        <v>0.2487</v>
      </c>
      <c r="G584" s="2">
        <v>0.30690000000000001</v>
      </c>
      <c r="H584" s="2">
        <v>0.40710000000000002</v>
      </c>
      <c r="I584" s="2">
        <v>0.4879</v>
      </c>
      <c r="J584" s="2">
        <v>0.63549999999999995</v>
      </c>
      <c r="K584" s="2">
        <v>0.77910000000000001</v>
      </c>
      <c r="L584" s="2">
        <v>0.89600000000000002</v>
      </c>
      <c r="M584" s="2">
        <v>1.0215000000000001</v>
      </c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</row>
    <row r="585" spans="1:51" x14ac:dyDescent="0.2">
      <c r="A585" s="4">
        <v>1981</v>
      </c>
      <c r="B585" s="2">
        <v>3.8100000000000002E-2</v>
      </c>
      <c r="C585" s="2">
        <v>8.09E-2</v>
      </c>
      <c r="D585" s="2">
        <v>0.1227</v>
      </c>
      <c r="E585" s="2">
        <v>0.1822</v>
      </c>
      <c r="F585" s="2">
        <v>0.2487</v>
      </c>
      <c r="G585" s="2">
        <v>0.30690000000000001</v>
      </c>
      <c r="H585" s="2">
        <v>0.40710000000000002</v>
      </c>
      <c r="I585" s="2">
        <v>0.4879</v>
      </c>
      <c r="J585" s="2">
        <v>0.63549999999999995</v>
      </c>
      <c r="K585" s="2">
        <v>0.77910000000000001</v>
      </c>
      <c r="L585" s="2">
        <v>0.89600000000000002</v>
      </c>
      <c r="M585" s="2">
        <v>1.0215000000000001</v>
      </c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</row>
    <row r="586" spans="1:51" x14ac:dyDescent="0.2">
      <c r="A586" s="4">
        <v>1982</v>
      </c>
      <c r="B586" s="2">
        <v>3.8100000000000002E-2</v>
      </c>
      <c r="C586" s="2">
        <v>8.09E-2</v>
      </c>
      <c r="D586" s="2">
        <v>0.1227</v>
      </c>
      <c r="E586" s="2">
        <v>0.1822</v>
      </c>
      <c r="F586" s="2">
        <v>0.2487</v>
      </c>
      <c r="G586" s="2">
        <v>0.30690000000000001</v>
      </c>
      <c r="H586" s="2">
        <v>0.40710000000000002</v>
      </c>
      <c r="I586" s="2">
        <v>0.4879</v>
      </c>
      <c r="J586" s="2">
        <v>0.63549999999999995</v>
      </c>
      <c r="K586" s="2">
        <v>0.77910000000000001</v>
      </c>
      <c r="L586" s="2">
        <v>0.89600000000000002</v>
      </c>
      <c r="M586" s="2">
        <v>1.0215000000000001</v>
      </c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</row>
    <row r="587" spans="1:51" x14ac:dyDescent="0.2">
      <c r="A587" s="4">
        <v>1983</v>
      </c>
      <c r="B587" s="2">
        <v>3.8100000000000002E-2</v>
      </c>
      <c r="C587" s="2">
        <v>8.09E-2</v>
      </c>
      <c r="D587" s="2">
        <v>0.1227</v>
      </c>
      <c r="E587" s="2">
        <v>0.1822</v>
      </c>
      <c r="F587" s="2">
        <v>0.2487</v>
      </c>
      <c r="G587" s="2">
        <v>0.30690000000000001</v>
      </c>
      <c r="H587" s="2">
        <v>0.40710000000000002</v>
      </c>
      <c r="I587" s="2">
        <v>0.4879</v>
      </c>
      <c r="J587" s="2">
        <v>0.63549999999999995</v>
      </c>
      <c r="K587" s="2">
        <v>0.77910000000000001</v>
      </c>
      <c r="L587" s="2">
        <v>0.89600000000000002</v>
      </c>
      <c r="M587" s="2">
        <v>1.0215000000000001</v>
      </c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</row>
    <row r="588" spans="1:51" x14ac:dyDescent="0.2">
      <c r="A588" s="4">
        <v>1984</v>
      </c>
      <c r="B588" s="2">
        <v>3.8100000000000002E-2</v>
      </c>
      <c r="C588" s="2">
        <v>8.09E-2</v>
      </c>
      <c r="D588" s="2">
        <v>0.1227</v>
      </c>
      <c r="E588" s="2">
        <v>0.1822</v>
      </c>
      <c r="F588" s="2">
        <v>0.2487</v>
      </c>
      <c r="G588" s="2">
        <v>0.30690000000000001</v>
      </c>
      <c r="H588" s="2">
        <v>0.40710000000000002</v>
      </c>
      <c r="I588" s="2">
        <v>0.4879</v>
      </c>
      <c r="J588" s="2">
        <v>0.63549999999999995</v>
      </c>
      <c r="K588" s="2">
        <v>0.77910000000000001</v>
      </c>
      <c r="L588" s="2">
        <v>0.89600000000000002</v>
      </c>
      <c r="M588" s="2">
        <v>1.0215000000000001</v>
      </c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</row>
    <row r="589" spans="1:51" x14ac:dyDescent="0.2">
      <c r="A589" s="4">
        <v>1985</v>
      </c>
      <c r="B589" s="2">
        <v>3.8100000000000002E-2</v>
      </c>
      <c r="C589" s="2">
        <v>8.09E-2</v>
      </c>
      <c r="D589" s="2">
        <v>0.1227</v>
      </c>
      <c r="E589" s="2">
        <v>0.1822</v>
      </c>
      <c r="F589" s="2">
        <v>0.2487</v>
      </c>
      <c r="G589" s="2">
        <v>0.30690000000000001</v>
      </c>
      <c r="H589" s="2">
        <v>0.40710000000000002</v>
      </c>
      <c r="I589" s="2">
        <v>0.4879</v>
      </c>
      <c r="J589" s="2">
        <v>0.63549999999999995</v>
      </c>
      <c r="K589" s="2">
        <v>0.77910000000000001</v>
      </c>
      <c r="L589" s="2">
        <v>0.89600000000000002</v>
      </c>
      <c r="M589" s="2">
        <v>1.0215000000000001</v>
      </c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</row>
    <row r="590" spans="1:51" x14ac:dyDescent="0.2">
      <c r="A590" s="4">
        <v>1986</v>
      </c>
      <c r="B590" s="2">
        <v>3.8100000000000002E-2</v>
      </c>
      <c r="C590" s="2">
        <v>8.09E-2</v>
      </c>
      <c r="D590" s="2">
        <v>0.1227</v>
      </c>
      <c r="E590" s="2">
        <v>0.1822</v>
      </c>
      <c r="F590" s="2">
        <v>0.2487</v>
      </c>
      <c r="G590" s="2">
        <v>0.30690000000000001</v>
      </c>
      <c r="H590" s="2">
        <v>0.40710000000000002</v>
      </c>
      <c r="I590" s="2">
        <v>0.4879</v>
      </c>
      <c r="J590" s="2">
        <v>0.63549999999999995</v>
      </c>
      <c r="K590" s="2">
        <v>0.77910000000000001</v>
      </c>
      <c r="L590" s="2">
        <v>0.89600000000000002</v>
      </c>
      <c r="M590" s="2">
        <v>1.0215000000000001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</row>
    <row r="591" spans="1:51" x14ac:dyDescent="0.2">
      <c r="A591" s="4">
        <v>1987</v>
      </c>
      <c r="B591" s="2">
        <v>3.8100000000000002E-2</v>
      </c>
      <c r="C591" s="2">
        <v>8.09E-2</v>
      </c>
      <c r="D591" s="2">
        <v>0.1227</v>
      </c>
      <c r="E591" s="2">
        <v>0.1822</v>
      </c>
      <c r="F591" s="2">
        <v>0.2487</v>
      </c>
      <c r="G591" s="2">
        <v>0.30690000000000001</v>
      </c>
      <c r="H591" s="2">
        <v>0.40710000000000002</v>
      </c>
      <c r="I591" s="2">
        <v>0.4879</v>
      </c>
      <c r="J591" s="2">
        <v>0.63549999999999995</v>
      </c>
      <c r="K591" s="2">
        <v>0.77910000000000001</v>
      </c>
      <c r="L591" s="2">
        <v>0.89600000000000002</v>
      </c>
      <c r="M591" s="2">
        <v>1.0215000000000001</v>
      </c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</row>
    <row r="592" spans="1:51" x14ac:dyDescent="0.2">
      <c r="A592" s="4">
        <v>1988</v>
      </c>
      <c r="B592" s="2">
        <v>3.8100000000000002E-2</v>
      </c>
      <c r="C592" s="2">
        <v>8.09E-2</v>
      </c>
      <c r="D592" s="2">
        <v>0.1227</v>
      </c>
      <c r="E592" s="2">
        <v>0.1822</v>
      </c>
      <c r="F592" s="2">
        <v>0.2487</v>
      </c>
      <c r="G592" s="2">
        <v>0.30690000000000001</v>
      </c>
      <c r="H592" s="2">
        <v>0.40710000000000002</v>
      </c>
      <c r="I592" s="2">
        <v>0.4879</v>
      </c>
      <c r="J592" s="2">
        <v>0.63549999999999995</v>
      </c>
      <c r="K592" s="2">
        <v>0.77910000000000001</v>
      </c>
      <c r="L592" s="2">
        <v>0.89600000000000002</v>
      </c>
      <c r="M592" s="2">
        <v>1.0215000000000001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</row>
    <row r="593" spans="1:51" x14ac:dyDescent="0.2">
      <c r="A593" s="4">
        <v>1989</v>
      </c>
      <c r="B593" s="2">
        <v>3.8100000000000002E-2</v>
      </c>
      <c r="C593" s="2">
        <v>8.09E-2</v>
      </c>
      <c r="D593" s="2">
        <v>0.1227</v>
      </c>
      <c r="E593" s="2">
        <v>0.1822</v>
      </c>
      <c r="F593" s="2">
        <v>0.2487</v>
      </c>
      <c r="G593" s="2">
        <v>0.30690000000000001</v>
      </c>
      <c r="H593" s="2">
        <v>0.40710000000000002</v>
      </c>
      <c r="I593" s="2">
        <v>0.4879</v>
      </c>
      <c r="J593" s="2">
        <v>0.63549999999999995</v>
      </c>
      <c r="K593" s="2">
        <v>0.77910000000000001</v>
      </c>
      <c r="L593" s="2">
        <v>0.89600000000000002</v>
      </c>
      <c r="M593" s="2">
        <v>1.0215000000000001</v>
      </c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</row>
    <row r="594" spans="1:51" x14ac:dyDescent="0.2">
      <c r="A594" s="4">
        <v>1990</v>
      </c>
      <c r="B594" s="2">
        <v>3.8100000000000002E-2</v>
      </c>
      <c r="C594" s="2">
        <v>8.09E-2</v>
      </c>
      <c r="D594" s="2">
        <v>0.1227</v>
      </c>
      <c r="E594" s="2">
        <v>0.1822</v>
      </c>
      <c r="F594" s="2">
        <v>0.2487</v>
      </c>
      <c r="G594" s="2">
        <v>0.30690000000000001</v>
      </c>
      <c r="H594" s="2">
        <v>0.40710000000000002</v>
      </c>
      <c r="I594" s="2">
        <v>0.4879</v>
      </c>
      <c r="J594" s="2">
        <v>0.63549999999999995</v>
      </c>
      <c r="K594" s="2">
        <v>0.77910000000000001</v>
      </c>
      <c r="L594" s="2">
        <v>0.89600000000000002</v>
      </c>
      <c r="M594" s="2">
        <v>1.0215000000000001</v>
      </c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</row>
    <row r="595" spans="1:51" x14ac:dyDescent="0.2">
      <c r="A595" s="4">
        <v>1991</v>
      </c>
      <c r="B595" s="2">
        <v>3.8100000000000002E-2</v>
      </c>
      <c r="C595" s="2">
        <v>8.09E-2</v>
      </c>
      <c r="D595" s="2">
        <v>0.1227</v>
      </c>
      <c r="E595" s="2">
        <v>0.1822</v>
      </c>
      <c r="F595" s="2">
        <v>0.2487</v>
      </c>
      <c r="G595" s="2">
        <v>0.30690000000000001</v>
      </c>
      <c r="H595" s="2">
        <v>0.40710000000000002</v>
      </c>
      <c r="I595" s="2">
        <v>0.4879</v>
      </c>
      <c r="J595" s="2">
        <v>0.63549999999999995</v>
      </c>
      <c r="K595" s="2">
        <v>0.77910000000000001</v>
      </c>
      <c r="L595" s="2">
        <v>0.89600000000000002</v>
      </c>
      <c r="M595" s="2">
        <v>1.0215000000000001</v>
      </c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</row>
    <row r="596" spans="1:51" x14ac:dyDescent="0.2">
      <c r="A596" s="4">
        <v>1992</v>
      </c>
      <c r="B596" s="2">
        <v>3.8100000000000002E-2</v>
      </c>
      <c r="C596" s="2">
        <v>8.09E-2</v>
      </c>
      <c r="D596" s="2">
        <v>0.1227</v>
      </c>
      <c r="E596" s="2">
        <v>0.1822</v>
      </c>
      <c r="F596" s="2">
        <v>0.2487</v>
      </c>
      <c r="G596" s="2">
        <v>0.30690000000000001</v>
      </c>
      <c r="H596" s="2">
        <v>0.40710000000000002</v>
      </c>
      <c r="I596" s="2">
        <v>0.4879</v>
      </c>
      <c r="J596" s="2">
        <v>0.63549999999999995</v>
      </c>
      <c r="K596" s="2">
        <v>0.77910000000000001</v>
      </c>
      <c r="L596" s="2">
        <v>0.89600000000000002</v>
      </c>
      <c r="M596" s="2">
        <v>1.0215000000000001</v>
      </c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</row>
    <row r="597" spans="1:51" x14ac:dyDescent="0.2">
      <c r="A597" s="4">
        <v>1993</v>
      </c>
      <c r="B597" s="2">
        <v>3.8100000000000002E-2</v>
      </c>
      <c r="C597" s="2">
        <v>8.09E-2</v>
      </c>
      <c r="D597" s="2">
        <v>0.1227</v>
      </c>
      <c r="E597" s="2">
        <v>0.1822</v>
      </c>
      <c r="F597" s="2">
        <v>0.2487</v>
      </c>
      <c r="G597" s="2">
        <v>0.30690000000000001</v>
      </c>
      <c r="H597" s="2">
        <v>0.40710000000000002</v>
      </c>
      <c r="I597" s="2">
        <v>0.4879</v>
      </c>
      <c r="J597" s="2">
        <v>0.63549999999999995</v>
      </c>
      <c r="K597" s="2">
        <v>0.77910000000000001</v>
      </c>
      <c r="L597" s="2">
        <v>0.89600000000000002</v>
      </c>
      <c r="M597" s="2">
        <v>1.0215000000000001</v>
      </c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</row>
    <row r="598" spans="1:51" x14ac:dyDescent="0.2">
      <c r="A598" s="4">
        <v>1994</v>
      </c>
      <c r="B598" s="2">
        <v>3.8100000000000002E-2</v>
      </c>
      <c r="C598" s="2">
        <v>8.09E-2</v>
      </c>
      <c r="D598" s="2">
        <v>0.1227</v>
      </c>
      <c r="E598" s="2">
        <v>0.1822</v>
      </c>
      <c r="F598" s="2">
        <v>0.2487</v>
      </c>
      <c r="G598" s="2">
        <v>0.30690000000000001</v>
      </c>
      <c r="H598" s="2">
        <v>0.40710000000000002</v>
      </c>
      <c r="I598" s="2">
        <v>0.4879</v>
      </c>
      <c r="J598" s="2">
        <v>0.63549999999999995</v>
      </c>
      <c r="K598" s="2">
        <v>0.77910000000000001</v>
      </c>
      <c r="L598" s="2">
        <v>0.89600000000000002</v>
      </c>
      <c r="M598" s="2">
        <v>1.0215000000000001</v>
      </c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</row>
    <row r="599" spans="1:51" x14ac:dyDescent="0.2">
      <c r="A599" s="4">
        <v>1995</v>
      </c>
      <c r="B599" s="2">
        <v>3.8100000000000002E-2</v>
      </c>
      <c r="C599" s="2">
        <v>8.09E-2</v>
      </c>
      <c r="D599" s="2">
        <v>0.1227</v>
      </c>
      <c r="E599" s="2">
        <v>0.1822</v>
      </c>
      <c r="F599" s="2">
        <v>0.2487</v>
      </c>
      <c r="G599" s="2">
        <v>0.30690000000000001</v>
      </c>
      <c r="H599" s="2">
        <v>0.40710000000000002</v>
      </c>
      <c r="I599" s="2">
        <v>0.4879</v>
      </c>
      <c r="J599" s="2">
        <v>0.63549999999999995</v>
      </c>
      <c r="K599" s="2">
        <v>0.77910000000000001</v>
      </c>
      <c r="L599" s="2">
        <v>0.89600000000000002</v>
      </c>
      <c r="M599" s="2">
        <v>1.0215000000000001</v>
      </c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</row>
    <row r="600" spans="1:51" x14ac:dyDescent="0.2">
      <c r="A600" s="4">
        <v>1996</v>
      </c>
      <c r="B600" s="2">
        <v>3.8100000000000002E-2</v>
      </c>
      <c r="C600" s="2">
        <v>8.09E-2</v>
      </c>
      <c r="D600" s="2">
        <v>0.1227</v>
      </c>
      <c r="E600" s="2">
        <v>0.1822</v>
      </c>
      <c r="F600" s="2">
        <v>0.2487</v>
      </c>
      <c r="G600" s="2">
        <v>0.30690000000000001</v>
      </c>
      <c r="H600" s="2">
        <v>0.40710000000000002</v>
      </c>
      <c r="I600" s="2">
        <v>0.4879</v>
      </c>
      <c r="J600" s="2">
        <v>0.63549999999999995</v>
      </c>
      <c r="K600" s="2">
        <v>0.77910000000000001</v>
      </c>
      <c r="L600" s="2">
        <v>0.89600000000000002</v>
      </c>
      <c r="M600" s="2">
        <v>1.0215000000000001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</row>
    <row r="601" spans="1:51" x14ac:dyDescent="0.2">
      <c r="A601" s="4">
        <v>1997</v>
      </c>
      <c r="B601" s="2">
        <v>3.8100000000000002E-2</v>
      </c>
      <c r="C601" s="2">
        <v>8.09E-2</v>
      </c>
      <c r="D601" s="2">
        <v>0.1227</v>
      </c>
      <c r="E601" s="2">
        <v>0.1822</v>
      </c>
      <c r="F601" s="2">
        <v>0.2487</v>
      </c>
      <c r="G601" s="2">
        <v>0.30690000000000001</v>
      </c>
      <c r="H601" s="2">
        <v>0.40710000000000002</v>
      </c>
      <c r="I601" s="2">
        <v>0.4879</v>
      </c>
      <c r="J601" s="2">
        <v>0.63549999999999995</v>
      </c>
      <c r="K601" s="2">
        <v>0.77910000000000001</v>
      </c>
      <c r="L601" s="2">
        <v>0.89600000000000002</v>
      </c>
      <c r="M601" s="2">
        <v>1.0215000000000001</v>
      </c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</row>
    <row r="602" spans="1:51" x14ac:dyDescent="0.2">
      <c r="A602" s="4">
        <v>1998</v>
      </c>
      <c r="B602" s="2">
        <v>3.8100000000000002E-2</v>
      </c>
      <c r="C602" s="2">
        <v>8.09E-2</v>
      </c>
      <c r="D602" s="2">
        <v>0.1227</v>
      </c>
      <c r="E602" s="2">
        <v>0.1822</v>
      </c>
      <c r="F602" s="2">
        <v>0.2487</v>
      </c>
      <c r="G602" s="2">
        <v>0.30690000000000001</v>
      </c>
      <c r="H602" s="2">
        <v>0.40710000000000002</v>
      </c>
      <c r="I602" s="2">
        <v>0.4879</v>
      </c>
      <c r="J602" s="2">
        <v>0.63549999999999995</v>
      </c>
      <c r="K602" s="2">
        <v>0.77910000000000001</v>
      </c>
      <c r="L602" s="2">
        <v>0.89600000000000002</v>
      </c>
      <c r="M602" s="2">
        <v>1.0215000000000001</v>
      </c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</row>
    <row r="603" spans="1:51" x14ac:dyDescent="0.2">
      <c r="A603" s="4">
        <v>1999</v>
      </c>
      <c r="B603" s="2">
        <v>3.8100000000000002E-2</v>
      </c>
      <c r="C603" s="2">
        <v>8.09E-2</v>
      </c>
      <c r="D603" s="2">
        <v>0.1227</v>
      </c>
      <c r="E603" s="2">
        <v>0.1822</v>
      </c>
      <c r="F603" s="2">
        <v>0.2487</v>
      </c>
      <c r="G603" s="2">
        <v>0.30690000000000001</v>
      </c>
      <c r="H603" s="2">
        <v>0.40710000000000002</v>
      </c>
      <c r="I603" s="2">
        <v>0.4879</v>
      </c>
      <c r="J603" s="2">
        <v>0.63549999999999995</v>
      </c>
      <c r="K603" s="2">
        <v>0.77910000000000001</v>
      </c>
      <c r="L603" s="2">
        <v>0.89600000000000002</v>
      </c>
      <c r="M603" s="2">
        <v>1.0215000000000001</v>
      </c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</row>
    <row r="604" spans="1:51" x14ac:dyDescent="0.2">
      <c r="A604" s="4">
        <v>2000</v>
      </c>
      <c r="B604" s="2">
        <v>3.8100000000000002E-2</v>
      </c>
      <c r="C604" s="2">
        <v>8.09E-2</v>
      </c>
      <c r="D604" s="2">
        <v>0.1227</v>
      </c>
      <c r="E604" s="2">
        <v>0.1822</v>
      </c>
      <c r="F604" s="2">
        <v>0.2487</v>
      </c>
      <c r="G604" s="2">
        <v>0.30690000000000001</v>
      </c>
      <c r="H604" s="2">
        <v>0.40710000000000002</v>
      </c>
      <c r="I604" s="2">
        <v>0.4879</v>
      </c>
      <c r="J604" s="2">
        <v>0.63549999999999995</v>
      </c>
      <c r="K604" s="2">
        <v>0.77910000000000001</v>
      </c>
      <c r="L604" s="2">
        <v>0.89600000000000002</v>
      </c>
      <c r="M604" s="2">
        <v>1.0215000000000001</v>
      </c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</row>
    <row r="605" spans="1:51" x14ac:dyDescent="0.2">
      <c r="A605" s="4">
        <v>2001</v>
      </c>
      <c r="B605" s="2">
        <v>3.8100000000000002E-2</v>
      </c>
      <c r="C605" s="2">
        <v>8.09E-2</v>
      </c>
      <c r="D605" s="2">
        <v>0.1227</v>
      </c>
      <c r="E605" s="2">
        <v>0.1822</v>
      </c>
      <c r="F605" s="2">
        <v>0.2487</v>
      </c>
      <c r="G605" s="2">
        <v>0.30690000000000001</v>
      </c>
      <c r="H605" s="2">
        <v>0.40710000000000002</v>
      </c>
      <c r="I605" s="2">
        <v>0.4879</v>
      </c>
      <c r="J605" s="2">
        <v>0.63549999999999995</v>
      </c>
      <c r="K605" s="2">
        <v>0.77910000000000001</v>
      </c>
      <c r="L605" s="2">
        <v>0.89600000000000002</v>
      </c>
      <c r="M605" s="2">
        <v>1.0215000000000001</v>
      </c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</row>
    <row r="606" spans="1:51" x14ac:dyDescent="0.2">
      <c r="A606" s="4">
        <v>2002</v>
      </c>
      <c r="B606" s="2">
        <v>3.8100000000000002E-2</v>
      </c>
      <c r="C606" s="2">
        <v>8.09E-2</v>
      </c>
      <c r="D606" s="2">
        <v>0.1227</v>
      </c>
      <c r="E606" s="2">
        <v>0.1822</v>
      </c>
      <c r="F606" s="2">
        <v>0.2487</v>
      </c>
      <c r="G606" s="2">
        <v>0.30690000000000001</v>
      </c>
      <c r="H606" s="2">
        <v>0.40710000000000002</v>
      </c>
      <c r="I606" s="2">
        <v>0.4879</v>
      </c>
      <c r="J606" s="2">
        <v>0.63549999999999995</v>
      </c>
      <c r="K606" s="2">
        <v>0.77910000000000001</v>
      </c>
      <c r="L606" s="2">
        <v>0.89600000000000002</v>
      </c>
      <c r="M606" s="2">
        <v>1.0215000000000001</v>
      </c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</row>
    <row r="607" spans="1:51" x14ac:dyDescent="0.2">
      <c r="A607" s="4">
        <v>2003</v>
      </c>
      <c r="B607" s="2">
        <v>3.8100000000000002E-2</v>
      </c>
      <c r="C607" s="2">
        <v>8.09E-2</v>
      </c>
      <c r="D607" s="2">
        <v>0.1227</v>
      </c>
      <c r="E607" s="2">
        <v>0.1822</v>
      </c>
      <c r="F607" s="2">
        <v>0.2487</v>
      </c>
      <c r="G607" s="2">
        <v>0.30690000000000001</v>
      </c>
      <c r="H607" s="2">
        <v>0.40710000000000002</v>
      </c>
      <c r="I607" s="2">
        <v>0.4879</v>
      </c>
      <c r="J607" s="2">
        <v>0.63549999999999995</v>
      </c>
      <c r="K607" s="2">
        <v>0.77910000000000001</v>
      </c>
      <c r="L607" s="2">
        <v>0.89600000000000002</v>
      </c>
      <c r="M607" s="2">
        <v>1.0215000000000001</v>
      </c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</row>
    <row r="608" spans="1:51" x14ac:dyDescent="0.2">
      <c r="A608" s="4">
        <v>2004</v>
      </c>
      <c r="B608" s="2">
        <v>3.8100000000000002E-2</v>
      </c>
      <c r="C608" s="2">
        <v>8.09E-2</v>
      </c>
      <c r="D608" s="2">
        <v>0.1227</v>
      </c>
      <c r="E608" s="2">
        <v>0.1822</v>
      </c>
      <c r="F608" s="2">
        <v>0.2487</v>
      </c>
      <c r="G608" s="2">
        <v>0.30690000000000001</v>
      </c>
      <c r="H608" s="2">
        <v>0.40710000000000002</v>
      </c>
      <c r="I608" s="2">
        <v>0.4879</v>
      </c>
      <c r="J608" s="2">
        <v>0.63549999999999995</v>
      </c>
      <c r="K608" s="2">
        <v>0.77910000000000001</v>
      </c>
      <c r="L608" s="2">
        <v>0.89600000000000002</v>
      </c>
      <c r="M608" s="2">
        <v>1.0215000000000001</v>
      </c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</row>
    <row r="609" spans="1:51" x14ac:dyDescent="0.2">
      <c r="A609" s="4">
        <v>2005</v>
      </c>
      <c r="B609" s="2">
        <v>3.8100000000000002E-2</v>
      </c>
      <c r="C609" s="2">
        <v>8.09E-2</v>
      </c>
      <c r="D609" s="2">
        <v>0.1227</v>
      </c>
      <c r="E609" s="2">
        <v>0.1822</v>
      </c>
      <c r="F609" s="2">
        <v>0.2487</v>
      </c>
      <c r="G609" s="2">
        <v>0.30690000000000001</v>
      </c>
      <c r="H609" s="2">
        <v>0.40710000000000002</v>
      </c>
      <c r="I609" s="2">
        <v>0.4879</v>
      </c>
      <c r="J609" s="2">
        <v>0.63549999999999995</v>
      </c>
      <c r="K609" s="2">
        <v>0.77910000000000001</v>
      </c>
      <c r="L609" s="2">
        <v>0.89600000000000002</v>
      </c>
      <c r="M609" s="2">
        <v>1.0215000000000001</v>
      </c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</row>
    <row r="610" spans="1:51" x14ac:dyDescent="0.2">
      <c r="A610" s="4">
        <v>2006</v>
      </c>
      <c r="B610" s="2">
        <v>3.8100000000000002E-2</v>
      </c>
      <c r="C610" s="2">
        <v>8.09E-2</v>
      </c>
      <c r="D610" s="2">
        <v>0.1227</v>
      </c>
      <c r="E610" s="2">
        <v>0.1822</v>
      </c>
      <c r="F610" s="2">
        <v>0.2487</v>
      </c>
      <c r="G610" s="2">
        <v>0.30690000000000001</v>
      </c>
      <c r="H610" s="2">
        <v>0.40710000000000002</v>
      </c>
      <c r="I610" s="2">
        <v>0.4879</v>
      </c>
      <c r="J610" s="2">
        <v>0.63549999999999995</v>
      </c>
      <c r="K610" s="2">
        <v>0.77910000000000001</v>
      </c>
      <c r="L610" s="2">
        <v>0.89600000000000002</v>
      </c>
      <c r="M610" s="2">
        <v>1.0215000000000001</v>
      </c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</row>
    <row r="611" spans="1:51" x14ac:dyDescent="0.2">
      <c r="A611" s="4">
        <v>2007</v>
      </c>
      <c r="B611" s="2">
        <v>3.8100000000000002E-2</v>
      </c>
      <c r="C611" s="2">
        <v>8.09E-2</v>
      </c>
      <c r="D611" s="2">
        <v>0.1227</v>
      </c>
      <c r="E611" s="2">
        <v>0.1822</v>
      </c>
      <c r="F611" s="2">
        <v>0.2487</v>
      </c>
      <c r="G611" s="2">
        <v>0.30690000000000001</v>
      </c>
      <c r="H611" s="2">
        <v>0.40710000000000002</v>
      </c>
      <c r="I611" s="2">
        <v>0.4879</v>
      </c>
      <c r="J611" s="2">
        <v>0.63549999999999995</v>
      </c>
      <c r="K611" s="2">
        <v>0.77910000000000001</v>
      </c>
      <c r="L611" s="2">
        <v>0.89600000000000002</v>
      </c>
      <c r="M611" s="2">
        <v>1.0215000000000001</v>
      </c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</row>
    <row r="612" spans="1:51" x14ac:dyDescent="0.2">
      <c r="A612" s="4">
        <v>2008</v>
      </c>
      <c r="B612" s="2">
        <v>3.8100000000000002E-2</v>
      </c>
      <c r="C612" s="2">
        <v>8.09E-2</v>
      </c>
      <c r="D612" s="2">
        <v>0.1227</v>
      </c>
      <c r="E612" s="2">
        <v>0.1822</v>
      </c>
      <c r="F612" s="2">
        <v>0.2487</v>
      </c>
      <c r="G612" s="2">
        <v>0.30690000000000001</v>
      </c>
      <c r="H612" s="2">
        <v>0.40710000000000002</v>
      </c>
      <c r="I612" s="2">
        <v>0.4879</v>
      </c>
      <c r="J612" s="2">
        <v>0.63549999999999995</v>
      </c>
      <c r="K612" s="2">
        <v>0.77910000000000001</v>
      </c>
      <c r="L612" s="2">
        <v>0.89600000000000002</v>
      </c>
      <c r="M612" s="2">
        <v>1.0215000000000001</v>
      </c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</row>
    <row r="613" spans="1:51" x14ac:dyDescent="0.2">
      <c r="A613" s="4">
        <v>2009</v>
      </c>
      <c r="B613" s="2">
        <v>3.8600000000000002E-2</v>
      </c>
      <c r="C613" s="2">
        <v>9.2299999999999993E-2</v>
      </c>
      <c r="D613" s="2">
        <v>0.13980000000000001</v>
      </c>
      <c r="E613" s="2">
        <v>0.18240000000000001</v>
      </c>
      <c r="F613" s="2">
        <v>0.23569999999999999</v>
      </c>
      <c r="G613" s="2">
        <v>0.30690000000000001</v>
      </c>
      <c r="H613" s="2">
        <v>0.40710000000000002</v>
      </c>
      <c r="I613" s="2">
        <v>0.4879</v>
      </c>
      <c r="J613" s="2">
        <v>0.63549999999999995</v>
      </c>
      <c r="K613" s="2">
        <v>0.77910000000000001</v>
      </c>
      <c r="L613" s="2">
        <v>0.89600000000000002</v>
      </c>
      <c r="M613" s="2">
        <v>1.0215000000000001</v>
      </c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</row>
    <row r="614" spans="1:51" x14ac:dyDescent="0.2">
      <c r="A614" s="4">
        <v>2010</v>
      </c>
      <c r="B614" s="2">
        <v>5.7200000000000001E-2</v>
      </c>
      <c r="C614" s="2">
        <v>0.10539999999999999</v>
      </c>
      <c r="D614" s="2">
        <v>0.15179999999999999</v>
      </c>
      <c r="E614" s="2">
        <v>0.20599999999999999</v>
      </c>
      <c r="F614" s="2">
        <v>0.22550000000000001</v>
      </c>
      <c r="G614" s="2">
        <v>0.30940000000000001</v>
      </c>
      <c r="H614" s="2">
        <v>0.36170000000000002</v>
      </c>
      <c r="I614" s="2">
        <v>0.4879</v>
      </c>
      <c r="J614" s="2">
        <v>0.63549999999999995</v>
      </c>
      <c r="K614" s="2">
        <v>0.77910000000000001</v>
      </c>
      <c r="L614" s="2">
        <v>0.89600000000000002</v>
      </c>
      <c r="M614" s="2">
        <v>1.0215000000000001</v>
      </c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</row>
    <row r="615" spans="1:51" x14ac:dyDescent="0.2">
      <c r="A615" s="4">
        <v>2011</v>
      </c>
      <c r="B615" s="2">
        <v>5.0599999999999999E-2</v>
      </c>
      <c r="C615" s="2">
        <v>6.9900000000000004E-2</v>
      </c>
      <c r="D615" s="2">
        <v>7.5200000000000003E-2</v>
      </c>
      <c r="E615" s="2">
        <v>9.9000000000000005E-2</v>
      </c>
      <c r="F615" s="2">
        <v>0.2399</v>
      </c>
      <c r="G615" s="2">
        <v>0.27950000000000003</v>
      </c>
      <c r="H615" s="2">
        <v>0.40749999999999997</v>
      </c>
      <c r="I615" s="2">
        <v>0.4879</v>
      </c>
      <c r="J615" s="2">
        <v>0.63549999999999995</v>
      </c>
      <c r="K615" s="2">
        <v>0.77910000000000001</v>
      </c>
      <c r="L615" s="2">
        <v>0.89600000000000002</v>
      </c>
      <c r="M615" s="2">
        <v>1.0215000000000001</v>
      </c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</row>
    <row r="616" spans="1:51" x14ac:dyDescent="0.2">
      <c r="A616" s="4">
        <v>2012</v>
      </c>
      <c r="B616" s="2">
        <v>3.8100000000000002E-2</v>
      </c>
      <c r="C616" s="2">
        <v>0.1057</v>
      </c>
      <c r="D616" s="2">
        <v>0.14460000000000001</v>
      </c>
      <c r="E616" s="2">
        <v>0.2026</v>
      </c>
      <c r="F616" s="2">
        <v>0.28129999999999999</v>
      </c>
      <c r="G616" s="2">
        <v>0.3201</v>
      </c>
      <c r="H616" s="2">
        <v>0.45300000000000001</v>
      </c>
      <c r="I616" s="2">
        <v>0.4879</v>
      </c>
      <c r="J616" s="2">
        <v>0.63549999999999995</v>
      </c>
      <c r="K616" s="2">
        <v>0.77910000000000001</v>
      </c>
      <c r="L616" s="2">
        <v>0.89600000000000002</v>
      </c>
      <c r="M616" s="2">
        <v>1.0215000000000001</v>
      </c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</row>
    <row r="617" spans="1:51" x14ac:dyDescent="0.2">
      <c r="A617" s="4">
        <v>2013</v>
      </c>
      <c r="B617" s="2">
        <v>3.8100000000000002E-2</v>
      </c>
      <c r="C617" s="2">
        <v>4.8000000000000001E-2</v>
      </c>
      <c r="D617" s="2">
        <v>0.1426</v>
      </c>
      <c r="E617" s="2">
        <v>0.17299999999999999</v>
      </c>
      <c r="F617" s="2">
        <v>0.2356</v>
      </c>
      <c r="G617" s="2">
        <v>0.28539999999999999</v>
      </c>
      <c r="H617" s="2">
        <v>0.39539999999999997</v>
      </c>
      <c r="I617" s="2">
        <v>0.4879</v>
      </c>
      <c r="J617" s="2">
        <v>0.63549999999999995</v>
      </c>
      <c r="K617" s="2">
        <v>0.77910000000000001</v>
      </c>
      <c r="L617" s="2">
        <v>0.89600000000000002</v>
      </c>
      <c r="M617" s="2">
        <v>1.0215000000000001</v>
      </c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</row>
    <row r="618" spans="1:51" x14ac:dyDescent="0.2">
      <c r="A618" s="4">
        <v>2014</v>
      </c>
      <c r="B618" s="2">
        <v>3.8100000000000002E-2</v>
      </c>
      <c r="C618" s="2">
        <v>7.4700000000000003E-2</v>
      </c>
      <c r="D618" s="2">
        <v>0.1101</v>
      </c>
      <c r="E618" s="2">
        <v>0.17960000000000001</v>
      </c>
      <c r="F618" s="2">
        <v>0.224</v>
      </c>
      <c r="G618" s="2">
        <v>0.30099999999999999</v>
      </c>
      <c r="H618" s="2">
        <v>0.33779999999999999</v>
      </c>
      <c r="I618" s="2">
        <v>0.4879</v>
      </c>
      <c r="J618" s="2">
        <v>0.63549999999999995</v>
      </c>
      <c r="K618" s="2">
        <v>0.77910000000000001</v>
      </c>
      <c r="L618" s="2">
        <v>0.89600000000000002</v>
      </c>
      <c r="M618" s="2">
        <v>1.0215000000000001</v>
      </c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</row>
    <row r="619" spans="1:51" x14ac:dyDescent="0.2">
      <c r="A619" s="4">
        <v>2015</v>
      </c>
      <c r="B619" s="2">
        <v>6.0000000000000001E-3</v>
      </c>
      <c r="C619" s="2">
        <v>7.0000000000000007E-2</v>
      </c>
      <c r="D619" s="2">
        <v>9.5000000000000001E-2</v>
      </c>
      <c r="E619" s="2">
        <v>0.23300000000000001</v>
      </c>
      <c r="F619" s="2">
        <v>0.29899999999999999</v>
      </c>
      <c r="G619" s="2">
        <v>0.34599999999999997</v>
      </c>
      <c r="H619" s="2">
        <v>0.48699999999999999</v>
      </c>
      <c r="I619" s="2">
        <v>0.4879</v>
      </c>
      <c r="J619" s="2">
        <v>0.63549999999999995</v>
      </c>
      <c r="K619" s="2">
        <v>0.77910000000000001</v>
      </c>
      <c r="L619" s="2">
        <v>0.89600000000000002</v>
      </c>
      <c r="M619" s="2">
        <v>1.0215000000000001</v>
      </c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</row>
    <row r="620" spans="1:51" x14ac:dyDescent="0.2">
      <c r="A620" s="4">
        <v>2016</v>
      </c>
      <c r="B620" s="2">
        <v>2.1190000000000001E-2</v>
      </c>
      <c r="C620" s="2">
        <v>2.8129999999999999E-2</v>
      </c>
      <c r="D620" s="2">
        <v>0.13370000000000001</v>
      </c>
      <c r="E620" s="2">
        <v>0.20194999999999999</v>
      </c>
      <c r="F620" s="2">
        <v>0.30216999999999999</v>
      </c>
      <c r="G620" s="2">
        <v>0.42804999999999999</v>
      </c>
      <c r="H620" s="2">
        <v>0.51715</v>
      </c>
      <c r="I620" s="2">
        <v>0.56596999999999997</v>
      </c>
      <c r="J620" s="2">
        <v>0.63551000000000002</v>
      </c>
      <c r="K620" s="2">
        <v>0.77912000000000003</v>
      </c>
      <c r="L620" s="2">
        <v>0.89600999999999997</v>
      </c>
      <c r="M620" s="2">
        <v>1.0215099999999999</v>
      </c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</row>
    <row r="621" spans="1:51" x14ac:dyDescent="0.2">
      <c r="A621" s="4">
        <v>2017</v>
      </c>
      <c r="B621" s="2">
        <v>3.1948570000000003E-2</v>
      </c>
      <c r="C621" s="2">
        <v>4.4623450000000002E-2</v>
      </c>
      <c r="D621" s="2">
        <v>0.103794</v>
      </c>
      <c r="E621" s="2">
        <v>0.16698460000000001</v>
      </c>
      <c r="F621" s="2">
        <v>0.33186169999999998</v>
      </c>
      <c r="G621" s="2">
        <v>0.63015880000000002</v>
      </c>
      <c r="H621" s="2">
        <v>0.63230120000000001</v>
      </c>
      <c r="I621" s="2">
        <v>0.48787639999999999</v>
      </c>
      <c r="J621" s="2">
        <v>0.63550930000000005</v>
      </c>
      <c r="K621" s="2">
        <v>0.77912320000000002</v>
      </c>
      <c r="L621" s="2">
        <v>0.89601220000000004</v>
      </c>
      <c r="M621" s="2">
        <v>1.021506</v>
      </c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</row>
    <row r="622" spans="1:51" x14ac:dyDescent="0.2">
      <c r="A622" s="4">
        <v>2018</v>
      </c>
      <c r="B622" s="2">
        <v>1.9869100000000001E-2</v>
      </c>
      <c r="C622" s="2">
        <v>3.9942039999999998E-2</v>
      </c>
      <c r="D622" s="2">
        <v>0.13656879999999999</v>
      </c>
      <c r="E622" s="2">
        <v>0.17590900000000001</v>
      </c>
      <c r="F622" s="2">
        <v>0.33091019999999999</v>
      </c>
      <c r="G622" s="2">
        <v>0.45465529999999998</v>
      </c>
      <c r="H622" s="2">
        <v>0.58032439999999996</v>
      </c>
      <c r="I622" s="2">
        <v>0.48787639999999999</v>
      </c>
      <c r="J622" s="2">
        <v>0.63550930000000005</v>
      </c>
      <c r="K622" s="2">
        <v>0.77912320000000002</v>
      </c>
      <c r="L622" s="2">
        <v>0.89601220000000004</v>
      </c>
      <c r="M622" s="2">
        <v>1.021506</v>
      </c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</row>
    <row r="623" spans="1:51" x14ac:dyDescent="0.2">
      <c r="A623" s="4">
        <v>2019</v>
      </c>
      <c r="B623" s="2">
        <v>3.9E-2</v>
      </c>
      <c r="C623" s="2">
        <v>6.6000000000000003E-2</v>
      </c>
      <c r="D623" s="2">
        <v>0.153</v>
      </c>
      <c r="E623" s="2">
        <v>0.20599999999999999</v>
      </c>
      <c r="F623" s="2">
        <v>0.28299999999999997</v>
      </c>
      <c r="G623" s="2">
        <v>0.313</v>
      </c>
      <c r="H623" s="2">
        <v>0.62</v>
      </c>
      <c r="I623" s="2">
        <v>0.65</v>
      </c>
      <c r="J623" s="2">
        <v>0.77600000000000002</v>
      </c>
      <c r="K623" s="2">
        <v>0.77912320000000002</v>
      </c>
      <c r="L623" s="2">
        <v>0.74199999999999999</v>
      </c>
      <c r="M623" s="2">
        <v>1.021506</v>
      </c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</row>
    <row r="624" spans="1:51" x14ac:dyDescent="0.2">
      <c r="A624" s="4" t="s">
        <v>70</v>
      </c>
      <c r="B624" s="2">
        <v>2.5052871000000001E-2</v>
      </c>
      <c r="C624" s="2">
        <v>3.4207298999999997E-2</v>
      </c>
      <c r="D624" s="2">
        <v>0.13434321699999999</v>
      </c>
      <c r="E624" s="2">
        <v>0.18242541000000001</v>
      </c>
      <c r="F624" s="2">
        <v>0.28376795999999999</v>
      </c>
      <c r="G624" s="2">
        <v>0.29036241200000001</v>
      </c>
      <c r="H624" s="2">
        <v>0.60610557300000001</v>
      </c>
      <c r="I624" s="2">
        <v>0.65</v>
      </c>
      <c r="J624" s="2">
        <v>0.90505737500000005</v>
      </c>
      <c r="K624" s="2">
        <v>0.77910000000000001</v>
      </c>
      <c r="L624" s="2">
        <v>0.89600000000000002</v>
      </c>
      <c r="M624" s="2">
        <v>1.0215000000000001</v>
      </c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</row>
    <row r="625" spans="1:51" x14ac:dyDescent="0.2">
      <c r="A625" s="4">
        <v>1971</v>
      </c>
      <c r="B625" s="2">
        <v>2.5999999999999999E-2</v>
      </c>
      <c r="C625" s="2">
        <v>3.7999999999999999E-2</v>
      </c>
      <c r="D625" s="2">
        <v>0.13700000000000001</v>
      </c>
      <c r="E625" s="2">
        <v>0.15</v>
      </c>
      <c r="F625" s="2">
        <v>0.20200000000000001</v>
      </c>
      <c r="G625" s="2">
        <v>0.30399999999999999</v>
      </c>
      <c r="H625" s="2">
        <v>0.38600000000000001</v>
      </c>
      <c r="I625" s="2">
        <v>0.44</v>
      </c>
      <c r="J625" s="2">
        <v>0.83599999999999997</v>
      </c>
      <c r="K625" s="2">
        <v>1.1000000000000001</v>
      </c>
      <c r="L625" s="2">
        <v>0.89600000000000002</v>
      </c>
      <c r="M625" s="2">
        <v>1.0215000000000001</v>
      </c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</row>
    <row r="626" spans="1:51" x14ac:dyDescent="0.2">
      <c r="A626" s="4">
        <v>1972</v>
      </c>
      <c r="B626" s="2">
        <v>1.9510244E-2</v>
      </c>
      <c r="C626" s="2">
        <v>3.6189418000000001E-2</v>
      </c>
      <c r="D626" s="2">
        <v>0.14830796099999999</v>
      </c>
      <c r="E626" s="2">
        <v>0.18464514100000001</v>
      </c>
      <c r="F626" s="2">
        <v>0.24944076700000001</v>
      </c>
      <c r="G626" s="2">
        <v>0.27836834500000002</v>
      </c>
      <c r="H626" s="2">
        <v>0.44177653500000003</v>
      </c>
      <c r="I626" s="2">
        <v>0.61315550699999999</v>
      </c>
      <c r="J626" s="2">
        <v>0.72793346800000003</v>
      </c>
      <c r="K626" s="2">
        <v>1.1000000000000001</v>
      </c>
      <c r="L626" s="2">
        <v>0.89600000000000002</v>
      </c>
      <c r="M626" s="2">
        <v>1.0215000000000001</v>
      </c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</row>
    <row r="627" spans="1:51" x14ac:dyDescent="0.2">
      <c r="A627" s="4">
        <v>1973</v>
      </c>
      <c r="B627" s="2">
        <v>3.1759207999999997E-2</v>
      </c>
      <c r="C627" s="2">
        <v>4.7585697000000003E-2</v>
      </c>
      <c r="D627" s="2">
        <v>7.22473E-2</v>
      </c>
      <c r="E627" s="2">
        <v>0.20461322300000001</v>
      </c>
      <c r="F627" s="2">
        <v>0.233140125</v>
      </c>
      <c r="G627" s="2">
        <v>0.242391458</v>
      </c>
      <c r="H627" s="2">
        <v>0.262047592</v>
      </c>
      <c r="I627" s="2">
        <v>0.37580309200000001</v>
      </c>
      <c r="J627" s="2">
        <v>0.72793346800000003</v>
      </c>
      <c r="K627" s="2">
        <v>1.1000000000000001</v>
      </c>
      <c r="L627" s="2">
        <v>0.89600000000000002</v>
      </c>
      <c r="M627" s="2">
        <v>1.0215000000000001</v>
      </c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</row>
    <row r="628" spans="1:51" x14ac:dyDescent="0.2">
      <c r="A628" s="4">
        <v>1974</v>
      </c>
      <c r="B628" s="2">
        <v>5.1999999999999998E-2</v>
      </c>
      <c r="C628" s="2">
        <v>9.2999999999999999E-2</v>
      </c>
      <c r="D628" s="2">
        <v>0.13100000000000001</v>
      </c>
      <c r="E628" s="2">
        <v>0.17799999999999999</v>
      </c>
      <c r="F628" s="2">
        <v>0.26200000000000001</v>
      </c>
      <c r="G628" s="2">
        <v>0.29399999999999998</v>
      </c>
      <c r="H628" s="2">
        <v>0.34</v>
      </c>
      <c r="I628" s="2">
        <v>0.39600000000000002</v>
      </c>
      <c r="J628" s="2">
        <v>0.54900000000000004</v>
      </c>
      <c r="K628" s="2">
        <v>0.73799999999999999</v>
      </c>
      <c r="L628" s="2">
        <v>0.98399999999999999</v>
      </c>
      <c r="M628" s="2">
        <v>1.093</v>
      </c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</row>
    <row r="629" spans="1:51" x14ac:dyDescent="0.2">
      <c r="A629" s="4">
        <v>1975</v>
      </c>
      <c r="B629" s="2">
        <v>5.1999999999999998E-2</v>
      </c>
      <c r="C629" s="2">
        <v>9.2999999999999999E-2</v>
      </c>
      <c r="D629" s="2">
        <v>0.13100000000000001</v>
      </c>
      <c r="E629" s="2">
        <v>0.17799999999999999</v>
      </c>
      <c r="F629" s="2">
        <v>0.26200000000000001</v>
      </c>
      <c r="G629" s="2">
        <v>0.29399999999999998</v>
      </c>
      <c r="H629" s="2">
        <v>0.34</v>
      </c>
      <c r="I629" s="2">
        <v>0.39600000000000002</v>
      </c>
      <c r="J629" s="2">
        <v>0.54900000000000004</v>
      </c>
      <c r="K629" s="2">
        <v>0.73799999999999999</v>
      </c>
      <c r="L629" s="2">
        <v>0.98399999999999999</v>
      </c>
      <c r="M629" s="2">
        <v>1.093</v>
      </c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</row>
    <row r="630" spans="1:51" x14ac:dyDescent="0.2">
      <c r="A630" s="4">
        <v>1976</v>
      </c>
      <c r="B630" s="2">
        <v>5.1999999999999998E-2</v>
      </c>
      <c r="C630" s="2">
        <v>9.2999999999999999E-2</v>
      </c>
      <c r="D630" s="2">
        <v>0.13100000000000001</v>
      </c>
      <c r="E630" s="2">
        <v>0.17799999999999999</v>
      </c>
      <c r="F630" s="2">
        <v>0.26200000000000001</v>
      </c>
      <c r="G630" s="2">
        <v>0.29399999999999998</v>
      </c>
      <c r="H630" s="2">
        <v>0.34</v>
      </c>
      <c r="I630" s="2">
        <v>0.39600000000000002</v>
      </c>
      <c r="J630" s="2">
        <v>0.54900000000000004</v>
      </c>
      <c r="K630" s="2">
        <v>0.73799999999999999</v>
      </c>
      <c r="L630" s="2">
        <v>0.98399999999999999</v>
      </c>
      <c r="M630" s="2">
        <v>1.093</v>
      </c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</row>
    <row r="631" spans="1:51" x14ac:dyDescent="0.2">
      <c r="A631" s="4">
        <v>1977</v>
      </c>
      <c r="B631" s="2">
        <v>5.1999999999999998E-2</v>
      </c>
      <c r="C631" s="2">
        <v>9.2999999999999999E-2</v>
      </c>
      <c r="D631" s="2">
        <v>0.13100000000000001</v>
      </c>
      <c r="E631" s="2">
        <v>0.17799999999999999</v>
      </c>
      <c r="F631" s="2">
        <v>0.26200000000000001</v>
      </c>
      <c r="G631" s="2">
        <v>0.29399999999999998</v>
      </c>
      <c r="H631" s="2">
        <v>0.34</v>
      </c>
      <c r="I631" s="2">
        <v>0.39600000000000002</v>
      </c>
      <c r="J631" s="2">
        <v>0.54900000000000004</v>
      </c>
      <c r="K631" s="2">
        <v>0.73799999999999999</v>
      </c>
      <c r="L631" s="2">
        <v>0.98399999999999999</v>
      </c>
      <c r="M631" s="2">
        <v>1.093</v>
      </c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</row>
    <row r="632" spans="1:51" x14ac:dyDescent="0.2">
      <c r="A632" s="4">
        <v>1978</v>
      </c>
      <c r="B632" s="2">
        <v>5.1999999999999998E-2</v>
      </c>
      <c r="C632" s="2">
        <v>9.2999999999999999E-2</v>
      </c>
      <c r="D632" s="2">
        <v>0.13100000000000001</v>
      </c>
      <c r="E632" s="2">
        <v>0.17799999999999999</v>
      </c>
      <c r="F632" s="2">
        <v>0.26200000000000001</v>
      </c>
      <c r="G632" s="2">
        <v>0.29399999999999998</v>
      </c>
      <c r="H632" s="2">
        <v>0.34</v>
      </c>
      <c r="I632" s="2">
        <v>0.39600000000000002</v>
      </c>
      <c r="J632" s="2">
        <v>0.54900000000000004</v>
      </c>
      <c r="K632" s="2">
        <v>0.73799999999999999</v>
      </c>
      <c r="L632" s="2">
        <v>0.98399999999999999</v>
      </c>
      <c r="M632" s="2">
        <v>1.093</v>
      </c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</row>
    <row r="633" spans="1:51" x14ac:dyDescent="0.2">
      <c r="A633" s="4">
        <v>1979</v>
      </c>
      <c r="B633" s="2">
        <v>5.1999999999999998E-2</v>
      </c>
      <c r="C633" s="2">
        <v>9.2999999999999999E-2</v>
      </c>
      <c r="D633" s="2">
        <v>0.13100000000000001</v>
      </c>
      <c r="E633" s="2">
        <v>0.17799999999999999</v>
      </c>
      <c r="F633" s="2">
        <v>0.26200000000000001</v>
      </c>
      <c r="G633" s="2">
        <v>0.29399999999999998</v>
      </c>
      <c r="H633" s="2">
        <v>0.34</v>
      </c>
      <c r="I633" s="2">
        <v>0.39600000000000002</v>
      </c>
      <c r="J633" s="2">
        <v>0.54900000000000004</v>
      </c>
      <c r="K633" s="2">
        <v>0.73799999999999999</v>
      </c>
      <c r="L633" s="2">
        <v>0.98399999999999999</v>
      </c>
      <c r="M633" s="2">
        <v>1.093</v>
      </c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</row>
    <row r="634" spans="1:51" x14ac:dyDescent="0.2">
      <c r="A634" s="4">
        <v>1980</v>
      </c>
      <c r="B634" s="2">
        <v>5.1999999999999998E-2</v>
      </c>
      <c r="C634" s="2">
        <v>7.8E-2</v>
      </c>
      <c r="D634" s="2">
        <v>0.155</v>
      </c>
      <c r="E634" s="2">
        <v>0.214</v>
      </c>
      <c r="F634" s="2">
        <v>0.27500000000000002</v>
      </c>
      <c r="G634" s="2">
        <v>0.33600000000000002</v>
      </c>
      <c r="H634" s="2">
        <v>0.39400000000000002</v>
      </c>
      <c r="I634" s="2">
        <v>0.47199999999999998</v>
      </c>
      <c r="J634" s="2">
        <v>0.63200000000000001</v>
      </c>
      <c r="K634" s="2">
        <v>0.71399999999999997</v>
      </c>
      <c r="L634" s="2">
        <v>0.89800000000000002</v>
      </c>
      <c r="M634" s="2">
        <v>1.538</v>
      </c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</row>
    <row r="635" spans="1:51" x14ac:dyDescent="0.2">
      <c r="A635" s="4">
        <v>1981</v>
      </c>
      <c r="B635" s="2">
        <v>5.5E-2</v>
      </c>
      <c r="C635" s="2">
        <v>9.1999999999999998E-2</v>
      </c>
      <c r="D635" s="2">
        <v>0.109</v>
      </c>
      <c r="E635" s="2">
        <v>0.23599999999999999</v>
      </c>
      <c r="F635" s="2">
        <v>0.27500000000000002</v>
      </c>
      <c r="G635" s="2">
        <v>0.314</v>
      </c>
      <c r="H635" s="2">
        <v>0.375</v>
      </c>
      <c r="I635" s="2">
        <v>0.45600000000000002</v>
      </c>
      <c r="J635" s="2">
        <v>0.52100000000000002</v>
      </c>
      <c r="K635" s="2">
        <v>0.73199999999999998</v>
      </c>
      <c r="L635" s="2">
        <v>0.65100000000000002</v>
      </c>
      <c r="M635" s="2">
        <v>1.137</v>
      </c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</row>
    <row r="636" spans="1:51" x14ac:dyDescent="0.2">
      <c r="A636" s="4">
        <v>1982</v>
      </c>
      <c r="B636" s="2">
        <v>5.1999999999999998E-2</v>
      </c>
      <c r="C636" s="2">
        <v>8.4000000000000005E-2</v>
      </c>
      <c r="D636" s="2">
        <v>0.104</v>
      </c>
      <c r="E636" s="2">
        <v>0.14699999999999999</v>
      </c>
      <c r="F636" s="2">
        <v>0.21099999999999999</v>
      </c>
      <c r="G636" s="2">
        <v>0.32700000000000001</v>
      </c>
      <c r="H636" s="2">
        <v>0.39400000000000002</v>
      </c>
      <c r="I636" s="2">
        <v>0.44900000000000001</v>
      </c>
      <c r="J636" s="2">
        <v>0.51400000000000001</v>
      </c>
      <c r="K636" s="2">
        <v>0.58299999999999996</v>
      </c>
      <c r="L636" s="2">
        <v>0.63100000000000001</v>
      </c>
      <c r="M636" s="2">
        <v>1.538</v>
      </c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</row>
    <row r="637" spans="1:51" x14ac:dyDescent="0.2">
      <c r="A637" s="4">
        <v>1983</v>
      </c>
      <c r="B637" s="2">
        <v>5.1999999999999998E-2</v>
      </c>
      <c r="C637" s="2">
        <v>0.108</v>
      </c>
      <c r="D637" s="2">
        <v>0.16</v>
      </c>
      <c r="E637" s="2">
        <v>0.19900000000000001</v>
      </c>
      <c r="F637" s="2">
        <v>0.24099999999999999</v>
      </c>
      <c r="G637" s="2">
        <v>0.30099999999999999</v>
      </c>
      <c r="H637" s="2">
        <v>0.38800000000000001</v>
      </c>
      <c r="I637" s="2">
        <v>0.46600000000000003</v>
      </c>
      <c r="J637" s="2">
        <v>0.58799999999999997</v>
      </c>
      <c r="K637" s="2">
        <v>0.871</v>
      </c>
      <c r="L637" s="2">
        <v>1.2649999999999999</v>
      </c>
      <c r="M637" s="2">
        <v>1.972</v>
      </c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</row>
    <row r="638" spans="1:51" x14ac:dyDescent="0.2">
      <c r="A638" s="4">
        <v>1984</v>
      </c>
      <c r="B638" s="2">
        <v>2.5999999999999999E-2</v>
      </c>
      <c r="C638" s="2">
        <v>0.06</v>
      </c>
      <c r="D638" s="2">
        <v>0.13200000000000001</v>
      </c>
      <c r="E638" s="2">
        <v>0.23100000000000001</v>
      </c>
      <c r="F638" s="2">
        <v>0.27200000000000002</v>
      </c>
      <c r="G638" s="2">
        <v>0.35</v>
      </c>
      <c r="H638" s="2">
        <v>0.44700000000000001</v>
      </c>
      <c r="I638" s="2">
        <v>0.51900000000000002</v>
      </c>
      <c r="J638" s="2">
        <v>0.71599999999999997</v>
      </c>
      <c r="K638" s="2">
        <v>0.82</v>
      </c>
      <c r="L638" s="2">
        <v>1.073</v>
      </c>
      <c r="M638" s="2">
        <v>1.8540000000000001</v>
      </c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</row>
    <row r="639" spans="1:51" x14ac:dyDescent="0.2">
      <c r="A639" s="4">
        <v>1985</v>
      </c>
      <c r="B639" s="2">
        <v>5.1999999999999998E-2</v>
      </c>
      <c r="C639" s="2">
        <v>9.5000000000000001E-2</v>
      </c>
      <c r="D639" s="2">
        <v>0.14899999999999999</v>
      </c>
      <c r="E639" s="2">
        <v>0.24199999999999999</v>
      </c>
      <c r="F639" s="2">
        <v>0.29399999999999998</v>
      </c>
      <c r="G639" s="2">
        <v>0.34</v>
      </c>
      <c r="H639" s="2">
        <v>0.40699999999999997</v>
      </c>
      <c r="I639" s="2">
        <v>0.503</v>
      </c>
      <c r="J639" s="2">
        <v>0.63700000000000001</v>
      </c>
      <c r="K639" s="2">
        <v>0.76500000000000001</v>
      </c>
      <c r="L639" s="2">
        <v>1.1839999999999999</v>
      </c>
      <c r="M639" s="2">
        <v>1.9</v>
      </c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</row>
    <row r="640" spans="1:51" x14ac:dyDescent="0.2">
      <c r="A640" s="4">
        <v>1986</v>
      </c>
      <c r="B640" s="2">
        <v>5.5E-2</v>
      </c>
      <c r="C640" s="2">
        <v>8.5000000000000006E-2</v>
      </c>
      <c r="D640" s="2">
        <v>0.16600000000000001</v>
      </c>
      <c r="E640" s="2">
        <v>0.20699999999999999</v>
      </c>
      <c r="F640" s="2">
        <v>0.26900000000000002</v>
      </c>
      <c r="G640" s="2">
        <v>0.32300000000000001</v>
      </c>
      <c r="H640" s="2">
        <v>0.378</v>
      </c>
      <c r="I640" s="2">
        <v>0.47199999999999998</v>
      </c>
      <c r="J640" s="2">
        <v>0.53600000000000003</v>
      </c>
      <c r="K640" s="2">
        <v>0.64400000000000002</v>
      </c>
      <c r="L640" s="2">
        <v>0.98699999999999999</v>
      </c>
      <c r="M640" s="2">
        <v>1.1850000000000001</v>
      </c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</row>
    <row r="641" spans="1:51" x14ac:dyDescent="0.2">
      <c r="A641" s="4">
        <v>1987</v>
      </c>
      <c r="B641" s="2">
        <v>7.0000000000000007E-2</v>
      </c>
      <c r="C641" s="2">
        <v>9.9000000000000005E-2</v>
      </c>
      <c r="D641" s="2">
        <v>0.122</v>
      </c>
      <c r="E641" s="2">
        <v>0.23</v>
      </c>
      <c r="F641" s="2">
        <v>0.27300000000000002</v>
      </c>
      <c r="G641" s="2">
        <v>0.32</v>
      </c>
      <c r="H641" s="2">
        <v>0.374</v>
      </c>
      <c r="I641" s="2">
        <v>0.46100000000000002</v>
      </c>
      <c r="J641" s="2">
        <v>0.59599999999999997</v>
      </c>
      <c r="K641" s="2">
        <v>0.70899999999999996</v>
      </c>
      <c r="L641" s="2">
        <v>1.196</v>
      </c>
      <c r="M641" s="2">
        <v>1.7689999999999999</v>
      </c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</row>
    <row r="642" spans="1:51" x14ac:dyDescent="0.2">
      <c r="A642" s="4">
        <v>1988</v>
      </c>
      <c r="B642" s="2">
        <v>3.5000000000000003E-2</v>
      </c>
      <c r="C642" s="2">
        <v>0.13500000000000001</v>
      </c>
      <c r="D642" s="2">
        <v>0.154</v>
      </c>
      <c r="E642" s="2">
        <v>0.185</v>
      </c>
      <c r="F642" s="2">
        <v>0.26600000000000001</v>
      </c>
      <c r="G642" s="2">
        <v>0.33</v>
      </c>
      <c r="H642" s="2">
        <v>0.38300000000000001</v>
      </c>
      <c r="I642" s="2">
        <v>0.44900000000000001</v>
      </c>
      <c r="J642" s="2">
        <v>0.57699999999999996</v>
      </c>
      <c r="K642" s="2">
        <v>0.68500000000000005</v>
      </c>
      <c r="L642" s="2">
        <v>1.012</v>
      </c>
      <c r="M642" s="2">
        <v>1.8460000000000001</v>
      </c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</row>
    <row r="643" spans="1:51" x14ac:dyDescent="0.2">
      <c r="A643" s="4">
        <v>1989</v>
      </c>
      <c r="B643" s="2">
        <v>5.8000000000000003E-2</v>
      </c>
      <c r="C643" s="2">
        <v>0.14799999999999999</v>
      </c>
      <c r="D643" s="2">
        <v>0.18099999999999999</v>
      </c>
      <c r="E643" s="2">
        <v>0.223</v>
      </c>
      <c r="F643" s="2">
        <v>0.27</v>
      </c>
      <c r="G643" s="2">
        <v>0.33900000000000002</v>
      </c>
      <c r="H643" s="2">
        <v>0.39800000000000002</v>
      </c>
      <c r="I643" s="2">
        <v>0.47299999999999998</v>
      </c>
      <c r="J643" s="2">
        <v>0.57299999999999995</v>
      </c>
      <c r="K643" s="2">
        <v>0.79600000000000004</v>
      </c>
      <c r="L643" s="2">
        <v>1.3759999999999999</v>
      </c>
      <c r="M643" s="2">
        <v>1.647</v>
      </c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</row>
    <row r="644" spans="1:51" x14ac:dyDescent="0.2">
      <c r="A644" s="4">
        <v>1990</v>
      </c>
      <c r="B644" s="2">
        <v>7.2999999999999995E-2</v>
      </c>
      <c r="C644" s="2">
        <v>7.4999999999999997E-2</v>
      </c>
      <c r="D644" s="2">
        <v>0.17199999999999999</v>
      </c>
      <c r="E644" s="2">
        <v>0.247</v>
      </c>
      <c r="F644" s="2">
        <v>0.28599999999999998</v>
      </c>
      <c r="G644" s="2">
        <v>0.34599999999999997</v>
      </c>
      <c r="H644" s="2">
        <v>0.42699999999999999</v>
      </c>
      <c r="I644" s="2">
        <v>0.51800000000000002</v>
      </c>
      <c r="J644" s="2">
        <v>0.64</v>
      </c>
      <c r="K644" s="2">
        <v>0.84399999999999997</v>
      </c>
      <c r="L644" s="2">
        <v>1.351</v>
      </c>
      <c r="M644" s="2">
        <v>2.11</v>
      </c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</row>
    <row r="645" spans="1:51" x14ac:dyDescent="0.2">
      <c r="A645" s="4">
        <v>1991</v>
      </c>
      <c r="B645" s="2">
        <v>7.5999999999999998E-2</v>
      </c>
      <c r="C645" s="2">
        <v>0.11700000000000001</v>
      </c>
      <c r="D645" s="2">
        <v>0.14000000000000001</v>
      </c>
      <c r="E645" s="2">
        <v>0.191</v>
      </c>
      <c r="F645" s="2">
        <v>0.27</v>
      </c>
      <c r="G645" s="2">
        <v>0.35699999999999998</v>
      </c>
      <c r="H645" s="2">
        <v>0.434</v>
      </c>
      <c r="I645" s="2">
        <v>0.503</v>
      </c>
      <c r="J645" s="2">
        <v>0.57699999999999996</v>
      </c>
      <c r="K645" s="2">
        <v>0.68899999999999995</v>
      </c>
      <c r="L645" s="2">
        <v>1.089</v>
      </c>
      <c r="M645" s="2">
        <v>1.9790000000000001</v>
      </c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</row>
    <row r="646" spans="1:51" x14ac:dyDescent="0.2">
      <c r="A646" s="4">
        <v>1992</v>
      </c>
      <c r="B646" s="2">
        <v>0.1</v>
      </c>
      <c r="C646" s="2">
        <v>0.124</v>
      </c>
      <c r="D646" s="2">
        <v>0.159</v>
      </c>
      <c r="E646" s="2">
        <v>0.19700000000000001</v>
      </c>
      <c r="F646" s="2">
        <v>0.23300000000000001</v>
      </c>
      <c r="G646" s="2">
        <v>0.34200000000000003</v>
      </c>
      <c r="H646" s="2">
        <v>0.44400000000000001</v>
      </c>
      <c r="I646" s="2">
        <v>0.51200000000000001</v>
      </c>
      <c r="J646" s="2">
        <v>0.58799999999999997</v>
      </c>
      <c r="K646" s="2">
        <v>0.75</v>
      </c>
      <c r="L646" s="2">
        <v>1.012</v>
      </c>
      <c r="M646" s="2">
        <v>1.3720000000000001</v>
      </c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</row>
    <row r="647" spans="1:51" x14ac:dyDescent="0.2">
      <c r="A647" s="4">
        <v>1993</v>
      </c>
      <c r="B647" s="2">
        <v>5.1999999999999998E-2</v>
      </c>
      <c r="C647" s="2">
        <v>0.10299999999999999</v>
      </c>
      <c r="D647" s="2">
        <v>0.22</v>
      </c>
      <c r="E647" s="2">
        <v>0.24099999999999999</v>
      </c>
      <c r="F647" s="2">
        <v>0.27800000000000002</v>
      </c>
      <c r="G647" s="2">
        <v>0.33900000000000002</v>
      </c>
      <c r="H647" s="2">
        <v>0.46700000000000003</v>
      </c>
      <c r="I647" s="2">
        <v>0.58499999999999996</v>
      </c>
      <c r="J647" s="2">
        <v>0.70199999999999996</v>
      </c>
      <c r="K647" s="2">
        <v>0.77900000000000003</v>
      </c>
      <c r="L647" s="2">
        <v>0.88</v>
      </c>
      <c r="M647" s="2">
        <v>1.538</v>
      </c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</row>
    <row r="648" spans="1:51" x14ac:dyDescent="0.2">
      <c r="A648" s="4">
        <v>1994</v>
      </c>
      <c r="B648" s="2">
        <v>6.4000000000000001E-2</v>
      </c>
      <c r="C648" s="2">
        <v>9.0999999999999998E-2</v>
      </c>
      <c r="D648" s="2">
        <v>0.153</v>
      </c>
      <c r="E648" s="2">
        <v>0.26400000000000001</v>
      </c>
      <c r="F648" s="2">
        <v>0.309</v>
      </c>
      <c r="G648" s="2">
        <v>0.373</v>
      </c>
      <c r="H648" s="2">
        <v>0.46100000000000002</v>
      </c>
      <c r="I648" s="2">
        <v>0.58199999999999996</v>
      </c>
      <c r="J648" s="2">
        <v>0.69399999999999995</v>
      </c>
      <c r="K648" s="2">
        <v>0.83499999999999996</v>
      </c>
      <c r="L648" s="2">
        <v>0.97</v>
      </c>
      <c r="M648" s="2">
        <v>1.5980000000000001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</row>
    <row r="649" spans="1:51" x14ac:dyDescent="0.2">
      <c r="A649" s="4">
        <v>1995</v>
      </c>
      <c r="B649" s="2">
        <v>3.6999999999999998E-2</v>
      </c>
      <c r="C649" s="2">
        <v>0.106</v>
      </c>
      <c r="D649" s="2">
        <v>0.13200000000000001</v>
      </c>
      <c r="E649" s="2">
        <v>0.186</v>
      </c>
      <c r="F649" s="2">
        <v>0.27100000000000002</v>
      </c>
      <c r="G649" s="2">
        <v>0.38100000000000001</v>
      </c>
      <c r="H649" s="2">
        <v>0.45100000000000001</v>
      </c>
      <c r="I649" s="2">
        <v>0.54200000000000004</v>
      </c>
      <c r="J649" s="2">
        <v>0.66700000000000004</v>
      </c>
      <c r="K649" s="2">
        <v>0.78700000000000003</v>
      </c>
      <c r="L649" s="2">
        <v>0.90100000000000002</v>
      </c>
      <c r="M649" s="2">
        <v>1.0529999999999999</v>
      </c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</row>
    <row r="650" spans="1:51" x14ac:dyDescent="0.2">
      <c r="A650" s="4">
        <v>1996</v>
      </c>
      <c r="B650" s="2">
        <v>6.3E-2</v>
      </c>
      <c r="C650" s="2">
        <v>8.3000000000000004E-2</v>
      </c>
      <c r="D650" s="2">
        <v>0.11799999999999999</v>
      </c>
      <c r="E650" s="2">
        <v>0.17699999999999999</v>
      </c>
      <c r="F650" s="2">
        <v>0.23899999999999999</v>
      </c>
      <c r="G650" s="2">
        <v>0.27500000000000002</v>
      </c>
      <c r="H650" s="2">
        <v>0.40899999999999997</v>
      </c>
      <c r="I650" s="2">
        <v>0.52400000000000002</v>
      </c>
      <c r="J650" s="2">
        <v>0.59399999999999997</v>
      </c>
      <c r="K650" s="2">
        <v>0.70899999999999996</v>
      </c>
      <c r="L650" s="2">
        <v>0.85099999999999998</v>
      </c>
      <c r="M650" s="2">
        <v>1.046</v>
      </c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</row>
    <row r="651" spans="1:51" x14ac:dyDescent="0.2">
      <c r="A651" s="4">
        <v>1997</v>
      </c>
      <c r="B651" s="2">
        <v>1.0999999999999999E-2</v>
      </c>
      <c r="C651" s="2">
        <v>8.8999999999999996E-2</v>
      </c>
      <c r="D651" s="2">
        <v>0.121</v>
      </c>
      <c r="E651" s="2">
        <v>0.18099999999999999</v>
      </c>
      <c r="F651" s="2">
        <v>0.246</v>
      </c>
      <c r="G651" s="2">
        <v>0.32</v>
      </c>
      <c r="H651" s="2">
        <v>0.40799999999999997</v>
      </c>
      <c r="I651" s="2">
        <v>0.57899999999999996</v>
      </c>
      <c r="J651" s="2">
        <v>0.71899999999999997</v>
      </c>
      <c r="K651" s="2">
        <v>0.85299999999999998</v>
      </c>
      <c r="L651" s="2">
        <v>0.96499999999999997</v>
      </c>
      <c r="M651" s="2">
        <v>1.1739999999999999</v>
      </c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</row>
    <row r="652" spans="1:51" x14ac:dyDescent="0.2">
      <c r="A652" s="4">
        <v>1998</v>
      </c>
      <c r="B652" s="2">
        <v>4.1000000000000002E-2</v>
      </c>
      <c r="C652" s="2">
        <v>8.4000000000000005E-2</v>
      </c>
      <c r="D652" s="2">
        <v>0.112</v>
      </c>
      <c r="E652" s="2">
        <v>0.224</v>
      </c>
      <c r="F652" s="2">
        <v>0.27</v>
      </c>
      <c r="G652" s="2">
        <v>0.33600000000000002</v>
      </c>
      <c r="H652" s="2">
        <v>0.46200000000000002</v>
      </c>
      <c r="I652" s="2">
        <v>0.64300000000000002</v>
      </c>
      <c r="J652" s="2">
        <v>0.80800000000000005</v>
      </c>
      <c r="K652" s="2">
        <v>0.86799999999999999</v>
      </c>
      <c r="L652" s="2">
        <v>1.0580000000000001</v>
      </c>
      <c r="M652" s="2">
        <v>1.421</v>
      </c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</row>
    <row r="653" spans="1:51" x14ac:dyDescent="0.2">
      <c r="A653" s="4">
        <v>1999</v>
      </c>
      <c r="B653" s="2">
        <v>7.0000000000000007E-2</v>
      </c>
      <c r="C653" s="2">
        <v>9.8000000000000004E-2</v>
      </c>
      <c r="D653" s="2">
        <v>0.14499999999999999</v>
      </c>
      <c r="E653" s="2">
        <v>0.192</v>
      </c>
      <c r="F653" s="2">
        <v>0.27</v>
      </c>
      <c r="G653" s="2">
        <v>0.34</v>
      </c>
      <c r="H653" s="2">
        <v>0.42899999999999999</v>
      </c>
      <c r="I653" s="2">
        <v>0.57699999999999996</v>
      </c>
      <c r="J653" s="2">
        <v>0.80700000000000005</v>
      </c>
      <c r="K653" s="2">
        <v>0.96499999999999997</v>
      </c>
      <c r="L653" s="2">
        <v>1.115</v>
      </c>
      <c r="M653" s="2">
        <v>1.367</v>
      </c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</row>
    <row r="654" spans="1:51" x14ac:dyDescent="0.2">
      <c r="A654" s="4">
        <v>2000</v>
      </c>
      <c r="B654" s="2">
        <v>6.0999999999999999E-2</v>
      </c>
      <c r="C654" s="2">
        <v>9.1999999999999998E-2</v>
      </c>
      <c r="D654" s="2">
        <v>0.151</v>
      </c>
      <c r="E654" s="2">
        <v>0.191</v>
      </c>
      <c r="F654" s="2">
        <v>0.28000000000000003</v>
      </c>
      <c r="G654" s="2">
        <v>0.35199999999999998</v>
      </c>
      <c r="H654" s="2">
        <v>0.52400000000000002</v>
      </c>
      <c r="I654" s="2">
        <v>0.68300000000000005</v>
      </c>
      <c r="J654" s="2">
        <v>0.94499999999999995</v>
      </c>
      <c r="K654" s="2">
        <v>1.216</v>
      </c>
      <c r="L654" s="2">
        <v>1.4259999999999999</v>
      </c>
      <c r="M654" s="2">
        <v>1.4770000000000001</v>
      </c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</row>
    <row r="655" spans="1:51" x14ac:dyDescent="0.2">
      <c r="A655" s="4">
        <v>2001</v>
      </c>
      <c r="B655" s="2">
        <v>0.104</v>
      </c>
      <c r="C655" s="2">
        <v>0.106</v>
      </c>
      <c r="D655" s="2">
        <v>0.14599999999999999</v>
      </c>
      <c r="E655" s="2">
        <v>0.20100000000000001</v>
      </c>
      <c r="F655" s="2">
        <v>0.26</v>
      </c>
      <c r="G655" s="2">
        <v>0.35499999999999998</v>
      </c>
      <c r="H655" s="2">
        <v>0.495</v>
      </c>
      <c r="I655" s="2">
        <v>0.68300000000000005</v>
      </c>
      <c r="J655" s="2">
        <v>0.88400000000000001</v>
      </c>
      <c r="K655" s="2">
        <v>1.0880000000000001</v>
      </c>
      <c r="L655" s="2">
        <v>1.4670000000000001</v>
      </c>
      <c r="M655" s="2">
        <v>1.647</v>
      </c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</row>
    <row r="656" spans="1:51" x14ac:dyDescent="0.2">
      <c r="A656" s="4">
        <v>2002</v>
      </c>
      <c r="B656" s="2">
        <v>8.4000000000000005E-2</v>
      </c>
      <c r="C656" s="2">
        <v>0.128</v>
      </c>
      <c r="D656" s="2">
        <v>0.13800000000000001</v>
      </c>
      <c r="E656" s="2">
        <v>0.17799999999999999</v>
      </c>
      <c r="F656" s="2">
        <v>0.248</v>
      </c>
      <c r="G656" s="2">
        <v>0.34</v>
      </c>
      <c r="H656" s="2">
        <v>0.54500000000000004</v>
      </c>
      <c r="I656" s="2">
        <v>0.80600000000000005</v>
      </c>
      <c r="J656" s="2">
        <v>1.0349999999999999</v>
      </c>
      <c r="K656" s="2">
        <v>1.246</v>
      </c>
      <c r="L656" s="2">
        <v>1.4119999999999999</v>
      </c>
      <c r="M656" s="2">
        <v>1.655</v>
      </c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</row>
    <row r="657" spans="1:51" x14ac:dyDescent="0.2">
      <c r="A657" s="4">
        <v>2003</v>
      </c>
      <c r="B657" s="2">
        <v>0.09</v>
      </c>
      <c r="C657" s="2">
        <v>0.109</v>
      </c>
      <c r="D657" s="2">
        <v>0.13400000000000001</v>
      </c>
      <c r="E657" s="2">
        <v>0.17399999999999999</v>
      </c>
      <c r="F657" s="2">
        <v>0.25</v>
      </c>
      <c r="G657" s="2">
        <v>0.33100000000000002</v>
      </c>
      <c r="H657" s="2">
        <v>0.46500000000000002</v>
      </c>
      <c r="I657" s="2">
        <v>0.74199999999999999</v>
      </c>
      <c r="J657" s="2">
        <v>1.0209999999999999</v>
      </c>
      <c r="K657" s="2">
        <v>1.258</v>
      </c>
      <c r="L657" s="2">
        <v>1.3759999999999999</v>
      </c>
      <c r="M657" s="2">
        <v>1.776</v>
      </c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</row>
    <row r="658" spans="1:51" x14ac:dyDescent="0.2">
      <c r="A658" s="4">
        <v>2004</v>
      </c>
      <c r="B658" s="2">
        <v>4.2999999999999997E-2</v>
      </c>
      <c r="C658" s="2">
        <v>6.4000000000000001E-2</v>
      </c>
      <c r="D658" s="2">
        <v>0.16300000000000001</v>
      </c>
      <c r="E658" s="2">
        <v>0.19600000000000001</v>
      </c>
      <c r="F658" s="2">
        <v>0.255</v>
      </c>
      <c r="G658" s="2">
        <v>0.34599999999999997</v>
      </c>
      <c r="H658" s="2">
        <v>0.46600000000000003</v>
      </c>
      <c r="I658" s="2">
        <v>0.75600000000000001</v>
      </c>
      <c r="J658" s="2">
        <v>0.999</v>
      </c>
      <c r="K658" s="2">
        <v>1.141</v>
      </c>
      <c r="L658" s="2">
        <v>1.228</v>
      </c>
      <c r="M658" s="2">
        <v>1.5629999999999999</v>
      </c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</row>
    <row r="659" spans="1:51" x14ac:dyDescent="0.2">
      <c r="A659" s="4">
        <v>2005</v>
      </c>
      <c r="B659" s="2">
        <v>6.6000000000000003E-2</v>
      </c>
      <c r="C659" s="2">
        <v>9.8000000000000004E-2</v>
      </c>
      <c r="D659" s="2">
        <v>0.122</v>
      </c>
      <c r="E659" s="2">
        <v>0.17899999999999999</v>
      </c>
      <c r="F659" s="2">
        <v>0.25800000000000001</v>
      </c>
      <c r="G659" s="2">
        <v>0.32500000000000001</v>
      </c>
      <c r="H659" s="2">
        <v>0.46100000000000002</v>
      </c>
      <c r="I659" s="2">
        <v>0.61399999999999999</v>
      </c>
      <c r="J659" s="2">
        <v>0.82799999999999996</v>
      </c>
      <c r="K659" s="2">
        <v>1.0740000000000001</v>
      </c>
      <c r="L659" s="2">
        <v>1.36</v>
      </c>
      <c r="M659" s="2">
        <v>1.671</v>
      </c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</row>
    <row r="660" spans="1:51" x14ac:dyDescent="0.2">
      <c r="A660" s="4">
        <v>2006</v>
      </c>
      <c r="B660" s="2">
        <v>3.1E-2</v>
      </c>
      <c r="C660" s="2">
        <v>7.3999999999999996E-2</v>
      </c>
      <c r="D660" s="2">
        <v>0.13</v>
      </c>
      <c r="E660" s="2">
        <v>0.2</v>
      </c>
      <c r="F660" s="2">
        <v>0.25700000000000001</v>
      </c>
      <c r="G660" s="2">
        <v>0.32900000000000001</v>
      </c>
      <c r="H660" s="2">
        <v>0.44500000000000001</v>
      </c>
      <c r="I660" s="2">
        <v>0.64500000000000002</v>
      </c>
      <c r="J660" s="2">
        <v>0.88300000000000001</v>
      </c>
      <c r="K660" s="2">
        <v>1.1020000000000001</v>
      </c>
      <c r="L660" s="2">
        <v>1.321</v>
      </c>
      <c r="M660" s="2">
        <v>1.649</v>
      </c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</row>
    <row r="661" spans="1:51" x14ac:dyDescent="0.2">
      <c r="A661" s="4">
        <v>2007</v>
      </c>
      <c r="B661" s="2">
        <v>3.5999999999999997E-2</v>
      </c>
      <c r="C661" s="2">
        <v>8.5999999999999993E-2</v>
      </c>
      <c r="D661" s="2">
        <v>0.11700000000000001</v>
      </c>
      <c r="E661" s="2">
        <v>0.186</v>
      </c>
      <c r="F661" s="2">
        <v>0.245</v>
      </c>
      <c r="G661" s="2">
        <v>0.307</v>
      </c>
      <c r="H661" s="2">
        <v>0.4</v>
      </c>
      <c r="I661" s="2">
        <v>0.56399999999999995</v>
      </c>
      <c r="J661" s="2">
        <v>0.76800000000000002</v>
      </c>
      <c r="K661" s="2">
        <v>1.0049999999999999</v>
      </c>
      <c r="L661" s="2">
        <v>1.2090000000000001</v>
      </c>
      <c r="M661" s="2">
        <v>1.5369999999999999</v>
      </c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</row>
    <row r="662" spans="1:51" x14ac:dyDescent="0.2">
      <c r="A662" s="4">
        <v>2008</v>
      </c>
      <c r="B662" s="2">
        <v>3.4000000000000002E-2</v>
      </c>
      <c r="C662" s="2">
        <v>0.08</v>
      </c>
      <c r="D662" s="2">
        <v>0.158</v>
      </c>
      <c r="E662" s="2">
        <v>0.193</v>
      </c>
      <c r="F662" s="2">
        <v>0.247</v>
      </c>
      <c r="G662" s="2">
        <v>0.307</v>
      </c>
      <c r="H662" s="2">
        <v>0.38700000000000001</v>
      </c>
      <c r="I662" s="2">
        <v>0.52800000000000002</v>
      </c>
      <c r="J662" s="2">
        <v>0.7</v>
      </c>
      <c r="K662" s="2">
        <v>0.89700000000000002</v>
      </c>
      <c r="L662" s="2">
        <v>1.087</v>
      </c>
      <c r="M662" s="2">
        <v>1.5409999999999999</v>
      </c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</row>
    <row r="663" spans="1:51" x14ac:dyDescent="0.2">
      <c r="A663" s="4">
        <v>2009</v>
      </c>
      <c r="B663" s="2">
        <v>2.9000000000000001E-2</v>
      </c>
      <c r="C663" s="2">
        <v>7.4999999999999997E-2</v>
      </c>
      <c r="D663" s="2">
        <v>0.113</v>
      </c>
      <c r="E663" s="2">
        <v>0.19600000000000001</v>
      </c>
      <c r="F663" s="2">
        <v>0.25900000000000001</v>
      </c>
      <c r="G663" s="2">
        <v>0.318</v>
      </c>
      <c r="H663" s="2">
        <v>0.39900000000000002</v>
      </c>
      <c r="I663" s="2">
        <v>0.51700000000000002</v>
      </c>
      <c r="J663" s="2">
        <v>0.64100000000000001</v>
      </c>
      <c r="K663" s="2">
        <v>0.76700000000000002</v>
      </c>
      <c r="L663" s="2">
        <v>0.91800000000000004</v>
      </c>
      <c r="M663" s="2">
        <v>1.296</v>
      </c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</row>
    <row r="664" spans="1:51" x14ac:dyDescent="0.2">
      <c r="A664" s="4">
        <v>2010</v>
      </c>
      <c r="B664" s="2">
        <v>3.3000000000000002E-2</v>
      </c>
      <c r="C664" s="2">
        <v>7.5999999999999998E-2</v>
      </c>
      <c r="D664" s="2">
        <v>0.11600000000000001</v>
      </c>
      <c r="E664" s="2">
        <v>0.14099999999999999</v>
      </c>
      <c r="F664" s="2">
        <v>0.26100000000000001</v>
      </c>
      <c r="G664" s="2">
        <v>0.35</v>
      </c>
      <c r="H664" s="2">
        <v>0.41899999999999998</v>
      </c>
      <c r="I664" s="2">
        <v>0.51600000000000001</v>
      </c>
      <c r="J664" s="2">
        <v>0.63100000000000001</v>
      </c>
      <c r="K664" s="2">
        <v>0.752</v>
      </c>
      <c r="L664" s="2">
        <v>0.92400000000000004</v>
      </c>
      <c r="M664" s="2">
        <v>1.2629999999999999</v>
      </c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</row>
    <row r="665" spans="1:51" x14ac:dyDescent="0.2">
      <c r="A665" s="4">
        <v>2011</v>
      </c>
      <c r="B665" s="2">
        <v>8.5999999999999993E-2</v>
      </c>
      <c r="C665" s="2">
        <v>7.3999999999999996E-2</v>
      </c>
      <c r="D665" s="2">
        <v>0.121</v>
      </c>
      <c r="E665" s="2">
        <v>0.17199999999999999</v>
      </c>
      <c r="F665" s="2">
        <v>0.22600000000000001</v>
      </c>
      <c r="G665" s="2">
        <v>0.33100000000000002</v>
      </c>
      <c r="H665" s="2">
        <v>0.43099999999999999</v>
      </c>
      <c r="I665" s="2">
        <v>0.51</v>
      </c>
      <c r="J665" s="2">
        <v>0.621</v>
      </c>
      <c r="K665" s="2">
        <v>0.75600000000000001</v>
      </c>
      <c r="L665" s="2">
        <v>0.90300000000000002</v>
      </c>
      <c r="M665" s="2">
        <v>1.177</v>
      </c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</row>
    <row r="666" spans="1:51" x14ac:dyDescent="0.2">
      <c r="A666" s="4">
        <v>2012</v>
      </c>
      <c r="B666" s="2">
        <v>3.5999999999999997E-2</v>
      </c>
      <c r="C666" s="2">
        <v>4.8000000000000001E-2</v>
      </c>
      <c r="D666" s="2">
        <v>6.9000000000000006E-2</v>
      </c>
      <c r="E666" s="2">
        <v>0.186</v>
      </c>
      <c r="F666" s="2">
        <v>0.254</v>
      </c>
      <c r="G666" s="2">
        <v>0.312</v>
      </c>
      <c r="H666" s="2">
        <v>0.41599999999999998</v>
      </c>
      <c r="I666" s="2">
        <v>0.51500000000000001</v>
      </c>
      <c r="J666" s="2">
        <v>0.60499999999999998</v>
      </c>
      <c r="K666" s="2">
        <v>0.71899999999999997</v>
      </c>
      <c r="L666" s="2">
        <v>0.86099999999999999</v>
      </c>
      <c r="M666" s="2">
        <v>1.1479999999999999</v>
      </c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</row>
    <row r="667" spans="1:51" x14ac:dyDescent="0.2">
      <c r="A667" s="4">
        <v>2013</v>
      </c>
      <c r="B667" s="2">
        <v>1.4E-2</v>
      </c>
      <c r="C667" s="2">
        <v>4.4999999999999998E-2</v>
      </c>
      <c r="D667" s="2">
        <v>0.109</v>
      </c>
      <c r="E667" s="2">
        <v>0.14199999999999999</v>
      </c>
      <c r="F667" s="2">
        <v>0.253</v>
      </c>
      <c r="G667" s="2">
        <v>0.33</v>
      </c>
      <c r="H667" s="2">
        <v>0.41099999999999998</v>
      </c>
      <c r="I667" s="2">
        <v>0.53200000000000003</v>
      </c>
      <c r="J667" s="2">
        <v>0.625</v>
      </c>
      <c r="K667" s="2">
        <v>0.76400000000000001</v>
      </c>
      <c r="L667" s="2">
        <v>0.88600000000000001</v>
      </c>
      <c r="M667" s="2">
        <v>1.1439999999999999</v>
      </c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</row>
    <row r="668" spans="1:51" x14ac:dyDescent="0.2">
      <c r="A668" s="4">
        <v>2014</v>
      </c>
      <c r="B668" s="2">
        <v>1.4E-2</v>
      </c>
      <c r="C668" s="2">
        <v>5.1999999999999998E-2</v>
      </c>
      <c r="D668" s="2">
        <v>0.10100000000000001</v>
      </c>
      <c r="E668" s="2">
        <v>0.17499999999999999</v>
      </c>
      <c r="F668" s="2">
        <v>0.23699999999999999</v>
      </c>
      <c r="G668" s="2">
        <v>0.313</v>
      </c>
      <c r="H668" s="2">
        <v>0.41499999999999998</v>
      </c>
      <c r="I668" s="2">
        <v>0.53900000000000003</v>
      </c>
      <c r="J668" s="2">
        <v>0.64900000000000002</v>
      </c>
      <c r="K668" s="2">
        <v>0.78700000000000003</v>
      </c>
      <c r="L668" s="2">
        <v>0.96399999999999997</v>
      </c>
      <c r="M668" s="2">
        <v>1.4730000000000001</v>
      </c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</row>
    <row r="669" spans="1:51" x14ac:dyDescent="0.2">
      <c r="A669" s="4">
        <v>2015</v>
      </c>
      <c r="B669" s="2">
        <v>1.9E-2</v>
      </c>
      <c r="C669" s="2">
        <v>6.7000000000000004E-2</v>
      </c>
      <c r="D669" s="2">
        <v>0.10100000000000001</v>
      </c>
      <c r="E669" s="2">
        <v>0.19</v>
      </c>
      <c r="F669" s="2">
        <v>0.28699999999999998</v>
      </c>
      <c r="G669" s="2">
        <v>0.35299999999999998</v>
      </c>
      <c r="H669" s="2">
        <v>0.46600000000000003</v>
      </c>
      <c r="I669" s="2">
        <v>0.61299999999999999</v>
      </c>
      <c r="J669" s="2">
        <v>0.77400000000000002</v>
      </c>
      <c r="K669" s="2">
        <v>0.92300000000000004</v>
      </c>
      <c r="L669" s="2">
        <v>1.173</v>
      </c>
      <c r="M669" s="2">
        <v>1.514</v>
      </c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</row>
    <row r="670" spans="1:51" x14ac:dyDescent="0.2">
      <c r="A670" s="4">
        <v>2016</v>
      </c>
      <c r="B670" s="2">
        <v>7.0000000000000001E-3</v>
      </c>
      <c r="C670" s="2">
        <v>1.4E-2</v>
      </c>
      <c r="D670" s="2">
        <v>8.2000000000000003E-2</v>
      </c>
      <c r="E670" s="2">
        <v>0.20200000000000001</v>
      </c>
      <c r="F670" s="2">
        <v>0.26400000000000001</v>
      </c>
      <c r="G670" s="2">
        <v>0.35299999999999998</v>
      </c>
      <c r="H670" s="2">
        <v>0.47599999999999998</v>
      </c>
      <c r="I670" s="2">
        <v>0.55800000000000005</v>
      </c>
      <c r="J670" s="2">
        <v>0.71099999999999997</v>
      </c>
      <c r="K670" s="2">
        <v>0.91200000000000003</v>
      </c>
      <c r="L670" s="2">
        <v>1.1459999999999999</v>
      </c>
      <c r="M670" s="2">
        <v>1.6</v>
      </c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</row>
    <row r="671" spans="1:51" x14ac:dyDescent="0.2">
      <c r="A671" s="4">
        <v>2017</v>
      </c>
      <c r="B671" s="2">
        <v>5.3999999999999999E-2</v>
      </c>
      <c r="C671" s="2">
        <v>0.158</v>
      </c>
      <c r="D671" s="2">
        <v>0.251</v>
      </c>
      <c r="E671" s="2">
        <v>0.26</v>
      </c>
      <c r="F671" s="2">
        <v>0.318</v>
      </c>
      <c r="G671" s="2">
        <v>0.38500000000000001</v>
      </c>
      <c r="H671" s="2">
        <v>0.45</v>
      </c>
      <c r="I671" s="2">
        <v>0.55300000000000005</v>
      </c>
      <c r="J671" s="2">
        <v>0.70499999999999996</v>
      </c>
      <c r="K671" s="2">
        <v>0.82899999999999996</v>
      </c>
      <c r="L671" s="2">
        <v>1.117</v>
      </c>
      <c r="M671" s="2">
        <v>1.9770000000000001</v>
      </c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</row>
    <row r="672" spans="1:51" x14ac:dyDescent="0.2">
      <c r="A672" s="4">
        <v>2018</v>
      </c>
      <c r="B672" s="2">
        <v>5.1999999999999998E-2</v>
      </c>
      <c r="C672" s="2">
        <v>9.2999999999999999E-2</v>
      </c>
      <c r="D672" s="2">
        <v>0.18162449999999999</v>
      </c>
      <c r="E672" s="2">
        <v>0.2471216</v>
      </c>
      <c r="F672" s="2">
        <v>0.3748244</v>
      </c>
      <c r="G672" s="2">
        <v>0.4846821</v>
      </c>
      <c r="H672" s="2">
        <v>0.53434590000000004</v>
      </c>
      <c r="I672" s="2">
        <v>0.68240809999999996</v>
      </c>
      <c r="J672" s="2">
        <v>1.0936980000000001</v>
      </c>
      <c r="K672" s="2">
        <v>1.2805359999999999</v>
      </c>
      <c r="L672" s="2">
        <v>1.302017</v>
      </c>
      <c r="M672" s="2">
        <v>1.656231</v>
      </c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</row>
    <row r="673" spans="1:51" x14ac:dyDescent="0.2">
      <c r="A673" s="4">
        <v>2019</v>
      </c>
      <c r="B673" s="2">
        <v>5.1156334999999997E-2</v>
      </c>
      <c r="C673" s="2">
        <v>0.112200779</v>
      </c>
      <c r="D673" s="2">
        <v>0.19093136799999999</v>
      </c>
      <c r="E673" s="2">
        <v>0.25619424099999999</v>
      </c>
      <c r="F673" s="2">
        <v>0.34527360499999998</v>
      </c>
      <c r="G673" s="2">
        <v>0.42853607100000002</v>
      </c>
      <c r="H673" s="2">
        <v>0.50444999700000004</v>
      </c>
      <c r="I673" s="2">
        <v>0.62718589700000005</v>
      </c>
      <c r="J673" s="2">
        <v>0.93520943400000001</v>
      </c>
      <c r="K673" s="2">
        <v>1.069493665</v>
      </c>
      <c r="L673" s="2">
        <v>1.2060219329999999</v>
      </c>
      <c r="M673" s="2">
        <v>1.4466478279999999</v>
      </c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</row>
    <row r="674" spans="1:51" x14ac:dyDescent="0.2">
      <c r="A674" s="4" t="s">
        <v>71</v>
      </c>
      <c r="B674" s="2">
        <v>5.0312669999999997E-2</v>
      </c>
      <c r="C674" s="2">
        <v>0.131401558</v>
      </c>
      <c r="D674" s="2">
        <v>0.20023823499999999</v>
      </c>
      <c r="E674" s="2">
        <v>0.26526688100000001</v>
      </c>
      <c r="F674" s="2">
        <v>0.31572281000000002</v>
      </c>
      <c r="G674" s="2">
        <v>0.372390041</v>
      </c>
      <c r="H674" s="2">
        <v>0.47455409300000001</v>
      </c>
      <c r="I674" s="2">
        <v>0.57196369400000002</v>
      </c>
      <c r="J674" s="2">
        <v>0.77672086699999998</v>
      </c>
      <c r="K674" s="2">
        <v>0.85845132999999996</v>
      </c>
      <c r="L674" s="2">
        <v>1.1100268659999999</v>
      </c>
      <c r="M674" s="2">
        <v>1.237064655</v>
      </c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</row>
    <row r="675" spans="1:51" x14ac:dyDescent="0.2">
      <c r="A675" s="4">
        <v>1971</v>
      </c>
      <c r="B675" s="2">
        <v>1.6734393E-2</v>
      </c>
      <c r="C675" s="2">
        <v>5.8394525000000003E-2</v>
      </c>
      <c r="D675" s="2">
        <v>0.20054005799999999</v>
      </c>
      <c r="E675" s="2">
        <v>0.239941402</v>
      </c>
      <c r="F675" s="2">
        <v>0.30339664100000002</v>
      </c>
      <c r="G675" s="2">
        <v>0.38183531500000001</v>
      </c>
      <c r="H675" s="2">
        <v>0.468163473</v>
      </c>
      <c r="I675" s="2">
        <v>0.56217300199999998</v>
      </c>
      <c r="J675" s="2">
        <v>0.72121926000000003</v>
      </c>
      <c r="K675" s="2">
        <v>0.95325742300000005</v>
      </c>
      <c r="L675" s="2">
        <v>1.095713277</v>
      </c>
      <c r="M675" s="2">
        <v>1.61642719</v>
      </c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</row>
    <row r="676" spans="1:51" x14ac:dyDescent="0.2">
      <c r="A676" s="4">
        <v>1972</v>
      </c>
      <c r="B676" s="2">
        <v>1.5553529999999999E-2</v>
      </c>
      <c r="C676" s="2">
        <v>3.0954781000000001E-2</v>
      </c>
      <c r="D676" s="2">
        <v>0.21244037599999999</v>
      </c>
      <c r="E676" s="2">
        <v>0.241102232</v>
      </c>
      <c r="F676" s="2">
        <v>0.30509367399999998</v>
      </c>
      <c r="G676" s="2">
        <v>0.37764882300000002</v>
      </c>
      <c r="H676" s="2">
        <v>0.49450017800000001</v>
      </c>
      <c r="I676" s="2">
        <v>0.59430035000000003</v>
      </c>
      <c r="J676" s="2">
        <v>0.77990906800000004</v>
      </c>
      <c r="K676" s="2">
        <v>0.91597075999999999</v>
      </c>
      <c r="L676" s="2">
        <v>1.346189643</v>
      </c>
      <c r="M676" s="2">
        <v>1.8236984300000001</v>
      </c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</row>
    <row r="677" spans="1:51" x14ac:dyDescent="0.2">
      <c r="A677" s="4">
        <v>1973</v>
      </c>
      <c r="B677" s="2">
        <v>1.4596174E-2</v>
      </c>
      <c r="C677" s="2">
        <v>2.4990087000000001E-2</v>
      </c>
      <c r="D677" s="2">
        <v>0.18745980600000001</v>
      </c>
      <c r="E677" s="2">
        <v>0.26985513500000002</v>
      </c>
      <c r="F677" s="2">
        <v>0.30460896799999998</v>
      </c>
      <c r="G677" s="2">
        <v>0.39067675000000002</v>
      </c>
      <c r="H677" s="2">
        <v>0.48069443699999997</v>
      </c>
      <c r="I677" s="2">
        <v>0.57867890499999997</v>
      </c>
      <c r="J677" s="2">
        <v>0.68549167300000002</v>
      </c>
      <c r="K677" s="2">
        <v>0.76116063</v>
      </c>
      <c r="L677" s="2">
        <v>0.89770300199999997</v>
      </c>
      <c r="M677" s="2">
        <v>1.627863458</v>
      </c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</row>
    <row r="678" spans="1:51" x14ac:dyDescent="0.2">
      <c r="A678" s="4">
        <v>1974</v>
      </c>
      <c r="B678" s="2">
        <v>1.4596174E-2</v>
      </c>
      <c r="C678" s="2">
        <v>2.4990087000000001E-2</v>
      </c>
      <c r="D678" s="2">
        <v>0.18745980600000001</v>
      </c>
      <c r="E678" s="2">
        <v>0.26985513500000002</v>
      </c>
      <c r="F678" s="2">
        <v>0.30460896799999998</v>
      </c>
      <c r="G678" s="2">
        <v>0.39067675000000002</v>
      </c>
      <c r="H678" s="2">
        <v>0.48069443699999997</v>
      </c>
      <c r="I678" s="2">
        <v>0.57867890499999997</v>
      </c>
      <c r="J678" s="2">
        <v>0.68549167300000002</v>
      </c>
      <c r="K678" s="2">
        <v>0.76116063</v>
      </c>
      <c r="L678" s="2">
        <v>0.89770300199999997</v>
      </c>
      <c r="M678" s="2">
        <v>1.627863458</v>
      </c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</row>
    <row r="679" spans="1:51" x14ac:dyDescent="0.2">
      <c r="A679" s="4">
        <v>1975</v>
      </c>
      <c r="B679" s="2">
        <v>5.1999999999999998E-2</v>
      </c>
      <c r="C679" s="2">
        <v>9.2999999999999999E-2</v>
      </c>
      <c r="D679" s="2">
        <v>0.13100000000000001</v>
      </c>
      <c r="E679" s="2">
        <v>0.17799999999999999</v>
      </c>
      <c r="F679" s="2">
        <v>0.26200000000000001</v>
      </c>
      <c r="G679" s="2">
        <v>0.29399999999999998</v>
      </c>
      <c r="H679" s="2">
        <v>0.34</v>
      </c>
      <c r="I679" s="2">
        <v>0.39600000000000002</v>
      </c>
      <c r="J679" s="2">
        <v>0.54900000000000004</v>
      </c>
      <c r="K679" s="2">
        <v>0.73799999999999999</v>
      </c>
      <c r="L679" s="2">
        <v>0.98399999999999999</v>
      </c>
      <c r="M679" s="2">
        <v>1.093</v>
      </c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</row>
    <row r="680" spans="1:51" x14ac:dyDescent="0.2">
      <c r="A680" s="4">
        <v>1976</v>
      </c>
      <c r="B680" s="2">
        <v>5.1999999999999998E-2</v>
      </c>
      <c r="C680" s="2">
        <v>9.2999999999999999E-2</v>
      </c>
      <c r="D680" s="2">
        <v>0.13100000000000001</v>
      </c>
      <c r="E680" s="2">
        <v>0.17799999999999999</v>
      </c>
      <c r="F680" s="2">
        <v>0.26200000000000001</v>
      </c>
      <c r="G680" s="2">
        <v>0.29399999999999998</v>
      </c>
      <c r="H680" s="2">
        <v>0.34</v>
      </c>
      <c r="I680" s="2">
        <v>0.39600000000000002</v>
      </c>
      <c r="J680" s="2">
        <v>0.54900000000000004</v>
      </c>
      <c r="K680" s="2">
        <v>0.73799999999999999</v>
      </c>
      <c r="L680" s="2">
        <v>0.98399999999999999</v>
      </c>
      <c r="M680" s="2">
        <v>1.093</v>
      </c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</row>
    <row r="681" spans="1:51" x14ac:dyDescent="0.2">
      <c r="A681" s="4">
        <v>1977</v>
      </c>
      <c r="B681" s="2">
        <v>5.1999999999999998E-2</v>
      </c>
      <c r="C681" s="2">
        <v>9.2999999999999999E-2</v>
      </c>
      <c r="D681" s="2">
        <v>0.13100000000000001</v>
      </c>
      <c r="E681" s="2">
        <v>0.17799999999999999</v>
      </c>
      <c r="F681" s="2">
        <v>0.26200000000000001</v>
      </c>
      <c r="G681" s="2">
        <v>0.29399999999999998</v>
      </c>
      <c r="H681" s="2">
        <v>0.34</v>
      </c>
      <c r="I681" s="2">
        <v>0.39600000000000002</v>
      </c>
      <c r="J681" s="2">
        <v>0.54900000000000004</v>
      </c>
      <c r="K681" s="2">
        <v>0.73799999999999999</v>
      </c>
      <c r="L681" s="2">
        <v>0.98399999999999999</v>
      </c>
      <c r="M681" s="2">
        <v>1.093</v>
      </c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</row>
    <row r="682" spans="1:51" x14ac:dyDescent="0.2">
      <c r="A682" s="4">
        <v>1978</v>
      </c>
      <c r="B682" s="2">
        <v>5.1999999999999998E-2</v>
      </c>
      <c r="C682" s="2">
        <v>9.2999999999999999E-2</v>
      </c>
      <c r="D682" s="2">
        <v>0.13100000000000001</v>
      </c>
      <c r="E682" s="2">
        <v>0.17799999999999999</v>
      </c>
      <c r="F682" s="2">
        <v>0.26200000000000001</v>
      </c>
      <c r="G682" s="2">
        <v>0.29399999999999998</v>
      </c>
      <c r="H682" s="2">
        <v>0.34</v>
      </c>
      <c r="I682" s="2">
        <v>0.39600000000000002</v>
      </c>
      <c r="J682" s="2">
        <v>0.54900000000000004</v>
      </c>
      <c r="K682" s="2">
        <v>0.73799999999999999</v>
      </c>
      <c r="L682" s="2">
        <v>0.98399999999999999</v>
      </c>
      <c r="M682" s="2">
        <v>1.093</v>
      </c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</row>
    <row r="683" spans="1:51" x14ac:dyDescent="0.2">
      <c r="A683" s="4">
        <v>1979</v>
      </c>
      <c r="B683" s="2">
        <v>5.1999999999999998E-2</v>
      </c>
      <c r="C683" s="2">
        <v>9.2999999999999999E-2</v>
      </c>
      <c r="D683" s="2">
        <v>0.13100000000000001</v>
      </c>
      <c r="E683" s="2">
        <v>0.17799999999999999</v>
      </c>
      <c r="F683" s="2">
        <v>0.26200000000000001</v>
      </c>
      <c r="G683" s="2">
        <v>0.29399999999999998</v>
      </c>
      <c r="H683" s="2">
        <v>0.34</v>
      </c>
      <c r="I683" s="2">
        <v>0.39600000000000002</v>
      </c>
      <c r="J683" s="2">
        <v>0.54900000000000004</v>
      </c>
      <c r="K683" s="2">
        <v>0.73799999999999999</v>
      </c>
      <c r="L683" s="2">
        <v>0.98399999999999999</v>
      </c>
      <c r="M683" s="2">
        <v>1.093</v>
      </c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</row>
    <row r="684" spans="1:51" x14ac:dyDescent="0.2">
      <c r="A684" s="4">
        <v>1980</v>
      </c>
      <c r="B684" s="2">
        <v>5.1999999999999998E-2</v>
      </c>
      <c r="C684" s="2">
        <v>9.2999999999999999E-2</v>
      </c>
      <c r="D684" s="2">
        <v>0.13100000000000001</v>
      </c>
      <c r="E684" s="2">
        <v>0.17799999999999999</v>
      </c>
      <c r="F684" s="2">
        <v>0.26200000000000001</v>
      </c>
      <c r="G684" s="2">
        <v>0.29399999999999998</v>
      </c>
      <c r="H684" s="2">
        <v>0.34</v>
      </c>
      <c r="I684" s="2">
        <v>0.39600000000000002</v>
      </c>
      <c r="J684" s="2">
        <v>0.54900000000000004</v>
      </c>
      <c r="K684" s="2">
        <v>0.73799999999999999</v>
      </c>
      <c r="L684" s="2">
        <v>0.98399999999999999</v>
      </c>
      <c r="M684" s="2">
        <v>1.093</v>
      </c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</row>
    <row r="685" spans="1:51" x14ac:dyDescent="0.2">
      <c r="A685" s="4">
        <v>1981</v>
      </c>
      <c r="B685" s="2">
        <v>5.1999999999999998E-2</v>
      </c>
      <c r="C685" s="2">
        <v>7.8E-2</v>
      </c>
      <c r="D685" s="2">
        <v>0.155</v>
      </c>
      <c r="E685" s="2">
        <v>0.214</v>
      </c>
      <c r="F685" s="2">
        <v>0.27500000000000002</v>
      </c>
      <c r="G685" s="2">
        <v>0.33600000000000002</v>
      </c>
      <c r="H685" s="2">
        <v>0.39400000000000002</v>
      </c>
      <c r="I685" s="2">
        <v>0.47199999999999998</v>
      </c>
      <c r="J685" s="2">
        <v>0.63200000000000001</v>
      </c>
      <c r="K685" s="2">
        <v>0.71399999999999997</v>
      </c>
      <c r="L685" s="2">
        <v>0.89800000000000002</v>
      </c>
      <c r="M685" s="2">
        <v>1.538</v>
      </c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</row>
    <row r="686" spans="1:51" x14ac:dyDescent="0.2">
      <c r="A686" s="4">
        <v>1982</v>
      </c>
      <c r="B686" s="2">
        <v>5.4699999999999999E-2</v>
      </c>
      <c r="C686" s="2">
        <v>9.1999999999999998E-2</v>
      </c>
      <c r="D686" s="2">
        <v>0.109</v>
      </c>
      <c r="E686" s="2">
        <v>0.23599999999999999</v>
      </c>
      <c r="F686" s="2">
        <v>0.27500000000000002</v>
      </c>
      <c r="G686" s="2">
        <v>0.314</v>
      </c>
      <c r="H686" s="2">
        <v>0.375</v>
      </c>
      <c r="I686" s="2">
        <v>0.45600000000000002</v>
      </c>
      <c r="J686" s="2">
        <v>0.52100000000000002</v>
      </c>
      <c r="K686" s="2">
        <v>0.73199999999999998</v>
      </c>
      <c r="L686" s="2">
        <v>0.65100000000000002</v>
      </c>
      <c r="M686" s="2">
        <v>1.137</v>
      </c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</row>
    <row r="687" spans="1:51" x14ac:dyDescent="0.2">
      <c r="A687" s="4">
        <v>1983</v>
      </c>
      <c r="B687" s="2">
        <v>5.1999999999999998E-2</v>
      </c>
      <c r="C687" s="2">
        <v>8.4000000000000005E-2</v>
      </c>
      <c r="D687" s="2">
        <v>0.104</v>
      </c>
      <c r="E687" s="2">
        <v>0.14699999999999999</v>
      </c>
      <c r="F687" s="2">
        <v>0.21099999999999999</v>
      </c>
      <c r="G687" s="2">
        <v>0.32700000000000001</v>
      </c>
      <c r="H687" s="2">
        <v>0.39400000000000002</v>
      </c>
      <c r="I687" s="2">
        <v>0.44900000000000001</v>
      </c>
      <c r="J687" s="2">
        <v>0.51400000000000001</v>
      </c>
      <c r="K687" s="2">
        <v>0.58299999999999996</v>
      </c>
      <c r="L687" s="2">
        <v>0.63100000000000001</v>
      </c>
      <c r="M687" s="2">
        <v>1.538</v>
      </c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</row>
    <row r="688" spans="1:51" x14ac:dyDescent="0.2">
      <c r="A688" s="4">
        <v>1984</v>
      </c>
      <c r="B688" s="2">
        <v>5.1999999999999998E-2</v>
      </c>
      <c r="C688" s="2">
        <v>0.108</v>
      </c>
      <c r="D688" s="2">
        <v>0.16</v>
      </c>
      <c r="E688" s="2">
        <v>0.19900000000000001</v>
      </c>
      <c r="F688" s="2">
        <v>0.24099999999999999</v>
      </c>
      <c r="G688" s="2">
        <v>0.30099999999999999</v>
      </c>
      <c r="H688" s="2">
        <v>0.38800000000000001</v>
      </c>
      <c r="I688" s="2">
        <v>0.46600000000000003</v>
      </c>
      <c r="J688" s="2">
        <v>0.58799999999999997</v>
      </c>
      <c r="K688" s="2">
        <v>0.871</v>
      </c>
      <c r="L688" s="2">
        <v>1.2649999999999999</v>
      </c>
      <c r="M688" s="2">
        <v>1.972</v>
      </c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</row>
    <row r="689" spans="1:51" x14ac:dyDescent="0.2">
      <c r="A689" s="4">
        <v>1985</v>
      </c>
      <c r="B689" s="2">
        <v>2.5700000000000001E-2</v>
      </c>
      <c r="C689" s="2">
        <v>0.06</v>
      </c>
      <c r="D689" s="2">
        <v>0.13200000000000001</v>
      </c>
      <c r="E689" s="2">
        <v>0.23100000000000001</v>
      </c>
      <c r="F689" s="2">
        <v>0.27200000000000002</v>
      </c>
      <c r="G689" s="2">
        <v>0.35</v>
      </c>
      <c r="H689" s="2">
        <v>0.44700000000000001</v>
      </c>
      <c r="I689" s="2">
        <v>0.51900000000000002</v>
      </c>
      <c r="J689" s="2">
        <v>0.71599999999999997</v>
      </c>
      <c r="K689" s="2">
        <v>0.82</v>
      </c>
      <c r="L689" s="2">
        <v>1.073</v>
      </c>
      <c r="M689" s="2">
        <v>1.8540000000000001</v>
      </c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</row>
    <row r="690" spans="1:51" x14ac:dyDescent="0.2">
      <c r="A690" s="4">
        <v>1986</v>
      </c>
      <c r="B690" s="2">
        <v>5.1999999999999998E-2</v>
      </c>
      <c r="C690" s="2">
        <v>9.5000000000000001E-2</v>
      </c>
      <c r="D690" s="2">
        <v>0.14899999999999999</v>
      </c>
      <c r="E690" s="2">
        <v>0.24199999999999999</v>
      </c>
      <c r="F690" s="2">
        <v>0.29399999999999998</v>
      </c>
      <c r="G690" s="2">
        <v>0.34</v>
      </c>
      <c r="H690" s="2">
        <v>0.40699999999999997</v>
      </c>
      <c r="I690" s="2">
        <v>0.503</v>
      </c>
      <c r="J690" s="2">
        <v>0.63700000000000001</v>
      </c>
      <c r="K690" s="2">
        <v>0.76500000000000001</v>
      </c>
      <c r="L690" s="2">
        <v>1.1839999999999999</v>
      </c>
      <c r="M690" s="2">
        <v>1.9</v>
      </c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</row>
    <row r="691" spans="1:51" x14ac:dyDescent="0.2">
      <c r="A691" s="4">
        <v>1987</v>
      </c>
      <c r="B691" s="2">
        <v>5.5199999999999999E-2</v>
      </c>
      <c r="C691" s="2">
        <v>8.5000000000000006E-2</v>
      </c>
      <c r="D691" s="2">
        <v>0.16600000000000001</v>
      </c>
      <c r="E691" s="2">
        <v>0.20699999999999999</v>
      </c>
      <c r="F691" s="2">
        <v>0.26900000000000002</v>
      </c>
      <c r="G691" s="2">
        <v>0.32300000000000001</v>
      </c>
      <c r="H691" s="2">
        <v>0.378</v>
      </c>
      <c r="I691" s="2">
        <v>0.47199999999999998</v>
      </c>
      <c r="J691" s="2">
        <v>0.53600000000000003</v>
      </c>
      <c r="K691" s="2">
        <v>0.64400000000000002</v>
      </c>
      <c r="L691" s="2">
        <v>0.98699999999999999</v>
      </c>
      <c r="M691" s="2">
        <v>1.1850000000000001</v>
      </c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</row>
    <row r="692" spans="1:51" x14ac:dyDescent="0.2">
      <c r="A692" s="4">
        <v>1988</v>
      </c>
      <c r="B692" s="2">
        <v>7.0400000000000004E-2</v>
      </c>
      <c r="C692" s="2">
        <v>9.9000000000000005E-2</v>
      </c>
      <c r="D692" s="2">
        <v>0.122</v>
      </c>
      <c r="E692" s="2">
        <v>0.23</v>
      </c>
      <c r="F692" s="2">
        <v>0.27300000000000002</v>
      </c>
      <c r="G692" s="2">
        <v>0.32</v>
      </c>
      <c r="H692" s="2">
        <v>0.374</v>
      </c>
      <c r="I692" s="2">
        <v>0.46100000000000002</v>
      </c>
      <c r="J692" s="2">
        <v>0.59599999999999997</v>
      </c>
      <c r="K692" s="2">
        <v>0.70899999999999996</v>
      </c>
      <c r="L692" s="2">
        <v>1.196</v>
      </c>
      <c r="M692" s="2">
        <v>1.7689999999999999</v>
      </c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</row>
    <row r="693" spans="1:51" x14ac:dyDescent="0.2">
      <c r="A693" s="4">
        <v>1989</v>
      </c>
      <c r="B693" s="2">
        <v>3.4599999999999999E-2</v>
      </c>
      <c r="C693" s="2">
        <v>0.13500000000000001</v>
      </c>
      <c r="D693" s="2">
        <v>0.154</v>
      </c>
      <c r="E693" s="2">
        <v>0.185</v>
      </c>
      <c r="F693" s="2">
        <v>0.26600000000000001</v>
      </c>
      <c r="G693" s="2">
        <v>0.33</v>
      </c>
      <c r="H693" s="2">
        <v>0.38300000000000001</v>
      </c>
      <c r="I693" s="2">
        <v>0.44900000000000001</v>
      </c>
      <c r="J693" s="2">
        <v>0.57699999999999996</v>
      </c>
      <c r="K693" s="2">
        <v>0.68500000000000005</v>
      </c>
      <c r="L693" s="2">
        <v>1.012</v>
      </c>
      <c r="M693" s="2">
        <v>1.8460000000000001</v>
      </c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</row>
    <row r="694" spans="1:51" x14ac:dyDescent="0.2">
      <c r="A694" s="4">
        <v>1990</v>
      </c>
      <c r="B694" s="2">
        <v>5.7500000000000002E-2</v>
      </c>
      <c r="C694" s="2">
        <v>0.14799999999999999</v>
      </c>
      <c r="D694" s="2">
        <v>0.18099999999999999</v>
      </c>
      <c r="E694" s="2">
        <v>0.223</v>
      </c>
      <c r="F694" s="2">
        <v>0.27</v>
      </c>
      <c r="G694" s="2">
        <v>0.33900000000000002</v>
      </c>
      <c r="H694" s="2">
        <v>0.39800000000000002</v>
      </c>
      <c r="I694" s="2">
        <v>0.47299999999999998</v>
      </c>
      <c r="J694" s="2">
        <v>0.57299999999999995</v>
      </c>
      <c r="K694" s="2">
        <v>0.79600000000000004</v>
      </c>
      <c r="L694" s="2">
        <v>1.3759999999999999</v>
      </c>
      <c r="M694" s="2">
        <v>1.647</v>
      </c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</row>
    <row r="695" spans="1:51" x14ac:dyDescent="0.2">
      <c r="A695" s="4">
        <v>1991</v>
      </c>
      <c r="B695" s="2">
        <v>7.2700000000000001E-2</v>
      </c>
      <c r="C695" s="2">
        <v>7.4999999999999997E-2</v>
      </c>
      <c r="D695" s="2">
        <v>0.17199999999999999</v>
      </c>
      <c r="E695" s="2">
        <v>0.247</v>
      </c>
      <c r="F695" s="2">
        <v>0.28599999999999998</v>
      </c>
      <c r="G695" s="2">
        <v>0.34599999999999997</v>
      </c>
      <c r="H695" s="2">
        <v>0.42699999999999999</v>
      </c>
      <c r="I695" s="2">
        <v>0.51800000000000002</v>
      </c>
      <c r="J695" s="2">
        <v>0.64</v>
      </c>
      <c r="K695" s="2">
        <v>0.84399999999999997</v>
      </c>
      <c r="L695" s="2">
        <v>1.351</v>
      </c>
      <c r="M695" s="2">
        <v>2.11</v>
      </c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</row>
    <row r="696" spans="1:51" x14ac:dyDescent="0.2">
      <c r="A696" s="4">
        <v>1992</v>
      </c>
      <c r="B696" s="2">
        <v>7.5999999999999998E-2</v>
      </c>
      <c r="C696" s="2">
        <v>0.11700000000000001</v>
      </c>
      <c r="D696" s="2">
        <v>0.14000000000000001</v>
      </c>
      <c r="E696" s="2">
        <v>0.191</v>
      </c>
      <c r="F696" s="2">
        <v>0.27</v>
      </c>
      <c r="G696" s="2">
        <v>0.35699999999999998</v>
      </c>
      <c r="H696" s="2">
        <v>0.434</v>
      </c>
      <c r="I696" s="2">
        <v>0.503</v>
      </c>
      <c r="J696" s="2">
        <v>0.57699999999999996</v>
      </c>
      <c r="K696" s="2">
        <v>0.68899999999999995</v>
      </c>
      <c r="L696" s="2">
        <v>1.089</v>
      </c>
      <c r="M696" s="2">
        <v>1.9790000000000001</v>
      </c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</row>
    <row r="697" spans="1:51" x14ac:dyDescent="0.2">
      <c r="A697" s="4">
        <v>1993</v>
      </c>
      <c r="B697" s="2">
        <v>0.1003</v>
      </c>
      <c r="C697" s="2">
        <v>0.124</v>
      </c>
      <c r="D697" s="2">
        <v>0.159</v>
      </c>
      <c r="E697" s="2">
        <v>0.19700000000000001</v>
      </c>
      <c r="F697" s="2">
        <v>0.23300000000000001</v>
      </c>
      <c r="G697" s="2">
        <v>0.34200000000000003</v>
      </c>
      <c r="H697" s="2">
        <v>0.44400000000000001</v>
      </c>
      <c r="I697" s="2">
        <v>0.51200000000000001</v>
      </c>
      <c r="J697" s="2">
        <v>0.58799999999999997</v>
      </c>
      <c r="K697" s="2">
        <v>0.75</v>
      </c>
      <c r="L697" s="2">
        <v>1.012</v>
      </c>
      <c r="M697" s="2">
        <v>1.3720000000000001</v>
      </c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</row>
    <row r="698" spans="1:51" x14ac:dyDescent="0.2">
      <c r="A698" s="4">
        <v>1994</v>
      </c>
      <c r="B698" s="2">
        <v>5.1999999999999998E-2</v>
      </c>
      <c r="C698" s="2">
        <v>0.10299999999999999</v>
      </c>
      <c r="D698" s="2">
        <v>0.22</v>
      </c>
      <c r="E698" s="2">
        <v>0.24099999999999999</v>
      </c>
      <c r="F698" s="2">
        <v>0.27800000000000002</v>
      </c>
      <c r="G698" s="2">
        <v>0.33900000000000002</v>
      </c>
      <c r="H698" s="2">
        <v>0.46700000000000003</v>
      </c>
      <c r="I698" s="2">
        <v>0.58499999999999996</v>
      </c>
      <c r="J698" s="2">
        <v>0.70199999999999996</v>
      </c>
      <c r="K698" s="2">
        <v>0.77900000000000003</v>
      </c>
      <c r="L698" s="2">
        <v>0.88</v>
      </c>
      <c r="M698" s="2">
        <v>1.538</v>
      </c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</row>
    <row r="699" spans="1:51" x14ac:dyDescent="0.2">
      <c r="A699" s="4">
        <v>1995</v>
      </c>
      <c r="B699" s="2">
        <v>6.4399999999999999E-2</v>
      </c>
      <c r="C699" s="2">
        <v>9.0999999999999998E-2</v>
      </c>
      <c r="D699" s="2">
        <v>0.153</v>
      </c>
      <c r="E699" s="2">
        <v>0.26400000000000001</v>
      </c>
      <c r="F699" s="2">
        <v>0.309</v>
      </c>
      <c r="G699" s="2">
        <v>0.373</v>
      </c>
      <c r="H699" s="2">
        <v>0.46100000000000002</v>
      </c>
      <c r="I699" s="2">
        <v>0.58199999999999996</v>
      </c>
      <c r="J699" s="2">
        <v>0.69399999999999995</v>
      </c>
      <c r="K699" s="2">
        <v>0.83499999999999996</v>
      </c>
      <c r="L699" s="2">
        <v>0.97</v>
      </c>
      <c r="M699" s="2">
        <v>1.5980000000000001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</row>
    <row r="700" spans="1:51" x14ac:dyDescent="0.2">
      <c r="A700" s="4">
        <v>1996</v>
      </c>
      <c r="B700" s="2">
        <v>3.7199999999999997E-2</v>
      </c>
      <c r="C700" s="2">
        <v>0.106</v>
      </c>
      <c r="D700" s="2">
        <v>0.13200000000000001</v>
      </c>
      <c r="E700" s="2">
        <v>0.186</v>
      </c>
      <c r="F700" s="2">
        <v>0.27100000000000002</v>
      </c>
      <c r="G700" s="2">
        <v>0.38100000000000001</v>
      </c>
      <c r="H700" s="2">
        <v>0.45100000000000001</v>
      </c>
      <c r="I700" s="2">
        <v>0.54200000000000004</v>
      </c>
      <c r="J700" s="2">
        <v>0.66700000000000004</v>
      </c>
      <c r="K700" s="2">
        <v>0.78700000000000003</v>
      </c>
      <c r="L700" s="2">
        <v>0.90100000000000002</v>
      </c>
      <c r="M700" s="2">
        <v>1.0529999999999999</v>
      </c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</row>
    <row r="701" spans="1:51" x14ac:dyDescent="0.2">
      <c r="A701" s="4">
        <v>1997</v>
      </c>
      <c r="B701" s="2">
        <v>6.2600000000000003E-2</v>
      </c>
      <c r="C701" s="2">
        <v>8.3000000000000004E-2</v>
      </c>
      <c r="D701" s="2">
        <v>0.11799999999999999</v>
      </c>
      <c r="E701" s="2">
        <v>0.17699999999999999</v>
      </c>
      <c r="F701" s="2">
        <v>0.23899999999999999</v>
      </c>
      <c r="G701" s="2">
        <v>0.27500000000000002</v>
      </c>
      <c r="H701" s="2">
        <v>0.40899999999999997</v>
      </c>
      <c r="I701" s="2">
        <v>0.52400000000000002</v>
      </c>
      <c r="J701" s="2">
        <v>0.59399999999999997</v>
      </c>
      <c r="K701" s="2">
        <v>0.70899999999999996</v>
      </c>
      <c r="L701" s="2">
        <v>0.85099999999999998</v>
      </c>
      <c r="M701" s="2">
        <v>1.046</v>
      </c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</row>
    <row r="702" spans="1:51" x14ac:dyDescent="0.2">
      <c r="A702" s="4">
        <v>1998</v>
      </c>
      <c r="B702" s="2">
        <v>1.0999999999999999E-2</v>
      </c>
      <c r="C702" s="2">
        <v>8.8999999999999996E-2</v>
      </c>
      <c r="D702" s="2">
        <v>0.121</v>
      </c>
      <c r="E702" s="2">
        <v>0.18099999999999999</v>
      </c>
      <c r="F702" s="2">
        <v>0.246</v>
      </c>
      <c r="G702" s="2">
        <v>0.32</v>
      </c>
      <c r="H702" s="2">
        <v>0.40799999999999997</v>
      </c>
      <c r="I702" s="2">
        <v>0.57899999999999996</v>
      </c>
      <c r="J702" s="2">
        <v>0.71899999999999997</v>
      </c>
      <c r="K702" s="2">
        <v>0.85299999999999998</v>
      </c>
      <c r="L702" s="2">
        <v>0.96499999999999997</v>
      </c>
      <c r="M702" s="2">
        <v>1.1739999999999999</v>
      </c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</row>
    <row r="703" spans="1:51" x14ac:dyDescent="0.2">
      <c r="A703" s="4">
        <v>1999</v>
      </c>
      <c r="B703" s="2">
        <v>4.1200000000000001E-2</v>
      </c>
      <c r="C703" s="2">
        <v>8.4000000000000005E-2</v>
      </c>
      <c r="D703" s="2">
        <v>0.112</v>
      </c>
      <c r="E703" s="2">
        <v>0.224</v>
      </c>
      <c r="F703" s="2">
        <v>0.27</v>
      </c>
      <c r="G703" s="2">
        <v>0.33600000000000002</v>
      </c>
      <c r="H703" s="2">
        <v>0.46200000000000002</v>
      </c>
      <c r="I703" s="2">
        <v>0.64300000000000002</v>
      </c>
      <c r="J703" s="2">
        <v>0.80800000000000005</v>
      </c>
      <c r="K703" s="2">
        <v>0.86799999999999999</v>
      </c>
      <c r="L703" s="2">
        <v>1.0580000000000001</v>
      </c>
      <c r="M703" s="2">
        <v>1.421</v>
      </c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</row>
    <row r="704" spans="1:51" x14ac:dyDescent="0.2">
      <c r="A704" s="4">
        <v>2000</v>
      </c>
      <c r="B704" s="2">
        <v>7.0000000000000007E-2</v>
      </c>
      <c r="C704" s="2">
        <v>9.8000000000000004E-2</v>
      </c>
      <c r="D704" s="2">
        <v>0.14499999999999999</v>
      </c>
      <c r="E704" s="2">
        <v>0.192</v>
      </c>
      <c r="F704" s="2">
        <v>0.27</v>
      </c>
      <c r="G704" s="2">
        <v>0.34</v>
      </c>
      <c r="H704" s="2">
        <v>0.42899999999999999</v>
      </c>
      <c r="I704" s="2">
        <v>0.57699999999999996</v>
      </c>
      <c r="J704" s="2">
        <v>0.80700000000000005</v>
      </c>
      <c r="K704" s="2">
        <v>0.96499999999999997</v>
      </c>
      <c r="L704" s="2">
        <v>1.115</v>
      </c>
      <c r="M704" s="2">
        <v>1.367</v>
      </c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</row>
    <row r="705" spans="1:51" x14ac:dyDescent="0.2">
      <c r="A705" s="4">
        <v>2001</v>
      </c>
      <c r="B705" s="2">
        <v>6.1199999999999997E-2</v>
      </c>
      <c r="C705" s="2">
        <v>9.1999999999999998E-2</v>
      </c>
      <c r="D705" s="2">
        <v>0.151</v>
      </c>
      <c r="E705" s="2">
        <v>0.191</v>
      </c>
      <c r="F705" s="2">
        <v>0.28000000000000003</v>
      </c>
      <c r="G705" s="2">
        <v>0.35199999999999998</v>
      </c>
      <c r="H705" s="2">
        <v>0.52400000000000002</v>
      </c>
      <c r="I705" s="2">
        <v>0.68300000000000005</v>
      </c>
      <c r="J705" s="2">
        <v>0.94499999999999995</v>
      </c>
      <c r="K705" s="2">
        <v>1.216</v>
      </c>
      <c r="L705" s="2">
        <v>1.4259999999999999</v>
      </c>
      <c r="M705" s="2">
        <v>1.4770000000000001</v>
      </c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</row>
    <row r="706" spans="1:51" x14ac:dyDescent="0.2">
      <c r="A706" s="4">
        <v>2002</v>
      </c>
      <c r="B706" s="2">
        <v>0.10440000000000001</v>
      </c>
      <c r="C706" s="2">
        <v>0.106</v>
      </c>
      <c r="D706" s="2">
        <v>0.14599999999999999</v>
      </c>
      <c r="E706" s="2">
        <v>0.20100000000000001</v>
      </c>
      <c r="F706" s="2">
        <v>0.26</v>
      </c>
      <c r="G706" s="2">
        <v>0.35499999999999998</v>
      </c>
      <c r="H706" s="2">
        <v>0.495</v>
      </c>
      <c r="I706" s="2">
        <v>0.68300000000000005</v>
      </c>
      <c r="J706" s="2">
        <v>0.88400000000000001</v>
      </c>
      <c r="K706" s="2">
        <v>1.0880000000000001</v>
      </c>
      <c r="L706" s="2">
        <v>1.4670000000000001</v>
      </c>
      <c r="M706" s="2">
        <v>1.647</v>
      </c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</row>
    <row r="707" spans="1:51" x14ac:dyDescent="0.2">
      <c r="A707" s="4">
        <v>2003</v>
      </c>
      <c r="B707" s="2">
        <v>8.4099999999999994E-2</v>
      </c>
      <c r="C707" s="2">
        <v>0.128</v>
      </c>
      <c r="D707" s="2">
        <v>0.13800000000000001</v>
      </c>
      <c r="E707" s="2">
        <v>0.17799999999999999</v>
      </c>
      <c r="F707" s="2">
        <v>0.248</v>
      </c>
      <c r="G707" s="2">
        <v>0.34</v>
      </c>
      <c r="H707" s="2">
        <v>0.54500000000000004</v>
      </c>
      <c r="I707" s="2">
        <v>0.80600000000000005</v>
      </c>
      <c r="J707" s="2">
        <v>1.0349999999999999</v>
      </c>
      <c r="K707" s="2">
        <v>1.246</v>
      </c>
      <c r="L707" s="2">
        <v>1.4119999999999999</v>
      </c>
      <c r="M707" s="2">
        <v>1.655</v>
      </c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</row>
    <row r="708" spans="1:51" x14ac:dyDescent="0.2">
      <c r="A708" s="4">
        <v>2004</v>
      </c>
      <c r="B708" s="2">
        <v>8.9499999999999996E-2</v>
      </c>
      <c r="C708" s="2">
        <v>0.109</v>
      </c>
      <c r="D708" s="2">
        <v>0.13400000000000001</v>
      </c>
      <c r="E708" s="2">
        <v>0.17399999999999999</v>
      </c>
      <c r="F708" s="2">
        <v>0.25</v>
      </c>
      <c r="G708" s="2">
        <v>0.33100000000000002</v>
      </c>
      <c r="H708" s="2">
        <v>0.46500000000000002</v>
      </c>
      <c r="I708" s="2">
        <v>0.74199999999999999</v>
      </c>
      <c r="J708" s="2">
        <v>1.0209999999999999</v>
      </c>
      <c r="K708" s="2">
        <v>1.258</v>
      </c>
      <c r="L708" s="2">
        <v>1.3759999999999999</v>
      </c>
      <c r="M708" s="2">
        <v>1.776</v>
      </c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</row>
    <row r="709" spans="1:51" x14ac:dyDescent="0.2">
      <c r="A709" s="4">
        <v>2005</v>
      </c>
      <c r="B709" s="2">
        <v>4.2599999999999999E-2</v>
      </c>
      <c r="C709" s="2">
        <v>6.4000000000000001E-2</v>
      </c>
      <c r="D709" s="2">
        <v>0.16300000000000001</v>
      </c>
      <c r="E709" s="2">
        <v>0.19600000000000001</v>
      </c>
      <c r="F709" s="2">
        <v>0.255</v>
      </c>
      <c r="G709" s="2">
        <v>0.34599999999999997</v>
      </c>
      <c r="H709" s="2">
        <v>0.46600000000000003</v>
      </c>
      <c r="I709" s="2">
        <v>0.75600000000000001</v>
      </c>
      <c r="J709" s="2">
        <v>0.999</v>
      </c>
      <c r="K709" s="2">
        <v>1.141</v>
      </c>
      <c r="L709" s="2">
        <v>1.228</v>
      </c>
      <c r="M709" s="2">
        <v>1.5629999999999999</v>
      </c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</row>
    <row r="710" spans="1:51" x14ac:dyDescent="0.2">
      <c r="A710" s="4">
        <v>2006</v>
      </c>
      <c r="B710" s="2">
        <v>6.5600000000000006E-2</v>
      </c>
      <c r="C710" s="2">
        <v>9.8000000000000004E-2</v>
      </c>
      <c r="D710" s="2">
        <v>0.122</v>
      </c>
      <c r="E710" s="2">
        <v>0.17899999999999999</v>
      </c>
      <c r="F710" s="2">
        <v>0.25800000000000001</v>
      </c>
      <c r="G710" s="2">
        <v>0.32500000000000001</v>
      </c>
      <c r="H710" s="2">
        <v>0.46100000000000002</v>
      </c>
      <c r="I710" s="2">
        <v>0.61399999999999999</v>
      </c>
      <c r="J710" s="2">
        <v>0.82799999999999996</v>
      </c>
      <c r="K710" s="2">
        <v>1.0740000000000001</v>
      </c>
      <c r="L710" s="2">
        <v>1.36</v>
      </c>
      <c r="M710" s="2">
        <v>1.671</v>
      </c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</row>
    <row r="711" spans="1:51" x14ac:dyDescent="0.2">
      <c r="A711" s="4">
        <v>2007</v>
      </c>
      <c r="B711" s="2">
        <v>3.09E-2</v>
      </c>
      <c r="C711" s="2">
        <v>7.3999999999999996E-2</v>
      </c>
      <c r="D711" s="2">
        <v>0.13</v>
      </c>
      <c r="E711" s="2">
        <v>0.2</v>
      </c>
      <c r="F711" s="2">
        <v>0.25700000000000001</v>
      </c>
      <c r="G711" s="2">
        <v>0.32900000000000001</v>
      </c>
      <c r="H711" s="2">
        <v>0.44500000000000001</v>
      </c>
      <c r="I711" s="2">
        <v>0.64500000000000002</v>
      </c>
      <c r="J711" s="2">
        <v>0.88300000000000001</v>
      </c>
      <c r="K711" s="2">
        <v>1.1020000000000001</v>
      </c>
      <c r="L711" s="2">
        <v>1.321</v>
      </c>
      <c r="M711" s="2">
        <v>1.649</v>
      </c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</row>
    <row r="712" spans="1:51" x14ac:dyDescent="0.2">
      <c r="A712" s="4">
        <v>2008</v>
      </c>
      <c r="B712" s="2">
        <v>3.5799999999999998E-2</v>
      </c>
      <c r="C712" s="2">
        <v>8.5999999999999993E-2</v>
      </c>
      <c r="D712" s="2">
        <v>0.11700000000000001</v>
      </c>
      <c r="E712" s="2">
        <v>0.186</v>
      </c>
      <c r="F712" s="2">
        <v>0.245</v>
      </c>
      <c r="G712" s="2">
        <v>0.307</v>
      </c>
      <c r="H712" s="2">
        <v>0.4</v>
      </c>
      <c r="I712" s="2">
        <v>0.56399999999999995</v>
      </c>
      <c r="J712" s="2">
        <v>0.76800000000000002</v>
      </c>
      <c r="K712" s="2">
        <v>1.0049999999999999</v>
      </c>
      <c r="L712" s="2">
        <v>1.2090000000000001</v>
      </c>
      <c r="M712" s="2">
        <v>1.5369999999999999</v>
      </c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</row>
    <row r="713" spans="1:51" x14ac:dyDescent="0.2">
      <c r="A713" s="4">
        <v>2009</v>
      </c>
      <c r="B713" s="2">
        <v>3.4099999999999998E-2</v>
      </c>
      <c r="C713" s="2">
        <v>0.08</v>
      </c>
      <c r="D713" s="2">
        <v>0.158</v>
      </c>
      <c r="E713" s="2">
        <v>0.193</v>
      </c>
      <c r="F713" s="2">
        <v>0.247</v>
      </c>
      <c r="G713" s="2">
        <v>0.307</v>
      </c>
      <c r="H713" s="2">
        <v>0.38700000000000001</v>
      </c>
      <c r="I713" s="2">
        <v>0.52800000000000002</v>
      </c>
      <c r="J713" s="2">
        <v>0.7</v>
      </c>
      <c r="K713" s="2">
        <v>0.89700000000000002</v>
      </c>
      <c r="L713" s="2">
        <v>1.087</v>
      </c>
      <c r="M713" s="2">
        <v>1.5409999999999999</v>
      </c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</row>
    <row r="714" spans="1:51" x14ac:dyDescent="0.2">
      <c r="A714" s="4">
        <v>2010</v>
      </c>
      <c r="B714" s="2">
        <v>2.9100000000000001E-2</v>
      </c>
      <c r="C714" s="2">
        <v>7.4999999999999997E-2</v>
      </c>
      <c r="D714" s="2">
        <v>0.113</v>
      </c>
      <c r="E714" s="2">
        <v>0.19600000000000001</v>
      </c>
      <c r="F714" s="2">
        <v>0.25900000000000001</v>
      </c>
      <c r="G714" s="2">
        <v>0.318</v>
      </c>
      <c r="H714" s="2">
        <v>0.39900000000000002</v>
      </c>
      <c r="I714" s="2">
        <v>0.51700000000000002</v>
      </c>
      <c r="J714" s="2">
        <v>0.64100000000000001</v>
      </c>
      <c r="K714" s="2">
        <v>0.76700000000000002</v>
      </c>
      <c r="L714" s="2">
        <v>0.91800000000000004</v>
      </c>
      <c r="M714" s="2">
        <v>1.296</v>
      </c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</row>
    <row r="715" spans="1:51" x14ac:dyDescent="0.2">
      <c r="A715" s="4">
        <v>2011</v>
      </c>
      <c r="B715" s="2">
        <v>3.2800000000000003E-2</v>
      </c>
      <c r="C715" s="2">
        <v>7.5999999999999998E-2</v>
      </c>
      <c r="D715" s="2">
        <v>0.11600000000000001</v>
      </c>
      <c r="E715" s="2">
        <v>0.14099999999999999</v>
      </c>
      <c r="F715" s="2">
        <v>0.26100000000000001</v>
      </c>
      <c r="G715" s="2">
        <v>0.35</v>
      </c>
      <c r="H715" s="2">
        <v>0.41899999999999998</v>
      </c>
      <c r="I715" s="2">
        <v>0.51600000000000001</v>
      </c>
      <c r="J715" s="2">
        <v>0.63100000000000001</v>
      </c>
      <c r="K715" s="2">
        <v>0.752</v>
      </c>
      <c r="L715" s="2">
        <v>0.92400000000000004</v>
      </c>
      <c r="M715" s="2">
        <v>1.2629999999999999</v>
      </c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</row>
    <row r="716" spans="1:51" x14ac:dyDescent="0.2">
      <c r="A716" s="4">
        <v>2012</v>
      </c>
      <c r="B716" s="2">
        <v>8.6300000000000002E-2</v>
      </c>
      <c r="C716" s="2">
        <v>7.3999999999999996E-2</v>
      </c>
      <c r="D716" s="2">
        <v>0.121</v>
      </c>
      <c r="E716" s="2">
        <v>0.17199999999999999</v>
      </c>
      <c r="F716" s="2">
        <v>0.22600000000000001</v>
      </c>
      <c r="G716" s="2">
        <v>0.33100000000000002</v>
      </c>
      <c r="H716" s="2">
        <v>0.43099999999999999</v>
      </c>
      <c r="I716" s="2">
        <v>0.51</v>
      </c>
      <c r="J716" s="2">
        <v>0.621</v>
      </c>
      <c r="K716" s="2">
        <v>0.75600000000000001</v>
      </c>
      <c r="L716" s="2">
        <v>0.90300000000000002</v>
      </c>
      <c r="M716" s="2">
        <v>1.177</v>
      </c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</row>
    <row r="717" spans="1:51" x14ac:dyDescent="0.2">
      <c r="A717" s="4">
        <v>2013</v>
      </c>
      <c r="B717" s="2">
        <v>3.5799999999999998E-2</v>
      </c>
      <c r="C717" s="2">
        <v>4.8300000000000003E-2</v>
      </c>
      <c r="D717" s="2">
        <v>6.88E-2</v>
      </c>
      <c r="E717" s="2">
        <v>0.18579999999999999</v>
      </c>
      <c r="F717" s="2">
        <v>0.25380000000000003</v>
      </c>
      <c r="G717" s="2">
        <v>0.31240000000000001</v>
      </c>
      <c r="H717" s="2">
        <v>0.41560000000000002</v>
      </c>
      <c r="I717" s="2">
        <v>0.51519999999999999</v>
      </c>
      <c r="J717" s="2">
        <v>0.60529999999999995</v>
      </c>
      <c r="K717" s="2">
        <v>0.71919999999999995</v>
      </c>
      <c r="L717" s="2">
        <v>0.86129999999999995</v>
      </c>
      <c r="M717" s="2">
        <v>1.1479999999999999</v>
      </c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</row>
    <row r="718" spans="1:51" x14ac:dyDescent="0.2">
      <c r="A718" s="4">
        <v>2014</v>
      </c>
      <c r="B718" s="2">
        <v>1.38E-2</v>
      </c>
      <c r="C718" s="2">
        <v>4.53E-2</v>
      </c>
      <c r="D718" s="2">
        <v>0.109</v>
      </c>
      <c r="E718" s="2">
        <v>0.14230000000000001</v>
      </c>
      <c r="F718" s="2">
        <v>0.253</v>
      </c>
      <c r="G718" s="2">
        <v>0.32990000000000003</v>
      </c>
      <c r="H718" s="2">
        <v>0.41120000000000001</v>
      </c>
      <c r="I718" s="2">
        <v>0.53159999999999996</v>
      </c>
      <c r="J718" s="2">
        <v>0.625</v>
      </c>
      <c r="K718" s="2">
        <v>0.76429999999999998</v>
      </c>
      <c r="L718" s="2">
        <v>0.88600000000000001</v>
      </c>
      <c r="M718" s="2">
        <v>1.1439999999999999</v>
      </c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</row>
    <row r="719" spans="1:51" x14ac:dyDescent="0.2">
      <c r="A719" s="4">
        <v>2015</v>
      </c>
      <c r="B719" s="2">
        <v>1.38E-2</v>
      </c>
      <c r="C719" s="2">
        <v>5.21E-2</v>
      </c>
      <c r="D719" s="2">
        <v>0.1013</v>
      </c>
      <c r="E719" s="2">
        <v>0.17469999999999999</v>
      </c>
      <c r="F719" s="2">
        <v>0.23649999999999999</v>
      </c>
      <c r="G719" s="2">
        <v>0.31330000000000002</v>
      </c>
      <c r="H719" s="2">
        <v>0.41489999999999999</v>
      </c>
      <c r="I719" s="2">
        <v>0.53859999999999997</v>
      </c>
      <c r="J719" s="2">
        <v>0.64880000000000004</v>
      </c>
      <c r="K719" s="2">
        <v>0.7873</v>
      </c>
      <c r="L719" s="2">
        <v>0.96350000000000002</v>
      </c>
      <c r="M719" s="2">
        <v>1.4730000000000001</v>
      </c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</row>
    <row r="720" spans="1:51" x14ac:dyDescent="0.2">
      <c r="A720" s="4">
        <v>2016</v>
      </c>
      <c r="B720" s="2">
        <v>1.9300000000000001E-2</v>
      </c>
      <c r="C720" s="2">
        <v>6.6699999999999995E-2</v>
      </c>
      <c r="D720" s="2">
        <v>0.10059999999999999</v>
      </c>
      <c r="E720" s="2">
        <v>0.19009999999999999</v>
      </c>
      <c r="F720" s="2">
        <v>0.28720000000000001</v>
      </c>
      <c r="G720" s="2">
        <v>0.35320000000000001</v>
      </c>
      <c r="H720" s="2">
        <v>0.46639999999999998</v>
      </c>
      <c r="I720" s="2">
        <v>0.61299999999999999</v>
      </c>
      <c r="J720" s="2">
        <v>0.77349999999999997</v>
      </c>
      <c r="K720" s="2">
        <v>0.92259999999999998</v>
      </c>
      <c r="L720" s="2">
        <v>1.1733</v>
      </c>
      <c r="M720" s="2">
        <v>1.514</v>
      </c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</row>
    <row r="721" spans="1:51" x14ac:dyDescent="0.2">
      <c r="A721" s="4">
        <v>2017</v>
      </c>
      <c r="B721" s="2">
        <v>7.3000000000000001E-3</v>
      </c>
      <c r="C721" s="2">
        <v>1.4E-2</v>
      </c>
      <c r="D721" s="2">
        <v>8.1500000000000003E-2</v>
      </c>
      <c r="E721" s="2">
        <v>0.20180000000000001</v>
      </c>
      <c r="F721" s="2">
        <v>0.26350000000000001</v>
      </c>
      <c r="G721" s="2">
        <v>0.3528</v>
      </c>
      <c r="H721" s="2">
        <v>0.4758</v>
      </c>
      <c r="I721" s="2">
        <v>0.55789999999999995</v>
      </c>
      <c r="J721" s="2">
        <v>0.71050000000000002</v>
      </c>
      <c r="K721" s="2">
        <v>0.91169999999999995</v>
      </c>
      <c r="L721" s="2">
        <v>1.1462000000000001</v>
      </c>
      <c r="M721" s="2">
        <v>1.6</v>
      </c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</row>
    <row r="722" spans="1:51" x14ac:dyDescent="0.2">
      <c r="A722" s="4">
        <v>2018</v>
      </c>
      <c r="B722" s="2">
        <v>5.1999999999999998E-2</v>
      </c>
      <c r="C722" s="2">
        <v>0.1254033</v>
      </c>
      <c r="D722" s="2">
        <v>0.2681982</v>
      </c>
      <c r="E722" s="2">
        <v>0.26314120000000002</v>
      </c>
      <c r="F722" s="2">
        <v>0.30995919999999999</v>
      </c>
      <c r="G722" s="2">
        <v>0.36198249999999998</v>
      </c>
      <c r="H722" s="2">
        <v>0.43108370000000001</v>
      </c>
      <c r="I722" s="2">
        <v>0.50682559999999999</v>
      </c>
      <c r="J722" s="2">
        <v>0.67831799999999998</v>
      </c>
      <c r="K722" s="2">
        <v>0.72566419999999998</v>
      </c>
      <c r="L722" s="2">
        <v>0.93555549999999998</v>
      </c>
      <c r="M722" s="2">
        <v>1.142647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</row>
    <row r="723" spans="1:51" x14ac:dyDescent="0.2">
      <c r="A723" s="4">
        <v>2019</v>
      </c>
      <c r="B723" s="2">
        <v>5.1999999999999998E-2</v>
      </c>
      <c r="C723" s="2">
        <v>9.2999999999999999E-2</v>
      </c>
      <c r="D723" s="2">
        <v>0.13100000000000001</v>
      </c>
      <c r="E723" s="2">
        <v>0.17799999999999999</v>
      </c>
      <c r="F723" s="2">
        <v>0.26200000000000001</v>
      </c>
      <c r="G723" s="2">
        <v>0.29399999999999998</v>
      </c>
      <c r="H723" s="2">
        <v>0.34</v>
      </c>
      <c r="I723" s="2">
        <v>0.39600000000000002</v>
      </c>
      <c r="J723" s="2">
        <v>0.54900000000000004</v>
      </c>
      <c r="K723" s="2">
        <v>0.73799999999999999</v>
      </c>
      <c r="L723" s="2">
        <v>0.98399999999999999</v>
      </c>
      <c r="M723" s="2">
        <v>1.093</v>
      </c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</row>
    <row r="724" spans="1:51" x14ac:dyDescent="0.2">
      <c r="A724" s="4" t="s">
        <v>72</v>
      </c>
      <c r="B724" s="2">
        <v>5.1999999999999998E-2</v>
      </c>
      <c r="C724" s="2">
        <v>9.2999999999999999E-2</v>
      </c>
      <c r="D724" s="2">
        <v>0.13100000000000001</v>
      </c>
      <c r="E724" s="2">
        <v>0.17799999999999999</v>
      </c>
      <c r="F724" s="2">
        <v>0.26200000000000001</v>
      </c>
      <c r="G724" s="2">
        <v>0.29399999999999998</v>
      </c>
      <c r="H724" s="2">
        <v>0.34</v>
      </c>
      <c r="I724" s="2">
        <v>0.39600000000000002</v>
      </c>
      <c r="J724" s="2">
        <v>0.54900000000000004</v>
      </c>
      <c r="K724" s="2">
        <v>0.73799999999999999</v>
      </c>
      <c r="L724" s="2">
        <v>0.98399999999999999</v>
      </c>
      <c r="M724" s="2">
        <v>1.093</v>
      </c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</row>
    <row r="725" spans="1:51" x14ac:dyDescent="0.2">
      <c r="A725" s="4">
        <v>1971</v>
      </c>
      <c r="B725" s="2">
        <v>5.1999999999999998E-2</v>
      </c>
      <c r="C725" s="2">
        <v>9.2999999999999999E-2</v>
      </c>
      <c r="D725" s="2">
        <v>0.13100000000000001</v>
      </c>
      <c r="E725" s="2">
        <v>0.17799999999999999</v>
      </c>
      <c r="F725" s="2">
        <v>0.26200000000000001</v>
      </c>
      <c r="G725" s="2">
        <v>0.29399999999999998</v>
      </c>
      <c r="H725" s="2">
        <v>0.34</v>
      </c>
      <c r="I725" s="2">
        <v>0.39600000000000002</v>
      </c>
      <c r="J725" s="2">
        <v>0.54900000000000004</v>
      </c>
      <c r="K725" s="2">
        <v>0.73799999999999999</v>
      </c>
      <c r="L725" s="2">
        <v>0.98399999999999999</v>
      </c>
      <c r="M725" s="2">
        <v>1.093</v>
      </c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</row>
    <row r="726" spans="1:51" x14ac:dyDescent="0.2">
      <c r="A726" s="4">
        <v>1972</v>
      </c>
      <c r="B726" s="2">
        <v>5.1999999999999998E-2</v>
      </c>
      <c r="C726" s="2">
        <v>9.2999999999999999E-2</v>
      </c>
      <c r="D726" s="2">
        <v>0.13100000000000001</v>
      </c>
      <c r="E726" s="2">
        <v>0.17799999999999999</v>
      </c>
      <c r="F726" s="2">
        <v>0.26200000000000001</v>
      </c>
      <c r="G726" s="2">
        <v>0.29399999999999998</v>
      </c>
      <c r="H726" s="2">
        <v>0.34</v>
      </c>
      <c r="I726" s="2">
        <v>0.39600000000000002</v>
      </c>
      <c r="J726" s="2">
        <v>0.54900000000000004</v>
      </c>
      <c r="K726" s="2">
        <v>0.73799999999999999</v>
      </c>
      <c r="L726" s="2">
        <v>0.98399999999999999</v>
      </c>
      <c r="M726" s="2">
        <v>1.093</v>
      </c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</row>
    <row r="727" spans="1:51" x14ac:dyDescent="0.2">
      <c r="A727" s="4">
        <v>1973</v>
      </c>
      <c r="B727" s="2">
        <v>5.1999999999999998E-2</v>
      </c>
      <c r="C727" s="2">
        <v>9.2999999999999999E-2</v>
      </c>
      <c r="D727" s="2">
        <v>0.13100000000000001</v>
      </c>
      <c r="E727" s="2">
        <v>0.17799999999999999</v>
      </c>
      <c r="F727" s="2">
        <v>0.26200000000000001</v>
      </c>
      <c r="G727" s="2">
        <v>0.29399999999999998</v>
      </c>
      <c r="H727" s="2">
        <v>0.34</v>
      </c>
      <c r="I727" s="2">
        <v>0.39600000000000002</v>
      </c>
      <c r="J727" s="2">
        <v>0.54900000000000004</v>
      </c>
      <c r="K727" s="2">
        <v>0.73799999999999999</v>
      </c>
      <c r="L727" s="2">
        <v>0.98399999999999999</v>
      </c>
      <c r="M727" s="2">
        <v>1.093</v>
      </c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</row>
    <row r="728" spans="1:51" x14ac:dyDescent="0.2">
      <c r="A728" s="4">
        <v>1974</v>
      </c>
      <c r="B728" s="2">
        <v>5.1999999999999998E-2</v>
      </c>
      <c r="C728" s="2">
        <v>9.2999999999999999E-2</v>
      </c>
      <c r="D728" s="2">
        <v>0.13100000000000001</v>
      </c>
      <c r="E728" s="2">
        <v>0.17799999999999999</v>
      </c>
      <c r="F728" s="2">
        <v>0.26200000000000001</v>
      </c>
      <c r="G728" s="2">
        <v>0.29399999999999998</v>
      </c>
      <c r="H728" s="2">
        <v>0.34</v>
      </c>
      <c r="I728" s="2">
        <v>0.39600000000000002</v>
      </c>
      <c r="J728" s="2">
        <v>0.54900000000000004</v>
      </c>
      <c r="K728" s="2">
        <v>0.73799999999999999</v>
      </c>
      <c r="L728" s="2">
        <v>0.98399999999999999</v>
      </c>
      <c r="M728" s="2">
        <v>1.093</v>
      </c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</row>
    <row r="729" spans="1:51" x14ac:dyDescent="0.2">
      <c r="A729" s="4">
        <v>1975</v>
      </c>
      <c r="B729" s="2">
        <v>5.1999999999999998E-2</v>
      </c>
      <c r="C729" s="2">
        <v>9.2999999999999999E-2</v>
      </c>
      <c r="D729" s="2">
        <v>0.13100000000000001</v>
      </c>
      <c r="E729" s="2">
        <v>0.17799999999999999</v>
      </c>
      <c r="F729" s="2">
        <v>0.26200000000000001</v>
      </c>
      <c r="G729" s="2">
        <v>0.29399999999999998</v>
      </c>
      <c r="H729" s="2">
        <v>0.34</v>
      </c>
      <c r="I729" s="2">
        <v>0.39600000000000002</v>
      </c>
      <c r="J729" s="2">
        <v>0.54900000000000004</v>
      </c>
      <c r="K729" s="2">
        <v>0.73799999999999999</v>
      </c>
      <c r="L729" s="2">
        <v>0.98399999999999999</v>
      </c>
      <c r="M729" s="2">
        <v>1.093</v>
      </c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</row>
    <row r="730" spans="1:51" x14ac:dyDescent="0.2">
      <c r="A730" s="4">
        <v>1976</v>
      </c>
      <c r="B730" s="2">
        <v>4.4695039999999998E-2</v>
      </c>
      <c r="C730" s="2">
        <v>0.17123920000000001</v>
      </c>
      <c r="D730" s="2">
        <v>0.3769613</v>
      </c>
      <c r="E730" s="2">
        <v>0.64225460000000001</v>
      </c>
      <c r="F730" s="2">
        <v>0.94486420000000004</v>
      </c>
      <c r="G730" s="2">
        <v>1.2650330000000001</v>
      </c>
      <c r="H730" s="2">
        <v>1.587172</v>
      </c>
      <c r="I730" s="2">
        <v>1.899961</v>
      </c>
      <c r="J730" s="2">
        <v>1.899961</v>
      </c>
      <c r="K730" s="2">
        <v>1.899961</v>
      </c>
      <c r="L730" s="2">
        <v>1.899961</v>
      </c>
      <c r="M730" s="2">
        <v>1.899961</v>
      </c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</row>
    <row r="731" spans="1:51" x14ac:dyDescent="0.2">
      <c r="A731" s="4">
        <v>1977</v>
      </c>
      <c r="B731" s="2">
        <v>4.4719689999999999E-2</v>
      </c>
      <c r="C731" s="2">
        <v>0.17135</v>
      </c>
      <c r="D731" s="2">
        <v>0.37722620000000001</v>
      </c>
      <c r="E731" s="2">
        <v>0.64273029999999998</v>
      </c>
      <c r="F731" s="2">
        <v>0.94559000000000004</v>
      </c>
      <c r="G731" s="2">
        <v>1.2660309999999999</v>
      </c>
      <c r="H731" s="2">
        <v>1.5884499999999999</v>
      </c>
      <c r="I731" s="2">
        <v>1.9015150000000001</v>
      </c>
      <c r="J731" s="2">
        <v>1.9015150000000001</v>
      </c>
      <c r="K731" s="2">
        <v>1.9015150000000001</v>
      </c>
      <c r="L731" s="2">
        <v>1.9015150000000001</v>
      </c>
      <c r="M731" s="2">
        <v>1.9015150000000001</v>
      </c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</row>
    <row r="732" spans="1:51" x14ac:dyDescent="0.2">
      <c r="A732" s="4">
        <v>1978</v>
      </c>
      <c r="B732" s="2">
        <v>2.9912850000000001E-2</v>
      </c>
      <c r="C732" s="2">
        <v>0.12951199999999999</v>
      </c>
      <c r="D732" s="2">
        <v>0.30633939999999998</v>
      </c>
      <c r="E732" s="2">
        <v>0.54787459999999999</v>
      </c>
      <c r="F732" s="2">
        <v>0.83484829999999999</v>
      </c>
      <c r="G732" s="2">
        <v>1.147831</v>
      </c>
      <c r="H732" s="2">
        <v>1.4701770000000001</v>
      </c>
      <c r="I732" s="2">
        <v>1.7889679999999999</v>
      </c>
      <c r="J732" s="2">
        <v>1.7889679999999999</v>
      </c>
      <c r="K732" s="2">
        <v>1.7889679999999999</v>
      </c>
      <c r="L732" s="2">
        <v>1.7889679999999999</v>
      </c>
      <c r="M732" s="2">
        <v>1.7889679999999999</v>
      </c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</row>
    <row r="733" spans="1:51" x14ac:dyDescent="0.2">
      <c r="A733" s="4">
        <v>1979</v>
      </c>
      <c r="B733" s="2">
        <v>3.7401860000000002E-2</v>
      </c>
      <c r="C733" s="2">
        <v>0.1473255</v>
      </c>
      <c r="D733" s="2">
        <v>0.32964389999999999</v>
      </c>
      <c r="E733" s="2">
        <v>0.56784809999999997</v>
      </c>
      <c r="F733" s="2">
        <v>0.84208340000000004</v>
      </c>
      <c r="G733" s="2">
        <v>1.1342369999999999</v>
      </c>
      <c r="H733" s="2">
        <v>1.4297470000000001</v>
      </c>
      <c r="I733" s="2">
        <v>1.7178789999999999</v>
      </c>
      <c r="J733" s="2">
        <v>1.7178789999999999</v>
      </c>
      <c r="K733" s="2">
        <v>1.7178789999999999</v>
      </c>
      <c r="L733" s="2">
        <v>1.7178789999999999</v>
      </c>
      <c r="M733" s="2">
        <v>1.7178789999999999</v>
      </c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</row>
    <row r="734" spans="1:51" x14ac:dyDescent="0.2">
      <c r="A734" s="4">
        <v>1980</v>
      </c>
      <c r="B734" s="2">
        <v>3.7744560000000003E-2</v>
      </c>
      <c r="C734" s="2">
        <v>0.1467195</v>
      </c>
      <c r="D734" s="2">
        <v>0.32574370000000002</v>
      </c>
      <c r="E734" s="2">
        <v>0.55818920000000005</v>
      </c>
      <c r="F734" s="2">
        <v>0.82461519999999999</v>
      </c>
      <c r="G734" s="2">
        <v>1.1075170000000001</v>
      </c>
      <c r="H734" s="2">
        <v>1.3929469999999999</v>
      </c>
      <c r="I734" s="2">
        <v>1.670696</v>
      </c>
      <c r="J734" s="2">
        <v>1.670696</v>
      </c>
      <c r="K734" s="2">
        <v>1.670696</v>
      </c>
      <c r="L734" s="2">
        <v>1.670696</v>
      </c>
      <c r="M734" s="2">
        <v>1.670696</v>
      </c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</row>
    <row r="735" spans="1:51" x14ac:dyDescent="0.2">
      <c r="A735" s="4">
        <v>1981</v>
      </c>
      <c r="B735" s="2">
        <v>3.3520040000000001E-2</v>
      </c>
      <c r="C735" s="2">
        <v>0.13604479999999999</v>
      </c>
      <c r="D735" s="2">
        <v>0.30980029999999997</v>
      </c>
      <c r="E735" s="2">
        <v>0.54003630000000002</v>
      </c>
      <c r="F735" s="2">
        <v>0.80775600000000003</v>
      </c>
      <c r="G735" s="2">
        <v>1.095094</v>
      </c>
      <c r="H735" s="2">
        <v>1.387399</v>
      </c>
      <c r="I735" s="2">
        <v>1.6736880000000001</v>
      </c>
      <c r="J735" s="2">
        <v>1.6736880000000001</v>
      </c>
      <c r="K735" s="2">
        <v>1.6736880000000001</v>
      </c>
      <c r="L735" s="2">
        <v>1.6736880000000001</v>
      </c>
      <c r="M735" s="2">
        <v>1.6736880000000001</v>
      </c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</row>
    <row r="736" spans="1:51" x14ac:dyDescent="0.2">
      <c r="A736" s="4">
        <v>1982</v>
      </c>
      <c r="B736" s="2">
        <v>4.4002489999999998E-2</v>
      </c>
      <c r="C736" s="2">
        <v>0.1596138</v>
      </c>
      <c r="D736" s="2">
        <v>0.34026010000000001</v>
      </c>
      <c r="E736" s="2">
        <v>0.56728279999999998</v>
      </c>
      <c r="F736" s="2">
        <v>0.82155279999999997</v>
      </c>
      <c r="G736" s="2">
        <v>1.086946</v>
      </c>
      <c r="H736" s="2">
        <v>1.3511979999999999</v>
      </c>
      <c r="I736" s="2">
        <v>1.6056790000000001</v>
      </c>
      <c r="J736" s="2">
        <v>1.6056790000000001</v>
      </c>
      <c r="K736" s="2">
        <v>1.6056790000000001</v>
      </c>
      <c r="L736" s="2">
        <v>1.6056790000000001</v>
      </c>
      <c r="M736" s="2">
        <v>1.6056790000000001</v>
      </c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</row>
    <row r="737" spans="1:51" x14ac:dyDescent="0.2">
      <c r="A737" s="4">
        <v>1983</v>
      </c>
      <c r="B737" s="2">
        <v>3.2350299999999999E-2</v>
      </c>
      <c r="C737" s="2">
        <v>0.1298356</v>
      </c>
      <c r="D737" s="2">
        <v>0.2937227</v>
      </c>
      <c r="E737" s="2">
        <v>0.50974149999999996</v>
      </c>
      <c r="F737" s="2">
        <v>0.75999340000000004</v>
      </c>
      <c r="G737" s="2">
        <v>1.027838</v>
      </c>
      <c r="H737" s="2">
        <v>1.2997320000000001</v>
      </c>
      <c r="I737" s="2">
        <v>1.5655809999999999</v>
      </c>
      <c r="J737" s="2">
        <v>1.5655809999999999</v>
      </c>
      <c r="K737" s="2">
        <v>1.5655809999999999</v>
      </c>
      <c r="L737" s="2">
        <v>1.5655809999999999</v>
      </c>
      <c r="M737" s="2">
        <v>1.5655809999999999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</row>
    <row r="738" spans="1:51" x14ac:dyDescent="0.2">
      <c r="A738" s="4">
        <v>1984</v>
      </c>
      <c r="B738" s="2">
        <v>3.1656030000000002E-2</v>
      </c>
      <c r="C738" s="2">
        <v>0.1292838</v>
      </c>
      <c r="D738" s="2">
        <v>0.29548550000000001</v>
      </c>
      <c r="E738" s="2">
        <v>0.51635989999999998</v>
      </c>
      <c r="F738" s="2">
        <v>0.77372870000000005</v>
      </c>
      <c r="G738" s="2">
        <v>1.0503849999999999</v>
      </c>
      <c r="H738" s="2">
        <v>1.33216</v>
      </c>
      <c r="I738" s="2">
        <v>1.6083940000000001</v>
      </c>
      <c r="J738" s="2">
        <v>1.6083940000000001</v>
      </c>
      <c r="K738" s="2">
        <v>1.6083940000000001</v>
      </c>
      <c r="L738" s="2">
        <v>1.6083940000000001</v>
      </c>
      <c r="M738" s="2">
        <v>1.6083940000000001</v>
      </c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</row>
    <row r="739" spans="1:51" x14ac:dyDescent="0.2">
      <c r="A739" s="4">
        <v>1985</v>
      </c>
      <c r="B739" s="2">
        <v>3.6144229999999999E-2</v>
      </c>
      <c r="C739" s="2">
        <v>0.13832700000000001</v>
      </c>
      <c r="D739" s="2">
        <v>0.30431330000000001</v>
      </c>
      <c r="E739" s="2">
        <v>0.51825399999999999</v>
      </c>
      <c r="F739" s="2">
        <v>0.76219859999999995</v>
      </c>
      <c r="G739" s="2">
        <v>1.0202279999999999</v>
      </c>
      <c r="H739" s="2">
        <v>1.2797909999999999</v>
      </c>
      <c r="I739" s="2">
        <v>1.5317780000000001</v>
      </c>
      <c r="J739" s="2">
        <v>1.5317780000000001</v>
      </c>
      <c r="K739" s="2">
        <v>1.5317780000000001</v>
      </c>
      <c r="L739" s="2">
        <v>1.5317780000000001</v>
      </c>
      <c r="M739" s="2">
        <v>1.5317780000000001</v>
      </c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</row>
    <row r="740" spans="1:51" x14ac:dyDescent="0.2">
      <c r="A740" s="4">
        <v>1986</v>
      </c>
      <c r="B740" s="2">
        <v>3.5620949999999998E-2</v>
      </c>
      <c r="C740" s="2">
        <v>0.13567650000000001</v>
      </c>
      <c r="D740" s="2">
        <v>0.29764819999999997</v>
      </c>
      <c r="E740" s="2">
        <v>0.50594609999999995</v>
      </c>
      <c r="F740" s="2">
        <v>0.74307909999999999</v>
      </c>
      <c r="G740" s="2">
        <v>0.99360740000000003</v>
      </c>
      <c r="H740" s="2">
        <v>1.245395</v>
      </c>
      <c r="I740" s="2">
        <v>1.4896590000000001</v>
      </c>
      <c r="J740" s="2">
        <v>1.4896590000000001</v>
      </c>
      <c r="K740" s="2">
        <v>1.4896590000000001</v>
      </c>
      <c r="L740" s="2">
        <v>1.4896590000000001</v>
      </c>
      <c r="M740" s="2">
        <v>1.4896590000000001</v>
      </c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</row>
    <row r="741" spans="1:51" x14ac:dyDescent="0.2">
      <c r="A741" s="4">
        <v>1987</v>
      </c>
      <c r="B741" s="2">
        <v>4.074171E-2</v>
      </c>
      <c r="C741" s="2">
        <v>0.14758869999999999</v>
      </c>
      <c r="D741" s="2">
        <v>0.31437890000000002</v>
      </c>
      <c r="E741" s="2">
        <v>0.5238564</v>
      </c>
      <c r="F741" s="2">
        <v>0.75837069999999995</v>
      </c>
      <c r="G741" s="2">
        <v>1.003063</v>
      </c>
      <c r="H741" s="2">
        <v>1.2466410000000001</v>
      </c>
      <c r="I741" s="2">
        <v>1.481166</v>
      </c>
      <c r="J741" s="2">
        <v>1.481166</v>
      </c>
      <c r="K741" s="2">
        <v>1.481166</v>
      </c>
      <c r="L741" s="2">
        <v>1.481166</v>
      </c>
      <c r="M741" s="2">
        <v>1.481166</v>
      </c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</row>
    <row r="742" spans="1:51" x14ac:dyDescent="0.2">
      <c r="A742" s="4">
        <v>1988</v>
      </c>
      <c r="B742" s="2">
        <v>3.904316E-2</v>
      </c>
      <c r="C742" s="2">
        <v>0.143841</v>
      </c>
      <c r="D742" s="2">
        <v>0.30944650000000001</v>
      </c>
      <c r="E742" s="2">
        <v>0.51909839999999996</v>
      </c>
      <c r="F742" s="2">
        <v>0.75513399999999997</v>
      </c>
      <c r="G742" s="2">
        <v>1.002448</v>
      </c>
      <c r="H742" s="2">
        <v>1.24943</v>
      </c>
      <c r="I742" s="2">
        <v>1.4878359999999999</v>
      </c>
      <c r="J742" s="2">
        <v>1.4878359999999999</v>
      </c>
      <c r="K742" s="2">
        <v>1.4878359999999999</v>
      </c>
      <c r="L742" s="2">
        <v>1.4878359999999999</v>
      </c>
      <c r="M742" s="2">
        <v>1.4878359999999999</v>
      </c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</row>
    <row r="743" spans="1:51" x14ac:dyDescent="0.2">
      <c r="A743" s="4">
        <v>1989</v>
      </c>
      <c r="B743" s="2">
        <v>4.1605780000000002E-2</v>
      </c>
      <c r="C743" s="2">
        <v>0.1383665</v>
      </c>
      <c r="D743" s="2">
        <v>0.28029470000000001</v>
      </c>
      <c r="E743" s="2">
        <v>0.45148339999999998</v>
      </c>
      <c r="F743" s="2">
        <v>0.63773100000000005</v>
      </c>
      <c r="G743" s="2">
        <v>0.82797330000000002</v>
      </c>
      <c r="H743" s="2">
        <v>1.014278</v>
      </c>
      <c r="I743" s="2">
        <v>1.1913689999999999</v>
      </c>
      <c r="J743" s="2">
        <v>1.1913689999999999</v>
      </c>
      <c r="K743" s="2">
        <v>1.1913689999999999</v>
      </c>
      <c r="L743" s="2">
        <v>1.1913689999999999</v>
      </c>
      <c r="M743" s="2">
        <v>1.1913689999999999</v>
      </c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</row>
    <row r="744" spans="1:51" x14ac:dyDescent="0.2">
      <c r="A744" s="4">
        <v>1990</v>
      </c>
      <c r="B744" s="2">
        <v>4.4185250000000002E-2</v>
      </c>
      <c r="C744" s="2">
        <v>0.15620629999999999</v>
      </c>
      <c r="D744" s="2">
        <v>0.3280016</v>
      </c>
      <c r="E744" s="2">
        <v>0.54129329999999998</v>
      </c>
      <c r="F744" s="2">
        <v>0.77813960000000004</v>
      </c>
      <c r="G744" s="2">
        <v>1.0237719999999999</v>
      </c>
      <c r="H744" s="2">
        <v>1.267147</v>
      </c>
      <c r="I744" s="2">
        <v>1.5006200000000001</v>
      </c>
      <c r="J744" s="2">
        <v>1.5006200000000001</v>
      </c>
      <c r="K744" s="2">
        <v>1.5006200000000001</v>
      </c>
      <c r="L744" s="2">
        <v>1.5006200000000001</v>
      </c>
      <c r="M744" s="2">
        <v>1.5006200000000001</v>
      </c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</row>
    <row r="745" spans="1:51" x14ac:dyDescent="0.2">
      <c r="A745" s="4">
        <v>1991</v>
      </c>
      <c r="B745" s="2">
        <v>4.0340519999999998E-2</v>
      </c>
      <c r="C745" s="2">
        <v>0.14933750000000001</v>
      </c>
      <c r="D745" s="2">
        <v>0.32218049999999998</v>
      </c>
      <c r="E745" s="2">
        <v>0.54149230000000004</v>
      </c>
      <c r="F745" s="2">
        <v>0.78880059999999996</v>
      </c>
      <c r="G745" s="2">
        <v>1.0482359999999999</v>
      </c>
      <c r="H745" s="2">
        <v>1.307561</v>
      </c>
      <c r="I745" s="2">
        <v>1.558063</v>
      </c>
      <c r="J745" s="2">
        <v>1.558063</v>
      </c>
      <c r="K745" s="2">
        <v>1.558063</v>
      </c>
      <c r="L745" s="2">
        <v>1.558063</v>
      </c>
      <c r="M745" s="2">
        <v>1.558063</v>
      </c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</row>
    <row r="746" spans="1:51" x14ac:dyDescent="0.2">
      <c r="A746" s="4">
        <v>1992</v>
      </c>
      <c r="B746" s="2">
        <v>4.1701780000000001E-2</v>
      </c>
      <c r="C746" s="2">
        <v>0.1514557</v>
      </c>
      <c r="D746" s="2">
        <v>0.323104</v>
      </c>
      <c r="E746" s="2">
        <v>0.5389448</v>
      </c>
      <c r="F746" s="2">
        <v>0.78079089999999995</v>
      </c>
      <c r="G746" s="2">
        <v>1.0332950000000001</v>
      </c>
      <c r="H746" s="2">
        <v>1.2847710000000001</v>
      </c>
      <c r="I746" s="2">
        <v>1.526996</v>
      </c>
      <c r="J746" s="2">
        <v>1.526996</v>
      </c>
      <c r="K746" s="2">
        <v>1.526996</v>
      </c>
      <c r="L746" s="2">
        <v>1.526996</v>
      </c>
      <c r="M746" s="2">
        <v>1.526996</v>
      </c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</row>
    <row r="747" spans="1:51" x14ac:dyDescent="0.2">
      <c r="A747" s="4">
        <v>1993</v>
      </c>
      <c r="B747" s="2">
        <v>3.3810449999999999E-2</v>
      </c>
      <c r="C747" s="2">
        <v>0.13191620000000001</v>
      </c>
      <c r="D747" s="2">
        <v>0.29351769999999999</v>
      </c>
      <c r="E747" s="2">
        <v>0.50370930000000003</v>
      </c>
      <c r="F747" s="2">
        <v>0.74492689999999995</v>
      </c>
      <c r="G747" s="2">
        <v>1.001298</v>
      </c>
      <c r="H747" s="2">
        <v>1.2601439999999999</v>
      </c>
      <c r="I747" s="2">
        <v>1.512165</v>
      </c>
      <c r="J747" s="2">
        <v>1.512165</v>
      </c>
      <c r="K747" s="2">
        <v>1.512165</v>
      </c>
      <c r="L747" s="2">
        <v>1.512165</v>
      </c>
      <c r="M747" s="2">
        <v>1.512165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</row>
    <row r="748" spans="1:51" x14ac:dyDescent="0.2">
      <c r="A748" s="4">
        <v>1994</v>
      </c>
      <c r="B748" s="2">
        <v>3.848356E-2</v>
      </c>
      <c r="C748" s="2">
        <v>0.1447618</v>
      </c>
      <c r="D748" s="2">
        <v>0.31525950000000003</v>
      </c>
      <c r="E748" s="2">
        <v>0.53323529999999997</v>
      </c>
      <c r="F748" s="2">
        <v>0.7803542</v>
      </c>
      <c r="G748" s="2">
        <v>1.040624</v>
      </c>
      <c r="H748" s="2">
        <v>1.301579</v>
      </c>
      <c r="I748" s="2">
        <v>1.554263</v>
      </c>
      <c r="J748" s="2">
        <v>1.554263</v>
      </c>
      <c r="K748" s="2">
        <v>1.554263</v>
      </c>
      <c r="L748" s="2">
        <v>1.554263</v>
      </c>
      <c r="M748" s="2">
        <v>1.554263</v>
      </c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</row>
    <row r="749" spans="1:51" x14ac:dyDescent="0.2">
      <c r="A749" s="4">
        <v>1995</v>
      </c>
      <c r="B749" s="2">
        <v>4.3679179999999998E-2</v>
      </c>
      <c r="C749" s="2">
        <v>0.15813189999999999</v>
      </c>
      <c r="D749" s="2">
        <v>0.33671440000000002</v>
      </c>
      <c r="E749" s="2">
        <v>0.56093669999999995</v>
      </c>
      <c r="F749" s="2">
        <v>0.81190620000000002</v>
      </c>
      <c r="G749" s="2">
        <v>1.073728</v>
      </c>
      <c r="H749" s="2">
        <v>1.334325</v>
      </c>
      <c r="I749" s="2">
        <v>1.585215</v>
      </c>
      <c r="J749" s="2">
        <v>1.585215</v>
      </c>
      <c r="K749" s="2">
        <v>1.585215</v>
      </c>
      <c r="L749" s="2">
        <v>1.585215</v>
      </c>
      <c r="M749" s="2">
        <v>1.585215</v>
      </c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</row>
    <row r="750" spans="1:51" x14ac:dyDescent="0.2">
      <c r="A750" s="4">
        <v>1996</v>
      </c>
      <c r="B750" s="2">
        <v>4.1691150000000003E-2</v>
      </c>
      <c r="C750" s="2">
        <v>0.15044640000000001</v>
      </c>
      <c r="D750" s="2">
        <v>0.31974059999999999</v>
      </c>
      <c r="E750" s="2">
        <v>0.53197570000000005</v>
      </c>
      <c r="F750" s="2">
        <v>0.76927129999999999</v>
      </c>
      <c r="G750" s="2">
        <v>1.0166280000000001</v>
      </c>
      <c r="H750" s="2">
        <v>1.262677</v>
      </c>
      <c r="I750" s="2">
        <v>1.4994430000000001</v>
      </c>
      <c r="J750" s="2">
        <v>1.4994430000000001</v>
      </c>
      <c r="K750" s="2">
        <v>1.4994430000000001</v>
      </c>
      <c r="L750" s="2">
        <v>1.4994430000000001</v>
      </c>
      <c r="M750" s="2">
        <v>1.4994430000000001</v>
      </c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</row>
    <row r="751" spans="1:51" x14ac:dyDescent="0.2">
      <c r="A751" s="4">
        <v>1997</v>
      </c>
      <c r="B751" s="2">
        <v>3.8679360000000003E-2</v>
      </c>
      <c r="C751" s="2">
        <v>0.14203299999999999</v>
      </c>
      <c r="D751" s="2">
        <v>0.30496760000000001</v>
      </c>
      <c r="E751" s="2">
        <v>0.51091839999999999</v>
      </c>
      <c r="F751" s="2">
        <v>0.74253259999999999</v>
      </c>
      <c r="G751" s="2">
        <v>0.98501620000000001</v>
      </c>
      <c r="H751" s="2">
        <v>1.2270209999999999</v>
      </c>
      <c r="I751" s="2">
        <v>1.4605090000000001</v>
      </c>
      <c r="J751" s="2">
        <v>1.4605090000000001</v>
      </c>
      <c r="K751" s="2">
        <v>1.4605090000000001</v>
      </c>
      <c r="L751" s="2">
        <v>1.4605090000000001</v>
      </c>
      <c r="M751" s="2">
        <v>1.4605090000000001</v>
      </c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</row>
    <row r="752" spans="1:51" x14ac:dyDescent="0.2">
      <c r="A752" s="4">
        <v>1998</v>
      </c>
      <c r="B752" s="2">
        <v>3.9995839999999998E-2</v>
      </c>
      <c r="C752" s="2">
        <v>0.1475967</v>
      </c>
      <c r="D752" s="2">
        <v>0.31783729999999999</v>
      </c>
      <c r="E752" s="2">
        <v>0.53352690000000003</v>
      </c>
      <c r="F752" s="2">
        <v>0.77649520000000005</v>
      </c>
      <c r="G752" s="2">
        <v>1.0311790000000001</v>
      </c>
      <c r="H752" s="2">
        <v>1.285601</v>
      </c>
      <c r="I752" s="2">
        <v>1.5312509999999999</v>
      </c>
      <c r="J752" s="2">
        <v>1.5312509999999999</v>
      </c>
      <c r="K752" s="2">
        <v>1.5312509999999999</v>
      </c>
      <c r="L752" s="2">
        <v>1.5312509999999999</v>
      </c>
      <c r="M752" s="2">
        <v>1.5312509999999999</v>
      </c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</row>
    <row r="753" spans="1:51" x14ac:dyDescent="0.2">
      <c r="A753" s="4">
        <v>1999</v>
      </c>
      <c r="B753" s="2">
        <v>3.8540039999999998E-2</v>
      </c>
      <c r="C753" s="2">
        <v>0.14705399999999999</v>
      </c>
      <c r="D753" s="2">
        <v>0.32294240000000002</v>
      </c>
      <c r="E753" s="2">
        <v>0.54932550000000002</v>
      </c>
      <c r="F753" s="2">
        <v>0.80719890000000005</v>
      </c>
      <c r="G753" s="2">
        <v>1.0797589999999999</v>
      </c>
      <c r="H753" s="2">
        <v>1.35378</v>
      </c>
      <c r="I753" s="2">
        <v>1.619685</v>
      </c>
      <c r="J753" s="2">
        <v>1.619685</v>
      </c>
      <c r="K753" s="2">
        <v>1.619685</v>
      </c>
      <c r="L753" s="2">
        <v>1.619685</v>
      </c>
      <c r="M753" s="2">
        <v>1.619685</v>
      </c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</row>
    <row r="754" spans="1:51" x14ac:dyDescent="0.2">
      <c r="A754" s="4">
        <v>2000</v>
      </c>
      <c r="B754" s="2">
        <v>3.616084E-2</v>
      </c>
      <c r="C754" s="2">
        <v>0.1469867</v>
      </c>
      <c r="D754" s="2">
        <v>0.33501690000000001</v>
      </c>
      <c r="E754" s="2">
        <v>0.58434660000000005</v>
      </c>
      <c r="F754" s="2">
        <v>0.87441590000000002</v>
      </c>
      <c r="G754" s="2">
        <v>1.185859</v>
      </c>
      <c r="H754" s="2">
        <v>1.5027779999999999</v>
      </c>
      <c r="I754" s="2">
        <v>1.8132459999999999</v>
      </c>
      <c r="J754" s="2">
        <v>1.8132459999999999</v>
      </c>
      <c r="K754" s="2">
        <v>1.8132459999999999</v>
      </c>
      <c r="L754" s="2">
        <v>1.8132459999999999</v>
      </c>
      <c r="M754" s="2">
        <v>1.8132459999999999</v>
      </c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</row>
    <row r="755" spans="1:51" x14ac:dyDescent="0.2">
      <c r="A755" s="4">
        <v>2001</v>
      </c>
      <c r="B755" s="2">
        <v>3.8463740000000003E-2</v>
      </c>
      <c r="C755" s="2">
        <v>0.1456693</v>
      </c>
      <c r="D755" s="2">
        <v>0.31849899999999998</v>
      </c>
      <c r="E755" s="2">
        <v>0.54016229999999998</v>
      </c>
      <c r="F755" s="2">
        <v>0.79202969999999995</v>
      </c>
      <c r="G755" s="2">
        <v>1.057747</v>
      </c>
      <c r="H755" s="2">
        <v>1.3245089999999999</v>
      </c>
      <c r="I755" s="2">
        <v>1.583078</v>
      </c>
      <c r="J755" s="2">
        <v>1.583078</v>
      </c>
      <c r="K755" s="2">
        <v>1.583078</v>
      </c>
      <c r="L755" s="2">
        <v>1.583078</v>
      </c>
      <c r="M755" s="2">
        <v>1.583078</v>
      </c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</row>
    <row r="756" spans="1:51" x14ac:dyDescent="0.2">
      <c r="A756" s="4">
        <v>2002</v>
      </c>
      <c r="B756" s="2">
        <v>3.8131680000000001E-2</v>
      </c>
      <c r="C756" s="2">
        <v>0.14463200000000001</v>
      </c>
      <c r="D756" s="2">
        <v>0.31651439999999997</v>
      </c>
      <c r="E756" s="2">
        <v>0.53712110000000002</v>
      </c>
      <c r="F756" s="2">
        <v>0.7879157</v>
      </c>
      <c r="G756" s="2">
        <v>1.0526009999999999</v>
      </c>
      <c r="H756" s="2">
        <v>1.318405</v>
      </c>
      <c r="I756" s="2">
        <v>1.5761039999999999</v>
      </c>
      <c r="J756" s="2">
        <v>1.5761039999999999</v>
      </c>
      <c r="K756" s="2">
        <v>1.5761039999999999</v>
      </c>
      <c r="L756" s="2">
        <v>1.5761039999999999</v>
      </c>
      <c r="M756" s="2">
        <v>1.5761039999999999</v>
      </c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</row>
    <row r="757" spans="1:51" x14ac:dyDescent="0.2">
      <c r="A757" s="4">
        <v>2003</v>
      </c>
      <c r="B757" s="2">
        <v>4.4609360000000001E-2</v>
      </c>
      <c r="C757" s="2">
        <v>0.15177950000000001</v>
      </c>
      <c r="D757" s="2">
        <v>0.31161539999999999</v>
      </c>
      <c r="E757" s="2">
        <v>0.50649719999999998</v>
      </c>
      <c r="F757" s="2">
        <v>0.72014679999999998</v>
      </c>
      <c r="G757" s="2">
        <v>0.93962129999999999</v>
      </c>
      <c r="H757" s="2">
        <v>1.1554930000000001</v>
      </c>
      <c r="I757" s="2">
        <v>1.3613930000000001</v>
      </c>
      <c r="J757" s="2">
        <v>1.3613930000000001</v>
      </c>
      <c r="K757" s="2">
        <v>1.3613930000000001</v>
      </c>
      <c r="L757" s="2">
        <v>1.3613930000000001</v>
      </c>
      <c r="M757" s="2">
        <v>1.3613930000000001</v>
      </c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</row>
    <row r="758" spans="1:51" x14ac:dyDescent="0.2">
      <c r="A758" s="4">
        <v>2004</v>
      </c>
      <c r="B758" s="2">
        <v>4.0004440000000002E-2</v>
      </c>
      <c r="C758" s="2">
        <v>0.14044580000000001</v>
      </c>
      <c r="D758" s="2">
        <v>0.2937053</v>
      </c>
      <c r="E758" s="2">
        <v>0.4833595</v>
      </c>
      <c r="F758" s="2">
        <v>0.6934688</v>
      </c>
      <c r="G758" s="2">
        <v>0.91099549999999996</v>
      </c>
      <c r="H758" s="2">
        <v>1.1262369999999999</v>
      </c>
      <c r="I758" s="2">
        <v>1.332506</v>
      </c>
      <c r="J758" s="2">
        <v>1.332506</v>
      </c>
      <c r="K758" s="2">
        <v>1.332506</v>
      </c>
      <c r="L758" s="2">
        <v>1.332506</v>
      </c>
      <c r="M758" s="2">
        <v>1.332506</v>
      </c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</row>
    <row r="759" spans="1:51" x14ac:dyDescent="0.2">
      <c r="A759" s="4">
        <v>2005</v>
      </c>
      <c r="B759" s="2">
        <v>3.7266760000000003E-2</v>
      </c>
      <c r="C759" s="2">
        <v>0.14559549999999999</v>
      </c>
      <c r="D759" s="2">
        <v>0.32420870000000002</v>
      </c>
      <c r="E759" s="2">
        <v>0.55667290000000003</v>
      </c>
      <c r="F759" s="2">
        <v>0.82356949999999995</v>
      </c>
      <c r="G759" s="2">
        <v>1.107326</v>
      </c>
      <c r="H759" s="2">
        <v>1.393896</v>
      </c>
      <c r="I759" s="2">
        <v>1.672965</v>
      </c>
      <c r="J759" s="2">
        <v>1.672965</v>
      </c>
      <c r="K759" s="2">
        <v>1.672965</v>
      </c>
      <c r="L759" s="2">
        <v>1.672965</v>
      </c>
      <c r="M759" s="2">
        <v>1.672965</v>
      </c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</row>
    <row r="760" spans="1:51" x14ac:dyDescent="0.2">
      <c r="A760" s="4">
        <v>2006</v>
      </c>
      <c r="B760" s="2">
        <v>3.4755050000000003E-2</v>
      </c>
      <c r="C760" s="2">
        <v>0.14507809999999999</v>
      </c>
      <c r="D760" s="2">
        <v>0.33587099999999998</v>
      </c>
      <c r="E760" s="2">
        <v>0.59204659999999998</v>
      </c>
      <c r="F760" s="2">
        <v>0.89273279999999999</v>
      </c>
      <c r="G760" s="2">
        <v>1.2177119999999999</v>
      </c>
      <c r="H760" s="2">
        <v>1.550087</v>
      </c>
      <c r="I760" s="2">
        <v>1.8769979999999999</v>
      </c>
      <c r="J760" s="2">
        <v>1.8769979999999999</v>
      </c>
      <c r="K760" s="2">
        <v>1.8769979999999999</v>
      </c>
      <c r="L760" s="2">
        <v>1.8769979999999999</v>
      </c>
      <c r="M760" s="2">
        <v>1.8769979999999999</v>
      </c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</row>
    <row r="761" spans="1:51" x14ac:dyDescent="0.2">
      <c r="A761" s="4">
        <v>2007</v>
      </c>
      <c r="B761" s="2">
        <v>3.3171730000000003E-2</v>
      </c>
      <c r="C761" s="2">
        <v>0.13931569999999999</v>
      </c>
      <c r="D761" s="2">
        <v>0.32368789999999997</v>
      </c>
      <c r="E761" s="2">
        <v>0.57195320000000005</v>
      </c>
      <c r="F761" s="2">
        <v>0.86394720000000003</v>
      </c>
      <c r="G761" s="2">
        <v>1.18001</v>
      </c>
      <c r="H761" s="2">
        <v>1.5036419999999999</v>
      </c>
      <c r="I761" s="2">
        <v>1.8222449999999999</v>
      </c>
      <c r="J761" s="2">
        <v>1.8222449999999999</v>
      </c>
      <c r="K761" s="2">
        <v>1.8222449999999999</v>
      </c>
      <c r="L761" s="2">
        <v>1.8222449999999999</v>
      </c>
      <c r="M761" s="2">
        <v>1.8222449999999999</v>
      </c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</row>
    <row r="762" spans="1:51" x14ac:dyDescent="0.2">
      <c r="A762" s="4">
        <v>2008</v>
      </c>
      <c r="B762" s="2">
        <v>3.5754380000000002E-2</v>
      </c>
      <c r="C762" s="2">
        <v>0.14505090000000001</v>
      </c>
      <c r="D762" s="2">
        <v>0.33022570000000001</v>
      </c>
      <c r="E762" s="2">
        <v>0.57554360000000004</v>
      </c>
      <c r="F762" s="2">
        <v>0.86075979999999996</v>
      </c>
      <c r="G762" s="2">
        <v>1.166844</v>
      </c>
      <c r="H762" s="2">
        <v>1.478194</v>
      </c>
      <c r="I762" s="2">
        <v>1.783115</v>
      </c>
      <c r="J762" s="2">
        <v>1.783115</v>
      </c>
      <c r="K762" s="2">
        <v>1.783115</v>
      </c>
      <c r="L762" s="2">
        <v>1.783115</v>
      </c>
      <c r="M762" s="2">
        <v>1.783115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</row>
    <row r="763" spans="1:51" x14ac:dyDescent="0.2">
      <c r="A763" s="4">
        <v>2009</v>
      </c>
      <c r="B763" s="2">
        <v>3.9690019999999999E-2</v>
      </c>
      <c r="C763" s="2">
        <v>0.1538561</v>
      </c>
      <c r="D763" s="2">
        <v>0.34103430000000001</v>
      </c>
      <c r="E763" s="2">
        <v>0.58375089999999996</v>
      </c>
      <c r="F763" s="2">
        <v>0.86169300000000004</v>
      </c>
      <c r="G763" s="2">
        <v>1.15662</v>
      </c>
      <c r="H763" s="2">
        <v>1.454027</v>
      </c>
      <c r="I763" s="2">
        <v>1.7433099999999999</v>
      </c>
      <c r="J763" s="2">
        <v>1.7433099999999999</v>
      </c>
      <c r="K763" s="2">
        <v>1.7433099999999999</v>
      </c>
      <c r="L763" s="2">
        <v>1.7433099999999999</v>
      </c>
      <c r="M763" s="2">
        <v>1.7433099999999999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</row>
    <row r="764" spans="1:51" x14ac:dyDescent="0.2">
      <c r="A764" s="4">
        <v>2010</v>
      </c>
      <c r="B764" s="2">
        <v>3.7627649999999999E-2</v>
      </c>
      <c r="C764" s="2">
        <v>0.14856130000000001</v>
      </c>
      <c r="D764" s="2">
        <v>0.33286520000000003</v>
      </c>
      <c r="E764" s="2">
        <v>0.5739282</v>
      </c>
      <c r="F764" s="2">
        <v>0.85167110000000001</v>
      </c>
      <c r="G764" s="2">
        <v>1.147732</v>
      </c>
      <c r="H764" s="2">
        <v>1.44733</v>
      </c>
      <c r="I764" s="2">
        <v>1.7395480000000001</v>
      </c>
      <c r="J764" s="2">
        <v>1.7395480000000001</v>
      </c>
      <c r="K764" s="2">
        <v>1.7395480000000001</v>
      </c>
      <c r="L764" s="2">
        <v>1.7395480000000001</v>
      </c>
      <c r="M764" s="2">
        <v>1.7395480000000001</v>
      </c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</row>
    <row r="765" spans="1:51" x14ac:dyDescent="0.2">
      <c r="A765" s="4">
        <v>2011</v>
      </c>
      <c r="B765" s="2">
        <v>3.6986720000000001E-2</v>
      </c>
      <c r="C765" s="2">
        <v>0.14998610000000001</v>
      </c>
      <c r="D765" s="2">
        <v>0.34137519999999999</v>
      </c>
      <c r="E765" s="2">
        <v>0.59487460000000003</v>
      </c>
      <c r="F765" s="2">
        <v>0.88956080000000004</v>
      </c>
      <c r="G765" s="2">
        <v>1.2057739999999999</v>
      </c>
      <c r="H765" s="2">
        <v>1.527401</v>
      </c>
      <c r="I765" s="2">
        <v>1.842368</v>
      </c>
      <c r="J765" s="2">
        <v>1.842368</v>
      </c>
      <c r="K765" s="2">
        <v>1.842368</v>
      </c>
      <c r="L765" s="2">
        <v>1.842368</v>
      </c>
      <c r="M765" s="2">
        <v>1.842368</v>
      </c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</row>
    <row r="766" spans="1:51" x14ac:dyDescent="0.2">
      <c r="A766" s="4">
        <v>2012</v>
      </c>
      <c r="B766" s="2">
        <v>3.750013E-2</v>
      </c>
      <c r="C766" s="2">
        <v>0.1524306</v>
      </c>
      <c r="D766" s="2">
        <v>0.34742489999999998</v>
      </c>
      <c r="E766" s="2">
        <v>0.60598909999999995</v>
      </c>
      <c r="F766" s="2">
        <v>0.90680170000000004</v>
      </c>
      <c r="G766" s="2">
        <v>1.2297800000000001</v>
      </c>
      <c r="H766" s="2">
        <v>1.5584370000000001</v>
      </c>
      <c r="I766" s="2">
        <v>1.880403</v>
      </c>
      <c r="J766" s="2">
        <v>1.880403</v>
      </c>
      <c r="K766" s="2">
        <v>1.880403</v>
      </c>
      <c r="L766" s="2">
        <v>1.880403</v>
      </c>
      <c r="M766" s="2">
        <v>1.880403</v>
      </c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</row>
    <row r="767" spans="1:51" x14ac:dyDescent="0.2">
      <c r="A767" s="4">
        <v>2013</v>
      </c>
      <c r="B767" s="2">
        <v>3.7671759999999999E-2</v>
      </c>
      <c r="C767" s="2">
        <v>0.14935319999999999</v>
      </c>
      <c r="D767" s="2">
        <v>0.33545520000000001</v>
      </c>
      <c r="E767" s="2">
        <v>0.57934569999999996</v>
      </c>
      <c r="F767" s="2">
        <v>0.86073489999999997</v>
      </c>
      <c r="G767" s="2">
        <v>1.160992</v>
      </c>
      <c r="H767" s="2">
        <v>1.465076</v>
      </c>
      <c r="I767" s="2">
        <v>1.7618549999999999</v>
      </c>
      <c r="J767" s="2">
        <v>1.7618549999999999</v>
      </c>
      <c r="K767" s="2">
        <v>1.7618549999999999</v>
      </c>
      <c r="L767" s="2">
        <v>1.7618549999999999</v>
      </c>
      <c r="M767" s="2">
        <v>1.7618549999999999</v>
      </c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</row>
    <row r="768" spans="1:51" x14ac:dyDescent="0.2">
      <c r="A768" s="4">
        <v>2014</v>
      </c>
      <c r="B768" s="2">
        <v>3.5735349999999999E-2</v>
      </c>
      <c r="C768" s="2">
        <v>0.14615259999999999</v>
      </c>
      <c r="D768" s="2">
        <v>0.33432050000000002</v>
      </c>
      <c r="E768" s="2">
        <v>0.58455520000000005</v>
      </c>
      <c r="F768" s="2">
        <v>0.87627440000000001</v>
      </c>
      <c r="G768" s="2">
        <v>1.189967</v>
      </c>
      <c r="H768" s="2">
        <v>1.5095499999999999</v>
      </c>
      <c r="I768" s="2">
        <v>1.822916</v>
      </c>
      <c r="J768" s="2">
        <v>1.822916</v>
      </c>
      <c r="K768" s="2">
        <v>1.822916</v>
      </c>
      <c r="L768" s="2">
        <v>1.822916</v>
      </c>
      <c r="M768" s="2">
        <v>1.822916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</row>
    <row r="769" spans="1:51" x14ac:dyDescent="0.2">
      <c r="A769" s="4">
        <v>2015</v>
      </c>
      <c r="B769" s="2">
        <v>3.763818E-2</v>
      </c>
      <c r="C769" s="2">
        <v>0.14959729999999999</v>
      </c>
      <c r="D769" s="2">
        <v>0.33650219999999997</v>
      </c>
      <c r="E769" s="2">
        <v>0.58173620000000004</v>
      </c>
      <c r="F769" s="2">
        <v>0.86491390000000001</v>
      </c>
      <c r="G769" s="2">
        <v>1.1672689999999999</v>
      </c>
      <c r="H769" s="2">
        <v>1.473625</v>
      </c>
      <c r="I769" s="2">
        <v>1.7727349999999999</v>
      </c>
      <c r="J769" s="2">
        <v>1.7727349999999999</v>
      </c>
      <c r="K769" s="2">
        <v>1.7727349999999999</v>
      </c>
      <c r="L769" s="2">
        <v>1.7727349999999999</v>
      </c>
      <c r="M769" s="2">
        <v>1.7727349999999999</v>
      </c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</row>
    <row r="770" spans="1:51" x14ac:dyDescent="0.2">
      <c r="A770" s="4">
        <v>2016</v>
      </c>
      <c r="B770" s="2">
        <v>3.8719419999999997E-2</v>
      </c>
      <c r="C770" s="2">
        <v>0.14978649999999999</v>
      </c>
      <c r="D770" s="2">
        <v>0.33161429999999997</v>
      </c>
      <c r="E770" s="2">
        <v>0.56716549999999999</v>
      </c>
      <c r="F770" s="2">
        <v>0.83671810000000002</v>
      </c>
      <c r="G770" s="2">
        <v>1.122598</v>
      </c>
      <c r="H770" s="2">
        <v>1.410768</v>
      </c>
      <c r="I770" s="2">
        <v>1.6909810000000001</v>
      </c>
      <c r="J770" s="2">
        <v>1.6909810000000001</v>
      </c>
      <c r="K770" s="2">
        <v>1.6909810000000001</v>
      </c>
      <c r="L770" s="2">
        <v>1.6909810000000001</v>
      </c>
      <c r="M770" s="2">
        <v>1.6909810000000001</v>
      </c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</row>
    <row r="771" spans="1:51" x14ac:dyDescent="0.2">
      <c r="A771" s="4">
        <v>2017</v>
      </c>
      <c r="B771" s="2">
        <v>3.0920030000000001E-2</v>
      </c>
      <c r="C771" s="2">
        <v>0.1428604</v>
      </c>
      <c r="D771" s="2">
        <v>0.35106100000000001</v>
      </c>
      <c r="E771" s="2">
        <v>0.64425180000000004</v>
      </c>
      <c r="F771" s="2">
        <v>1.0002139999999999</v>
      </c>
      <c r="G771" s="2">
        <v>1.3947430000000001</v>
      </c>
      <c r="H771" s="2">
        <v>1.806141</v>
      </c>
      <c r="I771" s="2">
        <v>2.21699</v>
      </c>
      <c r="J771" s="2">
        <v>2.21699</v>
      </c>
      <c r="K771" s="2">
        <v>2.21699</v>
      </c>
      <c r="L771" s="2">
        <v>2.21699</v>
      </c>
      <c r="M771" s="2">
        <v>2.21699</v>
      </c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</row>
    <row r="772" spans="1:51" x14ac:dyDescent="0.2">
      <c r="A772" s="4">
        <v>2018</v>
      </c>
      <c r="B772" s="2">
        <v>3.240117E-2</v>
      </c>
      <c r="C772" s="2">
        <v>0.14475950000000001</v>
      </c>
      <c r="D772" s="2">
        <v>0.34877809999999998</v>
      </c>
      <c r="E772" s="2">
        <v>0.63159129999999997</v>
      </c>
      <c r="F772" s="2">
        <v>0.97113850000000002</v>
      </c>
      <c r="G772" s="2">
        <v>1.344354</v>
      </c>
      <c r="H772" s="2">
        <v>1.7310430000000001</v>
      </c>
      <c r="I772" s="2">
        <v>2.1152739999999999</v>
      </c>
      <c r="J772" s="2">
        <v>2.1152739999999999</v>
      </c>
      <c r="K772" s="2">
        <v>2.1152739999999999</v>
      </c>
      <c r="L772" s="2">
        <v>2.1152739999999999</v>
      </c>
      <c r="M772" s="2">
        <v>2.1152739999999999</v>
      </c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</row>
    <row r="773" spans="1:51" x14ac:dyDescent="0.2">
      <c r="A773" s="4">
        <v>2019</v>
      </c>
      <c r="B773" s="2">
        <v>3.240117E-2</v>
      </c>
      <c r="C773" s="2">
        <v>0.14475950000000001</v>
      </c>
      <c r="D773" s="2">
        <v>0.34877809999999998</v>
      </c>
      <c r="E773" s="2">
        <v>0.63159129999999997</v>
      </c>
      <c r="F773" s="2">
        <v>0.97113850000000002</v>
      </c>
      <c r="G773" s="2">
        <v>1.344354</v>
      </c>
      <c r="H773" s="2">
        <v>1.7310430000000001</v>
      </c>
      <c r="I773" s="2">
        <v>2.1152739999999999</v>
      </c>
      <c r="J773" s="2">
        <v>2.1152739999999999</v>
      </c>
      <c r="K773" s="2">
        <v>2.1152739999999999</v>
      </c>
      <c r="L773" s="2">
        <v>2.1152739999999999</v>
      </c>
      <c r="M773" s="2">
        <v>2.1152739999999999</v>
      </c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</row>
    <row r="774" spans="1:51" x14ac:dyDescent="0.2">
      <c r="A774" s="4" t="s">
        <v>73</v>
      </c>
      <c r="B774" s="2">
        <v>3.240117E-2</v>
      </c>
      <c r="C774" s="2">
        <v>0.14475950000000001</v>
      </c>
      <c r="D774" s="2">
        <v>0.34877809999999998</v>
      </c>
      <c r="E774" s="2">
        <v>0.63159129999999997</v>
      </c>
      <c r="F774" s="2">
        <v>0.97113850000000002</v>
      </c>
      <c r="G774" s="2">
        <v>1.344354</v>
      </c>
      <c r="H774" s="2">
        <v>1.7310430000000001</v>
      </c>
      <c r="I774" s="2">
        <v>2.1152739999999999</v>
      </c>
      <c r="J774" s="2">
        <v>2.1152739999999999</v>
      </c>
      <c r="K774" s="2">
        <v>2.1152739999999999</v>
      </c>
      <c r="L774" s="2">
        <v>2.1152739999999999</v>
      </c>
      <c r="M774" s="2">
        <v>2.1152739999999999</v>
      </c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</row>
    <row r="775" spans="1:51" x14ac:dyDescent="0.2">
      <c r="A775" s="4">
        <v>1971</v>
      </c>
      <c r="B775" s="2">
        <v>3.240117E-2</v>
      </c>
      <c r="C775" s="2">
        <v>0.14475950000000001</v>
      </c>
      <c r="D775" s="2">
        <v>0.34877809999999998</v>
      </c>
      <c r="E775" s="2">
        <v>0.63159129999999997</v>
      </c>
      <c r="F775" s="2">
        <v>0.97113850000000002</v>
      </c>
      <c r="G775" s="2">
        <v>1.344354</v>
      </c>
      <c r="H775" s="2">
        <v>1.7310430000000001</v>
      </c>
      <c r="I775" s="2">
        <v>2.1152739999999999</v>
      </c>
      <c r="J775" s="2">
        <v>2.1152739999999999</v>
      </c>
      <c r="K775" s="2">
        <v>2.1152739999999999</v>
      </c>
      <c r="L775" s="2">
        <v>2.1152739999999999</v>
      </c>
      <c r="M775" s="2">
        <v>2.1152739999999999</v>
      </c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</row>
    <row r="776" spans="1:51" x14ac:dyDescent="0.2">
      <c r="A776" s="4">
        <v>1972</v>
      </c>
      <c r="B776" s="2">
        <v>3.240117E-2</v>
      </c>
      <c r="C776" s="2">
        <v>0.14475950000000001</v>
      </c>
      <c r="D776" s="2">
        <v>0.34877809999999998</v>
      </c>
      <c r="E776" s="2">
        <v>0.63159129999999997</v>
      </c>
      <c r="F776" s="2">
        <v>0.97113850000000002</v>
      </c>
      <c r="G776" s="2">
        <v>1.344354</v>
      </c>
      <c r="H776" s="2">
        <v>1.7310430000000001</v>
      </c>
      <c r="I776" s="2">
        <v>2.1152739999999999</v>
      </c>
      <c r="J776" s="2">
        <v>2.1152739999999999</v>
      </c>
      <c r="K776" s="2">
        <v>2.1152739999999999</v>
      </c>
      <c r="L776" s="2">
        <v>2.1152739999999999</v>
      </c>
      <c r="M776" s="2">
        <v>2.1152739999999999</v>
      </c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</row>
    <row r="777" spans="1:51" x14ac:dyDescent="0.2">
      <c r="A777" s="4">
        <v>1973</v>
      </c>
      <c r="B777" s="2">
        <v>3.240117E-2</v>
      </c>
      <c r="C777" s="2">
        <v>0.14475950000000001</v>
      </c>
      <c r="D777" s="2">
        <v>0.34877809999999998</v>
      </c>
      <c r="E777" s="2">
        <v>0.63159129999999997</v>
      </c>
      <c r="F777" s="2">
        <v>0.97113850000000002</v>
      </c>
      <c r="G777" s="2">
        <v>1.344354</v>
      </c>
      <c r="H777" s="2">
        <v>1.7310430000000001</v>
      </c>
      <c r="I777" s="2">
        <v>2.1152739999999999</v>
      </c>
      <c r="J777" s="2">
        <v>2.1152739999999999</v>
      </c>
      <c r="K777" s="2">
        <v>2.1152739999999999</v>
      </c>
      <c r="L777" s="2">
        <v>2.1152739999999999</v>
      </c>
      <c r="M777" s="2">
        <v>2.1152739999999999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</row>
    <row r="778" spans="1:51" x14ac:dyDescent="0.2">
      <c r="A778" s="4">
        <v>1974</v>
      </c>
      <c r="B778" s="2">
        <v>3.240117E-2</v>
      </c>
      <c r="C778" s="2">
        <v>0.14475950000000001</v>
      </c>
      <c r="D778" s="2">
        <v>0.34877809999999998</v>
      </c>
      <c r="E778" s="2">
        <v>0.63159129999999997</v>
      </c>
      <c r="F778" s="2">
        <v>0.97113850000000002</v>
      </c>
      <c r="G778" s="2">
        <v>1.344354</v>
      </c>
      <c r="H778" s="2">
        <v>1.7310430000000001</v>
      </c>
      <c r="I778" s="2">
        <v>2.1152739999999999</v>
      </c>
      <c r="J778" s="2">
        <v>2.1152739999999999</v>
      </c>
      <c r="K778" s="2">
        <v>2.1152739999999999</v>
      </c>
      <c r="L778" s="2">
        <v>2.1152739999999999</v>
      </c>
      <c r="M778" s="2">
        <v>2.1152739999999999</v>
      </c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</row>
    <row r="779" spans="1:51" x14ac:dyDescent="0.2">
      <c r="A779" s="4">
        <v>1975</v>
      </c>
      <c r="B779" s="2">
        <v>3.240117E-2</v>
      </c>
      <c r="C779" s="2">
        <v>0.14475950000000001</v>
      </c>
      <c r="D779" s="2">
        <v>0.34877809999999998</v>
      </c>
      <c r="E779" s="2">
        <v>0.63159129999999997</v>
      </c>
      <c r="F779" s="2">
        <v>0.97113850000000002</v>
      </c>
      <c r="G779" s="2">
        <v>1.344354</v>
      </c>
      <c r="H779" s="2">
        <v>1.7310430000000001</v>
      </c>
      <c r="I779" s="2">
        <v>2.1152739999999999</v>
      </c>
      <c r="J779" s="2">
        <v>2.1152739999999999</v>
      </c>
      <c r="K779" s="2">
        <v>2.1152739999999999</v>
      </c>
      <c r="L779" s="2">
        <v>2.1152739999999999</v>
      </c>
      <c r="M779" s="2">
        <v>2.1152739999999999</v>
      </c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</row>
    <row r="780" spans="1:51" x14ac:dyDescent="0.2">
      <c r="A780" s="4">
        <v>1976</v>
      </c>
      <c r="B780" s="2">
        <v>3.240117E-2</v>
      </c>
      <c r="C780" s="2">
        <v>0.14475950000000001</v>
      </c>
      <c r="D780" s="2">
        <v>0.34877809999999998</v>
      </c>
      <c r="E780" s="2">
        <v>0.63159129999999997</v>
      </c>
      <c r="F780" s="2">
        <v>0.97113850000000002</v>
      </c>
      <c r="G780" s="2">
        <v>1.344354</v>
      </c>
      <c r="H780" s="2">
        <v>1.7310430000000001</v>
      </c>
      <c r="I780" s="2">
        <v>2.1152739999999999</v>
      </c>
      <c r="J780" s="2">
        <v>2.1152739999999999</v>
      </c>
      <c r="K780" s="2">
        <v>2.1152739999999999</v>
      </c>
      <c r="L780" s="2">
        <v>2.1152739999999999</v>
      </c>
      <c r="M780" s="2">
        <v>2.1152739999999999</v>
      </c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</row>
    <row r="781" spans="1:51" x14ac:dyDescent="0.2">
      <c r="A781" s="4">
        <v>1977</v>
      </c>
      <c r="B781" s="2">
        <v>4.4999999999999998E-2</v>
      </c>
      <c r="C781" s="2">
        <v>0.17100000000000001</v>
      </c>
      <c r="D781" s="2">
        <v>0.377</v>
      </c>
      <c r="E781" s="2">
        <v>0.64200000000000002</v>
      </c>
      <c r="F781" s="2">
        <v>0.94499999999999995</v>
      </c>
      <c r="G781" s="2">
        <v>1.2649999999999999</v>
      </c>
      <c r="H781" s="2">
        <v>1.587</v>
      </c>
      <c r="I781" s="2">
        <v>1.9</v>
      </c>
      <c r="J781" s="2">
        <v>2.1960000000000002</v>
      </c>
      <c r="K781" s="2">
        <v>2.4700000000000002</v>
      </c>
      <c r="L781" s="2">
        <v>2.7210000000000001</v>
      </c>
      <c r="M781" s="2">
        <v>2.9460000000000002</v>
      </c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</row>
    <row r="782" spans="1:51" x14ac:dyDescent="0.2">
      <c r="A782" s="4">
        <v>1978</v>
      </c>
      <c r="B782" s="2">
        <v>4.4999999999999998E-2</v>
      </c>
      <c r="C782" s="2">
        <v>0.17100000000000001</v>
      </c>
      <c r="D782" s="2">
        <v>0.377</v>
      </c>
      <c r="E782" s="2">
        <v>0.64300000000000002</v>
      </c>
      <c r="F782" s="2">
        <v>0.94599999999999995</v>
      </c>
      <c r="G782" s="2">
        <v>1.266</v>
      </c>
      <c r="H782" s="2">
        <v>1.5880000000000001</v>
      </c>
      <c r="I782" s="2">
        <v>1.9019999999999999</v>
      </c>
      <c r="J782" s="2">
        <v>2.198</v>
      </c>
      <c r="K782" s="2">
        <v>2.472</v>
      </c>
      <c r="L782" s="2">
        <v>2.7229999999999999</v>
      </c>
      <c r="M782" s="2">
        <v>2.9489999999999998</v>
      </c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</row>
    <row r="783" spans="1:51" x14ac:dyDescent="0.2">
      <c r="A783" s="4">
        <v>1979</v>
      </c>
      <c r="B783" s="2">
        <v>0.03</v>
      </c>
      <c r="C783" s="2">
        <v>0.13</v>
      </c>
      <c r="D783" s="2">
        <v>0.30599999999999999</v>
      </c>
      <c r="E783" s="2">
        <v>0.54800000000000004</v>
      </c>
      <c r="F783" s="2">
        <v>0.83499999999999996</v>
      </c>
      <c r="G783" s="2">
        <v>1.1479999999999999</v>
      </c>
      <c r="H783" s="2">
        <v>1.47</v>
      </c>
      <c r="I783" s="2">
        <v>1.7889999999999999</v>
      </c>
      <c r="J783" s="2">
        <v>2.0950000000000002</v>
      </c>
      <c r="K783" s="2">
        <v>2.3820000000000001</v>
      </c>
      <c r="L783" s="2">
        <v>2.6469999999999998</v>
      </c>
      <c r="M783" s="2">
        <v>2.887</v>
      </c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</row>
    <row r="784" spans="1:51" x14ac:dyDescent="0.2">
      <c r="A784" s="4">
        <v>1980</v>
      </c>
      <c r="B784" s="2">
        <v>3.6999999999999998E-2</v>
      </c>
      <c r="C784" s="2">
        <v>0.14699999999999999</v>
      </c>
      <c r="D784" s="2">
        <v>0.33</v>
      </c>
      <c r="E784" s="2">
        <v>0.56799999999999995</v>
      </c>
      <c r="F784" s="2">
        <v>0.84199999999999997</v>
      </c>
      <c r="G784" s="2">
        <v>1.1339999999999999</v>
      </c>
      <c r="H784" s="2">
        <v>1.43</v>
      </c>
      <c r="I784" s="2">
        <v>1.718</v>
      </c>
      <c r="J784" s="2">
        <v>1.9910000000000001</v>
      </c>
      <c r="K784" s="2">
        <v>2.246</v>
      </c>
      <c r="L784" s="2">
        <v>2.4780000000000002</v>
      </c>
      <c r="M784" s="2">
        <v>2.6880000000000002</v>
      </c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</row>
    <row r="785" spans="1:51" x14ac:dyDescent="0.2">
      <c r="A785" s="4">
        <v>1981</v>
      </c>
      <c r="B785" s="2">
        <v>3.7999999999999999E-2</v>
      </c>
      <c r="C785" s="2">
        <v>0.14699999999999999</v>
      </c>
      <c r="D785" s="2">
        <v>0.32600000000000001</v>
      </c>
      <c r="E785" s="2">
        <v>0.55800000000000005</v>
      </c>
      <c r="F785" s="2">
        <v>0.82499999999999996</v>
      </c>
      <c r="G785" s="2">
        <v>1.1080000000000001</v>
      </c>
      <c r="H785" s="2">
        <v>1.393</v>
      </c>
      <c r="I785" s="2">
        <v>1.671</v>
      </c>
      <c r="J785" s="2">
        <v>1.9339999999999999</v>
      </c>
      <c r="K785" s="2">
        <v>2.1779999999999999</v>
      </c>
      <c r="L785" s="2">
        <v>2.4020000000000001</v>
      </c>
      <c r="M785" s="2">
        <v>2.6030000000000002</v>
      </c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</row>
    <row r="786" spans="1:51" x14ac:dyDescent="0.2">
      <c r="A786" s="4">
        <v>1982</v>
      </c>
      <c r="B786" s="2">
        <v>3.4000000000000002E-2</v>
      </c>
      <c r="C786" s="2">
        <v>0.13600000000000001</v>
      </c>
      <c r="D786" s="2">
        <v>0.31</v>
      </c>
      <c r="E786" s="2">
        <v>0.54</v>
      </c>
      <c r="F786" s="2">
        <v>0.80800000000000005</v>
      </c>
      <c r="G786" s="2">
        <v>1.095</v>
      </c>
      <c r="H786" s="2">
        <v>1.387</v>
      </c>
      <c r="I786" s="2">
        <v>1.6739999999999999</v>
      </c>
      <c r="J786" s="2">
        <v>1.946</v>
      </c>
      <c r="K786" s="2">
        <v>2.2010000000000001</v>
      </c>
      <c r="L786" s="2">
        <v>2.4340000000000002</v>
      </c>
      <c r="M786" s="2">
        <v>2.645</v>
      </c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</row>
    <row r="787" spans="1:51" x14ac:dyDescent="0.2">
      <c r="A787" s="4">
        <v>1983</v>
      </c>
      <c r="B787" s="2">
        <v>4.3999999999999997E-2</v>
      </c>
      <c r="C787" s="2">
        <v>0.16</v>
      </c>
      <c r="D787" s="2">
        <v>0.34</v>
      </c>
      <c r="E787" s="2">
        <v>0.56699999999999995</v>
      </c>
      <c r="F787" s="2">
        <v>0.82199999999999995</v>
      </c>
      <c r="G787" s="2">
        <v>1.087</v>
      </c>
      <c r="H787" s="2">
        <v>1.351</v>
      </c>
      <c r="I787" s="2">
        <v>1.6060000000000001</v>
      </c>
      <c r="J787" s="2">
        <v>1.845</v>
      </c>
      <c r="K787" s="2">
        <v>2.0649999999999999</v>
      </c>
      <c r="L787" s="2">
        <v>2.266</v>
      </c>
      <c r="M787" s="2">
        <v>2.4460000000000002</v>
      </c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</row>
    <row r="788" spans="1:51" x14ac:dyDescent="0.2">
      <c r="A788" s="4">
        <v>1984</v>
      </c>
      <c r="B788" s="2">
        <v>3.2000000000000001E-2</v>
      </c>
      <c r="C788" s="2">
        <v>0.13</v>
      </c>
      <c r="D788" s="2">
        <v>0.29399999999999998</v>
      </c>
      <c r="E788" s="2">
        <v>0.51</v>
      </c>
      <c r="F788" s="2">
        <v>0.76</v>
      </c>
      <c r="G788" s="2">
        <v>1.028</v>
      </c>
      <c r="H788" s="2">
        <v>1.3</v>
      </c>
      <c r="I788" s="2">
        <v>1.5660000000000001</v>
      </c>
      <c r="J788" s="2">
        <v>1.8180000000000001</v>
      </c>
      <c r="K788" s="2">
        <v>2.0539999999999998</v>
      </c>
      <c r="L788" s="2">
        <v>2.27</v>
      </c>
      <c r="M788" s="2">
        <v>2.4649999999999999</v>
      </c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</row>
    <row r="789" spans="1:51" x14ac:dyDescent="0.2">
      <c r="A789" s="4">
        <v>1985</v>
      </c>
      <c r="B789" s="2">
        <v>3.2000000000000001E-2</v>
      </c>
      <c r="C789" s="2">
        <v>0.129</v>
      </c>
      <c r="D789" s="2">
        <v>0.29499999999999998</v>
      </c>
      <c r="E789" s="2">
        <v>0.51600000000000001</v>
      </c>
      <c r="F789" s="2">
        <v>0.77400000000000002</v>
      </c>
      <c r="G789" s="2">
        <v>1.05</v>
      </c>
      <c r="H789" s="2">
        <v>1.3320000000000001</v>
      </c>
      <c r="I789" s="2">
        <v>1.6080000000000001</v>
      </c>
      <c r="J789" s="2">
        <v>1.8720000000000001</v>
      </c>
      <c r="K789" s="2">
        <v>2.117</v>
      </c>
      <c r="L789" s="2">
        <v>2.343</v>
      </c>
      <c r="M789" s="2">
        <v>2.5470000000000002</v>
      </c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</row>
    <row r="790" spans="1:51" x14ac:dyDescent="0.2">
      <c r="A790" s="4">
        <v>1986</v>
      </c>
      <c r="B790" s="2">
        <v>3.5999999999999997E-2</v>
      </c>
      <c r="C790" s="2">
        <v>0.13800000000000001</v>
      </c>
      <c r="D790" s="2">
        <v>0.30399999999999999</v>
      </c>
      <c r="E790" s="2">
        <v>0.51800000000000002</v>
      </c>
      <c r="F790" s="2">
        <v>0.76200000000000001</v>
      </c>
      <c r="G790" s="2">
        <v>1.02</v>
      </c>
      <c r="H790" s="2">
        <v>1.28</v>
      </c>
      <c r="I790" s="2">
        <v>1.532</v>
      </c>
      <c r="J790" s="2">
        <v>1.77</v>
      </c>
      <c r="K790" s="2">
        <v>1.9910000000000001</v>
      </c>
      <c r="L790" s="2">
        <v>2.1930000000000001</v>
      </c>
      <c r="M790" s="2">
        <v>2.375</v>
      </c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</row>
    <row r="791" spans="1:51" x14ac:dyDescent="0.2">
      <c r="A791" s="4">
        <v>1987</v>
      </c>
      <c r="B791" s="2">
        <v>3.5999999999999997E-2</v>
      </c>
      <c r="C791" s="2">
        <v>0.13600000000000001</v>
      </c>
      <c r="D791" s="2">
        <v>0.29799999999999999</v>
      </c>
      <c r="E791" s="2">
        <v>0.50600000000000001</v>
      </c>
      <c r="F791" s="2">
        <v>0.74299999999999999</v>
      </c>
      <c r="G791" s="2">
        <v>0.99399999999999999</v>
      </c>
      <c r="H791" s="2">
        <v>1.2450000000000001</v>
      </c>
      <c r="I791" s="2">
        <v>1.49</v>
      </c>
      <c r="J791" s="2">
        <v>1.7210000000000001</v>
      </c>
      <c r="K791" s="2">
        <v>1.9339999999999999</v>
      </c>
      <c r="L791" s="2">
        <v>2.13</v>
      </c>
      <c r="M791" s="2">
        <v>2.306</v>
      </c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</row>
    <row r="792" spans="1:51" x14ac:dyDescent="0.2">
      <c r="A792" s="4">
        <v>1988</v>
      </c>
      <c r="B792" s="2">
        <v>4.1000000000000002E-2</v>
      </c>
      <c r="C792" s="2">
        <v>0.14799999999999999</v>
      </c>
      <c r="D792" s="2">
        <v>0.314</v>
      </c>
      <c r="E792" s="2">
        <v>0.52400000000000002</v>
      </c>
      <c r="F792" s="2">
        <v>0.75800000000000001</v>
      </c>
      <c r="G792" s="2">
        <v>1.0029999999999999</v>
      </c>
      <c r="H792" s="2">
        <v>1.2470000000000001</v>
      </c>
      <c r="I792" s="2">
        <v>1.4810000000000001</v>
      </c>
      <c r="J792" s="2">
        <v>1.702</v>
      </c>
      <c r="K792" s="2">
        <v>1.905</v>
      </c>
      <c r="L792" s="2">
        <v>2.089</v>
      </c>
      <c r="M792" s="2">
        <v>2.2549999999999999</v>
      </c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</row>
    <row r="793" spans="1:51" x14ac:dyDescent="0.2">
      <c r="A793" s="4">
        <v>1989</v>
      </c>
      <c r="B793" s="2">
        <v>3.9E-2</v>
      </c>
      <c r="C793" s="2">
        <v>0.14399999999999999</v>
      </c>
      <c r="D793" s="2">
        <v>0.309</v>
      </c>
      <c r="E793" s="2">
        <v>0.51900000000000002</v>
      </c>
      <c r="F793" s="2">
        <v>0.755</v>
      </c>
      <c r="G793" s="2">
        <v>1.002</v>
      </c>
      <c r="H793" s="2">
        <v>1.2490000000000001</v>
      </c>
      <c r="I793" s="2">
        <v>1.488</v>
      </c>
      <c r="J793" s="2">
        <v>1.712</v>
      </c>
      <c r="K793" s="2">
        <v>1.92</v>
      </c>
      <c r="L793" s="2">
        <v>2.1080000000000001</v>
      </c>
      <c r="M793" s="2">
        <v>2.278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</row>
    <row r="794" spans="1:51" x14ac:dyDescent="0.2">
      <c r="A794" s="4">
        <v>1990</v>
      </c>
      <c r="B794" s="2">
        <v>4.2000000000000003E-2</v>
      </c>
      <c r="C794" s="2">
        <v>0.13800000000000001</v>
      </c>
      <c r="D794" s="2">
        <v>0.28000000000000003</v>
      </c>
      <c r="E794" s="2">
        <v>0.45100000000000001</v>
      </c>
      <c r="F794" s="2">
        <v>0.63800000000000001</v>
      </c>
      <c r="G794" s="2">
        <v>0.82799999999999996</v>
      </c>
      <c r="H794" s="2">
        <v>1.014</v>
      </c>
      <c r="I794" s="2">
        <v>1.1910000000000001</v>
      </c>
      <c r="J794" s="2">
        <v>1.3560000000000001</v>
      </c>
      <c r="K794" s="2">
        <v>1.5069999999999999</v>
      </c>
      <c r="L794" s="2">
        <v>1.643</v>
      </c>
      <c r="M794" s="2">
        <v>1.764</v>
      </c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</row>
    <row r="795" spans="1:51" x14ac:dyDescent="0.2">
      <c r="A795" s="4">
        <v>1991</v>
      </c>
      <c r="B795" s="2">
        <v>4.3999999999999997E-2</v>
      </c>
      <c r="C795" s="2">
        <v>0.156</v>
      </c>
      <c r="D795" s="2">
        <v>0.32800000000000001</v>
      </c>
      <c r="E795" s="2">
        <v>0.54100000000000004</v>
      </c>
      <c r="F795" s="2">
        <v>0.77800000000000002</v>
      </c>
      <c r="G795" s="2">
        <v>1.024</v>
      </c>
      <c r="H795" s="2">
        <v>1.2669999999999999</v>
      </c>
      <c r="I795" s="2">
        <v>1.5009999999999999</v>
      </c>
      <c r="J795" s="2">
        <v>1.7190000000000001</v>
      </c>
      <c r="K795" s="2">
        <v>1.921</v>
      </c>
      <c r="L795" s="2">
        <v>2.1030000000000002</v>
      </c>
      <c r="M795" s="2">
        <v>2.2669999999999999</v>
      </c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</row>
    <row r="796" spans="1:51" x14ac:dyDescent="0.2">
      <c r="A796" s="4">
        <v>1992</v>
      </c>
      <c r="B796" s="2">
        <v>0.04</v>
      </c>
      <c r="C796" s="2">
        <v>0.14899999999999999</v>
      </c>
      <c r="D796" s="2">
        <v>0.32200000000000001</v>
      </c>
      <c r="E796" s="2">
        <v>0.54100000000000004</v>
      </c>
      <c r="F796" s="2">
        <v>0.78900000000000003</v>
      </c>
      <c r="G796" s="2">
        <v>1.048</v>
      </c>
      <c r="H796" s="2">
        <v>1.3080000000000001</v>
      </c>
      <c r="I796" s="2">
        <v>1.5580000000000001</v>
      </c>
      <c r="J796" s="2">
        <v>1.794</v>
      </c>
      <c r="K796" s="2">
        <v>2.012</v>
      </c>
      <c r="L796" s="2">
        <v>2.2109999999999999</v>
      </c>
      <c r="M796" s="2">
        <v>2.3889999999999998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</row>
    <row r="797" spans="1:51" x14ac:dyDescent="0.2">
      <c r="A797" s="4">
        <v>1993</v>
      </c>
      <c r="B797" s="2">
        <v>4.2000000000000003E-2</v>
      </c>
      <c r="C797" s="2">
        <v>0.151</v>
      </c>
      <c r="D797" s="2">
        <v>0.32300000000000001</v>
      </c>
      <c r="E797" s="2">
        <v>0.53900000000000003</v>
      </c>
      <c r="F797" s="2">
        <v>0.78100000000000003</v>
      </c>
      <c r="G797" s="2">
        <v>1.0329999999999999</v>
      </c>
      <c r="H797" s="2">
        <v>1.2849999999999999</v>
      </c>
      <c r="I797" s="2">
        <v>1.5269999999999999</v>
      </c>
      <c r="J797" s="2">
        <v>1.7549999999999999</v>
      </c>
      <c r="K797" s="2">
        <v>1.9650000000000001</v>
      </c>
      <c r="L797" s="2">
        <v>2.1560000000000001</v>
      </c>
      <c r="M797" s="2">
        <v>2.327</v>
      </c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</row>
    <row r="798" spans="1:51" x14ac:dyDescent="0.2">
      <c r="A798" s="4">
        <v>1994</v>
      </c>
      <c r="B798" s="2">
        <v>3.4000000000000002E-2</v>
      </c>
      <c r="C798" s="2">
        <v>0.13200000000000001</v>
      </c>
      <c r="D798" s="2">
        <v>0.29399999999999998</v>
      </c>
      <c r="E798" s="2">
        <v>0.504</v>
      </c>
      <c r="F798" s="2">
        <v>0.745</v>
      </c>
      <c r="G798" s="2">
        <v>1.0009999999999999</v>
      </c>
      <c r="H798" s="2">
        <v>1.26</v>
      </c>
      <c r="I798" s="2">
        <v>1.512</v>
      </c>
      <c r="J798" s="2">
        <v>1.7509999999999999</v>
      </c>
      <c r="K798" s="2">
        <v>1.9730000000000001</v>
      </c>
      <c r="L798" s="2">
        <v>2.1760000000000002</v>
      </c>
      <c r="M798" s="2">
        <v>2.359</v>
      </c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</row>
    <row r="799" spans="1:51" x14ac:dyDescent="0.2">
      <c r="A799" s="4">
        <v>1995</v>
      </c>
      <c r="B799" s="2">
        <v>3.7999999999999999E-2</v>
      </c>
      <c r="C799" s="2">
        <v>0.14499999999999999</v>
      </c>
      <c r="D799" s="2">
        <v>0.315</v>
      </c>
      <c r="E799" s="2">
        <v>0.53300000000000003</v>
      </c>
      <c r="F799" s="2">
        <v>0.78</v>
      </c>
      <c r="G799" s="2">
        <v>1.0409999999999999</v>
      </c>
      <c r="H799" s="2">
        <v>1.302</v>
      </c>
      <c r="I799" s="2">
        <v>1.554</v>
      </c>
      <c r="J799" s="2">
        <v>1.7929999999999999</v>
      </c>
      <c r="K799" s="2">
        <v>2.0129999999999999</v>
      </c>
      <c r="L799" s="2">
        <v>2.2149999999999999</v>
      </c>
      <c r="M799" s="2">
        <v>2.3959999999999999</v>
      </c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</row>
    <row r="800" spans="1:51" x14ac:dyDescent="0.2">
      <c r="A800" s="4">
        <v>1996</v>
      </c>
      <c r="B800" s="2">
        <v>4.3999999999999997E-2</v>
      </c>
      <c r="C800" s="2">
        <v>0.158</v>
      </c>
      <c r="D800" s="2">
        <v>0.33700000000000002</v>
      </c>
      <c r="E800" s="2">
        <v>0.56100000000000005</v>
      </c>
      <c r="F800" s="2">
        <v>0.81200000000000006</v>
      </c>
      <c r="G800" s="2">
        <v>1.0740000000000001</v>
      </c>
      <c r="H800" s="2">
        <v>1.3340000000000001</v>
      </c>
      <c r="I800" s="2">
        <v>1.585</v>
      </c>
      <c r="J800" s="2">
        <v>1.821</v>
      </c>
      <c r="K800" s="2">
        <v>2.0379999999999998</v>
      </c>
      <c r="L800" s="2">
        <v>2.2360000000000002</v>
      </c>
      <c r="M800" s="2">
        <v>2.4129999999999998</v>
      </c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</row>
    <row r="801" spans="1:51" x14ac:dyDescent="0.2">
      <c r="A801" s="4">
        <v>1997</v>
      </c>
      <c r="B801" s="2">
        <v>4.2000000000000003E-2</v>
      </c>
      <c r="C801" s="2">
        <v>0.15</v>
      </c>
      <c r="D801" s="2">
        <v>0.32</v>
      </c>
      <c r="E801" s="2">
        <v>0.53200000000000003</v>
      </c>
      <c r="F801" s="2">
        <v>0.76900000000000002</v>
      </c>
      <c r="G801" s="2">
        <v>1.0169999999999999</v>
      </c>
      <c r="H801" s="2">
        <v>1.2629999999999999</v>
      </c>
      <c r="I801" s="2">
        <v>1.4990000000000001</v>
      </c>
      <c r="J801" s="2">
        <v>1.722</v>
      </c>
      <c r="K801" s="2">
        <v>1.927</v>
      </c>
      <c r="L801" s="2">
        <v>2.113</v>
      </c>
      <c r="M801" s="2">
        <v>2.2799999999999998</v>
      </c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</row>
    <row r="802" spans="1:51" x14ac:dyDescent="0.2">
      <c r="A802" s="4">
        <v>1998</v>
      </c>
      <c r="B802" s="2">
        <v>3.9E-2</v>
      </c>
      <c r="C802" s="2">
        <v>0.14199999999999999</v>
      </c>
      <c r="D802" s="2">
        <v>0.30499999999999999</v>
      </c>
      <c r="E802" s="2">
        <v>0.51100000000000001</v>
      </c>
      <c r="F802" s="2">
        <v>0.74299999999999999</v>
      </c>
      <c r="G802" s="2">
        <v>0.98499999999999999</v>
      </c>
      <c r="H802" s="2">
        <v>1.2270000000000001</v>
      </c>
      <c r="I802" s="2">
        <v>1.4610000000000001</v>
      </c>
      <c r="J802" s="2">
        <v>1.68</v>
      </c>
      <c r="K802" s="2">
        <v>1.883</v>
      </c>
      <c r="L802" s="2">
        <v>2.0680000000000001</v>
      </c>
      <c r="M802" s="2">
        <v>2.234</v>
      </c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</row>
    <row r="803" spans="1:51" x14ac:dyDescent="0.2">
      <c r="A803" s="4">
        <v>1999</v>
      </c>
      <c r="B803" s="2">
        <v>0.04</v>
      </c>
      <c r="C803" s="2">
        <v>0.14799999999999999</v>
      </c>
      <c r="D803" s="2">
        <v>0.318</v>
      </c>
      <c r="E803" s="2">
        <v>0.53400000000000003</v>
      </c>
      <c r="F803" s="2">
        <v>0.77600000000000002</v>
      </c>
      <c r="G803" s="2">
        <v>1.0309999999999999</v>
      </c>
      <c r="H803" s="2">
        <v>1.286</v>
      </c>
      <c r="I803" s="2">
        <v>1.5309999999999999</v>
      </c>
      <c r="J803" s="2">
        <v>1.7629999999999999</v>
      </c>
      <c r="K803" s="2">
        <v>1.976</v>
      </c>
      <c r="L803" s="2">
        <v>2.1709999999999998</v>
      </c>
      <c r="M803" s="2">
        <v>2.3460000000000001</v>
      </c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</row>
    <row r="804" spans="1:51" x14ac:dyDescent="0.2">
      <c r="A804" s="4">
        <v>2000</v>
      </c>
      <c r="B804" s="2">
        <v>3.9E-2</v>
      </c>
      <c r="C804" s="2">
        <v>0.14699999999999999</v>
      </c>
      <c r="D804" s="2">
        <v>0.32300000000000001</v>
      </c>
      <c r="E804" s="2">
        <v>0.54900000000000004</v>
      </c>
      <c r="F804" s="2">
        <v>0.80700000000000005</v>
      </c>
      <c r="G804" s="2">
        <v>1.08</v>
      </c>
      <c r="H804" s="2">
        <v>1.3540000000000001</v>
      </c>
      <c r="I804" s="2">
        <v>1.62</v>
      </c>
      <c r="J804" s="2">
        <v>1.871</v>
      </c>
      <c r="K804" s="2">
        <v>2.1040000000000001</v>
      </c>
      <c r="L804" s="2">
        <v>2.3170000000000002</v>
      </c>
      <c r="M804" s="2">
        <v>2.508</v>
      </c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</row>
    <row r="805" spans="1:51" x14ac:dyDescent="0.2">
      <c r="A805" s="4">
        <v>2001</v>
      </c>
      <c r="B805" s="2">
        <v>3.5999999999999997E-2</v>
      </c>
      <c r="C805" s="2">
        <v>0.14699999999999999</v>
      </c>
      <c r="D805" s="2">
        <v>0.33500000000000002</v>
      </c>
      <c r="E805" s="2">
        <v>0.58399999999999996</v>
      </c>
      <c r="F805" s="2">
        <v>0.874</v>
      </c>
      <c r="G805" s="2">
        <v>1.1859999999999999</v>
      </c>
      <c r="H805" s="2">
        <v>1.5029999999999999</v>
      </c>
      <c r="I805" s="2">
        <v>1.8129999999999999</v>
      </c>
      <c r="J805" s="2">
        <v>2.109</v>
      </c>
      <c r="K805" s="2">
        <v>2.3849999999999998</v>
      </c>
      <c r="L805" s="2">
        <v>2.6379999999999999</v>
      </c>
      <c r="M805" s="2">
        <v>2.867</v>
      </c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</row>
    <row r="806" spans="1:51" x14ac:dyDescent="0.2">
      <c r="A806" s="4">
        <v>2002</v>
      </c>
      <c r="B806" s="2">
        <v>3.7999999999999999E-2</v>
      </c>
      <c r="C806" s="2">
        <v>0.14599999999999999</v>
      </c>
      <c r="D806" s="2">
        <v>0.318</v>
      </c>
      <c r="E806" s="2">
        <v>0.54</v>
      </c>
      <c r="F806" s="2">
        <v>0.79200000000000004</v>
      </c>
      <c r="G806" s="2">
        <v>1.0580000000000001</v>
      </c>
      <c r="H806" s="2">
        <v>1.325</v>
      </c>
      <c r="I806" s="2">
        <v>1.583</v>
      </c>
      <c r="J806" s="2">
        <v>1.827</v>
      </c>
      <c r="K806" s="2">
        <v>2.0529999999999999</v>
      </c>
      <c r="L806" s="2">
        <v>2.2599999999999998</v>
      </c>
      <c r="M806" s="2">
        <v>2.4460000000000002</v>
      </c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</row>
    <row r="807" spans="1:51" x14ac:dyDescent="0.2">
      <c r="A807" s="4">
        <v>2003</v>
      </c>
      <c r="B807" s="2">
        <v>3.7999999999999999E-2</v>
      </c>
      <c r="C807" s="2">
        <v>0.14499999999999999</v>
      </c>
      <c r="D807" s="2">
        <v>0.317</v>
      </c>
      <c r="E807" s="2">
        <v>0.53700000000000003</v>
      </c>
      <c r="F807" s="2">
        <v>0.78800000000000003</v>
      </c>
      <c r="G807" s="2">
        <v>1.0529999999999999</v>
      </c>
      <c r="H807" s="2">
        <v>1.3180000000000001</v>
      </c>
      <c r="I807" s="2">
        <v>1.5760000000000001</v>
      </c>
      <c r="J807" s="2">
        <v>1.82</v>
      </c>
      <c r="K807" s="2">
        <v>2.0449999999999999</v>
      </c>
      <c r="L807" s="2">
        <v>2.2509999999999999</v>
      </c>
      <c r="M807" s="2">
        <v>2.4359999999999999</v>
      </c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</row>
    <row r="808" spans="1:51" x14ac:dyDescent="0.2">
      <c r="A808" s="4">
        <v>2004</v>
      </c>
      <c r="B808" s="2">
        <v>4.4999999999999998E-2</v>
      </c>
      <c r="C808" s="2">
        <v>0.152</v>
      </c>
      <c r="D808" s="2">
        <v>0.312</v>
      </c>
      <c r="E808" s="2">
        <v>0.50600000000000001</v>
      </c>
      <c r="F808" s="2">
        <v>0.72</v>
      </c>
      <c r="G808" s="2">
        <v>0.94</v>
      </c>
      <c r="H808" s="2">
        <v>1.155</v>
      </c>
      <c r="I808" s="2">
        <v>1.361</v>
      </c>
      <c r="J808" s="2">
        <v>1.5529999999999999</v>
      </c>
      <c r="K808" s="2">
        <v>1.7290000000000001</v>
      </c>
      <c r="L808" s="2">
        <v>1.889</v>
      </c>
      <c r="M808" s="2">
        <v>2.0310000000000001</v>
      </c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</row>
    <row r="809" spans="1:51" x14ac:dyDescent="0.2">
      <c r="A809" s="4">
        <v>2005</v>
      </c>
      <c r="B809" s="2">
        <v>0.04</v>
      </c>
      <c r="C809" s="2">
        <v>0.14000000000000001</v>
      </c>
      <c r="D809" s="2">
        <v>0.29399999999999998</v>
      </c>
      <c r="E809" s="2">
        <v>0.48299999999999998</v>
      </c>
      <c r="F809" s="2">
        <v>0.69299999999999995</v>
      </c>
      <c r="G809" s="2">
        <v>0.91100000000000003</v>
      </c>
      <c r="H809" s="2">
        <v>1.1259999999999999</v>
      </c>
      <c r="I809" s="2">
        <v>1.333</v>
      </c>
      <c r="J809" s="2">
        <v>1.526</v>
      </c>
      <c r="K809" s="2">
        <v>1.7030000000000001</v>
      </c>
      <c r="L809" s="2">
        <v>1.8640000000000001</v>
      </c>
      <c r="M809" s="2">
        <v>2.008</v>
      </c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</row>
    <row r="810" spans="1:51" x14ac:dyDescent="0.2">
      <c r="A810" s="4">
        <v>2006</v>
      </c>
      <c r="B810" s="2">
        <v>3.6999999999999998E-2</v>
      </c>
      <c r="C810" s="2">
        <v>0.14599999999999999</v>
      </c>
      <c r="D810" s="2">
        <v>0.32400000000000001</v>
      </c>
      <c r="E810" s="2">
        <v>0.55700000000000005</v>
      </c>
      <c r="F810" s="2">
        <v>0.82399999999999995</v>
      </c>
      <c r="G810" s="2">
        <v>1.107</v>
      </c>
      <c r="H810" s="2">
        <v>1.3939999999999999</v>
      </c>
      <c r="I810" s="2">
        <v>1.673</v>
      </c>
      <c r="J810" s="2">
        <v>1.9379999999999999</v>
      </c>
      <c r="K810" s="2">
        <v>2.1829999999999998</v>
      </c>
      <c r="L810" s="2">
        <v>2.4079999999999999</v>
      </c>
      <c r="M810" s="2">
        <v>2.6110000000000002</v>
      </c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</row>
    <row r="811" spans="1:51" x14ac:dyDescent="0.2">
      <c r="A811" s="4">
        <v>2007</v>
      </c>
      <c r="B811" s="2">
        <v>3.5000000000000003E-2</v>
      </c>
      <c r="C811" s="2">
        <v>0.14499999999999999</v>
      </c>
      <c r="D811" s="2">
        <v>0.33600000000000002</v>
      </c>
      <c r="E811" s="2">
        <v>0.59199999999999997</v>
      </c>
      <c r="F811" s="2">
        <v>0.89300000000000002</v>
      </c>
      <c r="G811" s="2">
        <v>1.218</v>
      </c>
      <c r="H811" s="2">
        <v>1.55</v>
      </c>
      <c r="I811" s="2">
        <v>1.877</v>
      </c>
      <c r="J811" s="2">
        <v>2.1890000000000001</v>
      </c>
      <c r="K811" s="2">
        <v>2.4809999999999999</v>
      </c>
      <c r="L811" s="2">
        <v>2.75</v>
      </c>
      <c r="M811" s="2">
        <v>2.9940000000000002</v>
      </c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</row>
    <row r="812" spans="1:51" x14ac:dyDescent="0.2">
      <c r="A812" s="4">
        <v>2008</v>
      </c>
      <c r="B812" s="2">
        <v>3.3000000000000002E-2</v>
      </c>
      <c r="C812" s="2">
        <v>0.13900000000000001</v>
      </c>
      <c r="D812" s="2">
        <v>0.32400000000000001</v>
      </c>
      <c r="E812" s="2">
        <v>0.57199999999999995</v>
      </c>
      <c r="F812" s="2">
        <v>0.86399999999999999</v>
      </c>
      <c r="G812" s="2">
        <v>1.18</v>
      </c>
      <c r="H812" s="2">
        <v>1.504</v>
      </c>
      <c r="I812" s="2">
        <v>1.8220000000000001</v>
      </c>
      <c r="J812" s="2">
        <v>2.1269999999999998</v>
      </c>
      <c r="K812" s="2">
        <v>2.4119999999999999</v>
      </c>
      <c r="L812" s="2">
        <v>2.6739999999999999</v>
      </c>
      <c r="M812" s="2">
        <v>2.9119999999999999</v>
      </c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</row>
    <row r="813" spans="1:51" x14ac:dyDescent="0.2">
      <c r="A813" s="4">
        <v>2009</v>
      </c>
      <c r="B813" s="2">
        <v>3.5999999999999997E-2</v>
      </c>
      <c r="C813" s="2">
        <v>0.14499999999999999</v>
      </c>
      <c r="D813" s="2">
        <v>0.33</v>
      </c>
      <c r="E813" s="2">
        <v>0.57599999999999996</v>
      </c>
      <c r="F813" s="2">
        <v>0.86099999999999999</v>
      </c>
      <c r="G813" s="2">
        <v>1.167</v>
      </c>
      <c r="H813" s="2">
        <v>1.478</v>
      </c>
      <c r="I813" s="2">
        <v>1.7829999999999999</v>
      </c>
      <c r="J813" s="2">
        <v>2.0739999999999998</v>
      </c>
      <c r="K813" s="2">
        <v>2.3439999999999999</v>
      </c>
      <c r="L813" s="2">
        <v>2.593</v>
      </c>
      <c r="M813" s="2">
        <v>2.8170000000000002</v>
      </c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</row>
    <row r="814" spans="1:51" x14ac:dyDescent="0.2">
      <c r="A814" s="4">
        <v>2010</v>
      </c>
      <c r="B814" s="2">
        <v>0.04</v>
      </c>
      <c r="C814" s="2">
        <v>0.154</v>
      </c>
      <c r="D814" s="2">
        <v>0.34100000000000003</v>
      </c>
      <c r="E814" s="2">
        <v>0.58399999999999996</v>
      </c>
      <c r="F814" s="2">
        <v>0.86199999999999999</v>
      </c>
      <c r="G814" s="2">
        <v>1.157</v>
      </c>
      <c r="H814" s="2">
        <v>1.454</v>
      </c>
      <c r="I814" s="2">
        <v>1.7430000000000001</v>
      </c>
      <c r="J814" s="2">
        <v>2.0169999999999999</v>
      </c>
      <c r="K814" s="2">
        <v>2.2719999999999998</v>
      </c>
      <c r="L814" s="2">
        <v>2.504</v>
      </c>
      <c r="M814" s="2">
        <v>2.714</v>
      </c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</row>
    <row r="815" spans="1:51" x14ac:dyDescent="0.2">
      <c r="A815" s="4">
        <v>2011</v>
      </c>
      <c r="B815" s="2">
        <v>3.7999999999999999E-2</v>
      </c>
      <c r="C815" s="2">
        <v>0.14899999999999999</v>
      </c>
      <c r="D815" s="2">
        <v>0.33300000000000002</v>
      </c>
      <c r="E815" s="2">
        <v>0.57399999999999995</v>
      </c>
      <c r="F815" s="2">
        <v>0.85199999999999998</v>
      </c>
      <c r="G815" s="2">
        <v>1.1479999999999999</v>
      </c>
      <c r="H815" s="2">
        <v>1.4470000000000001</v>
      </c>
      <c r="I815" s="2">
        <v>1.74</v>
      </c>
      <c r="J815" s="2">
        <v>2.0169999999999999</v>
      </c>
      <c r="K815" s="2">
        <v>2.2749999999999999</v>
      </c>
      <c r="L815" s="2">
        <v>2.5110000000000001</v>
      </c>
      <c r="M815" s="2">
        <v>2.7240000000000002</v>
      </c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</row>
    <row r="816" spans="1:51" x14ac:dyDescent="0.2">
      <c r="A816" s="4">
        <v>2012</v>
      </c>
      <c r="B816" s="2">
        <v>3.6999999999999998E-2</v>
      </c>
      <c r="C816" s="2">
        <v>0.15</v>
      </c>
      <c r="D816" s="2">
        <v>0.34100000000000003</v>
      </c>
      <c r="E816" s="2">
        <v>0.59499999999999997</v>
      </c>
      <c r="F816" s="2">
        <v>0.89</v>
      </c>
      <c r="G816" s="2">
        <v>1.206</v>
      </c>
      <c r="H816" s="2">
        <v>1.5269999999999999</v>
      </c>
      <c r="I816" s="2">
        <v>1.8420000000000001</v>
      </c>
      <c r="J816" s="2">
        <v>2.1419999999999999</v>
      </c>
      <c r="K816" s="2">
        <v>2.4220000000000002</v>
      </c>
      <c r="L816" s="2">
        <v>2.6779999999999999</v>
      </c>
      <c r="M816" s="2">
        <v>2.911</v>
      </c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</row>
    <row r="817" spans="1:51" x14ac:dyDescent="0.2">
      <c r="A817" s="4">
        <v>2013</v>
      </c>
      <c r="B817" s="2">
        <v>3.7999999999999999E-2</v>
      </c>
      <c r="C817" s="2">
        <v>0.152</v>
      </c>
      <c r="D817" s="2">
        <v>0.34699999999999998</v>
      </c>
      <c r="E817" s="2">
        <v>0.60599999999999998</v>
      </c>
      <c r="F817" s="2">
        <v>0.90700000000000003</v>
      </c>
      <c r="G817" s="2">
        <v>1.23</v>
      </c>
      <c r="H817" s="2">
        <v>1.5580000000000001</v>
      </c>
      <c r="I817" s="2">
        <v>1.88</v>
      </c>
      <c r="J817" s="2">
        <v>2.1869999999999998</v>
      </c>
      <c r="K817" s="2">
        <v>2.4729999999999999</v>
      </c>
      <c r="L817" s="2">
        <v>2.7349999999999999</v>
      </c>
      <c r="M817" s="2">
        <v>2.9729999999999999</v>
      </c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</row>
    <row r="818" spans="1:51" x14ac:dyDescent="0.2">
      <c r="A818" s="4">
        <v>2014</v>
      </c>
      <c r="B818" s="2">
        <v>3.7999999999999999E-2</v>
      </c>
      <c r="C818" s="2">
        <v>0.14899999999999999</v>
      </c>
      <c r="D818" s="2">
        <v>0.33500000000000002</v>
      </c>
      <c r="E818" s="2">
        <v>0.57899999999999996</v>
      </c>
      <c r="F818" s="2">
        <v>0.86099999999999999</v>
      </c>
      <c r="G818" s="2">
        <v>1.161</v>
      </c>
      <c r="H818" s="2">
        <v>1.4650000000000001</v>
      </c>
      <c r="I818" s="2">
        <v>1.762</v>
      </c>
      <c r="J818" s="2">
        <v>2.044</v>
      </c>
      <c r="K818" s="2">
        <v>2.306</v>
      </c>
      <c r="L818" s="2">
        <v>2.5459999999999998</v>
      </c>
      <c r="M818" s="2">
        <v>2.7629999999999999</v>
      </c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</row>
    <row r="819" spans="1:51" x14ac:dyDescent="0.2">
      <c r="A819" s="4">
        <v>2015</v>
      </c>
      <c r="B819" s="2">
        <v>3.5999999999999997E-2</v>
      </c>
      <c r="C819" s="2">
        <v>0.14599999999999999</v>
      </c>
      <c r="D819" s="2">
        <v>0.33400000000000002</v>
      </c>
      <c r="E819" s="2">
        <v>0.58499999999999996</v>
      </c>
      <c r="F819" s="2">
        <v>0.876</v>
      </c>
      <c r="G819" s="2">
        <v>1.19</v>
      </c>
      <c r="H819" s="2">
        <v>1.51</v>
      </c>
      <c r="I819" s="2">
        <v>1.823</v>
      </c>
      <c r="J819" s="2">
        <v>2.1219999999999999</v>
      </c>
      <c r="K819" s="2">
        <v>2.4</v>
      </c>
      <c r="L819" s="2">
        <v>2.6560000000000001</v>
      </c>
      <c r="M819" s="2">
        <v>2.8879999999999999</v>
      </c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</row>
    <row r="820" spans="1:51" x14ac:dyDescent="0.2">
      <c r="A820" s="4">
        <v>2016</v>
      </c>
      <c r="B820" s="2">
        <v>3.7999999999999999E-2</v>
      </c>
      <c r="C820" s="2">
        <v>0.15</v>
      </c>
      <c r="D820" s="2">
        <v>0.33700000000000002</v>
      </c>
      <c r="E820" s="2">
        <v>0.58199999999999996</v>
      </c>
      <c r="F820" s="2">
        <v>0.86499999999999999</v>
      </c>
      <c r="G820" s="2">
        <v>1.167</v>
      </c>
      <c r="H820" s="2">
        <v>1.474</v>
      </c>
      <c r="I820" s="2">
        <v>1.7729999999999999</v>
      </c>
      <c r="J820" s="2">
        <v>2.0569999999999999</v>
      </c>
      <c r="K820" s="2">
        <v>2.3210000000000002</v>
      </c>
      <c r="L820" s="2">
        <v>2.5630000000000002</v>
      </c>
      <c r="M820" s="2">
        <v>2.782</v>
      </c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</row>
    <row r="821" spans="1:51" x14ac:dyDescent="0.2">
      <c r="A821" s="4">
        <v>2017</v>
      </c>
      <c r="B821" s="2">
        <v>3.9E-2</v>
      </c>
      <c r="C821" s="2">
        <v>0.15</v>
      </c>
      <c r="D821" s="2">
        <v>0.33200000000000002</v>
      </c>
      <c r="E821" s="2">
        <v>0.56699999999999995</v>
      </c>
      <c r="F821" s="2">
        <v>0.83699999999999997</v>
      </c>
      <c r="G821" s="2">
        <v>1.123</v>
      </c>
      <c r="H821" s="2">
        <v>1.411</v>
      </c>
      <c r="I821" s="2">
        <v>1.6910000000000001</v>
      </c>
      <c r="J821" s="2">
        <v>1.956</v>
      </c>
      <c r="K821" s="2">
        <v>2.2029999999999998</v>
      </c>
      <c r="L821" s="2">
        <v>2.4279999999999999</v>
      </c>
      <c r="M821" s="2">
        <v>2.6309999999999998</v>
      </c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</row>
    <row r="822" spans="1:51" x14ac:dyDescent="0.2">
      <c r="A822" s="4">
        <v>2018</v>
      </c>
      <c r="B822" s="2">
        <v>3.1E-2</v>
      </c>
      <c r="C822" s="2">
        <v>0.14299999999999999</v>
      </c>
      <c r="D822" s="2">
        <v>0.35099999999999998</v>
      </c>
      <c r="E822" s="2">
        <v>0.64400000000000002</v>
      </c>
      <c r="F822" s="2">
        <v>1</v>
      </c>
      <c r="G822" s="2">
        <v>1.395</v>
      </c>
      <c r="H822" s="2">
        <v>1.806</v>
      </c>
      <c r="I822" s="2">
        <v>2.2170000000000001</v>
      </c>
      <c r="J822" s="2">
        <v>2.6139999999999999</v>
      </c>
      <c r="K822" s="2">
        <v>2.99</v>
      </c>
      <c r="L822" s="2">
        <v>3.3370000000000002</v>
      </c>
      <c r="M822" s="2">
        <v>3.6549999999999998</v>
      </c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</row>
    <row r="823" spans="1:51" x14ac:dyDescent="0.2">
      <c r="A823" s="4">
        <v>2019</v>
      </c>
      <c r="B823" s="2">
        <v>3.2000000000000001E-2</v>
      </c>
      <c r="C823" s="2">
        <v>0.14499999999999999</v>
      </c>
      <c r="D823" s="2">
        <v>0.34899999999999998</v>
      </c>
      <c r="E823" s="2">
        <v>0.63200000000000001</v>
      </c>
      <c r="F823" s="2">
        <v>0.97099999999999997</v>
      </c>
      <c r="G823" s="2">
        <v>1.3440000000000001</v>
      </c>
      <c r="H823" s="2">
        <v>1.7310000000000001</v>
      </c>
      <c r="I823" s="2">
        <v>2.1150000000000002</v>
      </c>
      <c r="J823" s="2">
        <v>2.4849999999999999</v>
      </c>
      <c r="K823" s="2">
        <v>2.8340000000000001</v>
      </c>
      <c r="L823" s="2">
        <v>3.1560000000000001</v>
      </c>
      <c r="M823" s="2">
        <v>3.4489999999999998</v>
      </c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</row>
    <row r="824" spans="1:51" x14ac:dyDescent="0.2">
      <c r="A824" s="4" t="s">
        <v>74</v>
      </c>
      <c r="B824" s="2">
        <v>3.2000000000000001E-2</v>
      </c>
      <c r="C824" s="2">
        <v>0.14499999999999999</v>
      </c>
      <c r="D824" s="2">
        <v>0.34899999999999998</v>
      </c>
      <c r="E824" s="2">
        <v>0.63200000000000001</v>
      </c>
      <c r="F824" s="2">
        <v>0.97099999999999997</v>
      </c>
      <c r="G824" s="2">
        <v>1.3440000000000001</v>
      </c>
      <c r="H824" s="2">
        <v>1.7310000000000001</v>
      </c>
      <c r="I824" s="2">
        <v>2.1150000000000002</v>
      </c>
      <c r="J824" s="2">
        <v>2.4849999999999999</v>
      </c>
      <c r="K824" s="2">
        <v>2.8340000000000001</v>
      </c>
      <c r="L824" s="2">
        <v>3.1560000000000001</v>
      </c>
      <c r="M824" s="2">
        <v>3.4489999999999998</v>
      </c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</row>
    <row r="825" spans="1:51" x14ac:dyDescent="0.2">
      <c r="A825" s="4">
        <v>1971</v>
      </c>
      <c r="B825" s="2">
        <v>3.2000000000000001E-2</v>
      </c>
      <c r="C825" s="2">
        <v>0.14499999999999999</v>
      </c>
      <c r="D825" s="2">
        <v>0.34899999999999998</v>
      </c>
      <c r="E825" s="2">
        <v>0.63200000000000001</v>
      </c>
      <c r="F825" s="2">
        <v>0.97099999999999997</v>
      </c>
      <c r="G825" s="2">
        <v>1.3440000000000001</v>
      </c>
      <c r="H825" s="2">
        <v>1.7310000000000001</v>
      </c>
      <c r="I825" s="2">
        <v>2.1150000000000002</v>
      </c>
      <c r="J825" s="2">
        <v>2.4849999999999999</v>
      </c>
      <c r="K825" s="2">
        <v>2.8340000000000001</v>
      </c>
      <c r="L825" s="2">
        <v>3.1560000000000001</v>
      </c>
      <c r="M825" s="2">
        <v>3.4489999999999998</v>
      </c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</row>
    <row r="826" spans="1:51" x14ac:dyDescent="0.2">
      <c r="A826" s="4">
        <v>1972</v>
      </c>
      <c r="B826" s="2">
        <v>3.32E-2</v>
      </c>
      <c r="C826" s="2">
        <v>0.14560000000000001</v>
      </c>
      <c r="D826" s="2">
        <v>0.34599999999999997</v>
      </c>
      <c r="E826" s="2">
        <v>0.62139999999999995</v>
      </c>
      <c r="F826" s="2">
        <v>0.95</v>
      </c>
      <c r="G826" s="2">
        <v>1.31</v>
      </c>
      <c r="H826" s="2">
        <v>1.6819999999999999</v>
      </c>
      <c r="I826" s="2">
        <v>2.0506000000000002</v>
      </c>
      <c r="J826" s="2">
        <v>2.4049999999999998</v>
      </c>
      <c r="K826" s="2">
        <v>2.7389999999999999</v>
      </c>
      <c r="L826" s="2">
        <v>3.0466000000000002</v>
      </c>
      <c r="M826" s="2">
        <v>3.3266</v>
      </c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</row>
    <row r="827" spans="1:51" x14ac:dyDescent="0.2">
      <c r="A827" s="4">
        <v>1973</v>
      </c>
      <c r="B827" s="2">
        <v>3.32E-2</v>
      </c>
      <c r="C827" s="2">
        <v>0.14560000000000001</v>
      </c>
      <c r="D827" s="2">
        <v>0.34599999999999997</v>
      </c>
      <c r="E827" s="2">
        <v>0.62139999999999995</v>
      </c>
      <c r="F827" s="2">
        <v>0.95</v>
      </c>
      <c r="G827" s="2">
        <v>1.31</v>
      </c>
      <c r="H827" s="2">
        <v>1.6819999999999999</v>
      </c>
      <c r="I827" s="2">
        <v>2.0506000000000002</v>
      </c>
      <c r="J827" s="2">
        <v>2.4049999999999998</v>
      </c>
      <c r="K827" s="2">
        <v>2.7389999999999999</v>
      </c>
      <c r="L827" s="2">
        <v>3.0466000000000002</v>
      </c>
      <c r="M827" s="2">
        <v>3.3266</v>
      </c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</row>
    <row r="828" spans="1:51" x14ac:dyDescent="0.2">
      <c r="A828" s="4">
        <v>1974</v>
      </c>
      <c r="B828" s="2">
        <v>3.32E-2</v>
      </c>
      <c r="C828" s="2">
        <v>0.14560000000000001</v>
      </c>
      <c r="D828" s="2">
        <v>0.34599999999999997</v>
      </c>
      <c r="E828" s="2">
        <v>0.62139999999999995</v>
      </c>
      <c r="F828" s="2">
        <v>0.95</v>
      </c>
      <c r="G828" s="2">
        <v>1.31</v>
      </c>
      <c r="H828" s="2">
        <v>1.6819999999999999</v>
      </c>
      <c r="I828" s="2">
        <v>2.0506000000000002</v>
      </c>
      <c r="J828" s="2">
        <v>2.4049999999999998</v>
      </c>
      <c r="K828" s="2">
        <v>2.7389999999999999</v>
      </c>
      <c r="L828" s="2">
        <v>3.0466000000000002</v>
      </c>
      <c r="M828" s="2">
        <v>3.3266</v>
      </c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</row>
    <row r="829" spans="1:51" x14ac:dyDescent="0.2">
      <c r="A829" s="4">
        <v>1975</v>
      </c>
      <c r="B829" s="2">
        <v>3.32E-2</v>
      </c>
      <c r="C829" s="2">
        <v>0.14560000000000001</v>
      </c>
      <c r="D829" s="2">
        <v>0.34599999999999997</v>
      </c>
      <c r="E829" s="2">
        <v>0.62139999999999995</v>
      </c>
      <c r="F829" s="2">
        <v>0.95</v>
      </c>
      <c r="G829" s="2">
        <v>1.31</v>
      </c>
      <c r="H829" s="2">
        <v>1.6819999999999999</v>
      </c>
      <c r="I829" s="2">
        <v>2.0506000000000002</v>
      </c>
      <c r="J829" s="2">
        <v>2.4049999999999998</v>
      </c>
      <c r="K829" s="2">
        <v>2.7389999999999999</v>
      </c>
      <c r="L829" s="2">
        <v>3.0466000000000002</v>
      </c>
      <c r="M829" s="2">
        <v>3.3266</v>
      </c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</row>
    <row r="830" spans="1:51" x14ac:dyDescent="0.2">
      <c r="A830" s="4">
        <v>1976</v>
      </c>
      <c r="B830" s="2">
        <v>3.32E-2</v>
      </c>
      <c r="C830" s="2">
        <v>0.14560000000000001</v>
      </c>
      <c r="D830" s="2">
        <v>0.34599999999999997</v>
      </c>
      <c r="E830" s="2">
        <v>0.62139999999999995</v>
      </c>
      <c r="F830" s="2">
        <v>0.95</v>
      </c>
      <c r="G830" s="2">
        <v>1.31</v>
      </c>
      <c r="H830" s="2">
        <v>1.6819999999999999</v>
      </c>
      <c r="I830" s="2">
        <v>2.0506000000000002</v>
      </c>
      <c r="J830" s="2">
        <v>2.4049999999999998</v>
      </c>
      <c r="K830" s="2">
        <v>2.7389999999999999</v>
      </c>
      <c r="L830" s="2">
        <v>3.0466000000000002</v>
      </c>
      <c r="M830" s="2">
        <v>3.3266</v>
      </c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</row>
    <row r="831" spans="1:51" x14ac:dyDescent="0.2">
      <c r="A831" s="4">
        <v>1977</v>
      </c>
      <c r="B831" s="2">
        <v>3.32E-2</v>
      </c>
      <c r="C831" s="2">
        <v>0.14560000000000001</v>
      </c>
      <c r="D831" s="2">
        <v>0.34599999999999997</v>
      </c>
      <c r="E831" s="2">
        <v>0.62139999999999995</v>
      </c>
      <c r="F831" s="2">
        <v>0.95</v>
      </c>
      <c r="G831" s="2">
        <v>1.31</v>
      </c>
      <c r="H831" s="2">
        <v>1.6819999999999999</v>
      </c>
      <c r="I831" s="2">
        <v>2.0506000000000002</v>
      </c>
      <c r="J831" s="2">
        <v>2.4049999999999998</v>
      </c>
      <c r="K831" s="2">
        <v>2.7389999999999999</v>
      </c>
      <c r="L831" s="2">
        <v>3.0466000000000002</v>
      </c>
      <c r="M831" s="2">
        <v>3.3266</v>
      </c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</row>
    <row r="832" spans="1:51" x14ac:dyDescent="0.2">
      <c r="A832" s="4">
        <v>1978</v>
      </c>
      <c r="B832" s="2">
        <v>5.1999999999999998E-2</v>
      </c>
      <c r="C832" s="2">
        <v>9.2999999999999999E-2</v>
      </c>
      <c r="D832" s="2">
        <v>0.13100000000000001</v>
      </c>
      <c r="E832" s="2">
        <v>0.17799999999999999</v>
      </c>
      <c r="F832" s="2">
        <v>0.26200000000000001</v>
      </c>
      <c r="G832" s="2">
        <v>0.29399999999999998</v>
      </c>
      <c r="H832" s="2">
        <v>0.34</v>
      </c>
      <c r="I832" s="2">
        <v>0.39600000000000002</v>
      </c>
      <c r="J832" s="2">
        <v>0.54900000000000004</v>
      </c>
      <c r="K832" s="2">
        <v>0.73799999999999999</v>
      </c>
      <c r="L832" s="2">
        <v>0.98399999999999999</v>
      </c>
      <c r="M832" s="2">
        <v>1.093</v>
      </c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</row>
    <row r="833" spans="1:51" x14ac:dyDescent="0.2">
      <c r="A833" s="4">
        <v>1979</v>
      </c>
      <c r="B833" s="2">
        <v>5.1999999999999998E-2</v>
      </c>
      <c r="C833" s="2">
        <v>9.2999999999999999E-2</v>
      </c>
      <c r="D833" s="2">
        <v>0.13100000000000001</v>
      </c>
      <c r="E833" s="2">
        <v>0.17799999999999999</v>
      </c>
      <c r="F833" s="2">
        <v>0.26200000000000001</v>
      </c>
      <c r="G833" s="2">
        <v>0.29399999999999998</v>
      </c>
      <c r="H833" s="2">
        <v>0.34</v>
      </c>
      <c r="I833" s="2">
        <v>0.39600000000000002</v>
      </c>
      <c r="J833" s="2">
        <v>0.54900000000000004</v>
      </c>
      <c r="K833" s="2">
        <v>0.73799999999999999</v>
      </c>
      <c r="L833" s="2">
        <v>0.98399999999999999</v>
      </c>
      <c r="M833" s="2">
        <v>1.093</v>
      </c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</row>
    <row r="834" spans="1:51" x14ac:dyDescent="0.2">
      <c r="A834" s="4">
        <v>1980</v>
      </c>
      <c r="B834" s="2">
        <v>5.1999999999999998E-2</v>
      </c>
      <c r="C834" s="2">
        <v>9.2999999999999999E-2</v>
      </c>
      <c r="D834" s="2">
        <v>0.13100000000000001</v>
      </c>
      <c r="E834" s="2">
        <v>0.17799999999999999</v>
      </c>
      <c r="F834" s="2">
        <v>0.26200000000000001</v>
      </c>
      <c r="G834" s="2">
        <v>0.29399999999999998</v>
      </c>
      <c r="H834" s="2">
        <v>0.34</v>
      </c>
      <c r="I834" s="2">
        <v>0.39600000000000002</v>
      </c>
      <c r="J834" s="2">
        <v>0.54900000000000004</v>
      </c>
      <c r="K834" s="2">
        <v>0.73799999999999999</v>
      </c>
      <c r="L834" s="2">
        <v>0.98399999999999999</v>
      </c>
      <c r="M834" s="2">
        <v>1.093</v>
      </c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</row>
    <row r="835" spans="1:51" x14ac:dyDescent="0.2">
      <c r="A835" s="4">
        <v>1981</v>
      </c>
      <c r="B835" s="2">
        <v>5.1999999999999998E-2</v>
      </c>
      <c r="C835" s="2">
        <v>9.2999999999999999E-2</v>
      </c>
      <c r="D835" s="2">
        <v>0.13100000000000001</v>
      </c>
      <c r="E835" s="2">
        <v>0.17799999999999999</v>
      </c>
      <c r="F835" s="2">
        <v>0.26200000000000001</v>
      </c>
      <c r="G835" s="2">
        <v>0.29399999999999998</v>
      </c>
      <c r="H835" s="2">
        <v>0.34</v>
      </c>
      <c r="I835" s="2">
        <v>0.39600000000000002</v>
      </c>
      <c r="J835" s="2">
        <v>0.54900000000000004</v>
      </c>
      <c r="K835" s="2">
        <v>0.73799999999999999</v>
      </c>
      <c r="L835" s="2">
        <v>0.98399999999999999</v>
      </c>
      <c r="M835" s="2">
        <v>1.093</v>
      </c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</row>
    <row r="836" spans="1:51" x14ac:dyDescent="0.2">
      <c r="A836" s="4">
        <v>1982</v>
      </c>
      <c r="B836" s="2">
        <v>5.1999999999999998E-2</v>
      </c>
      <c r="C836" s="2">
        <v>9.2999999999999999E-2</v>
      </c>
      <c r="D836" s="2">
        <v>0.13100000000000001</v>
      </c>
      <c r="E836" s="2">
        <v>0.17799999999999999</v>
      </c>
      <c r="F836" s="2">
        <v>0.26200000000000001</v>
      </c>
      <c r="G836" s="2">
        <v>0.29399999999999998</v>
      </c>
      <c r="H836" s="2">
        <v>0.34</v>
      </c>
      <c r="I836" s="2">
        <v>0.39600000000000002</v>
      </c>
      <c r="J836" s="2">
        <v>0.54900000000000004</v>
      </c>
      <c r="K836" s="2">
        <v>0.73799999999999999</v>
      </c>
      <c r="L836" s="2">
        <v>0.98399999999999999</v>
      </c>
      <c r="M836" s="2">
        <v>1.093</v>
      </c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</row>
    <row r="837" spans="1:51" x14ac:dyDescent="0.2">
      <c r="A837" s="4">
        <v>1983</v>
      </c>
      <c r="B837" s="2">
        <v>5.1999999999999998E-2</v>
      </c>
      <c r="C837" s="2">
        <v>9.2999999999999999E-2</v>
      </c>
      <c r="D837" s="2">
        <v>0.13100000000000001</v>
      </c>
      <c r="E837" s="2">
        <v>0.17799999999999999</v>
      </c>
      <c r="F837" s="2">
        <v>0.26200000000000001</v>
      </c>
      <c r="G837" s="2">
        <v>0.29399999999999998</v>
      </c>
      <c r="H837" s="2">
        <v>0.34</v>
      </c>
      <c r="I837" s="2">
        <v>0.39600000000000002</v>
      </c>
      <c r="J837" s="2">
        <v>0.54900000000000004</v>
      </c>
      <c r="K837" s="2">
        <v>0.73799999999999999</v>
      </c>
      <c r="L837" s="2">
        <v>0.98399999999999999</v>
      </c>
      <c r="M837" s="2">
        <v>1.093</v>
      </c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</row>
    <row r="838" spans="1:51" x14ac:dyDescent="0.2">
      <c r="A838" s="4">
        <v>1984</v>
      </c>
      <c r="B838" s="2">
        <v>5.1999999999999998E-2</v>
      </c>
      <c r="C838" s="2">
        <v>7.8E-2</v>
      </c>
      <c r="D838" s="2">
        <v>0.155</v>
      </c>
      <c r="E838" s="2">
        <v>0.214</v>
      </c>
      <c r="F838" s="2">
        <v>0.27500000000000002</v>
      </c>
      <c r="G838" s="2">
        <v>0.33600000000000002</v>
      </c>
      <c r="H838" s="2">
        <v>0.39400000000000002</v>
      </c>
      <c r="I838" s="2">
        <v>0.47199999999999998</v>
      </c>
      <c r="J838" s="2">
        <v>0.63200000000000001</v>
      </c>
      <c r="K838" s="2">
        <v>0.71399999999999997</v>
      </c>
      <c r="L838" s="2">
        <v>0.89800000000000002</v>
      </c>
      <c r="M838" s="2">
        <v>1.538</v>
      </c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</row>
    <row r="839" spans="1:51" x14ac:dyDescent="0.2">
      <c r="A839" s="4">
        <v>1985</v>
      </c>
      <c r="B839" s="2">
        <v>5.5E-2</v>
      </c>
      <c r="C839" s="2">
        <v>9.1999999999999998E-2</v>
      </c>
      <c r="D839" s="2">
        <v>0.109</v>
      </c>
      <c r="E839" s="2">
        <v>0.23599999999999999</v>
      </c>
      <c r="F839" s="2">
        <v>0.27500000000000002</v>
      </c>
      <c r="G839" s="2">
        <v>0.314</v>
      </c>
      <c r="H839" s="2">
        <v>0.375</v>
      </c>
      <c r="I839" s="2">
        <v>0.45600000000000002</v>
      </c>
      <c r="J839" s="2">
        <v>0.52100000000000002</v>
      </c>
      <c r="K839" s="2">
        <v>0.73199999999999998</v>
      </c>
      <c r="L839" s="2">
        <v>0.65100000000000002</v>
      </c>
      <c r="M839" s="2">
        <v>1.137</v>
      </c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</row>
    <row r="840" spans="1:51" x14ac:dyDescent="0.2">
      <c r="A840" s="4">
        <v>1986</v>
      </c>
      <c r="B840" s="2">
        <v>5.1999999999999998E-2</v>
      </c>
      <c r="C840" s="2">
        <v>8.4000000000000005E-2</v>
      </c>
      <c r="D840" s="2">
        <v>0.104</v>
      </c>
      <c r="E840" s="2">
        <v>0.14699999999999999</v>
      </c>
      <c r="F840" s="2">
        <v>0.21099999999999999</v>
      </c>
      <c r="G840" s="2">
        <v>0.32700000000000001</v>
      </c>
      <c r="H840" s="2">
        <v>0.39400000000000002</v>
      </c>
      <c r="I840" s="2">
        <v>0.44900000000000001</v>
      </c>
      <c r="J840" s="2">
        <v>0.51400000000000001</v>
      </c>
      <c r="K840" s="2">
        <v>0.58299999999999996</v>
      </c>
      <c r="L840" s="2">
        <v>0.63100000000000001</v>
      </c>
      <c r="M840" s="2">
        <v>1.538</v>
      </c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</row>
    <row r="841" spans="1:51" x14ac:dyDescent="0.2">
      <c r="A841" s="4">
        <v>1987</v>
      </c>
      <c r="B841" s="2">
        <v>5.1999999999999998E-2</v>
      </c>
      <c r="C841" s="2">
        <v>0.108</v>
      </c>
      <c r="D841" s="2">
        <v>0.16</v>
      </c>
      <c r="E841" s="2">
        <v>0.19900000000000001</v>
      </c>
      <c r="F841" s="2">
        <v>0.24099999999999999</v>
      </c>
      <c r="G841" s="2">
        <v>0.30099999999999999</v>
      </c>
      <c r="H841" s="2">
        <v>0.38800000000000001</v>
      </c>
      <c r="I841" s="2">
        <v>0.46600000000000003</v>
      </c>
      <c r="J841" s="2">
        <v>0.58799999999999997</v>
      </c>
      <c r="K841" s="2">
        <v>0.871</v>
      </c>
      <c r="L841" s="2">
        <v>1.2649999999999999</v>
      </c>
      <c r="M841" s="2">
        <v>1.972</v>
      </c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</row>
    <row r="842" spans="1:51" x14ac:dyDescent="0.2">
      <c r="A842" s="4">
        <v>1988</v>
      </c>
      <c r="B842" s="2">
        <v>2.5999999999999999E-2</v>
      </c>
      <c r="C842" s="2">
        <v>0.06</v>
      </c>
      <c r="D842" s="2">
        <v>0.13200000000000001</v>
      </c>
      <c r="E842" s="2">
        <v>0.23100000000000001</v>
      </c>
      <c r="F842" s="2">
        <v>0.27200000000000002</v>
      </c>
      <c r="G842" s="2">
        <v>0.35</v>
      </c>
      <c r="H842" s="2">
        <v>0.44700000000000001</v>
      </c>
      <c r="I842" s="2">
        <v>0.51900000000000002</v>
      </c>
      <c r="J842" s="2">
        <v>0.71599999999999997</v>
      </c>
      <c r="K842" s="2">
        <v>0.82</v>
      </c>
      <c r="L842" s="2">
        <v>1.073</v>
      </c>
      <c r="M842" s="2">
        <v>1.8540000000000001</v>
      </c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</row>
    <row r="843" spans="1:51" x14ac:dyDescent="0.2">
      <c r="A843" s="4">
        <v>1989</v>
      </c>
      <c r="B843" s="2">
        <v>5.1999999999999998E-2</v>
      </c>
      <c r="C843" s="2">
        <v>9.5000000000000001E-2</v>
      </c>
      <c r="D843" s="2">
        <v>0.14899999999999999</v>
      </c>
      <c r="E843" s="2">
        <v>0.24199999999999999</v>
      </c>
      <c r="F843" s="2">
        <v>0.29399999999999998</v>
      </c>
      <c r="G843" s="2">
        <v>0.34</v>
      </c>
      <c r="H843" s="2">
        <v>0.40699999999999997</v>
      </c>
      <c r="I843" s="2">
        <v>0.503</v>
      </c>
      <c r="J843" s="2">
        <v>0.63700000000000001</v>
      </c>
      <c r="K843" s="2">
        <v>0.76500000000000001</v>
      </c>
      <c r="L843" s="2">
        <v>1.1839999999999999</v>
      </c>
      <c r="M843" s="2">
        <v>1.9</v>
      </c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</row>
    <row r="844" spans="1:51" x14ac:dyDescent="0.2">
      <c r="A844" s="4">
        <v>1990</v>
      </c>
      <c r="B844" s="2">
        <v>5.5E-2</v>
      </c>
      <c r="C844" s="2">
        <v>8.5000000000000006E-2</v>
      </c>
      <c r="D844" s="2">
        <v>0.16600000000000001</v>
      </c>
      <c r="E844" s="2">
        <v>0.20699999999999999</v>
      </c>
      <c r="F844" s="2">
        <v>0.26900000000000002</v>
      </c>
      <c r="G844" s="2">
        <v>0.32300000000000001</v>
      </c>
      <c r="H844" s="2">
        <v>0.378</v>
      </c>
      <c r="I844" s="2">
        <v>0.47199999999999998</v>
      </c>
      <c r="J844" s="2">
        <v>0.53600000000000003</v>
      </c>
      <c r="K844" s="2">
        <v>0.64400000000000002</v>
      </c>
      <c r="L844" s="2">
        <v>0.98699999999999999</v>
      </c>
      <c r="M844" s="2">
        <v>1.1850000000000001</v>
      </c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</row>
    <row r="845" spans="1:51" x14ac:dyDescent="0.2">
      <c r="A845" s="4">
        <v>1991</v>
      </c>
      <c r="B845" s="2">
        <v>7.0000000000000007E-2</v>
      </c>
      <c r="C845" s="2">
        <v>9.9000000000000005E-2</v>
      </c>
      <c r="D845" s="2">
        <v>0.122</v>
      </c>
      <c r="E845" s="2">
        <v>0.23</v>
      </c>
      <c r="F845" s="2">
        <v>0.27300000000000002</v>
      </c>
      <c r="G845" s="2">
        <v>0.32</v>
      </c>
      <c r="H845" s="2">
        <v>0.374</v>
      </c>
      <c r="I845" s="2">
        <v>0.46100000000000002</v>
      </c>
      <c r="J845" s="2">
        <v>0.59599999999999997</v>
      </c>
      <c r="K845" s="2">
        <v>0.70899999999999996</v>
      </c>
      <c r="L845" s="2">
        <v>1.196</v>
      </c>
      <c r="M845" s="2">
        <v>1.7689999999999999</v>
      </c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</row>
    <row r="846" spans="1:51" x14ac:dyDescent="0.2">
      <c r="A846" s="4">
        <v>1992</v>
      </c>
      <c r="B846" s="2">
        <v>3.5000000000000003E-2</v>
      </c>
      <c r="C846" s="2">
        <v>0.13500000000000001</v>
      </c>
      <c r="D846" s="2">
        <v>0.154</v>
      </c>
      <c r="E846" s="2">
        <v>0.185</v>
      </c>
      <c r="F846" s="2">
        <v>0.26600000000000001</v>
      </c>
      <c r="G846" s="2">
        <v>0.33</v>
      </c>
      <c r="H846" s="2">
        <v>0.38300000000000001</v>
      </c>
      <c r="I846" s="2">
        <v>0.44900000000000001</v>
      </c>
      <c r="J846" s="2">
        <v>0.57699999999999996</v>
      </c>
      <c r="K846" s="2">
        <v>0.68500000000000005</v>
      </c>
      <c r="L846" s="2">
        <v>1.012</v>
      </c>
      <c r="M846" s="2">
        <v>1.8460000000000001</v>
      </c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</row>
    <row r="847" spans="1:51" x14ac:dyDescent="0.2">
      <c r="A847" s="4">
        <v>1993</v>
      </c>
      <c r="B847" s="2">
        <v>5.8000000000000003E-2</v>
      </c>
      <c r="C847" s="2">
        <v>0.14799999999999999</v>
      </c>
      <c r="D847" s="2">
        <v>0.18099999999999999</v>
      </c>
      <c r="E847" s="2">
        <v>0.223</v>
      </c>
      <c r="F847" s="2">
        <v>0.27</v>
      </c>
      <c r="G847" s="2">
        <v>0.33900000000000002</v>
      </c>
      <c r="H847" s="2">
        <v>0.39800000000000002</v>
      </c>
      <c r="I847" s="2">
        <v>0.47299999999999998</v>
      </c>
      <c r="J847" s="2">
        <v>0.57299999999999995</v>
      </c>
      <c r="K847" s="2">
        <v>0.79600000000000004</v>
      </c>
      <c r="L847" s="2">
        <v>1.3759999999999999</v>
      </c>
      <c r="M847" s="2">
        <v>1.647</v>
      </c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</row>
    <row r="848" spans="1:51" x14ac:dyDescent="0.2">
      <c r="A848" s="4">
        <v>1994</v>
      </c>
      <c r="B848" s="2">
        <v>7.2999999999999995E-2</v>
      </c>
      <c r="C848" s="2">
        <v>7.4999999999999997E-2</v>
      </c>
      <c r="D848" s="2">
        <v>0.17199999999999999</v>
      </c>
      <c r="E848" s="2">
        <v>0.247</v>
      </c>
      <c r="F848" s="2">
        <v>0.28599999999999998</v>
      </c>
      <c r="G848" s="2">
        <v>0.34599999999999997</v>
      </c>
      <c r="H848" s="2">
        <v>0.42699999999999999</v>
      </c>
      <c r="I848" s="2">
        <v>0.51800000000000002</v>
      </c>
      <c r="J848" s="2">
        <v>0.64</v>
      </c>
      <c r="K848" s="2">
        <v>0.84399999999999997</v>
      </c>
      <c r="L848" s="2">
        <v>1.351</v>
      </c>
      <c r="M848" s="2">
        <v>2.11</v>
      </c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</row>
    <row r="849" spans="1:51" x14ac:dyDescent="0.2">
      <c r="A849" s="4">
        <v>1995</v>
      </c>
      <c r="B849" s="2">
        <v>7.5999999999999998E-2</v>
      </c>
      <c r="C849" s="2">
        <v>0.11700000000000001</v>
      </c>
      <c r="D849" s="2">
        <v>0.14000000000000001</v>
      </c>
      <c r="E849" s="2">
        <v>0.191</v>
      </c>
      <c r="F849" s="2">
        <v>0.27</v>
      </c>
      <c r="G849" s="2">
        <v>0.35699999999999998</v>
      </c>
      <c r="H849" s="2">
        <v>0.434</v>
      </c>
      <c r="I849" s="2">
        <v>0.503</v>
      </c>
      <c r="J849" s="2">
        <v>0.57699999999999996</v>
      </c>
      <c r="K849" s="2">
        <v>0.68899999999999995</v>
      </c>
      <c r="L849" s="2">
        <v>1.089</v>
      </c>
      <c r="M849" s="2">
        <v>1.9790000000000001</v>
      </c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</row>
    <row r="850" spans="1:51" x14ac:dyDescent="0.2">
      <c r="A850" s="4">
        <v>1996</v>
      </c>
      <c r="B850" s="2">
        <v>0.1</v>
      </c>
      <c r="C850" s="2">
        <v>0.124</v>
      </c>
      <c r="D850" s="2">
        <v>0.159</v>
      </c>
      <c r="E850" s="2">
        <v>0.19700000000000001</v>
      </c>
      <c r="F850" s="2">
        <v>0.23300000000000001</v>
      </c>
      <c r="G850" s="2">
        <v>0.34200000000000003</v>
      </c>
      <c r="H850" s="2">
        <v>0.44400000000000001</v>
      </c>
      <c r="I850" s="2">
        <v>0.51200000000000001</v>
      </c>
      <c r="J850" s="2">
        <v>0.58799999999999997</v>
      </c>
      <c r="K850" s="2">
        <v>0.75</v>
      </c>
      <c r="L850" s="2">
        <v>1.012</v>
      </c>
      <c r="M850" s="2">
        <v>1.3720000000000001</v>
      </c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</row>
    <row r="851" spans="1:51" x14ac:dyDescent="0.2">
      <c r="A851" s="4">
        <v>1997</v>
      </c>
      <c r="B851" s="2">
        <v>5.1999999999999998E-2</v>
      </c>
      <c r="C851" s="2">
        <v>0.10299999999999999</v>
      </c>
      <c r="D851" s="2">
        <v>0.22</v>
      </c>
      <c r="E851" s="2">
        <v>0.24099999999999999</v>
      </c>
      <c r="F851" s="2">
        <v>0.27800000000000002</v>
      </c>
      <c r="G851" s="2">
        <v>0.33900000000000002</v>
      </c>
      <c r="H851" s="2">
        <v>0.46700000000000003</v>
      </c>
      <c r="I851" s="2">
        <v>0.58499999999999996</v>
      </c>
      <c r="J851" s="2">
        <v>0.70199999999999996</v>
      </c>
      <c r="K851" s="2">
        <v>0.77900000000000003</v>
      </c>
      <c r="L851" s="2">
        <v>0.88</v>
      </c>
      <c r="M851" s="2">
        <v>1.538</v>
      </c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</row>
    <row r="852" spans="1:51" x14ac:dyDescent="0.2">
      <c r="A852" s="4">
        <v>1998</v>
      </c>
      <c r="B852" s="2">
        <v>6.4000000000000001E-2</v>
      </c>
      <c r="C852" s="2">
        <v>9.0999999999999998E-2</v>
      </c>
      <c r="D852" s="2">
        <v>0.153</v>
      </c>
      <c r="E852" s="2">
        <v>0.26400000000000001</v>
      </c>
      <c r="F852" s="2">
        <v>0.309</v>
      </c>
      <c r="G852" s="2">
        <v>0.373</v>
      </c>
      <c r="H852" s="2">
        <v>0.46100000000000002</v>
      </c>
      <c r="I852" s="2">
        <v>0.58199999999999996</v>
      </c>
      <c r="J852" s="2">
        <v>0.69399999999999995</v>
      </c>
      <c r="K852" s="2">
        <v>0.83499999999999996</v>
      </c>
      <c r="L852" s="2">
        <v>0.97</v>
      </c>
      <c r="M852" s="2">
        <v>1.5980000000000001</v>
      </c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</row>
    <row r="853" spans="1:51" x14ac:dyDescent="0.2">
      <c r="A853" s="4">
        <v>1999</v>
      </c>
      <c r="B853" s="2">
        <v>3.6999999999999998E-2</v>
      </c>
      <c r="C853" s="2">
        <v>0.106</v>
      </c>
      <c r="D853" s="2">
        <v>0.13200000000000001</v>
      </c>
      <c r="E853" s="2">
        <v>0.186</v>
      </c>
      <c r="F853" s="2">
        <v>0.27100000000000002</v>
      </c>
      <c r="G853" s="2">
        <v>0.38100000000000001</v>
      </c>
      <c r="H853" s="2">
        <v>0.45100000000000001</v>
      </c>
      <c r="I853" s="2">
        <v>0.54200000000000004</v>
      </c>
      <c r="J853" s="2">
        <v>0.66700000000000004</v>
      </c>
      <c r="K853" s="2">
        <v>0.78700000000000003</v>
      </c>
      <c r="L853" s="2">
        <v>0.90100000000000002</v>
      </c>
      <c r="M853" s="2">
        <v>1.0529999999999999</v>
      </c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</row>
    <row r="854" spans="1:51" x14ac:dyDescent="0.2">
      <c r="A854" s="4">
        <v>2000</v>
      </c>
      <c r="B854" s="2">
        <v>6.3E-2</v>
      </c>
      <c r="C854" s="2">
        <v>8.3000000000000004E-2</v>
      </c>
      <c r="D854" s="2">
        <v>0.11799999999999999</v>
      </c>
      <c r="E854" s="2">
        <v>0.17699999999999999</v>
      </c>
      <c r="F854" s="2">
        <v>0.23899999999999999</v>
      </c>
      <c r="G854" s="2">
        <v>0.27500000000000002</v>
      </c>
      <c r="H854" s="2">
        <v>0.40899999999999997</v>
      </c>
      <c r="I854" s="2">
        <v>0.52400000000000002</v>
      </c>
      <c r="J854" s="2">
        <v>0.59399999999999997</v>
      </c>
      <c r="K854" s="2">
        <v>0.70899999999999996</v>
      </c>
      <c r="L854" s="2">
        <v>0.85099999999999998</v>
      </c>
      <c r="M854" s="2">
        <v>1.046</v>
      </c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</row>
    <row r="855" spans="1:51" x14ac:dyDescent="0.2">
      <c r="A855" s="4">
        <v>2001</v>
      </c>
      <c r="B855" s="2">
        <v>1.0999999999999999E-2</v>
      </c>
      <c r="C855" s="2">
        <v>8.8999999999999996E-2</v>
      </c>
      <c r="D855" s="2">
        <v>0.121</v>
      </c>
      <c r="E855" s="2">
        <v>0.18099999999999999</v>
      </c>
      <c r="F855" s="2">
        <v>0.246</v>
      </c>
      <c r="G855" s="2">
        <v>0.32</v>
      </c>
      <c r="H855" s="2">
        <v>0.40799999999999997</v>
      </c>
      <c r="I855" s="2">
        <v>0.57899999999999996</v>
      </c>
      <c r="J855" s="2">
        <v>0.71899999999999997</v>
      </c>
      <c r="K855" s="2">
        <v>0.85299999999999998</v>
      </c>
      <c r="L855" s="2">
        <v>0.96499999999999997</v>
      </c>
      <c r="M855" s="2">
        <v>1.1739999999999999</v>
      </c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</row>
    <row r="856" spans="1:51" x14ac:dyDescent="0.2">
      <c r="A856" s="4">
        <v>2002</v>
      </c>
      <c r="B856" s="2">
        <v>4.1000000000000002E-2</v>
      </c>
      <c r="C856" s="2">
        <v>8.4000000000000005E-2</v>
      </c>
      <c r="D856" s="2">
        <v>0.112</v>
      </c>
      <c r="E856" s="2">
        <v>0.224</v>
      </c>
      <c r="F856" s="2">
        <v>0.27</v>
      </c>
      <c r="G856" s="2">
        <v>0.33600000000000002</v>
      </c>
      <c r="H856" s="2">
        <v>0.46200000000000002</v>
      </c>
      <c r="I856" s="2">
        <v>0.64300000000000002</v>
      </c>
      <c r="J856" s="2">
        <v>0.80800000000000005</v>
      </c>
      <c r="K856" s="2">
        <v>0.86799999999999999</v>
      </c>
      <c r="L856" s="2">
        <v>1.0580000000000001</v>
      </c>
      <c r="M856" s="2">
        <v>1.421</v>
      </c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</row>
    <row r="857" spans="1:51" x14ac:dyDescent="0.2">
      <c r="A857" s="4">
        <v>2003</v>
      </c>
      <c r="B857" s="2">
        <v>7.0000000000000007E-2</v>
      </c>
      <c r="C857" s="2">
        <v>9.8000000000000004E-2</v>
      </c>
      <c r="D857" s="2">
        <v>0.14499999999999999</v>
      </c>
      <c r="E857" s="2">
        <v>0.192</v>
      </c>
      <c r="F857" s="2">
        <v>0.27</v>
      </c>
      <c r="G857" s="2">
        <v>0.34</v>
      </c>
      <c r="H857" s="2">
        <v>0.42899999999999999</v>
      </c>
      <c r="I857" s="2">
        <v>0.57699999999999996</v>
      </c>
      <c r="J857" s="2">
        <v>0.80700000000000005</v>
      </c>
      <c r="K857" s="2">
        <v>0.96499999999999997</v>
      </c>
      <c r="L857" s="2">
        <v>1.115</v>
      </c>
      <c r="M857" s="2">
        <v>1.367</v>
      </c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</row>
    <row r="858" spans="1:51" x14ac:dyDescent="0.2">
      <c r="A858" s="4">
        <v>2004</v>
      </c>
      <c r="B858" s="2">
        <v>6.0999999999999999E-2</v>
      </c>
      <c r="C858" s="2">
        <v>9.1999999999999998E-2</v>
      </c>
      <c r="D858" s="2">
        <v>0.151</v>
      </c>
      <c r="E858" s="2">
        <v>0.191</v>
      </c>
      <c r="F858" s="2">
        <v>0.28000000000000003</v>
      </c>
      <c r="G858" s="2">
        <v>0.35199999999999998</v>
      </c>
      <c r="H858" s="2">
        <v>0.52400000000000002</v>
      </c>
      <c r="I858" s="2">
        <v>0.68300000000000005</v>
      </c>
      <c r="J858" s="2">
        <v>0.94499999999999995</v>
      </c>
      <c r="K858" s="2">
        <v>1.216</v>
      </c>
      <c r="L858" s="2">
        <v>1.4259999999999999</v>
      </c>
      <c r="M858" s="2">
        <v>1.4770000000000001</v>
      </c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</row>
    <row r="859" spans="1:51" x14ac:dyDescent="0.2">
      <c r="A859" s="4">
        <v>2005</v>
      </c>
      <c r="B859" s="2">
        <v>0.104</v>
      </c>
      <c r="C859" s="2">
        <v>0.106</v>
      </c>
      <c r="D859" s="2">
        <v>0.14599999999999999</v>
      </c>
      <c r="E859" s="2">
        <v>0.20100000000000001</v>
      </c>
      <c r="F859" s="2">
        <v>0.26</v>
      </c>
      <c r="G859" s="2">
        <v>0.35499999999999998</v>
      </c>
      <c r="H859" s="2">
        <v>0.495</v>
      </c>
      <c r="I859" s="2">
        <v>0.68300000000000005</v>
      </c>
      <c r="J859" s="2">
        <v>0.88400000000000001</v>
      </c>
      <c r="K859" s="2">
        <v>1.0880000000000001</v>
      </c>
      <c r="L859" s="2">
        <v>1.4670000000000001</v>
      </c>
      <c r="M859" s="2">
        <v>1.647</v>
      </c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</row>
    <row r="860" spans="1:51" x14ac:dyDescent="0.2">
      <c r="A860" s="4">
        <v>2006</v>
      </c>
      <c r="B860" s="2">
        <v>8.4000000000000005E-2</v>
      </c>
      <c r="C860" s="2">
        <v>0.128</v>
      </c>
      <c r="D860" s="2">
        <v>0.13800000000000001</v>
      </c>
      <c r="E860" s="2">
        <v>0.17799999999999999</v>
      </c>
      <c r="F860" s="2">
        <v>0.248</v>
      </c>
      <c r="G860" s="2">
        <v>0.34</v>
      </c>
      <c r="H860" s="2">
        <v>0.54500000000000004</v>
      </c>
      <c r="I860" s="2">
        <v>0.80600000000000005</v>
      </c>
      <c r="J860" s="2">
        <v>1.0349999999999999</v>
      </c>
      <c r="K860" s="2">
        <v>1.246</v>
      </c>
      <c r="L860" s="2">
        <v>1.4119999999999999</v>
      </c>
      <c r="M860" s="2">
        <v>1.655</v>
      </c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</row>
    <row r="861" spans="1:51" x14ac:dyDescent="0.2">
      <c r="A861" s="4">
        <v>2007</v>
      </c>
      <c r="B861" s="2">
        <v>0.09</v>
      </c>
      <c r="C861" s="2">
        <v>0.109</v>
      </c>
      <c r="D861" s="2">
        <v>0.13400000000000001</v>
      </c>
      <c r="E861" s="2">
        <v>0.17399999999999999</v>
      </c>
      <c r="F861" s="2">
        <v>0.25</v>
      </c>
      <c r="G861" s="2">
        <v>0.33100000000000002</v>
      </c>
      <c r="H861" s="2">
        <v>0.46500000000000002</v>
      </c>
      <c r="I861" s="2">
        <v>0.74199999999999999</v>
      </c>
      <c r="J861" s="2">
        <v>1.0209999999999999</v>
      </c>
      <c r="K861" s="2">
        <v>1.258</v>
      </c>
      <c r="L861" s="2">
        <v>1.3759999999999999</v>
      </c>
      <c r="M861" s="2">
        <v>1.776</v>
      </c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</row>
    <row r="862" spans="1:51" x14ac:dyDescent="0.2">
      <c r="A862" s="4">
        <v>2008</v>
      </c>
      <c r="B862" s="2">
        <v>4.2999999999999997E-2</v>
      </c>
      <c r="C862" s="2">
        <v>6.4000000000000001E-2</v>
      </c>
      <c r="D862" s="2">
        <v>0.16300000000000001</v>
      </c>
      <c r="E862" s="2">
        <v>0.19600000000000001</v>
      </c>
      <c r="F862" s="2">
        <v>0.255</v>
      </c>
      <c r="G862" s="2">
        <v>0.34599999999999997</v>
      </c>
      <c r="H862" s="2">
        <v>0.46600000000000003</v>
      </c>
      <c r="I862" s="2">
        <v>0.75600000000000001</v>
      </c>
      <c r="J862" s="2">
        <v>0.999</v>
      </c>
      <c r="K862" s="2">
        <v>1.141</v>
      </c>
      <c r="L862" s="2">
        <v>1.228</v>
      </c>
      <c r="M862" s="2">
        <v>1.5629999999999999</v>
      </c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</row>
    <row r="863" spans="1:51" x14ac:dyDescent="0.2">
      <c r="A863" s="4">
        <v>2009</v>
      </c>
      <c r="B863" s="2">
        <v>6.6000000000000003E-2</v>
      </c>
      <c r="C863" s="2">
        <v>9.8000000000000004E-2</v>
      </c>
      <c r="D863" s="2">
        <v>0.122</v>
      </c>
      <c r="E863" s="2">
        <v>0.17899999999999999</v>
      </c>
      <c r="F863" s="2">
        <v>0.25800000000000001</v>
      </c>
      <c r="G863" s="2">
        <v>0.32500000000000001</v>
      </c>
      <c r="H863" s="2">
        <v>0.46100000000000002</v>
      </c>
      <c r="I863" s="2">
        <v>0.61399999999999999</v>
      </c>
      <c r="J863" s="2">
        <v>0.82799999999999996</v>
      </c>
      <c r="K863" s="2">
        <v>1.0740000000000001</v>
      </c>
      <c r="L863" s="2">
        <v>1.36</v>
      </c>
      <c r="M863" s="2">
        <v>1.671</v>
      </c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</row>
    <row r="864" spans="1:51" x14ac:dyDescent="0.2">
      <c r="A864" s="4">
        <v>2010</v>
      </c>
      <c r="B864" s="2">
        <v>3.1E-2</v>
      </c>
      <c r="C864" s="2">
        <v>7.3999999999999996E-2</v>
      </c>
      <c r="D864" s="2">
        <v>0.13</v>
      </c>
      <c r="E864" s="2">
        <v>0.2</v>
      </c>
      <c r="F864" s="2">
        <v>0.25700000000000001</v>
      </c>
      <c r="G864" s="2">
        <v>0.32900000000000001</v>
      </c>
      <c r="H864" s="2">
        <v>0.44500000000000001</v>
      </c>
      <c r="I864" s="2">
        <v>0.64500000000000002</v>
      </c>
      <c r="J864" s="2">
        <v>0.88300000000000001</v>
      </c>
      <c r="K864" s="2">
        <v>1.1020000000000001</v>
      </c>
      <c r="L864" s="2">
        <v>1.321</v>
      </c>
      <c r="M864" s="2">
        <v>1.649</v>
      </c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</row>
    <row r="865" spans="1:51" x14ac:dyDescent="0.2">
      <c r="A865" s="4">
        <v>2011</v>
      </c>
      <c r="B865" s="2">
        <v>3.5999999999999997E-2</v>
      </c>
      <c r="C865" s="2">
        <v>8.5999999999999993E-2</v>
      </c>
      <c r="D865" s="2">
        <v>0.11700000000000001</v>
      </c>
      <c r="E865" s="2">
        <v>0.186</v>
      </c>
      <c r="F865" s="2">
        <v>0.245</v>
      </c>
      <c r="G865" s="2">
        <v>0.307</v>
      </c>
      <c r="H865" s="2">
        <v>0.4</v>
      </c>
      <c r="I865" s="2">
        <v>0.56399999999999995</v>
      </c>
      <c r="J865" s="2">
        <v>0.76800000000000002</v>
      </c>
      <c r="K865" s="2">
        <v>1.0049999999999999</v>
      </c>
      <c r="L865" s="2">
        <v>1.2090000000000001</v>
      </c>
      <c r="M865" s="2">
        <v>1.5369999999999999</v>
      </c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</row>
    <row r="866" spans="1:51" x14ac:dyDescent="0.2">
      <c r="A866" s="4">
        <v>2012</v>
      </c>
      <c r="B866" s="2">
        <v>3.4000000000000002E-2</v>
      </c>
      <c r="C866" s="2">
        <v>0.08</v>
      </c>
      <c r="D866" s="2">
        <v>0.158</v>
      </c>
      <c r="E866" s="2">
        <v>0.193</v>
      </c>
      <c r="F866" s="2">
        <v>0.247</v>
      </c>
      <c r="G866" s="2">
        <v>0.307</v>
      </c>
      <c r="H866" s="2">
        <v>0.38700000000000001</v>
      </c>
      <c r="I866" s="2">
        <v>0.52800000000000002</v>
      </c>
      <c r="J866" s="2">
        <v>0.7</v>
      </c>
      <c r="K866" s="2">
        <v>0.89700000000000002</v>
      </c>
      <c r="L866" s="2">
        <v>1.087</v>
      </c>
      <c r="M866" s="2">
        <v>1.5409999999999999</v>
      </c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</row>
    <row r="867" spans="1:51" x14ac:dyDescent="0.2">
      <c r="A867" s="4">
        <v>2013</v>
      </c>
      <c r="B867" s="2">
        <v>2.9000000000000001E-2</v>
      </c>
      <c r="C867" s="2">
        <v>7.4999999999999997E-2</v>
      </c>
      <c r="D867" s="2">
        <v>0.113</v>
      </c>
      <c r="E867" s="2">
        <v>0.19600000000000001</v>
      </c>
      <c r="F867" s="2">
        <v>0.25900000000000001</v>
      </c>
      <c r="G867" s="2">
        <v>0.318</v>
      </c>
      <c r="H867" s="2">
        <v>0.39900000000000002</v>
      </c>
      <c r="I867" s="2">
        <v>0.51700000000000002</v>
      </c>
      <c r="J867" s="2">
        <v>0.64100000000000001</v>
      </c>
      <c r="K867" s="2">
        <v>0.76700000000000002</v>
      </c>
      <c r="L867" s="2">
        <v>0.91800000000000004</v>
      </c>
      <c r="M867" s="2">
        <v>1.296</v>
      </c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</row>
    <row r="868" spans="1:51" x14ac:dyDescent="0.2">
      <c r="A868" s="4">
        <v>2014</v>
      </c>
      <c r="B868" s="2">
        <v>3.3000000000000002E-2</v>
      </c>
      <c r="C868" s="2">
        <v>7.5999999999999998E-2</v>
      </c>
      <c r="D868" s="2">
        <v>0.11600000000000001</v>
      </c>
      <c r="E868" s="2">
        <v>0.14099999999999999</v>
      </c>
      <c r="F868" s="2">
        <v>0.26100000000000001</v>
      </c>
      <c r="G868" s="2">
        <v>0.35</v>
      </c>
      <c r="H868" s="2">
        <v>0.41899999999999998</v>
      </c>
      <c r="I868" s="2">
        <v>0.51600000000000001</v>
      </c>
      <c r="J868" s="2">
        <v>0.63100000000000001</v>
      </c>
      <c r="K868" s="2">
        <v>0.752</v>
      </c>
      <c r="L868" s="2">
        <v>0.92400000000000004</v>
      </c>
      <c r="M868" s="2">
        <v>1.2629999999999999</v>
      </c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</row>
    <row r="869" spans="1:51" x14ac:dyDescent="0.2">
      <c r="A869" s="4">
        <v>2015</v>
      </c>
      <c r="B869" s="2">
        <v>8.5999999999999993E-2</v>
      </c>
      <c r="C869" s="2">
        <v>7.3999999999999996E-2</v>
      </c>
      <c r="D869" s="2">
        <v>0.121</v>
      </c>
      <c r="E869" s="2">
        <v>0.17199999999999999</v>
      </c>
      <c r="F869" s="2">
        <v>0.22600000000000001</v>
      </c>
      <c r="G869" s="2">
        <v>0.33100000000000002</v>
      </c>
      <c r="H869" s="2">
        <v>0.43099999999999999</v>
      </c>
      <c r="I869" s="2">
        <v>0.51</v>
      </c>
      <c r="J869" s="2">
        <v>0.621</v>
      </c>
      <c r="K869" s="2">
        <v>0.75600000000000001</v>
      </c>
      <c r="L869" s="2">
        <v>0.90300000000000002</v>
      </c>
      <c r="M869" s="2">
        <v>1.177</v>
      </c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</row>
    <row r="870" spans="1:51" x14ac:dyDescent="0.2">
      <c r="A870" s="4">
        <v>2016</v>
      </c>
      <c r="B870" s="2">
        <v>3.5999999999999997E-2</v>
      </c>
      <c r="C870" s="2">
        <v>4.8000000000000001E-2</v>
      </c>
      <c r="D870" s="2">
        <v>6.9000000000000006E-2</v>
      </c>
      <c r="E870" s="2">
        <v>0.186</v>
      </c>
      <c r="F870" s="2">
        <v>0.254</v>
      </c>
      <c r="G870" s="2">
        <v>0.312</v>
      </c>
      <c r="H870" s="2">
        <v>0.41599999999999998</v>
      </c>
      <c r="I870" s="2">
        <v>0.51500000000000001</v>
      </c>
      <c r="J870" s="2">
        <v>0.60499999999999998</v>
      </c>
      <c r="K870" s="2">
        <v>0.71899999999999997</v>
      </c>
      <c r="L870" s="2">
        <v>0.86099999999999999</v>
      </c>
      <c r="M870" s="2">
        <v>1.1479999999999999</v>
      </c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</row>
    <row r="871" spans="1:51" x14ac:dyDescent="0.2">
      <c r="A871" s="4">
        <v>2017</v>
      </c>
      <c r="B871" s="2">
        <v>1.4E-2</v>
      </c>
      <c r="C871" s="2">
        <v>4.4999999999999998E-2</v>
      </c>
      <c r="D871" s="2">
        <v>0.109</v>
      </c>
      <c r="E871" s="2">
        <v>0.14199999999999999</v>
      </c>
      <c r="F871" s="2">
        <v>0.253</v>
      </c>
      <c r="G871" s="2">
        <v>0.33</v>
      </c>
      <c r="H871" s="2">
        <v>0.41099999999999998</v>
      </c>
      <c r="I871" s="2">
        <v>0.53200000000000003</v>
      </c>
      <c r="J871" s="2">
        <v>0.625</v>
      </c>
      <c r="K871" s="2">
        <v>0.76400000000000001</v>
      </c>
      <c r="L871" s="2">
        <v>0.88600000000000001</v>
      </c>
      <c r="M871" s="2">
        <v>1.1439999999999999</v>
      </c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</row>
    <row r="872" spans="1:51" x14ac:dyDescent="0.2">
      <c r="A872" s="4">
        <v>2018</v>
      </c>
      <c r="B872" s="2">
        <v>1.4E-2</v>
      </c>
      <c r="C872" s="2">
        <v>5.1999999999999998E-2</v>
      </c>
      <c r="D872" s="2">
        <v>0.10100000000000001</v>
      </c>
      <c r="E872" s="2">
        <v>0.17499999999999999</v>
      </c>
      <c r="F872" s="2">
        <v>0.23699999999999999</v>
      </c>
      <c r="G872" s="2">
        <v>0.313</v>
      </c>
      <c r="H872" s="2">
        <v>0.41499999999999998</v>
      </c>
      <c r="I872" s="2">
        <v>0.53900000000000003</v>
      </c>
      <c r="J872" s="2">
        <v>0.64900000000000002</v>
      </c>
      <c r="K872" s="2">
        <v>0.78700000000000003</v>
      </c>
      <c r="L872" s="2">
        <v>0.96399999999999997</v>
      </c>
      <c r="M872" s="2">
        <v>1.4730000000000001</v>
      </c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</row>
    <row r="873" spans="1:51" x14ac:dyDescent="0.2">
      <c r="A873" s="4">
        <v>2019</v>
      </c>
      <c r="B873" s="2">
        <v>1.9E-2</v>
      </c>
      <c r="C873" s="2">
        <v>6.7000000000000004E-2</v>
      </c>
      <c r="D873" s="2">
        <v>0.10100000000000001</v>
      </c>
      <c r="E873" s="2">
        <v>0.19</v>
      </c>
      <c r="F873" s="2">
        <v>0.28699999999999998</v>
      </c>
      <c r="G873" s="2">
        <v>0.35299999999999998</v>
      </c>
      <c r="H873" s="2">
        <v>0.46600000000000003</v>
      </c>
      <c r="I873" s="2">
        <v>0.61299999999999999</v>
      </c>
      <c r="J873" s="2">
        <v>0.77400000000000002</v>
      </c>
      <c r="K873" s="2">
        <v>0.92300000000000004</v>
      </c>
      <c r="L873" s="2">
        <v>1.173</v>
      </c>
      <c r="M873" s="2">
        <v>1.514</v>
      </c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</row>
    <row r="874" spans="1:51" x14ac:dyDescent="0.2">
      <c r="A874" s="4" t="s">
        <v>75</v>
      </c>
      <c r="B874" s="2">
        <v>7.0000000000000001E-3</v>
      </c>
      <c r="C874" s="2">
        <v>1.4E-2</v>
      </c>
      <c r="D874" s="2">
        <v>8.2000000000000003E-2</v>
      </c>
      <c r="E874" s="2">
        <v>0.20200000000000001</v>
      </c>
      <c r="F874" s="2">
        <v>0.26400000000000001</v>
      </c>
      <c r="G874" s="2">
        <v>0.35299999999999998</v>
      </c>
      <c r="H874" s="2">
        <v>0.47599999999999998</v>
      </c>
      <c r="I874" s="2">
        <v>0.55800000000000005</v>
      </c>
      <c r="J874" s="2">
        <v>0.71099999999999997</v>
      </c>
      <c r="K874" s="2">
        <v>0.91200000000000003</v>
      </c>
      <c r="L874" s="2">
        <v>1.1459999999999999</v>
      </c>
      <c r="M874" s="2">
        <v>1.6</v>
      </c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</row>
    <row r="875" spans="1:51" x14ac:dyDescent="0.2">
      <c r="A875" s="4">
        <v>1971</v>
      </c>
      <c r="B875" s="2">
        <v>5.1999999999999998E-2</v>
      </c>
      <c r="C875" s="2">
        <v>0.125</v>
      </c>
      <c r="D875" s="2">
        <v>0.26800000000000002</v>
      </c>
      <c r="E875" s="2">
        <v>0.26300000000000001</v>
      </c>
      <c r="F875" s="2">
        <v>0.31</v>
      </c>
      <c r="G875" s="2">
        <v>0.36199999999999999</v>
      </c>
      <c r="H875" s="2">
        <v>0.43099999999999999</v>
      </c>
      <c r="I875" s="2">
        <v>0.50700000000000001</v>
      </c>
      <c r="J875" s="2">
        <v>0.67800000000000005</v>
      </c>
      <c r="K875" s="2">
        <v>0.72599999999999998</v>
      </c>
      <c r="L875" s="2">
        <v>0.93600000000000005</v>
      </c>
      <c r="M875" s="2">
        <v>1.143</v>
      </c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</row>
    <row r="876" spans="1:51" x14ac:dyDescent="0.2">
      <c r="A876" s="4">
        <v>1972</v>
      </c>
      <c r="B876" s="2">
        <v>5.1999999999999998E-2</v>
      </c>
      <c r="C876" s="2">
        <v>9.2999999999999999E-2</v>
      </c>
      <c r="D876" s="2">
        <v>0.2171399</v>
      </c>
      <c r="E876" s="2">
        <v>0.266484</v>
      </c>
      <c r="F876" s="2">
        <v>0.37160189999999999</v>
      </c>
      <c r="G876" s="2">
        <v>0.46985529999999998</v>
      </c>
      <c r="H876" s="2">
        <v>0.60254890000000005</v>
      </c>
      <c r="I876" s="2">
        <v>0.64963400000000004</v>
      </c>
      <c r="J876" s="2">
        <v>0.74736329999999995</v>
      </c>
      <c r="K876" s="2">
        <v>0.7527412</v>
      </c>
      <c r="L876" s="2">
        <v>1.635556</v>
      </c>
      <c r="M876" s="2">
        <v>1.7204010000000001</v>
      </c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</row>
    <row r="877" spans="1:51" x14ac:dyDescent="0.2">
      <c r="A877" s="4">
        <v>1973</v>
      </c>
      <c r="B877" s="2">
        <v>5.1156334999999997E-2</v>
      </c>
      <c r="C877" s="2">
        <v>0.11269135700000001</v>
      </c>
      <c r="D877" s="2">
        <v>0.21576429</v>
      </c>
      <c r="E877" s="2">
        <v>0.276871653</v>
      </c>
      <c r="F877" s="2">
        <v>0.35855736100000002</v>
      </c>
      <c r="G877" s="2">
        <v>0.42754720400000001</v>
      </c>
      <c r="H877" s="2">
        <v>0.54448256900000003</v>
      </c>
      <c r="I877" s="2">
        <v>0.63244164300000005</v>
      </c>
      <c r="J877" s="2">
        <v>0.776859356</v>
      </c>
      <c r="K877" s="2">
        <v>0.83326121900000005</v>
      </c>
      <c r="L877" s="2">
        <v>1.3649336249999999</v>
      </c>
      <c r="M877" s="2">
        <v>1.457508185</v>
      </c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</row>
    <row r="878" spans="1:51" x14ac:dyDescent="0.2">
      <c r="A878" s="4">
        <v>1974</v>
      </c>
      <c r="B878" s="2">
        <v>5.0312669999999997E-2</v>
      </c>
      <c r="C878" s="2">
        <v>0.13238271300000001</v>
      </c>
      <c r="D878" s="2">
        <v>0.214388679</v>
      </c>
      <c r="E878" s="2">
        <v>0.28725930500000002</v>
      </c>
      <c r="F878" s="2">
        <v>0.34551282100000003</v>
      </c>
      <c r="G878" s="2">
        <v>0.385239108</v>
      </c>
      <c r="H878" s="2">
        <v>0.48641623699999997</v>
      </c>
      <c r="I878" s="2">
        <v>0.61524928499999998</v>
      </c>
      <c r="J878" s="2">
        <v>0.80635541200000005</v>
      </c>
      <c r="K878" s="2">
        <v>0.91378123700000002</v>
      </c>
      <c r="L878" s="2">
        <v>1.0943112500000001</v>
      </c>
      <c r="M878" s="2">
        <v>1.1946153690000001</v>
      </c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</row>
    <row r="879" spans="1:51" x14ac:dyDescent="0.2">
      <c r="A879" s="4">
        <v>1975</v>
      </c>
      <c r="B879" s="2">
        <v>5.6209082E-2</v>
      </c>
      <c r="C879" s="2">
        <v>9.3800479000000006E-2</v>
      </c>
      <c r="D879" s="2">
        <v>0.44480210399999998</v>
      </c>
      <c r="E879" s="2">
        <v>0.35272748100000001</v>
      </c>
      <c r="F879" s="2">
        <v>0.36919956399999998</v>
      </c>
      <c r="G879" s="2">
        <v>0.43705342400000002</v>
      </c>
      <c r="H879" s="2">
        <v>0.52465681099999995</v>
      </c>
      <c r="I879" s="2">
        <v>0.615550292</v>
      </c>
      <c r="J879" s="2">
        <v>0.65331058799999997</v>
      </c>
      <c r="K879" s="2">
        <v>0.83728944800000005</v>
      </c>
      <c r="L879" s="2">
        <v>1.0710033029999999</v>
      </c>
      <c r="M879" s="2">
        <v>1.1100000000000001</v>
      </c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</row>
    <row r="880" spans="1:51" x14ac:dyDescent="0.2">
      <c r="A880" s="4">
        <v>1976</v>
      </c>
      <c r="B880" s="2">
        <v>5.2840584000000003E-2</v>
      </c>
      <c r="C880" s="2">
        <v>0.106394397</v>
      </c>
      <c r="D880" s="2">
        <v>0.29211022800000003</v>
      </c>
      <c r="E880" s="2">
        <v>0.30215692900000002</v>
      </c>
      <c r="F880" s="2">
        <v>0.36210476200000002</v>
      </c>
      <c r="G880" s="2">
        <v>0.43071594400000002</v>
      </c>
      <c r="H880" s="2">
        <v>0.537873983</v>
      </c>
      <c r="I880" s="2">
        <v>0.62681119200000002</v>
      </c>
      <c r="J880" s="2">
        <v>0.73567643299999996</v>
      </c>
      <c r="K880" s="2">
        <v>0.83460396199999998</v>
      </c>
      <c r="L880" s="2">
        <v>1.266956851</v>
      </c>
      <c r="M880" s="2">
        <v>1.3416721229999999</v>
      </c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</row>
    <row r="881" spans="1:51" x14ac:dyDescent="0.2">
      <c r="A881" s="4">
        <v>1977</v>
      </c>
      <c r="B881" s="2">
        <v>0.12506348</v>
      </c>
      <c r="C881" s="2">
        <v>0.13132466000000001</v>
      </c>
      <c r="D881" s="2">
        <v>0.19282205899999999</v>
      </c>
      <c r="E881" s="2">
        <v>0.41565906000000002</v>
      </c>
      <c r="F881" s="2">
        <v>0.45121706</v>
      </c>
      <c r="G881" s="2">
        <v>0.61747255000000001</v>
      </c>
      <c r="H881" s="2">
        <v>0.74027778</v>
      </c>
      <c r="I881" s="2">
        <v>0.80396975000000004</v>
      </c>
      <c r="J881" s="2">
        <v>0.96805231999999997</v>
      </c>
      <c r="K881" s="2">
        <v>1.03428853</v>
      </c>
      <c r="L881" s="2">
        <v>1.13204685</v>
      </c>
      <c r="M881" s="2">
        <v>1.16434818</v>
      </c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</row>
    <row r="882" spans="1:51" x14ac:dyDescent="0.2">
      <c r="A882" s="4">
        <v>1978</v>
      </c>
      <c r="B882" s="2">
        <v>0.12506348</v>
      </c>
      <c r="C882" s="2">
        <v>0.13132466000000001</v>
      </c>
      <c r="D882" s="2">
        <v>0.19282205899999999</v>
      </c>
      <c r="E882" s="2">
        <v>0.41565906000000002</v>
      </c>
      <c r="F882" s="2">
        <v>0.45121706</v>
      </c>
      <c r="G882" s="2">
        <v>0.61747255000000001</v>
      </c>
      <c r="H882" s="2">
        <v>0.74027778</v>
      </c>
      <c r="I882" s="2">
        <v>0.80396975000000004</v>
      </c>
      <c r="J882" s="2">
        <v>0.96805231999999997</v>
      </c>
      <c r="K882" s="2">
        <v>1.03428853</v>
      </c>
      <c r="L882" s="2">
        <v>1.13204685</v>
      </c>
      <c r="M882" s="2">
        <v>1.16434818</v>
      </c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</row>
    <row r="883" spans="1:51" x14ac:dyDescent="0.2">
      <c r="A883" s="4">
        <v>1979</v>
      </c>
      <c r="B883" s="2" t="s">
        <v>76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</row>
    <row r="884" spans="1:51" x14ac:dyDescent="0.2">
      <c r="A884" s="4">
        <v>1980</v>
      </c>
      <c r="B884" s="2">
        <v>10.5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</row>
    <row r="885" spans="1:51" x14ac:dyDescent="0.2">
      <c r="A885" s="4">
        <v>1981</v>
      </c>
      <c r="B885" s="2" t="s">
        <v>77</v>
      </c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</row>
    <row r="886" spans="1:51" x14ac:dyDescent="0.2">
      <c r="A886" s="4">
        <v>1982</v>
      </c>
      <c r="B886" s="2">
        <v>1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</row>
    <row r="887" spans="1:51" x14ac:dyDescent="0.2">
      <c r="A887" s="4">
        <v>1983</v>
      </c>
      <c r="B887" s="2">
        <v>0</v>
      </c>
      <c r="C887" s="2">
        <v>0.76249999999999996</v>
      </c>
      <c r="D887" s="2">
        <v>0.24399999999999999</v>
      </c>
      <c r="E887" s="2">
        <v>2.1700000000000001E-2</v>
      </c>
      <c r="F887" s="5">
        <v>5.0000000000000001E-4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</row>
    <row r="888" spans="1:51" x14ac:dyDescent="0.2">
      <c r="A888" s="4">
        <v>1984</v>
      </c>
      <c r="B888" s="2">
        <v>0</v>
      </c>
      <c r="C888" s="2">
        <v>0.2215</v>
      </c>
      <c r="D888" s="2">
        <v>0.51170000000000004</v>
      </c>
      <c r="E888" s="2">
        <v>0.22900000000000001</v>
      </c>
      <c r="F888" s="2">
        <v>2.4299999999999999E-2</v>
      </c>
      <c r="G888" s="5">
        <v>6.9999999999999999E-4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</row>
    <row r="889" spans="1:51" x14ac:dyDescent="0.2">
      <c r="A889" s="4">
        <v>1985</v>
      </c>
      <c r="B889" s="2">
        <v>0</v>
      </c>
      <c r="C889" s="2">
        <v>1.5900000000000001E-2</v>
      </c>
      <c r="D889" s="2">
        <v>0.2253</v>
      </c>
      <c r="E889" s="2">
        <v>0.49909999999999999</v>
      </c>
      <c r="F889" s="2">
        <v>0.23200000000000001</v>
      </c>
      <c r="G889" s="2">
        <v>2.7400000000000001E-2</v>
      </c>
      <c r="H889" s="2">
        <v>1E-3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</row>
    <row r="890" spans="1:51" x14ac:dyDescent="0.2">
      <c r="A890" s="4">
        <v>1986</v>
      </c>
      <c r="B890" s="2">
        <v>0</v>
      </c>
      <c r="C890" s="5">
        <v>2.0000000000000001E-4</v>
      </c>
      <c r="D890" s="2">
        <v>1.8499999999999999E-2</v>
      </c>
      <c r="E890" s="2">
        <v>0.22869999999999999</v>
      </c>
      <c r="F890" s="2">
        <v>0.48699999999999999</v>
      </c>
      <c r="G890" s="2">
        <v>0.23400000000000001</v>
      </c>
      <c r="H890" s="2">
        <v>3.0599999999999999E-2</v>
      </c>
      <c r="I890" s="2">
        <v>1.2999999999999999E-3</v>
      </c>
      <c r="J890" s="2">
        <v>0</v>
      </c>
      <c r="K890" s="2">
        <v>0</v>
      </c>
      <c r="L890" s="2">
        <v>0</v>
      </c>
      <c r="M890" s="2">
        <v>0</v>
      </c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</row>
    <row r="891" spans="1:51" x14ac:dyDescent="0.2">
      <c r="A891" s="4">
        <v>1987</v>
      </c>
      <c r="B891" s="2">
        <v>0</v>
      </c>
      <c r="C891" s="2">
        <v>0</v>
      </c>
      <c r="D891" s="5">
        <v>2.9999999999999997E-4</v>
      </c>
      <c r="E891" s="2">
        <v>2.1299999999999999E-2</v>
      </c>
      <c r="F891" s="2">
        <v>0.2316</v>
      </c>
      <c r="G891" s="2">
        <v>0.47549999999999998</v>
      </c>
      <c r="H891" s="2">
        <v>0.23599999999999999</v>
      </c>
      <c r="I891" s="2">
        <v>3.3799999999999997E-2</v>
      </c>
      <c r="J891" s="2">
        <v>1.6000000000000001E-3</v>
      </c>
      <c r="K891" s="2">
        <v>0</v>
      </c>
      <c r="L891" s="2">
        <v>0</v>
      </c>
      <c r="M891" s="2">
        <v>0</v>
      </c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</row>
    <row r="892" spans="1:51" x14ac:dyDescent="0.2">
      <c r="A892" s="4">
        <v>1988</v>
      </c>
      <c r="B892" s="2">
        <v>0</v>
      </c>
      <c r="C892" s="2">
        <v>0</v>
      </c>
      <c r="D892" s="2">
        <v>0</v>
      </c>
      <c r="E892" s="5">
        <v>4.0000000000000002E-4</v>
      </c>
      <c r="F892" s="2">
        <v>2.4299999999999999E-2</v>
      </c>
      <c r="G892" s="2">
        <v>0.2341</v>
      </c>
      <c r="H892" s="2">
        <v>0.46439999999999998</v>
      </c>
      <c r="I892" s="2">
        <v>0.23799999999999999</v>
      </c>
      <c r="J892" s="2">
        <v>3.7199999999999997E-2</v>
      </c>
      <c r="K892" s="2">
        <v>2E-3</v>
      </c>
      <c r="L892" s="2">
        <v>0</v>
      </c>
      <c r="M892" s="2">
        <v>0</v>
      </c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</row>
    <row r="893" spans="1:51" x14ac:dyDescent="0.2">
      <c r="A893" s="4">
        <v>1989</v>
      </c>
      <c r="B893" s="2">
        <v>0</v>
      </c>
      <c r="C893" s="2">
        <v>0</v>
      </c>
      <c r="D893" s="2">
        <v>0</v>
      </c>
      <c r="E893" s="2">
        <v>0</v>
      </c>
      <c r="F893" s="5">
        <v>5.0000000000000001E-4</v>
      </c>
      <c r="G893" s="2">
        <v>2.7400000000000001E-2</v>
      </c>
      <c r="H893" s="2">
        <v>0.23619999999999999</v>
      </c>
      <c r="I893" s="2">
        <v>0.45379999999999998</v>
      </c>
      <c r="J893" s="2">
        <v>0.2394</v>
      </c>
      <c r="K893" s="2">
        <v>4.0500000000000001E-2</v>
      </c>
      <c r="L893" s="2">
        <v>2.5000000000000001E-3</v>
      </c>
      <c r="M893" s="5">
        <v>1E-4</v>
      </c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</row>
    <row r="894" spans="1:51" x14ac:dyDescent="0.2">
      <c r="A894" s="4">
        <v>1990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5">
        <v>6.9999999999999999E-4</v>
      </c>
      <c r="H894" s="2">
        <v>3.0599999999999999E-2</v>
      </c>
      <c r="I894" s="2">
        <v>0.23799999999999999</v>
      </c>
      <c r="J894" s="2">
        <v>0.44359999999999999</v>
      </c>
      <c r="K894" s="2">
        <v>0.24049999999999999</v>
      </c>
      <c r="L894" s="2">
        <v>4.3900000000000002E-2</v>
      </c>
      <c r="M894" s="2">
        <v>3.0999999999999999E-3</v>
      </c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</row>
    <row r="895" spans="1:51" x14ac:dyDescent="0.2">
      <c r="A895" s="4">
        <v>1991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1E-3</v>
      </c>
      <c r="I895" s="2">
        <v>3.3799999999999997E-2</v>
      </c>
      <c r="J895" s="2">
        <v>0.2394</v>
      </c>
      <c r="K895" s="2">
        <v>0.43390000000000001</v>
      </c>
      <c r="L895" s="2">
        <v>0.24129999999999999</v>
      </c>
      <c r="M895" s="2">
        <v>4.7300000000000002E-2</v>
      </c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</row>
    <row r="896" spans="1:51" x14ac:dyDescent="0.2">
      <c r="A896" s="4">
        <v>1992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1.2999999999999999E-3</v>
      </c>
      <c r="J896" s="2">
        <v>3.7199999999999997E-2</v>
      </c>
      <c r="K896" s="2">
        <v>0.24049999999999999</v>
      </c>
      <c r="L896" s="2">
        <v>0.42449999999999999</v>
      </c>
      <c r="M896" s="2">
        <v>0.24179999999999999</v>
      </c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</row>
    <row r="897" spans="1:51" x14ac:dyDescent="0.2">
      <c r="A897" s="4">
        <v>1993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1.6000000000000001E-3</v>
      </c>
      <c r="K897" s="2">
        <v>4.2599999999999999E-2</v>
      </c>
      <c r="L897" s="2">
        <v>0.28770000000000001</v>
      </c>
      <c r="M897" s="2">
        <v>0.70779999999999998</v>
      </c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</row>
    <row r="898" spans="1:51" x14ac:dyDescent="0.2">
      <c r="A898" s="4">
        <v>1994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</row>
    <row r="899" spans="1:51" x14ac:dyDescent="0.2">
      <c r="A899" s="4">
        <v>1995</v>
      </c>
      <c r="B899" s="2">
        <v>7.0000000000000007E-2</v>
      </c>
      <c r="C899" s="2">
        <v>9.8000000000000004E-2</v>
      </c>
      <c r="D899" s="2">
        <v>0.14499999999999999</v>
      </c>
      <c r="E899" s="2">
        <v>0.192</v>
      </c>
      <c r="F899" s="2">
        <v>0.27</v>
      </c>
      <c r="G899" s="2">
        <v>0.34</v>
      </c>
      <c r="H899" s="2">
        <v>0.42899999999999999</v>
      </c>
      <c r="I899" s="2">
        <v>0.57699999999999996</v>
      </c>
      <c r="J899" s="2">
        <v>0.80700000000000005</v>
      </c>
      <c r="K899" s="2">
        <v>0.96499999999999997</v>
      </c>
      <c r="L899" s="2">
        <v>1.115</v>
      </c>
      <c r="M899" s="2">
        <v>1.367</v>
      </c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</row>
    <row r="900" spans="1:51" x14ac:dyDescent="0.2">
      <c r="A900" s="4">
        <v>1996</v>
      </c>
      <c r="B900" s="2">
        <v>6.0999999999999999E-2</v>
      </c>
      <c r="C900" s="2">
        <v>9.1999999999999998E-2</v>
      </c>
      <c r="D900" s="2">
        <v>0.151</v>
      </c>
      <c r="E900" s="2">
        <v>0.191</v>
      </c>
      <c r="F900" s="2">
        <v>0.28000000000000003</v>
      </c>
      <c r="G900" s="2">
        <v>0.35199999999999998</v>
      </c>
      <c r="H900" s="2">
        <v>0.52400000000000002</v>
      </c>
      <c r="I900" s="2">
        <v>0.68300000000000005</v>
      </c>
      <c r="J900" s="2">
        <v>0.94499999999999995</v>
      </c>
      <c r="K900" s="2">
        <v>1.216</v>
      </c>
      <c r="L900" s="2">
        <v>1.4259999999999999</v>
      </c>
      <c r="M900" s="2">
        <v>1.4770000000000001</v>
      </c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</row>
    <row r="901" spans="1:51" x14ac:dyDescent="0.2">
      <c r="A901" s="4">
        <v>1997</v>
      </c>
      <c r="B901" s="2">
        <v>0.104</v>
      </c>
      <c r="C901" s="2">
        <v>0.106</v>
      </c>
      <c r="D901" s="2">
        <v>0.14599999999999999</v>
      </c>
      <c r="E901" s="2">
        <v>0.20100000000000001</v>
      </c>
      <c r="F901" s="2">
        <v>0.26</v>
      </c>
      <c r="G901" s="2">
        <v>0.35499999999999998</v>
      </c>
      <c r="H901" s="2">
        <v>0.495</v>
      </c>
      <c r="I901" s="2">
        <v>0.68300000000000005</v>
      </c>
      <c r="J901" s="2">
        <v>0.88400000000000001</v>
      </c>
      <c r="K901" s="2">
        <v>1.0880000000000001</v>
      </c>
      <c r="L901" s="2">
        <v>1.4670000000000001</v>
      </c>
      <c r="M901" s="2">
        <v>1.647</v>
      </c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</row>
    <row r="902" spans="1:51" x14ac:dyDescent="0.2">
      <c r="A902" s="4">
        <v>1998</v>
      </c>
      <c r="B902" s="2">
        <v>8.4000000000000005E-2</v>
      </c>
      <c r="C902" s="2">
        <v>0.128</v>
      </c>
      <c r="D902" s="2">
        <v>0.13800000000000001</v>
      </c>
      <c r="E902" s="2">
        <v>0.17799999999999999</v>
      </c>
      <c r="F902" s="2">
        <v>0.248</v>
      </c>
      <c r="G902" s="2">
        <v>0.34</v>
      </c>
      <c r="H902" s="2">
        <v>0.54500000000000004</v>
      </c>
      <c r="I902" s="2">
        <v>0.80600000000000005</v>
      </c>
      <c r="J902" s="2">
        <v>1.0349999999999999</v>
      </c>
      <c r="K902" s="2">
        <v>1.246</v>
      </c>
      <c r="L902" s="2">
        <v>1.4119999999999999</v>
      </c>
      <c r="M902" s="2">
        <v>1.655</v>
      </c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</row>
    <row r="903" spans="1:51" x14ac:dyDescent="0.2">
      <c r="A903" s="4">
        <v>1999</v>
      </c>
      <c r="B903" s="2">
        <v>0.09</v>
      </c>
      <c r="C903" s="2">
        <v>0.109</v>
      </c>
      <c r="D903" s="2">
        <v>0.13400000000000001</v>
      </c>
      <c r="E903" s="2">
        <v>0.17399999999999999</v>
      </c>
      <c r="F903" s="2">
        <v>0.25</v>
      </c>
      <c r="G903" s="2">
        <v>0.33100000000000002</v>
      </c>
      <c r="H903" s="2">
        <v>0.46500000000000002</v>
      </c>
      <c r="I903" s="2">
        <v>0.74199999999999999</v>
      </c>
      <c r="J903" s="2">
        <v>1.0209999999999999</v>
      </c>
      <c r="K903" s="2">
        <v>1.258</v>
      </c>
      <c r="L903" s="2">
        <v>1.3759999999999999</v>
      </c>
      <c r="M903" s="2">
        <v>1.776</v>
      </c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</row>
    <row r="904" spans="1:51" x14ac:dyDescent="0.2">
      <c r="A904" s="4">
        <v>2000</v>
      </c>
      <c r="B904" s="2">
        <v>4.2999999999999997E-2</v>
      </c>
      <c r="C904" s="2">
        <v>6.4000000000000001E-2</v>
      </c>
      <c r="D904" s="2">
        <v>0.16300000000000001</v>
      </c>
      <c r="E904" s="2">
        <v>0.19600000000000001</v>
      </c>
      <c r="F904" s="2">
        <v>0.255</v>
      </c>
      <c r="G904" s="2">
        <v>0.34599999999999997</v>
      </c>
      <c r="H904" s="2">
        <v>0.46600000000000003</v>
      </c>
      <c r="I904" s="2">
        <v>0.75600000000000001</v>
      </c>
      <c r="J904" s="2">
        <v>0.999</v>
      </c>
      <c r="K904" s="2">
        <v>1.141</v>
      </c>
      <c r="L904" s="2">
        <v>1.228</v>
      </c>
      <c r="M904" s="2">
        <v>1.5629999999999999</v>
      </c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</row>
    <row r="905" spans="1:51" x14ac:dyDescent="0.2">
      <c r="A905" s="4">
        <v>2001</v>
      </c>
      <c r="B905" s="2">
        <v>6.6000000000000003E-2</v>
      </c>
      <c r="C905" s="2">
        <v>9.8000000000000004E-2</v>
      </c>
      <c r="D905" s="2">
        <v>0.122</v>
      </c>
      <c r="E905" s="2">
        <v>0.17899999999999999</v>
      </c>
      <c r="F905" s="2">
        <v>0.25800000000000001</v>
      </c>
      <c r="G905" s="2">
        <v>0.32500000000000001</v>
      </c>
      <c r="H905" s="2">
        <v>0.46100000000000002</v>
      </c>
      <c r="I905" s="2">
        <v>0.61399999999999999</v>
      </c>
      <c r="J905" s="2">
        <v>0.82799999999999996</v>
      </c>
      <c r="K905" s="2">
        <v>1.0740000000000001</v>
      </c>
      <c r="L905" s="2">
        <v>1.36</v>
      </c>
      <c r="M905" s="2">
        <v>1.671</v>
      </c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</row>
    <row r="906" spans="1:51" x14ac:dyDescent="0.2">
      <c r="A906" s="4">
        <v>2002</v>
      </c>
      <c r="B906" s="2">
        <v>3.1E-2</v>
      </c>
      <c r="C906" s="2">
        <v>7.3999999999999996E-2</v>
      </c>
      <c r="D906" s="2">
        <v>0.13</v>
      </c>
      <c r="E906" s="2">
        <v>0.2</v>
      </c>
      <c r="F906" s="2">
        <v>0.25700000000000001</v>
      </c>
      <c r="G906" s="2">
        <v>0.32900000000000001</v>
      </c>
      <c r="H906" s="2">
        <v>0.44500000000000001</v>
      </c>
      <c r="I906" s="2">
        <v>0.64500000000000002</v>
      </c>
      <c r="J906" s="2">
        <v>0.88300000000000001</v>
      </c>
      <c r="K906" s="2">
        <v>1.1020000000000001</v>
      </c>
      <c r="L906" s="2">
        <v>1.321</v>
      </c>
      <c r="M906" s="2">
        <v>1.649</v>
      </c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</row>
    <row r="907" spans="1:51" x14ac:dyDescent="0.2">
      <c r="A907" s="4">
        <v>2003</v>
      </c>
      <c r="B907" s="2">
        <v>3.5999999999999997E-2</v>
      </c>
      <c r="C907" s="2">
        <v>8.5999999999999993E-2</v>
      </c>
      <c r="D907" s="2">
        <v>0.11700000000000001</v>
      </c>
      <c r="E907" s="2">
        <v>0.186</v>
      </c>
      <c r="F907" s="2">
        <v>0.245</v>
      </c>
      <c r="G907" s="2">
        <v>0.307</v>
      </c>
      <c r="H907" s="2">
        <v>0.4</v>
      </c>
      <c r="I907" s="2">
        <v>0.56399999999999995</v>
      </c>
      <c r="J907" s="2">
        <v>0.76800000000000002</v>
      </c>
      <c r="K907" s="2">
        <v>1.0049999999999999</v>
      </c>
      <c r="L907" s="2">
        <v>1.2090000000000001</v>
      </c>
      <c r="M907" s="2">
        <v>1.5369999999999999</v>
      </c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</row>
    <row r="908" spans="1:51" x14ac:dyDescent="0.2">
      <c r="A908" s="4">
        <v>2004</v>
      </c>
      <c r="B908" s="2">
        <v>3.4000000000000002E-2</v>
      </c>
      <c r="C908" s="2">
        <v>0.08</v>
      </c>
      <c r="D908" s="2">
        <v>0.158</v>
      </c>
      <c r="E908" s="2">
        <v>0.193</v>
      </c>
      <c r="F908" s="2">
        <v>0.247</v>
      </c>
      <c r="G908" s="2">
        <v>0.307</v>
      </c>
      <c r="H908" s="2">
        <v>0.38700000000000001</v>
      </c>
      <c r="I908" s="2">
        <v>0.52800000000000002</v>
      </c>
      <c r="J908" s="2">
        <v>0.7</v>
      </c>
      <c r="K908" s="2">
        <v>0.89700000000000002</v>
      </c>
      <c r="L908" s="2">
        <v>1.087</v>
      </c>
      <c r="M908" s="2">
        <v>1.5409999999999999</v>
      </c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</row>
    <row r="909" spans="1:51" x14ac:dyDescent="0.2">
      <c r="A909" s="4">
        <v>2005</v>
      </c>
      <c r="B909" s="2">
        <v>2.9000000000000001E-2</v>
      </c>
      <c r="C909" s="2">
        <v>7.4999999999999997E-2</v>
      </c>
      <c r="D909" s="2">
        <v>0.113</v>
      </c>
      <c r="E909" s="2">
        <v>0.19600000000000001</v>
      </c>
      <c r="F909" s="2">
        <v>0.25900000000000001</v>
      </c>
      <c r="G909" s="2">
        <v>0.318</v>
      </c>
      <c r="H909" s="2">
        <v>0.39900000000000002</v>
      </c>
      <c r="I909" s="2">
        <v>0.51700000000000002</v>
      </c>
      <c r="J909" s="2">
        <v>0.64100000000000001</v>
      </c>
      <c r="K909" s="2">
        <v>0.76700000000000002</v>
      </c>
      <c r="L909" s="2">
        <v>0.91800000000000004</v>
      </c>
      <c r="M909" s="2">
        <v>1.296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</row>
    <row r="910" spans="1:51" x14ac:dyDescent="0.2">
      <c r="A910" s="4">
        <v>2006</v>
      </c>
      <c r="B910" s="2">
        <v>3.3000000000000002E-2</v>
      </c>
      <c r="C910" s="2">
        <v>7.5999999999999998E-2</v>
      </c>
      <c r="D910" s="2">
        <v>0.11600000000000001</v>
      </c>
      <c r="E910" s="2">
        <v>0.14099999999999999</v>
      </c>
      <c r="F910" s="2">
        <v>0.26100000000000001</v>
      </c>
      <c r="G910" s="2">
        <v>0.35</v>
      </c>
      <c r="H910" s="2">
        <v>0.41899999999999998</v>
      </c>
      <c r="I910" s="2">
        <v>0.51600000000000001</v>
      </c>
      <c r="J910" s="2">
        <v>0.63100000000000001</v>
      </c>
      <c r="K910" s="2">
        <v>0.752</v>
      </c>
      <c r="L910" s="2">
        <v>0.92400000000000004</v>
      </c>
      <c r="M910" s="2">
        <v>1.2629999999999999</v>
      </c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</row>
    <row r="911" spans="1:51" x14ac:dyDescent="0.2">
      <c r="A911" s="4">
        <v>2007</v>
      </c>
      <c r="B911" s="2">
        <v>8.5999999999999993E-2</v>
      </c>
      <c r="C911" s="2">
        <v>7.3999999999999996E-2</v>
      </c>
      <c r="D911" s="2">
        <v>0.121</v>
      </c>
      <c r="E911" s="2">
        <v>0.17199999999999999</v>
      </c>
      <c r="F911" s="2">
        <v>0.22600000000000001</v>
      </c>
      <c r="G911" s="2">
        <v>0.33100000000000002</v>
      </c>
      <c r="H911" s="2">
        <v>0.43099999999999999</v>
      </c>
      <c r="I911" s="2">
        <v>0.51</v>
      </c>
      <c r="J911" s="2">
        <v>0.621</v>
      </c>
      <c r="K911" s="2">
        <v>0.75600000000000001</v>
      </c>
      <c r="L911" s="2">
        <v>0.90300000000000002</v>
      </c>
      <c r="M911" s="2">
        <v>1.177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</row>
    <row r="912" spans="1:51" x14ac:dyDescent="0.2">
      <c r="A912" s="4">
        <v>2008</v>
      </c>
      <c r="B912" s="2">
        <v>3.5999999999999997E-2</v>
      </c>
      <c r="C912" s="2">
        <v>4.8000000000000001E-2</v>
      </c>
      <c r="D912" s="2">
        <v>6.9000000000000006E-2</v>
      </c>
      <c r="E912" s="2">
        <v>0.186</v>
      </c>
      <c r="F912" s="2">
        <v>0.254</v>
      </c>
      <c r="G912" s="2">
        <v>0.312</v>
      </c>
      <c r="H912" s="2">
        <v>0.41599999999999998</v>
      </c>
      <c r="I912" s="2">
        <v>0.51500000000000001</v>
      </c>
      <c r="J912" s="2">
        <v>0.60499999999999998</v>
      </c>
      <c r="K912" s="2">
        <v>0.71899999999999997</v>
      </c>
      <c r="L912" s="2">
        <v>0.86099999999999999</v>
      </c>
      <c r="M912" s="2">
        <v>1.1479999999999999</v>
      </c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</row>
    <row r="913" spans="1:51" x14ac:dyDescent="0.2">
      <c r="A913" s="4">
        <v>2009</v>
      </c>
      <c r="B913" s="2">
        <v>1.4E-2</v>
      </c>
      <c r="C913" s="2">
        <v>4.4999999999999998E-2</v>
      </c>
      <c r="D913" s="2">
        <v>0.109</v>
      </c>
      <c r="E913" s="2">
        <v>0.14199999999999999</v>
      </c>
      <c r="F913" s="2">
        <v>0.253</v>
      </c>
      <c r="G913" s="2">
        <v>0.33</v>
      </c>
      <c r="H913" s="2">
        <v>0.41099999999999998</v>
      </c>
      <c r="I913" s="2">
        <v>0.53200000000000003</v>
      </c>
      <c r="J913" s="2">
        <v>0.625</v>
      </c>
      <c r="K913" s="2">
        <v>0.76400000000000001</v>
      </c>
      <c r="L913" s="2">
        <v>0.88600000000000001</v>
      </c>
      <c r="M913" s="2">
        <v>1.1439999999999999</v>
      </c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</row>
    <row r="914" spans="1:51" x14ac:dyDescent="0.2">
      <c r="A914" s="4">
        <v>2010</v>
      </c>
      <c r="B914" s="2">
        <v>1.4E-2</v>
      </c>
      <c r="C914" s="2">
        <v>5.1999999999999998E-2</v>
      </c>
      <c r="D914" s="2">
        <v>0.10100000000000001</v>
      </c>
      <c r="E914" s="2">
        <v>0.17499999999999999</v>
      </c>
      <c r="F914" s="2">
        <v>0.23699999999999999</v>
      </c>
      <c r="G914" s="2">
        <v>0.313</v>
      </c>
      <c r="H914" s="2">
        <v>0.41499999999999998</v>
      </c>
      <c r="I914" s="2">
        <v>0.53900000000000003</v>
      </c>
      <c r="J914" s="2">
        <v>0.64900000000000002</v>
      </c>
      <c r="K914" s="2">
        <v>0.78700000000000003</v>
      </c>
      <c r="L914" s="2">
        <v>0.96399999999999997</v>
      </c>
      <c r="M914" s="2">
        <v>1.4730000000000001</v>
      </c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</row>
    <row r="915" spans="1:51" x14ac:dyDescent="0.2">
      <c r="A915" s="4">
        <v>2011</v>
      </c>
      <c r="B915" s="2">
        <v>1.9E-2</v>
      </c>
      <c r="C915" s="2">
        <v>6.7000000000000004E-2</v>
      </c>
      <c r="D915" s="2">
        <v>0.10100000000000001</v>
      </c>
      <c r="E915" s="2">
        <v>0.19</v>
      </c>
      <c r="F915" s="2">
        <v>0.28699999999999998</v>
      </c>
      <c r="G915" s="2">
        <v>0.35299999999999998</v>
      </c>
      <c r="H915" s="2">
        <v>0.46600000000000003</v>
      </c>
      <c r="I915" s="2">
        <v>0.61299999999999999</v>
      </c>
      <c r="J915" s="2">
        <v>0.77400000000000002</v>
      </c>
      <c r="K915" s="2">
        <v>0.92300000000000004</v>
      </c>
      <c r="L915" s="2">
        <v>1.173</v>
      </c>
      <c r="M915" s="2">
        <v>1.514</v>
      </c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</row>
    <row r="916" spans="1:51" x14ac:dyDescent="0.2">
      <c r="A916" s="4">
        <v>2012</v>
      </c>
      <c r="B916" s="2">
        <v>7.0000000000000001E-3</v>
      </c>
      <c r="C916" s="2">
        <v>1.4E-2</v>
      </c>
      <c r="D916" s="2">
        <v>8.2000000000000003E-2</v>
      </c>
      <c r="E916" s="2">
        <v>0.20200000000000001</v>
      </c>
      <c r="F916" s="2">
        <v>0.26400000000000001</v>
      </c>
      <c r="G916" s="2">
        <v>0.35299999999999998</v>
      </c>
      <c r="H916" s="2">
        <v>0.47599999999999998</v>
      </c>
      <c r="I916" s="2">
        <v>0.55800000000000005</v>
      </c>
      <c r="J916" s="2">
        <v>0.71099999999999997</v>
      </c>
      <c r="K916" s="2">
        <v>0.91200000000000003</v>
      </c>
      <c r="L916" s="2">
        <v>1.1459999999999999</v>
      </c>
      <c r="M916" s="2">
        <v>1.6</v>
      </c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</row>
    <row r="917" spans="1:51" x14ac:dyDescent="0.2">
      <c r="A917" s="4">
        <v>2013</v>
      </c>
      <c r="B917" s="2">
        <v>5.1999999999999998E-2</v>
      </c>
      <c r="C917" s="2">
        <v>0.125</v>
      </c>
      <c r="D917" s="2">
        <v>0.26800000000000002</v>
      </c>
      <c r="E917" s="2">
        <v>0.26300000000000001</v>
      </c>
      <c r="F917" s="2">
        <v>0.31</v>
      </c>
      <c r="G917" s="2">
        <v>0.36199999999999999</v>
      </c>
      <c r="H917" s="2">
        <v>0.43099999999999999</v>
      </c>
      <c r="I917" s="2">
        <v>0.50700000000000001</v>
      </c>
      <c r="J917" s="2">
        <v>0.67800000000000005</v>
      </c>
      <c r="K917" s="2">
        <v>0.72599999999999998</v>
      </c>
      <c r="L917" s="2">
        <v>0.93600000000000005</v>
      </c>
      <c r="M917" s="2">
        <v>1.143</v>
      </c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</row>
    <row r="918" spans="1:51" x14ac:dyDescent="0.2">
      <c r="A918" s="4">
        <v>2014</v>
      </c>
      <c r="B918" s="2">
        <v>5.1999999999999998E-2</v>
      </c>
      <c r="C918" s="2">
        <v>9.2999999999999999E-2</v>
      </c>
      <c r="D918" s="2">
        <v>0.2171399</v>
      </c>
      <c r="E918" s="2">
        <v>0.266484</v>
      </c>
      <c r="F918" s="2">
        <v>0.37160189999999999</v>
      </c>
      <c r="G918" s="2">
        <v>0.46985529999999998</v>
      </c>
      <c r="H918" s="2">
        <v>0.60254890000000005</v>
      </c>
      <c r="I918" s="2">
        <v>0.64963400000000004</v>
      </c>
      <c r="J918" s="2">
        <v>0.74736329999999995</v>
      </c>
      <c r="K918" s="2">
        <v>0.7527412</v>
      </c>
      <c r="L918" s="2">
        <v>1.635556</v>
      </c>
      <c r="M918" s="2">
        <v>1.7204010000000001</v>
      </c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</row>
    <row r="919" spans="1:51" x14ac:dyDescent="0.2">
      <c r="A919" s="4">
        <v>2015</v>
      </c>
      <c r="B919" s="2">
        <f>AVERAGE(B920,B918)</f>
        <v>5.1156334999999997E-2</v>
      </c>
      <c r="C919" s="2">
        <f t="shared" ref="C919:M919" si="0">AVERAGE(C920,C918)</f>
        <v>0.11269135650000001</v>
      </c>
      <c r="D919" s="2">
        <f t="shared" si="0"/>
        <v>0.21576428949999998</v>
      </c>
      <c r="E919" s="2">
        <f t="shared" si="0"/>
        <v>0.27687165250000001</v>
      </c>
      <c r="F919" s="2">
        <f t="shared" si="0"/>
        <v>0.35855736049999998</v>
      </c>
      <c r="G919" s="2">
        <f t="shared" si="0"/>
        <v>0.42754720400000001</v>
      </c>
      <c r="H919" s="2">
        <f t="shared" si="0"/>
        <v>0.54448256849999999</v>
      </c>
      <c r="I919" s="2">
        <f t="shared" si="0"/>
        <v>0.63244164250000001</v>
      </c>
      <c r="J919" s="2">
        <f t="shared" si="0"/>
        <v>0.776859356</v>
      </c>
      <c r="K919" s="2">
        <f t="shared" si="0"/>
        <v>0.83326121850000001</v>
      </c>
      <c r="L919" s="2">
        <f t="shared" si="0"/>
        <v>1.3649336249999999</v>
      </c>
      <c r="M919" s="2">
        <f t="shared" si="0"/>
        <v>1.4575081845</v>
      </c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</row>
    <row r="920" spans="1:51" x14ac:dyDescent="0.2">
      <c r="A920" s="4">
        <v>2016</v>
      </c>
      <c r="B920" s="2">
        <v>5.0312669999999997E-2</v>
      </c>
      <c r="C920" s="2">
        <v>0.13238271300000001</v>
      </c>
      <c r="D920" s="2">
        <v>0.214388679</v>
      </c>
      <c r="E920" s="2">
        <v>0.28725930500000002</v>
      </c>
      <c r="F920" s="2">
        <v>0.34551282100000003</v>
      </c>
      <c r="G920" s="2">
        <v>0.385239108</v>
      </c>
      <c r="H920" s="2">
        <v>0.48641623699999997</v>
      </c>
      <c r="I920" s="2">
        <v>0.61524928499999998</v>
      </c>
      <c r="J920" s="2">
        <v>0.80635541200000005</v>
      </c>
      <c r="K920" s="2">
        <v>0.91378123700000002</v>
      </c>
      <c r="L920" s="2">
        <v>1.0943112500000001</v>
      </c>
      <c r="M920" s="2">
        <v>1.1946153690000001</v>
      </c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</row>
    <row r="921" spans="1:51" x14ac:dyDescent="0.2">
      <c r="A921" s="4">
        <v>2017</v>
      </c>
      <c r="B921" s="2">
        <v>5.6209082E-2</v>
      </c>
      <c r="C921" s="2">
        <v>9.3800479000000006E-2</v>
      </c>
      <c r="D921" s="2">
        <v>0.44480210399999998</v>
      </c>
      <c r="E921" s="2">
        <v>0.35272748100000001</v>
      </c>
      <c r="F921" s="2">
        <v>0.36919956399999998</v>
      </c>
      <c r="G921" s="2">
        <v>0.43705342400000002</v>
      </c>
      <c r="H921" s="2">
        <v>0.52465681099999995</v>
      </c>
      <c r="I921" s="2">
        <v>0.615550292</v>
      </c>
      <c r="J921" s="2">
        <v>0.65331058799999997</v>
      </c>
      <c r="K921" s="2">
        <v>0.83728944800000005</v>
      </c>
      <c r="L921" s="2">
        <v>1.0710033029999999</v>
      </c>
      <c r="M921" s="2">
        <v>1.1100000000000001</v>
      </c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</row>
    <row r="922" spans="1:51" x14ac:dyDescent="0.2">
      <c r="A922" s="4">
        <v>2018</v>
      </c>
      <c r="B922" s="2">
        <f>AVERAGE(B918,B920:B921)</f>
        <v>5.2840583999999996E-2</v>
      </c>
      <c r="C922" s="2">
        <f t="shared" ref="C922:M922" si="1">AVERAGE(C918,C920:C921)</f>
        <v>0.10639439733333333</v>
      </c>
      <c r="D922" s="2">
        <f t="shared" si="1"/>
        <v>0.29211022766666667</v>
      </c>
      <c r="E922" s="2">
        <f t="shared" si="1"/>
        <v>0.30215692866666671</v>
      </c>
      <c r="F922" s="2">
        <f t="shared" si="1"/>
        <v>0.36210476166666661</v>
      </c>
      <c r="G922" s="2">
        <f t="shared" si="1"/>
        <v>0.43071594399999996</v>
      </c>
      <c r="H922" s="2">
        <f t="shared" si="1"/>
        <v>0.53787398266666664</v>
      </c>
      <c r="I922" s="2">
        <f t="shared" si="1"/>
        <v>0.62681119233333338</v>
      </c>
      <c r="J922" s="2">
        <f t="shared" si="1"/>
        <v>0.73567643333333332</v>
      </c>
      <c r="K922" s="2">
        <f t="shared" si="1"/>
        <v>0.83460396166666673</v>
      </c>
      <c r="L922" s="2">
        <f t="shared" si="1"/>
        <v>1.266956851</v>
      </c>
      <c r="M922" s="2">
        <f t="shared" si="1"/>
        <v>1.3416721230000002</v>
      </c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</row>
    <row r="923" spans="1:51" x14ac:dyDescent="0.2">
      <c r="A923" s="4">
        <v>2019</v>
      </c>
      <c r="B923" s="2">
        <f>AVERAGE(B918,B920:B921)</f>
        <v>5.2840583999999996E-2</v>
      </c>
      <c r="C923" s="2">
        <f t="shared" ref="C923:M923" si="2">AVERAGE(C918,C920:C921)</f>
        <v>0.10639439733333333</v>
      </c>
      <c r="D923" s="2">
        <f t="shared" si="2"/>
        <v>0.29211022766666667</v>
      </c>
      <c r="E923" s="2">
        <f t="shared" si="2"/>
        <v>0.30215692866666671</v>
      </c>
      <c r="F923" s="2">
        <f t="shared" si="2"/>
        <v>0.36210476166666661</v>
      </c>
      <c r="G923" s="2">
        <f t="shared" si="2"/>
        <v>0.43071594399999996</v>
      </c>
      <c r="H923" s="2">
        <f t="shared" si="2"/>
        <v>0.53787398266666664</v>
      </c>
      <c r="I923" s="2">
        <f t="shared" si="2"/>
        <v>0.62681119233333338</v>
      </c>
      <c r="J923" s="2">
        <f t="shared" si="2"/>
        <v>0.73567643333333332</v>
      </c>
      <c r="K923" s="2">
        <f t="shared" si="2"/>
        <v>0.83460396166666673</v>
      </c>
      <c r="L923" s="2">
        <f t="shared" si="2"/>
        <v>1.266956851</v>
      </c>
      <c r="M923" s="2">
        <f t="shared" si="2"/>
        <v>1.3416721230000002</v>
      </c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</row>
    <row r="924" spans="1:51" x14ac:dyDescent="0.2">
      <c r="A924" s="4"/>
      <c r="B924" s="2" t="s">
        <v>76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</row>
    <row r="925" spans="1:51" x14ac:dyDescent="0.2">
      <c r="A925" s="4"/>
      <c r="B925" s="2">
        <v>10.5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</row>
    <row r="926" spans="1:51" x14ac:dyDescent="0.2">
      <c r="A926" s="4"/>
      <c r="B926" s="2" t="s">
        <v>77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</row>
    <row r="927" spans="1:51" x14ac:dyDescent="0.2">
      <c r="A927" s="4"/>
      <c r="B927" s="2">
        <v>1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</row>
    <row r="928" spans="1:51" x14ac:dyDescent="0.2">
      <c r="A928" s="4"/>
      <c r="B928" s="2">
        <v>0</v>
      </c>
      <c r="C928" s="2">
        <v>0.76249999999999996</v>
      </c>
      <c r="D928" s="2">
        <v>0.24399999999999999</v>
      </c>
      <c r="E928" s="2">
        <v>2.1700000000000001E-2</v>
      </c>
      <c r="F928" s="5">
        <v>5.0000000000000001E-4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</row>
    <row r="929" spans="1:51" x14ac:dyDescent="0.2">
      <c r="A929" s="4"/>
      <c r="B929" s="2">
        <v>0</v>
      </c>
      <c r="C929" s="2">
        <v>0.2215</v>
      </c>
      <c r="D929" s="2">
        <v>0.51170000000000004</v>
      </c>
      <c r="E929" s="2">
        <v>0.22900000000000001</v>
      </c>
      <c r="F929" s="2">
        <v>2.4299999999999999E-2</v>
      </c>
      <c r="G929" s="5">
        <v>6.9999999999999999E-4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</row>
    <row r="930" spans="1:51" x14ac:dyDescent="0.2">
      <c r="A930" s="4"/>
      <c r="B930" s="2">
        <v>0</v>
      </c>
      <c r="C930" s="2">
        <v>1.5900000000000001E-2</v>
      </c>
      <c r="D930" s="2">
        <v>0.2253</v>
      </c>
      <c r="E930" s="2">
        <v>0.49909999999999999</v>
      </c>
      <c r="F930" s="2">
        <v>0.23200000000000001</v>
      </c>
      <c r="G930" s="2">
        <v>2.7400000000000001E-2</v>
      </c>
      <c r="H930" s="2">
        <v>1E-3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</row>
    <row r="931" spans="1:51" x14ac:dyDescent="0.2">
      <c r="A931" s="4"/>
      <c r="B931" s="2">
        <v>0</v>
      </c>
      <c r="C931" s="5">
        <v>2.0000000000000001E-4</v>
      </c>
      <c r="D931" s="2">
        <v>1.8499999999999999E-2</v>
      </c>
      <c r="E931" s="2">
        <v>0.22869999999999999</v>
      </c>
      <c r="F931" s="2">
        <v>0.48699999999999999</v>
      </c>
      <c r="G931" s="2">
        <v>0.23400000000000001</v>
      </c>
      <c r="H931" s="2">
        <v>3.0599999999999999E-2</v>
      </c>
      <c r="I931" s="2">
        <v>1.2999999999999999E-3</v>
      </c>
      <c r="J931" s="2">
        <v>0</v>
      </c>
      <c r="K931" s="2">
        <v>0</v>
      </c>
      <c r="L931" s="2">
        <v>0</v>
      </c>
      <c r="M931" s="2">
        <v>0</v>
      </c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</row>
    <row r="932" spans="1:51" x14ac:dyDescent="0.2">
      <c r="A932" s="4"/>
      <c r="B932" s="2">
        <v>0</v>
      </c>
      <c r="C932" s="2">
        <v>0</v>
      </c>
      <c r="D932" s="5">
        <v>2.9999999999999997E-4</v>
      </c>
      <c r="E932" s="2">
        <v>2.1299999999999999E-2</v>
      </c>
      <c r="F932" s="2">
        <v>0.2316</v>
      </c>
      <c r="G932" s="2">
        <v>0.47549999999999998</v>
      </c>
      <c r="H932" s="2">
        <v>0.23599999999999999</v>
      </c>
      <c r="I932" s="2">
        <v>3.3799999999999997E-2</v>
      </c>
      <c r="J932" s="2">
        <v>1.6000000000000001E-3</v>
      </c>
      <c r="K932" s="2">
        <v>0</v>
      </c>
      <c r="L932" s="2">
        <v>0</v>
      </c>
      <c r="M932" s="2">
        <v>0</v>
      </c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</row>
    <row r="933" spans="1:51" x14ac:dyDescent="0.2">
      <c r="A933" s="4"/>
      <c r="B933" s="2">
        <v>0</v>
      </c>
      <c r="C933" s="2">
        <v>0</v>
      </c>
      <c r="D933" s="2">
        <v>0</v>
      </c>
      <c r="E933" s="5">
        <v>4.0000000000000002E-4</v>
      </c>
      <c r="F933" s="2">
        <v>2.4299999999999999E-2</v>
      </c>
      <c r="G933" s="2">
        <v>0.2341</v>
      </c>
      <c r="H933" s="2">
        <v>0.46439999999999998</v>
      </c>
      <c r="I933" s="2">
        <v>0.23799999999999999</v>
      </c>
      <c r="J933" s="2">
        <v>3.7199999999999997E-2</v>
      </c>
      <c r="K933" s="2">
        <v>2E-3</v>
      </c>
      <c r="L933" s="2">
        <v>0</v>
      </c>
      <c r="M933" s="2">
        <v>0</v>
      </c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</row>
    <row r="934" spans="1:51" x14ac:dyDescent="0.2">
      <c r="A934" s="4"/>
      <c r="B934" s="2">
        <v>0</v>
      </c>
      <c r="C934" s="2">
        <v>0</v>
      </c>
      <c r="D934" s="2">
        <v>0</v>
      </c>
      <c r="E934" s="2">
        <v>0</v>
      </c>
      <c r="F934" s="5">
        <v>5.0000000000000001E-4</v>
      </c>
      <c r="G934" s="2">
        <v>2.7400000000000001E-2</v>
      </c>
      <c r="H934" s="2">
        <v>0.23619999999999999</v>
      </c>
      <c r="I934" s="2">
        <v>0.45379999999999998</v>
      </c>
      <c r="J934" s="2">
        <v>0.2394</v>
      </c>
      <c r="K934" s="2">
        <v>4.0500000000000001E-2</v>
      </c>
      <c r="L934" s="2">
        <v>2.5000000000000001E-3</v>
      </c>
      <c r="M934" s="5">
        <v>1E-4</v>
      </c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</row>
    <row r="935" spans="1:51" x14ac:dyDescent="0.2">
      <c r="A935" s="4"/>
      <c r="B935" s="2">
        <v>0</v>
      </c>
      <c r="C935" s="2">
        <v>0</v>
      </c>
      <c r="D935" s="2">
        <v>0</v>
      </c>
      <c r="E935" s="2">
        <v>0</v>
      </c>
      <c r="F935" s="2">
        <v>0</v>
      </c>
      <c r="G935" s="5">
        <v>6.9999999999999999E-4</v>
      </c>
      <c r="H935" s="2">
        <v>3.0599999999999999E-2</v>
      </c>
      <c r="I935" s="2">
        <v>0.23799999999999999</v>
      </c>
      <c r="J935" s="2">
        <v>0.44359999999999999</v>
      </c>
      <c r="K935" s="2">
        <v>0.24049999999999999</v>
      </c>
      <c r="L935" s="2">
        <v>4.3900000000000002E-2</v>
      </c>
      <c r="M935" s="2">
        <v>3.0999999999999999E-3</v>
      </c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</row>
    <row r="936" spans="1:51" x14ac:dyDescent="0.2">
      <c r="A936" s="4"/>
      <c r="B936" s="2">
        <v>0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1E-3</v>
      </c>
      <c r="I936" s="2">
        <v>3.3799999999999997E-2</v>
      </c>
      <c r="J936" s="2">
        <v>0.2394</v>
      </c>
      <c r="K936" s="2">
        <v>0.43390000000000001</v>
      </c>
      <c r="L936" s="2">
        <v>0.24129999999999999</v>
      </c>
      <c r="M936" s="2">
        <v>4.7300000000000002E-2</v>
      </c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</row>
    <row r="937" spans="1:51" x14ac:dyDescent="0.2">
      <c r="A937" s="4"/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1.2999999999999999E-3</v>
      </c>
      <c r="J937" s="2">
        <v>3.7199999999999997E-2</v>
      </c>
      <c r="K937" s="2">
        <v>0.24049999999999999</v>
      </c>
      <c r="L937" s="2">
        <v>0.42449999999999999</v>
      </c>
      <c r="M937" s="2">
        <v>0.24179999999999999</v>
      </c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</row>
    <row r="938" spans="1:51" x14ac:dyDescent="0.2">
      <c r="A938" s="2"/>
      <c r="B938" s="2">
        <v>0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1.6000000000000001E-3</v>
      </c>
      <c r="K938" s="2">
        <v>4.2599999999999999E-2</v>
      </c>
      <c r="L938" s="2">
        <v>0.28770000000000001</v>
      </c>
      <c r="M938" s="2">
        <v>0.70779999999999998</v>
      </c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bmittedby xmlns="13ee4869-2af3-4700-8d92-13fad0053a0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740F857F5E2A43A01AAC53EA3164A3" ma:contentTypeVersion="9" ma:contentTypeDescription="Create a new document." ma:contentTypeScope="" ma:versionID="bdd368be4256aad9d1d5c39ad52a6b4e">
  <xsd:schema xmlns:xsd="http://www.w3.org/2001/XMLSchema" xmlns:xs="http://www.w3.org/2001/XMLSchema" xmlns:p="http://schemas.microsoft.com/office/2006/metadata/properties" xmlns:ns2="13ee4869-2af3-4700-8d92-13fad0053a0c" xmlns:ns3="ce829e19-00a4-4c7f-9d63-af0d4b1815c6" targetNamespace="http://schemas.microsoft.com/office/2006/metadata/properties" ma:root="true" ma:fieldsID="8b3ad87ed09e2a958466afa197eb2e0c" ns2:_="" ns3:_="">
    <xsd:import namespace="13ee4869-2af3-4700-8d92-13fad0053a0c"/>
    <xsd:import namespace="ce829e19-00a4-4c7f-9d63-af0d4b181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Submittedby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e4869-2af3-4700-8d92-13fad0053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Submittedby" ma:index="12" nillable="true" ma:displayName="Submitted by" ma:format="Dropdown" ma:internalName="Submittedby">
      <xsd:simpleType>
        <xsd:restriction base="dms:Text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829e19-00a4-4c7f-9d63-af0d4b1815c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A4C37A-5637-475F-B74E-384EEEA21791}">
  <ds:schemaRefs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1665dcf5-7797-42e7-8c25-7864148475d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FB6EC82-D38E-4338-98EB-B86D490E9BD1}"/>
</file>

<file path=customXml/itemProps3.xml><?xml version="1.0" encoding="utf-8"?>
<ds:datastoreItem xmlns:ds="http://schemas.openxmlformats.org/officeDocument/2006/customXml" ds:itemID="{8F714F3F-9C53-4385-8E8B-2E775242E9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README.md</vt:lpstr>
      <vt:lpstr>mod0.00</vt:lpstr>
      <vt:lpstr>mod0.01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Qi</dc:creator>
  <cp:keywords/>
  <dc:description/>
  <cp:lastModifiedBy>Jim Ianelli</cp:lastModifiedBy>
  <cp:revision/>
  <dcterms:created xsi:type="dcterms:W3CDTF">2020-09-14T06:11:39Z</dcterms:created>
  <dcterms:modified xsi:type="dcterms:W3CDTF">2021-09-16T00:26:14Z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0x01010086740F857F5E2A43A01AAC53EA3164A3</vt:lpwstr>
  </property>
</Properties>
</file>