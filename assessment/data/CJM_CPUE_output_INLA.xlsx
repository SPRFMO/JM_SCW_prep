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/_mymods/sprfmo/jjm/assessment/data/"/>
    </mc:Choice>
  </mc:AlternateContent>
  <xr:revisionPtr revIDLastSave="0" documentId="13_ncr:1_{9C8A54AB-8D41-5F48-9446-E2C5A5CE47D7}" xr6:coauthVersionLast="47" xr6:coauthVersionMax="47" xr10:uidLastSave="{00000000-0000-0000-0000-000000000000}"/>
  <bookViews>
    <workbookView xWindow="0" yWindow="660" windowWidth="30240" windowHeight="18980" xr2:uid="{892A57BA-9D6B-B84F-829F-BFAA44CF0C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4" i="1" l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L34" i="1"/>
  <c r="K34" i="1"/>
  <c r="J34" i="1"/>
  <c r="G2" i="1"/>
  <c r="F2" i="1"/>
  <c r="G3" i="1"/>
  <c r="F3" i="1"/>
  <c r="G4" i="1"/>
  <c r="F4" i="1"/>
  <c r="G5" i="1"/>
  <c r="F5" i="1"/>
  <c r="L2" i="1"/>
  <c r="K2" i="1"/>
  <c r="J2" i="1"/>
  <c r="I2" i="1"/>
  <c r="L3" i="1"/>
  <c r="K3" i="1"/>
  <c r="J3" i="1"/>
  <c r="I3" i="1"/>
  <c r="L4" i="1"/>
  <c r="K4" i="1"/>
  <c r="J4" i="1"/>
  <c r="I4" i="1"/>
  <c r="L5" i="1"/>
  <c r="K5" i="1"/>
  <c r="J5" i="1"/>
  <c r="I5" i="1"/>
  <c r="J6" i="1"/>
  <c r="K6" i="1"/>
  <c r="L6" i="1"/>
  <c r="I6" i="1"/>
  <c r="Q1" i="1"/>
  <c r="M2" i="1" l="1"/>
  <c r="M3" i="1"/>
  <c r="M4" i="1"/>
  <c r="M5" i="1"/>
  <c r="G18" i="1"/>
  <c r="G21" i="1"/>
  <c r="G24" i="1"/>
  <c r="G29" i="1"/>
  <c r="G32" i="1"/>
  <c r="G34" i="1"/>
  <c r="F17" i="1"/>
  <c r="F18" i="1"/>
  <c r="F19" i="1"/>
  <c r="F25" i="1"/>
  <c r="F30" i="1"/>
  <c r="F31" i="1"/>
  <c r="F6" i="1"/>
  <c r="M6" i="1" s="1"/>
  <c r="G17" i="1"/>
  <c r="G19" i="1"/>
  <c r="G23" i="1"/>
  <c r="G28" i="1"/>
  <c r="G6" i="1"/>
  <c r="F8" i="1"/>
  <c r="F13" i="1"/>
  <c r="F14" i="1"/>
  <c r="F15" i="1"/>
  <c r="F16" i="1"/>
  <c r="F23" i="1"/>
  <c r="F24" i="1"/>
  <c r="F26" i="1"/>
  <c r="F27" i="1"/>
  <c r="F33" i="1"/>
  <c r="F34" i="1"/>
  <c r="G7" i="1"/>
  <c r="G8" i="1"/>
  <c r="G9" i="1"/>
  <c r="G10" i="1"/>
  <c r="G11" i="1"/>
  <c r="G20" i="1"/>
  <c r="G26" i="1"/>
  <c r="G30" i="1"/>
  <c r="G31" i="1"/>
  <c r="G33" i="1"/>
  <c r="F9" i="1"/>
  <c r="F10" i="1"/>
  <c r="F11" i="1"/>
  <c r="F20" i="1"/>
  <c r="F21" i="1"/>
  <c r="F28" i="1"/>
  <c r="G12" i="1"/>
  <c r="G13" i="1"/>
  <c r="G14" i="1"/>
  <c r="G15" i="1"/>
  <c r="G16" i="1"/>
  <c r="G22" i="1"/>
  <c r="G25" i="1"/>
  <c r="G27" i="1"/>
  <c r="F7" i="1"/>
  <c r="F12" i="1"/>
  <c r="F22" i="1"/>
  <c r="F29" i="1"/>
  <c r="F32" i="1"/>
  <c r="M9" i="1"/>
  <c r="M7" i="1"/>
  <c r="M8" i="1"/>
  <c r="M10" i="1"/>
  <c r="M12" i="1"/>
  <c r="M13" i="1"/>
  <c r="M14" i="1"/>
  <c r="M15" i="1"/>
  <c r="M16" i="1"/>
  <c r="M17" i="1"/>
  <c r="M18" i="1"/>
  <c r="M21" i="1"/>
  <c r="M22" i="1"/>
  <c r="M23" i="1"/>
  <c r="M31" i="1"/>
  <c r="M32" i="1"/>
  <c r="M33" i="1"/>
  <c r="M19" i="1"/>
  <c r="M20" i="1"/>
  <c r="M24" i="1"/>
  <c r="M25" i="1"/>
  <c r="M26" i="1"/>
  <c r="M27" i="1"/>
  <c r="M28" i="1"/>
  <c r="M29" i="1"/>
  <c r="M30" i="1"/>
  <c r="M11" i="1" l="1"/>
  <c r="M34" i="1" s="1"/>
</calcChain>
</file>

<file path=xl/sharedStrings.xml><?xml version="1.0" encoding="utf-8"?>
<sst xmlns="http://schemas.openxmlformats.org/spreadsheetml/2006/main" count="17" uniqueCount="10">
  <si>
    <t>Year_num</t>
  </si>
  <si>
    <t>mean_cpue</t>
  </si>
  <si>
    <t>sd_cpue</t>
  </si>
  <si>
    <t>cv</t>
  </si>
  <si>
    <t>catch_proportion_referenced_st_percent</t>
  </si>
  <si>
    <t>Mean 1998-2025</t>
  </si>
  <si>
    <t>wtd CV</t>
  </si>
  <si>
    <t>Multiplier</t>
  </si>
  <si>
    <t>Coverage</t>
  </si>
  <si>
    <t>1/CV_wt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</si>
</sst>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"/>
    <numFmt numFmtId="170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9" fontId="0" fillId="0" borderId="0" xfId="0" applyNumberFormat="1"/>
    <xf numFmtId="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E35B-3D4A-414F-B161-0F633D64431E}">
  <dimension ref="A1:V34"/>
  <sheetViews>
    <sheetView tabSelected="1" workbookViewId="0">
      <selection activeCell="T5" sqref="T2:V5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I1" t="s">
        <v>0</v>
      </c>
      <c r="J1" t="s">
        <v>1</v>
      </c>
      <c r="K1" t="s">
        <v>2</v>
      </c>
      <c r="L1" t="s">
        <v>3</v>
      </c>
      <c r="M1" t="s">
        <v>6</v>
      </c>
      <c r="N1" t="s">
        <v>8</v>
      </c>
      <c r="O1" t="s">
        <v>9</v>
      </c>
      <c r="Q1">
        <f>MAX(E6:E34)</f>
        <v>92.4</v>
      </c>
      <c r="T1" t="s">
        <v>0</v>
      </c>
      <c r="U1" t="s">
        <v>1</v>
      </c>
      <c r="V1" t="s">
        <v>6</v>
      </c>
    </row>
    <row r="2" spans="1:22" x14ac:dyDescent="0.2">
      <c r="A2">
        <v>1994</v>
      </c>
      <c r="B2">
        <v>85.369770000000003</v>
      </c>
      <c r="C2">
        <v>17.483647999999999</v>
      </c>
      <c r="D2">
        <v>0.20479903999999999</v>
      </c>
      <c r="E2">
        <v>0.3</v>
      </c>
      <c r="F2">
        <f>1/SQRT(E2/$Q$1)</f>
        <v>17.549928774784245</v>
      </c>
      <c r="G2">
        <f>1/(E2/$Q$1)</f>
        <v>308</v>
      </c>
      <c r="I2">
        <f>A2</f>
        <v>1994</v>
      </c>
      <c r="J2" s="3">
        <f t="shared" ref="J2" si="0">B2</f>
        <v>85.369770000000003</v>
      </c>
      <c r="K2" s="3">
        <f t="shared" ref="K2" si="1">C2</f>
        <v>17.483647999999999</v>
      </c>
      <c r="L2" s="2">
        <f t="shared" ref="L2" si="2">D2</f>
        <v>0.20479903999999999</v>
      </c>
      <c r="M2" s="2">
        <f t="shared" ref="M2" si="3">L2*F2</f>
        <v>3.5942085651441893</v>
      </c>
      <c r="N2">
        <v>0.3</v>
      </c>
      <c r="O2" s="1">
        <f>1/SQRT(N2/$Q$1)</f>
        <v>17.549928774784245</v>
      </c>
    </row>
    <row r="3" spans="1:22" x14ac:dyDescent="0.2">
      <c r="A3">
        <v>1995</v>
      </c>
      <c r="B3">
        <v>95.895610000000005</v>
      </c>
      <c r="C3">
        <v>12.781328</v>
      </c>
      <c r="D3">
        <v>0.13328377</v>
      </c>
      <c r="E3">
        <v>0.9</v>
      </c>
      <c r="F3">
        <f>1/SQRT(E3/$Q$1)</f>
        <v>10.132456102380443</v>
      </c>
      <c r="G3">
        <f>1/(E3/$Q$1)</f>
        <v>102.66666666666667</v>
      </c>
      <c r="I3">
        <f>A3</f>
        <v>1995</v>
      </c>
      <c r="J3" s="3">
        <f t="shared" ref="J3" si="4">B3</f>
        <v>95.895610000000005</v>
      </c>
      <c r="K3" s="3">
        <f t="shared" ref="K3" si="5">C3</f>
        <v>12.781328</v>
      </c>
      <c r="L3" s="2">
        <f t="shared" ref="L3" si="6">D3</f>
        <v>0.13328377</v>
      </c>
      <c r="M3" s="2">
        <f t="shared" ref="M3" si="7">L3*F3</f>
        <v>1.3504919486847713</v>
      </c>
      <c r="N3">
        <v>0.9</v>
      </c>
      <c r="O3" s="1">
        <f>1/SQRT(N3/$Q$1)</f>
        <v>10.132456102380443</v>
      </c>
    </row>
    <row r="4" spans="1:22" x14ac:dyDescent="0.2">
      <c r="A4">
        <v>1996</v>
      </c>
      <c r="B4">
        <v>109.03171</v>
      </c>
      <c r="C4">
        <v>13.294784</v>
      </c>
      <c r="D4">
        <v>0.12193502000000001</v>
      </c>
      <c r="E4">
        <v>1.9</v>
      </c>
      <c r="F4">
        <f>1/SQRT(E4/$Q$1)</f>
        <v>6.9736345579165837</v>
      </c>
      <c r="G4">
        <f>1/(E4/$Q$1)</f>
        <v>48.631578947368425</v>
      </c>
      <c r="I4">
        <f>A4</f>
        <v>1996</v>
      </c>
      <c r="J4" s="3">
        <f t="shared" ref="J4" si="8">B4</f>
        <v>109.03171</v>
      </c>
      <c r="K4" s="3">
        <f t="shared" ref="K4" si="9">C4</f>
        <v>13.294784</v>
      </c>
      <c r="L4" s="2">
        <f t="shared" ref="L4" si="10">D4</f>
        <v>0.12193502000000001</v>
      </c>
      <c r="M4" s="2">
        <f t="shared" ref="M4" si="11">L4*F4</f>
        <v>0.85033026929224986</v>
      </c>
      <c r="N4">
        <v>1.9</v>
      </c>
      <c r="O4" s="1">
        <f>1/SQRT(N4/$Q$1)</f>
        <v>6.9736345579165837</v>
      </c>
    </row>
    <row r="5" spans="1:22" x14ac:dyDescent="0.2">
      <c r="A5">
        <v>1997</v>
      </c>
      <c r="B5">
        <v>77.243219999999994</v>
      </c>
      <c r="C5">
        <v>11.940212000000001</v>
      </c>
      <c r="D5">
        <v>0.15457941</v>
      </c>
      <c r="E5">
        <v>2</v>
      </c>
      <c r="F5">
        <f>1/SQRT(E5/$Q$1)</f>
        <v>6.7970581871865718</v>
      </c>
      <c r="G5">
        <f>1/(E5/$Q$1)</f>
        <v>46.2</v>
      </c>
      <c r="I5">
        <f>A5</f>
        <v>1997</v>
      </c>
      <c r="J5" s="3">
        <f t="shared" ref="J5" si="12">B5</f>
        <v>77.243219999999994</v>
      </c>
      <c r="K5" s="3">
        <f t="shared" ref="K5" si="13">C5</f>
        <v>11.940212000000001</v>
      </c>
      <c r="L5" s="2">
        <f t="shared" ref="L5" si="14">D5</f>
        <v>0.15457941</v>
      </c>
      <c r="M5" s="2">
        <f t="shared" ref="M5" si="15">L5*F5</f>
        <v>1.0506852443109698</v>
      </c>
      <c r="N5">
        <v>2</v>
      </c>
      <c r="O5" s="1">
        <f>1/SQRT(N5/$Q$1)</f>
        <v>6.7970581871865718</v>
      </c>
    </row>
    <row r="6" spans="1:22" x14ac:dyDescent="0.2">
      <c r="A6">
        <v>1998</v>
      </c>
      <c r="B6">
        <v>100.26403000000001</v>
      </c>
      <c r="C6">
        <v>12.85995</v>
      </c>
      <c r="D6">
        <v>0.12826086</v>
      </c>
      <c r="E6">
        <v>8.6</v>
      </c>
      <c r="F6">
        <f>1/SQRT(E6/$Q$1)</f>
        <v>3.2778325226453577</v>
      </c>
      <c r="G6">
        <f>1/(E6/$Q$1)</f>
        <v>10.744186046511629</v>
      </c>
      <c r="I6">
        <f>A6</f>
        <v>1998</v>
      </c>
      <c r="J6" s="3">
        <f t="shared" ref="J6:M6" si="16">B6</f>
        <v>100.26403000000001</v>
      </c>
      <c r="K6" s="3">
        <f t="shared" si="16"/>
        <v>12.85995</v>
      </c>
      <c r="L6" s="2">
        <f t="shared" si="16"/>
        <v>0.12826086</v>
      </c>
      <c r="M6" s="2">
        <f t="shared" ref="M6:M33" si="17">L6*F6</f>
        <v>0.42041761829046309</v>
      </c>
      <c r="N6">
        <v>8.6</v>
      </c>
      <c r="O6" s="1">
        <f>1/SQRT(N6/$Q$1)</f>
        <v>3.2778325226453577</v>
      </c>
      <c r="T6">
        <v>1998</v>
      </c>
      <c r="U6">
        <v>100.26403000000001</v>
      </c>
      <c r="V6">
        <v>0.42041761829046309</v>
      </c>
    </row>
    <row r="7" spans="1:22" x14ac:dyDescent="0.2">
      <c r="A7">
        <v>1999</v>
      </c>
      <c r="B7">
        <v>91.383380000000002</v>
      </c>
      <c r="C7">
        <v>12.187901</v>
      </c>
      <c r="D7">
        <v>0.13337109999999999</v>
      </c>
      <c r="E7">
        <v>11.4</v>
      </c>
      <c r="F7">
        <f>1/SQRT(E7/$Q$1)</f>
        <v>2.8469743865891624</v>
      </c>
      <c r="G7">
        <f>1/(E7/$Q$1)</f>
        <v>8.1052631578947363</v>
      </c>
      <c r="I7">
        <v>1999</v>
      </c>
      <c r="J7" s="3">
        <v>91.383380000000002</v>
      </c>
      <c r="K7" s="3">
        <v>12.187901</v>
      </c>
      <c r="L7" s="2">
        <v>0.13337109999999999</v>
      </c>
      <c r="M7" s="2">
        <f t="shared" si="17"/>
        <v>0.37970410561122181</v>
      </c>
      <c r="N7">
        <v>11.4</v>
      </c>
      <c r="O7" s="1">
        <f>1/SQRT(N7/$Q$1)</f>
        <v>2.8469743865891624</v>
      </c>
      <c r="T7">
        <v>1999</v>
      </c>
      <c r="U7">
        <v>91.383380000000002</v>
      </c>
      <c r="V7">
        <v>0.37970410561122181</v>
      </c>
    </row>
    <row r="8" spans="1:22" x14ac:dyDescent="0.2">
      <c r="A8">
        <v>2000</v>
      </c>
      <c r="B8">
        <v>127.56303</v>
      </c>
      <c r="C8">
        <v>13.686669</v>
      </c>
      <c r="D8">
        <v>0.10729337999999999</v>
      </c>
      <c r="E8">
        <v>13.8</v>
      </c>
      <c r="F8">
        <f>1/SQRT(E8/$Q$1)</f>
        <v>2.5875958289333063</v>
      </c>
      <c r="G8">
        <f>1/(E8/$Q$1)</f>
        <v>6.6956521739130439</v>
      </c>
      <c r="I8">
        <v>2000</v>
      </c>
      <c r="J8" s="3">
        <v>127.56303</v>
      </c>
      <c r="K8" s="3">
        <v>13.686669</v>
      </c>
      <c r="L8" s="2">
        <v>0.10729337999999999</v>
      </c>
      <c r="M8" s="2">
        <f t="shared" si="17"/>
        <v>0.27763190256015619</v>
      </c>
      <c r="N8">
        <v>13.8</v>
      </c>
      <c r="O8" s="1">
        <f>1/SQRT(N8/$Q$1)</f>
        <v>2.5875958289333063</v>
      </c>
      <c r="T8">
        <v>2000</v>
      </c>
      <c r="U8">
        <v>127.56303</v>
      </c>
      <c r="V8">
        <v>0.27763190256015619</v>
      </c>
    </row>
    <row r="9" spans="1:22" x14ac:dyDescent="0.2">
      <c r="A9">
        <v>2001</v>
      </c>
      <c r="B9">
        <v>130.35971000000001</v>
      </c>
      <c r="C9">
        <v>15.79651</v>
      </c>
      <c r="D9">
        <v>0.12117632</v>
      </c>
      <c r="E9">
        <v>30.2</v>
      </c>
      <c r="F9">
        <f>1/SQRT(E9/$Q$1)</f>
        <v>1.7491719895443736</v>
      </c>
      <c r="G9">
        <f>1/(E9/$Q$1)</f>
        <v>3.0596026490066226</v>
      </c>
      <c r="I9">
        <v>2001</v>
      </c>
      <c r="J9" s="3">
        <v>130.35971000000001</v>
      </c>
      <c r="K9" s="3">
        <v>15.79651</v>
      </c>
      <c r="L9" s="2">
        <v>0.12117632</v>
      </c>
      <c r="M9" s="2">
        <f t="shared" si="17"/>
        <v>0.21195822474006568</v>
      </c>
      <c r="N9">
        <v>30.2</v>
      </c>
      <c r="O9" s="1">
        <f>1/SQRT(N9/$Q$1)</f>
        <v>1.7491719895443736</v>
      </c>
      <c r="T9">
        <v>2001</v>
      </c>
      <c r="U9">
        <v>130.35971000000001</v>
      </c>
      <c r="V9">
        <v>0.21195822474006568</v>
      </c>
    </row>
    <row r="10" spans="1:22" x14ac:dyDescent="0.2">
      <c r="A10">
        <v>2002</v>
      </c>
      <c r="B10">
        <v>120.46523000000001</v>
      </c>
      <c r="C10">
        <v>11.276674999999999</v>
      </c>
      <c r="D10">
        <v>9.3609380000000006E-2</v>
      </c>
      <c r="E10">
        <v>24.6</v>
      </c>
      <c r="F10">
        <f>1/SQRT(E10/$Q$1)</f>
        <v>1.9380654171042861</v>
      </c>
      <c r="G10">
        <f>1/(E10/$Q$1)</f>
        <v>3.75609756097561</v>
      </c>
      <c r="I10">
        <v>2002</v>
      </c>
      <c r="J10" s="3">
        <v>120.46523000000001</v>
      </c>
      <c r="K10" s="3">
        <v>11.276674999999999</v>
      </c>
      <c r="L10" s="2">
        <v>9.3609380000000006E-2</v>
      </c>
      <c r="M10" s="2">
        <f t="shared" si="17"/>
        <v>0.18142110209457363</v>
      </c>
      <c r="N10">
        <v>24.6</v>
      </c>
      <c r="O10" s="1">
        <f>1/SQRT(N10/$Q$1)</f>
        <v>1.9380654171042861</v>
      </c>
      <c r="T10">
        <v>2002</v>
      </c>
      <c r="U10">
        <v>120.46523000000001</v>
      </c>
      <c r="V10">
        <v>0.18142110209457363</v>
      </c>
    </row>
    <row r="11" spans="1:22" x14ac:dyDescent="0.2">
      <c r="A11">
        <v>2003</v>
      </c>
      <c r="B11">
        <v>138.18968000000001</v>
      </c>
      <c r="C11">
        <v>11.606441999999999</v>
      </c>
      <c r="D11">
        <v>8.3989209999999995E-2</v>
      </c>
      <c r="E11">
        <v>19.8</v>
      </c>
      <c r="F11">
        <f>1/SQRT(E11/$Q$1)</f>
        <v>2.1602468994692869</v>
      </c>
      <c r="G11">
        <f>1/(E11/$Q$1)</f>
        <v>4.666666666666667</v>
      </c>
      <c r="I11">
        <v>2003</v>
      </c>
      <c r="J11" s="3">
        <v>138.18968000000001</v>
      </c>
      <c r="K11" s="3">
        <v>11.606441999999999</v>
      </c>
      <c r="L11" s="2">
        <v>8.3989209999999995E-2</v>
      </c>
      <c r="M11" s="2">
        <f t="shared" si="17"/>
        <v>0.18143743049137481</v>
      </c>
      <c r="N11">
        <v>19.8</v>
      </c>
      <c r="O11" s="1">
        <f>1/SQRT(N11/$Q$1)</f>
        <v>2.1602468994692869</v>
      </c>
      <c r="T11">
        <v>2003</v>
      </c>
      <c r="U11">
        <v>138.18968000000001</v>
      </c>
      <c r="V11">
        <v>0.18143743049137481</v>
      </c>
    </row>
    <row r="12" spans="1:22" x14ac:dyDescent="0.2">
      <c r="A12">
        <v>2004</v>
      </c>
      <c r="B12">
        <v>163.07888</v>
      </c>
      <c r="C12">
        <v>12.033434</v>
      </c>
      <c r="D12">
        <v>7.378904E-2</v>
      </c>
      <c r="E12">
        <v>44.9</v>
      </c>
      <c r="F12">
        <f>1/SQRT(E12/$Q$1)</f>
        <v>1.4345405044115442</v>
      </c>
      <c r="G12">
        <f>1/(E12/$Q$1)</f>
        <v>2.0579064587973277</v>
      </c>
      <c r="I12">
        <v>2004</v>
      </c>
      <c r="J12" s="3">
        <v>163.07888</v>
      </c>
      <c r="K12" s="3">
        <v>12.033434</v>
      </c>
      <c r="L12" s="2">
        <v>7.378904E-2</v>
      </c>
      <c r="M12" s="2">
        <f t="shared" si="17"/>
        <v>0.10585336666164362</v>
      </c>
      <c r="N12">
        <v>44.9</v>
      </c>
      <c r="O12" s="1">
        <f>1/SQRT(N12/$Q$1)</f>
        <v>1.4345405044115442</v>
      </c>
      <c r="T12">
        <v>2004</v>
      </c>
      <c r="U12">
        <v>163.07888</v>
      </c>
      <c r="V12">
        <v>0.10585336666164362</v>
      </c>
    </row>
    <row r="13" spans="1:22" x14ac:dyDescent="0.2">
      <c r="A13">
        <v>2005</v>
      </c>
      <c r="B13">
        <v>193.94189</v>
      </c>
      <c r="C13">
        <v>14.731427999999999</v>
      </c>
      <c r="D13">
        <v>7.5957949999999996E-2</v>
      </c>
      <c r="E13">
        <v>43.6</v>
      </c>
      <c r="F13">
        <f>1/SQRT(E13/$Q$1)</f>
        <v>1.4557699183064168</v>
      </c>
      <c r="G13">
        <f>1/(E13/$Q$1)</f>
        <v>2.1192660550458715</v>
      </c>
      <c r="I13">
        <v>2005</v>
      </c>
      <c r="J13" s="3">
        <v>193.94189</v>
      </c>
      <c r="K13" s="3">
        <v>14.731427999999999</v>
      </c>
      <c r="L13" s="2">
        <v>7.5957949999999996E-2</v>
      </c>
      <c r="M13" s="2">
        <f t="shared" si="17"/>
        <v>0.11057729866622289</v>
      </c>
      <c r="N13">
        <v>43.6</v>
      </c>
      <c r="O13" s="1">
        <f>1/SQRT(N13/$Q$1)</f>
        <v>1.4557699183064168</v>
      </c>
      <c r="T13">
        <v>2005</v>
      </c>
      <c r="U13">
        <v>193.94189</v>
      </c>
      <c r="V13">
        <v>0.11057729866622289</v>
      </c>
    </row>
    <row r="14" spans="1:22" x14ac:dyDescent="0.2">
      <c r="A14">
        <v>2006</v>
      </c>
      <c r="B14">
        <v>178.59252000000001</v>
      </c>
      <c r="C14">
        <v>25.286242000000001</v>
      </c>
      <c r="D14">
        <v>0.14158623000000001</v>
      </c>
      <c r="E14">
        <v>7.7</v>
      </c>
      <c r="F14">
        <f>1/SQRT(E14/$Q$1)</f>
        <v>3.4641016151377548</v>
      </c>
      <c r="G14">
        <f>1/(E14/$Q$1)</f>
        <v>12</v>
      </c>
      <c r="I14">
        <v>2006</v>
      </c>
      <c r="J14" s="3">
        <v>178.59252000000001</v>
      </c>
      <c r="K14" s="3">
        <v>25.286242000000001</v>
      </c>
      <c r="L14" s="2">
        <v>0.14158623000000001</v>
      </c>
      <c r="M14" s="2">
        <f t="shared" si="17"/>
        <v>0.49046908802426564</v>
      </c>
      <c r="N14">
        <v>7.7</v>
      </c>
      <c r="O14" s="1">
        <f>1/SQRT(N14/$Q$1)</f>
        <v>3.4641016151377548</v>
      </c>
      <c r="T14">
        <v>2006</v>
      </c>
      <c r="U14">
        <v>178.59252000000001</v>
      </c>
      <c r="V14">
        <v>0.49046908802426564</v>
      </c>
    </row>
    <row r="15" spans="1:22" x14ac:dyDescent="0.2">
      <c r="A15">
        <v>2007</v>
      </c>
      <c r="B15">
        <v>148.05760000000001</v>
      </c>
      <c r="C15">
        <v>16.480077000000001</v>
      </c>
      <c r="D15">
        <v>0.11130855000000001</v>
      </c>
      <c r="E15">
        <v>14.5</v>
      </c>
      <c r="F15">
        <f>1/SQRT(E15/$Q$1)</f>
        <v>2.5243640373574192</v>
      </c>
      <c r="G15">
        <f>1/(E15/$Q$1)</f>
        <v>6.3724137931034486</v>
      </c>
      <c r="I15">
        <v>2007</v>
      </c>
      <c r="J15" s="3">
        <v>148.05760000000001</v>
      </c>
      <c r="K15" s="3">
        <v>16.480077000000001</v>
      </c>
      <c r="L15" s="2">
        <v>0.11130855000000001</v>
      </c>
      <c r="M15" s="2">
        <f t="shared" si="17"/>
        <v>0.28098330067040017</v>
      </c>
      <c r="N15">
        <v>14.5</v>
      </c>
      <c r="O15" s="1">
        <f>1/SQRT(N15/$Q$1)</f>
        <v>2.5243640373574192</v>
      </c>
      <c r="T15">
        <v>2007</v>
      </c>
      <c r="U15">
        <v>148.05760000000001</v>
      </c>
      <c r="V15">
        <v>0.28098330067040017</v>
      </c>
    </row>
    <row r="16" spans="1:22" x14ac:dyDescent="0.2">
      <c r="A16">
        <v>2008</v>
      </c>
      <c r="B16">
        <v>169.67287999999999</v>
      </c>
      <c r="C16">
        <v>10.636512</v>
      </c>
      <c r="D16">
        <v>6.2688350000000004E-2</v>
      </c>
      <c r="E16">
        <v>39.1</v>
      </c>
      <c r="F16">
        <f>1/SQRT(E16/$Q$1)</f>
        <v>1.5372609913410025</v>
      </c>
      <c r="G16">
        <f>1/(E16/$Q$1)</f>
        <v>2.3631713554987215</v>
      </c>
      <c r="I16">
        <v>2008</v>
      </c>
      <c r="J16" s="3">
        <v>169.67287999999999</v>
      </c>
      <c r="K16" s="3">
        <v>10.636512</v>
      </c>
      <c r="L16" s="2">
        <v>6.2688350000000004E-2</v>
      </c>
      <c r="M16" s="2">
        <f t="shared" si="17"/>
        <v>9.6368355066531741E-2</v>
      </c>
      <c r="N16">
        <v>39.1</v>
      </c>
      <c r="O16" s="1">
        <f>1/SQRT(N16/$Q$1)</f>
        <v>1.5372609913410025</v>
      </c>
      <c r="T16">
        <v>2008</v>
      </c>
      <c r="U16">
        <v>169.67287999999999</v>
      </c>
      <c r="V16">
        <v>9.6368355066531741E-2</v>
      </c>
    </row>
    <row r="17" spans="1:22" x14ac:dyDescent="0.2">
      <c r="A17">
        <v>2009</v>
      </c>
      <c r="B17">
        <v>161.03083000000001</v>
      </c>
      <c r="C17">
        <v>9.894107</v>
      </c>
      <c r="D17">
        <v>6.144231E-2</v>
      </c>
      <c r="E17">
        <v>36.799999999999997</v>
      </c>
      <c r="F17">
        <f>1/SQRT(E17/$Q$1)</f>
        <v>1.5845723603601671</v>
      </c>
      <c r="G17">
        <f>1/(E17/$Q$1)</f>
        <v>2.5108695652173916</v>
      </c>
      <c r="I17">
        <v>2009</v>
      </c>
      <c r="J17" s="3">
        <v>161.03083000000001</v>
      </c>
      <c r="K17" s="3">
        <v>9.894107</v>
      </c>
      <c r="L17" s="2">
        <v>6.144231E-2</v>
      </c>
      <c r="M17" s="2">
        <f t="shared" si="17"/>
        <v>9.7359786182681096E-2</v>
      </c>
      <c r="N17">
        <v>36.799999999999997</v>
      </c>
      <c r="O17" s="1">
        <f>1/SQRT(N17/$Q$1)</f>
        <v>1.5845723603601671</v>
      </c>
      <c r="T17">
        <v>2009</v>
      </c>
      <c r="U17">
        <v>161.03083000000001</v>
      </c>
      <c r="V17">
        <v>9.7359786182681096E-2</v>
      </c>
    </row>
    <row r="18" spans="1:22" x14ac:dyDescent="0.2">
      <c r="A18">
        <v>2010</v>
      </c>
      <c r="B18">
        <v>141.41055</v>
      </c>
      <c r="C18">
        <v>10.989091</v>
      </c>
      <c r="D18">
        <v>7.7710550000000003E-2</v>
      </c>
      <c r="E18">
        <v>46</v>
      </c>
      <c r="F18">
        <f>1/SQRT(E18/$Q$1)</f>
        <v>1.4172846052130508</v>
      </c>
      <c r="G18">
        <f>1/(E18/$Q$1)</f>
        <v>2.008695652173913</v>
      </c>
      <c r="I18">
        <v>2010</v>
      </c>
      <c r="J18" s="3">
        <v>141.41055</v>
      </c>
      <c r="K18" s="3">
        <v>10.989091</v>
      </c>
      <c r="L18" s="2">
        <v>7.7710550000000003E-2</v>
      </c>
      <c r="M18" s="2">
        <f t="shared" si="17"/>
        <v>0.11013796617763905</v>
      </c>
      <c r="N18">
        <v>46</v>
      </c>
      <c r="O18" s="1">
        <f>1/SQRT(N18/$Q$1)</f>
        <v>1.4172846052130508</v>
      </c>
      <c r="T18">
        <v>2010</v>
      </c>
      <c r="U18">
        <v>141.41055</v>
      </c>
      <c r="V18">
        <v>0.11013796617763905</v>
      </c>
    </row>
    <row r="19" spans="1:22" x14ac:dyDescent="0.2">
      <c r="A19">
        <v>2011</v>
      </c>
      <c r="B19">
        <v>89.460149999999999</v>
      </c>
      <c r="C19">
        <v>7.2149700000000001</v>
      </c>
      <c r="D19">
        <v>8.0650089999999994E-2</v>
      </c>
      <c r="E19">
        <v>32.6</v>
      </c>
      <c r="F19">
        <f>1/SQRT(E19/$Q$1)</f>
        <v>1.6835545219032435</v>
      </c>
      <c r="G19">
        <f>1/(E19/$Q$1)</f>
        <v>2.834355828220859</v>
      </c>
      <c r="I19">
        <v>2011</v>
      </c>
      <c r="J19" s="3">
        <v>89.460149999999999</v>
      </c>
      <c r="K19" s="3">
        <v>7.2149700000000001</v>
      </c>
      <c r="L19" s="2">
        <v>8.0650089999999994E-2</v>
      </c>
      <c r="M19" s="2">
        <f t="shared" si="17"/>
        <v>0.13577882371140354</v>
      </c>
      <c r="N19">
        <v>32.6</v>
      </c>
      <c r="O19" s="1">
        <f>1/SQRT(N19/$Q$1)</f>
        <v>1.6835545219032435</v>
      </c>
      <c r="T19">
        <v>2011</v>
      </c>
      <c r="U19">
        <v>89.460149999999999</v>
      </c>
      <c r="V19">
        <v>0.13577882371140354</v>
      </c>
    </row>
    <row r="20" spans="1:22" x14ac:dyDescent="0.2">
      <c r="A20">
        <v>2012</v>
      </c>
      <c r="B20">
        <v>88.671949999999995</v>
      </c>
      <c r="C20">
        <v>9.4220430000000004</v>
      </c>
      <c r="D20">
        <v>0.10625730999999999</v>
      </c>
      <c r="E20">
        <v>76.5</v>
      </c>
      <c r="F20">
        <f>1/SQRT(E20/$Q$1)</f>
        <v>1.0990191705584129</v>
      </c>
      <c r="G20">
        <f>1/(E20/$Q$1)</f>
        <v>1.2078431372549021</v>
      </c>
      <c r="I20">
        <v>2012</v>
      </c>
      <c r="J20" s="3">
        <v>88.671949999999995</v>
      </c>
      <c r="K20" s="3">
        <v>9.4220430000000004</v>
      </c>
      <c r="L20" s="2">
        <v>0.10625730999999999</v>
      </c>
      <c r="M20" s="2">
        <f t="shared" si="17"/>
        <v>0.11677882070196814</v>
      </c>
      <c r="N20">
        <v>76.5</v>
      </c>
      <c r="O20" s="1">
        <f>1/SQRT(N20/$Q$1)</f>
        <v>1.0990191705584129</v>
      </c>
      <c r="T20">
        <v>2012</v>
      </c>
      <c r="U20">
        <v>88.671949999999995</v>
      </c>
      <c r="V20">
        <v>0.11677882070196814</v>
      </c>
    </row>
    <row r="21" spans="1:22" x14ac:dyDescent="0.2">
      <c r="A21">
        <v>2013</v>
      </c>
      <c r="B21">
        <v>97.088710000000006</v>
      </c>
      <c r="C21">
        <v>10.99113</v>
      </c>
      <c r="D21">
        <v>0.11320708</v>
      </c>
      <c r="E21">
        <v>56.4</v>
      </c>
      <c r="F21">
        <f>1/SQRT(E21/$Q$1)</f>
        <v>1.2799601057612795</v>
      </c>
      <c r="G21">
        <f>1/(E21/$Q$1)</f>
        <v>1.6382978723404256</v>
      </c>
      <c r="I21">
        <v>2013</v>
      </c>
      <c r="J21" s="3">
        <v>97.088710000000006</v>
      </c>
      <c r="K21" s="3">
        <v>10.99113</v>
      </c>
      <c r="L21" s="2">
        <v>0.11320708</v>
      </c>
      <c r="M21" s="2">
        <f t="shared" si="17"/>
        <v>0.14490054608972563</v>
      </c>
      <c r="N21">
        <v>56.4</v>
      </c>
      <c r="O21" s="1">
        <f>1/SQRT(N21/$Q$1)</f>
        <v>1.2799601057612795</v>
      </c>
      <c r="T21">
        <v>2013</v>
      </c>
      <c r="U21">
        <v>97.088710000000006</v>
      </c>
      <c r="V21">
        <v>0.14490054608972563</v>
      </c>
    </row>
    <row r="22" spans="1:22" x14ac:dyDescent="0.2">
      <c r="A22">
        <v>2014</v>
      </c>
      <c r="B22">
        <v>92.190569999999994</v>
      </c>
      <c r="C22">
        <v>10.589289000000001</v>
      </c>
      <c r="D22">
        <v>0.11486304</v>
      </c>
      <c r="E22">
        <v>21.2</v>
      </c>
      <c r="F22">
        <f>1/SQRT(E22/$Q$1)</f>
        <v>2.0876998266124698</v>
      </c>
      <c r="G22">
        <f>1/(E22/$Q$1)</f>
        <v>4.3584905660377364</v>
      </c>
      <c r="I22">
        <v>2014</v>
      </c>
      <c r="J22" s="3">
        <v>92.190569999999994</v>
      </c>
      <c r="K22" s="3">
        <v>10.589289000000001</v>
      </c>
      <c r="L22" s="2">
        <v>0.11486304</v>
      </c>
      <c r="M22" s="2">
        <f t="shared" si="17"/>
        <v>0.23979954869218117</v>
      </c>
      <c r="N22">
        <v>21.2</v>
      </c>
      <c r="O22" s="1">
        <f>1/SQRT(N22/$Q$1)</f>
        <v>2.0876998266124698</v>
      </c>
      <c r="T22">
        <v>2014</v>
      </c>
      <c r="U22">
        <v>92.190569999999994</v>
      </c>
      <c r="V22">
        <v>0.23979954869218117</v>
      </c>
    </row>
    <row r="23" spans="1:22" x14ac:dyDescent="0.2">
      <c r="A23">
        <v>2015</v>
      </c>
      <c r="B23">
        <v>91.071420000000003</v>
      </c>
      <c r="C23">
        <v>7.8197650000000003</v>
      </c>
      <c r="D23">
        <v>8.5864099999999999E-2</v>
      </c>
      <c r="E23">
        <v>40.299999999999997</v>
      </c>
      <c r="F23">
        <f>1/SQRT(E23/$Q$1)</f>
        <v>1.5142007694567206</v>
      </c>
      <c r="G23">
        <f>1/(E23/$Q$1)</f>
        <v>2.2928039702233254</v>
      </c>
      <c r="I23">
        <v>2015</v>
      </c>
      <c r="J23" s="3">
        <v>91.071420000000003</v>
      </c>
      <c r="K23" s="3">
        <v>7.8197650000000003</v>
      </c>
      <c r="L23" s="2">
        <v>8.5864099999999999E-2</v>
      </c>
      <c r="M23" s="2">
        <f t="shared" si="17"/>
        <v>0.13001548628870879</v>
      </c>
      <c r="N23">
        <v>40.299999999999997</v>
      </c>
      <c r="O23" s="1">
        <f>1/SQRT(N23/$Q$1)</f>
        <v>1.5142007694567206</v>
      </c>
      <c r="T23">
        <v>2015</v>
      </c>
      <c r="U23">
        <v>91.071420000000003</v>
      </c>
      <c r="V23">
        <v>0.13001548628870879</v>
      </c>
    </row>
    <row r="24" spans="1:22" x14ac:dyDescent="0.2">
      <c r="A24">
        <v>2016</v>
      </c>
      <c r="B24">
        <v>103.50123000000001</v>
      </c>
      <c r="C24">
        <v>10.668122</v>
      </c>
      <c r="D24">
        <v>0.10307241</v>
      </c>
      <c r="E24">
        <v>29.2</v>
      </c>
      <c r="F24">
        <f>1/SQRT(E24/$Q$1)</f>
        <v>1.7788714292055614</v>
      </c>
      <c r="G24">
        <f>1/(E24/$Q$1)</f>
        <v>3.1643835616438358</v>
      </c>
      <c r="I24">
        <v>2016</v>
      </c>
      <c r="J24" s="3">
        <v>103.50123000000001</v>
      </c>
      <c r="K24" s="3">
        <v>10.668122</v>
      </c>
      <c r="L24" s="2">
        <v>0.10307241</v>
      </c>
      <c r="M24" s="2">
        <f t="shared" si="17"/>
        <v>0.18335256528836161</v>
      </c>
      <c r="N24">
        <v>29.2</v>
      </c>
      <c r="O24" s="1">
        <f>1/SQRT(N24/$Q$1)</f>
        <v>1.7788714292055614</v>
      </c>
      <c r="T24">
        <v>2016</v>
      </c>
      <c r="U24">
        <v>103.50123000000001</v>
      </c>
      <c r="V24">
        <v>0.18335256528836161</v>
      </c>
    </row>
    <row r="25" spans="1:22" x14ac:dyDescent="0.2">
      <c r="A25">
        <v>2017</v>
      </c>
      <c r="B25">
        <v>111.1125</v>
      </c>
      <c r="C25">
        <v>13.865262</v>
      </c>
      <c r="D25">
        <v>0.1247858</v>
      </c>
      <c r="E25">
        <v>23.3</v>
      </c>
      <c r="F25">
        <f>1/SQRT(E25/$Q$1)</f>
        <v>1.9913978095929257</v>
      </c>
      <c r="G25">
        <f>1/(E25/$Q$1)</f>
        <v>3.9656652360515023</v>
      </c>
      <c r="I25">
        <v>2017</v>
      </c>
      <c r="J25" s="3">
        <v>111.1125</v>
      </c>
      <c r="K25" s="3">
        <v>13.865262</v>
      </c>
      <c r="L25" s="2">
        <v>0.1247858</v>
      </c>
      <c r="M25" s="2">
        <f t="shared" si="17"/>
        <v>0.24849816878830092</v>
      </c>
      <c r="N25">
        <v>23.3</v>
      </c>
      <c r="O25" s="1">
        <f>1/SQRT(N25/$Q$1)</f>
        <v>1.9913978095929257</v>
      </c>
      <c r="T25">
        <v>2017</v>
      </c>
      <c r="U25">
        <v>111.1125</v>
      </c>
      <c r="V25">
        <v>0.24849816878830092</v>
      </c>
    </row>
    <row r="26" spans="1:22" x14ac:dyDescent="0.2">
      <c r="A26">
        <v>2018</v>
      </c>
      <c r="B26">
        <v>104.02996</v>
      </c>
      <c r="C26">
        <v>13.951886</v>
      </c>
      <c r="D26">
        <v>0.13411411000000001</v>
      </c>
      <c r="E26">
        <v>16.8</v>
      </c>
      <c r="F26">
        <f>1/SQRT(E26/$Q$1)</f>
        <v>2.3452078799117149</v>
      </c>
      <c r="G26">
        <f>1/(E26/$Q$1)</f>
        <v>5.5</v>
      </c>
      <c r="I26">
        <v>2018</v>
      </c>
      <c r="J26" s="3">
        <v>104.02996</v>
      </c>
      <c r="K26" s="3">
        <v>13.951886</v>
      </c>
      <c r="L26" s="2">
        <v>0.13411411000000001</v>
      </c>
      <c r="M26" s="2">
        <f t="shared" si="17"/>
        <v>0.31452546757934652</v>
      </c>
      <c r="N26">
        <v>16.8</v>
      </c>
      <c r="O26" s="1">
        <f>1/SQRT(N26/$Q$1)</f>
        <v>2.3452078799117149</v>
      </c>
      <c r="T26">
        <v>2018</v>
      </c>
      <c r="U26">
        <v>104.02996</v>
      </c>
      <c r="V26">
        <v>0.31452546757934652</v>
      </c>
    </row>
    <row r="27" spans="1:22" x14ac:dyDescent="0.2">
      <c r="A27">
        <v>2019</v>
      </c>
      <c r="B27">
        <v>153.81912</v>
      </c>
      <c r="C27">
        <v>18.895536</v>
      </c>
      <c r="D27">
        <v>0.12284256</v>
      </c>
      <c r="E27">
        <v>41.2</v>
      </c>
      <c r="F27">
        <f>1/SQRT(E27/$Q$1)</f>
        <v>1.4975708486084864</v>
      </c>
      <c r="G27">
        <f>1/(E27/$Q$1)</f>
        <v>2.2427184466019416</v>
      </c>
      <c r="I27">
        <v>2019</v>
      </c>
      <c r="J27" s="3">
        <v>153.81912</v>
      </c>
      <c r="K27" s="3">
        <v>18.895536</v>
      </c>
      <c r="L27" s="2">
        <v>0.12284256</v>
      </c>
      <c r="M27" s="2">
        <f t="shared" si="17"/>
        <v>0.18396543682443892</v>
      </c>
      <c r="N27">
        <v>41.2</v>
      </c>
      <c r="O27" s="1">
        <f>1/SQRT(N27/$Q$1)</f>
        <v>1.4975708486084864</v>
      </c>
      <c r="T27">
        <v>2019</v>
      </c>
      <c r="U27">
        <v>153.81912</v>
      </c>
      <c r="V27">
        <v>0.18396543682443892</v>
      </c>
    </row>
    <row r="28" spans="1:22" x14ac:dyDescent="0.2">
      <c r="A28">
        <v>2020</v>
      </c>
      <c r="B28">
        <v>143.96693999999999</v>
      </c>
      <c r="C28">
        <v>16.480542</v>
      </c>
      <c r="D28">
        <v>0.11447449</v>
      </c>
      <c r="E28">
        <v>50.9</v>
      </c>
      <c r="F28">
        <f>1/SQRT(E28/$Q$1)</f>
        <v>1.3473396620857969</v>
      </c>
      <c r="G28">
        <f>1/(E28/$Q$1)</f>
        <v>1.8153241650294696</v>
      </c>
      <c r="I28">
        <v>2020</v>
      </c>
      <c r="J28" s="3">
        <v>143.96693999999999</v>
      </c>
      <c r="K28" s="3">
        <v>16.480542</v>
      </c>
      <c r="L28" s="2">
        <v>0.11447449</v>
      </c>
      <c r="M28" s="2">
        <f t="shared" si="17"/>
        <v>0.15423602067404393</v>
      </c>
      <c r="N28">
        <v>50.9</v>
      </c>
      <c r="O28" s="1">
        <f>1/SQRT(N28/$Q$1)</f>
        <v>1.3473396620857969</v>
      </c>
      <c r="T28">
        <v>2020</v>
      </c>
      <c r="U28">
        <v>143.96693999999999</v>
      </c>
      <c r="V28">
        <v>0.15423602067404393</v>
      </c>
    </row>
    <row r="29" spans="1:22" x14ac:dyDescent="0.2">
      <c r="A29">
        <v>2021</v>
      </c>
      <c r="B29">
        <v>140.06768</v>
      </c>
      <c r="C29">
        <v>19.264797000000002</v>
      </c>
      <c r="D29">
        <v>0.1375392</v>
      </c>
      <c r="E29">
        <v>69.7</v>
      </c>
      <c r="F29">
        <f>1/SQRT(E29/$Q$1)</f>
        <v>1.1513824265243233</v>
      </c>
      <c r="G29">
        <f>1/(E29/$Q$1)</f>
        <v>1.3256814921090387</v>
      </c>
      <c r="I29">
        <v>2021</v>
      </c>
      <c r="J29" s="3">
        <v>140.06768</v>
      </c>
      <c r="K29" s="3">
        <v>19.264797000000002</v>
      </c>
      <c r="L29" s="2">
        <v>0.1375392</v>
      </c>
      <c r="M29" s="2">
        <f t="shared" si="17"/>
        <v>0.15836021783821422</v>
      </c>
      <c r="N29">
        <v>69.7</v>
      </c>
      <c r="O29" s="1">
        <f>1/SQRT(N29/$Q$1)</f>
        <v>1.1513824265243233</v>
      </c>
      <c r="T29">
        <v>2021</v>
      </c>
      <c r="U29">
        <v>140.06768</v>
      </c>
      <c r="V29">
        <v>0.15836021783821422</v>
      </c>
    </row>
    <row r="30" spans="1:22" x14ac:dyDescent="0.2">
      <c r="A30">
        <v>2022</v>
      </c>
      <c r="B30">
        <v>134.76389</v>
      </c>
      <c r="C30">
        <v>21.880697999999999</v>
      </c>
      <c r="D30">
        <v>0.16236322</v>
      </c>
      <c r="E30">
        <v>80.900000000000006</v>
      </c>
      <c r="F30">
        <f>1/SQRT(E30/$Q$1)</f>
        <v>1.0687145565870537</v>
      </c>
      <c r="G30">
        <f>1/(E30/$Q$1)</f>
        <v>1.142150803461063</v>
      </c>
      <c r="I30">
        <v>2022</v>
      </c>
      <c r="J30" s="3">
        <v>134.76389</v>
      </c>
      <c r="K30" s="3">
        <v>21.880697999999999</v>
      </c>
      <c r="L30" s="2">
        <v>0.16236322</v>
      </c>
      <c r="M30" s="2">
        <f t="shared" si="17"/>
        <v>0.17351993666834625</v>
      </c>
      <c r="N30">
        <v>80.900000000000006</v>
      </c>
      <c r="O30" s="1">
        <f>1/SQRT(N30/$Q$1)</f>
        <v>1.0687145565870537</v>
      </c>
      <c r="T30">
        <v>2022</v>
      </c>
      <c r="U30">
        <v>134.76389</v>
      </c>
      <c r="V30">
        <v>0.17351993666834625</v>
      </c>
    </row>
    <row r="31" spans="1:22" x14ac:dyDescent="0.2">
      <c r="A31">
        <v>2023</v>
      </c>
      <c r="B31">
        <v>146.73013</v>
      </c>
      <c r="C31">
        <v>22.070505000000001</v>
      </c>
      <c r="D31">
        <v>0.15041562</v>
      </c>
      <c r="E31">
        <v>83.4</v>
      </c>
      <c r="F31">
        <f>1/SQRT(E31/$Q$1)</f>
        <v>1.0525747807470727</v>
      </c>
      <c r="G31">
        <f>1/(E31/$Q$1)</f>
        <v>1.1079136690647482</v>
      </c>
      <c r="I31">
        <v>2023</v>
      </c>
      <c r="J31" s="3">
        <v>146.73013</v>
      </c>
      <c r="K31" s="3">
        <v>22.070505000000001</v>
      </c>
      <c r="L31" s="2">
        <v>0.15041562</v>
      </c>
      <c r="M31" s="2">
        <f t="shared" si="17"/>
        <v>0.15832368824243501</v>
      </c>
      <c r="N31">
        <v>83.4</v>
      </c>
      <c r="O31" s="1">
        <f>1/SQRT(N31/$Q$1)</f>
        <v>1.0525747807470727</v>
      </c>
      <c r="T31">
        <v>2023</v>
      </c>
      <c r="U31">
        <v>146.73013</v>
      </c>
      <c r="V31">
        <v>0.15832368824243501</v>
      </c>
    </row>
    <row r="32" spans="1:22" x14ac:dyDescent="0.2">
      <c r="A32">
        <v>2024</v>
      </c>
      <c r="B32">
        <v>123.28624000000001</v>
      </c>
      <c r="C32">
        <v>14.037526</v>
      </c>
      <c r="D32">
        <v>0.11386126000000001</v>
      </c>
      <c r="E32">
        <v>92.4</v>
      </c>
      <c r="F32">
        <f>1/SQRT(E32/$Q$1)</f>
        <v>1</v>
      </c>
      <c r="G32">
        <f>1/(E32/$Q$1)</f>
        <v>1</v>
      </c>
      <c r="I32">
        <v>2024</v>
      </c>
      <c r="J32" s="3">
        <v>123.28624000000001</v>
      </c>
      <c r="K32" s="3">
        <v>14.037526</v>
      </c>
      <c r="L32" s="2">
        <v>0.11386126000000001</v>
      </c>
      <c r="M32" s="2">
        <f t="shared" si="17"/>
        <v>0.11386126000000001</v>
      </c>
      <c r="N32">
        <v>92.4</v>
      </c>
      <c r="O32" s="1">
        <f>1/SQRT(N32/$Q$1)</f>
        <v>1</v>
      </c>
      <c r="T32">
        <v>2024</v>
      </c>
      <c r="U32">
        <v>123.28624000000001</v>
      </c>
      <c r="V32">
        <v>0.11386126000000001</v>
      </c>
    </row>
    <row r="33" spans="1:22" x14ac:dyDescent="0.2">
      <c r="A33">
        <v>2025</v>
      </c>
      <c r="B33">
        <v>145.42097000000001</v>
      </c>
      <c r="C33">
        <v>13.947355</v>
      </c>
      <c r="D33">
        <v>9.5910209999999996E-2</v>
      </c>
      <c r="E33">
        <v>88.8</v>
      </c>
      <c r="F33">
        <f>1/SQRT(E33/$Q$1)</f>
        <v>1.0200688900954389</v>
      </c>
      <c r="G33">
        <f>1/(E33/$Q$1)</f>
        <v>1.0405405405405406</v>
      </c>
      <c r="I33">
        <v>2025</v>
      </c>
      <c r="J33" s="3">
        <v>145.42097000000001</v>
      </c>
      <c r="K33" s="3">
        <v>13.947355</v>
      </c>
      <c r="L33" s="2">
        <v>9.5910209999999996E-2</v>
      </c>
      <c r="M33" s="2">
        <f t="shared" si="17"/>
        <v>9.7835021463520452E-2</v>
      </c>
      <c r="N33">
        <v>88.8</v>
      </c>
      <c r="O33" s="1">
        <f>1/SQRT(N33/$Q$1)</f>
        <v>1.0200688900954389</v>
      </c>
      <c r="T33">
        <v>2025</v>
      </c>
      <c r="U33">
        <v>145.42097000000001</v>
      </c>
      <c r="V33">
        <v>9.7835021463520452E-2</v>
      </c>
    </row>
    <row r="34" spans="1:22" x14ac:dyDescent="0.2">
      <c r="A34">
        <v>2026</v>
      </c>
      <c r="B34">
        <v>147.01706999999999</v>
      </c>
      <c r="C34">
        <v>25.119415</v>
      </c>
      <c r="D34">
        <v>0.17086053000000001</v>
      </c>
      <c r="E34">
        <v>81</v>
      </c>
      <c r="F34">
        <f>1/SQRT(E34/$Q$1)</f>
        <v>1.0680546525064816</v>
      </c>
      <c r="G34">
        <f>1/(E34/$Q$1)</f>
        <v>1.1407407407407408</v>
      </c>
      <c r="I34" t="s">
        <v>5</v>
      </c>
      <c r="J34" s="3">
        <f>AVERAGE(J6:J33)</f>
        <v>129.61398821428574</v>
      </c>
      <c r="K34" s="3">
        <f>AVERAGE(K6:K33)</f>
        <v>13.877302285714288</v>
      </c>
      <c r="L34" s="2">
        <f>AVERAGE(L6:L33)</f>
        <v>0.10830013321428573</v>
      </c>
      <c r="M34" s="2">
        <f>AVERAGE(M6:M33)</f>
        <v>0.19635966264600838</v>
      </c>
      <c r="N34">
        <v>81</v>
      </c>
      <c r="O34" s="1">
        <f>1/SQRT(N34/$Q$1)</f>
        <v>1.0680546525064816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Vasquez</dc:creator>
  <cp:lastModifiedBy>James Ianelli</cp:lastModifiedBy>
  <dcterms:created xsi:type="dcterms:W3CDTF">2026-05-20T23:53:07Z</dcterms:created>
  <dcterms:modified xsi:type="dcterms:W3CDTF">2026-05-22T03:57:49Z</dcterms:modified>
</cp:coreProperties>
</file>