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uthpacificrfmo.sharepoint.com/sites/SPRFMOSCJackMackerelWorkingGroup/Shared Documents/Data repository/"/>
    </mc:Choice>
  </mc:AlternateContent>
  <xr:revisionPtr revIDLastSave="129" documentId="8_{13840C3C-8786-40F8-81E6-DB9B74E4FE49}" xr6:coauthVersionLast="47" xr6:coauthVersionMax="47" xr10:uidLastSave="{12D36556-3302-4DC2-BC84-BAAF68D81EAA}"/>
  <bookViews>
    <workbookView xWindow="1275" yWindow="-120" windowWidth="37245" windowHeight="21840" activeTab="3" xr2:uid="{11C67D07-EBA6-4D97-A3E6-A5FACAECFD42}"/>
  </bookViews>
  <sheets>
    <sheet name="ageComps" sheetId="1" r:id="rId1"/>
    <sheet name="wtAtAge" sheetId="2" r:id="rId2"/>
    <sheet name="lengthComps" sheetId="3" r:id="rId3"/>
    <sheet name="CPUE" sheetId="4" r:id="rId4"/>
    <sheet name="Catch" sheetId="6" r:id="rId5"/>
    <sheet name="Acoustic" sheetId="5" r:id="rId6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/>
</calcChain>
</file>

<file path=xl/sharedStrings.xml><?xml version="1.0" encoding="utf-8"?>
<sst xmlns="http://schemas.openxmlformats.org/spreadsheetml/2006/main" count="69" uniqueCount="11">
  <si>
    <t>year</t>
  </si>
  <si>
    <t>age</t>
  </si>
  <si>
    <t>F1</t>
  </si>
  <si>
    <t>F2</t>
  </si>
  <si>
    <t>F3</t>
  </si>
  <si>
    <t>F4</t>
  </si>
  <si>
    <t/>
  </si>
  <si>
    <t>forklength</t>
  </si>
  <si>
    <t>type</t>
  </si>
  <si>
    <t>agecomp</t>
  </si>
  <si>
    <t>wtatage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</si>
</sst>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.\ ###"/>
  </numFmts>
  <fonts count="4">
    <font>
      <sz val="11"/>
      <color theme="1"/>
      <name val="Calibri"/>
      <family val="2"/>
      <scheme val="minor"/>
    </font>
    <font>
      <sz val="10"/>
      <color indexed="12"/>
      <name val="Geneva"/>
      <family val="2"/>
    </font>
    <font>
      <sz val="10"/>
      <color rgb="FF0000FF"/>
      <name val="Geneva"/>
      <family val="2"/>
      <charset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0" fillId="2" borderId="0" xfId="0" applyFill="1"/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2" borderId="0" xfId="1" applyFill="1"/>
  </cellXfs>
  <cellStyles count="2">
    <cellStyle name="Normal" xfId="0" builtinId="0"/>
    <cellStyle name="Normal 2" xfId="1" xr:uid="{AC837FF7-52FA-4EFD-8030-01534540C0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02C38-8F7E-48D4-BE42-B6D35726D79C}">
  <dimension ref="A1:F27"/>
  <sheetViews>
    <sheetView topLeftCell="A7" workbookViewId="0">
      <selection activeCell="K19" sqref="K19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2023</v>
      </c>
      <c r="B2" s="1">
        <v>0</v>
      </c>
      <c r="C2" s="1">
        <v>9248.8443894663706</v>
      </c>
      <c r="D2" s="1">
        <v>0</v>
      </c>
      <c r="E2" s="1"/>
      <c r="F2" s="1">
        <v>0</v>
      </c>
    </row>
    <row r="3" spans="1:6">
      <c r="A3" s="1">
        <v>2023</v>
      </c>
      <c r="B3" s="1">
        <v>1</v>
      </c>
      <c r="C3" s="1">
        <v>0</v>
      </c>
      <c r="D3" s="1">
        <v>149.197</v>
      </c>
      <c r="E3" s="1"/>
      <c r="F3" s="1">
        <v>1375.539227616604</v>
      </c>
    </row>
    <row r="4" spans="1:6">
      <c r="A4" s="1">
        <v>2023</v>
      </c>
      <c r="B4" s="1">
        <v>2</v>
      </c>
      <c r="C4" s="1">
        <v>1614.4506818181817</v>
      </c>
      <c r="D4" s="1">
        <v>18858.717000000001</v>
      </c>
      <c r="E4" s="1"/>
      <c r="F4" s="1">
        <v>51360.56065572107</v>
      </c>
    </row>
    <row r="5" spans="1:6">
      <c r="A5" s="1">
        <v>2023</v>
      </c>
      <c r="B5" s="1">
        <v>3</v>
      </c>
      <c r="C5" s="1">
        <v>6314.8337761593621</v>
      </c>
      <c r="D5" s="1">
        <v>94758.487999999998</v>
      </c>
      <c r="E5" s="1"/>
      <c r="F5" s="1">
        <v>121217.93615885175</v>
      </c>
    </row>
    <row r="6" spans="1:6">
      <c r="A6" s="1">
        <v>2023</v>
      </c>
      <c r="B6" s="1">
        <v>4</v>
      </c>
      <c r="C6" s="1">
        <v>8069.9193191570976</v>
      </c>
      <c r="D6" s="1">
        <v>176710.77000000002</v>
      </c>
      <c r="E6" s="1"/>
      <c r="F6" s="1">
        <v>138752.59034703398</v>
      </c>
    </row>
    <row r="7" spans="1:6">
      <c r="A7" s="1">
        <v>2023</v>
      </c>
      <c r="B7" s="1">
        <v>5</v>
      </c>
      <c r="C7" s="1">
        <v>17527.330138790861</v>
      </c>
      <c r="D7" s="1">
        <v>240896.92800000001</v>
      </c>
      <c r="E7" s="1"/>
      <c r="F7" s="1">
        <v>27485.728336122211</v>
      </c>
    </row>
    <row r="8" spans="1:6">
      <c r="A8" s="1">
        <v>2023</v>
      </c>
      <c r="B8" s="1">
        <v>6</v>
      </c>
      <c r="C8" s="1">
        <v>26781.311367812308</v>
      </c>
      <c r="D8" s="1">
        <v>239272.261</v>
      </c>
      <c r="E8" s="1"/>
      <c r="F8" s="1">
        <v>13618.0873101082</v>
      </c>
    </row>
    <row r="9" spans="1:6">
      <c r="A9" s="1">
        <v>2023</v>
      </c>
      <c r="B9" s="1">
        <v>7</v>
      </c>
      <c r="C9" s="1">
        <v>19260.411789565587</v>
      </c>
      <c r="D9" s="1">
        <v>150837.69099999999</v>
      </c>
      <c r="E9" s="1"/>
      <c r="F9" s="1">
        <v>7918.2911239405621</v>
      </c>
    </row>
    <row r="10" spans="1:6">
      <c r="A10" s="1">
        <v>2023</v>
      </c>
      <c r="B10" s="1">
        <v>8</v>
      </c>
      <c r="C10" s="1">
        <v>10940.117109485493</v>
      </c>
      <c r="D10" s="1">
        <v>72259.342000000004</v>
      </c>
      <c r="E10" s="1"/>
      <c r="F10" s="1">
        <v>6459.1949629382088</v>
      </c>
    </row>
    <row r="11" spans="1:6">
      <c r="A11" s="1">
        <v>2023</v>
      </c>
      <c r="B11" s="1">
        <v>9</v>
      </c>
      <c r="C11" s="1">
        <v>3920.9832091217659</v>
      </c>
      <c r="D11" s="1">
        <v>29046.540000000005</v>
      </c>
      <c r="E11" s="1"/>
      <c r="F11" s="1">
        <v>3672.1961122737821</v>
      </c>
    </row>
    <row r="12" spans="1:6">
      <c r="A12" s="1">
        <v>2023</v>
      </c>
      <c r="B12" s="1">
        <v>10</v>
      </c>
      <c r="C12" s="1">
        <v>1271.3455043559097</v>
      </c>
      <c r="D12" s="1">
        <v>11432.289999999999</v>
      </c>
      <c r="E12" s="1"/>
      <c r="F12" s="1">
        <v>1706.4982771578743</v>
      </c>
    </row>
    <row r="13" spans="1:6">
      <c r="A13" s="1">
        <v>2023</v>
      </c>
      <c r="B13" s="1">
        <v>11</v>
      </c>
      <c r="C13" s="1">
        <v>1965.7962993621506</v>
      </c>
      <c r="D13" s="1">
        <v>1645.048</v>
      </c>
      <c r="E13" s="1"/>
      <c r="F13" s="1">
        <v>450.76707002476144</v>
      </c>
    </row>
    <row r="14" spans="1:6">
      <c r="A14" s="1">
        <v>2023</v>
      </c>
      <c r="B14" s="1">
        <v>12</v>
      </c>
      <c r="C14" s="1">
        <v>177.92325</v>
      </c>
      <c r="D14" s="1">
        <v>512.23799999999994</v>
      </c>
      <c r="E14" s="1"/>
      <c r="F14" s="1">
        <v>353.33421841218382</v>
      </c>
    </row>
    <row r="15" spans="1:6">
      <c r="A15" s="1">
        <v>2024</v>
      </c>
      <c r="B15" s="1">
        <v>0</v>
      </c>
      <c r="C15" s="1">
        <v>0</v>
      </c>
      <c r="D15" s="1">
        <v>0</v>
      </c>
      <c r="E15" s="1"/>
      <c r="F15" s="1">
        <v>0</v>
      </c>
    </row>
    <row r="16" spans="1:6">
      <c r="A16" s="1">
        <v>2024</v>
      </c>
      <c r="B16" s="1">
        <v>1</v>
      </c>
      <c r="C16" s="1">
        <v>3.3340000000000001</v>
      </c>
      <c r="D16" s="1">
        <v>0</v>
      </c>
      <c r="E16" s="1"/>
      <c r="F16" s="1">
        <v>1396.724070482247</v>
      </c>
    </row>
    <row r="17" spans="1:6">
      <c r="A17" s="1">
        <v>2024</v>
      </c>
      <c r="B17" s="1">
        <v>2</v>
      </c>
      <c r="C17" s="1">
        <v>1344.8845555555556</v>
      </c>
      <c r="D17" s="1">
        <v>9194.6801630769223</v>
      </c>
      <c r="E17" s="1"/>
      <c r="F17" s="1">
        <v>2136.4285825586126</v>
      </c>
    </row>
    <row r="18" spans="1:6">
      <c r="A18" s="1">
        <v>2024</v>
      </c>
      <c r="B18" s="1">
        <v>3</v>
      </c>
      <c r="C18" s="1">
        <v>6149.870588888889</v>
      </c>
      <c r="D18" s="1">
        <v>71723.673709753697</v>
      </c>
      <c r="E18" s="1"/>
      <c r="F18" s="1">
        <v>11297.20860288684</v>
      </c>
    </row>
    <row r="19" spans="1:6">
      <c r="A19" s="1">
        <v>2024</v>
      </c>
      <c r="B19" s="1">
        <v>4</v>
      </c>
      <c r="C19" s="1">
        <v>4886.3902052265557</v>
      </c>
      <c r="D19" s="1">
        <v>135640.36084989388</v>
      </c>
      <c r="E19" s="1"/>
      <c r="F19" s="1">
        <v>7650.2520916132835</v>
      </c>
    </row>
    <row r="20" spans="1:6">
      <c r="A20" s="1">
        <v>2024</v>
      </c>
      <c r="B20" s="1">
        <v>5</v>
      </c>
      <c r="C20" s="1">
        <v>10095.231008378465</v>
      </c>
      <c r="D20" s="1">
        <v>207312.44981006414</v>
      </c>
      <c r="E20" s="1"/>
      <c r="F20" s="1">
        <v>1916.4894674464028</v>
      </c>
    </row>
    <row r="21" spans="1:6">
      <c r="A21" s="1">
        <v>2024</v>
      </c>
      <c r="B21" s="1">
        <v>6</v>
      </c>
      <c r="C21" s="1">
        <v>13840.921675845302</v>
      </c>
      <c r="D21" s="1">
        <v>161401.39128679619</v>
      </c>
      <c r="E21" s="1"/>
      <c r="F21" s="1">
        <v>526.29527066926426</v>
      </c>
    </row>
    <row r="22" spans="1:6">
      <c r="A22" s="1">
        <v>2024</v>
      </c>
      <c r="B22" s="1">
        <v>7</v>
      </c>
      <c r="C22" s="1">
        <v>9599.6822537116514</v>
      </c>
      <c r="D22" s="1">
        <v>87567.333773518636</v>
      </c>
      <c r="E22" s="1"/>
      <c r="F22" s="1">
        <v>38.636179698004483</v>
      </c>
    </row>
    <row r="23" spans="1:6">
      <c r="A23" s="1">
        <v>2024</v>
      </c>
      <c r="B23" s="1">
        <v>8</v>
      </c>
      <c r="C23" s="1">
        <v>4297.6578506021078</v>
      </c>
      <c r="D23" s="1">
        <v>20173.302371896549</v>
      </c>
      <c r="E23" s="1"/>
      <c r="F23" s="1">
        <v>0.58784683101104662</v>
      </c>
    </row>
    <row r="24" spans="1:6">
      <c r="A24" s="1">
        <v>2024</v>
      </c>
      <c r="B24" s="1">
        <v>9</v>
      </c>
      <c r="C24" s="1">
        <v>2256.8765442288213</v>
      </c>
      <c r="D24" s="1">
        <v>4034.6562199999998</v>
      </c>
      <c r="E24" s="1"/>
      <c r="F24" s="1">
        <v>0.58784683101104662</v>
      </c>
    </row>
    <row r="25" spans="1:6">
      <c r="A25" s="1">
        <v>2024</v>
      </c>
      <c r="B25" s="1">
        <v>10</v>
      </c>
      <c r="C25" s="1">
        <v>0</v>
      </c>
      <c r="D25" s="1">
        <v>2376.7831549999996</v>
      </c>
      <c r="E25" s="1"/>
      <c r="F25" s="1">
        <v>0</v>
      </c>
    </row>
    <row r="26" spans="1:6">
      <c r="A26" s="1">
        <v>2024</v>
      </c>
      <c r="B26" s="1">
        <v>11</v>
      </c>
      <c r="C26" s="1">
        <v>201.59967188853355</v>
      </c>
      <c r="D26" s="1">
        <v>45.077870000000004</v>
      </c>
      <c r="E26" s="1"/>
      <c r="F26" s="1">
        <v>0</v>
      </c>
    </row>
    <row r="27" spans="1:6">
      <c r="A27" s="1">
        <v>2024</v>
      </c>
      <c r="B27" s="1">
        <v>12</v>
      </c>
      <c r="C27" s="1">
        <v>0</v>
      </c>
      <c r="D27" s="1">
        <v>0</v>
      </c>
      <c r="E27" s="1"/>
      <c r="F27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4BF9-A1A2-42A3-B429-B839E2C11906}">
  <dimension ref="A1:F27"/>
  <sheetViews>
    <sheetView workbookViewId="0">
      <selection activeCell="J26" sqref="J26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2023</v>
      </c>
      <c r="B2" s="1">
        <v>0</v>
      </c>
      <c r="C2" s="1">
        <v>1.0179991360722711E-2</v>
      </c>
      <c r="D2" s="1" t="s">
        <v>6</v>
      </c>
      <c r="E2" s="1"/>
      <c r="F2" s="1"/>
    </row>
    <row r="3" spans="1:6">
      <c r="A3" s="1">
        <v>2023</v>
      </c>
      <c r="B3" s="1">
        <v>1</v>
      </c>
      <c r="C3" s="1" t="s">
        <v>6</v>
      </c>
      <c r="D3" s="1">
        <v>0.19600000000000001</v>
      </c>
      <c r="E3" s="1"/>
      <c r="F3" s="1">
        <v>0.15124242936497981</v>
      </c>
    </row>
    <row r="4" spans="1:6">
      <c r="A4" s="1">
        <v>2023</v>
      </c>
      <c r="B4" s="1">
        <v>2</v>
      </c>
      <c r="C4" s="1">
        <v>0.21150146053495816</v>
      </c>
      <c r="D4" s="1">
        <v>0.27491066513167356</v>
      </c>
      <c r="E4" s="1"/>
      <c r="F4" s="1">
        <v>0.18729137695638509</v>
      </c>
    </row>
    <row r="5" spans="1:6">
      <c r="A5" s="1">
        <v>2023</v>
      </c>
      <c r="B5" s="1">
        <v>3</v>
      </c>
      <c r="C5" s="1">
        <v>0.31804277980395906</v>
      </c>
      <c r="D5" s="1">
        <v>0.40411135014100269</v>
      </c>
      <c r="E5" s="1"/>
      <c r="F5" s="1">
        <v>0.21142353434513636</v>
      </c>
    </row>
    <row r="6" spans="1:6">
      <c r="A6" s="1">
        <v>2023</v>
      </c>
      <c r="B6" s="1">
        <v>4</v>
      </c>
      <c r="C6" s="1">
        <v>0.50562711228515822</v>
      </c>
      <c r="D6" s="1">
        <v>0.51106049557703803</v>
      </c>
      <c r="E6" s="1"/>
      <c r="F6" s="1">
        <v>0.22416845405163063</v>
      </c>
    </row>
    <row r="7" spans="1:6">
      <c r="A7" s="1">
        <v>2023</v>
      </c>
      <c r="B7" s="1">
        <v>5</v>
      </c>
      <c r="C7" s="1">
        <v>0.58993682096795452</v>
      </c>
      <c r="D7" s="1">
        <v>0.61278010164164476</v>
      </c>
      <c r="E7" s="1"/>
      <c r="F7" s="1">
        <v>0.31017208002160995</v>
      </c>
    </row>
    <row r="8" spans="1:6">
      <c r="A8" s="1">
        <v>2023</v>
      </c>
      <c r="B8" s="1">
        <v>6</v>
      </c>
      <c r="C8" s="1">
        <v>0.67398466768836662</v>
      </c>
      <c r="D8" s="1">
        <v>0.73621434240971206</v>
      </c>
      <c r="E8" s="1"/>
      <c r="F8" s="1">
        <v>0.39696918996865904</v>
      </c>
    </row>
    <row r="9" spans="1:6">
      <c r="A9" s="1">
        <v>2023</v>
      </c>
      <c r="B9" s="1">
        <v>7</v>
      </c>
      <c r="C9" s="1">
        <v>0.80452495828893544</v>
      </c>
      <c r="D9" s="1">
        <v>0.93456039611478803</v>
      </c>
      <c r="E9" s="1"/>
      <c r="F9" s="1">
        <v>0.5125629261211152</v>
      </c>
    </row>
    <row r="10" spans="1:6">
      <c r="A10" s="1">
        <v>2023</v>
      </c>
      <c r="B10" s="1">
        <v>8</v>
      </c>
      <c r="C10" s="1">
        <v>0.83042264707257307</v>
      </c>
      <c r="D10" s="1">
        <v>1.05721729018789</v>
      </c>
      <c r="E10" s="1"/>
      <c r="F10" s="1">
        <v>0.65310069505813761</v>
      </c>
    </row>
    <row r="11" spans="1:6">
      <c r="A11" s="1">
        <v>2023</v>
      </c>
      <c r="B11" s="1">
        <v>9</v>
      </c>
      <c r="C11" s="1">
        <v>0.86437212170295019</v>
      </c>
      <c r="D11" s="1">
        <v>1.2441881655095577</v>
      </c>
      <c r="E11" s="1"/>
      <c r="F11" s="1">
        <v>0.75761147312795585</v>
      </c>
    </row>
    <row r="12" spans="1:6">
      <c r="A12" s="1">
        <v>2023</v>
      </c>
      <c r="B12" s="1">
        <v>10</v>
      </c>
      <c r="C12" s="1">
        <v>1.2293681275204031</v>
      </c>
      <c r="D12" s="1">
        <v>1.3679069926497667</v>
      </c>
      <c r="E12" s="1"/>
      <c r="F12" s="1">
        <v>0.82092283619174389</v>
      </c>
    </row>
    <row r="13" spans="1:6">
      <c r="A13" s="1">
        <v>2023</v>
      </c>
      <c r="B13" s="1">
        <v>11</v>
      </c>
      <c r="C13" s="1">
        <v>1.223610118786074</v>
      </c>
      <c r="D13" s="1">
        <v>1.5395256515311406</v>
      </c>
      <c r="E13" s="1"/>
      <c r="F13" s="1">
        <v>0.91153912833619943</v>
      </c>
    </row>
    <row r="14" spans="1:6">
      <c r="A14" s="1">
        <v>2023</v>
      </c>
      <c r="B14" s="1">
        <v>12</v>
      </c>
      <c r="C14" s="1">
        <v>1.4892918178088692</v>
      </c>
      <c r="D14" s="1">
        <v>2.1278435746664637</v>
      </c>
      <c r="E14" s="1"/>
      <c r="F14" s="1">
        <v>1.1627153380505686</v>
      </c>
    </row>
    <row r="15" spans="1:6">
      <c r="A15" s="1">
        <v>2024</v>
      </c>
      <c r="B15" s="1">
        <v>0</v>
      </c>
      <c r="C15" s="1" t="s">
        <v>6</v>
      </c>
      <c r="D15" s="1" t="s">
        <v>6</v>
      </c>
      <c r="E15" s="1"/>
      <c r="F15" s="1"/>
    </row>
    <row r="16" spans="1:6">
      <c r="A16" s="1">
        <v>2024</v>
      </c>
      <c r="B16" s="1">
        <v>1</v>
      </c>
      <c r="C16" s="1">
        <v>0.1351279988117764</v>
      </c>
      <c r="D16" s="1" t="s">
        <v>6</v>
      </c>
      <c r="E16" s="1"/>
      <c r="F16" s="1">
        <v>0.19600000000000001</v>
      </c>
    </row>
    <row r="17" spans="1:6">
      <c r="A17" s="1">
        <v>2024</v>
      </c>
      <c r="B17" s="1">
        <v>2</v>
      </c>
      <c r="C17" s="1">
        <v>0.25828076935391303</v>
      </c>
      <c r="D17" s="1">
        <v>0.29511845898236805</v>
      </c>
      <c r="E17" s="1"/>
      <c r="F17" s="1">
        <v>0.21904316852119662</v>
      </c>
    </row>
    <row r="18" spans="1:6">
      <c r="A18" s="1">
        <v>2024</v>
      </c>
      <c r="B18" s="1">
        <v>3</v>
      </c>
      <c r="C18" s="1">
        <v>0.30361569545974482</v>
      </c>
      <c r="D18" s="1">
        <v>0.33148786376068634</v>
      </c>
      <c r="E18" s="1"/>
      <c r="F18" s="1">
        <v>0.26719583313830431</v>
      </c>
    </row>
    <row r="19" spans="1:6">
      <c r="A19" s="1">
        <v>2024</v>
      </c>
      <c r="B19" s="1">
        <v>4</v>
      </c>
      <c r="C19" s="1">
        <v>0.39130308339692116</v>
      </c>
      <c r="D19" s="1">
        <v>0.40214749235203873</v>
      </c>
      <c r="E19" s="1"/>
      <c r="F19" s="1">
        <v>0.46928196931190791</v>
      </c>
    </row>
    <row r="20" spans="1:6">
      <c r="A20" s="1">
        <v>2024</v>
      </c>
      <c r="B20" s="1">
        <v>5</v>
      </c>
      <c r="C20" s="1">
        <v>0.7790797183062842</v>
      </c>
      <c r="D20" s="1">
        <v>0.49317934331459107</v>
      </c>
      <c r="E20" s="1"/>
      <c r="F20" s="1">
        <v>0.7120412794771328</v>
      </c>
    </row>
    <row r="21" spans="1:6">
      <c r="A21" s="1">
        <v>2024</v>
      </c>
      <c r="B21" s="1">
        <v>6</v>
      </c>
      <c r="C21" s="1">
        <v>0.85290806187915902</v>
      </c>
      <c r="D21" s="1">
        <v>0.55151009124426742</v>
      </c>
      <c r="E21" s="1"/>
      <c r="F21" s="1">
        <v>0.82109450406118456</v>
      </c>
    </row>
    <row r="22" spans="1:6">
      <c r="A22" s="1">
        <v>2024</v>
      </c>
      <c r="B22" s="1">
        <v>7</v>
      </c>
      <c r="C22" s="1">
        <v>0.98441178513724015</v>
      </c>
      <c r="D22" s="1">
        <v>0.70050815348785733</v>
      </c>
      <c r="E22" s="1"/>
      <c r="F22" s="1">
        <v>1.0968487752928646</v>
      </c>
    </row>
    <row r="23" spans="1:6">
      <c r="A23" s="1">
        <v>2024</v>
      </c>
      <c r="B23" s="1">
        <v>8</v>
      </c>
      <c r="C23" s="1">
        <v>1.119879692482991</v>
      </c>
      <c r="D23" s="1">
        <v>0.70094952887407047</v>
      </c>
      <c r="E23" s="1"/>
      <c r="F23" s="1">
        <v>1.131</v>
      </c>
    </row>
    <row r="24" spans="1:6">
      <c r="A24" s="1">
        <v>2024</v>
      </c>
      <c r="B24" s="1">
        <v>9</v>
      </c>
      <c r="C24" s="1">
        <v>1.2336930411954978</v>
      </c>
      <c r="D24" s="1">
        <v>1.0513357352644144</v>
      </c>
      <c r="E24" s="1"/>
      <c r="F24" s="1">
        <v>1.367</v>
      </c>
    </row>
    <row r="25" spans="1:6">
      <c r="A25" s="1">
        <v>2024</v>
      </c>
      <c r="B25" s="1">
        <v>10</v>
      </c>
      <c r="C25" s="1" t="s">
        <v>6</v>
      </c>
      <c r="D25" s="1">
        <v>1.1764332121602776</v>
      </c>
      <c r="E25" s="1"/>
      <c r="F25" s="1"/>
    </row>
    <row r="26" spans="1:6">
      <c r="A26" s="1">
        <v>2024</v>
      </c>
      <c r="B26" s="1">
        <v>11</v>
      </c>
      <c r="C26" s="1">
        <v>1.4231333287478471</v>
      </c>
      <c r="D26" s="1">
        <v>2.1248692506192701</v>
      </c>
      <c r="E26" s="1"/>
      <c r="F26" s="1"/>
    </row>
    <row r="27" spans="1:6">
      <c r="A27" s="1">
        <v>2024</v>
      </c>
      <c r="B27" s="1">
        <v>12</v>
      </c>
      <c r="C27" s="1" t="s">
        <v>6</v>
      </c>
      <c r="D27" s="1" t="s">
        <v>6</v>
      </c>
      <c r="E27" s="1"/>
      <c r="F2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D14A7-CC75-44C0-8FF4-8DE7C82A1AA5}">
  <dimension ref="A1:F201"/>
  <sheetViews>
    <sheetView workbookViewId="0">
      <selection activeCell="A2" sqref="A2:XFD202"/>
    </sheetView>
  </sheetViews>
  <sheetFormatPr defaultRowHeight="15"/>
  <sheetData>
    <row r="1" spans="1:6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2023</v>
      </c>
      <c r="B2">
        <v>1</v>
      </c>
      <c r="E2" s="1">
        <v>0</v>
      </c>
    </row>
    <row r="3" spans="1:6">
      <c r="A3">
        <v>2023</v>
      </c>
      <c r="B3">
        <v>2</v>
      </c>
      <c r="E3" s="1">
        <v>0</v>
      </c>
    </row>
    <row r="4" spans="1:6">
      <c r="A4">
        <v>2023</v>
      </c>
      <c r="B4">
        <v>3</v>
      </c>
      <c r="E4" s="1">
        <v>0</v>
      </c>
    </row>
    <row r="5" spans="1:6">
      <c r="A5">
        <v>2023</v>
      </c>
      <c r="B5">
        <v>4</v>
      </c>
      <c r="E5" s="1">
        <v>0</v>
      </c>
    </row>
    <row r="6" spans="1:6">
      <c r="A6">
        <v>2023</v>
      </c>
      <c r="B6">
        <v>5</v>
      </c>
      <c r="E6" s="1">
        <v>0</v>
      </c>
    </row>
    <row r="7" spans="1:6">
      <c r="A7">
        <v>2023</v>
      </c>
      <c r="B7">
        <v>6</v>
      </c>
      <c r="E7" s="1">
        <v>0</v>
      </c>
    </row>
    <row r="8" spans="1:6">
      <c r="A8">
        <v>2023</v>
      </c>
      <c r="B8">
        <v>7</v>
      </c>
      <c r="E8" s="1">
        <v>0</v>
      </c>
    </row>
    <row r="9" spans="1:6">
      <c r="A9">
        <v>2023</v>
      </c>
      <c r="B9">
        <v>8</v>
      </c>
      <c r="E9" s="1">
        <v>0</v>
      </c>
    </row>
    <row r="10" spans="1:6">
      <c r="A10">
        <v>2023</v>
      </c>
      <c r="B10">
        <v>9</v>
      </c>
      <c r="E10" s="1">
        <v>0</v>
      </c>
    </row>
    <row r="11" spans="1:6">
      <c r="A11">
        <v>2023</v>
      </c>
      <c r="B11">
        <v>10</v>
      </c>
      <c r="E11" s="1">
        <v>0</v>
      </c>
    </row>
    <row r="12" spans="1:6">
      <c r="A12">
        <v>2023</v>
      </c>
      <c r="B12">
        <v>11</v>
      </c>
      <c r="E12" s="1">
        <v>0</v>
      </c>
    </row>
    <row r="13" spans="1:6">
      <c r="A13">
        <v>2023</v>
      </c>
      <c r="B13">
        <v>12</v>
      </c>
      <c r="E13" s="1">
        <v>0</v>
      </c>
    </row>
    <row r="14" spans="1:6">
      <c r="A14">
        <v>2023</v>
      </c>
      <c r="B14">
        <v>13</v>
      </c>
      <c r="E14" s="1">
        <v>0</v>
      </c>
    </row>
    <row r="15" spans="1:6">
      <c r="A15">
        <v>2023</v>
      </c>
      <c r="B15">
        <v>14</v>
      </c>
      <c r="E15" s="1">
        <v>0</v>
      </c>
    </row>
    <row r="16" spans="1:6">
      <c r="A16">
        <v>2023</v>
      </c>
      <c r="B16">
        <v>15</v>
      </c>
      <c r="E16" s="1">
        <v>0</v>
      </c>
    </row>
    <row r="17" spans="1:5">
      <c r="A17">
        <v>2023</v>
      </c>
      <c r="B17">
        <v>16</v>
      </c>
      <c r="E17" s="1">
        <v>0</v>
      </c>
    </row>
    <row r="18" spans="1:5">
      <c r="A18">
        <v>2023</v>
      </c>
      <c r="B18">
        <v>17</v>
      </c>
      <c r="E18" s="1">
        <v>0.38473646621254598</v>
      </c>
    </row>
    <row r="19" spans="1:5">
      <c r="A19">
        <v>2023</v>
      </c>
      <c r="B19">
        <v>18</v>
      </c>
      <c r="E19" s="1">
        <v>3.65589956626388</v>
      </c>
    </row>
    <row r="20" spans="1:5">
      <c r="A20">
        <v>2023</v>
      </c>
      <c r="B20">
        <v>19</v>
      </c>
      <c r="E20" s="1">
        <v>3.210582548075199</v>
      </c>
    </row>
    <row r="21" spans="1:5">
      <c r="A21">
        <v>2023</v>
      </c>
      <c r="B21">
        <v>20</v>
      </c>
      <c r="E21" s="1">
        <v>5.9211604949286949</v>
      </c>
    </row>
    <row r="22" spans="1:5">
      <c r="A22">
        <v>2023</v>
      </c>
      <c r="B22">
        <v>21</v>
      </c>
      <c r="E22" s="1">
        <v>7.5804027299167274</v>
      </c>
    </row>
    <row r="23" spans="1:5">
      <c r="A23">
        <v>2023</v>
      </c>
      <c r="B23">
        <v>22</v>
      </c>
      <c r="E23" s="1">
        <v>24.870441489738365</v>
      </c>
    </row>
    <row r="24" spans="1:5">
      <c r="A24">
        <v>2023</v>
      </c>
      <c r="B24">
        <v>23</v>
      </c>
      <c r="E24" s="1">
        <v>72.532832675437987</v>
      </c>
    </row>
    <row r="25" spans="1:5">
      <c r="A25">
        <v>2023</v>
      </c>
      <c r="B25">
        <v>24</v>
      </c>
      <c r="E25" s="1">
        <v>130.08688029879829</v>
      </c>
    </row>
    <row r="26" spans="1:5">
      <c r="A26">
        <v>2023</v>
      </c>
      <c r="B26">
        <v>25</v>
      </c>
      <c r="E26" s="1">
        <v>191.3683053327789</v>
      </c>
    </row>
    <row r="27" spans="1:5">
      <c r="A27">
        <v>2023</v>
      </c>
      <c r="B27">
        <v>26</v>
      </c>
      <c r="E27" s="1">
        <v>429.42431713973281</v>
      </c>
    </row>
    <row r="28" spans="1:5">
      <c r="A28">
        <v>2023</v>
      </c>
      <c r="B28">
        <v>27</v>
      </c>
      <c r="E28" s="1">
        <v>790.11558140447164</v>
      </c>
    </row>
    <row r="29" spans="1:5">
      <c r="A29">
        <v>2023</v>
      </c>
      <c r="B29">
        <v>28</v>
      </c>
      <c r="E29" s="1">
        <v>1719.5309159465169</v>
      </c>
    </row>
    <row r="30" spans="1:5">
      <c r="A30">
        <v>2023</v>
      </c>
      <c r="B30">
        <v>29</v>
      </c>
      <c r="E30" s="1">
        <v>3691.0067655112744</v>
      </c>
    </row>
    <row r="31" spans="1:5">
      <c r="A31">
        <v>2023</v>
      </c>
      <c r="B31">
        <v>30</v>
      </c>
      <c r="E31" s="1">
        <v>7223.6098682297661</v>
      </c>
    </row>
    <row r="32" spans="1:5">
      <c r="A32">
        <v>2023</v>
      </c>
      <c r="B32">
        <v>31</v>
      </c>
      <c r="E32" s="1">
        <v>12112.870280035952</v>
      </c>
    </row>
    <row r="33" spans="1:5">
      <c r="A33">
        <v>2023</v>
      </c>
      <c r="B33">
        <v>32</v>
      </c>
      <c r="E33" s="1">
        <v>16351.518115564566</v>
      </c>
    </row>
    <row r="34" spans="1:5">
      <c r="A34">
        <v>2023</v>
      </c>
      <c r="B34">
        <v>33</v>
      </c>
      <c r="E34" s="1">
        <v>16273.151532401334</v>
      </c>
    </row>
    <row r="35" spans="1:5">
      <c r="A35">
        <v>2023</v>
      </c>
      <c r="B35">
        <v>34</v>
      </c>
      <c r="E35" s="1">
        <v>12946.565903564844</v>
      </c>
    </row>
    <row r="36" spans="1:5">
      <c r="A36">
        <v>2023</v>
      </c>
      <c r="B36">
        <v>35</v>
      </c>
      <c r="E36" s="1">
        <v>10745.534849670372</v>
      </c>
    </row>
    <row r="37" spans="1:5">
      <c r="A37">
        <v>2023</v>
      </c>
      <c r="B37">
        <v>36</v>
      </c>
      <c r="E37" s="1">
        <v>8934.6452316001159</v>
      </c>
    </row>
    <row r="38" spans="1:5">
      <c r="A38">
        <v>2023</v>
      </c>
      <c r="B38">
        <v>37</v>
      </c>
      <c r="E38" s="1">
        <v>9443.6721998810644</v>
      </c>
    </row>
    <row r="39" spans="1:5">
      <c r="A39">
        <v>2023</v>
      </c>
      <c r="B39">
        <v>38</v>
      </c>
      <c r="E39" s="1">
        <v>11007.919859757312</v>
      </c>
    </row>
    <row r="40" spans="1:5">
      <c r="A40">
        <v>2023</v>
      </c>
      <c r="B40">
        <v>39</v>
      </c>
      <c r="E40" s="1">
        <v>12507.956389445219</v>
      </c>
    </row>
    <row r="41" spans="1:5">
      <c r="A41">
        <v>2023</v>
      </c>
      <c r="B41">
        <v>40</v>
      </c>
      <c r="E41" s="1">
        <v>14165.905542779077</v>
      </c>
    </row>
    <row r="42" spans="1:5">
      <c r="A42">
        <v>2023</v>
      </c>
      <c r="B42">
        <v>41</v>
      </c>
      <c r="E42" s="1">
        <v>14440.04075624128</v>
      </c>
    </row>
    <row r="43" spans="1:5">
      <c r="A43">
        <v>2023</v>
      </c>
      <c r="B43">
        <v>42</v>
      </c>
      <c r="E43" s="1">
        <v>14222.468948530113</v>
      </c>
    </row>
    <row r="44" spans="1:5">
      <c r="A44">
        <v>2023</v>
      </c>
      <c r="B44">
        <v>43</v>
      </c>
      <c r="E44" s="1">
        <v>14098.686846556493</v>
      </c>
    </row>
    <row r="45" spans="1:5">
      <c r="A45">
        <v>2023</v>
      </c>
      <c r="B45">
        <v>44</v>
      </c>
      <c r="E45" s="1">
        <v>13387.579615031149</v>
      </c>
    </row>
    <row r="46" spans="1:5">
      <c r="A46">
        <v>2023</v>
      </c>
      <c r="B46">
        <v>45</v>
      </c>
      <c r="E46" s="1">
        <v>13019.475891083417</v>
      </c>
    </row>
    <row r="47" spans="1:5">
      <c r="A47">
        <v>2023</v>
      </c>
      <c r="B47">
        <v>46</v>
      </c>
      <c r="E47" s="1">
        <v>12758.464833698978</v>
      </c>
    </row>
    <row r="48" spans="1:5">
      <c r="A48">
        <v>2023</v>
      </c>
      <c r="B48">
        <v>47</v>
      </c>
      <c r="E48" s="1">
        <v>10907.203998975807</v>
      </c>
    </row>
    <row r="49" spans="1:5">
      <c r="A49">
        <v>2023</v>
      </c>
      <c r="B49">
        <v>48</v>
      </c>
      <c r="E49" s="1">
        <v>9252.2119762584316</v>
      </c>
    </row>
    <row r="50" spans="1:5">
      <c r="A50">
        <v>2023</v>
      </c>
      <c r="B50">
        <v>49</v>
      </c>
      <c r="E50" s="1">
        <v>7321.0266421403549</v>
      </c>
    </row>
    <row r="51" spans="1:5">
      <c r="A51">
        <v>2023</v>
      </c>
      <c r="B51">
        <v>50</v>
      </c>
      <c r="E51" s="1">
        <v>5565.8171735107726</v>
      </c>
    </row>
    <row r="52" spans="1:5">
      <c r="A52">
        <v>2023</v>
      </c>
      <c r="B52">
        <v>51</v>
      </c>
      <c r="E52" s="1">
        <v>3797.5084394440269</v>
      </c>
    </row>
    <row r="53" spans="1:5">
      <c r="A53">
        <v>2023</v>
      </c>
      <c r="B53">
        <v>52</v>
      </c>
      <c r="E53" s="1">
        <v>2451.1760363763628</v>
      </c>
    </row>
    <row r="54" spans="1:5">
      <c r="A54">
        <v>2023</v>
      </c>
      <c r="B54">
        <v>53</v>
      </c>
      <c r="E54" s="1">
        <v>1361.8285752782676</v>
      </c>
    </row>
    <row r="55" spans="1:5">
      <c r="A55">
        <v>2023</v>
      </c>
      <c r="B55">
        <v>54</v>
      </c>
      <c r="E55" s="1">
        <v>755.03061172598291</v>
      </c>
    </row>
    <row r="56" spans="1:5">
      <c r="A56">
        <v>2023</v>
      </c>
      <c r="B56">
        <v>55</v>
      </c>
      <c r="E56" s="1">
        <v>312.33344587880936</v>
      </c>
    </row>
    <row r="57" spans="1:5">
      <c r="A57">
        <v>2023</v>
      </c>
      <c r="B57">
        <v>56</v>
      </c>
      <c r="E57" s="1">
        <v>100.76769342579439</v>
      </c>
    </row>
    <row r="58" spans="1:5">
      <c r="A58">
        <v>2023</v>
      </c>
      <c r="B58">
        <v>57</v>
      </c>
      <c r="E58" s="1">
        <v>52.710601360164318</v>
      </c>
    </row>
    <row r="59" spans="1:5">
      <c r="A59">
        <v>2023</v>
      </c>
      <c r="B59">
        <v>58</v>
      </c>
      <c r="E59" s="1">
        <v>17.416527760051839</v>
      </c>
    </row>
    <row r="60" spans="1:5">
      <c r="A60">
        <v>2023</v>
      </c>
      <c r="B60">
        <v>59</v>
      </c>
      <c r="E60" s="1">
        <v>3.338892011033054</v>
      </c>
    </row>
    <row r="61" spans="1:5">
      <c r="A61">
        <v>2023</v>
      </c>
      <c r="B61">
        <v>60</v>
      </c>
      <c r="E61" s="1">
        <v>0.1436319092577493</v>
      </c>
    </row>
    <row r="62" spans="1:5">
      <c r="A62">
        <v>2023</v>
      </c>
      <c r="B62">
        <v>61</v>
      </c>
      <c r="E62" s="1">
        <v>0</v>
      </c>
    </row>
    <row r="63" spans="1:5">
      <c r="A63">
        <v>2023</v>
      </c>
      <c r="B63">
        <v>62</v>
      </c>
      <c r="E63" s="1">
        <v>0</v>
      </c>
    </row>
    <row r="64" spans="1:5">
      <c r="A64">
        <v>2023</v>
      </c>
      <c r="B64">
        <v>63</v>
      </c>
      <c r="E64" s="1">
        <v>0</v>
      </c>
    </row>
    <row r="65" spans="1:5">
      <c r="A65">
        <v>2023</v>
      </c>
      <c r="B65">
        <v>64</v>
      </c>
      <c r="E65" s="1">
        <v>0</v>
      </c>
    </row>
    <row r="66" spans="1:5">
      <c r="A66">
        <v>2023</v>
      </c>
      <c r="B66">
        <v>65</v>
      </c>
      <c r="E66" s="1">
        <v>0</v>
      </c>
    </row>
    <row r="67" spans="1:5">
      <c r="A67">
        <v>2023</v>
      </c>
      <c r="B67">
        <v>66</v>
      </c>
      <c r="E67" s="1">
        <v>0</v>
      </c>
    </row>
    <row r="68" spans="1:5">
      <c r="A68">
        <v>2023</v>
      </c>
      <c r="B68">
        <v>67</v>
      </c>
      <c r="E68" s="1">
        <v>0</v>
      </c>
    </row>
    <row r="69" spans="1:5">
      <c r="A69">
        <v>2023</v>
      </c>
      <c r="B69">
        <v>68</v>
      </c>
      <c r="E69" s="1">
        <v>0</v>
      </c>
    </row>
    <row r="70" spans="1:5">
      <c r="A70">
        <v>2023</v>
      </c>
      <c r="B70">
        <v>69</v>
      </c>
      <c r="E70" s="1">
        <v>0</v>
      </c>
    </row>
    <row r="71" spans="1:5">
      <c r="A71">
        <v>2023</v>
      </c>
      <c r="B71">
        <v>70</v>
      </c>
      <c r="E71" s="1">
        <v>0</v>
      </c>
    </row>
    <row r="72" spans="1:5">
      <c r="A72">
        <v>2023</v>
      </c>
      <c r="B72">
        <v>71</v>
      </c>
      <c r="E72" s="1">
        <v>0</v>
      </c>
    </row>
    <row r="73" spans="1:5">
      <c r="A73">
        <v>2023</v>
      </c>
      <c r="B73">
        <v>72</v>
      </c>
      <c r="E73" s="1">
        <v>0</v>
      </c>
    </row>
    <row r="74" spans="1:5">
      <c r="A74">
        <v>2023</v>
      </c>
      <c r="B74">
        <v>73</v>
      </c>
      <c r="E74" s="1">
        <v>0</v>
      </c>
    </row>
    <row r="75" spans="1:5">
      <c r="A75">
        <v>2023</v>
      </c>
      <c r="B75">
        <v>74</v>
      </c>
      <c r="E75" s="1">
        <v>0</v>
      </c>
    </row>
    <row r="76" spans="1:5">
      <c r="A76">
        <v>2023</v>
      </c>
      <c r="B76">
        <v>75</v>
      </c>
      <c r="E76" s="1">
        <v>0</v>
      </c>
    </row>
    <row r="77" spans="1:5">
      <c r="A77">
        <v>2023</v>
      </c>
      <c r="B77">
        <v>76</v>
      </c>
      <c r="E77" s="1">
        <v>0</v>
      </c>
    </row>
    <row r="78" spans="1:5">
      <c r="A78">
        <v>2023</v>
      </c>
      <c r="B78">
        <v>77</v>
      </c>
      <c r="E78" s="1">
        <v>0</v>
      </c>
    </row>
    <row r="79" spans="1:5">
      <c r="A79">
        <v>2023</v>
      </c>
      <c r="B79">
        <v>78</v>
      </c>
      <c r="E79" s="1">
        <v>0</v>
      </c>
    </row>
    <row r="80" spans="1:5">
      <c r="A80">
        <v>2023</v>
      </c>
      <c r="B80">
        <v>79</v>
      </c>
      <c r="E80" s="1">
        <v>0</v>
      </c>
    </row>
    <row r="81" spans="1:5">
      <c r="A81">
        <v>2023</v>
      </c>
      <c r="B81">
        <v>80</v>
      </c>
      <c r="E81" s="1">
        <v>0</v>
      </c>
    </row>
    <row r="82" spans="1:5">
      <c r="A82">
        <v>2023</v>
      </c>
      <c r="B82">
        <v>81</v>
      </c>
      <c r="E82" s="1">
        <v>0</v>
      </c>
    </row>
    <row r="83" spans="1:5">
      <c r="A83">
        <v>2023</v>
      </c>
      <c r="B83">
        <v>82</v>
      </c>
      <c r="E83" s="1">
        <v>0</v>
      </c>
    </row>
    <row r="84" spans="1:5">
      <c r="A84">
        <v>2023</v>
      </c>
      <c r="B84">
        <v>83</v>
      </c>
      <c r="E84" s="1">
        <v>0</v>
      </c>
    </row>
    <row r="85" spans="1:5">
      <c r="A85">
        <v>2023</v>
      </c>
      <c r="B85">
        <v>84</v>
      </c>
      <c r="E85" s="1">
        <v>0</v>
      </c>
    </row>
    <row r="86" spans="1:5">
      <c r="A86">
        <v>2023</v>
      </c>
      <c r="B86">
        <v>85</v>
      </c>
      <c r="E86" s="1">
        <v>0</v>
      </c>
    </row>
    <row r="87" spans="1:5">
      <c r="A87">
        <v>2023</v>
      </c>
      <c r="B87">
        <v>86</v>
      </c>
      <c r="E87" s="1">
        <v>0</v>
      </c>
    </row>
    <row r="88" spans="1:5">
      <c r="A88">
        <v>2023</v>
      </c>
      <c r="B88">
        <v>87</v>
      </c>
      <c r="E88" s="1">
        <v>0</v>
      </c>
    </row>
    <row r="89" spans="1:5">
      <c r="A89">
        <v>2023</v>
      </c>
      <c r="B89">
        <v>88</v>
      </c>
      <c r="E89" s="1">
        <v>0</v>
      </c>
    </row>
    <row r="90" spans="1:5">
      <c r="A90">
        <v>2023</v>
      </c>
      <c r="B90">
        <v>89</v>
      </c>
      <c r="E90" s="1">
        <v>0</v>
      </c>
    </row>
    <row r="91" spans="1:5">
      <c r="A91">
        <v>2023</v>
      </c>
      <c r="B91">
        <v>90</v>
      </c>
      <c r="E91" s="1">
        <v>0</v>
      </c>
    </row>
    <row r="92" spans="1:5">
      <c r="A92">
        <v>2023</v>
      </c>
      <c r="B92">
        <v>91</v>
      </c>
      <c r="E92" s="1">
        <v>0</v>
      </c>
    </row>
    <row r="93" spans="1:5">
      <c r="A93">
        <v>2023</v>
      </c>
      <c r="B93">
        <v>92</v>
      </c>
      <c r="E93" s="1">
        <v>0</v>
      </c>
    </row>
    <row r="94" spans="1:5">
      <c r="A94">
        <v>2023</v>
      </c>
      <c r="B94">
        <v>93</v>
      </c>
      <c r="E94" s="1">
        <v>0</v>
      </c>
    </row>
    <row r="95" spans="1:5">
      <c r="A95">
        <v>2023</v>
      </c>
      <c r="B95">
        <v>94</v>
      </c>
      <c r="E95" s="1">
        <v>0</v>
      </c>
    </row>
    <row r="96" spans="1:5">
      <c r="A96">
        <v>2023</v>
      </c>
      <c r="B96">
        <v>95</v>
      </c>
      <c r="E96" s="1">
        <v>0</v>
      </c>
    </row>
    <row r="97" spans="1:5">
      <c r="A97">
        <v>2023</v>
      </c>
      <c r="B97">
        <v>96</v>
      </c>
      <c r="E97" s="1">
        <v>0</v>
      </c>
    </row>
    <row r="98" spans="1:5">
      <c r="A98">
        <v>2023</v>
      </c>
      <c r="B98">
        <v>97</v>
      </c>
      <c r="E98" s="1">
        <v>0</v>
      </c>
    </row>
    <row r="99" spans="1:5">
      <c r="A99">
        <v>2023</v>
      </c>
      <c r="B99">
        <v>98</v>
      </c>
      <c r="E99" s="1">
        <v>0</v>
      </c>
    </row>
    <row r="100" spans="1:5">
      <c r="A100">
        <v>2023</v>
      </c>
      <c r="B100">
        <v>99</v>
      </c>
      <c r="E100" s="1">
        <v>0</v>
      </c>
    </row>
    <row r="101" spans="1:5">
      <c r="A101">
        <v>2023</v>
      </c>
      <c r="B101">
        <v>100</v>
      </c>
      <c r="E101" s="1">
        <v>0</v>
      </c>
    </row>
    <row r="102" spans="1:5">
      <c r="A102">
        <v>2024</v>
      </c>
      <c r="B102">
        <v>1</v>
      </c>
      <c r="E102" s="1">
        <v>0</v>
      </c>
    </row>
    <row r="103" spans="1:5">
      <c r="A103">
        <v>2024</v>
      </c>
      <c r="B103">
        <v>2</v>
      </c>
      <c r="E103" s="1">
        <v>0</v>
      </c>
    </row>
    <row r="104" spans="1:5">
      <c r="A104">
        <v>2024</v>
      </c>
      <c r="B104">
        <v>3</v>
      </c>
      <c r="E104" s="1">
        <v>0</v>
      </c>
    </row>
    <row r="105" spans="1:5">
      <c r="A105">
        <v>2024</v>
      </c>
      <c r="B105">
        <v>4</v>
      </c>
      <c r="E105" s="1">
        <v>0</v>
      </c>
    </row>
    <row r="106" spans="1:5">
      <c r="A106">
        <v>2024</v>
      </c>
      <c r="B106">
        <v>5</v>
      </c>
      <c r="E106" s="1">
        <v>0</v>
      </c>
    </row>
    <row r="107" spans="1:5">
      <c r="A107">
        <v>2024</v>
      </c>
      <c r="B107">
        <v>6</v>
      </c>
      <c r="E107" s="1">
        <v>0</v>
      </c>
    </row>
    <row r="108" spans="1:5">
      <c r="A108">
        <v>2024</v>
      </c>
      <c r="B108">
        <v>7</v>
      </c>
      <c r="E108" s="1">
        <v>0</v>
      </c>
    </row>
    <row r="109" spans="1:5">
      <c r="A109">
        <v>2024</v>
      </c>
      <c r="B109">
        <v>8</v>
      </c>
      <c r="E109" s="1">
        <v>0</v>
      </c>
    </row>
    <row r="110" spans="1:5">
      <c r="A110">
        <v>2024</v>
      </c>
      <c r="B110">
        <v>9</v>
      </c>
      <c r="E110" s="1">
        <v>0</v>
      </c>
    </row>
    <row r="111" spans="1:5">
      <c r="A111">
        <v>2024</v>
      </c>
      <c r="B111">
        <v>10</v>
      </c>
      <c r="E111" s="1">
        <v>0</v>
      </c>
    </row>
    <row r="112" spans="1:5">
      <c r="A112">
        <v>2024</v>
      </c>
      <c r="B112">
        <v>11</v>
      </c>
      <c r="E112" s="1">
        <v>0</v>
      </c>
    </row>
    <row r="113" spans="1:5">
      <c r="A113">
        <v>2024</v>
      </c>
      <c r="B113">
        <v>12</v>
      </c>
      <c r="E113" s="1">
        <v>0</v>
      </c>
    </row>
    <row r="114" spans="1:5">
      <c r="A114">
        <v>2024</v>
      </c>
      <c r="B114">
        <v>13</v>
      </c>
      <c r="E114" s="1">
        <v>0</v>
      </c>
    </row>
    <row r="115" spans="1:5">
      <c r="A115">
        <v>2024</v>
      </c>
      <c r="B115">
        <v>14</v>
      </c>
      <c r="E115" s="1">
        <v>0</v>
      </c>
    </row>
    <row r="116" spans="1:5">
      <c r="A116">
        <v>2024</v>
      </c>
      <c r="B116">
        <v>15</v>
      </c>
      <c r="E116" s="1">
        <v>0</v>
      </c>
    </row>
    <row r="117" spans="1:5">
      <c r="A117">
        <v>2024</v>
      </c>
      <c r="B117">
        <v>16</v>
      </c>
      <c r="E117" s="1">
        <v>0.83067180597275203</v>
      </c>
    </row>
    <row r="118" spans="1:5">
      <c r="A118">
        <v>2024</v>
      </c>
      <c r="B118">
        <v>17</v>
      </c>
      <c r="E118" s="1">
        <v>3.16351423658835</v>
      </c>
    </row>
    <row r="119" spans="1:5">
      <c r="A119">
        <v>2024</v>
      </c>
      <c r="B119">
        <v>18</v>
      </c>
      <c r="E119" s="1">
        <v>1.58891462833298</v>
      </c>
    </row>
    <row r="120" spans="1:5">
      <c r="A120">
        <v>2024</v>
      </c>
      <c r="B120">
        <v>19</v>
      </c>
      <c r="E120" s="1">
        <v>9.9244160394069905</v>
      </c>
    </row>
    <row r="121" spans="1:5">
      <c r="A121">
        <v>2024</v>
      </c>
      <c r="B121">
        <v>20</v>
      </c>
      <c r="E121" s="1">
        <v>51.272024610172252</v>
      </c>
    </row>
    <row r="122" spans="1:5">
      <c r="A122">
        <v>2024</v>
      </c>
      <c r="B122">
        <v>21</v>
      </c>
      <c r="E122" s="1">
        <v>155.6681721266369</v>
      </c>
    </row>
    <row r="123" spans="1:5">
      <c r="A123">
        <v>2024</v>
      </c>
      <c r="B123">
        <v>22</v>
      </c>
      <c r="E123" s="1">
        <v>207.0955545945817</v>
      </c>
    </row>
    <row r="124" spans="1:5">
      <c r="A124">
        <v>2024</v>
      </c>
      <c r="B124">
        <v>23</v>
      </c>
      <c r="E124" s="1">
        <v>226.13931360263098</v>
      </c>
    </row>
    <row r="125" spans="1:5">
      <c r="A125">
        <v>2024</v>
      </c>
      <c r="B125">
        <v>24</v>
      </c>
      <c r="E125" s="1">
        <v>394.03455688927801</v>
      </c>
    </row>
    <row r="126" spans="1:5">
      <c r="A126">
        <v>2024</v>
      </c>
      <c r="B126">
        <v>25</v>
      </c>
      <c r="E126" s="1">
        <v>626.75134092936003</v>
      </c>
    </row>
    <row r="127" spans="1:5">
      <c r="A127">
        <v>2024</v>
      </c>
      <c r="B127">
        <v>26</v>
      </c>
      <c r="E127" s="1">
        <v>763.02512816327908</v>
      </c>
    </row>
    <row r="128" spans="1:5">
      <c r="A128">
        <v>2024</v>
      </c>
      <c r="B128">
        <v>27</v>
      </c>
      <c r="E128" s="1">
        <v>859.40456750131898</v>
      </c>
    </row>
    <row r="129" spans="1:5">
      <c r="A129">
        <v>2024</v>
      </c>
      <c r="B129">
        <v>28</v>
      </c>
      <c r="E129" s="1">
        <v>724.08464036613702</v>
      </c>
    </row>
    <row r="130" spans="1:5">
      <c r="A130">
        <v>2024</v>
      </c>
      <c r="B130">
        <v>29</v>
      </c>
      <c r="E130" s="1">
        <v>548.86183415784501</v>
      </c>
    </row>
    <row r="131" spans="1:5">
      <c r="A131">
        <v>2024</v>
      </c>
      <c r="B131">
        <v>30</v>
      </c>
      <c r="E131" s="1">
        <v>578.95504376725398</v>
      </c>
    </row>
    <row r="132" spans="1:5">
      <c r="A132">
        <v>2024</v>
      </c>
      <c r="B132">
        <v>31</v>
      </c>
      <c r="E132" s="1">
        <v>592.4877036495725</v>
      </c>
    </row>
    <row r="133" spans="1:5">
      <c r="A133">
        <v>2024</v>
      </c>
      <c r="B133">
        <v>32</v>
      </c>
      <c r="E133" s="1">
        <v>639.22974953777498</v>
      </c>
    </row>
    <row r="134" spans="1:5">
      <c r="A134">
        <v>2024</v>
      </c>
      <c r="B134">
        <v>33</v>
      </c>
      <c r="E134" s="1">
        <v>645.88828174250455</v>
      </c>
    </row>
    <row r="135" spans="1:5">
      <c r="A135">
        <v>2024</v>
      </c>
      <c r="B135">
        <v>34</v>
      </c>
      <c r="E135" s="1">
        <v>633.82032416056893</v>
      </c>
    </row>
    <row r="136" spans="1:5">
      <c r="A136">
        <v>2024</v>
      </c>
      <c r="B136">
        <v>35</v>
      </c>
      <c r="E136" s="1">
        <v>817.99973166582788</v>
      </c>
    </row>
    <row r="137" spans="1:5">
      <c r="A137">
        <v>2024</v>
      </c>
      <c r="B137">
        <v>36</v>
      </c>
      <c r="E137" s="1">
        <v>1277.2116540880561</v>
      </c>
    </row>
    <row r="138" spans="1:5">
      <c r="A138">
        <v>2024</v>
      </c>
      <c r="B138">
        <v>37</v>
      </c>
      <c r="E138" s="1">
        <v>1187.2086678553301</v>
      </c>
    </row>
    <row r="139" spans="1:5">
      <c r="A139">
        <v>2024</v>
      </c>
      <c r="B139">
        <v>38</v>
      </c>
      <c r="E139" s="1">
        <v>1385.662576527749</v>
      </c>
    </row>
    <row r="140" spans="1:5">
      <c r="A140">
        <v>2024</v>
      </c>
      <c r="B140">
        <v>39</v>
      </c>
      <c r="E140" s="1">
        <v>1912.756112194523</v>
      </c>
    </row>
    <row r="141" spans="1:5">
      <c r="A141">
        <v>2024</v>
      </c>
      <c r="B141">
        <v>40</v>
      </c>
      <c r="E141" s="1">
        <v>2237.3885388970548</v>
      </c>
    </row>
    <row r="142" spans="1:5">
      <c r="A142">
        <v>2024</v>
      </c>
      <c r="B142">
        <v>41</v>
      </c>
      <c r="E142" s="1">
        <v>3037.9025357081582</v>
      </c>
    </row>
    <row r="143" spans="1:5">
      <c r="A143">
        <v>2024</v>
      </c>
      <c r="B143">
        <v>42</v>
      </c>
      <c r="E143" s="1">
        <v>3955.7731962990706</v>
      </c>
    </row>
    <row r="144" spans="1:5">
      <c r="A144">
        <v>2024</v>
      </c>
      <c r="B144">
        <v>43</v>
      </c>
      <c r="E144" s="1">
        <v>4935.0839096029677</v>
      </c>
    </row>
    <row r="145" spans="1:5">
      <c r="A145">
        <v>2024</v>
      </c>
      <c r="B145">
        <v>44</v>
      </c>
      <c r="E145" s="1">
        <v>5262.8451463160491</v>
      </c>
    </row>
    <row r="146" spans="1:5">
      <c r="A146">
        <v>2024</v>
      </c>
      <c r="B146">
        <v>45</v>
      </c>
      <c r="E146" s="1">
        <v>4871.2768547862997</v>
      </c>
    </row>
    <row r="147" spans="1:5">
      <c r="A147">
        <v>2024</v>
      </c>
      <c r="B147">
        <v>46</v>
      </c>
      <c r="E147" s="1">
        <v>4320.847496610184</v>
      </c>
    </row>
    <row r="148" spans="1:5">
      <c r="A148">
        <v>2024</v>
      </c>
      <c r="B148">
        <v>47</v>
      </c>
      <c r="E148" s="1">
        <v>3969.415784765692</v>
      </c>
    </row>
    <row r="149" spans="1:5">
      <c r="A149">
        <v>2024</v>
      </c>
      <c r="B149">
        <v>48</v>
      </c>
      <c r="E149" s="1">
        <v>3844.7901134115282</v>
      </c>
    </row>
    <row r="150" spans="1:5">
      <c r="A150">
        <v>2024</v>
      </c>
      <c r="B150">
        <v>49</v>
      </c>
      <c r="E150" s="1">
        <v>3630.0971454767823</v>
      </c>
    </row>
    <row r="151" spans="1:5">
      <c r="A151">
        <v>2024</v>
      </c>
      <c r="B151">
        <v>50</v>
      </c>
      <c r="E151" s="1">
        <v>3011.5452672747092</v>
      </c>
    </row>
    <row r="152" spans="1:5">
      <c r="A152">
        <v>2024</v>
      </c>
      <c r="B152">
        <v>51</v>
      </c>
      <c r="E152" s="1">
        <v>2558.081026167074</v>
      </c>
    </row>
    <row r="153" spans="1:5">
      <c r="A153">
        <v>2024</v>
      </c>
      <c r="B153">
        <v>52</v>
      </c>
      <c r="E153" s="1">
        <v>1773.9519943722557</v>
      </c>
    </row>
    <row r="154" spans="1:5">
      <c r="A154">
        <v>2024</v>
      </c>
      <c r="B154">
        <v>53</v>
      </c>
      <c r="E154" s="1">
        <v>1179.2282995733694</v>
      </c>
    </row>
    <row r="155" spans="1:5">
      <c r="A155">
        <v>2024</v>
      </c>
      <c r="B155">
        <v>54</v>
      </c>
      <c r="E155" s="1">
        <v>717.63223684264244</v>
      </c>
    </row>
    <row r="156" spans="1:5">
      <c r="A156">
        <v>2024</v>
      </c>
      <c r="B156">
        <v>55</v>
      </c>
      <c r="E156" s="1">
        <v>325.46077964969209</v>
      </c>
    </row>
    <row r="157" spans="1:5">
      <c r="A157">
        <v>2024</v>
      </c>
      <c r="B157">
        <v>56</v>
      </c>
      <c r="E157" s="1">
        <v>167.53714256785821</v>
      </c>
    </row>
    <row r="158" spans="1:5">
      <c r="A158">
        <v>2024</v>
      </c>
      <c r="B158">
        <v>57</v>
      </c>
      <c r="E158" s="1">
        <v>52.959066838238201</v>
      </c>
    </row>
    <row r="159" spans="1:5">
      <c r="A159">
        <v>2024</v>
      </c>
      <c r="B159">
        <v>58</v>
      </c>
      <c r="E159" s="1">
        <v>4.6508754190266801</v>
      </c>
    </row>
    <row r="160" spans="1:5">
      <c r="A160">
        <v>2024</v>
      </c>
      <c r="B160">
        <v>59</v>
      </c>
      <c r="E160" s="1">
        <v>0.63547056525420598</v>
      </c>
    </row>
    <row r="161" spans="1:5">
      <c r="A161">
        <v>2024</v>
      </c>
      <c r="B161">
        <v>60</v>
      </c>
      <c r="E161" s="1">
        <v>0</v>
      </c>
    </row>
    <row r="162" spans="1:5">
      <c r="A162">
        <v>2024</v>
      </c>
      <c r="B162">
        <v>61</v>
      </c>
      <c r="E162" s="1">
        <v>0</v>
      </c>
    </row>
    <row r="163" spans="1:5">
      <c r="A163">
        <v>2024</v>
      </c>
      <c r="B163">
        <v>62</v>
      </c>
      <c r="E163" s="1">
        <v>0</v>
      </c>
    </row>
    <row r="164" spans="1:5">
      <c r="A164">
        <v>2024</v>
      </c>
      <c r="B164">
        <v>63</v>
      </c>
      <c r="E164" s="1">
        <v>0</v>
      </c>
    </row>
    <row r="165" spans="1:5">
      <c r="A165">
        <v>2024</v>
      </c>
      <c r="B165">
        <v>64</v>
      </c>
      <c r="E165" s="1">
        <v>0</v>
      </c>
    </row>
    <row r="166" spans="1:5">
      <c r="A166">
        <v>2024</v>
      </c>
      <c r="B166">
        <v>65</v>
      </c>
      <c r="E166" s="1">
        <v>0</v>
      </c>
    </row>
    <row r="167" spans="1:5">
      <c r="A167">
        <v>2024</v>
      </c>
      <c r="B167">
        <v>66</v>
      </c>
      <c r="E167" s="1">
        <v>0</v>
      </c>
    </row>
    <row r="168" spans="1:5">
      <c r="A168">
        <v>2024</v>
      </c>
      <c r="B168">
        <v>67</v>
      </c>
      <c r="E168" s="1">
        <v>0</v>
      </c>
    </row>
    <row r="169" spans="1:5">
      <c r="A169">
        <v>2024</v>
      </c>
      <c r="B169">
        <v>68</v>
      </c>
      <c r="E169" s="1">
        <v>0</v>
      </c>
    </row>
    <row r="170" spans="1:5">
      <c r="A170">
        <v>2024</v>
      </c>
      <c r="B170">
        <v>69</v>
      </c>
      <c r="E170" s="1">
        <v>0</v>
      </c>
    </row>
    <row r="171" spans="1:5">
      <c r="A171">
        <v>2024</v>
      </c>
      <c r="B171">
        <v>70</v>
      </c>
      <c r="E171" s="1">
        <v>0</v>
      </c>
    </row>
    <row r="172" spans="1:5">
      <c r="A172">
        <v>2024</v>
      </c>
      <c r="B172">
        <v>71</v>
      </c>
      <c r="E172" s="1">
        <v>0</v>
      </c>
    </row>
    <row r="173" spans="1:5">
      <c r="A173">
        <v>2024</v>
      </c>
      <c r="B173">
        <v>72</v>
      </c>
      <c r="E173" s="1">
        <v>0</v>
      </c>
    </row>
    <row r="174" spans="1:5">
      <c r="A174">
        <v>2024</v>
      </c>
      <c r="B174">
        <v>73</v>
      </c>
      <c r="E174" s="1">
        <v>0</v>
      </c>
    </row>
    <row r="175" spans="1:5">
      <c r="A175">
        <v>2024</v>
      </c>
      <c r="B175">
        <v>74</v>
      </c>
      <c r="E175" s="1">
        <v>0</v>
      </c>
    </row>
    <row r="176" spans="1:5">
      <c r="A176">
        <v>2024</v>
      </c>
      <c r="B176">
        <v>75</v>
      </c>
      <c r="E176" s="1">
        <v>0</v>
      </c>
    </row>
    <row r="177" spans="1:5">
      <c r="A177">
        <v>2024</v>
      </c>
      <c r="B177">
        <v>76</v>
      </c>
      <c r="E177" s="1">
        <v>0</v>
      </c>
    </row>
    <row r="178" spans="1:5">
      <c r="A178">
        <v>2024</v>
      </c>
      <c r="B178">
        <v>77</v>
      </c>
      <c r="E178" s="1">
        <v>0</v>
      </c>
    </row>
    <row r="179" spans="1:5">
      <c r="A179">
        <v>2024</v>
      </c>
      <c r="B179">
        <v>78</v>
      </c>
      <c r="E179" s="1">
        <v>0</v>
      </c>
    </row>
    <row r="180" spans="1:5">
      <c r="A180">
        <v>2024</v>
      </c>
      <c r="B180">
        <v>79</v>
      </c>
      <c r="E180" s="1">
        <v>0</v>
      </c>
    </row>
    <row r="181" spans="1:5">
      <c r="A181">
        <v>2024</v>
      </c>
      <c r="B181">
        <v>80</v>
      </c>
      <c r="E181" s="1">
        <v>0</v>
      </c>
    </row>
    <row r="182" spans="1:5">
      <c r="A182">
        <v>2024</v>
      </c>
      <c r="B182">
        <v>81</v>
      </c>
      <c r="E182" s="1">
        <v>0</v>
      </c>
    </row>
    <row r="183" spans="1:5">
      <c r="A183">
        <v>2024</v>
      </c>
      <c r="B183">
        <v>82</v>
      </c>
      <c r="E183" s="1">
        <v>0</v>
      </c>
    </row>
    <row r="184" spans="1:5">
      <c r="A184">
        <v>2024</v>
      </c>
      <c r="B184">
        <v>83</v>
      </c>
      <c r="E184" s="1">
        <v>0</v>
      </c>
    </row>
    <row r="185" spans="1:5">
      <c r="A185">
        <v>2024</v>
      </c>
      <c r="B185">
        <v>84</v>
      </c>
      <c r="E185" s="1">
        <v>0</v>
      </c>
    </row>
    <row r="186" spans="1:5">
      <c r="A186">
        <v>2024</v>
      </c>
      <c r="B186">
        <v>85</v>
      </c>
      <c r="E186" s="1">
        <v>0</v>
      </c>
    </row>
    <row r="187" spans="1:5">
      <c r="A187">
        <v>2024</v>
      </c>
      <c r="B187">
        <v>86</v>
      </c>
      <c r="E187" s="1">
        <v>0</v>
      </c>
    </row>
    <row r="188" spans="1:5">
      <c r="A188">
        <v>2024</v>
      </c>
      <c r="B188">
        <v>87</v>
      </c>
      <c r="E188" s="1">
        <v>0</v>
      </c>
    </row>
    <row r="189" spans="1:5">
      <c r="A189">
        <v>2024</v>
      </c>
      <c r="B189">
        <v>88</v>
      </c>
      <c r="E189" s="1">
        <v>0</v>
      </c>
    </row>
    <row r="190" spans="1:5">
      <c r="A190">
        <v>2024</v>
      </c>
      <c r="B190">
        <v>89</v>
      </c>
      <c r="E190" s="1">
        <v>0</v>
      </c>
    </row>
    <row r="191" spans="1:5">
      <c r="A191">
        <v>2024</v>
      </c>
      <c r="B191">
        <v>90</v>
      </c>
      <c r="E191" s="1">
        <v>0</v>
      </c>
    </row>
    <row r="192" spans="1:5">
      <c r="A192">
        <v>2024</v>
      </c>
      <c r="B192">
        <v>91</v>
      </c>
      <c r="E192" s="1">
        <v>0</v>
      </c>
    </row>
    <row r="193" spans="1:5">
      <c r="A193">
        <v>2024</v>
      </c>
      <c r="B193">
        <v>92</v>
      </c>
      <c r="E193" s="1">
        <v>0</v>
      </c>
    </row>
    <row r="194" spans="1:5">
      <c r="A194">
        <v>2024</v>
      </c>
      <c r="B194">
        <v>93</v>
      </c>
      <c r="E194" s="1">
        <v>0</v>
      </c>
    </row>
    <row r="195" spans="1:5">
      <c r="A195">
        <v>2024</v>
      </c>
      <c r="B195">
        <v>94</v>
      </c>
      <c r="E195" s="1">
        <v>0</v>
      </c>
    </row>
    <row r="196" spans="1:5">
      <c r="A196">
        <v>2024</v>
      </c>
      <c r="B196">
        <v>95</v>
      </c>
      <c r="E196" s="1">
        <v>0</v>
      </c>
    </row>
    <row r="197" spans="1:5">
      <c r="A197">
        <v>2024</v>
      </c>
      <c r="B197">
        <v>96</v>
      </c>
      <c r="E197" s="1">
        <v>0</v>
      </c>
    </row>
    <row r="198" spans="1:5">
      <c r="A198">
        <v>2024</v>
      </c>
      <c r="B198">
        <v>97</v>
      </c>
      <c r="E198" s="1">
        <v>0</v>
      </c>
    </row>
    <row r="199" spans="1:5">
      <c r="A199">
        <v>2024</v>
      </c>
      <c r="B199">
        <v>98</v>
      </c>
      <c r="E199" s="1">
        <v>0</v>
      </c>
    </row>
    <row r="200" spans="1:5">
      <c r="A200">
        <v>2024</v>
      </c>
      <c r="B200">
        <v>99</v>
      </c>
      <c r="E200" s="1">
        <v>0</v>
      </c>
    </row>
    <row r="201" spans="1:5">
      <c r="A201">
        <v>2024</v>
      </c>
      <c r="B201">
        <v>100</v>
      </c>
      <c r="E20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6E624-8038-4FB5-9240-586936FC87C7}">
  <dimension ref="A1:J56"/>
  <sheetViews>
    <sheetView tabSelected="1" topLeftCell="A22" workbookViewId="0">
      <selection activeCell="H39" sqref="H39"/>
    </sheetView>
  </sheetViews>
  <sheetFormatPr defaultRowHeight="15"/>
  <sheetData>
    <row r="1" spans="1:8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8">
      <c r="A2">
        <v>1970</v>
      </c>
    </row>
    <row r="3" spans="1:8">
      <c r="A3">
        <v>1971</v>
      </c>
    </row>
    <row r="4" spans="1:8">
      <c r="A4">
        <v>1972</v>
      </c>
    </row>
    <row r="5" spans="1:8">
      <c r="A5">
        <v>1973</v>
      </c>
    </row>
    <row r="6" spans="1:8">
      <c r="A6">
        <v>1974</v>
      </c>
    </row>
    <row r="7" spans="1:8">
      <c r="A7">
        <v>1975</v>
      </c>
    </row>
    <row r="8" spans="1:8">
      <c r="A8">
        <v>1976</v>
      </c>
    </row>
    <row r="9" spans="1:8">
      <c r="A9">
        <v>1977</v>
      </c>
    </row>
    <row r="10" spans="1:8">
      <c r="A10">
        <v>1978</v>
      </c>
    </row>
    <row r="11" spans="1:8">
      <c r="A11">
        <v>1979</v>
      </c>
    </row>
    <row r="12" spans="1:8">
      <c r="A12">
        <v>1980</v>
      </c>
    </row>
    <row r="13" spans="1:8">
      <c r="A13">
        <v>1981</v>
      </c>
    </row>
    <row r="14" spans="1:8">
      <c r="A14">
        <v>1982</v>
      </c>
      <c r="C14" s="1"/>
    </row>
    <row r="15" spans="1:8">
      <c r="A15">
        <v>1983</v>
      </c>
      <c r="C15" s="1">
        <v>0.83</v>
      </c>
      <c r="H15" s="2"/>
    </row>
    <row r="16" spans="1:8">
      <c r="A16">
        <v>1984</v>
      </c>
      <c r="C16" s="1">
        <v>0.76229999999999998</v>
      </c>
      <c r="H16" s="2"/>
    </row>
    <row r="17" spans="1:8">
      <c r="A17">
        <v>1985</v>
      </c>
      <c r="C17" s="1">
        <v>0.66646800000000006</v>
      </c>
      <c r="H17" s="2"/>
    </row>
    <row r="18" spans="1:8">
      <c r="A18">
        <v>1986</v>
      </c>
      <c r="C18" s="1">
        <v>0.56277341999999986</v>
      </c>
      <c r="H18" s="2"/>
    </row>
    <row r="19" spans="1:8">
      <c r="A19">
        <v>1987</v>
      </c>
      <c r="C19" s="1">
        <v>0.65320528680000001</v>
      </c>
      <c r="H19" s="2"/>
    </row>
    <row r="20" spans="1:8">
      <c r="A20">
        <v>1988</v>
      </c>
      <c r="C20" s="1">
        <v>0.58010393043899988</v>
      </c>
      <c r="H20" s="2"/>
    </row>
    <row r="21" spans="1:8">
      <c r="A21">
        <v>1989</v>
      </c>
      <c r="C21" s="1">
        <v>0.56488808964059989</v>
      </c>
      <c r="H21" s="2"/>
    </row>
    <row r="22" spans="1:8">
      <c r="A22">
        <v>1990</v>
      </c>
      <c r="C22" s="1">
        <v>0.48467398091163477</v>
      </c>
      <c r="H22" s="2"/>
    </row>
    <row r="23" spans="1:8">
      <c r="A23">
        <v>1991</v>
      </c>
      <c r="C23" s="1">
        <v>0.5351919227681935</v>
      </c>
      <c r="H23" s="2"/>
    </row>
    <row r="24" spans="1:8">
      <c r="A24">
        <v>1992</v>
      </c>
      <c r="C24" s="1">
        <v>0.48416414116632961</v>
      </c>
      <c r="H24" s="2"/>
    </row>
    <row r="25" spans="1:8">
      <c r="A25">
        <v>1993</v>
      </c>
      <c r="C25" s="1">
        <v>0.43410339600422604</v>
      </c>
      <c r="H25" s="2"/>
    </row>
    <row r="26" spans="1:8">
      <c r="A26">
        <v>1994</v>
      </c>
      <c r="C26" s="1">
        <v>0.47452927475711965</v>
      </c>
      <c r="H26" s="2"/>
    </row>
    <row r="27" spans="1:8">
      <c r="A27">
        <v>1995</v>
      </c>
      <c r="C27" s="1">
        <v>0.41660088970658066</v>
      </c>
      <c r="H27" s="2"/>
    </row>
    <row r="28" spans="1:8">
      <c r="A28">
        <v>1996</v>
      </c>
      <c r="C28" s="1">
        <v>0.41243488080951479</v>
      </c>
      <c r="H28" s="2"/>
    </row>
    <row r="29" spans="1:8">
      <c r="A29">
        <v>1997</v>
      </c>
      <c r="C29" s="1">
        <v>0.33881086697990148</v>
      </c>
      <c r="H29" s="2"/>
    </row>
    <row r="30" spans="1:8">
      <c r="A30">
        <v>1998</v>
      </c>
      <c r="C30" s="1">
        <v>0.29241984057803805</v>
      </c>
      <c r="H30" s="2"/>
    </row>
    <row r="31" spans="1:8">
      <c r="A31">
        <v>1999</v>
      </c>
      <c r="C31" s="1">
        <v>0.29801021988320636</v>
      </c>
      <c r="H31" s="2"/>
    </row>
    <row r="32" spans="1:8">
      <c r="A32">
        <v>2000</v>
      </c>
      <c r="C32" s="1">
        <v>0.2866006857505351</v>
      </c>
      <c r="D32" s="1"/>
      <c r="H32" s="2"/>
    </row>
    <row r="33" spans="1:10">
      <c r="A33">
        <v>2001</v>
      </c>
      <c r="C33" s="1">
        <v>0.34215064219453578</v>
      </c>
      <c r="D33" s="1"/>
      <c r="H33" s="2"/>
    </row>
    <row r="34" spans="1:10">
      <c r="A34">
        <v>2002</v>
      </c>
      <c r="C34" s="1">
        <v>0.2974207045808111</v>
      </c>
      <c r="D34" s="1">
        <v>4.0176642444831101</v>
      </c>
      <c r="H34" s="2"/>
      <c r="J34" s="3"/>
    </row>
    <row r="35" spans="1:10">
      <c r="A35">
        <v>2003</v>
      </c>
      <c r="C35" s="1">
        <v>0.26173022003111379</v>
      </c>
      <c r="D35" s="1">
        <v>4.7580503507379515</v>
      </c>
      <c r="H35" s="2"/>
      <c r="J35" s="3"/>
    </row>
    <row r="36" spans="1:10">
      <c r="A36">
        <v>2004</v>
      </c>
      <c r="C36" s="1">
        <v>0.28340475387744041</v>
      </c>
      <c r="D36" s="1">
        <v>5.1152511124275835</v>
      </c>
      <c r="H36" s="2"/>
      <c r="J36" s="3"/>
    </row>
    <row r="37" spans="1:10">
      <c r="A37">
        <v>2005</v>
      </c>
      <c r="C37" s="1">
        <v>0.25652178865249459</v>
      </c>
      <c r="D37" s="1">
        <v>4.0527786636758609</v>
      </c>
      <c r="H37" s="2"/>
      <c r="J37" s="3"/>
    </row>
    <row r="38" spans="1:10">
      <c r="A38">
        <v>2006</v>
      </c>
      <c r="C38" s="1">
        <v>0.27776499927527931</v>
      </c>
      <c r="D38" s="1">
        <v>5.3550111049246931</v>
      </c>
      <c r="H38" s="2"/>
      <c r="J38" s="3"/>
    </row>
    <row r="39" spans="1:10">
      <c r="A39">
        <v>2007</v>
      </c>
      <c r="C39" s="1">
        <v>0.20427631660987686</v>
      </c>
      <c r="D39" s="1">
        <v>7.3538656087160463</v>
      </c>
      <c r="H39" s="2"/>
      <c r="J39" s="3"/>
    </row>
    <row r="40" spans="1:10">
      <c r="A40">
        <v>2008</v>
      </c>
      <c r="C40" s="1">
        <v>0.14000784469184635</v>
      </c>
      <c r="D40" s="1">
        <v>3.7641645458594568</v>
      </c>
      <c r="E40" s="1">
        <v>1653.6802818962401</v>
      </c>
      <c r="H40" s="2"/>
      <c r="J40" s="3"/>
    </row>
    <row r="41" spans="1:10">
      <c r="A41">
        <v>2009</v>
      </c>
      <c r="C41" s="1">
        <v>0.11550647187077324</v>
      </c>
      <c r="D41" s="1">
        <v>1.3242687219012454</v>
      </c>
      <c r="E41" s="1">
        <v>1161.92943516948</v>
      </c>
      <c r="H41" s="2"/>
      <c r="J41" s="3"/>
    </row>
    <row r="42" spans="1:10">
      <c r="A42">
        <v>2010</v>
      </c>
      <c r="C42" s="1">
        <v>8.3857698578181372E-2</v>
      </c>
      <c r="D42" s="1">
        <v>2.4500983901372111</v>
      </c>
      <c r="E42" s="1">
        <v>805.19388247437303</v>
      </c>
      <c r="H42" s="2"/>
      <c r="J42" s="3"/>
    </row>
    <row r="43" spans="1:10">
      <c r="A43">
        <v>2011</v>
      </c>
      <c r="C43" s="1">
        <v>4.5283157232217937E-2</v>
      </c>
      <c r="D43" s="1">
        <v>6.2947270184837389</v>
      </c>
      <c r="E43" s="1">
        <v>700.19373093011302</v>
      </c>
      <c r="H43" s="2"/>
      <c r="J43" s="3"/>
    </row>
    <row r="44" spans="1:10">
      <c r="A44">
        <v>2012</v>
      </c>
      <c r="C44" s="1">
        <v>0.1494344188663192</v>
      </c>
      <c r="D44" s="1">
        <v>5.4945947291144535</v>
      </c>
      <c r="E44" s="1">
        <v>596.189979324609</v>
      </c>
      <c r="H44" s="2"/>
      <c r="J44" s="3"/>
    </row>
    <row r="45" spans="1:10">
      <c r="A45">
        <v>2013</v>
      </c>
      <c r="C45" s="1">
        <v>0.12574906347600762</v>
      </c>
      <c r="D45" s="1">
        <v>2.4188396888209356</v>
      </c>
      <c r="E45" s="1">
        <v>688.01336448665495</v>
      </c>
      <c r="H45" s="2"/>
      <c r="J45" s="3"/>
    </row>
    <row r="46" spans="1:10">
      <c r="A46">
        <v>2014</v>
      </c>
      <c r="C46" s="1">
        <v>0.10252247175161562</v>
      </c>
      <c r="D46" s="1">
        <v>3.2410191810481033</v>
      </c>
      <c r="E46" s="1">
        <v>725.43112304592296</v>
      </c>
      <c r="H46" s="2"/>
      <c r="J46" s="3"/>
    </row>
    <row r="47" spans="1:10">
      <c r="A47">
        <v>2015</v>
      </c>
      <c r="C47" s="1">
        <v>8.6997640314942393E-2</v>
      </c>
      <c r="D47" s="1">
        <v>2.6219436958550761</v>
      </c>
      <c r="E47" s="1">
        <v>967.45742832171095</v>
      </c>
      <c r="H47" s="2"/>
      <c r="J47" s="3"/>
    </row>
    <row r="48" spans="1:10">
      <c r="A48">
        <v>2016</v>
      </c>
      <c r="C48" s="1">
        <v>0.15072341184563767</v>
      </c>
      <c r="D48" s="1">
        <v>2.2360294354738719</v>
      </c>
      <c r="E48" s="1">
        <v>719.96030790439102</v>
      </c>
      <c r="H48" s="2"/>
      <c r="J48" s="3"/>
    </row>
    <row r="49" spans="1:10">
      <c r="A49">
        <v>2017</v>
      </c>
      <c r="C49" s="1">
        <v>0.17763830681807299</v>
      </c>
      <c r="D49" s="1">
        <v>2.8330904604436409</v>
      </c>
      <c r="E49" s="1">
        <v>888.37716526156998</v>
      </c>
      <c r="H49" s="2"/>
      <c r="J49" s="3"/>
    </row>
    <row r="50" spans="1:10">
      <c r="A50">
        <v>2018</v>
      </c>
      <c r="C50" s="1">
        <v>0.11255163119993106</v>
      </c>
      <c r="D50" s="1">
        <v>8.119408912961692</v>
      </c>
      <c r="E50" s="1">
        <v>778.19536234381599</v>
      </c>
      <c r="H50" s="2"/>
      <c r="J50" s="3"/>
    </row>
    <row r="51" spans="1:10">
      <c r="A51">
        <v>2019</v>
      </c>
      <c r="C51" s="1">
        <v>0.19499570105388056</v>
      </c>
      <c r="D51" s="1">
        <v>13.579688603082644</v>
      </c>
      <c r="E51" s="1">
        <v>923.54846143458894</v>
      </c>
      <c r="H51" s="2"/>
      <c r="J51" s="3"/>
    </row>
    <row r="52" spans="1:10">
      <c r="A52">
        <v>2020</v>
      </c>
      <c r="C52" s="1">
        <v>0.25509616177155869</v>
      </c>
      <c r="D52" s="1">
        <v>14.637762844103841</v>
      </c>
      <c r="E52" s="1">
        <v>1242.038753065</v>
      </c>
      <c r="H52" s="2"/>
      <c r="J52" s="3"/>
    </row>
    <row r="53" spans="1:10">
      <c r="A53">
        <v>2021</v>
      </c>
      <c r="C53" s="1">
        <v>0.27302183800415475</v>
      </c>
      <c r="D53" s="1">
        <v>17.77777385219078</v>
      </c>
      <c r="E53" s="1">
        <v>1612.9337805719799</v>
      </c>
      <c r="H53" s="2"/>
      <c r="J53" s="3"/>
    </row>
    <row r="54" spans="1:10">
      <c r="A54">
        <v>2022</v>
      </c>
      <c r="C54" s="1">
        <v>0.277048910114716</v>
      </c>
      <c r="D54" s="1">
        <v>22.304145885248207</v>
      </c>
      <c r="E54" s="1">
        <v>2969.7577090576101</v>
      </c>
      <c r="H54" s="2"/>
      <c r="J54" s="3"/>
    </row>
    <row r="55" spans="1:10">
      <c r="A55">
        <v>2023</v>
      </c>
      <c r="C55" s="1">
        <v>0.26089898584217525</v>
      </c>
      <c r="D55" s="1">
        <v>22.519976768731979</v>
      </c>
      <c r="E55" s="1">
        <v>1991.15881203303</v>
      </c>
      <c r="H55" s="2"/>
      <c r="J55" s="3"/>
    </row>
    <row r="56" spans="1:10">
      <c r="A56">
        <v>2024</v>
      </c>
      <c r="C56" s="1">
        <v>0.26491281639359332</v>
      </c>
      <c r="D56" s="1">
        <v>20.921268937412361</v>
      </c>
      <c r="H56" s="2"/>
      <c r="J5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86FE5-9B92-4435-B67D-4EE55A2A4B01}">
  <dimension ref="A1:E3"/>
  <sheetViews>
    <sheetView workbookViewId="0">
      <selection activeCell="D4" sqref="D4"/>
    </sheetView>
  </sheetViews>
  <sheetFormatPr defaultRowHeight="15"/>
  <sheetData>
    <row r="1" spans="1:5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5">
      <c r="A2">
        <v>2023</v>
      </c>
      <c r="B2" s="4">
        <v>80466</v>
      </c>
      <c r="C2" s="4">
        <v>736292</v>
      </c>
      <c r="D2" s="4">
        <v>212119</v>
      </c>
      <c r="E2" s="4">
        <v>95334</v>
      </c>
    </row>
    <row r="3" spans="1:5">
      <c r="A3">
        <v>2024</v>
      </c>
      <c r="B3" s="4">
        <v>105727</v>
      </c>
      <c r="C3" s="4">
        <v>855424</v>
      </c>
      <c r="D3" s="4">
        <f>210000+456+25337</f>
        <v>235793</v>
      </c>
      <c r="E3" s="1">
        <v>68231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CCE45-3DDC-4861-A006-F4C4C7145E6D}">
  <dimension ref="A1:G27"/>
  <sheetViews>
    <sheetView workbookViewId="0">
      <selection activeCell="I29" sqref="I29"/>
    </sheetView>
  </sheetViews>
  <sheetFormatPr defaultRowHeight="15"/>
  <sheetData>
    <row r="1" spans="1:7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2024</v>
      </c>
      <c r="B2">
        <v>0</v>
      </c>
      <c r="C2" t="s">
        <v>9</v>
      </c>
      <c r="D2" s="1">
        <v>2250643.7089896626</v>
      </c>
      <c r="E2" s="1"/>
    </row>
    <row r="3" spans="1:7">
      <c r="A3">
        <v>2024</v>
      </c>
      <c r="B3">
        <v>1</v>
      </c>
      <c r="C3" t="s">
        <v>9</v>
      </c>
      <c r="D3" s="1">
        <v>6724033.3132093837</v>
      </c>
      <c r="E3" s="1"/>
    </row>
    <row r="4" spans="1:7">
      <c r="A4">
        <v>2024</v>
      </c>
      <c r="B4">
        <v>2</v>
      </c>
      <c r="C4" t="s">
        <v>9</v>
      </c>
      <c r="D4" s="1">
        <v>211702.15633911564</v>
      </c>
      <c r="E4" s="1"/>
    </row>
    <row r="5" spans="1:7">
      <c r="A5">
        <v>2024</v>
      </c>
      <c r="B5">
        <v>3</v>
      </c>
      <c r="C5" t="s">
        <v>9</v>
      </c>
      <c r="D5" s="1">
        <v>720775.78137305984</v>
      </c>
      <c r="E5" s="1"/>
    </row>
    <row r="6" spans="1:7">
      <c r="A6">
        <v>2024</v>
      </c>
      <c r="B6">
        <v>4</v>
      </c>
      <c r="C6" t="s">
        <v>9</v>
      </c>
      <c r="D6" s="1">
        <v>1182489.7355270712</v>
      </c>
      <c r="E6" s="1"/>
    </row>
    <row r="7" spans="1:7">
      <c r="A7">
        <v>2024</v>
      </c>
      <c r="B7">
        <v>5</v>
      </c>
      <c r="C7" t="s">
        <v>9</v>
      </c>
      <c r="D7" s="1">
        <v>1146799.9669431043</v>
      </c>
      <c r="E7" s="1"/>
    </row>
    <row r="8" spans="1:7">
      <c r="A8">
        <v>2024</v>
      </c>
      <c r="B8">
        <v>6</v>
      </c>
      <c r="C8" t="s">
        <v>9</v>
      </c>
      <c r="D8" s="1">
        <v>706619.13970248192</v>
      </c>
      <c r="E8" s="1"/>
    </row>
    <row r="9" spans="1:7">
      <c r="A9">
        <v>2024</v>
      </c>
      <c r="B9">
        <v>7</v>
      </c>
      <c r="C9" t="s">
        <v>9</v>
      </c>
      <c r="D9" s="1">
        <v>514098.85704917694</v>
      </c>
      <c r="E9" s="1"/>
    </row>
    <row r="10" spans="1:7">
      <c r="A10">
        <v>2024</v>
      </c>
      <c r="B10">
        <v>8</v>
      </c>
      <c r="C10" t="s">
        <v>9</v>
      </c>
      <c r="D10" s="1">
        <v>69589.074580233326</v>
      </c>
      <c r="E10" s="1"/>
    </row>
    <row r="11" spans="1:7">
      <c r="A11">
        <v>2024</v>
      </c>
      <c r="B11">
        <v>9</v>
      </c>
      <c r="C11" t="s">
        <v>9</v>
      </c>
      <c r="D11" s="1">
        <v>3610.9550841872133</v>
      </c>
      <c r="E11" s="1"/>
    </row>
    <row r="12" spans="1:7">
      <c r="A12">
        <v>2024</v>
      </c>
      <c r="B12">
        <v>10</v>
      </c>
      <c r="C12" t="s">
        <v>9</v>
      </c>
      <c r="D12" s="1">
        <v>992.64310677767219</v>
      </c>
      <c r="E12" s="1"/>
    </row>
    <row r="13" spans="1:7">
      <c r="A13">
        <v>2024</v>
      </c>
      <c r="B13">
        <v>11</v>
      </c>
      <c r="C13" t="s">
        <v>9</v>
      </c>
      <c r="D13" s="1"/>
      <c r="E13" s="1"/>
    </row>
    <row r="14" spans="1:7">
      <c r="A14">
        <v>2024</v>
      </c>
      <c r="B14">
        <v>12</v>
      </c>
      <c r="C14" t="s">
        <v>9</v>
      </c>
      <c r="D14" s="1"/>
      <c r="E14" s="1"/>
    </row>
    <row r="15" spans="1:7">
      <c r="A15">
        <v>2024</v>
      </c>
      <c r="B15">
        <v>0</v>
      </c>
      <c r="C15" t="s">
        <v>10</v>
      </c>
      <c r="D15" s="1">
        <v>4.6398307123951668E-2</v>
      </c>
      <c r="E15" s="1"/>
    </row>
    <row r="16" spans="1:7">
      <c r="A16">
        <v>2024</v>
      </c>
      <c r="B16">
        <v>1</v>
      </c>
      <c r="C16" t="s">
        <v>10</v>
      </c>
      <c r="D16" s="1">
        <v>7.1104990245594274E-2</v>
      </c>
      <c r="E16" s="1"/>
    </row>
    <row r="17" spans="1:5">
      <c r="A17">
        <v>2024</v>
      </c>
      <c r="B17">
        <v>2</v>
      </c>
      <c r="C17" t="s">
        <v>10</v>
      </c>
      <c r="D17" s="1">
        <v>0.30754964234982118</v>
      </c>
      <c r="E17" s="1"/>
    </row>
    <row r="18" spans="1:5">
      <c r="A18">
        <v>2024</v>
      </c>
      <c r="B18">
        <v>3</v>
      </c>
      <c r="C18" t="s">
        <v>10</v>
      </c>
      <c r="D18" s="1">
        <v>0.36716625579540441</v>
      </c>
      <c r="E18" s="1"/>
    </row>
    <row r="19" spans="1:5">
      <c r="A19">
        <v>2024</v>
      </c>
      <c r="B19">
        <v>4</v>
      </c>
      <c r="C19" t="s">
        <v>10</v>
      </c>
      <c r="D19" s="1">
        <v>0.40377402805403106</v>
      </c>
      <c r="E19" s="1"/>
    </row>
    <row r="20" spans="1:5">
      <c r="A20">
        <v>2024</v>
      </c>
      <c r="B20">
        <v>5</v>
      </c>
      <c r="C20" t="s">
        <v>10</v>
      </c>
      <c r="D20" s="1">
        <v>0.46166547033800459</v>
      </c>
      <c r="E20" s="1"/>
    </row>
    <row r="21" spans="1:5">
      <c r="A21">
        <v>2024</v>
      </c>
      <c r="B21">
        <v>6</v>
      </c>
      <c r="C21" t="s">
        <v>10</v>
      </c>
      <c r="D21" s="1">
        <v>0.56941088822514951</v>
      </c>
      <c r="E21" s="1"/>
    </row>
    <row r="22" spans="1:5">
      <c r="A22">
        <v>2024</v>
      </c>
      <c r="B22">
        <v>7</v>
      </c>
      <c r="C22" t="s">
        <v>10</v>
      </c>
      <c r="D22" s="1">
        <v>0.76712004289369828</v>
      </c>
      <c r="E22" s="1"/>
    </row>
    <row r="23" spans="1:5">
      <c r="A23">
        <v>2024</v>
      </c>
      <c r="B23">
        <v>8</v>
      </c>
      <c r="C23" t="s">
        <v>10</v>
      </c>
      <c r="D23" s="1">
        <v>0.93369049274895166</v>
      </c>
      <c r="E23" s="1"/>
    </row>
    <row r="24" spans="1:5">
      <c r="A24">
        <v>2024</v>
      </c>
      <c r="B24">
        <v>9</v>
      </c>
      <c r="C24" t="s">
        <v>10</v>
      </c>
      <c r="D24" s="1">
        <v>1.327981242124098</v>
      </c>
      <c r="E24" s="1"/>
    </row>
    <row r="25" spans="1:5">
      <c r="A25">
        <v>2024</v>
      </c>
      <c r="B25">
        <v>10</v>
      </c>
      <c r="C25" t="s">
        <v>10</v>
      </c>
      <c r="D25" s="1">
        <v>1.4930075655326378</v>
      </c>
      <c r="E25" s="1"/>
    </row>
    <row r="26" spans="1:5">
      <c r="A26">
        <v>2024</v>
      </c>
      <c r="B26">
        <v>11</v>
      </c>
      <c r="C26" t="s">
        <v>10</v>
      </c>
      <c r="D26" s="1"/>
      <c r="E26" s="1"/>
    </row>
    <row r="27" spans="1:5">
      <c r="A27">
        <v>2024</v>
      </c>
      <c r="B27">
        <v>12</v>
      </c>
      <c r="C27" t="s">
        <v>10</v>
      </c>
      <c r="D27" s="1"/>
      <c r="E2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2D0B056278C642B7C89719D0EEC9C4" ma:contentTypeVersion="12" ma:contentTypeDescription="Create a new document." ma:contentTypeScope="" ma:versionID="53e5abc0267b36fb4b4009f6291778a2">
  <xsd:schema xmlns:xsd="http://www.w3.org/2001/XMLSchema" xmlns:xs="http://www.w3.org/2001/XMLSchema" xmlns:p="http://schemas.microsoft.com/office/2006/metadata/properties" xmlns:ns2="f419981a-ca0a-4e56-9512-575f16b7ea2d" xmlns:ns3="5ce05999-5605-4258-98fc-62ff4522b5fb" targetNamespace="http://schemas.microsoft.com/office/2006/metadata/properties" ma:root="true" ma:fieldsID="2d299d2548571e9774994fb9c4dbbeb8" ns2:_="" ns3:_="">
    <xsd:import namespace="f419981a-ca0a-4e56-9512-575f16b7ea2d"/>
    <xsd:import namespace="5ce05999-5605-4258-98fc-62ff4522b5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9981a-ca0a-4e56-9512-575f16b7e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05999-5605-4258-98fc-62ff4522b5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E542F3-5C46-43FB-860A-90AC96253C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19981a-ca0a-4e56-9512-575f16b7ea2d"/>
    <ds:schemaRef ds:uri="5ce05999-5605-4258-98fc-62ff4522b5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AFB9C7-A01A-423B-A442-B6889BA2E51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28CE105-4287-40ED-B72B-E33A77B67D6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ageComps</vt:lpstr>
      <vt:lpstr>wtAtAge</vt:lpstr>
      <vt:lpstr>lengthComps</vt:lpstr>
      <vt:lpstr>CPUE</vt:lpstr>
      <vt:lpstr>Catch</vt:lpstr>
      <vt:lpstr>Acoustic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Hintzen, Niels</dc:creator>
  <cp:keywords/>
  <dc:description/>
  <cp:lastModifiedBy>Niels Hintzen</cp:lastModifiedBy>
  <cp:revision/>
  <dcterms:created xsi:type="dcterms:W3CDTF">2022-09-14T07:19:28Z</dcterms:created>
  <dcterms:modified xsi:type="dcterms:W3CDTF">2024-09-26T13:49:39Z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0x010100812D0B056278C642B7C89719D0EEC9C4</vt:lpwstr>
  </property>
</Properties>
</file>