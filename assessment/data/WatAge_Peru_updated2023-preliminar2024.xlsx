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wtatage" sheetId="1" state="visible" r:id="rId2"/>
    <sheet name="2023_updated" sheetId="2" state="visible" r:id="rId3"/>
    <sheet name="2024_prelimina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<sst xmlns="http://schemas.openxmlformats.org/spreadsheetml/2006/main" count="25" uniqueCount="12">
  <si>
    <t xml:space="preserve">year</t>
  </si>
  <si>
    <t xml:space="preserve">Linf</t>
  </si>
  <si>
    <t xml:space="preserve">años</t>
  </si>
  <si>
    <t xml:space="preserve">t</t>
  </si>
  <si>
    <t xml:space="preserve">t0</t>
  </si>
  <si>
    <t xml:space="preserve">cm</t>
  </si>
  <si>
    <t xml:space="preserve">Lt </t>
  </si>
  <si>
    <t xml:space="preserve">k</t>
  </si>
  <si>
    <t xml:space="preserve">L0</t>
  </si>
  <si>
    <t xml:space="preserve">a </t>
  </si>
  <si>
    <t xml:space="preserve">W 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</si>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</sst>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B58" activeCellId="0" sqref="B58"/>
    </sheetView>
  </sheetViews>
  <sheetFormatPr defaultColWidth="10.5390625" defaultRowHeight="14.25" zeroHeight="false" outlineLevelRow="0" outlineLevelCol="0"/>
  <cols>
    <col collapsed="false" customWidth="true" hidden="false" outlineLevel="0" max="9" min="1" style="1" width="11.56"/>
  </cols>
  <sheetData>
    <row r="1" customFormat="false" ht="14.25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 customFormat="false" ht="14.25" hidden="false" customHeight="false" outlineLevel="0" collapsed="false">
      <c r="A2" s="1" t="n">
        <f aca="false">A3-1</f>
        <v>1970</v>
      </c>
      <c r="B2" s="1" t="n">
        <v>0.045</v>
      </c>
      <c r="C2" s="1" t="n">
        <v>0.171</v>
      </c>
      <c r="D2" s="1" t="n">
        <v>0.377</v>
      </c>
      <c r="E2" s="1" t="n">
        <v>0.642</v>
      </c>
      <c r="F2" s="1" t="n">
        <v>0.945</v>
      </c>
      <c r="G2" s="1" t="n">
        <v>1.265</v>
      </c>
      <c r="H2" s="1" t="n">
        <v>1.587</v>
      </c>
      <c r="I2" s="1" t="n">
        <v>1.9</v>
      </c>
    </row>
    <row r="3" customFormat="false" ht="14.25" hidden="false" customHeight="false" outlineLevel="0" collapsed="false">
      <c r="A3" s="1" t="n">
        <f aca="false">A4-1</f>
        <v>1971</v>
      </c>
      <c r="B3" s="1" t="n">
        <v>0.045</v>
      </c>
      <c r="C3" s="1" t="n">
        <v>0.171</v>
      </c>
      <c r="D3" s="1" t="n">
        <v>0.377</v>
      </c>
      <c r="E3" s="1" t="n">
        <v>0.643</v>
      </c>
      <c r="F3" s="1" t="n">
        <v>0.946</v>
      </c>
      <c r="G3" s="1" t="n">
        <v>1.266</v>
      </c>
      <c r="H3" s="1" t="n">
        <v>1.588</v>
      </c>
      <c r="I3" s="1" t="n">
        <v>1.902</v>
      </c>
    </row>
    <row r="4" customFormat="false" ht="14.25" hidden="false" customHeight="false" outlineLevel="0" collapsed="false">
      <c r="A4" s="1" t="n">
        <f aca="false">A5-1</f>
        <v>1972</v>
      </c>
      <c r="B4" s="1" t="n">
        <v>0.03</v>
      </c>
      <c r="C4" s="1" t="n">
        <v>0.13</v>
      </c>
      <c r="D4" s="1" t="n">
        <v>0.306</v>
      </c>
      <c r="E4" s="1" t="n">
        <v>0.548</v>
      </c>
      <c r="F4" s="1" t="n">
        <v>0.835</v>
      </c>
      <c r="G4" s="1" t="n">
        <v>1.148</v>
      </c>
      <c r="H4" s="1" t="n">
        <v>1.47</v>
      </c>
      <c r="I4" s="1" t="n">
        <v>1.789</v>
      </c>
    </row>
    <row r="5" customFormat="false" ht="14.25" hidden="false" customHeight="false" outlineLevel="0" collapsed="false">
      <c r="A5" s="1" t="n">
        <f aca="false">A6-1</f>
        <v>1973</v>
      </c>
      <c r="B5" s="1" t="n">
        <v>0.037</v>
      </c>
      <c r="C5" s="1" t="n">
        <v>0.147</v>
      </c>
      <c r="D5" s="1" t="n">
        <v>0.33</v>
      </c>
      <c r="E5" s="1" t="n">
        <v>0.568</v>
      </c>
      <c r="F5" s="1" t="n">
        <v>0.842</v>
      </c>
      <c r="G5" s="1" t="n">
        <v>1.134</v>
      </c>
      <c r="H5" s="1" t="n">
        <v>1.43</v>
      </c>
      <c r="I5" s="1" t="n">
        <v>1.718</v>
      </c>
    </row>
    <row r="6" customFormat="false" ht="14.25" hidden="false" customHeight="false" outlineLevel="0" collapsed="false">
      <c r="A6" s="1" t="n">
        <f aca="false">A7-1</f>
        <v>1974</v>
      </c>
      <c r="B6" s="1" t="n">
        <v>0.038</v>
      </c>
      <c r="C6" s="1" t="n">
        <v>0.147</v>
      </c>
      <c r="D6" s="1" t="n">
        <v>0.326</v>
      </c>
      <c r="E6" s="1" t="n">
        <v>0.558</v>
      </c>
      <c r="F6" s="1" t="n">
        <v>0.825</v>
      </c>
      <c r="G6" s="1" t="n">
        <v>1.108</v>
      </c>
      <c r="H6" s="1" t="n">
        <v>1.393</v>
      </c>
      <c r="I6" s="1" t="n">
        <v>1.671</v>
      </c>
    </row>
    <row r="7" customFormat="false" ht="14.25" hidden="false" customHeight="false" outlineLevel="0" collapsed="false">
      <c r="A7" s="1" t="n">
        <f aca="false">A8-1</f>
        <v>1975</v>
      </c>
      <c r="B7" s="1" t="n">
        <v>0.034</v>
      </c>
      <c r="C7" s="1" t="n">
        <v>0.136</v>
      </c>
      <c r="D7" s="1" t="n">
        <v>0.31</v>
      </c>
      <c r="E7" s="1" t="n">
        <v>0.54</v>
      </c>
      <c r="F7" s="1" t="n">
        <v>0.808</v>
      </c>
      <c r="G7" s="1" t="n">
        <v>1.095</v>
      </c>
      <c r="H7" s="1" t="n">
        <v>1.387</v>
      </c>
      <c r="I7" s="1" t="n">
        <v>1.674</v>
      </c>
    </row>
    <row r="8" customFormat="false" ht="14.25" hidden="false" customHeight="false" outlineLevel="0" collapsed="false">
      <c r="A8" s="1" t="n">
        <f aca="false">A9-1</f>
        <v>1976</v>
      </c>
      <c r="B8" s="1" t="n">
        <v>0.044</v>
      </c>
      <c r="C8" s="1" t="n">
        <v>0.16</v>
      </c>
      <c r="D8" s="1" t="n">
        <v>0.34</v>
      </c>
      <c r="E8" s="1" t="n">
        <v>0.567</v>
      </c>
      <c r="F8" s="1" t="n">
        <v>0.822</v>
      </c>
      <c r="G8" s="1" t="n">
        <v>1.087</v>
      </c>
      <c r="H8" s="1" t="n">
        <v>1.351</v>
      </c>
      <c r="I8" s="1" t="n">
        <v>1.606</v>
      </c>
    </row>
    <row r="9" customFormat="false" ht="14.25" hidden="false" customHeight="false" outlineLevel="0" collapsed="false">
      <c r="A9" s="1" t="n">
        <f aca="false">A10-1</f>
        <v>1977</v>
      </c>
      <c r="B9" s="1" t="n">
        <v>0.032</v>
      </c>
      <c r="C9" s="1" t="n">
        <v>0.13</v>
      </c>
      <c r="D9" s="1" t="n">
        <v>0.294</v>
      </c>
      <c r="E9" s="1" t="n">
        <v>0.51</v>
      </c>
      <c r="F9" s="1" t="n">
        <v>0.76</v>
      </c>
      <c r="G9" s="1" t="n">
        <v>1.028</v>
      </c>
      <c r="H9" s="1" t="n">
        <v>1.3</v>
      </c>
      <c r="I9" s="1" t="n">
        <v>1.566</v>
      </c>
    </row>
    <row r="10" customFormat="false" ht="14.25" hidden="false" customHeight="false" outlineLevel="0" collapsed="false">
      <c r="A10" s="1" t="n">
        <f aca="false">A11-1</f>
        <v>1978</v>
      </c>
      <c r="B10" s="1" t="n">
        <v>0.032</v>
      </c>
      <c r="C10" s="1" t="n">
        <v>0.129</v>
      </c>
      <c r="D10" s="1" t="n">
        <v>0.295</v>
      </c>
      <c r="E10" s="1" t="n">
        <v>0.516</v>
      </c>
      <c r="F10" s="1" t="n">
        <v>0.774</v>
      </c>
      <c r="G10" s="1" t="n">
        <v>1.05</v>
      </c>
      <c r="H10" s="1" t="n">
        <v>1.332</v>
      </c>
      <c r="I10" s="1" t="n">
        <v>1.608</v>
      </c>
    </row>
    <row r="11" customFormat="false" ht="14.25" hidden="false" customHeight="false" outlineLevel="0" collapsed="false">
      <c r="A11" s="1" t="n">
        <f aca="false">A12-1</f>
        <v>1979</v>
      </c>
      <c r="B11" s="1" t="n">
        <v>0.036</v>
      </c>
      <c r="C11" s="1" t="n">
        <v>0.138</v>
      </c>
      <c r="D11" s="1" t="n">
        <v>0.304</v>
      </c>
      <c r="E11" s="1" t="n">
        <v>0.518</v>
      </c>
      <c r="F11" s="1" t="n">
        <v>0.762</v>
      </c>
      <c r="G11" s="1" t="n">
        <v>1.02</v>
      </c>
      <c r="H11" s="1" t="n">
        <v>1.28</v>
      </c>
      <c r="I11" s="1" t="n">
        <v>1.532</v>
      </c>
    </row>
    <row r="12" customFormat="false" ht="14.25" hidden="false" customHeight="false" outlineLevel="0" collapsed="false">
      <c r="A12" s="1" t="n">
        <f aca="false">A13-1</f>
        <v>1980</v>
      </c>
      <c r="B12" s="1" t="n">
        <v>0.036</v>
      </c>
      <c r="C12" s="1" t="n">
        <v>0.136</v>
      </c>
      <c r="D12" s="1" t="n">
        <v>0.298</v>
      </c>
      <c r="E12" s="1" t="n">
        <v>0.506</v>
      </c>
      <c r="F12" s="1" t="n">
        <v>0.743</v>
      </c>
      <c r="G12" s="1" t="n">
        <v>0.994</v>
      </c>
      <c r="H12" s="1" t="n">
        <v>1.245</v>
      </c>
      <c r="I12" s="1" t="n">
        <v>1.49</v>
      </c>
    </row>
    <row r="13" customFormat="false" ht="14.25" hidden="false" customHeight="false" outlineLevel="0" collapsed="false">
      <c r="A13" s="1" t="n">
        <f aca="false">A14-1</f>
        <v>1981</v>
      </c>
      <c r="B13" s="1" t="n">
        <v>0.041</v>
      </c>
      <c r="C13" s="1" t="n">
        <v>0.148</v>
      </c>
      <c r="D13" s="1" t="n">
        <v>0.314</v>
      </c>
      <c r="E13" s="1" t="n">
        <v>0.524</v>
      </c>
      <c r="F13" s="1" t="n">
        <v>0.758</v>
      </c>
      <c r="G13" s="1" t="n">
        <v>1.003</v>
      </c>
      <c r="H13" s="1" t="n">
        <v>1.247</v>
      </c>
      <c r="I13" s="1" t="n">
        <v>1.481</v>
      </c>
    </row>
    <row r="14" customFormat="false" ht="14.25" hidden="false" customHeight="false" outlineLevel="0" collapsed="false">
      <c r="A14" s="1" t="n">
        <f aca="false">A15-1</f>
        <v>1982</v>
      </c>
      <c r="B14" s="1" t="n">
        <v>0.039</v>
      </c>
      <c r="C14" s="1" t="n">
        <v>0.144</v>
      </c>
      <c r="D14" s="1" t="n">
        <v>0.309</v>
      </c>
      <c r="E14" s="1" t="n">
        <v>0.519</v>
      </c>
      <c r="F14" s="1" t="n">
        <v>0.755</v>
      </c>
      <c r="G14" s="1" t="n">
        <v>1.002</v>
      </c>
      <c r="H14" s="1" t="n">
        <v>1.249</v>
      </c>
      <c r="I14" s="1" t="n">
        <v>1.488</v>
      </c>
    </row>
    <row r="15" customFormat="false" ht="14.25" hidden="false" customHeight="false" outlineLevel="0" collapsed="false">
      <c r="A15" s="1" t="n">
        <f aca="false">A16-1</f>
        <v>1983</v>
      </c>
      <c r="B15" s="1" t="n">
        <v>0.042</v>
      </c>
      <c r="C15" s="1" t="n">
        <v>0.138</v>
      </c>
      <c r="D15" s="1" t="n">
        <v>0.28</v>
      </c>
      <c r="E15" s="1" t="n">
        <v>0.451</v>
      </c>
      <c r="F15" s="1" t="n">
        <v>0.638</v>
      </c>
      <c r="G15" s="1" t="n">
        <v>0.828</v>
      </c>
      <c r="H15" s="1" t="n">
        <v>1.014</v>
      </c>
      <c r="I15" s="1" t="n">
        <v>1.191</v>
      </c>
    </row>
    <row r="16" customFormat="false" ht="14.25" hidden="false" customHeight="false" outlineLevel="0" collapsed="false">
      <c r="A16" s="1" t="n">
        <f aca="false">A17-1</f>
        <v>1984</v>
      </c>
      <c r="B16" s="1" t="n">
        <v>0.044</v>
      </c>
      <c r="C16" s="1" t="n">
        <v>0.156</v>
      </c>
      <c r="D16" s="1" t="n">
        <v>0.328</v>
      </c>
      <c r="E16" s="1" t="n">
        <v>0.541</v>
      </c>
      <c r="F16" s="1" t="n">
        <v>0.778</v>
      </c>
      <c r="G16" s="1" t="n">
        <v>1.024</v>
      </c>
      <c r="H16" s="1" t="n">
        <v>1.267</v>
      </c>
      <c r="I16" s="1" t="n">
        <v>1.501</v>
      </c>
    </row>
    <row r="17" customFormat="false" ht="14.25" hidden="false" customHeight="false" outlineLevel="0" collapsed="false">
      <c r="A17" s="1" t="n">
        <f aca="false">A18-1</f>
        <v>1985</v>
      </c>
      <c r="B17" s="1" t="n">
        <v>0.04</v>
      </c>
      <c r="C17" s="1" t="n">
        <v>0.149</v>
      </c>
      <c r="D17" s="1" t="n">
        <v>0.322</v>
      </c>
      <c r="E17" s="1" t="n">
        <v>0.541</v>
      </c>
      <c r="F17" s="1" t="n">
        <v>0.789</v>
      </c>
      <c r="G17" s="1" t="n">
        <v>1.048</v>
      </c>
      <c r="H17" s="1" t="n">
        <v>1.308</v>
      </c>
      <c r="I17" s="1" t="n">
        <v>1.558</v>
      </c>
    </row>
    <row r="18" customFormat="false" ht="14.25" hidden="false" customHeight="false" outlineLevel="0" collapsed="false">
      <c r="A18" s="1" t="n">
        <f aca="false">A19-1</f>
        <v>1986</v>
      </c>
      <c r="B18" s="1" t="n">
        <v>0.042</v>
      </c>
      <c r="C18" s="1" t="n">
        <v>0.151</v>
      </c>
      <c r="D18" s="1" t="n">
        <v>0.323</v>
      </c>
      <c r="E18" s="1" t="n">
        <v>0.539</v>
      </c>
      <c r="F18" s="1" t="n">
        <v>0.781</v>
      </c>
      <c r="G18" s="1" t="n">
        <v>1.033</v>
      </c>
      <c r="H18" s="1" t="n">
        <v>1.285</v>
      </c>
      <c r="I18" s="1" t="n">
        <v>1.527</v>
      </c>
    </row>
    <row r="19" customFormat="false" ht="14.25" hidden="false" customHeight="false" outlineLevel="0" collapsed="false">
      <c r="A19" s="1" t="n">
        <f aca="false">A20-1</f>
        <v>1987</v>
      </c>
      <c r="B19" s="1" t="n">
        <v>0.034</v>
      </c>
      <c r="C19" s="1" t="n">
        <v>0.132</v>
      </c>
      <c r="D19" s="1" t="n">
        <v>0.294</v>
      </c>
      <c r="E19" s="1" t="n">
        <v>0.504</v>
      </c>
      <c r="F19" s="1" t="n">
        <v>0.745</v>
      </c>
      <c r="G19" s="1" t="n">
        <v>1.001</v>
      </c>
      <c r="H19" s="1" t="n">
        <v>1.26</v>
      </c>
      <c r="I19" s="1" t="n">
        <v>1.512</v>
      </c>
    </row>
    <row r="20" customFormat="false" ht="14.25" hidden="false" customHeight="false" outlineLevel="0" collapsed="false">
      <c r="A20" s="1" t="n">
        <f aca="false">A21-1</f>
        <v>1988</v>
      </c>
      <c r="B20" s="1" t="n">
        <v>0.038</v>
      </c>
      <c r="C20" s="1" t="n">
        <v>0.145</v>
      </c>
      <c r="D20" s="1" t="n">
        <v>0.315</v>
      </c>
      <c r="E20" s="1" t="n">
        <v>0.533</v>
      </c>
      <c r="F20" s="1" t="n">
        <v>0.78</v>
      </c>
      <c r="G20" s="1" t="n">
        <v>1.041</v>
      </c>
      <c r="H20" s="1" t="n">
        <v>1.302</v>
      </c>
      <c r="I20" s="1" t="n">
        <v>1.554</v>
      </c>
    </row>
    <row r="21" customFormat="false" ht="14.25" hidden="false" customHeight="false" outlineLevel="0" collapsed="false">
      <c r="A21" s="1" t="n">
        <f aca="false">A22-1</f>
        <v>1989</v>
      </c>
      <c r="B21" s="1" t="n">
        <v>0.044</v>
      </c>
      <c r="C21" s="1" t="n">
        <v>0.158</v>
      </c>
      <c r="D21" s="1" t="n">
        <v>0.337</v>
      </c>
      <c r="E21" s="1" t="n">
        <v>0.561</v>
      </c>
      <c r="F21" s="1" t="n">
        <v>0.812</v>
      </c>
      <c r="G21" s="1" t="n">
        <v>1.074</v>
      </c>
      <c r="H21" s="1" t="n">
        <v>1.334</v>
      </c>
      <c r="I21" s="1" t="n">
        <v>1.585</v>
      </c>
    </row>
    <row r="22" customFormat="false" ht="14.25" hidden="false" customHeight="false" outlineLevel="0" collapsed="false">
      <c r="A22" s="1" t="n">
        <f aca="false">A23-1</f>
        <v>1990</v>
      </c>
      <c r="B22" s="1" t="n">
        <v>0.042</v>
      </c>
      <c r="C22" s="1" t="n">
        <v>0.15</v>
      </c>
      <c r="D22" s="1" t="n">
        <v>0.32</v>
      </c>
      <c r="E22" s="1" t="n">
        <v>0.532</v>
      </c>
      <c r="F22" s="1" t="n">
        <v>0.769</v>
      </c>
      <c r="G22" s="1" t="n">
        <v>1.017</v>
      </c>
      <c r="H22" s="1" t="n">
        <v>1.263</v>
      </c>
      <c r="I22" s="1" t="n">
        <v>1.499</v>
      </c>
    </row>
    <row r="23" customFormat="false" ht="14.25" hidden="false" customHeight="false" outlineLevel="0" collapsed="false">
      <c r="A23" s="1" t="n">
        <f aca="false">A24-1</f>
        <v>1991</v>
      </c>
      <c r="B23" s="1" t="n">
        <v>0.039</v>
      </c>
      <c r="C23" s="1" t="n">
        <v>0.142</v>
      </c>
      <c r="D23" s="1" t="n">
        <v>0.305</v>
      </c>
      <c r="E23" s="1" t="n">
        <v>0.511</v>
      </c>
      <c r="F23" s="1" t="n">
        <v>0.743</v>
      </c>
      <c r="G23" s="1" t="n">
        <v>0.985</v>
      </c>
      <c r="H23" s="1" t="n">
        <v>1.227</v>
      </c>
      <c r="I23" s="1" t="n">
        <v>1.461</v>
      </c>
    </row>
    <row r="24" customFormat="false" ht="14.25" hidden="false" customHeight="false" outlineLevel="0" collapsed="false">
      <c r="A24" s="1" t="n">
        <f aca="false">A25-1</f>
        <v>1992</v>
      </c>
      <c r="B24" s="1" t="n">
        <v>0.04</v>
      </c>
      <c r="C24" s="1" t="n">
        <v>0.148</v>
      </c>
      <c r="D24" s="1" t="n">
        <v>0.318</v>
      </c>
      <c r="E24" s="1" t="n">
        <v>0.534</v>
      </c>
      <c r="F24" s="1" t="n">
        <v>0.776</v>
      </c>
      <c r="G24" s="1" t="n">
        <v>1.031</v>
      </c>
      <c r="H24" s="1" t="n">
        <v>1.286</v>
      </c>
      <c r="I24" s="1" t="n">
        <v>1.531</v>
      </c>
    </row>
    <row r="25" customFormat="false" ht="14.25" hidden="false" customHeight="false" outlineLevel="0" collapsed="false">
      <c r="A25" s="1" t="n">
        <f aca="false">A26-1</f>
        <v>1993</v>
      </c>
      <c r="B25" s="1" t="n">
        <v>0.039</v>
      </c>
      <c r="C25" s="1" t="n">
        <v>0.147</v>
      </c>
      <c r="D25" s="1" t="n">
        <v>0.323</v>
      </c>
      <c r="E25" s="1" t="n">
        <v>0.549</v>
      </c>
      <c r="F25" s="1" t="n">
        <v>0.807</v>
      </c>
      <c r="G25" s="1" t="n">
        <v>1.08</v>
      </c>
      <c r="H25" s="1" t="n">
        <v>1.354</v>
      </c>
      <c r="I25" s="1" t="n">
        <v>1.62</v>
      </c>
    </row>
    <row r="26" customFormat="false" ht="14.25" hidden="false" customHeight="false" outlineLevel="0" collapsed="false">
      <c r="A26" s="1" t="n">
        <f aca="false">A27-1</f>
        <v>1994</v>
      </c>
      <c r="B26" s="1" t="n">
        <v>0.036</v>
      </c>
      <c r="C26" s="1" t="n">
        <v>0.147</v>
      </c>
      <c r="D26" s="1" t="n">
        <v>0.335</v>
      </c>
      <c r="E26" s="1" t="n">
        <v>0.584</v>
      </c>
      <c r="F26" s="1" t="n">
        <v>0.874</v>
      </c>
      <c r="G26" s="1" t="n">
        <v>1.186</v>
      </c>
      <c r="H26" s="1" t="n">
        <v>1.503</v>
      </c>
      <c r="I26" s="1" t="n">
        <v>1.813</v>
      </c>
    </row>
    <row r="27" customFormat="false" ht="14.25" hidden="false" customHeight="false" outlineLevel="0" collapsed="false">
      <c r="A27" s="1" t="n">
        <f aca="false">A28-1</f>
        <v>1995</v>
      </c>
      <c r="B27" s="1" t="n">
        <v>0.038</v>
      </c>
      <c r="C27" s="1" t="n">
        <v>0.146</v>
      </c>
      <c r="D27" s="1" t="n">
        <v>0.318</v>
      </c>
      <c r="E27" s="1" t="n">
        <v>0.54</v>
      </c>
      <c r="F27" s="1" t="n">
        <v>0.792</v>
      </c>
      <c r="G27" s="1" t="n">
        <v>1.058</v>
      </c>
      <c r="H27" s="1" t="n">
        <v>1.325</v>
      </c>
      <c r="I27" s="1" t="n">
        <v>1.583</v>
      </c>
    </row>
    <row r="28" customFormat="false" ht="14.25" hidden="false" customHeight="false" outlineLevel="0" collapsed="false">
      <c r="A28" s="1" t="n">
        <f aca="false">A29-1</f>
        <v>1996</v>
      </c>
      <c r="B28" s="1" t="n">
        <v>0.038</v>
      </c>
      <c r="C28" s="1" t="n">
        <v>0.145</v>
      </c>
      <c r="D28" s="1" t="n">
        <v>0.317</v>
      </c>
      <c r="E28" s="1" t="n">
        <v>0.537</v>
      </c>
      <c r="F28" s="1" t="n">
        <v>0.788</v>
      </c>
      <c r="G28" s="1" t="n">
        <v>1.053</v>
      </c>
      <c r="H28" s="1" t="n">
        <v>1.318</v>
      </c>
      <c r="I28" s="1" t="n">
        <v>1.576</v>
      </c>
    </row>
    <row r="29" customFormat="false" ht="14.25" hidden="false" customHeight="false" outlineLevel="0" collapsed="false">
      <c r="A29" s="1" t="n">
        <f aca="false">A30-1</f>
        <v>1997</v>
      </c>
      <c r="B29" s="1" t="n">
        <v>0.045</v>
      </c>
      <c r="C29" s="1" t="n">
        <v>0.152</v>
      </c>
      <c r="D29" s="1" t="n">
        <v>0.312</v>
      </c>
      <c r="E29" s="1" t="n">
        <v>0.506</v>
      </c>
      <c r="F29" s="1" t="n">
        <v>0.72</v>
      </c>
      <c r="G29" s="1" t="n">
        <v>0.94</v>
      </c>
      <c r="H29" s="1" t="n">
        <v>1.155</v>
      </c>
      <c r="I29" s="1" t="n">
        <v>1.361</v>
      </c>
    </row>
    <row r="30" customFormat="false" ht="14.25" hidden="false" customHeight="false" outlineLevel="0" collapsed="false">
      <c r="A30" s="1" t="n">
        <f aca="false">A31-1</f>
        <v>1998</v>
      </c>
      <c r="B30" s="1" t="n">
        <v>0.04</v>
      </c>
      <c r="C30" s="1" t="n">
        <v>0.14</v>
      </c>
      <c r="D30" s="1" t="n">
        <v>0.294</v>
      </c>
      <c r="E30" s="1" t="n">
        <v>0.483</v>
      </c>
      <c r="F30" s="1" t="n">
        <v>0.693</v>
      </c>
      <c r="G30" s="1" t="n">
        <v>0.911</v>
      </c>
      <c r="H30" s="1" t="n">
        <v>1.126</v>
      </c>
      <c r="I30" s="1" t="n">
        <v>1.333</v>
      </c>
    </row>
    <row r="31" customFormat="false" ht="14.25" hidden="false" customHeight="false" outlineLevel="0" collapsed="false">
      <c r="A31" s="1" t="n">
        <f aca="false">A32-1</f>
        <v>1999</v>
      </c>
      <c r="B31" s="1" t="n">
        <v>0.037</v>
      </c>
      <c r="C31" s="1" t="n">
        <v>0.146</v>
      </c>
      <c r="D31" s="1" t="n">
        <v>0.324</v>
      </c>
      <c r="E31" s="1" t="n">
        <v>0.557</v>
      </c>
      <c r="F31" s="1" t="n">
        <v>0.824</v>
      </c>
      <c r="G31" s="1" t="n">
        <v>1.107</v>
      </c>
      <c r="H31" s="1" t="n">
        <v>1.394</v>
      </c>
      <c r="I31" s="1" t="n">
        <v>1.673</v>
      </c>
    </row>
    <row r="32" customFormat="false" ht="14.25" hidden="false" customHeight="false" outlineLevel="0" collapsed="false">
      <c r="A32" s="1" t="n">
        <f aca="false">A33-1</f>
        <v>2000</v>
      </c>
      <c r="B32" s="1" t="n">
        <v>0.035</v>
      </c>
      <c r="C32" s="1" t="n">
        <v>0.145</v>
      </c>
      <c r="D32" s="1" t="n">
        <v>0.336</v>
      </c>
      <c r="E32" s="1" t="n">
        <v>0.592</v>
      </c>
      <c r="F32" s="1" t="n">
        <v>0.893</v>
      </c>
      <c r="G32" s="1" t="n">
        <v>1.218</v>
      </c>
      <c r="H32" s="1" t="n">
        <v>1.55</v>
      </c>
      <c r="I32" s="1" t="n">
        <v>1.877</v>
      </c>
    </row>
    <row r="33" customFormat="false" ht="14.25" hidden="false" customHeight="false" outlineLevel="0" collapsed="false">
      <c r="A33" s="1" t="n">
        <f aca="false">A34-1</f>
        <v>2001</v>
      </c>
      <c r="B33" s="1" t="n">
        <v>0.033</v>
      </c>
      <c r="C33" s="1" t="n">
        <v>0.139</v>
      </c>
      <c r="D33" s="1" t="n">
        <v>0.324</v>
      </c>
      <c r="E33" s="1" t="n">
        <v>0.572</v>
      </c>
      <c r="F33" s="1" t="n">
        <v>0.864</v>
      </c>
      <c r="G33" s="1" t="n">
        <v>1.18</v>
      </c>
      <c r="H33" s="1" t="n">
        <v>1.504</v>
      </c>
      <c r="I33" s="1" t="n">
        <v>1.822</v>
      </c>
    </row>
    <row r="34" customFormat="false" ht="14.25" hidden="false" customHeight="false" outlineLevel="0" collapsed="false">
      <c r="A34" s="1" t="n">
        <f aca="false">A35-1</f>
        <v>2002</v>
      </c>
      <c r="B34" s="1" t="n">
        <v>0.036</v>
      </c>
      <c r="C34" s="1" t="n">
        <v>0.145</v>
      </c>
      <c r="D34" s="1" t="n">
        <v>0.33</v>
      </c>
      <c r="E34" s="1" t="n">
        <v>0.576</v>
      </c>
      <c r="F34" s="1" t="n">
        <v>0.861</v>
      </c>
      <c r="G34" s="1" t="n">
        <v>1.167</v>
      </c>
      <c r="H34" s="1" t="n">
        <v>1.478</v>
      </c>
      <c r="I34" s="1" t="n">
        <v>1.783</v>
      </c>
    </row>
    <row r="35" customFormat="false" ht="14.25" hidden="false" customHeight="false" outlineLevel="0" collapsed="false">
      <c r="A35" s="1" t="n">
        <f aca="false">A36-1</f>
        <v>2003</v>
      </c>
      <c r="B35" s="1" t="n">
        <v>0.04</v>
      </c>
      <c r="C35" s="1" t="n">
        <v>0.154</v>
      </c>
      <c r="D35" s="1" t="n">
        <v>0.341</v>
      </c>
      <c r="E35" s="1" t="n">
        <v>0.584</v>
      </c>
      <c r="F35" s="1" t="n">
        <v>0.862</v>
      </c>
      <c r="G35" s="1" t="n">
        <v>1.157</v>
      </c>
      <c r="H35" s="1" t="n">
        <v>1.454</v>
      </c>
      <c r="I35" s="1" t="n">
        <v>1.743</v>
      </c>
    </row>
    <row r="36" customFormat="false" ht="14.25" hidden="false" customHeight="false" outlineLevel="0" collapsed="false">
      <c r="A36" s="1" t="n">
        <f aca="false">A37-1</f>
        <v>2004</v>
      </c>
      <c r="B36" s="1" t="n">
        <v>0.038</v>
      </c>
      <c r="C36" s="1" t="n">
        <v>0.149</v>
      </c>
      <c r="D36" s="1" t="n">
        <v>0.333</v>
      </c>
      <c r="E36" s="1" t="n">
        <v>0.574</v>
      </c>
      <c r="F36" s="1" t="n">
        <v>0.852</v>
      </c>
      <c r="G36" s="1" t="n">
        <v>1.148</v>
      </c>
      <c r="H36" s="1" t="n">
        <v>1.447</v>
      </c>
      <c r="I36" s="1" t="n">
        <v>1.74</v>
      </c>
    </row>
    <row r="37" customFormat="false" ht="14.25" hidden="false" customHeight="false" outlineLevel="0" collapsed="false">
      <c r="A37" s="1" t="n">
        <f aca="false">A38-1</f>
        <v>2005</v>
      </c>
      <c r="B37" s="1" t="n">
        <v>0.037</v>
      </c>
      <c r="C37" s="1" t="n">
        <v>0.15</v>
      </c>
      <c r="D37" s="1" t="n">
        <v>0.341</v>
      </c>
      <c r="E37" s="1" t="n">
        <v>0.595</v>
      </c>
      <c r="F37" s="1" t="n">
        <v>0.89</v>
      </c>
      <c r="G37" s="1" t="n">
        <v>1.206</v>
      </c>
      <c r="H37" s="1" t="n">
        <v>1.527</v>
      </c>
      <c r="I37" s="1" t="n">
        <v>1.842</v>
      </c>
    </row>
    <row r="38" customFormat="false" ht="14.25" hidden="false" customHeight="false" outlineLevel="0" collapsed="false">
      <c r="A38" s="1" t="n">
        <f aca="false">A39-1</f>
        <v>2006</v>
      </c>
      <c r="B38" s="1" t="n">
        <v>0.038</v>
      </c>
      <c r="C38" s="1" t="n">
        <v>0.152</v>
      </c>
      <c r="D38" s="1" t="n">
        <v>0.347</v>
      </c>
      <c r="E38" s="1" t="n">
        <v>0.606</v>
      </c>
      <c r="F38" s="1" t="n">
        <v>0.907</v>
      </c>
      <c r="G38" s="1" t="n">
        <v>1.23</v>
      </c>
      <c r="H38" s="1" t="n">
        <v>1.558</v>
      </c>
      <c r="I38" s="1" t="n">
        <v>1.88</v>
      </c>
    </row>
    <row r="39" customFormat="false" ht="14.25" hidden="false" customHeight="false" outlineLevel="0" collapsed="false">
      <c r="A39" s="1" t="n">
        <f aca="false">A40-1</f>
        <v>2007</v>
      </c>
      <c r="B39" s="1" t="n">
        <v>0.038</v>
      </c>
      <c r="C39" s="1" t="n">
        <v>0.149</v>
      </c>
      <c r="D39" s="1" t="n">
        <v>0.335</v>
      </c>
      <c r="E39" s="1" t="n">
        <v>0.579</v>
      </c>
      <c r="F39" s="1" t="n">
        <v>0.861</v>
      </c>
      <c r="G39" s="1" t="n">
        <v>1.161</v>
      </c>
      <c r="H39" s="1" t="n">
        <v>1.465</v>
      </c>
      <c r="I39" s="1" t="n">
        <v>1.762</v>
      </c>
    </row>
    <row r="40" customFormat="false" ht="14.25" hidden="false" customHeight="false" outlineLevel="0" collapsed="false">
      <c r="A40" s="1" t="n">
        <f aca="false">A41-1</f>
        <v>2008</v>
      </c>
      <c r="B40" s="1" t="n">
        <v>0.036</v>
      </c>
      <c r="C40" s="1" t="n">
        <v>0.146</v>
      </c>
      <c r="D40" s="1" t="n">
        <v>0.334</v>
      </c>
      <c r="E40" s="1" t="n">
        <v>0.585</v>
      </c>
      <c r="F40" s="1" t="n">
        <v>0.876</v>
      </c>
      <c r="G40" s="1" t="n">
        <v>1.19</v>
      </c>
      <c r="H40" s="1" t="n">
        <v>1.51</v>
      </c>
      <c r="I40" s="1" t="n">
        <v>1.823</v>
      </c>
    </row>
    <row r="41" customFormat="false" ht="14.25" hidden="false" customHeight="false" outlineLevel="0" collapsed="false">
      <c r="A41" s="1" t="n">
        <f aca="false">A42-1</f>
        <v>2009</v>
      </c>
      <c r="B41" s="1" t="n">
        <v>0.038</v>
      </c>
      <c r="C41" s="1" t="n">
        <v>0.15</v>
      </c>
      <c r="D41" s="1" t="n">
        <v>0.337</v>
      </c>
      <c r="E41" s="1" t="n">
        <v>0.582</v>
      </c>
      <c r="F41" s="1" t="n">
        <v>0.865</v>
      </c>
      <c r="G41" s="1" t="n">
        <v>1.167</v>
      </c>
      <c r="H41" s="1" t="n">
        <v>1.474</v>
      </c>
      <c r="I41" s="1" t="n">
        <v>1.773</v>
      </c>
    </row>
    <row r="42" customFormat="false" ht="14.25" hidden="false" customHeight="false" outlineLevel="0" collapsed="false">
      <c r="A42" s="1" t="n">
        <f aca="false">A43-1</f>
        <v>2010</v>
      </c>
      <c r="B42" s="1" t="n">
        <v>0.039</v>
      </c>
      <c r="C42" s="1" t="n">
        <v>0.15</v>
      </c>
      <c r="D42" s="1" t="n">
        <v>0.332</v>
      </c>
      <c r="E42" s="1" t="n">
        <v>0.567</v>
      </c>
      <c r="F42" s="1" t="n">
        <v>0.837</v>
      </c>
      <c r="G42" s="1" t="n">
        <v>1.123</v>
      </c>
      <c r="H42" s="1" t="n">
        <v>1.411</v>
      </c>
      <c r="I42" s="1" t="n">
        <v>1.691</v>
      </c>
    </row>
    <row r="43" customFormat="false" ht="14.25" hidden="false" customHeight="false" outlineLevel="0" collapsed="false">
      <c r="A43" s="1" t="n">
        <f aca="false">A44-1</f>
        <v>2011</v>
      </c>
      <c r="B43" s="1" t="n">
        <v>0.031</v>
      </c>
      <c r="C43" s="1" t="n">
        <v>0.143</v>
      </c>
      <c r="D43" s="1" t="n">
        <v>0.351</v>
      </c>
      <c r="E43" s="1" t="n">
        <v>0.644</v>
      </c>
      <c r="F43" s="1" t="n">
        <v>1</v>
      </c>
      <c r="G43" s="1" t="n">
        <v>1.395</v>
      </c>
      <c r="H43" s="1" t="n">
        <v>1.806</v>
      </c>
      <c r="I43" s="1" t="n">
        <v>2.217</v>
      </c>
    </row>
    <row r="44" customFormat="false" ht="14.25" hidden="false" customHeight="false" outlineLevel="0" collapsed="false">
      <c r="A44" s="1" t="n">
        <f aca="false">A45-1</f>
        <v>2012</v>
      </c>
      <c r="B44" s="1" t="n">
        <v>0.032</v>
      </c>
      <c r="C44" s="1" t="n">
        <v>0.145</v>
      </c>
      <c r="D44" s="1" t="n">
        <v>0.349</v>
      </c>
      <c r="E44" s="1" t="n">
        <v>0.632</v>
      </c>
      <c r="F44" s="1" t="n">
        <v>0.971</v>
      </c>
      <c r="G44" s="1" t="n">
        <v>1.344</v>
      </c>
      <c r="H44" s="1" t="n">
        <v>1.731</v>
      </c>
      <c r="I44" s="1" t="n">
        <v>2.115</v>
      </c>
    </row>
    <row r="45" customFormat="false" ht="14.25" hidden="false" customHeight="false" outlineLevel="0" collapsed="false">
      <c r="A45" s="1" t="n">
        <f aca="false">A46-1</f>
        <v>2013</v>
      </c>
      <c r="B45" s="1" t="n">
        <v>0.03020403</v>
      </c>
      <c r="C45" s="1" t="n">
        <v>0.1358282</v>
      </c>
      <c r="D45" s="1" t="n">
        <v>0.3293468</v>
      </c>
      <c r="E45" s="1" t="n">
        <v>0.6000308</v>
      </c>
      <c r="F45" s="1" t="n">
        <v>0.9279128</v>
      </c>
      <c r="G45" s="1" t="n">
        <v>1.291452</v>
      </c>
      <c r="H45" s="1" t="n">
        <v>1.671325</v>
      </c>
      <c r="I45" s="1" t="n">
        <v>2.051916</v>
      </c>
    </row>
    <row r="46" customFormat="false" ht="14.25" hidden="false" customHeight="false" outlineLevel="0" collapsed="false">
      <c r="A46" s="1" t="n">
        <f aca="false">A47-1</f>
        <v>2014</v>
      </c>
      <c r="B46" s="1" t="n">
        <v>0.02947434</v>
      </c>
      <c r="C46" s="1" t="n">
        <v>0.1369839</v>
      </c>
      <c r="D46" s="1" t="n">
        <v>0.3386552</v>
      </c>
      <c r="E46" s="1" t="n">
        <v>0.6251492</v>
      </c>
      <c r="F46" s="1" t="n">
        <v>0.9760321</v>
      </c>
      <c r="G46" s="1" t="n">
        <v>1.368295</v>
      </c>
      <c r="H46" s="1" t="n">
        <v>1.780799</v>
      </c>
      <c r="I46" s="1" t="n">
        <v>2.196165</v>
      </c>
    </row>
    <row r="47" customFormat="false" ht="14.25" hidden="false" customHeight="false" outlineLevel="0" collapsed="false">
      <c r="A47" s="1" t="n">
        <f aca="false">A48-1</f>
        <v>2015</v>
      </c>
      <c r="B47" s="1" t="n">
        <v>0.03279675</v>
      </c>
      <c r="C47" s="1" t="n">
        <v>0.1396165</v>
      </c>
      <c r="D47" s="1" t="n">
        <v>0.3277688</v>
      </c>
      <c r="E47" s="1" t="n">
        <v>0.5842298</v>
      </c>
      <c r="F47" s="1" t="n">
        <v>0.8892222</v>
      </c>
      <c r="G47" s="1" t="n">
        <v>1.222768</v>
      </c>
      <c r="H47" s="1" t="n">
        <v>1.567622</v>
      </c>
      <c r="I47" s="1" t="n">
        <v>1.910247</v>
      </c>
    </row>
    <row r="48" customFormat="false" ht="14.25" hidden="false" customHeight="false" outlineLevel="0" collapsed="false">
      <c r="A48" s="1" t="n">
        <f aca="false">A49-1</f>
        <v>2016</v>
      </c>
      <c r="B48" s="1" t="n">
        <v>0.03655815</v>
      </c>
      <c r="C48" s="1" t="n">
        <v>0.143295</v>
      </c>
      <c r="D48" s="1" t="n">
        <v>0.3204321</v>
      </c>
      <c r="E48" s="1" t="n">
        <v>0.5526425</v>
      </c>
      <c r="F48" s="1" t="n">
        <v>0.8212447</v>
      </c>
      <c r="G48" s="1" t="n">
        <v>1.108974</v>
      </c>
      <c r="H48" s="1" t="n">
        <v>1.401743</v>
      </c>
      <c r="I48" s="1" t="n">
        <v>1.688976</v>
      </c>
    </row>
    <row r="49" customFormat="false" ht="14.25" hidden="false" customHeight="false" outlineLevel="0" collapsed="false">
      <c r="A49" s="1" t="n">
        <f aca="false">A50-1</f>
        <v>2017</v>
      </c>
      <c r="B49" s="1" t="n">
        <v>0.02950162</v>
      </c>
      <c r="C49" s="1" t="n">
        <v>0.131752</v>
      </c>
      <c r="D49" s="1" t="n">
        <v>0.3181598</v>
      </c>
      <c r="E49" s="1" t="n">
        <v>0.5780467</v>
      </c>
      <c r="F49" s="1" t="n">
        <v>0.8921188</v>
      </c>
      <c r="G49" s="1" t="n">
        <v>1.239742</v>
      </c>
      <c r="H49" s="1" t="n">
        <v>1.602496</v>
      </c>
      <c r="I49" s="1" t="n">
        <v>1.965551</v>
      </c>
    </row>
    <row r="50" customFormat="false" ht="14.25" hidden="false" customHeight="false" outlineLevel="0" collapsed="false">
      <c r="A50" s="1" t="n">
        <f aca="false">A51-1</f>
        <v>2018</v>
      </c>
      <c r="B50" s="1" t="n">
        <v>0.030703</v>
      </c>
      <c r="C50" s="1" t="n">
        <v>0.1358958</v>
      </c>
      <c r="D50" s="1" t="n">
        <v>0.3264408</v>
      </c>
      <c r="E50" s="1" t="n">
        <v>0.5909781</v>
      </c>
      <c r="F50" s="1" t="n">
        <v>0.9097125</v>
      </c>
      <c r="G50" s="1" t="n">
        <v>1.261706</v>
      </c>
      <c r="H50" s="1" t="n">
        <v>1.628386</v>
      </c>
      <c r="I50" s="1" t="n">
        <v>1.994869</v>
      </c>
    </row>
    <row r="51" customFormat="false" ht="14.25" hidden="false" customHeight="false" outlineLevel="0" collapsed="false">
      <c r="A51" s="1" t="n">
        <f aca="false">A52-1</f>
        <v>2019</v>
      </c>
      <c r="B51" s="1" t="n">
        <v>0.02990326</v>
      </c>
      <c r="C51" s="1" t="n">
        <v>0.1335201</v>
      </c>
      <c r="D51" s="1" t="n">
        <v>0.3223931</v>
      </c>
      <c r="E51" s="1" t="n">
        <v>0.5856931</v>
      </c>
      <c r="F51" s="1" t="n">
        <v>0.9038695</v>
      </c>
      <c r="G51" s="1" t="n">
        <v>1.256018</v>
      </c>
      <c r="H51" s="1" t="n">
        <v>1.623482</v>
      </c>
      <c r="I51" s="1" t="n">
        <v>1.991239</v>
      </c>
    </row>
    <row r="52" customFormat="false" ht="14.25" hidden="false" customHeight="false" outlineLevel="0" collapsed="false">
      <c r="A52" s="1" t="n">
        <f aca="false">A53-1</f>
        <v>2020</v>
      </c>
      <c r="B52" s="1" t="n">
        <v>0.02878186</v>
      </c>
      <c r="C52" s="1" t="n">
        <v>0.1307623</v>
      </c>
      <c r="D52" s="1" t="n">
        <v>0.3189781</v>
      </c>
      <c r="E52" s="1" t="n">
        <v>0.5835148</v>
      </c>
      <c r="F52" s="1" t="n">
        <v>0.90505</v>
      </c>
      <c r="G52" s="1" t="n">
        <v>1.262466</v>
      </c>
      <c r="H52" s="1" t="n">
        <v>1.636679</v>
      </c>
      <c r="I52" s="1" t="n">
        <v>2.012185</v>
      </c>
    </row>
    <row r="53" customFormat="false" ht="14.25" hidden="false" customHeight="false" outlineLevel="0" collapsed="false">
      <c r="A53" s="1" t="n">
        <f aca="false">A54-1</f>
        <v>2021</v>
      </c>
      <c r="B53" s="1" t="n">
        <v>0.03108389</v>
      </c>
      <c r="C53" s="1" t="n">
        <v>0.1335545</v>
      </c>
      <c r="D53" s="1" t="n">
        <v>0.3152505</v>
      </c>
      <c r="E53" s="1" t="n">
        <v>0.5639944</v>
      </c>
      <c r="F53" s="1" t="n">
        <v>0.8607287</v>
      </c>
      <c r="G53" s="1" t="n">
        <v>1.185996</v>
      </c>
      <c r="H53" s="1" t="n">
        <v>1.522894</v>
      </c>
      <c r="I53" s="1" t="n">
        <v>1.858087</v>
      </c>
    </row>
    <row r="54" customFormat="false" ht="14.25" hidden="false" customHeight="false" outlineLevel="0" collapsed="false">
      <c r="A54" s="1" t="n">
        <f aca="false">A55-1</f>
        <v>2022</v>
      </c>
      <c r="B54" s="1" t="n">
        <v>0.0321618102617084</v>
      </c>
      <c r="C54" s="1" t="n">
        <v>0.135198144209672</v>
      </c>
      <c r="D54" s="1" t="n">
        <v>0.315047124570641</v>
      </c>
      <c r="E54" s="1" t="n">
        <v>0.558736218012707</v>
      </c>
      <c r="F54" s="1" t="n">
        <v>0.847316377252021</v>
      </c>
      <c r="G54" s="1" t="n">
        <v>1.16191726675544</v>
      </c>
      <c r="H54" s="1" t="n">
        <v>1.48639229234956</v>
      </c>
      <c r="I54" s="1" t="n">
        <v>1.80814993162102</v>
      </c>
    </row>
    <row r="55" customFormat="false" ht="14.25" hidden="false" customHeight="false" outlineLevel="0" collapsed="false">
      <c r="A55" s="1" t="n">
        <v>2023</v>
      </c>
      <c r="B55" s="1" t="n">
        <v>0.0342955872575703</v>
      </c>
      <c r="C55" s="1" t="n">
        <v>0.137260605756787</v>
      </c>
      <c r="D55" s="1" t="n">
        <v>0.310733976474595</v>
      </c>
      <c r="E55" s="1" t="n">
        <v>0.540396143444055</v>
      </c>
      <c r="F55" s="1" t="n">
        <v>0.807919236703447</v>
      </c>
      <c r="G55" s="1" t="n">
        <v>1.09599594569246</v>
      </c>
      <c r="H55" s="1" t="n">
        <v>1.39030527754524</v>
      </c>
      <c r="I55" s="1" t="n">
        <v>1.67996979341411</v>
      </c>
    </row>
    <row r="56" customFormat="false" ht="14.25" hidden="false" customHeight="false" outlineLevel="0" collapsed="false">
      <c r="A56" s="1" t="n">
        <v>2024</v>
      </c>
      <c r="B56" s="1" t="n">
        <v>0.038568552590168</v>
      </c>
      <c r="C56" s="1" t="n">
        <v>0.148830673813936</v>
      </c>
      <c r="D56" s="1" t="n">
        <v>0.329760230052197</v>
      </c>
      <c r="E56" s="1" t="n">
        <v>0.565194761660951</v>
      </c>
      <c r="F56" s="1" t="n">
        <v>0.836099779937414</v>
      </c>
      <c r="G56" s="1" t="n">
        <v>1.12515972794735</v>
      </c>
      <c r="H56" s="1" t="n">
        <v>1.41839512973589</v>
      </c>
      <c r="I56" s="1" t="n">
        <v>1.70539830916993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88671875" defaultRowHeight="14.25" zeroHeight="false" outlineLevelRow="0" outlineLevelCol="0"/>
  <sheetData>
    <row r="1" customFormat="false" ht="14.25" hidden="false" customHeight="false" outlineLevel="0" collapsed="false">
      <c r="A1" s="2" t="s">
        <v>1</v>
      </c>
      <c r="B1" s="2" t="n">
        <v>80.77</v>
      </c>
      <c r="D1" s="2" t="s">
        <v>2</v>
      </c>
      <c r="E1" s="2" t="s">
        <v>3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</row>
    <row r="2" customFormat="false" ht="14.25" hidden="false" customHeight="false" outlineLevel="0" collapsed="false">
      <c r="A2" s="2" t="s">
        <v>4</v>
      </c>
      <c r="B2" s="2" t="n">
        <v>-0.356</v>
      </c>
      <c r="D2" s="2" t="s">
        <v>5</v>
      </c>
      <c r="E2" s="2" t="s">
        <v>6</v>
      </c>
      <c r="F2" s="2" t="n">
        <f aca="false">$B$1*(1-EXP(-$B$3*(F1-$B$2)))</f>
        <v>15.3108941525417</v>
      </c>
      <c r="G2" s="2" t="n">
        <f aca="false">$B$1*(1-EXP(-$B$3*(G1-$B$2)))</f>
        <v>24.7098282477303</v>
      </c>
      <c r="H2" s="2" t="n">
        <f aca="false">$B$1*(1-EXP(-$B$3*(H1-$B$2)))</f>
        <v>32.7592180590181</v>
      </c>
      <c r="I2" s="2" t="n">
        <f aca="false">$B$1*(1-EXP(-$B$3*(I1-$B$2)))</f>
        <v>39.6528376628869</v>
      </c>
      <c r="J2" s="2" t="n">
        <f aca="false">$B$1*(1-EXP(-$B$3*(J1-$B$2)))</f>
        <v>45.5566381194388</v>
      </c>
      <c r="K2" s="2" t="n">
        <f aca="false">$B$1*(1-EXP(-$B$3*(K1-$B$2)))</f>
        <v>50.6127424352644</v>
      </c>
      <c r="L2" s="2" t="n">
        <f aca="false">$B$1*(1-EXP(-$B$3*(L1-$B$2)))</f>
        <v>54.9428669102779</v>
      </c>
      <c r="M2" s="2" t="n">
        <f aca="false">$B$1*(1-EXP(-$B$3*(M1-$B$2)))</f>
        <v>58.6512512310728</v>
      </c>
    </row>
    <row r="3" customFormat="false" ht="14.25" hidden="false" customHeight="false" outlineLevel="0" collapsed="false">
      <c r="A3" s="2" t="s">
        <v>7</v>
      </c>
      <c r="B3" s="2" t="n">
        <v>0.155</v>
      </c>
    </row>
    <row r="4" customFormat="false" ht="14.25" hidden="false" customHeight="false" outlineLevel="0" collapsed="false">
      <c r="A4" s="2" t="s">
        <v>8</v>
      </c>
      <c r="B4" s="2" t="n">
        <v>15.31</v>
      </c>
    </row>
    <row r="6" customFormat="false" ht="14.25" hidden="false" customHeight="false" outlineLevel="0" collapsed="false">
      <c r="A6" s="2" t="s">
        <v>9</v>
      </c>
      <c r="B6" s="3" t="n">
        <v>0.0126374868641</v>
      </c>
      <c r="E6" s="2" t="s">
        <v>10</v>
      </c>
      <c r="F6" s="2" t="n">
        <f aca="false">$B$6*(POWER(F2,$B$7))</f>
        <v>34.2955872575703</v>
      </c>
      <c r="G6" s="2" t="n">
        <f aca="false">$B$6*(POWER(G2,$B$7))</f>
        <v>137.260605756787</v>
      </c>
      <c r="H6" s="2" t="n">
        <f aca="false">$B$6*(POWER(H2,$B$7))</f>
        <v>310.733976474594</v>
      </c>
      <c r="I6" s="2" t="n">
        <f aca="false">$B$6*(POWER(I2,$B$7))</f>
        <v>540.396143444055</v>
      </c>
      <c r="J6" s="2" t="n">
        <f aca="false">$B$6*(POWER(J2,$B$7))</f>
        <v>807.919236703447</v>
      </c>
      <c r="K6" s="2" t="n">
        <f aca="false">$B$6*(POWER(K2,$B$7))</f>
        <v>1095.99594569246</v>
      </c>
      <c r="L6" s="2" t="n">
        <f aca="false">$B$6*(POWER(L2,$B$7))</f>
        <v>1390.30527754524</v>
      </c>
      <c r="M6" s="2" t="n">
        <f aca="false">$B$6*(POWER(M2,$B$7))</f>
        <v>1679.96979341411</v>
      </c>
    </row>
    <row r="7" customFormat="false" ht="14.25" hidden="false" customHeight="false" outlineLevel="0" collapsed="false">
      <c r="A7" s="2" t="s">
        <v>11</v>
      </c>
      <c r="B7" s="3" t="n">
        <v>2.89753242284375</v>
      </c>
      <c r="E7" s="2" t="s">
        <v>10</v>
      </c>
      <c r="F7" s="2" t="n">
        <f aca="false">F6/1000</f>
        <v>0.0342955872575703</v>
      </c>
      <c r="G7" s="2" t="n">
        <f aca="false">G6/1000</f>
        <v>0.137260605756787</v>
      </c>
      <c r="H7" s="2" t="n">
        <f aca="false">H6/1000</f>
        <v>0.310733976474594</v>
      </c>
      <c r="I7" s="2" t="n">
        <f aca="false">I6/1000</f>
        <v>0.540396143444055</v>
      </c>
      <c r="J7" s="2" t="n">
        <f aca="false">J6/1000</f>
        <v>0.807919236703447</v>
      </c>
      <c r="K7" s="2" t="n">
        <f aca="false">K6/1000</f>
        <v>1.09599594569246</v>
      </c>
      <c r="L7" s="2" t="n">
        <f aca="false">L6/1000</f>
        <v>1.39030527754524</v>
      </c>
      <c r="M7" s="2" t="n">
        <f aca="false">M6/1000</f>
        <v>1.67996979341411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88671875" defaultRowHeight="14.25" zeroHeight="false" outlineLevelRow="0" outlineLevelCol="0"/>
  <sheetData>
    <row r="1" customFormat="false" ht="14.25" hidden="false" customHeight="false" outlineLevel="0" collapsed="false">
      <c r="A1" s="2" t="s">
        <v>1</v>
      </c>
      <c r="B1" s="2" t="n">
        <v>80.77</v>
      </c>
      <c r="D1" s="2" t="s">
        <v>2</v>
      </c>
      <c r="E1" s="2" t="s">
        <v>3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</row>
    <row r="2" customFormat="false" ht="14.25" hidden="false" customHeight="false" outlineLevel="0" collapsed="false">
      <c r="A2" s="2" t="s">
        <v>4</v>
      </c>
      <c r="B2" s="2" t="n">
        <v>-0.356</v>
      </c>
      <c r="D2" s="2" t="s">
        <v>5</v>
      </c>
      <c r="E2" s="2" t="s">
        <v>6</v>
      </c>
      <c r="F2" s="2" t="n">
        <f aca="false">$B$1*(1-EXP(-$B$3*(F1-$B$2)))</f>
        <v>15.3108941525417</v>
      </c>
      <c r="G2" s="2" t="n">
        <f aca="false">$B$1*(1-EXP(-$B$3*(G1-$B$2)))</f>
        <v>24.7098282477303</v>
      </c>
      <c r="H2" s="2" t="n">
        <f aca="false">$B$1*(1-EXP(-$B$3*(H1-$B$2)))</f>
        <v>32.7592180590181</v>
      </c>
      <c r="I2" s="2" t="n">
        <f aca="false">$B$1*(1-EXP(-$B$3*(I1-$B$2)))</f>
        <v>39.6528376628869</v>
      </c>
      <c r="J2" s="2" t="n">
        <f aca="false">$B$1*(1-EXP(-$B$3*(J1-$B$2)))</f>
        <v>45.5566381194388</v>
      </c>
      <c r="K2" s="2" t="n">
        <f aca="false">$B$1*(1-EXP(-$B$3*(K1-$B$2)))</f>
        <v>50.6127424352644</v>
      </c>
      <c r="L2" s="2" t="n">
        <f aca="false">$B$1*(1-EXP(-$B$3*(L1-$B$2)))</f>
        <v>54.9428669102779</v>
      </c>
      <c r="M2" s="2" t="n">
        <f aca="false">$B$1*(1-EXP(-$B$3*(M1-$B$2)))</f>
        <v>58.6512512310728</v>
      </c>
    </row>
    <row r="3" customFormat="false" ht="14.25" hidden="false" customHeight="false" outlineLevel="0" collapsed="false">
      <c r="A3" s="2" t="s">
        <v>7</v>
      </c>
      <c r="B3" s="2" t="n">
        <v>0.155</v>
      </c>
    </row>
    <row r="4" customFormat="false" ht="14.25" hidden="false" customHeight="false" outlineLevel="0" collapsed="false">
      <c r="A4" s="2" t="s">
        <v>8</v>
      </c>
      <c r="B4" s="2" t="n">
        <v>15.31</v>
      </c>
    </row>
    <row r="6" customFormat="false" ht="14.25" hidden="false" customHeight="false" outlineLevel="0" collapsed="false">
      <c r="A6" s="2" t="s">
        <v>9</v>
      </c>
      <c r="B6" s="3" t="n">
        <v>0.0174986183606862</v>
      </c>
      <c r="E6" s="2" t="s">
        <v>10</v>
      </c>
      <c r="F6" s="2" t="n">
        <f aca="false">$B$6*(POWER(F2,$B$7))</f>
        <v>38.568552590168</v>
      </c>
      <c r="G6" s="2" t="n">
        <f aca="false">$B$6*(POWER(G2,$B$7))</f>
        <v>148.830673813936</v>
      </c>
      <c r="H6" s="2" t="n">
        <f aca="false">$B$6*(POWER(H2,$B$7))</f>
        <v>329.760230052197</v>
      </c>
      <c r="I6" s="2" t="n">
        <f aca="false">$B$6*(POWER(I2,$B$7))</f>
        <v>565.194761660951</v>
      </c>
      <c r="J6" s="2" t="n">
        <f aca="false">$B$6*(POWER(J2,$B$7))</f>
        <v>836.099779937415</v>
      </c>
      <c r="K6" s="2" t="n">
        <f aca="false">$B$6*(POWER(K2,$B$7))</f>
        <v>1125.15972794735</v>
      </c>
      <c r="L6" s="2" t="n">
        <f aca="false">$B$6*(POWER(L2,$B$7))</f>
        <v>1418.39512973589</v>
      </c>
      <c r="M6" s="2" t="n">
        <f aca="false">$B$6*(POWER(M2,$B$7))</f>
        <v>1705.39830916993</v>
      </c>
    </row>
    <row r="7" customFormat="false" ht="14.25" hidden="false" customHeight="false" outlineLevel="0" collapsed="false">
      <c r="A7" s="2" t="s">
        <v>11</v>
      </c>
      <c r="B7" s="3" t="n">
        <v>2.82128946672509</v>
      </c>
      <c r="E7" s="2" t="s">
        <v>10</v>
      </c>
      <c r="F7" s="2" t="n">
        <f aca="false">F6/1000</f>
        <v>0.038568552590168</v>
      </c>
      <c r="G7" s="2" t="n">
        <f aca="false">G6/1000</f>
        <v>0.148830673813936</v>
      </c>
      <c r="H7" s="2" t="n">
        <f aca="false">H6/1000</f>
        <v>0.329760230052197</v>
      </c>
      <c r="I7" s="2" t="n">
        <f aca="false">I6/1000</f>
        <v>0.565194761660951</v>
      </c>
      <c r="J7" s="2" t="n">
        <f aca="false">J6/1000</f>
        <v>0.836099779937415</v>
      </c>
      <c r="K7" s="2" t="n">
        <f aca="false">K6/1000</f>
        <v>1.12515972794735</v>
      </c>
      <c r="L7" s="2" t="n">
        <f aca="false">L6/1000</f>
        <v>1.41839512973589</v>
      </c>
      <c r="M7" s="2" t="n">
        <f aca="false">M6/1000</f>
        <v>1.70539830916993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en-GB</dc:language>
  <cp:lastModifiedBy/>
  <dcterms:modified xsi:type="dcterms:W3CDTF">2024-09-23T15:42:29Z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