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/_mymods/sprfmo/jjm/assessment/data/"/>
    </mc:Choice>
  </mc:AlternateContent>
  <xr:revisionPtr revIDLastSave="0" documentId="8_{A1416C18-7702-9C48-B877-803DFCD82961}" xr6:coauthVersionLast="47" xr6:coauthVersionMax="47" xr10:uidLastSave="{00000000-0000-0000-0000-000000000000}"/>
  <bookViews>
    <workbookView xWindow="0" yWindow="660" windowWidth="34560" windowHeight="21680" xr2:uid="{13FCA90A-60F9-FD44-A45C-5FE3915029CB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F41" i="1" l="1"/>
  <c r="BF40" i="1"/>
  <c r="BF39" i="1"/>
  <c r="BF38" i="1"/>
  <c r="BF35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6" i="1"/>
  <c r="BF3" i="1"/>
  <c r="BF4" i="1"/>
  <c r="BF2" i="1"/>
  <c r="A5" i="1"/>
  <c r="A34" i="1"/>
  <c r="A36" i="1"/>
  <c r="A37" i="1"/>
  <c r="A40" i="1"/>
  <c r="A42" i="1"/>
  <c r="A44" i="1"/>
  <c r="A45" i="1"/>
  <c r="A46" i="1"/>
  <c r="A47" i="1"/>
  <c r="A48" i="1"/>
  <c r="A53" i="1"/>
  <c r="A54" i="1"/>
  <c r="A56" i="1"/>
  <c r="A57" i="1"/>
  <c r="A58" i="1"/>
  <c r="A59" i="1"/>
  <c r="A64" i="1"/>
  <c r="A68" i="1"/>
  <c r="A69" i="1"/>
  <c r="A75" i="1"/>
  <c r="A77" i="1"/>
  <c r="BD78" i="1"/>
  <c r="BD76" i="1"/>
  <c r="BD74" i="1"/>
  <c r="BD73" i="1"/>
  <c r="BD72" i="1"/>
  <c r="BD71" i="1"/>
  <c r="BD70" i="1"/>
  <c r="BD67" i="1"/>
  <c r="BD66" i="1"/>
  <c r="BD65" i="1"/>
  <c r="BD63" i="1"/>
  <c r="BD62" i="1"/>
  <c r="BD61" i="1"/>
  <c r="BD60" i="1"/>
  <c r="BD55" i="1"/>
  <c r="BD52" i="1"/>
  <c r="BD51" i="1"/>
  <c r="BD50" i="1"/>
  <c r="BD49" i="1"/>
  <c r="BD43" i="1"/>
  <c r="BD41" i="1"/>
  <c r="BD39" i="1"/>
  <c r="BD38" i="1"/>
  <c r="BD35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10" i="1"/>
  <c r="BD9" i="1"/>
  <c r="BD8" i="1"/>
  <c r="BD7" i="1"/>
  <c r="BD6" i="1"/>
  <c r="BD4" i="1"/>
  <c r="BD3" i="1"/>
  <c r="BD2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G16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B77" i="1" l="1"/>
  <c r="B75" i="1"/>
  <c r="B69" i="1"/>
  <c r="B68" i="1"/>
  <c r="B64" i="1"/>
  <c r="B59" i="1"/>
  <c r="B58" i="1"/>
  <c r="B57" i="1"/>
  <c r="B56" i="1"/>
  <c r="B54" i="1"/>
  <c r="B48" i="1"/>
  <c r="A3" i="1"/>
  <c r="B3" i="1" s="1"/>
  <c r="A6" i="1"/>
  <c r="B6" i="1" s="1"/>
  <c r="A7" i="1"/>
  <c r="B7" i="1" s="1"/>
  <c r="A9" i="1"/>
  <c r="B9" i="1" s="1"/>
  <c r="A10" i="1"/>
  <c r="B10" i="1" s="1"/>
  <c r="A12" i="1"/>
  <c r="B12" i="1" s="1"/>
  <c r="A14" i="1"/>
  <c r="B14" i="1" s="1"/>
  <c r="A16" i="1"/>
  <c r="B16" i="1" s="1"/>
  <c r="A18" i="1"/>
  <c r="B18" i="1" s="1"/>
  <c r="A20" i="1"/>
  <c r="B20" i="1" s="1"/>
  <c r="A22" i="1"/>
  <c r="B22" i="1" s="1"/>
  <c r="A24" i="1"/>
  <c r="B24" i="1" s="1"/>
  <c r="A26" i="1"/>
  <c r="B26" i="1" s="1"/>
  <c r="A28" i="1"/>
  <c r="B28" i="1" s="1"/>
  <c r="A49" i="1"/>
  <c r="B49" i="1" s="1"/>
  <c r="A51" i="1"/>
  <c r="B51" i="1" s="1"/>
  <c r="A65" i="1"/>
  <c r="B65" i="1" s="1"/>
  <c r="A67" i="1"/>
  <c r="B67" i="1" s="1"/>
  <c r="A71" i="1"/>
  <c r="B71" i="1" s="1"/>
  <c r="A73" i="1"/>
  <c r="B73" i="1" s="1"/>
  <c r="B47" i="1"/>
  <c r="B46" i="1"/>
  <c r="B45" i="1"/>
  <c r="B44" i="1"/>
  <c r="B42" i="1"/>
  <c r="B40" i="1"/>
  <c r="B37" i="1"/>
  <c r="B36" i="1"/>
  <c r="B34" i="1"/>
  <c r="B5" i="1"/>
  <c r="B53" i="1"/>
  <c r="A4" i="1"/>
  <c r="B4" i="1" s="1"/>
  <c r="A8" i="1"/>
  <c r="B8" i="1" s="1"/>
  <c r="A11" i="1"/>
  <c r="B11" i="1" s="1"/>
  <c r="A13" i="1"/>
  <c r="B13" i="1" s="1"/>
  <c r="A15" i="1"/>
  <c r="B15" i="1" s="1"/>
  <c r="A17" i="1"/>
  <c r="B17" i="1" s="1"/>
  <c r="A19" i="1"/>
  <c r="B19" i="1" s="1"/>
  <c r="A21" i="1"/>
  <c r="B21" i="1" s="1"/>
  <c r="A23" i="1"/>
  <c r="B23" i="1" s="1"/>
  <c r="A25" i="1"/>
  <c r="B25" i="1" s="1"/>
  <c r="A27" i="1"/>
  <c r="B27" i="1" s="1"/>
  <c r="A43" i="1"/>
  <c r="B43" i="1" s="1"/>
  <c r="A50" i="1"/>
  <c r="B50" i="1" s="1"/>
  <c r="A52" i="1"/>
  <c r="B52" i="1" s="1"/>
  <c r="A63" i="1"/>
  <c r="B63" i="1" s="1"/>
  <c r="A66" i="1"/>
  <c r="B66" i="1" s="1"/>
  <c r="A70" i="1"/>
  <c r="B70" i="1" s="1"/>
  <c r="A72" i="1"/>
  <c r="B72" i="1" s="1"/>
  <c r="A74" i="1"/>
  <c r="B74" i="1" s="1"/>
  <c r="A76" i="1"/>
  <c r="B76" i="1" s="1"/>
  <c r="A29" i="1"/>
  <c r="B29" i="1" s="1"/>
  <c r="A30" i="1"/>
  <c r="B30" i="1" s="1"/>
  <c r="A31" i="1"/>
  <c r="B31" i="1" s="1"/>
  <c r="A32" i="1"/>
  <c r="B32" i="1" s="1"/>
  <c r="A33" i="1"/>
  <c r="B33" i="1" s="1"/>
  <c r="A35" i="1"/>
  <c r="B35" i="1" s="1"/>
  <c r="A38" i="1"/>
  <c r="B38" i="1" s="1"/>
  <c r="A39" i="1"/>
  <c r="B39" i="1" s="1"/>
  <c r="A41" i="1"/>
  <c r="B41" i="1" s="1"/>
  <c r="A55" i="1"/>
  <c r="B55" i="1" s="1"/>
  <c r="A60" i="1"/>
  <c r="B60" i="1" s="1"/>
  <c r="A61" i="1"/>
  <c r="B61" i="1" s="1"/>
  <c r="A62" i="1"/>
  <c r="B62" i="1" s="1"/>
  <c r="A78" i="1"/>
  <c r="B78" i="1" s="1"/>
  <c r="A2" i="1"/>
  <c r="B2" i="1" s="1"/>
  <c r="G34" i="1"/>
  <c r="G66" i="1"/>
  <c r="G19" i="1"/>
  <c r="G12" i="1"/>
  <c r="G78" i="1"/>
  <c r="G73" i="1"/>
  <c r="G72" i="1"/>
  <c r="G70" i="1"/>
  <c r="G69" i="1"/>
  <c r="G68" i="1"/>
  <c r="G65" i="1"/>
  <c r="G64" i="1"/>
  <c r="G62" i="1"/>
  <c r="G31" i="1"/>
  <c r="G67" i="1"/>
  <c r="G13" i="1"/>
  <c r="G56" i="1"/>
  <c r="G55" i="1"/>
  <c r="G54" i="1"/>
  <c r="G53" i="1"/>
  <c r="G52" i="1"/>
  <c r="G51" i="1"/>
  <c r="G50" i="1"/>
  <c r="G49" i="1"/>
  <c r="G48" i="1"/>
  <c r="G47" i="1"/>
  <c r="G46" i="1"/>
  <c r="G44" i="1"/>
  <c r="G45" i="1"/>
  <c r="G43" i="1"/>
  <c r="G42" i="1"/>
  <c r="G41" i="1"/>
  <c r="G40" i="1"/>
  <c r="G39" i="1"/>
  <c r="G38" i="1"/>
  <c r="G37" i="1"/>
  <c r="G36" i="1"/>
  <c r="G35" i="1"/>
  <c r="G32" i="1"/>
  <c r="G30" i="1"/>
  <c r="G29" i="1"/>
  <c r="G23" i="1"/>
  <c r="G21" i="1"/>
  <c r="G18" i="1"/>
  <c r="G17" i="1"/>
  <c r="G15" i="1"/>
  <c r="G33" i="1"/>
  <c r="G20" i="1"/>
  <c r="G11" i="1"/>
  <c r="G10" i="1"/>
  <c r="G9" i="1"/>
  <c r="G8" i="1"/>
  <c r="G7" i="1"/>
  <c r="G6" i="1"/>
  <c r="G5" i="1"/>
  <c r="G4" i="1"/>
  <c r="G3" i="1"/>
  <c r="G2" i="1"/>
  <c r="G14" i="1"/>
  <c r="G75" i="1"/>
  <c r="G71" i="1"/>
  <c r="G76" i="1"/>
  <c r="G77" i="1"/>
  <c r="G74" i="1"/>
  <c r="G63" i="1"/>
  <c r="G61" i="1"/>
  <c r="G60" i="1"/>
  <c r="G59" i="1"/>
  <c r="G58" i="1"/>
  <c r="G57" i="1"/>
  <c r="G28" i="1"/>
  <c r="G27" i="1"/>
  <c r="G26" i="1"/>
  <c r="G25" i="1"/>
  <c r="G24" i="1"/>
  <c r="G22" i="1"/>
</calcChain>
</file>

<file path=xl/sharedStrings.xml><?xml version="1.0" encoding="utf-8"?>
<sst xmlns="http://schemas.openxmlformats.org/spreadsheetml/2006/main" count="84" uniqueCount="84">
  <si>
    <t>Survey</t>
  </si>
  <si>
    <t>Year</t>
  </si>
  <si>
    <t>Month</t>
  </si>
  <si>
    <t>End month</t>
  </si>
  <si>
    <t>Timing</t>
  </si>
  <si>
    <t>8303-05</t>
  </si>
  <si>
    <t>8309-12</t>
  </si>
  <si>
    <t>8406-09</t>
  </si>
  <si>
    <t>8503-05</t>
  </si>
  <si>
    <t>8604-05</t>
  </si>
  <si>
    <t>8610-12</t>
  </si>
  <si>
    <t>8708-09</t>
  </si>
  <si>
    <t>8805-07</t>
  </si>
  <si>
    <t>8907-09</t>
  </si>
  <si>
    <t>8911-12</t>
  </si>
  <si>
    <t>9002-04</t>
  </si>
  <si>
    <t>9011-13</t>
  </si>
  <si>
    <t>9106-08</t>
  </si>
  <si>
    <t>9201-03</t>
  </si>
  <si>
    <t>9301-03</t>
  </si>
  <si>
    <t>9401-03</t>
  </si>
  <si>
    <t>9502-04</t>
  </si>
  <si>
    <t>9602-04</t>
  </si>
  <si>
    <t>9611-12</t>
  </si>
  <si>
    <t>9704-04</t>
  </si>
  <si>
    <t>9709-10</t>
  </si>
  <si>
    <t>9803-05</t>
  </si>
  <si>
    <t>9808-09</t>
  </si>
  <si>
    <t>9902-03</t>
  </si>
  <si>
    <t>9911-12</t>
  </si>
  <si>
    <t>0001-02</t>
  </si>
  <si>
    <t>0010-11</t>
  </si>
  <si>
    <t>0103-04</t>
  </si>
  <si>
    <t>0107-08</t>
  </si>
  <si>
    <t>0202-03</t>
  </si>
  <si>
    <t>0210-11</t>
  </si>
  <si>
    <t>0302-03</t>
  </si>
  <si>
    <t>0310-12</t>
  </si>
  <si>
    <t>0402-03</t>
  </si>
  <si>
    <t>0411-12</t>
  </si>
  <si>
    <t>0502-04</t>
  </si>
  <si>
    <t>0511-12</t>
  </si>
  <si>
    <t>0602-04</t>
  </si>
  <si>
    <t>0608-09</t>
  </si>
  <si>
    <t>0702-04</t>
  </si>
  <si>
    <t>0708-09</t>
  </si>
  <si>
    <t>0802-04</t>
  </si>
  <si>
    <t>0811-12</t>
  </si>
  <si>
    <t>0902-04</t>
  </si>
  <si>
    <t>0911-12</t>
  </si>
  <si>
    <t>1002-04</t>
  </si>
  <si>
    <t>1011-12</t>
  </si>
  <si>
    <t>1102-04</t>
  </si>
  <si>
    <t>1110-12</t>
  </si>
  <si>
    <t>1202-04</t>
  </si>
  <si>
    <t>1209-11</t>
  </si>
  <si>
    <t>1302-04</t>
  </si>
  <si>
    <t>1308-09</t>
  </si>
  <si>
    <t>1402-04</t>
  </si>
  <si>
    <t>1408-10</t>
  </si>
  <si>
    <t>1502-04</t>
  </si>
  <si>
    <t>1509-10</t>
  </si>
  <si>
    <t>1605-06</t>
  </si>
  <si>
    <t>1609-10</t>
  </si>
  <si>
    <t>1702-04</t>
  </si>
  <si>
    <t>1709-11</t>
  </si>
  <si>
    <t>1802-04</t>
  </si>
  <si>
    <t>1809-11</t>
  </si>
  <si>
    <t>1902-03</t>
  </si>
  <si>
    <t>1909-11</t>
  </si>
  <si>
    <t>2002-03</t>
  </si>
  <si>
    <t>2009-11</t>
  </si>
  <si>
    <t>2102-04</t>
  </si>
  <si>
    <t>2109-11</t>
  </si>
  <si>
    <t>2202-04</t>
  </si>
  <si>
    <t>2209-10</t>
  </si>
  <si>
    <t>2302-04</t>
  </si>
  <si>
    <t>2309-10</t>
  </si>
  <si>
    <t>2402-04</t>
  </si>
  <si>
    <t>2409-10</t>
  </si>
  <si>
    <t>2502-04</t>
  </si>
  <si>
    <t>2509-10</t>
  </si>
  <si>
    <t>Ratio &lt;10/Total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</si>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</sst>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[1]acousticBiomass!$G$2:$G$78</c:f>
              <c:numCache>
                <c:formatCode>General</c:formatCode>
                <c:ptCount val="77"/>
                <c:pt idx="0">
                  <c:v>6.1552250190000004</c:v>
                </c:pt>
                <c:pt idx="1">
                  <c:v>92.980327869999996</c:v>
                </c:pt>
                <c:pt idx="2">
                  <c:v>23.794234029999998</c:v>
                </c:pt>
                <c:pt idx="3">
                  <c:v>6.1552250190000004</c:v>
                </c:pt>
                <c:pt idx="4">
                  <c:v>119.6094787</c:v>
                </c:pt>
                <c:pt idx="5">
                  <c:v>14.24833703</c:v>
                </c:pt>
                <c:pt idx="6">
                  <c:v>47.720864130000002</c:v>
                </c:pt>
                <c:pt idx="7">
                  <c:v>25.99787911</c:v>
                </c:pt>
                <c:pt idx="8">
                  <c:v>21.652823919999999</c:v>
                </c:pt>
                <c:pt idx="9">
                  <c:v>113.0082063</c:v>
                </c:pt>
                <c:pt idx="10">
                  <c:v>144.6789072</c:v>
                </c:pt>
                <c:pt idx="11">
                  <c:v>59.779850750000001</c:v>
                </c:pt>
                <c:pt idx="12">
                  <c:v>73.540032240000002</c:v>
                </c:pt>
                <c:pt idx="13">
                  <c:v>20.477553910000001</c:v>
                </c:pt>
                <c:pt idx="14">
                  <c:v>57.855165339999999</c:v>
                </c:pt>
                <c:pt idx="15">
                  <c:v>23.936637709999999</c:v>
                </c:pt>
                <c:pt idx="16">
                  <c:v>13.238020179999999</c:v>
                </c:pt>
                <c:pt idx="17">
                  <c:v>4.8863636359999996</c:v>
                </c:pt>
                <c:pt idx="18">
                  <c:v>3.1429856119999999</c:v>
                </c:pt>
                <c:pt idx="19">
                  <c:v>11.65940838</c:v>
                </c:pt>
                <c:pt idx="20">
                  <c:v>13.19515853</c:v>
                </c:pt>
                <c:pt idx="21">
                  <c:v>10.980867849999999</c:v>
                </c:pt>
                <c:pt idx="22">
                  <c:v>1.603413789</c:v>
                </c:pt>
                <c:pt idx="23">
                  <c:v>6.5371272060000001</c:v>
                </c:pt>
                <c:pt idx="24">
                  <c:v>28.68606119</c:v>
                </c:pt>
                <c:pt idx="25">
                  <c:v>19.942635370000001</c:v>
                </c:pt>
                <c:pt idx="26">
                  <c:v>33.18938447</c:v>
                </c:pt>
                <c:pt idx="27">
                  <c:v>30.843634829999999</c:v>
                </c:pt>
                <c:pt idx="28">
                  <c:v>27.319193469999998</c:v>
                </c:pt>
                <c:pt idx="29">
                  <c:v>17.483742500000002</c:v>
                </c:pt>
                <c:pt idx="30">
                  <c:v>8.5344185760000002</c:v>
                </c:pt>
                <c:pt idx="31">
                  <c:v>20.33223469</c:v>
                </c:pt>
                <c:pt idx="32">
                  <c:v>12.765996120000001</c:v>
                </c:pt>
                <c:pt idx="33">
                  <c:v>8.7110326409999992</c:v>
                </c:pt>
                <c:pt idx="34">
                  <c:v>0.38701271500000001</c:v>
                </c:pt>
                <c:pt idx="35">
                  <c:v>0.80101020899999997</c:v>
                </c:pt>
                <c:pt idx="36">
                  <c:v>27.94163052</c:v>
                </c:pt>
                <c:pt idx="37">
                  <c:v>13.52746033</c:v>
                </c:pt>
                <c:pt idx="38">
                  <c:v>11.34</c:v>
                </c:pt>
                <c:pt idx="39">
                  <c:v>10.81563412</c:v>
                </c:pt>
                <c:pt idx="40">
                  <c:v>1.4036687729999999</c:v>
                </c:pt>
                <c:pt idx="41">
                  <c:v>12.303314909999999</c:v>
                </c:pt>
                <c:pt idx="42">
                  <c:v>8.7280992000000002E-2</c:v>
                </c:pt>
                <c:pt idx="43">
                  <c:v>0.98345501000000002</c:v>
                </c:pt>
                <c:pt idx="44">
                  <c:v>0</c:v>
                </c:pt>
                <c:pt idx="45">
                  <c:v>0.17465678600000001</c:v>
                </c:pt>
                <c:pt idx="46">
                  <c:v>3.423602228</c:v>
                </c:pt>
                <c:pt idx="47">
                  <c:v>11.55551189</c:v>
                </c:pt>
                <c:pt idx="48">
                  <c:v>9.2768810649999995</c:v>
                </c:pt>
                <c:pt idx="49">
                  <c:v>2.1171582739999999</c:v>
                </c:pt>
                <c:pt idx="50">
                  <c:v>14.23663065</c:v>
                </c:pt>
                <c:pt idx="51">
                  <c:v>13.13994885</c:v>
                </c:pt>
                <c:pt idx="52">
                  <c:v>7.009284654</c:v>
                </c:pt>
                <c:pt idx="53">
                  <c:v>7.5937450479999997</c:v>
                </c:pt>
                <c:pt idx="54">
                  <c:v>0.24476730299999999</c:v>
                </c:pt>
                <c:pt idx="55">
                  <c:v>5.1266882E-2</c:v>
                </c:pt>
                <c:pt idx="56">
                  <c:v>0</c:v>
                </c:pt>
                <c:pt idx="57">
                  <c:v>2.375965587</c:v>
                </c:pt>
                <c:pt idx="58">
                  <c:v>0</c:v>
                </c:pt>
                <c:pt idx="59">
                  <c:v>6.1719307570000002</c:v>
                </c:pt>
                <c:pt idx="60">
                  <c:v>3.3647470340000001</c:v>
                </c:pt>
                <c:pt idx="61">
                  <c:v>0.91809184899999996</c:v>
                </c:pt>
                <c:pt idx="62">
                  <c:v>4.8354056659999998</c:v>
                </c:pt>
                <c:pt idx="63">
                  <c:v>4.7227497889999999</c:v>
                </c:pt>
                <c:pt idx="64">
                  <c:v>11.11610198</c:v>
                </c:pt>
                <c:pt idx="65">
                  <c:v>5.2561549750000003</c:v>
                </c:pt>
                <c:pt idx="66">
                  <c:v>0.90096702399999995</c:v>
                </c:pt>
                <c:pt idx="67">
                  <c:v>1.061154524</c:v>
                </c:pt>
                <c:pt idx="68">
                  <c:v>13.57406735</c:v>
                </c:pt>
                <c:pt idx="69">
                  <c:v>16.565576159999999</c:v>
                </c:pt>
                <c:pt idx="70">
                  <c:v>3.224400975</c:v>
                </c:pt>
                <c:pt idx="71">
                  <c:v>0</c:v>
                </c:pt>
                <c:pt idx="72">
                  <c:v>1.4394781240000001</c:v>
                </c:pt>
                <c:pt idx="73">
                  <c:v>2.7327269000000001E-2</c:v>
                </c:pt>
                <c:pt idx="74">
                  <c:v>6.7121870990000003</c:v>
                </c:pt>
                <c:pt idx="75">
                  <c:v>2.1694522940000001</c:v>
                </c:pt>
                <c:pt idx="76">
                  <c:v>0.75398003300000005</c:v>
                </c:pt>
              </c:numCache>
            </c:numRef>
          </c:xVal>
          <c:yVal>
            <c:numRef>
              <c:f>[1]acousticBiomass!$F$2:$F$78</c:f>
              <c:numCache>
                <c:formatCode>General</c:formatCode>
                <c:ptCount val="77"/>
                <c:pt idx="0">
                  <c:v>8512674</c:v>
                </c:pt>
                <c:pt idx="1">
                  <c:v>5146184</c:v>
                </c:pt>
                <c:pt idx="2">
                  <c:v>5001913</c:v>
                </c:pt>
                <c:pt idx="3">
                  <c:v>180259</c:v>
                </c:pt>
                <c:pt idx="4">
                  <c:v>4329874</c:v>
                </c:pt>
                <c:pt idx="5">
                  <c:v>2710220</c:v>
                </c:pt>
                <c:pt idx="6">
                  <c:v>6471955</c:v>
                </c:pt>
                <c:pt idx="7">
                  <c:v>2811590</c:v>
                </c:pt>
                <c:pt idx="8">
                  <c:v>4302930</c:v>
                </c:pt>
                <c:pt idx="9">
                  <c:v>4365164</c:v>
                </c:pt>
                <c:pt idx="10">
                  <c:v>5971710</c:v>
                </c:pt>
                <c:pt idx="11">
                  <c:v>5915250</c:v>
                </c:pt>
                <c:pt idx="12">
                  <c:v>5597492</c:v>
                </c:pt>
                <c:pt idx="13">
                  <c:v>2957578</c:v>
                </c:pt>
                <c:pt idx="14">
                  <c:v>8471096</c:v>
                </c:pt>
                <c:pt idx="15">
                  <c:v>6413607</c:v>
                </c:pt>
                <c:pt idx="16">
                  <c:v>3251207</c:v>
                </c:pt>
                <c:pt idx="17">
                  <c:v>3080748</c:v>
                </c:pt>
                <c:pt idx="18">
                  <c:v>3375866</c:v>
                </c:pt>
                <c:pt idx="19">
                  <c:v>1244591</c:v>
                </c:pt>
                <c:pt idx="20">
                  <c:v>1892286</c:v>
                </c:pt>
                <c:pt idx="21">
                  <c:v>107236</c:v>
                </c:pt>
                <c:pt idx="22">
                  <c:v>17858</c:v>
                </c:pt>
                <c:pt idx="23">
                  <c:v>94238</c:v>
                </c:pt>
                <c:pt idx="24">
                  <c:v>661714</c:v>
                </c:pt>
                <c:pt idx="25">
                  <c:v>720770</c:v>
                </c:pt>
                <c:pt idx="26">
                  <c:v>1071418</c:v>
                </c:pt>
                <c:pt idx="27">
                  <c:v>1097296</c:v>
                </c:pt>
                <c:pt idx="28">
                  <c:v>953303</c:v>
                </c:pt>
                <c:pt idx="29">
                  <c:v>95368</c:v>
                </c:pt>
                <c:pt idx="30">
                  <c:v>446782</c:v>
                </c:pt>
                <c:pt idx="31">
                  <c:v>453597</c:v>
                </c:pt>
                <c:pt idx="32">
                  <c:v>446782</c:v>
                </c:pt>
                <c:pt idx="33">
                  <c:v>239356</c:v>
                </c:pt>
                <c:pt idx="34">
                  <c:v>2180</c:v>
                </c:pt>
                <c:pt idx="35">
                  <c:v>561535</c:v>
                </c:pt>
                <c:pt idx="36">
                  <c:v>410039</c:v>
                </c:pt>
                <c:pt idx="37">
                  <c:v>879266</c:v>
                </c:pt>
                <c:pt idx="38">
                  <c:v>177254</c:v>
                </c:pt>
                <c:pt idx="39">
                  <c:v>236235</c:v>
                </c:pt>
                <c:pt idx="40">
                  <c:v>130964</c:v>
                </c:pt>
                <c:pt idx="41">
                  <c:v>109643</c:v>
                </c:pt>
                <c:pt idx="42">
                  <c:v>6521</c:v>
                </c:pt>
                <c:pt idx="43">
                  <c:v>70074</c:v>
                </c:pt>
                <c:pt idx="44">
                  <c:v>0</c:v>
                </c:pt>
                <c:pt idx="45">
                  <c:v>1239</c:v>
                </c:pt>
                <c:pt idx="46">
                  <c:v>2228</c:v>
                </c:pt>
                <c:pt idx="47">
                  <c:v>362777</c:v>
                </c:pt>
                <c:pt idx="48">
                  <c:v>213048</c:v>
                </c:pt>
                <c:pt idx="49">
                  <c:v>44934</c:v>
                </c:pt>
                <c:pt idx="50">
                  <c:v>116097</c:v>
                </c:pt>
                <c:pt idx="51">
                  <c:v>258195</c:v>
                </c:pt>
                <c:pt idx="52">
                  <c:v>308112</c:v>
                </c:pt>
                <c:pt idx="53">
                  <c:v>145393</c:v>
                </c:pt>
                <c:pt idx="54">
                  <c:v>7841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93305</c:v>
                </c:pt>
                <c:pt idx="60">
                  <c:v>47026</c:v>
                </c:pt>
                <c:pt idx="61">
                  <c:v>29270</c:v>
                </c:pt>
                <c:pt idx="62">
                  <c:v>29273</c:v>
                </c:pt>
                <c:pt idx="63">
                  <c:v>264499</c:v>
                </c:pt>
                <c:pt idx="64">
                  <c:v>797262</c:v>
                </c:pt>
                <c:pt idx="65">
                  <c:v>365419</c:v>
                </c:pt>
                <c:pt idx="66">
                  <c:v>18130</c:v>
                </c:pt>
                <c:pt idx="67">
                  <c:v>5244</c:v>
                </c:pt>
                <c:pt idx="68">
                  <c:v>294783</c:v>
                </c:pt>
                <c:pt idx="69">
                  <c:v>357434</c:v>
                </c:pt>
                <c:pt idx="70">
                  <c:v>307467</c:v>
                </c:pt>
                <c:pt idx="71">
                  <c:v>3851</c:v>
                </c:pt>
                <c:pt idx="72">
                  <c:v>63158</c:v>
                </c:pt>
                <c:pt idx="73">
                  <c:v>237</c:v>
                </c:pt>
                <c:pt idx="74">
                  <c:v>36299</c:v>
                </c:pt>
                <c:pt idx="75">
                  <c:v>103763</c:v>
                </c:pt>
                <c:pt idx="76">
                  <c:v>32073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96-6748-A706-D60219CB3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525504"/>
        <c:axId val="1020693120"/>
      </c:scatterChart>
      <c:valAx>
        <c:axId val="103952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693120"/>
        <c:crosses val="autoZero"/>
        <c:crossBetween val="midCat"/>
      </c:valAx>
      <c:valAx>
        <c:axId val="102069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52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705955</xdr:colOff>
      <xdr:row>87</xdr:row>
      <xdr:rowOff>65984</xdr:rowOff>
    </xdr:from>
    <xdr:to>
      <xdr:col>15</xdr:col>
      <xdr:colOff>745436</xdr:colOff>
      <xdr:row>109</xdr:row>
      <xdr:rowOff>129484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E2F756-7098-114C-9221-576A4F3B3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im/_mymods/sprfmo/jjm/assessment/data/acousticBiomass.csv" TargetMode="External"/><Relationship Id="rId1" Type="http://schemas.openxmlformats.org/officeDocument/2006/relationships/externalLinkPath" Target="acousticBiomas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ousticBiomass"/>
    </sheetNames>
    <sheetDataSet>
      <sheetData sheetId="0">
        <row r="2">
          <cell r="E2">
            <v>4</v>
          </cell>
          <cell r="F2">
            <v>8512674</v>
          </cell>
          <cell r="G2">
            <v>6.1552250190000004</v>
          </cell>
        </row>
        <row r="3">
          <cell r="E3">
            <v>10.5</v>
          </cell>
          <cell r="F3">
            <v>5146184</v>
          </cell>
          <cell r="G3">
            <v>92.980327869999996</v>
          </cell>
        </row>
        <row r="4">
          <cell r="E4">
            <v>7.5</v>
          </cell>
          <cell r="F4">
            <v>5001913</v>
          </cell>
          <cell r="G4">
            <v>23.794234029999998</v>
          </cell>
        </row>
        <row r="5">
          <cell r="E5">
            <v>4</v>
          </cell>
          <cell r="F5">
            <v>180259</v>
          </cell>
          <cell r="G5">
            <v>6.1552250190000004</v>
          </cell>
        </row>
        <row r="6">
          <cell r="E6">
            <v>4.5</v>
          </cell>
          <cell r="F6">
            <v>4329874</v>
          </cell>
          <cell r="G6">
            <v>119.6094787</v>
          </cell>
        </row>
        <row r="7">
          <cell r="E7">
            <v>11</v>
          </cell>
          <cell r="F7">
            <v>2710220</v>
          </cell>
          <cell r="G7">
            <v>14.24833703</v>
          </cell>
        </row>
        <row r="8">
          <cell r="E8">
            <v>8.5</v>
          </cell>
          <cell r="F8">
            <v>6471955</v>
          </cell>
          <cell r="G8">
            <v>47.720864130000002</v>
          </cell>
        </row>
        <row r="9">
          <cell r="E9">
            <v>6</v>
          </cell>
          <cell r="F9">
            <v>2811590</v>
          </cell>
          <cell r="G9">
            <v>25.99787911</v>
          </cell>
        </row>
        <row r="10">
          <cell r="E10">
            <v>8</v>
          </cell>
          <cell r="F10">
            <v>4302930</v>
          </cell>
          <cell r="G10">
            <v>21.652823919999999</v>
          </cell>
        </row>
        <row r="11">
          <cell r="E11">
            <v>11.5</v>
          </cell>
          <cell r="F11">
            <v>4365164</v>
          </cell>
          <cell r="G11">
            <v>113.0082063</v>
          </cell>
        </row>
        <row r="12">
          <cell r="E12">
            <v>3</v>
          </cell>
          <cell r="F12">
            <v>5971710</v>
          </cell>
          <cell r="G12">
            <v>144.6789072</v>
          </cell>
        </row>
        <row r="13">
          <cell r="E13">
            <v>12</v>
          </cell>
          <cell r="F13">
            <v>5915250</v>
          </cell>
          <cell r="G13">
            <v>59.779850750000001</v>
          </cell>
        </row>
        <row r="14">
          <cell r="E14">
            <v>7</v>
          </cell>
          <cell r="F14">
            <v>5597492</v>
          </cell>
          <cell r="G14">
            <v>73.540032240000002</v>
          </cell>
        </row>
        <row r="15">
          <cell r="E15">
            <v>2</v>
          </cell>
          <cell r="F15">
            <v>2957578</v>
          </cell>
          <cell r="G15">
            <v>20.477553910000001</v>
          </cell>
        </row>
        <row r="16">
          <cell r="E16">
            <v>2</v>
          </cell>
          <cell r="F16">
            <v>8471096</v>
          </cell>
          <cell r="G16">
            <v>57.855165339999999</v>
          </cell>
        </row>
        <row r="17">
          <cell r="E17">
            <v>2</v>
          </cell>
          <cell r="F17">
            <v>6413607</v>
          </cell>
          <cell r="G17">
            <v>23.936637709999999</v>
          </cell>
        </row>
        <row r="18">
          <cell r="E18">
            <v>3</v>
          </cell>
          <cell r="F18">
            <v>3251207</v>
          </cell>
          <cell r="G18">
            <v>13.238020179999999</v>
          </cell>
        </row>
        <row r="19">
          <cell r="E19">
            <v>2.5</v>
          </cell>
          <cell r="F19">
            <v>3080748</v>
          </cell>
          <cell r="G19">
            <v>4.8863636359999996</v>
          </cell>
        </row>
        <row r="20">
          <cell r="E20">
            <v>11.5</v>
          </cell>
          <cell r="F20">
            <v>3375866</v>
          </cell>
          <cell r="G20">
            <v>3.1429856119999999</v>
          </cell>
        </row>
        <row r="21">
          <cell r="E21">
            <v>4</v>
          </cell>
          <cell r="F21">
            <v>1244591</v>
          </cell>
          <cell r="G21">
            <v>11.65940838</v>
          </cell>
        </row>
        <row r="22">
          <cell r="E22">
            <v>9.5</v>
          </cell>
          <cell r="F22">
            <v>1892286</v>
          </cell>
          <cell r="G22">
            <v>13.19515853</v>
          </cell>
        </row>
        <row r="23">
          <cell r="E23">
            <v>4</v>
          </cell>
          <cell r="F23">
            <v>107236</v>
          </cell>
          <cell r="G23">
            <v>10.980867849999999</v>
          </cell>
        </row>
        <row r="24">
          <cell r="E24">
            <v>8.5</v>
          </cell>
          <cell r="F24">
            <v>17858</v>
          </cell>
          <cell r="G24">
            <v>1.603413789</v>
          </cell>
        </row>
        <row r="25">
          <cell r="E25">
            <v>2.5</v>
          </cell>
          <cell r="F25">
            <v>94238</v>
          </cell>
          <cell r="G25">
            <v>6.5371272060000001</v>
          </cell>
        </row>
        <row r="26">
          <cell r="E26">
            <v>11.5</v>
          </cell>
          <cell r="F26">
            <v>661714</v>
          </cell>
          <cell r="G26">
            <v>28.68606119</v>
          </cell>
        </row>
        <row r="27">
          <cell r="E27">
            <v>1.5</v>
          </cell>
          <cell r="F27">
            <v>720770</v>
          </cell>
          <cell r="G27">
            <v>19.942635370000001</v>
          </cell>
        </row>
        <row r="28">
          <cell r="E28">
            <v>10.5</v>
          </cell>
          <cell r="F28">
            <v>1071418</v>
          </cell>
          <cell r="G28">
            <v>33.18938447</v>
          </cell>
        </row>
        <row r="29">
          <cell r="E29">
            <v>3.5</v>
          </cell>
          <cell r="F29">
            <v>1097296</v>
          </cell>
          <cell r="G29">
            <v>30.843634829999999</v>
          </cell>
        </row>
        <row r="30">
          <cell r="E30">
            <v>7.5</v>
          </cell>
          <cell r="F30">
            <v>953303</v>
          </cell>
          <cell r="G30">
            <v>27.319193469999998</v>
          </cell>
        </row>
        <row r="31">
          <cell r="E31">
            <v>2.5</v>
          </cell>
          <cell r="F31">
            <v>95368</v>
          </cell>
          <cell r="G31">
            <v>17.483742500000002</v>
          </cell>
        </row>
        <row r="32">
          <cell r="E32">
            <v>10.5</v>
          </cell>
          <cell r="F32">
            <v>446782</v>
          </cell>
          <cell r="G32">
            <v>8.5344185760000002</v>
          </cell>
        </row>
        <row r="33">
          <cell r="E33">
            <v>2.5</v>
          </cell>
          <cell r="F33">
            <v>453597</v>
          </cell>
          <cell r="G33">
            <v>20.33223469</v>
          </cell>
        </row>
        <row r="34">
          <cell r="E34">
            <v>11</v>
          </cell>
          <cell r="F34">
            <v>446782</v>
          </cell>
          <cell r="G34">
            <v>12.765996120000001</v>
          </cell>
        </row>
        <row r="35">
          <cell r="E35">
            <v>2.5</v>
          </cell>
          <cell r="F35">
            <v>239356</v>
          </cell>
          <cell r="G35">
            <v>8.7110326409999992</v>
          </cell>
        </row>
        <row r="36">
          <cell r="E36">
            <v>11.5</v>
          </cell>
          <cell r="F36">
            <v>2180</v>
          </cell>
          <cell r="G36">
            <v>0.38701271500000001</v>
          </cell>
        </row>
        <row r="37">
          <cell r="E37">
            <v>3</v>
          </cell>
          <cell r="F37">
            <v>561535</v>
          </cell>
          <cell r="G37">
            <v>0.80101020899999997</v>
          </cell>
        </row>
        <row r="38">
          <cell r="E38">
            <v>11.5</v>
          </cell>
          <cell r="F38">
            <v>410039</v>
          </cell>
          <cell r="G38">
            <v>27.94163052</v>
          </cell>
        </row>
        <row r="39">
          <cell r="E39">
            <v>3</v>
          </cell>
          <cell r="F39">
            <v>879266</v>
          </cell>
          <cell r="G39">
            <v>13.52746033</v>
          </cell>
        </row>
        <row r="40">
          <cell r="E40">
            <v>8.5</v>
          </cell>
          <cell r="F40">
            <v>177254</v>
          </cell>
          <cell r="G40">
            <v>11.34</v>
          </cell>
        </row>
        <row r="41">
          <cell r="E41">
            <v>3</v>
          </cell>
          <cell r="F41">
            <v>236235</v>
          </cell>
          <cell r="G41">
            <v>10.81563412</v>
          </cell>
        </row>
        <row r="42">
          <cell r="E42">
            <v>8.5</v>
          </cell>
          <cell r="F42">
            <v>130964</v>
          </cell>
          <cell r="G42">
            <v>1.4036687729999999</v>
          </cell>
        </row>
        <row r="43">
          <cell r="E43">
            <v>3</v>
          </cell>
          <cell r="F43">
            <v>109643</v>
          </cell>
          <cell r="G43">
            <v>12.303314909999999</v>
          </cell>
        </row>
        <row r="44">
          <cell r="E44">
            <v>11.5</v>
          </cell>
          <cell r="F44">
            <v>6521</v>
          </cell>
          <cell r="G44">
            <v>8.7280992000000002E-2</v>
          </cell>
        </row>
        <row r="45">
          <cell r="E45">
            <v>3</v>
          </cell>
          <cell r="F45">
            <v>70074</v>
          </cell>
          <cell r="G45">
            <v>0.98345501000000002</v>
          </cell>
        </row>
        <row r="46">
          <cell r="E46">
            <v>12</v>
          </cell>
          <cell r="F46">
            <v>0</v>
          </cell>
          <cell r="G46">
            <v>0</v>
          </cell>
        </row>
        <row r="47">
          <cell r="E47">
            <v>3</v>
          </cell>
          <cell r="F47">
            <v>1239</v>
          </cell>
          <cell r="G47">
            <v>0.17465678600000001</v>
          </cell>
        </row>
        <row r="48">
          <cell r="E48">
            <v>11.5</v>
          </cell>
          <cell r="F48">
            <v>2228</v>
          </cell>
          <cell r="G48">
            <v>3.423602228</v>
          </cell>
        </row>
        <row r="49">
          <cell r="E49">
            <v>3</v>
          </cell>
          <cell r="F49">
            <v>362777</v>
          </cell>
          <cell r="G49">
            <v>11.55551189</v>
          </cell>
        </row>
        <row r="50">
          <cell r="E50">
            <v>11</v>
          </cell>
          <cell r="F50">
            <v>213048</v>
          </cell>
          <cell r="G50">
            <v>9.2768810649999995</v>
          </cell>
        </row>
        <row r="51">
          <cell r="E51">
            <v>3</v>
          </cell>
          <cell r="F51">
            <v>44934</v>
          </cell>
          <cell r="G51">
            <v>2.1171582739999999</v>
          </cell>
        </row>
        <row r="52">
          <cell r="E52">
            <v>10</v>
          </cell>
          <cell r="F52">
            <v>116097</v>
          </cell>
          <cell r="G52">
            <v>14.23663065</v>
          </cell>
        </row>
        <row r="53">
          <cell r="E53">
            <v>3</v>
          </cell>
          <cell r="F53">
            <v>258195</v>
          </cell>
          <cell r="G53">
            <v>13.13994885</v>
          </cell>
        </row>
        <row r="54">
          <cell r="E54">
            <v>8.5</v>
          </cell>
          <cell r="F54">
            <v>308112</v>
          </cell>
          <cell r="G54">
            <v>7.009284654</v>
          </cell>
        </row>
        <row r="55">
          <cell r="E55">
            <v>3</v>
          </cell>
          <cell r="F55">
            <v>145393</v>
          </cell>
          <cell r="G55">
            <v>7.5937450479999997</v>
          </cell>
        </row>
        <row r="56">
          <cell r="E56">
            <v>9</v>
          </cell>
          <cell r="F56">
            <v>7841</v>
          </cell>
          <cell r="G56">
            <v>0.24476730299999999</v>
          </cell>
        </row>
        <row r="57">
          <cell r="E57">
            <v>3</v>
          </cell>
          <cell r="F57">
            <v>0</v>
          </cell>
          <cell r="G57">
            <v>5.1266882E-2</v>
          </cell>
        </row>
        <row r="58">
          <cell r="E58">
            <v>9.5</v>
          </cell>
          <cell r="F58">
            <v>0</v>
          </cell>
          <cell r="G58">
            <v>0</v>
          </cell>
        </row>
        <row r="59">
          <cell r="E59">
            <v>5.5</v>
          </cell>
          <cell r="F59">
            <v>0</v>
          </cell>
          <cell r="G59">
            <v>2.375965587</v>
          </cell>
        </row>
        <row r="60">
          <cell r="E60">
            <v>9.5</v>
          </cell>
          <cell r="F60">
            <v>0</v>
          </cell>
          <cell r="G60">
            <v>0</v>
          </cell>
        </row>
        <row r="61">
          <cell r="E61">
            <v>3</v>
          </cell>
          <cell r="F61">
            <v>93305</v>
          </cell>
          <cell r="G61">
            <v>6.1719307570000002</v>
          </cell>
        </row>
        <row r="62">
          <cell r="E62">
            <v>10</v>
          </cell>
          <cell r="F62">
            <v>47026</v>
          </cell>
          <cell r="G62">
            <v>3.3647470340000001</v>
          </cell>
        </row>
        <row r="63">
          <cell r="E63">
            <v>3</v>
          </cell>
          <cell r="F63">
            <v>29270</v>
          </cell>
          <cell r="G63">
            <v>0.91809184899999996</v>
          </cell>
        </row>
        <row r="64">
          <cell r="E64">
            <v>10</v>
          </cell>
          <cell r="F64">
            <v>29273</v>
          </cell>
          <cell r="G64">
            <v>4.8354056659999998</v>
          </cell>
        </row>
        <row r="65">
          <cell r="E65">
            <v>2.5</v>
          </cell>
          <cell r="F65">
            <v>264499</v>
          </cell>
          <cell r="G65">
            <v>4.7227497889999999</v>
          </cell>
        </row>
        <row r="66">
          <cell r="E66">
            <v>10</v>
          </cell>
          <cell r="F66">
            <v>797262</v>
          </cell>
          <cell r="G66">
            <v>11.11610198</v>
          </cell>
        </row>
        <row r="67">
          <cell r="E67">
            <v>2.5</v>
          </cell>
          <cell r="F67">
            <v>365419</v>
          </cell>
          <cell r="G67">
            <v>5.2561549750000003</v>
          </cell>
        </row>
        <row r="68">
          <cell r="E68">
            <v>10</v>
          </cell>
          <cell r="F68">
            <v>18130</v>
          </cell>
          <cell r="G68">
            <v>0.90096702399999995</v>
          </cell>
        </row>
        <row r="69">
          <cell r="E69">
            <v>3</v>
          </cell>
          <cell r="F69">
            <v>5244</v>
          </cell>
          <cell r="G69">
            <v>1.061154524</v>
          </cell>
        </row>
        <row r="70">
          <cell r="E70">
            <v>10</v>
          </cell>
          <cell r="F70">
            <v>294783</v>
          </cell>
          <cell r="G70">
            <v>13.57406735</v>
          </cell>
        </row>
        <row r="71">
          <cell r="E71">
            <v>3</v>
          </cell>
          <cell r="F71">
            <v>357434</v>
          </cell>
          <cell r="G71">
            <v>16.565576159999999</v>
          </cell>
        </row>
        <row r="72">
          <cell r="E72">
            <v>9.5</v>
          </cell>
          <cell r="F72">
            <v>307467</v>
          </cell>
          <cell r="G72">
            <v>3.224400975</v>
          </cell>
        </row>
        <row r="73">
          <cell r="E73">
            <v>3</v>
          </cell>
          <cell r="F73">
            <v>3851</v>
          </cell>
          <cell r="G73">
            <v>0</v>
          </cell>
        </row>
        <row r="74">
          <cell r="E74">
            <v>9.5</v>
          </cell>
          <cell r="F74">
            <v>63158</v>
          </cell>
          <cell r="G74">
            <v>1.4394781240000001</v>
          </cell>
        </row>
        <row r="75">
          <cell r="E75">
            <v>3</v>
          </cell>
          <cell r="F75">
            <v>237</v>
          </cell>
          <cell r="G75">
            <v>2.7327269000000001E-2</v>
          </cell>
        </row>
        <row r="76">
          <cell r="E76">
            <v>9.5</v>
          </cell>
          <cell r="F76">
            <v>36299</v>
          </cell>
          <cell r="G76">
            <v>6.7121870990000003</v>
          </cell>
        </row>
        <row r="77">
          <cell r="E77">
            <v>3</v>
          </cell>
          <cell r="F77">
            <v>103763</v>
          </cell>
          <cell r="G77">
            <v>2.1694522940000001</v>
          </cell>
        </row>
        <row r="78">
          <cell r="E78">
            <v>9.5</v>
          </cell>
          <cell r="F78">
            <v>32073</v>
          </cell>
          <cell r="G78">
            <v>0.75398003300000005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C1ABA-114D-C349-9ED5-2024F98A7A97}">
  <dimension ref="A1:BQ78"/>
  <sheetViews>
    <sheetView tabSelected="1" topLeftCell="AI1" zoomScale="93" workbookViewId="0">
      <selection activeCell="BF1" sqref="BF1"/>
    </sheetView>
  </sheetViews>
  <sheetFormatPr baseColWidth="10" defaultRowHeight="16" x14ac:dyDescent="0.2"/>
  <sheetData>
    <row r="1" spans="1:69" x14ac:dyDescent="0.2">
      <c r="A1" t="s">
        <v>83</v>
      </c>
      <c r="B1" t="s">
        <v>82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G1">
        <v>50</v>
      </c>
      <c r="BH1">
        <v>51</v>
      </c>
      <c r="BI1">
        <v>52</v>
      </c>
      <c r="BJ1">
        <v>53</v>
      </c>
      <c r="BK1">
        <v>54</v>
      </c>
      <c r="BL1">
        <v>55</v>
      </c>
      <c r="BM1">
        <v>56</v>
      </c>
      <c r="BN1">
        <v>57</v>
      </c>
      <c r="BO1">
        <v>58</v>
      </c>
      <c r="BP1">
        <v>59</v>
      </c>
      <c r="BQ1">
        <v>60</v>
      </c>
    </row>
    <row r="2" spans="1:69" x14ac:dyDescent="0.2">
      <c r="A2">
        <f>SUM(H2:BD2)</f>
        <v>9963.0000000000018</v>
      </c>
      <c r="B2">
        <f t="shared" ref="B2:B52" si="0">IF(A2&gt;0,SUM(H2:O2)/A2,0)</f>
        <v>0</v>
      </c>
      <c r="C2" t="s">
        <v>5</v>
      </c>
      <c r="D2">
        <v>1983</v>
      </c>
      <c r="E2">
        <v>3</v>
      </c>
      <c r="F2">
        <f>MID(C2,6,22)*1</f>
        <v>5</v>
      </c>
      <c r="G2">
        <f>AVERAGE(E2:F2)</f>
        <v>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0.83350000000000002</v>
      </c>
      <c r="U2">
        <v>7.5625</v>
      </c>
      <c r="V2">
        <v>39.115000000000002</v>
      </c>
      <c r="W2">
        <v>214.3365</v>
      </c>
      <c r="X2">
        <v>604.52499999999998</v>
      </c>
      <c r="Y2">
        <v>802.71400000000006</v>
      </c>
      <c r="Z2">
        <v>787.17849999999999</v>
      </c>
      <c r="AA2">
        <v>771.90350000000001</v>
      </c>
      <c r="AB2">
        <v>779.28250000000003</v>
      </c>
      <c r="AC2">
        <v>580.69150000000002</v>
      </c>
      <c r="AD2">
        <v>386.06</v>
      </c>
      <c r="AE2">
        <v>275.23599999999999</v>
      </c>
      <c r="AF2">
        <v>180.16300000000001</v>
      </c>
      <c r="AG2">
        <v>229.94550000000001</v>
      </c>
      <c r="AH2">
        <v>625.33799999999997</v>
      </c>
      <c r="AI2">
        <v>1203.0940000000001</v>
      </c>
      <c r="AJ2">
        <v>1159.1695</v>
      </c>
      <c r="AK2">
        <v>612.85649999999998</v>
      </c>
      <c r="AL2">
        <v>350.18099999999998</v>
      </c>
      <c r="AM2">
        <v>169.68899999999999</v>
      </c>
      <c r="AN2">
        <v>85.374499999999998</v>
      </c>
      <c r="AO2">
        <v>43.5745</v>
      </c>
      <c r="AP2">
        <v>26.556999999999999</v>
      </c>
      <c r="AQ2">
        <v>16.59</v>
      </c>
      <c r="AR2">
        <v>7.0465</v>
      </c>
      <c r="AS2">
        <v>1.091</v>
      </c>
      <c r="AT2">
        <v>0.89149999999999996</v>
      </c>
      <c r="AU2">
        <v>0.58099999999999996</v>
      </c>
      <c r="AV2">
        <v>1.419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f>SUM(BG2:BQ2)</f>
        <v>0</v>
      </c>
      <c r="BF2">
        <f>BD2/A2</f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 spans="1:69" x14ac:dyDescent="0.2">
      <c r="A3">
        <f t="shared" ref="A3:A66" si="1">SUM(H3:BD3)</f>
        <v>1135</v>
      </c>
      <c r="B3">
        <f t="shared" si="0"/>
        <v>0</v>
      </c>
      <c r="C3" t="s">
        <v>6</v>
      </c>
      <c r="D3">
        <v>1983</v>
      </c>
      <c r="E3">
        <v>9</v>
      </c>
      <c r="F3">
        <f t="shared" ref="F3:F66" si="2">MID(C3,6,22)*1</f>
        <v>12</v>
      </c>
      <c r="G3">
        <f t="shared" ref="G3:G66" si="3">AVERAGE(E3:F3)</f>
        <v>10.5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0.59250000000000003</v>
      </c>
      <c r="Y3">
        <v>14.236000000000001</v>
      </c>
      <c r="Z3">
        <v>53.838999999999999</v>
      </c>
      <c r="AA3">
        <v>97.733500000000006</v>
      </c>
      <c r="AB3">
        <v>137.0325</v>
      </c>
      <c r="AC3">
        <v>147.26400000000001</v>
      </c>
      <c r="AD3">
        <v>113.73050000000001</v>
      </c>
      <c r="AE3">
        <v>83.490499999999997</v>
      </c>
      <c r="AF3">
        <v>42.622999999999998</v>
      </c>
      <c r="AG3">
        <v>9.8049999999999997</v>
      </c>
      <c r="AH3">
        <v>28.931000000000001</v>
      </c>
      <c r="AI3">
        <v>92.939499999999995</v>
      </c>
      <c r="AJ3">
        <v>124.996</v>
      </c>
      <c r="AK3">
        <v>88.094999999999999</v>
      </c>
      <c r="AL3">
        <v>51.194499999999998</v>
      </c>
      <c r="AM3">
        <v>25.247499999999999</v>
      </c>
      <c r="AN3">
        <v>10.478</v>
      </c>
      <c r="AO3">
        <v>5.75</v>
      </c>
      <c r="AP3">
        <v>1.8574999999999999</v>
      </c>
      <c r="AQ3">
        <v>2.944</v>
      </c>
      <c r="AR3">
        <v>0.23799999999999999</v>
      </c>
      <c r="AS3">
        <v>1.091</v>
      </c>
      <c r="AT3">
        <v>0.89149999999999996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f>SUM(BG3:BQ3)</f>
        <v>0</v>
      </c>
      <c r="BF3">
        <f t="shared" ref="BF3:BF35" si="4">BD3/A3</f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 spans="1:69" x14ac:dyDescent="0.2">
      <c r="A4">
        <f t="shared" si="1"/>
        <v>2440.0000000000009</v>
      </c>
      <c r="B4">
        <f t="shared" si="0"/>
        <v>0</v>
      </c>
      <c r="C4" t="s">
        <v>7</v>
      </c>
      <c r="D4">
        <v>1984</v>
      </c>
      <c r="E4">
        <v>6</v>
      </c>
      <c r="F4">
        <f t="shared" si="2"/>
        <v>9</v>
      </c>
      <c r="G4">
        <f t="shared" si="3"/>
        <v>7.5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0.19750000000000001</v>
      </c>
      <c r="Y4">
        <v>1.6679999999999999</v>
      </c>
      <c r="Z4">
        <v>5.1704999999999997</v>
      </c>
      <c r="AA4">
        <v>13.903499999999999</v>
      </c>
      <c r="AB4">
        <v>34.204999999999998</v>
      </c>
      <c r="AC4">
        <v>81.495500000000007</v>
      </c>
      <c r="AD4">
        <v>143.398</v>
      </c>
      <c r="AE4">
        <v>112.2325</v>
      </c>
      <c r="AF4">
        <v>63.780999999999999</v>
      </c>
      <c r="AG4">
        <v>135.46950000000001</v>
      </c>
      <c r="AH4">
        <v>315.05900000000003</v>
      </c>
      <c r="AI4">
        <v>436.58049999999997</v>
      </c>
      <c r="AJ4">
        <v>277.97500000000002</v>
      </c>
      <c r="AK4">
        <v>165.2225</v>
      </c>
      <c r="AL4">
        <v>146.62100000000001</v>
      </c>
      <c r="AM4">
        <v>110.5835</v>
      </c>
      <c r="AN4">
        <v>86.221999999999994</v>
      </c>
      <c r="AO4">
        <v>48.528500000000001</v>
      </c>
      <c r="AP4">
        <v>32.081000000000003</v>
      </c>
      <c r="AQ4">
        <v>36.106999999999999</v>
      </c>
      <c r="AR4">
        <v>26.884</v>
      </c>
      <c r="AS4">
        <v>23.459499999999998</v>
      </c>
      <c r="AT4">
        <v>19.544499999999999</v>
      </c>
      <c r="AU4">
        <v>23.711500000000001</v>
      </c>
      <c r="AV4">
        <v>25.581499999999998</v>
      </c>
      <c r="AW4">
        <v>28.658000000000001</v>
      </c>
      <c r="AX4">
        <v>16.604500000000002</v>
      </c>
      <c r="AY4">
        <v>10.9095</v>
      </c>
      <c r="AZ4">
        <v>10.855499999999999</v>
      </c>
      <c r="BA4">
        <v>4.8</v>
      </c>
      <c r="BB4">
        <v>1.4179999999999999</v>
      </c>
      <c r="BC4">
        <v>7.2499999999999995E-2</v>
      </c>
      <c r="BD4">
        <f>SUM(BG4:BQ4)</f>
        <v>1</v>
      </c>
      <c r="BF4">
        <f t="shared" si="4"/>
        <v>4.0983606557377033E-4</v>
      </c>
      <c r="BG4">
        <v>0</v>
      </c>
      <c r="BH4">
        <v>0.20050000000000001</v>
      </c>
      <c r="BI4">
        <v>0.79949999999999999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2">
      <c r="A5">
        <f t="shared" si="1"/>
        <v>0</v>
      </c>
      <c r="B5">
        <f t="shared" si="0"/>
        <v>0</v>
      </c>
      <c r="C5" t="s">
        <v>8</v>
      </c>
      <c r="D5">
        <v>1985</v>
      </c>
      <c r="E5">
        <v>3</v>
      </c>
      <c r="F5">
        <f t="shared" si="2"/>
        <v>5</v>
      </c>
      <c r="G5">
        <f t="shared" si="3"/>
        <v>4</v>
      </c>
    </row>
    <row r="6" spans="1:69" x14ac:dyDescent="0.2">
      <c r="A6">
        <f t="shared" si="1"/>
        <v>6695.0000000000009</v>
      </c>
      <c r="B6">
        <f t="shared" si="0"/>
        <v>1.594846900672143E-3</v>
      </c>
      <c r="C6" t="s">
        <v>9</v>
      </c>
      <c r="D6">
        <v>1986</v>
      </c>
      <c r="E6">
        <v>4</v>
      </c>
      <c r="F6">
        <f t="shared" si="2"/>
        <v>5</v>
      </c>
      <c r="G6">
        <f t="shared" si="3"/>
        <v>4.5</v>
      </c>
      <c r="H6">
        <v>0</v>
      </c>
      <c r="I6">
        <v>0</v>
      </c>
      <c r="J6">
        <v>0</v>
      </c>
      <c r="K6">
        <v>0</v>
      </c>
      <c r="L6">
        <v>0</v>
      </c>
      <c r="M6">
        <v>0.78600000000000003</v>
      </c>
      <c r="N6">
        <v>3.5015000000000001</v>
      </c>
      <c r="O6">
        <v>6.39</v>
      </c>
      <c r="P6">
        <v>27.163499999999999</v>
      </c>
      <c r="Q6">
        <v>112.64149999999999</v>
      </c>
      <c r="R6">
        <v>369.60149999999999</v>
      </c>
      <c r="S6">
        <v>634.11599999999999</v>
      </c>
      <c r="T6">
        <v>730.74649999999997</v>
      </c>
      <c r="U6">
        <v>963.59349999999995</v>
      </c>
      <c r="V6">
        <v>914.75149999999996</v>
      </c>
      <c r="W6">
        <v>853.02200000000005</v>
      </c>
      <c r="X6">
        <v>691.41399999999999</v>
      </c>
      <c r="Y6">
        <v>386.39350000000002</v>
      </c>
      <c r="Z6">
        <v>116.023</v>
      </c>
      <c r="AA6">
        <v>21.738</v>
      </c>
      <c r="AB6">
        <v>2.6795</v>
      </c>
      <c r="AC6">
        <v>3.0485000000000002</v>
      </c>
      <c r="AD6">
        <v>8.0815000000000001</v>
      </c>
      <c r="AE6">
        <v>12.3225</v>
      </c>
      <c r="AF6">
        <v>6.6135000000000002</v>
      </c>
      <c r="AG6">
        <v>14.5045</v>
      </c>
      <c r="AH6">
        <v>9.1579999999999995</v>
      </c>
      <c r="AI6">
        <v>18.649999999999999</v>
      </c>
      <c r="AJ6">
        <v>56.667499999999997</v>
      </c>
      <c r="AK6">
        <v>103.0085</v>
      </c>
      <c r="AL6">
        <v>133.9795</v>
      </c>
      <c r="AM6">
        <v>133.71700000000001</v>
      </c>
      <c r="AN6">
        <v>83.63</v>
      </c>
      <c r="AO6">
        <v>35.436500000000002</v>
      </c>
      <c r="AP6">
        <v>17.318000000000001</v>
      </c>
      <c r="AQ6">
        <v>6.0090000000000003</v>
      </c>
      <c r="AR6">
        <v>4.3289999999999997</v>
      </c>
      <c r="AS6">
        <v>2.2905000000000002</v>
      </c>
      <c r="AT6">
        <v>3.0735000000000001</v>
      </c>
      <c r="AU6">
        <v>2.7629999999999999</v>
      </c>
      <c r="AV6">
        <v>5.89</v>
      </c>
      <c r="AW6">
        <v>11.563000000000001</v>
      </c>
      <c r="AX6">
        <v>18.655000000000001</v>
      </c>
      <c r="AY6">
        <v>27.056000000000001</v>
      </c>
      <c r="AZ6">
        <v>31.293500000000002</v>
      </c>
      <c r="BA6">
        <v>30.802499999999998</v>
      </c>
      <c r="BB6">
        <v>24.055499999999999</v>
      </c>
      <c r="BC6">
        <v>30.855499999999999</v>
      </c>
      <c r="BD6">
        <f t="shared" ref="BD6:BD33" si="5">SUM(BG6:BQ6)</f>
        <v>25.667000000000002</v>
      </c>
      <c r="BF6">
        <f t="shared" si="4"/>
        <v>3.8337565347274084E-3</v>
      </c>
      <c r="BG6">
        <v>18.324000000000002</v>
      </c>
      <c r="BH6">
        <v>5.7439999999999998</v>
      </c>
      <c r="BI6">
        <v>1.599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 spans="1:69" x14ac:dyDescent="0.2">
      <c r="A7">
        <f t="shared" si="1"/>
        <v>445.00000000000006</v>
      </c>
      <c r="B7">
        <f t="shared" si="0"/>
        <v>8.5056179775280891E-4</v>
      </c>
      <c r="C7" t="s">
        <v>10</v>
      </c>
      <c r="D7">
        <v>1986</v>
      </c>
      <c r="E7">
        <v>10</v>
      </c>
      <c r="F7">
        <f t="shared" si="2"/>
        <v>12</v>
      </c>
      <c r="G7">
        <f t="shared" si="3"/>
        <v>11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0.3785</v>
      </c>
      <c r="P7">
        <v>2.9689999999999999</v>
      </c>
      <c r="Q7">
        <v>4.8944999999999999</v>
      </c>
      <c r="R7">
        <v>3.0609999999999999</v>
      </c>
      <c r="S7">
        <v>5.1520000000000001</v>
      </c>
      <c r="T7">
        <v>4.0454999999999997</v>
      </c>
      <c r="U7">
        <v>6.0465</v>
      </c>
      <c r="V7">
        <v>17.6235</v>
      </c>
      <c r="W7">
        <v>12.214</v>
      </c>
      <c r="X7">
        <v>21.095500000000001</v>
      </c>
      <c r="Y7">
        <v>62.753999999999998</v>
      </c>
      <c r="Z7">
        <v>92.023499999999999</v>
      </c>
      <c r="AA7">
        <v>80.501999999999995</v>
      </c>
      <c r="AB7">
        <v>44.155000000000001</v>
      </c>
      <c r="AC7">
        <v>21.178000000000001</v>
      </c>
      <c r="AD7">
        <v>19.290500000000002</v>
      </c>
      <c r="AE7">
        <v>6.2859999999999996</v>
      </c>
      <c r="AF7">
        <v>4.9584999999999999</v>
      </c>
      <c r="AG7">
        <v>2.3889999999999998</v>
      </c>
      <c r="AH7">
        <v>0.98350000000000004</v>
      </c>
      <c r="AI7">
        <v>0.19850000000000001</v>
      </c>
      <c r="AJ7">
        <v>2.5385</v>
      </c>
      <c r="AK7">
        <v>5.7850000000000001</v>
      </c>
      <c r="AL7">
        <v>6.7214999999999998</v>
      </c>
      <c r="AM7">
        <v>9.2565000000000008</v>
      </c>
      <c r="AN7">
        <v>4.8070000000000004</v>
      </c>
      <c r="AO7">
        <v>2.9264999999999999</v>
      </c>
      <c r="AP7">
        <v>0.76649999999999996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f t="shared" si="5"/>
        <v>0</v>
      </c>
      <c r="BF7">
        <f t="shared" si="4"/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 x14ac:dyDescent="0.2">
      <c r="A8">
        <f t="shared" si="1"/>
        <v>16436</v>
      </c>
      <c r="B8">
        <f t="shared" si="0"/>
        <v>0</v>
      </c>
      <c r="C8" t="s">
        <v>11</v>
      </c>
      <c r="D8">
        <v>1987</v>
      </c>
      <c r="E8">
        <v>8</v>
      </c>
      <c r="F8">
        <f t="shared" si="2"/>
        <v>9</v>
      </c>
      <c r="G8">
        <f t="shared" si="3"/>
        <v>8.5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2.6059999999999999</v>
      </c>
      <c r="S8">
        <v>10.304</v>
      </c>
      <c r="T8">
        <v>22.2605</v>
      </c>
      <c r="U8">
        <v>41.734000000000002</v>
      </c>
      <c r="V8">
        <v>52.134</v>
      </c>
      <c r="W8">
        <v>75.013999999999996</v>
      </c>
      <c r="X8">
        <v>103.005</v>
      </c>
      <c r="Y8">
        <v>234.5745</v>
      </c>
      <c r="Z8">
        <v>716.84849999999994</v>
      </c>
      <c r="AA8">
        <v>1696.6210000000001</v>
      </c>
      <c r="AB8">
        <v>2686.5475000000001</v>
      </c>
      <c r="AC8">
        <v>2951.2285000000002</v>
      </c>
      <c r="AD8">
        <v>2338.107</v>
      </c>
      <c r="AE8">
        <v>1692.3715</v>
      </c>
      <c r="AF8">
        <v>1005.958</v>
      </c>
      <c r="AG8">
        <v>520.28949999999998</v>
      </c>
      <c r="AH8">
        <v>302.99149999999997</v>
      </c>
      <c r="AI8">
        <v>274.72300000000001</v>
      </c>
      <c r="AJ8">
        <v>186.001</v>
      </c>
      <c r="AK8">
        <v>142.61449999999999</v>
      </c>
      <c r="AL8">
        <v>194.32499999999999</v>
      </c>
      <c r="AM8">
        <v>291.80399999999997</v>
      </c>
      <c r="AN8">
        <v>310.76850000000002</v>
      </c>
      <c r="AO8">
        <v>235.85749999999999</v>
      </c>
      <c r="AP8">
        <v>152.9135</v>
      </c>
      <c r="AQ8">
        <v>87.105999999999995</v>
      </c>
      <c r="AR8">
        <v>51.799500000000002</v>
      </c>
      <c r="AS8">
        <v>29.686</v>
      </c>
      <c r="AT8">
        <v>11.003500000000001</v>
      </c>
      <c r="AU8">
        <v>5.9649999999999999</v>
      </c>
      <c r="AV8">
        <v>4.7454999999999998</v>
      </c>
      <c r="AW8">
        <v>3.0924999999999998</v>
      </c>
      <c r="AX8">
        <v>0.5635</v>
      </c>
      <c r="AY8">
        <v>0.4365</v>
      </c>
      <c r="AZ8">
        <v>0</v>
      </c>
      <c r="BA8">
        <v>0</v>
      </c>
      <c r="BB8">
        <v>0</v>
      </c>
      <c r="BC8">
        <v>0</v>
      </c>
      <c r="BD8">
        <f t="shared" si="5"/>
        <v>0</v>
      </c>
      <c r="BF8">
        <f t="shared" si="4"/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 x14ac:dyDescent="0.2">
      <c r="A9">
        <f t="shared" si="1"/>
        <v>5767.9999999999991</v>
      </c>
      <c r="B9">
        <f t="shared" si="0"/>
        <v>0</v>
      </c>
      <c r="C9" t="s">
        <v>12</v>
      </c>
      <c r="D9">
        <v>1988</v>
      </c>
      <c r="E9">
        <v>5</v>
      </c>
      <c r="F9">
        <f t="shared" si="2"/>
        <v>7</v>
      </c>
      <c r="G9">
        <f t="shared" si="3"/>
        <v>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1.849</v>
      </c>
      <c r="V9">
        <v>4.1974999999999998</v>
      </c>
      <c r="W9">
        <v>3.4860000000000002</v>
      </c>
      <c r="X9">
        <v>5.2575000000000003</v>
      </c>
      <c r="Y9">
        <v>4.9409999999999998</v>
      </c>
      <c r="Z9">
        <v>8.4435000000000002</v>
      </c>
      <c r="AA9">
        <v>19.999500000000001</v>
      </c>
      <c r="AB9">
        <v>118.70350000000001</v>
      </c>
      <c r="AC9">
        <v>437.38749999999999</v>
      </c>
      <c r="AD9">
        <v>864.83299999999997</v>
      </c>
      <c r="AE9">
        <v>983.11749999999995</v>
      </c>
      <c r="AF9">
        <v>773.49699999999996</v>
      </c>
      <c r="AG9">
        <v>655.36249999999995</v>
      </c>
      <c r="AH9">
        <v>589.94500000000005</v>
      </c>
      <c r="AI9">
        <v>463.75099999999998</v>
      </c>
      <c r="AJ9">
        <v>266.5745</v>
      </c>
      <c r="AK9">
        <v>121.714</v>
      </c>
      <c r="AL9">
        <v>72.986999999999995</v>
      </c>
      <c r="AM9">
        <v>53.390999999999998</v>
      </c>
      <c r="AN9">
        <v>60.426000000000002</v>
      </c>
      <c r="AO9">
        <v>68.040000000000006</v>
      </c>
      <c r="AP9">
        <v>62.884500000000003</v>
      </c>
      <c r="AQ9">
        <v>50.904499999999999</v>
      </c>
      <c r="AR9">
        <v>46.5</v>
      </c>
      <c r="AS9">
        <v>12.326499999999999</v>
      </c>
      <c r="AT9">
        <v>13.079499999999999</v>
      </c>
      <c r="AU9">
        <v>2.6920000000000002</v>
      </c>
      <c r="AV9">
        <v>0.70950000000000002</v>
      </c>
      <c r="AW9">
        <v>0.47249999999999998</v>
      </c>
      <c r="AX9">
        <v>0.52749999999999997</v>
      </c>
      <c r="AY9">
        <v>0</v>
      </c>
      <c r="AZ9">
        <v>0</v>
      </c>
      <c r="BA9">
        <v>0</v>
      </c>
      <c r="BB9">
        <v>0</v>
      </c>
      <c r="BC9">
        <v>0</v>
      </c>
      <c r="BD9">
        <f t="shared" si="5"/>
        <v>0</v>
      </c>
      <c r="BF9">
        <f t="shared" si="4"/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 spans="1:69" x14ac:dyDescent="0.2">
      <c r="A10">
        <f t="shared" si="1"/>
        <v>3586.0000000000005</v>
      </c>
      <c r="B10">
        <f t="shared" si="0"/>
        <v>0</v>
      </c>
      <c r="C10" t="s">
        <v>13</v>
      </c>
      <c r="D10">
        <v>1989</v>
      </c>
      <c r="E10">
        <v>7</v>
      </c>
      <c r="F10">
        <f t="shared" si="2"/>
        <v>9</v>
      </c>
      <c r="G10">
        <f t="shared" si="3"/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1.3049999999999999</v>
      </c>
      <c r="AD10">
        <v>5.8994999999999997</v>
      </c>
      <c r="AE10">
        <v>16.816500000000001</v>
      </c>
      <c r="AF10">
        <v>48.328499999999998</v>
      </c>
      <c r="AG10">
        <v>213.2535</v>
      </c>
      <c r="AH10">
        <v>662.05200000000002</v>
      </c>
      <c r="AI10">
        <v>889.84550000000002</v>
      </c>
      <c r="AJ10">
        <v>730.80200000000002</v>
      </c>
      <c r="AK10">
        <v>453.67149999999998</v>
      </c>
      <c r="AL10">
        <v>228.26400000000001</v>
      </c>
      <c r="AM10">
        <v>113.0745</v>
      </c>
      <c r="AN10">
        <v>63.094999999999999</v>
      </c>
      <c r="AO10">
        <v>62.496000000000002</v>
      </c>
      <c r="AP10">
        <v>55.365000000000002</v>
      </c>
      <c r="AQ10">
        <v>29.041</v>
      </c>
      <c r="AR10">
        <v>6.7255000000000003</v>
      </c>
      <c r="AS10">
        <v>2.2905000000000002</v>
      </c>
      <c r="AT10">
        <v>2.6745000000000001</v>
      </c>
      <c r="AU10">
        <v>0</v>
      </c>
      <c r="AV10">
        <v>0.38150000000000001</v>
      </c>
      <c r="AW10">
        <v>0.61850000000000005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f t="shared" si="5"/>
        <v>0</v>
      </c>
      <c r="BF10">
        <f t="shared" si="4"/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 x14ac:dyDescent="0.2">
      <c r="A11">
        <f t="shared" si="1"/>
        <v>1008</v>
      </c>
      <c r="B11">
        <f t="shared" si="0"/>
        <v>7.5396825396825379E-2</v>
      </c>
      <c r="C11" t="s">
        <v>14</v>
      </c>
      <c r="D11">
        <v>1989</v>
      </c>
      <c r="E11">
        <v>11</v>
      </c>
      <c r="F11">
        <f t="shared" si="2"/>
        <v>12</v>
      </c>
      <c r="G11">
        <f t="shared" si="3"/>
        <v>11.5</v>
      </c>
      <c r="H11">
        <v>0.74150000000000005</v>
      </c>
      <c r="I11">
        <v>14.411</v>
      </c>
      <c r="J11">
        <v>20.393999999999998</v>
      </c>
      <c r="K11">
        <v>32.540500000000002</v>
      </c>
      <c r="L11">
        <v>6.1239999999999997</v>
      </c>
      <c r="M11">
        <v>1.7889999999999999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1.4870000000000001</v>
      </c>
      <c r="AE11">
        <v>3.0165000000000002</v>
      </c>
      <c r="AF11">
        <v>12.528</v>
      </c>
      <c r="AG11">
        <v>60.393999999999998</v>
      </c>
      <c r="AH11">
        <v>168.86949999999999</v>
      </c>
      <c r="AI11">
        <v>240.80950000000001</v>
      </c>
      <c r="AJ11">
        <v>203.63650000000001</v>
      </c>
      <c r="AK11">
        <v>140.79650000000001</v>
      </c>
      <c r="AL11">
        <v>62.965000000000003</v>
      </c>
      <c r="AM11">
        <v>24.122499999999999</v>
      </c>
      <c r="AN11">
        <v>8.2959999999999994</v>
      </c>
      <c r="AO11">
        <v>2.8235000000000001</v>
      </c>
      <c r="AP11">
        <v>0.2555</v>
      </c>
      <c r="AQ11">
        <v>0.92649999999999999</v>
      </c>
      <c r="AR11">
        <v>1.0734999999999999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f t="shared" si="5"/>
        <v>0</v>
      </c>
      <c r="BF11">
        <f t="shared" si="4"/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 spans="1:69" x14ac:dyDescent="0.2">
      <c r="A12">
        <f t="shared" si="1"/>
        <v>1933.9999999999998</v>
      </c>
      <c r="B12">
        <f t="shared" si="0"/>
        <v>0</v>
      </c>
      <c r="C12" t="s">
        <v>15</v>
      </c>
      <c r="D12">
        <v>1990</v>
      </c>
      <c r="E12">
        <v>2</v>
      </c>
      <c r="F12">
        <f t="shared" si="2"/>
        <v>4</v>
      </c>
      <c r="G12">
        <f t="shared" si="3"/>
        <v>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0.1065</v>
      </c>
      <c r="X12">
        <v>0.89349999999999996</v>
      </c>
      <c r="Y12">
        <v>0</v>
      </c>
      <c r="Z12">
        <v>0</v>
      </c>
      <c r="AA12">
        <v>0</v>
      </c>
      <c r="AB12">
        <v>0</v>
      </c>
      <c r="AC12">
        <v>1.3049999999999999</v>
      </c>
      <c r="AD12">
        <v>5.8994999999999997</v>
      </c>
      <c r="AE12">
        <v>25.1615</v>
      </c>
      <c r="AF12">
        <v>62.9405</v>
      </c>
      <c r="AG12">
        <v>289.88400000000001</v>
      </c>
      <c r="AH12">
        <v>604.35450000000003</v>
      </c>
      <c r="AI12">
        <v>521.66049999999996</v>
      </c>
      <c r="AJ12">
        <v>242.35</v>
      </c>
      <c r="AK12">
        <v>96.85</v>
      </c>
      <c r="AL12">
        <v>44.796500000000002</v>
      </c>
      <c r="AM12">
        <v>20.985499999999998</v>
      </c>
      <c r="AN12">
        <v>6.1195000000000004</v>
      </c>
      <c r="AO12">
        <v>4.4154999999999998</v>
      </c>
      <c r="AP12">
        <v>2.9485000000000001</v>
      </c>
      <c r="AQ12">
        <v>1.2555000000000001</v>
      </c>
      <c r="AR12">
        <v>1.0734999999999999</v>
      </c>
      <c r="AS12">
        <v>0.1085</v>
      </c>
      <c r="AT12">
        <v>0.89149999999999996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f t="shared" si="5"/>
        <v>0</v>
      </c>
      <c r="BF12">
        <f t="shared" si="4"/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2">
      <c r="A13">
        <f t="shared" si="1"/>
        <v>3365</v>
      </c>
      <c r="B13">
        <f t="shared" si="0"/>
        <v>0</v>
      </c>
      <c r="C13" t="s">
        <v>16</v>
      </c>
      <c r="D13">
        <v>1990</v>
      </c>
      <c r="E13">
        <v>11</v>
      </c>
      <c r="F13">
        <f t="shared" si="2"/>
        <v>13</v>
      </c>
      <c r="G13">
        <f t="shared" si="3"/>
        <v>12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1.589</v>
      </c>
      <c r="W13">
        <v>57.752499999999998</v>
      </c>
      <c r="X13">
        <v>229.71100000000001</v>
      </c>
      <c r="Y13">
        <v>326.786</v>
      </c>
      <c r="Z13">
        <v>375.44900000000001</v>
      </c>
      <c r="AA13">
        <v>394.041</v>
      </c>
      <c r="AB13">
        <v>225.28149999999999</v>
      </c>
      <c r="AC13">
        <v>129.9025</v>
      </c>
      <c r="AD13">
        <v>75.149500000000003</v>
      </c>
      <c r="AE13">
        <v>41.710999999999999</v>
      </c>
      <c r="AF13">
        <v>17.6585</v>
      </c>
      <c r="AG13">
        <v>30.552499999999998</v>
      </c>
      <c r="AH13">
        <v>129.13849999999999</v>
      </c>
      <c r="AI13">
        <v>383.35899999999998</v>
      </c>
      <c r="AJ13">
        <v>472.21600000000001</v>
      </c>
      <c r="AK13">
        <v>272.63600000000002</v>
      </c>
      <c r="AL13">
        <v>127.84350000000001</v>
      </c>
      <c r="AM13">
        <v>55.847999999999999</v>
      </c>
      <c r="AN13">
        <v>15.295999999999999</v>
      </c>
      <c r="AO13">
        <v>2.8235000000000001</v>
      </c>
      <c r="AP13">
        <v>0.2555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f t="shared" si="5"/>
        <v>0</v>
      </c>
      <c r="BF13">
        <f t="shared" si="4"/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 x14ac:dyDescent="0.2">
      <c r="A14">
        <f t="shared" si="1"/>
        <v>1340.0000000000002</v>
      </c>
      <c r="B14">
        <f t="shared" si="0"/>
        <v>0</v>
      </c>
      <c r="C14" t="s">
        <v>17</v>
      </c>
      <c r="D14">
        <v>1991</v>
      </c>
      <c r="E14">
        <v>6</v>
      </c>
      <c r="F14">
        <f t="shared" si="2"/>
        <v>8</v>
      </c>
      <c r="G14">
        <f t="shared" si="3"/>
        <v>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0.57699999999999996</v>
      </c>
      <c r="Z14">
        <v>4.4589999999999996</v>
      </c>
      <c r="AA14">
        <v>15.315</v>
      </c>
      <c r="AB14">
        <v>30.74</v>
      </c>
      <c r="AC14">
        <v>108.869</v>
      </c>
      <c r="AD14">
        <v>276.8075</v>
      </c>
      <c r="AE14">
        <v>348.6105</v>
      </c>
      <c r="AF14">
        <v>274.81650000000002</v>
      </c>
      <c r="AG14">
        <v>113.13549999999999</v>
      </c>
      <c r="AH14">
        <v>23.217500000000001</v>
      </c>
      <c r="AI14">
        <v>38.384999999999998</v>
      </c>
      <c r="AJ14">
        <v>49.094999999999999</v>
      </c>
      <c r="AK14">
        <v>36.918999999999997</v>
      </c>
      <c r="AL14">
        <v>11.8255</v>
      </c>
      <c r="AM14">
        <v>4.7904999999999998</v>
      </c>
      <c r="AN14">
        <v>1.091</v>
      </c>
      <c r="AO14">
        <v>0.34649999999999997</v>
      </c>
      <c r="AP14">
        <v>0.83550000000000002</v>
      </c>
      <c r="AQ14">
        <v>0.16450000000000001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f t="shared" si="5"/>
        <v>0</v>
      </c>
      <c r="BF14">
        <f t="shared" si="4"/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 x14ac:dyDescent="0.2">
      <c r="A15">
        <f t="shared" si="1"/>
        <v>841.00000000000034</v>
      </c>
      <c r="B15">
        <f t="shared" si="0"/>
        <v>0</v>
      </c>
      <c r="C15" t="s">
        <v>18</v>
      </c>
      <c r="D15">
        <v>1992</v>
      </c>
      <c r="E15">
        <v>1</v>
      </c>
      <c r="F15">
        <f t="shared" si="2"/>
        <v>3</v>
      </c>
      <c r="G15">
        <f t="shared" si="3"/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0.92449999999999999</v>
      </c>
      <c r="V15">
        <v>2.1995</v>
      </c>
      <c r="W15">
        <v>16.715499999999999</v>
      </c>
      <c r="X15">
        <v>105.958</v>
      </c>
      <c r="Y15">
        <v>161.5145</v>
      </c>
      <c r="Z15">
        <v>113.843</v>
      </c>
      <c r="AA15">
        <v>85.486500000000007</v>
      </c>
      <c r="AB15">
        <v>51.887999999999998</v>
      </c>
      <c r="AC15">
        <v>21.648</v>
      </c>
      <c r="AD15">
        <v>9.0269999999999992</v>
      </c>
      <c r="AE15">
        <v>10.975</v>
      </c>
      <c r="AF15">
        <v>24.032499999999999</v>
      </c>
      <c r="AG15">
        <v>72.860500000000002</v>
      </c>
      <c r="AH15">
        <v>70.055000000000007</v>
      </c>
      <c r="AI15">
        <v>54.643999999999998</v>
      </c>
      <c r="AJ15">
        <v>18.413</v>
      </c>
      <c r="AK15">
        <v>10.478999999999999</v>
      </c>
      <c r="AL15">
        <v>5.2794999999999996</v>
      </c>
      <c r="AM15">
        <v>2.7444999999999999</v>
      </c>
      <c r="AN15">
        <v>1.966</v>
      </c>
      <c r="AO15">
        <v>0.34649999999999997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f t="shared" si="5"/>
        <v>0</v>
      </c>
      <c r="BF15">
        <f t="shared" si="4"/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 x14ac:dyDescent="0.2">
      <c r="A16">
        <f t="shared" si="1"/>
        <v>3247</v>
      </c>
      <c r="B16">
        <f t="shared" si="0"/>
        <v>0</v>
      </c>
      <c r="C16" t="s">
        <v>19</v>
      </c>
      <c r="D16">
        <v>1993</v>
      </c>
      <c r="E16">
        <v>1</v>
      </c>
      <c r="F16">
        <f t="shared" si="2"/>
        <v>3</v>
      </c>
      <c r="G16">
        <f t="shared" si="3"/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0.92449999999999999</v>
      </c>
      <c r="V16">
        <v>1.1685000000000001</v>
      </c>
      <c r="W16">
        <v>9.7409999999999997</v>
      </c>
      <c r="X16">
        <v>65.346000000000004</v>
      </c>
      <c r="Y16">
        <v>326.38400000000001</v>
      </c>
      <c r="Z16">
        <v>749.471</v>
      </c>
      <c r="AA16">
        <v>589.88049999999998</v>
      </c>
      <c r="AB16">
        <v>222.02600000000001</v>
      </c>
      <c r="AC16">
        <v>122.876</v>
      </c>
      <c r="AD16">
        <v>107.815</v>
      </c>
      <c r="AE16">
        <v>61.085500000000003</v>
      </c>
      <c r="AF16">
        <v>62.811999999999998</v>
      </c>
      <c r="AG16">
        <v>83.641499999999994</v>
      </c>
      <c r="AH16">
        <v>79.611000000000004</v>
      </c>
      <c r="AI16">
        <v>107.221</v>
      </c>
      <c r="AJ16">
        <v>153.922</v>
      </c>
      <c r="AK16">
        <v>178.67150000000001</v>
      </c>
      <c r="AL16">
        <v>142.553</v>
      </c>
      <c r="AM16">
        <v>83.224999999999994</v>
      </c>
      <c r="AN16">
        <v>41.923000000000002</v>
      </c>
      <c r="AO16">
        <v>19.380500000000001</v>
      </c>
      <c r="AP16">
        <v>14.183</v>
      </c>
      <c r="AQ16">
        <v>4.9180000000000001</v>
      </c>
      <c r="AR16">
        <v>4.3254999999999999</v>
      </c>
      <c r="AS16">
        <v>6.4375</v>
      </c>
      <c r="AT16">
        <v>4.4574999999999996</v>
      </c>
      <c r="AU16">
        <v>0.29049999999999998</v>
      </c>
      <c r="AV16">
        <v>1.4724999999999999</v>
      </c>
      <c r="AW16">
        <v>1.2370000000000001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f t="shared" si="5"/>
        <v>0</v>
      </c>
      <c r="BF16">
        <f t="shared" si="4"/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2">
      <c r="A17">
        <f t="shared" si="1"/>
        <v>1677.9999999999998</v>
      </c>
      <c r="B17">
        <f t="shared" si="0"/>
        <v>2.255661501787843E-4</v>
      </c>
      <c r="C17" t="s">
        <v>20</v>
      </c>
      <c r="D17">
        <v>1994</v>
      </c>
      <c r="E17">
        <v>1</v>
      </c>
      <c r="F17">
        <f t="shared" si="2"/>
        <v>3</v>
      </c>
      <c r="G17">
        <f t="shared" si="3"/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0.3785</v>
      </c>
      <c r="P17">
        <v>4.8470000000000004</v>
      </c>
      <c r="Q17">
        <v>15.423999999999999</v>
      </c>
      <c r="R17">
        <v>22.683499999999999</v>
      </c>
      <c r="S17">
        <v>15.092000000000001</v>
      </c>
      <c r="T17">
        <v>3.4085000000000001</v>
      </c>
      <c r="U17">
        <v>0.16650000000000001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0.5615</v>
      </c>
      <c r="AC17">
        <v>4.3535000000000004</v>
      </c>
      <c r="AD17">
        <v>19.928999999999998</v>
      </c>
      <c r="AE17">
        <v>101.289</v>
      </c>
      <c r="AF17">
        <v>276.15600000000001</v>
      </c>
      <c r="AG17">
        <v>310.03750000000002</v>
      </c>
      <c r="AH17">
        <v>148.67099999999999</v>
      </c>
      <c r="AI17">
        <v>99.081000000000003</v>
      </c>
      <c r="AJ17">
        <v>88.370999999999995</v>
      </c>
      <c r="AK17">
        <v>96.742000000000004</v>
      </c>
      <c r="AL17">
        <v>105.77200000000001</v>
      </c>
      <c r="AM17">
        <v>95.974000000000004</v>
      </c>
      <c r="AN17">
        <v>78.579499999999996</v>
      </c>
      <c r="AO17">
        <v>71.364500000000007</v>
      </c>
      <c r="AP17">
        <v>29.651</v>
      </c>
      <c r="AQ17">
        <v>16.364999999999998</v>
      </c>
      <c r="AR17">
        <v>17.260000000000002</v>
      </c>
      <c r="AS17">
        <v>10.144500000000001</v>
      </c>
      <c r="AT17">
        <v>12.493499999999999</v>
      </c>
      <c r="AU17">
        <v>8.657</v>
      </c>
      <c r="AV17">
        <v>5.0735000000000001</v>
      </c>
      <c r="AW17">
        <v>4.3639999999999999</v>
      </c>
      <c r="AX17">
        <v>3.8005</v>
      </c>
      <c r="AY17">
        <v>3.2730000000000001</v>
      </c>
      <c r="AZ17">
        <v>2.5274999999999999</v>
      </c>
      <c r="BA17">
        <v>3.0185</v>
      </c>
      <c r="BB17">
        <v>0.49049999999999999</v>
      </c>
      <c r="BC17">
        <v>2</v>
      </c>
      <c r="BD17">
        <f t="shared" si="5"/>
        <v>0</v>
      </c>
      <c r="BF17">
        <f t="shared" si="4"/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2">
      <c r="A18">
        <f t="shared" si="1"/>
        <v>1818</v>
      </c>
      <c r="B18">
        <f t="shared" si="0"/>
        <v>2.081958195819582E-4</v>
      </c>
      <c r="C18" t="s">
        <v>21</v>
      </c>
      <c r="D18">
        <v>1995</v>
      </c>
      <c r="E18">
        <v>2</v>
      </c>
      <c r="F18">
        <f t="shared" si="2"/>
        <v>4</v>
      </c>
      <c r="G18">
        <f t="shared" si="3"/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0.3785</v>
      </c>
      <c r="P18">
        <v>2.4994999999999998</v>
      </c>
      <c r="Q18">
        <v>20.058</v>
      </c>
      <c r="R18">
        <v>70.744500000000002</v>
      </c>
      <c r="S18">
        <v>160.25700000000001</v>
      </c>
      <c r="T18">
        <v>162.58600000000001</v>
      </c>
      <c r="U18">
        <v>72.474999999999994</v>
      </c>
      <c r="V18">
        <v>85.605999999999995</v>
      </c>
      <c r="W18">
        <v>40.206000000000003</v>
      </c>
      <c r="X18">
        <v>19.929500000000001</v>
      </c>
      <c r="Y18">
        <v>40.320500000000003</v>
      </c>
      <c r="Z18">
        <v>89.889499999999998</v>
      </c>
      <c r="AA18">
        <v>82.281499999999994</v>
      </c>
      <c r="AB18">
        <v>30.6295</v>
      </c>
      <c r="AC18">
        <v>42.679000000000002</v>
      </c>
      <c r="AD18">
        <v>186.7475</v>
      </c>
      <c r="AE18">
        <v>244.6405</v>
      </c>
      <c r="AF18">
        <v>137.95150000000001</v>
      </c>
      <c r="AG18">
        <v>74.6815</v>
      </c>
      <c r="AH18">
        <v>41.823999999999998</v>
      </c>
      <c r="AI18">
        <v>84.502499999999998</v>
      </c>
      <c r="AJ18">
        <v>76.034999999999997</v>
      </c>
      <c r="AK18">
        <v>43.643500000000003</v>
      </c>
      <c r="AL18">
        <v>7.4340000000000002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f t="shared" si="5"/>
        <v>0</v>
      </c>
      <c r="BF18">
        <f t="shared" si="4"/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2">
      <c r="A19">
        <f t="shared" si="1"/>
        <v>1735.0000000000002</v>
      </c>
      <c r="B19">
        <f t="shared" si="0"/>
        <v>1.2308357348703167E-3</v>
      </c>
      <c r="C19" t="s">
        <v>22</v>
      </c>
      <c r="D19">
        <v>1996</v>
      </c>
      <c r="E19">
        <v>1</v>
      </c>
      <c r="F19">
        <f t="shared" si="2"/>
        <v>4</v>
      </c>
      <c r="G19">
        <f t="shared" si="3"/>
        <v>2.5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0.28749999999999998</v>
      </c>
      <c r="O19">
        <v>1.8480000000000001</v>
      </c>
      <c r="P19">
        <v>5.1509999999999998</v>
      </c>
      <c r="Q19">
        <v>16.044499999999999</v>
      </c>
      <c r="R19">
        <v>48.107500000000002</v>
      </c>
      <c r="S19">
        <v>93.326499999999996</v>
      </c>
      <c r="T19">
        <v>109.41849999999999</v>
      </c>
      <c r="U19">
        <v>86.153999999999996</v>
      </c>
      <c r="V19">
        <v>89.995500000000007</v>
      </c>
      <c r="W19">
        <v>88.820499999999996</v>
      </c>
      <c r="X19">
        <v>37.808999999999997</v>
      </c>
      <c r="Y19">
        <v>23.577500000000001</v>
      </c>
      <c r="Z19">
        <v>57.302</v>
      </c>
      <c r="AA19">
        <v>82.445499999999996</v>
      </c>
      <c r="AB19">
        <v>119.4455</v>
      </c>
      <c r="AC19">
        <v>189.50450000000001</v>
      </c>
      <c r="AD19">
        <v>216.46250000000001</v>
      </c>
      <c r="AE19">
        <v>118.06</v>
      </c>
      <c r="AF19">
        <v>41.930500000000002</v>
      </c>
      <c r="AG19">
        <v>36.052</v>
      </c>
      <c r="AH19">
        <v>50.814999999999998</v>
      </c>
      <c r="AI19">
        <v>63.573500000000003</v>
      </c>
      <c r="AJ19">
        <v>58.002499999999998</v>
      </c>
      <c r="AK19">
        <v>67.466999999999999</v>
      </c>
      <c r="AL19">
        <v>28.7</v>
      </c>
      <c r="AM19">
        <v>3.6995</v>
      </c>
      <c r="AN19">
        <v>0</v>
      </c>
      <c r="AO19">
        <v>0.74450000000000005</v>
      </c>
      <c r="AP19">
        <v>0.2555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f t="shared" si="5"/>
        <v>0</v>
      </c>
      <c r="BF19">
        <f t="shared" si="4"/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2">
      <c r="A20">
        <f t="shared" si="1"/>
        <v>3349</v>
      </c>
      <c r="B20">
        <f t="shared" si="0"/>
        <v>0</v>
      </c>
      <c r="C20" t="s">
        <v>23</v>
      </c>
      <c r="D20">
        <v>1996</v>
      </c>
      <c r="E20">
        <v>11</v>
      </c>
      <c r="F20">
        <f t="shared" si="2"/>
        <v>12</v>
      </c>
      <c r="G20">
        <f t="shared" si="3"/>
        <v>11.5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0.83350000000000002</v>
      </c>
      <c r="U20">
        <v>10.336</v>
      </c>
      <c r="V20">
        <v>71.983000000000004</v>
      </c>
      <c r="W20">
        <v>739.52599999999995</v>
      </c>
      <c r="X20">
        <v>873.91399999999999</v>
      </c>
      <c r="Y20">
        <v>404.7645</v>
      </c>
      <c r="Z20">
        <v>267.81450000000001</v>
      </c>
      <c r="AA20">
        <v>131.001</v>
      </c>
      <c r="AB20">
        <v>33.372999999999998</v>
      </c>
      <c r="AC20">
        <v>14.632</v>
      </c>
      <c r="AD20">
        <v>9.0269999999999992</v>
      </c>
      <c r="AE20">
        <v>16.816500000000001</v>
      </c>
      <c r="AF20">
        <v>24.265499999999999</v>
      </c>
      <c r="AG20">
        <v>19.8355</v>
      </c>
      <c r="AH20">
        <v>89.238</v>
      </c>
      <c r="AI20">
        <v>230.898</v>
      </c>
      <c r="AJ20">
        <v>207.92850000000001</v>
      </c>
      <c r="AK20">
        <v>82.741</v>
      </c>
      <c r="AL20">
        <v>55.29</v>
      </c>
      <c r="AM20">
        <v>40.657499999999999</v>
      </c>
      <c r="AN20">
        <v>18.353000000000002</v>
      </c>
      <c r="AO20">
        <v>4.2610000000000001</v>
      </c>
      <c r="AP20">
        <v>0.51100000000000001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f t="shared" si="5"/>
        <v>0</v>
      </c>
      <c r="BF20">
        <f t="shared" si="4"/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2">
      <c r="A21">
        <f t="shared" si="1"/>
        <v>3380.9999999999991</v>
      </c>
      <c r="B21">
        <f t="shared" si="0"/>
        <v>0</v>
      </c>
      <c r="C21" t="s">
        <v>24</v>
      </c>
      <c r="D21">
        <v>1997</v>
      </c>
      <c r="E21">
        <v>4</v>
      </c>
      <c r="F21">
        <f t="shared" si="2"/>
        <v>4</v>
      </c>
      <c r="G21">
        <f t="shared" si="3"/>
        <v>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0.74250000000000005</v>
      </c>
      <c r="T21">
        <v>0.25750000000000001</v>
      </c>
      <c r="U21">
        <v>9.2449999999999992</v>
      </c>
      <c r="V21">
        <v>46.591999999999999</v>
      </c>
      <c r="W21">
        <v>56.038499999999999</v>
      </c>
      <c r="X21">
        <v>44.269500000000001</v>
      </c>
      <c r="Y21">
        <v>255.82050000000001</v>
      </c>
      <c r="Z21">
        <v>778.93349999999998</v>
      </c>
      <c r="AA21">
        <v>841.69749999999999</v>
      </c>
      <c r="AB21">
        <v>532.49549999999999</v>
      </c>
      <c r="AC21">
        <v>315.28050000000002</v>
      </c>
      <c r="AD21">
        <v>150.69499999999999</v>
      </c>
      <c r="AE21">
        <v>79.506</v>
      </c>
      <c r="AF21">
        <v>33.564</v>
      </c>
      <c r="AG21">
        <v>16.093499999999999</v>
      </c>
      <c r="AH21">
        <v>20.649000000000001</v>
      </c>
      <c r="AI21">
        <v>74.587999999999994</v>
      </c>
      <c r="AJ21">
        <v>82.691000000000003</v>
      </c>
      <c r="AK21">
        <v>33.265500000000003</v>
      </c>
      <c r="AL21">
        <v>6.99</v>
      </c>
      <c r="AM21">
        <v>1.5854999999999999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f t="shared" si="5"/>
        <v>0</v>
      </c>
      <c r="BF21">
        <f t="shared" si="4"/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 x14ac:dyDescent="0.2">
      <c r="A22">
        <f t="shared" si="1"/>
        <v>261.99999999999994</v>
      </c>
      <c r="B22">
        <f t="shared" si="0"/>
        <v>0.27027862595419849</v>
      </c>
      <c r="C22" t="s">
        <v>25</v>
      </c>
      <c r="D22">
        <v>1997</v>
      </c>
      <c r="E22">
        <v>9</v>
      </c>
      <c r="F22">
        <f t="shared" si="2"/>
        <v>10</v>
      </c>
      <c r="G22">
        <f t="shared" si="3"/>
        <v>9.5</v>
      </c>
      <c r="H22">
        <v>0</v>
      </c>
      <c r="I22">
        <v>0</v>
      </c>
      <c r="J22">
        <v>0</v>
      </c>
      <c r="K22">
        <v>1.4500000000000001E-2</v>
      </c>
      <c r="L22">
        <v>1.4075</v>
      </c>
      <c r="M22">
        <v>7.7045000000000003</v>
      </c>
      <c r="N22">
        <v>27.798500000000001</v>
      </c>
      <c r="O22">
        <v>33.887999999999998</v>
      </c>
      <c r="P22">
        <v>13.065</v>
      </c>
      <c r="Q22">
        <v>2.6825000000000001</v>
      </c>
      <c r="R22">
        <v>3.6970000000000001</v>
      </c>
      <c r="S22">
        <v>1.7424999999999999</v>
      </c>
      <c r="T22">
        <v>0.83350000000000002</v>
      </c>
      <c r="U22">
        <v>0.16650000000000001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1.9575</v>
      </c>
      <c r="AD22">
        <v>10.708</v>
      </c>
      <c r="AE22">
        <v>25.031500000000001</v>
      </c>
      <c r="AF22">
        <v>23.738499999999998</v>
      </c>
      <c r="AG22">
        <v>12.762499999999999</v>
      </c>
      <c r="AH22">
        <v>13.737</v>
      </c>
      <c r="AI22">
        <v>24.203499999999998</v>
      </c>
      <c r="AJ22">
        <v>38.651499999999999</v>
      </c>
      <c r="AK22">
        <v>15.3515</v>
      </c>
      <c r="AL22">
        <v>2.33</v>
      </c>
      <c r="AM22">
        <v>0.52849999999999997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f t="shared" si="5"/>
        <v>0</v>
      </c>
      <c r="BF22">
        <f t="shared" si="4"/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2">
      <c r="A23">
        <f t="shared" si="1"/>
        <v>1958.0000000000009</v>
      </c>
      <c r="B23">
        <f t="shared" si="0"/>
        <v>0</v>
      </c>
      <c r="C23" t="s">
        <v>26</v>
      </c>
      <c r="D23">
        <v>1998</v>
      </c>
      <c r="E23">
        <v>3</v>
      </c>
      <c r="F23">
        <f t="shared" si="2"/>
        <v>5</v>
      </c>
      <c r="G23">
        <f t="shared" si="3"/>
        <v>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1.6585000000000001</v>
      </c>
      <c r="W23">
        <v>149.21950000000001</v>
      </c>
      <c r="X23">
        <v>455.02199999999999</v>
      </c>
      <c r="Y23">
        <v>389.45100000000002</v>
      </c>
      <c r="Z23">
        <v>105.2085</v>
      </c>
      <c r="AA23">
        <v>33.909500000000001</v>
      </c>
      <c r="AB23">
        <v>11.776999999999999</v>
      </c>
      <c r="AC23">
        <v>5.6689999999999996</v>
      </c>
      <c r="AD23">
        <v>37.773000000000003</v>
      </c>
      <c r="AE23">
        <v>108.2795</v>
      </c>
      <c r="AF23">
        <v>75.488</v>
      </c>
      <c r="AG23">
        <v>22.626999999999999</v>
      </c>
      <c r="AH23">
        <v>5.3475000000000001</v>
      </c>
      <c r="AI23">
        <v>8.1355000000000004</v>
      </c>
      <c r="AJ23">
        <v>39.278500000000001</v>
      </c>
      <c r="AK23">
        <v>78.171499999999995</v>
      </c>
      <c r="AL23">
        <v>74.160499999999999</v>
      </c>
      <c r="AM23">
        <v>68.698999999999998</v>
      </c>
      <c r="AN23">
        <v>60.453499999999998</v>
      </c>
      <c r="AO23">
        <v>63.085999999999999</v>
      </c>
      <c r="AP23">
        <v>61.537999999999997</v>
      </c>
      <c r="AQ23">
        <v>44.2545</v>
      </c>
      <c r="AR23">
        <v>23.968</v>
      </c>
      <c r="AS23">
        <v>10.476000000000001</v>
      </c>
      <c r="AT23">
        <v>7.1444999999999999</v>
      </c>
      <c r="AU23">
        <v>8.0760000000000005</v>
      </c>
      <c r="AV23">
        <v>3.6545000000000001</v>
      </c>
      <c r="AW23">
        <v>3.419</v>
      </c>
      <c r="AX23">
        <v>1.0549999999999999</v>
      </c>
      <c r="AY23">
        <v>0</v>
      </c>
      <c r="AZ23">
        <v>0</v>
      </c>
      <c r="BA23">
        <v>0</v>
      </c>
      <c r="BB23">
        <v>0.92749999999999999</v>
      </c>
      <c r="BC23">
        <v>7.2499999999999995E-2</v>
      </c>
      <c r="BD23">
        <f t="shared" si="5"/>
        <v>0</v>
      </c>
      <c r="BF23">
        <f t="shared" si="4"/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 x14ac:dyDescent="0.2">
      <c r="A24">
        <f t="shared" si="1"/>
        <v>268</v>
      </c>
      <c r="B24">
        <f t="shared" si="0"/>
        <v>0</v>
      </c>
      <c r="C24" t="s">
        <v>27</v>
      </c>
      <c r="D24">
        <v>1998</v>
      </c>
      <c r="E24">
        <v>8</v>
      </c>
      <c r="F24">
        <f t="shared" si="2"/>
        <v>9</v>
      </c>
      <c r="G24">
        <f t="shared" si="3"/>
        <v>8.5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2.2275</v>
      </c>
      <c r="T24">
        <v>47.448500000000003</v>
      </c>
      <c r="U24">
        <v>111.9435</v>
      </c>
      <c r="V24">
        <v>13.3805</v>
      </c>
      <c r="W24">
        <v>0</v>
      </c>
      <c r="X24">
        <v>0.59250000000000003</v>
      </c>
      <c r="Y24">
        <v>9.3315000000000001</v>
      </c>
      <c r="Z24">
        <v>30.738</v>
      </c>
      <c r="AA24">
        <v>32.689</v>
      </c>
      <c r="AB24">
        <v>13.333500000000001</v>
      </c>
      <c r="AC24">
        <v>3.2730000000000001</v>
      </c>
      <c r="AD24">
        <v>2.5295000000000001</v>
      </c>
      <c r="AE24">
        <v>0.51300000000000001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f t="shared" si="5"/>
        <v>0</v>
      </c>
      <c r="BF24">
        <f t="shared" si="4"/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2">
      <c r="A25">
        <f t="shared" si="1"/>
        <v>379.39799999999997</v>
      </c>
      <c r="B25">
        <f t="shared" si="0"/>
        <v>0.85439301208757046</v>
      </c>
      <c r="C25" t="s">
        <v>28</v>
      </c>
      <c r="D25">
        <v>1999</v>
      </c>
      <c r="E25">
        <v>2</v>
      </c>
      <c r="F25">
        <f t="shared" si="2"/>
        <v>3</v>
      </c>
      <c r="G25">
        <f t="shared" si="3"/>
        <v>2.5</v>
      </c>
      <c r="H25">
        <v>128.19450000000001</v>
      </c>
      <c r="I25">
        <v>71.676000000000002</v>
      </c>
      <c r="J25">
        <v>85.872</v>
      </c>
      <c r="K25">
        <v>33.713500000000003</v>
      </c>
      <c r="L25">
        <v>3.9420000000000002</v>
      </c>
      <c r="M25">
        <v>0</v>
      </c>
      <c r="N25">
        <v>0</v>
      </c>
      <c r="O25">
        <v>0.75700000000000001</v>
      </c>
      <c r="P25">
        <v>4.0599999999999996</v>
      </c>
      <c r="Q25">
        <v>13.8325</v>
      </c>
      <c r="R25">
        <v>19.425999999999998</v>
      </c>
      <c r="S25">
        <v>14.092000000000001</v>
      </c>
      <c r="T25">
        <v>3.6659999999999999</v>
      </c>
      <c r="U25">
        <v>0.16650000000000001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f t="shared" si="5"/>
        <v>0</v>
      </c>
      <c r="BF25">
        <f t="shared" si="4"/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 x14ac:dyDescent="0.2">
      <c r="A26">
        <f t="shared" si="1"/>
        <v>546</v>
      </c>
      <c r="B26">
        <f t="shared" si="0"/>
        <v>0.34065934065934067</v>
      </c>
      <c r="C26" t="s">
        <v>29</v>
      </c>
      <c r="D26">
        <v>1999</v>
      </c>
      <c r="E26">
        <v>11</v>
      </c>
      <c r="F26">
        <f t="shared" si="2"/>
        <v>12</v>
      </c>
      <c r="G26">
        <f t="shared" si="3"/>
        <v>11.5</v>
      </c>
      <c r="H26">
        <v>1.4830000000000001</v>
      </c>
      <c r="I26">
        <v>26.3245</v>
      </c>
      <c r="J26">
        <v>109.548</v>
      </c>
      <c r="K26">
        <v>46.673499999999997</v>
      </c>
      <c r="L26">
        <v>1.9710000000000001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0.28849999999999998</v>
      </c>
      <c r="Z26">
        <v>7.1630000000000003</v>
      </c>
      <c r="AA26">
        <v>51.011499999999998</v>
      </c>
      <c r="AB26">
        <v>73.0505</v>
      </c>
      <c r="AC26">
        <v>66.509</v>
      </c>
      <c r="AD26">
        <v>70.817999999999998</v>
      </c>
      <c r="AE26">
        <v>50.374000000000002</v>
      </c>
      <c r="AF26">
        <v>28.997499999999999</v>
      </c>
      <c r="AG26">
        <v>9.8209999999999997</v>
      </c>
      <c r="AH26">
        <v>1.9670000000000001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f t="shared" si="5"/>
        <v>0</v>
      </c>
      <c r="BF26">
        <f t="shared" si="4"/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x14ac:dyDescent="0.2">
      <c r="A27">
        <f t="shared" si="1"/>
        <v>1956.0000000000002</v>
      </c>
      <c r="B27">
        <f t="shared" si="0"/>
        <v>2.3108640081799588E-2</v>
      </c>
      <c r="C27" t="s">
        <v>30</v>
      </c>
      <c r="D27">
        <v>2000</v>
      </c>
      <c r="E27">
        <v>1</v>
      </c>
      <c r="F27">
        <f t="shared" si="2"/>
        <v>2</v>
      </c>
      <c r="G27">
        <f t="shared" si="3"/>
        <v>1.5</v>
      </c>
      <c r="H27">
        <v>0</v>
      </c>
      <c r="I27">
        <v>0</v>
      </c>
      <c r="J27">
        <v>0</v>
      </c>
      <c r="K27">
        <v>0</v>
      </c>
      <c r="L27">
        <v>0.1055</v>
      </c>
      <c r="M27">
        <v>1.6805000000000001</v>
      </c>
      <c r="N27">
        <v>4.6515000000000004</v>
      </c>
      <c r="O27">
        <v>38.762999999999998</v>
      </c>
      <c r="P27">
        <v>100.9935</v>
      </c>
      <c r="Q27">
        <v>94.206500000000005</v>
      </c>
      <c r="R27">
        <v>68.174499999999995</v>
      </c>
      <c r="S27">
        <v>44.897500000000001</v>
      </c>
      <c r="T27">
        <v>47.868499999999997</v>
      </c>
      <c r="U27">
        <v>63.128999999999998</v>
      </c>
      <c r="V27">
        <v>52.622999999999998</v>
      </c>
      <c r="W27">
        <v>5.907</v>
      </c>
      <c r="X27">
        <v>0</v>
      </c>
      <c r="Y27">
        <v>0.28849999999999998</v>
      </c>
      <c r="Z27">
        <v>1.4704999999999999</v>
      </c>
      <c r="AA27">
        <v>9.7100000000000009</v>
      </c>
      <c r="AB27">
        <v>48.835999999999999</v>
      </c>
      <c r="AC27">
        <v>130.5275</v>
      </c>
      <c r="AD27">
        <v>284.39600000000002</v>
      </c>
      <c r="AE27">
        <v>334.29399999999998</v>
      </c>
      <c r="AF27">
        <v>245.75800000000001</v>
      </c>
      <c r="AG27">
        <v>170.50149999999999</v>
      </c>
      <c r="AH27">
        <v>112.5605</v>
      </c>
      <c r="AI27">
        <v>57.024500000000003</v>
      </c>
      <c r="AJ27">
        <v>19.949000000000002</v>
      </c>
      <c r="AK27">
        <v>6.8254999999999999</v>
      </c>
      <c r="AL27">
        <v>5.1589999999999998</v>
      </c>
      <c r="AM27">
        <v>3.6995</v>
      </c>
      <c r="AN27">
        <v>0.65349999999999997</v>
      </c>
      <c r="AO27">
        <v>0.34649999999999997</v>
      </c>
      <c r="AP27">
        <v>0.83550000000000002</v>
      </c>
      <c r="AQ27">
        <v>0.16450000000000001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f t="shared" si="5"/>
        <v>0</v>
      </c>
      <c r="BF27">
        <f t="shared" si="4"/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2">
      <c r="A28">
        <f t="shared" si="1"/>
        <v>2249.0000000000005</v>
      </c>
      <c r="B28">
        <f t="shared" si="0"/>
        <v>0</v>
      </c>
      <c r="C28" t="s">
        <v>31</v>
      </c>
      <c r="D28">
        <v>2000</v>
      </c>
      <c r="E28">
        <v>10</v>
      </c>
      <c r="F28">
        <f t="shared" si="2"/>
        <v>11</v>
      </c>
      <c r="G28">
        <f t="shared" si="3"/>
        <v>10.5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3.698</v>
      </c>
      <c r="V28">
        <v>122.1995</v>
      </c>
      <c r="W28">
        <v>487.94450000000001</v>
      </c>
      <c r="X28">
        <v>481.16050000000001</v>
      </c>
      <c r="Y28">
        <v>309.6585</v>
      </c>
      <c r="Z28">
        <v>177.49950000000001</v>
      </c>
      <c r="AA28">
        <v>108.18600000000001</v>
      </c>
      <c r="AB28">
        <v>91.995999999999995</v>
      </c>
      <c r="AC28">
        <v>96.467500000000001</v>
      </c>
      <c r="AD28">
        <v>100.566</v>
      </c>
      <c r="AE28">
        <v>89.715000000000003</v>
      </c>
      <c r="AF28">
        <v>57.332999999999998</v>
      </c>
      <c r="AG28">
        <v>46.922499999999999</v>
      </c>
      <c r="AH28">
        <v>23.126000000000001</v>
      </c>
      <c r="AI28">
        <v>23.902000000000001</v>
      </c>
      <c r="AJ28">
        <v>17.388999999999999</v>
      </c>
      <c r="AK28">
        <v>9.9975000000000005</v>
      </c>
      <c r="AL28">
        <v>1.2390000000000001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f t="shared" si="5"/>
        <v>0</v>
      </c>
      <c r="BF28">
        <f t="shared" si="4"/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2">
      <c r="A29">
        <f t="shared" si="1"/>
        <v>1087</v>
      </c>
      <c r="B29">
        <f t="shared" si="0"/>
        <v>0</v>
      </c>
      <c r="C29" t="s">
        <v>32</v>
      </c>
      <c r="D29">
        <v>2001</v>
      </c>
      <c r="E29">
        <v>3</v>
      </c>
      <c r="F29">
        <f t="shared" si="2"/>
        <v>4</v>
      </c>
      <c r="G29">
        <f t="shared" si="3"/>
        <v>3.5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1.4850000000000001</v>
      </c>
      <c r="T29">
        <v>2.1819999999999999</v>
      </c>
      <c r="U29">
        <v>4.0309999999999997</v>
      </c>
      <c r="V29">
        <v>38.255000000000003</v>
      </c>
      <c r="W29">
        <v>138.10499999999999</v>
      </c>
      <c r="X29">
        <v>126.4345</v>
      </c>
      <c r="Y29">
        <v>41.4315</v>
      </c>
      <c r="Z29">
        <v>26.943000000000001</v>
      </c>
      <c r="AA29">
        <v>45.774500000000003</v>
      </c>
      <c r="AB29">
        <v>94.000500000000002</v>
      </c>
      <c r="AC29">
        <v>135.44550000000001</v>
      </c>
      <c r="AD29">
        <v>139.10650000000001</v>
      </c>
      <c r="AE29">
        <v>106.0765</v>
      </c>
      <c r="AF29">
        <v>74.887</v>
      </c>
      <c r="AG29">
        <v>62.403500000000001</v>
      </c>
      <c r="AH29">
        <v>34.836500000000001</v>
      </c>
      <c r="AI29">
        <v>11.602499999999999</v>
      </c>
      <c r="AJ29">
        <v>0.86850000000000005</v>
      </c>
      <c r="AK29">
        <v>2.512</v>
      </c>
      <c r="AL29">
        <v>0.61950000000000005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f t="shared" si="5"/>
        <v>0</v>
      </c>
      <c r="BF29">
        <f t="shared" si="4"/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 x14ac:dyDescent="0.2">
      <c r="A30">
        <f t="shared" si="1"/>
        <v>430.00000000000006</v>
      </c>
      <c r="B30">
        <f t="shared" si="0"/>
        <v>0</v>
      </c>
      <c r="C30" t="s">
        <v>33</v>
      </c>
      <c r="D30">
        <v>2001</v>
      </c>
      <c r="E30">
        <v>7</v>
      </c>
      <c r="F30">
        <f t="shared" si="2"/>
        <v>8</v>
      </c>
      <c r="G30">
        <f t="shared" si="3"/>
        <v>7.5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1.55E-2</v>
      </c>
      <c r="W30">
        <v>2.1560000000000001</v>
      </c>
      <c r="X30">
        <v>12.198499999999999</v>
      </c>
      <c r="Y30">
        <v>18.861999999999998</v>
      </c>
      <c r="Z30">
        <v>47.055999999999997</v>
      </c>
      <c r="AA30">
        <v>65.589500000000001</v>
      </c>
      <c r="AB30">
        <v>56.636000000000003</v>
      </c>
      <c r="AC30">
        <v>48.238999999999997</v>
      </c>
      <c r="AD30">
        <v>42.500500000000002</v>
      </c>
      <c r="AE30">
        <v>33.113</v>
      </c>
      <c r="AF30">
        <v>48.1325</v>
      </c>
      <c r="AG30">
        <v>33.716000000000001</v>
      </c>
      <c r="AH30">
        <v>13.538</v>
      </c>
      <c r="AI30">
        <v>6.4459999999999997</v>
      </c>
      <c r="AJ30">
        <v>1.091</v>
      </c>
      <c r="AK30">
        <v>0.71050000000000002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f t="shared" si="5"/>
        <v>0</v>
      </c>
      <c r="BF30">
        <f t="shared" si="4"/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 x14ac:dyDescent="0.2">
      <c r="A31">
        <f t="shared" si="1"/>
        <v>565.00000000000011</v>
      </c>
      <c r="B31">
        <f t="shared" si="0"/>
        <v>0.10088495575221237</v>
      </c>
      <c r="C31" t="s">
        <v>34</v>
      </c>
      <c r="D31">
        <v>2002</v>
      </c>
      <c r="E31">
        <v>2</v>
      </c>
      <c r="F31">
        <f t="shared" si="2"/>
        <v>3</v>
      </c>
      <c r="G31">
        <f t="shared" si="3"/>
        <v>2.5</v>
      </c>
      <c r="H31">
        <v>18.537500000000001</v>
      </c>
      <c r="I31">
        <v>33.102499999999999</v>
      </c>
      <c r="J31">
        <v>5.36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3.9235000000000002</v>
      </c>
      <c r="R31">
        <v>28.484999999999999</v>
      </c>
      <c r="S31">
        <v>84.129000000000005</v>
      </c>
      <c r="T31">
        <v>57.802500000000002</v>
      </c>
      <c r="U31">
        <v>20.5275</v>
      </c>
      <c r="V31">
        <v>2.1480000000000001</v>
      </c>
      <c r="W31">
        <v>1.091</v>
      </c>
      <c r="X31">
        <v>0.89349999999999996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3.0825</v>
      </c>
      <c r="AH31">
        <v>9.11</v>
      </c>
      <c r="AI31">
        <v>50.290500000000002</v>
      </c>
      <c r="AJ31">
        <v>86.834999999999994</v>
      </c>
      <c r="AK31">
        <v>83.653499999999994</v>
      </c>
      <c r="AL31">
        <v>53.645000000000003</v>
      </c>
      <c r="AM31">
        <v>18.071000000000002</v>
      </c>
      <c r="AN31">
        <v>3.2730000000000001</v>
      </c>
      <c r="AO31">
        <v>1.0395000000000001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f t="shared" si="5"/>
        <v>0</v>
      </c>
      <c r="BF31">
        <f t="shared" si="4"/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 x14ac:dyDescent="0.2">
      <c r="A32">
        <f t="shared" si="1"/>
        <v>633.00000000000011</v>
      </c>
      <c r="B32">
        <f t="shared" si="0"/>
        <v>0</v>
      </c>
      <c r="C32" t="s">
        <v>35</v>
      </c>
      <c r="D32">
        <v>2002</v>
      </c>
      <c r="E32">
        <v>10</v>
      </c>
      <c r="F32">
        <f t="shared" si="2"/>
        <v>11</v>
      </c>
      <c r="G32">
        <f t="shared" si="3"/>
        <v>10.5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62.866</v>
      </c>
      <c r="V32">
        <v>329.31200000000001</v>
      </c>
      <c r="W32">
        <v>76.632499999999993</v>
      </c>
      <c r="X32">
        <v>16.571999999999999</v>
      </c>
      <c r="Y32">
        <v>6.1944999999999997</v>
      </c>
      <c r="Z32">
        <v>1.8025</v>
      </c>
      <c r="AA32">
        <v>1.5615000000000001</v>
      </c>
      <c r="AB32">
        <v>7.7969999999999997</v>
      </c>
      <c r="AC32">
        <v>31.361999999999998</v>
      </c>
      <c r="AD32">
        <v>51.075000000000003</v>
      </c>
      <c r="AE32">
        <v>34.521999999999998</v>
      </c>
      <c r="AF32">
        <v>12.6325</v>
      </c>
      <c r="AG32">
        <v>0.67049999999999998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f t="shared" si="5"/>
        <v>0</v>
      </c>
      <c r="BF32">
        <f t="shared" si="4"/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 x14ac:dyDescent="0.2">
      <c r="A33">
        <f t="shared" si="1"/>
        <v>277.99999999999994</v>
      </c>
      <c r="B33">
        <f t="shared" si="0"/>
        <v>0</v>
      </c>
      <c r="C33" t="s">
        <v>36</v>
      </c>
      <c r="D33">
        <v>2003</v>
      </c>
      <c r="E33">
        <v>2</v>
      </c>
      <c r="F33">
        <f t="shared" si="2"/>
        <v>3</v>
      </c>
      <c r="G33">
        <f t="shared" si="3"/>
        <v>2.5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1.6815</v>
      </c>
      <c r="R33">
        <v>29.984500000000001</v>
      </c>
      <c r="S33">
        <v>66.566500000000005</v>
      </c>
      <c r="T33">
        <v>54.441499999999998</v>
      </c>
      <c r="U33">
        <v>17.4955</v>
      </c>
      <c r="V33">
        <v>10.923500000000001</v>
      </c>
      <c r="W33">
        <v>7.1849999999999996</v>
      </c>
      <c r="X33">
        <v>12.1045</v>
      </c>
      <c r="Y33">
        <v>10.810499999999999</v>
      </c>
      <c r="Z33">
        <v>17.361000000000001</v>
      </c>
      <c r="AA33">
        <v>9.3279999999999994</v>
      </c>
      <c r="AB33">
        <v>3.2410000000000001</v>
      </c>
      <c r="AC33">
        <v>0.877</v>
      </c>
      <c r="AD33">
        <v>1.4870000000000001</v>
      </c>
      <c r="AE33">
        <v>3.851</v>
      </c>
      <c r="AF33">
        <v>13.619</v>
      </c>
      <c r="AG33">
        <v>10.125500000000001</v>
      </c>
      <c r="AH33">
        <v>5.0250000000000004</v>
      </c>
      <c r="AI33">
        <v>0.89249999999999996</v>
      </c>
      <c r="AJ33">
        <v>0</v>
      </c>
      <c r="AK33">
        <v>0</v>
      </c>
      <c r="AL33">
        <v>0.47149999999999997</v>
      </c>
      <c r="AM33">
        <v>0.52849999999999997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f t="shared" si="5"/>
        <v>0</v>
      </c>
      <c r="BF33">
        <f t="shared" si="4"/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</row>
    <row r="34" spans="1:69" x14ac:dyDescent="0.2">
      <c r="A34">
        <f t="shared" si="1"/>
        <v>0</v>
      </c>
      <c r="B34">
        <f t="shared" si="0"/>
        <v>0</v>
      </c>
      <c r="C34" t="s">
        <v>37</v>
      </c>
      <c r="D34">
        <v>2003</v>
      </c>
      <c r="E34">
        <v>10</v>
      </c>
      <c r="F34">
        <f t="shared" si="2"/>
        <v>12</v>
      </c>
      <c r="G34">
        <f t="shared" si="3"/>
        <v>11</v>
      </c>
    </row>
    <row r="35" spans="1:69" x14ac:dyDescent="0.2">
      <c r="A35">
        <f t="shared" si="1"/>
        <v>52</v>
      </c>
      <c r="B35">
        <f t="shared" si="0"/>
        <v>0</v>
      </c>
      <c r="C35" t="s">
        <v>38</v>
      </c>
      <c r="D35">
        <v>2004</v>
      </c>
      <c r="E35">
        <v>2</v>
      </c>
      <c r="F35">
        <f t="shared" si="2"/>
        <v>3</v>
      </c>
      <c r="G35">
        <f t="shared" si="3"/>
        <v>2.5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3.31</v>
      </c>
      <c r="W35">
        <v>22.352499999999999</v>
      </c>
      <c r="X35">
        <v>23.127500000000001</v>
      </c>
      <c r="Y35">
        <v>3.21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f>SUM(BG35:BQ35)</f>
        <v>0</v>
      </c>
      <c r="BF35">
        <f t="shared" si="4"/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 x14ac:dyDescent="0.2">
      <c r="A36">
        <f t="shared" si="1"/>
        <v>0</v>
      </c>
      <c r="B36">
        <f t="shared" si="0"/>
        <v>0</v>
      </c>
      <c r="C36" t="s">
        <v>39</v>
      </c>
      <c r="D36">
        <v>2004</v>
      </c>
      <c r="E36">
        <v>11</v>
      </c>
      <c r="F36">
        <f t="shared" si="2"/>
        <v>12</v>
      </c>
      <c r="G36">
        <f t="shared" si="3"/>
        <v>11.5</v>
      </c>
    </row>
    <row r="37" spans="1:69" x14ac:dyDescent="0.2">
      <c r="A37">
        <f t="shared" si="1"/>
        <v>0</v>
      </c>
      <c r="B37">
        <f t="shared" si="0"/>
        <v>0</v>
      </c>
      <c r="C37" t="s">
        <v>40</v>
      </c>
      <c r="D37">
        <v>2005</v>
      </c>
      <c r="E37">
        <v>2</v>
      </c>
      <c r="F37">
        <f t="shared" si="2"/>
        <v>4</v>
      </c>
      <c r="G37">
        <f t="shared" si="3"/>
        <v>3</v>
      </c>
    </row>
    <row r="38" spans="1:69" x14ac:dyDescent="0.2">
      <c r="A38">
        <f t="shared" si="1"/>
        <v>1518.9999999999998</v>
      </c>
      <c r="B38">
        <f t="shared" si="0"/>
        <v>0</v>
      </c>
      <c r="C38" t="s">
        <v>41</v>
      </c>
      <c r="D38">
        <v>2005</v>
      </c>
      <c r="E38">
        <v>11</v>
      </c>
      <c r="F38">
        <f t="shared" si="2"/>
        <v>12</v>
      </c>
      <c r="G38">
        <f t="shared" si="3"/>
        <v>11.5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0.13950000000000001</v>
      </c>
      <c r="W38">
        <v>13.227</v>
      </c>
      <c r="X38">
        <v>45.915999999999997</v>
      </c>
      <c r="Y38">
        <v>65.990499999999997</v>
      </c>
      <c r="Z38">
        <v>141.83199999999999</v>
      </c>
      <c r="AA38">
        <v>224.22800000000001</v>
      </c>
      <c r="AB38">
        <v>248.25049999999999</v>
      </c>
      <c r="AC38">
        <v>174.8015</v>
      </c>
      <c r="AD38">
        <v>81.994500000000002</v>
      </c>
      <c r="AE38">
        <v>41.3245</v>
      </c>
      <c r="AF38">
        <v>45.092500000000001</v>
      </c>
      <c r="AG38">
        <v>64.292500000000004</v>
      </c>
      <c r="AH38">
        <v>73.618499999999997</v>
      </c>
      <c r="AI38">
        <v>88.966499999999996</v>
      </c>
      <c r="AJ38">
        <v>84.117000000000004</v>
      </c>
      <c r="AK38">
        <v>60.234000000000002</v>
      </c>
      <c r="AL38">
        <v>36.633000000000003</v>
      </c>
      <c r="AM38">
        <v>13.092000000000001</v>
      </c>
      <c r="AN38">
        <v>5.9035000000000002</v>
      </c>
      <c r="AO38">
        <v>2.58</v>
      </c>
      <c r="AP38">
        <v>0.76649999999999996</v>
      </c>
      <c r="AQ38">
        <v>0</v>
      </c>
      <c r="AR38">
        <v>0</v>
      </c>
      <c r="AS38">
        <v>0.1085</v>
      </c>
      <c r="AT38">
        <v>0.89149999999999996</v>
      </c>
      <c r="AU38">
        <v>0.29049999999999998</v>
      </c>
      <c r="AV38">
        <v>1.4724999999999999</v>
      </c>
      <c r="AW38">
        <v>1.7095</v>
      </c>
      <c r="AX38">
        <v>1.091</v>
      </c>
      <c r="AY38">
        <v>0.4365</v>
      </c>
      <c r="AZ38">
        <v>0</v>
      </c>
      <c r="BA38">
        <v>0</v>
      </c>
      <c r="BB38">
        <v>0</v>
      </c>
      <c r="BC38">
        <v>0</v>
      </c>
      <c r="BD38">
        <f>SUM(BG38:BQ38)</f>
        <v>0</v>
      </c>
      <c r="BF38">
        <f t="shared" ref="BF38:BF41" si="6">BD38/A38</f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2">
      <c r="A39">
        <f t="shared" si="1"/>
        <v>221.00000000000003</v>
      </c>
      <c r="B39">
        <f t="shared" si="0"/>
        <v>0</v>
      </c>
      <c r="C39" t="s">
        <v>42</v>
      </c>
      <c r="D39">
        <v>2006</v>
      </c>
      <c r="E39">
        <v>2</v>
      </c>
      <c r="F39">
        <f t="shared" si="2"/>
        <v>4</v>
      </c>
      <c r="G39">
        <f t="shared" si="3"/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0.3795</v>
      </c>
      <c r="AA39">
        <v>3.4434999999999998</v>
      </c>
      <c r="AB39">
        <v>19.4605</v>
      </c>
      <c r="AC39">
        <v>27.724</v>
      </c>
      <c r="AD39">
        <v>13.196999999999999</v>
      </c>
      <c r="AE39">
        <v>11.8095</v>
      </c>
      <c r="AF39">
        <v>37.155000000000001</v>
      </c>
      <c r="AG39">
        <v>27.375499999999999</v>
      </c>
      <c r="AH39">
        <v>34.067999999999998</v>
      </c>
      <c r="AI39">
        <v>15.173999999999999</v>
      </c>
      <c r="AJ39">
        <v>8.9504999999999999</v>
      </c>
      <c r="AK39">
        <v>6.1654999999999998</v>
      </c>
      <c r="AL39">
        <v>3.569</v>
      </c>
      <c r="AM39">
        <v>4.4660000000000002</v>
      </c>
      <c r="AN39">
        <v>5.0229999999999997</v>
      </c>
      <c r="AO39">
        <v>2.5285000000000002</v>
      </c>
      <c r="AP39">
        <v>0.51100000000000001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f>SUM(BG39:BQ39)</f>
        <v>0</v>
      </c>
      <c r="BF39">
        <f t="shared" si="6"/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 x14ac:dyDescent="0.2">
      <c r="A40">
        <f t="shared" si="1"/>
        <v>0</v>
      </c>
      <c r="B40">
        <f t="shared" si="0"/>
        <v>0</v>
      </c>
      <c r="C40" t="s">
        <v>43</v>
      </c>
      <c r="D40">
        <v>2006</v>
      </c>
      <c r="E40">
        <v>8</v>
      </c>
      <c r="F40">
        <f t="shared" si="2"/>
        <v>9</v>
      </c>
      <c r="G40">
        <f t="shared" si="3"/>
        <v>8.5</v>
      </c>
      <c r="BF40" t="e">
        <f t="shared" si="6"/>
        <v>#DIV/0!</v>
      </c>
    </row>
    <row r="41" spans="1:69" x14ac:dyDescent="0.2">
      <c r="A41">
        <f t="shared" si="1"/>
        <v>113</v>
      </c>
      <c r="B41">
        <f t="shared" si="0"/>
        <v>6.699115044247788E-3</v>
      </c>
      <c r="C41" t="s">
        <v>44</v>
      </c>
      <c r="D41">
        <v>2007</v>
      </c>
      <c r="E41">
        <v>2</v>
      </c>
      <c r="F41">
        <f t="shared" si="2"/>
        <v>4</v>
      </c>
      <c r="G41">
        <f t="shared" si="3"/>
        <v>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0.75700000000000001</v>
      </c>
      <c r="P41">
        <v>2.1819999999999999</v>
      </c>
      <c r="Q41">
        <v>6.1055000000000001</v>
      </c>
      <c r="R41">
        <v>18.940000000000001</v>
      </c>
      <c r="S41">
        <v>29.547999999999998</v>
      </c>
      <c r="T41">
        <v>23.303999999999998</v>
      </c>
      <c r="U41">
        <v>23.502500000000001</v>
      </c>
      <c r="V41">
        <v>7.6764999999999999</v>
      </c>
      <c r="W41">
        <v>0.98450000000000004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f>SUM(BG41:BQ41)</f>
        <v>0</v>
      </c>
      <c r="BF41">
        <f t="shared" si="6"/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2">
      <c r="A42">
        <f t="shared" si="1"/>
        <v>0</v>
      </c>
      <c r="B42">
        <f t="shared" si="0"/>
        <v>0</v>
      </c>
      <c r="C42" t="s">
        <v>45</v>
      </c>
      <c r="D42">
        <v>2007</v>
      </c>
      <c r="E42">
        <v>8</v>
      </c>
      <c r="F42">
        <f t="shared" si="2"/>
        <v>9</v>
      </c>
      <c r="G42">
        <f t="shared" si="3"/>
        <v>8.5</v>
      </c>
    </row>
    <row r="43" spans="1:69" x14ac:dyDescent="0.2">
      <c r="A43">
        <f t="shared" si="1"/>
        <v>365.00000000000006</v>
      </c>
      <c r="B43">
        <f t="shared" si="0"/>
        <v>0.55890410958904113</v>
      </c>
      <c r="C43" t="s">
        <v>46</v>
      </c>
      <c r="D43">
        <v>2008</v>
      </c>
      <c r="E43">
        <v>2</v>
      </c>
      <c r="F43">
        <f t="shared" si="2"/>
        <v>4</v>
      </c>
      <c r="G43">
        <f t="shared" si="3"/>
        <v>3</v>
      </c>
      <c r="H43">
        <v>0</v>
      </c>
      <c r="I43">
        <v>0</v>
      </c>
      <c r="J43">
        <v>6.4645000000000001</v>
      </c>
      <c r="K43">
        <v>73.536000000000001</v>
      </c>
      <c r="L43">
        <v>73.274500000000003</v>
      </c>
      <c r="M43">
        <v>45.707500000000003</v>
      </c>
      <c r="N43">
        <v>4.3049999999999997</v>
      </c>
      <c r="O43">
        <v>0.71250000000000002</v>
      </c>
      <c r="P43">
        <v>0</v>
      </c>
      <c r="Q43">
        <v>0</v>
      </c>
      <c r="R43">
        <v>0</v>
      </c>
      <c r="S43">
        <v>0</v>
      </c>
      <c r="T43">
        <v>14.169499999999999</v>
      </c>
      <c r="U43">
        <v>86.96</v>
      </c>
      <c r="V43">
        <v>57.886000000000003</v>
      </c>
      <c r="W43">
        <v>1.091</v>
      </c>
      <c r="X43">
        <v>0.89349999999999996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f>SUM(BG43:BQ43)</f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2">
      <c r="A44">
        <f t="shared" si="1"/>
        <v>0</v>
      </c>
      <c r="B44">
        <f t="shared" si="0"/>
        <v>0</v>
      </c>
      <c r="C44" t="s">
        <v>47</v>
      </c>
      <c r="D44">
        <v>2008</v>
      </c>
      <c r="E44">
        <v>11</v>
      </c>
      <c r="F44">
        <f t="shared" si="2"/>
        <v>12</v>
      </c>
      <c r="G44">
        <f t="shared" si="3"/>
        <v>11.5</v>
      </c>
    </row>
    <row r="45" spans="1:69" x14ac:dyDescent="0.2">
      <c r="A45">
        <f t="shared" si="1"/>
        <v>0</v>
      </c>
      <c r="B45">
        <f t="shared" si="0"/>
        <v>0</v>
      </c>
      <c r="C45" t="s">
        <v>48</v>
      </c>
      <c r="D45">
        <v>2009</v>
      </c>
      <c r="E45">
        <v>2</v>
      </c>
      <c r="F45">
        <f t="shared" si="2"/>
        <v>4</v>
      </c>
      <c r="G45">
        <f t="shared" si="3"/>
        <v>3</v>
      </c>
    </row>
    <row r="46" spans="1:69" x14ac:dyDescent="0.2">
      <c r="A46">
        <f t="shared" si="1"/>
        <v>0</v>
      </c>
      <c r="B46">
        <f t="shared" si="0"/>
        <v>0</v>
      </c>
      <c r="C46" t="s">
        <v>49</v>
      </c>
      <c r="D46">
        <v>2009</v>
      </c>
      <c r="E46">
        <v>12</v>
      </c>
      <c r="F46">
        <f t="shared" si="2"/>
        <v>12</v>
      </c>
      <c r="G46">
        <f t="shared" si="3"/>
        <v>12</v>
      </c>
    </row>
    <row r="47" spans="1:69" x14ac:dyDescent="0.2">
      <c r="A47">
        <f t="shared" si="1"/>
        <v>0</v>
      </c>
      <c r="B47">
        <f t="shared" si="0"/>
        <v>0</v>
      </c>
      <c r="C47" t="s">
        <v>50</v>
      </c>
      <c r="D47">
        <v>2010</v>
      </c>
      <c r="E47">
        <v>2</v>
      </c>
      <c r="F47">
        <f t="shared" si="2"/>
        <v>4</v>
      </c>
      <c r="G47">
        <f t="shared" si="3"/>
        <v>3</v>
      </c>
    </row>
    <row r="48" spans="1:69" x14ac:dyDescent="0.2">
      <c r="A48">
        <f t="shared" si="1"/>
        <v>0</v>
      </c>
      <c r="B48">
        <f t="shared" si="0"/>
        <v>0</v>
      </c>
      <c r="C48" t="s">
        <v>51</v>
      </c>
      <c r="D48">
        <v>2010</v>
      </c>
      <c r="E48">
        <v>11</v>
      </c>
      <c r="F48">
        <f t="shared" si="2"/>
        <v>12</v>
      </c>
      <c r="G48">
        <f t="shared" si="3"/>
        <v>11.5</v>
      </c>
    </row>
    <row r="49" spans="1:69" x14ac:dyDescent="0.2">
      <c r="A49">
        <f t="shared" si="1"/>
        <v>410.99999999999994</v>
      </c>
      <c r="B49">
        <f t="shared" si="0"/>
        <v>0</v>
      </c>
      <c r="C49" t="s">
        <v>52</v>
      </c>
      <c r="D49">
        <v>2011</v>
      </c>
      <c r="E49">
        <v>2</v>
      </c>
      <c r="F49">
        <f t="shared" si="2"/>
        <v>4</v>
      </c>
      <c r="G49">
        <f t="shared" si="3"/>
        <v>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5.0069999999999997</v>
      </c>
      <c r="AF49">
        <v>71.331000000000003</v>
      </c>
      <c r="AG49">
        <v>190.69149999999999</v>
      </c>
      <c r="AH49">
        <v>123.443</v>
      </c>
      <c r="AI49">
        <v>20.5275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f t="shared" ref="BD49:BD52" si="7">SUM(BG49:BQ49)</f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2">
      <c r="A50">
        <f t="shared" si="1"/>
        <v>826.00000000000011</v>
      </c>
      <c r="B50">
        <f t="shared" si="0"/>
        <v>0</v>
      </c>
      <c r="C50" t="s">
        <v>53</v>
      </c>
      <c r="D50">
        <v>2011</v>
      </c>
      <c r="E50">
        <v>10</v>
      </c>
      <c r="F50">
        <f t="shared" si="2"/>
        <v>12</v>
      </c>
      <c r="G50">
        <f t="shared" si="3"/>
        <v>11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0.74350000000000005</v>
      </c>
      <c r="AE50">
        <v>1.091</v>
      </c>
      <c r="AF50">
        <v>2.9420000000000002</v>
      </c>
      <c r="AG50">
        <v>3.24</v>
      </c>
      <c r="AH50">
        <v>1.8434999999999999</v>
      </c>
      <c r="AI50">
        <v>15.278499999999999</v>
      </c>
      <c r="AJ50">
        <v>111.0265</v>
      </c>
      <c r="AK50">
        <v>325.77100000000002</v>
      </c>
      <c r="AL50">
        <v>273.22949999999997</v>
      </c>
      <c r="AM50">
        <v>76.459500000000006</v>
      </c>
      <c r="AN50">
        <v>13.3355</v>
      </c>
      <c r="AO50">
        <v>1.0395000000000001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f t="shared" si="7"/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 x14ac:dyDescent="0.2">
      <c r="A51">
        <f t="shared" si="1"/>
        <v>324.99999999999994</v>
      </c>
      <c r="B51">
        <f t="shared" si="0"/>
        <v>0</v>
      </c>
      <c r="C51" t="s">
        <v>54</v>
      </c>
      <c r="D51">
        <v>2012</v>
      </c>
      <c r="E51">
        <v>2</v>
      </c>
      <c r="F51">
        <f t="shared" si="2"/>
        <v>4</v>
      </c>
      <c r="G51">
        <f t="shared" si="3"/>
        <v>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1.121</v>
      </c>
      <c r="R51">
        <v>4.7880000000000003</v>
      </c>
      <c r="S51">
        <v>13.2285</v>
      </c>
      <c r="T51">
        <v>20.532499999999999</v>
      </c>
      <c r="U51">
        <v>26.442499999999999</v>
      </c>
      <c r="V51">
        <v>30.895</v>
      </c>
      <c r="W51">
        <v>71.873500000000007</v>
      </c>
      <c r="X51">
        <v>78.364000000000004</v>
      </c>
      <c r="Y51">
        <v>56.967500000000001</v>
      </c>
      <c r="Z51">
        <v>18.925999999999998</v>
      </c>
      <c r="AA51">
        <v>1.8614999999999999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f t="shared" si="7"/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</row>
    <row r="52" spans="1:69" x14ac:dyDescent="0.2">
      <c r="A52">
        <f t="shared" si="1"/>
        <v>394</v>
      </c>
      <c r="B52">
        <f t="shared" si="0"/>
        <v>0.42475888324873101</v>
      </c>
      <c r="C52" t="s">
        <v>55</v>
      </c>
      <c r="D52">
        <v>2012</v>
      </c>
      <c r="E52">
        <v>9</v>
      </c>
      <c r="F52">
        <f t="shared" si="2"/>
        <v>11</v>
      </c>
      <c r="G52">
        <f t="shared" si="3"/>
        <v>10</v>
      </c>
      <c r="H52">
        <v>0</v>
      </c>
      <c r="I52">
        <v>0</v>
      </c>
      <c r="J52">
        <v>0.92349999999999999</v>
      </c>
      <c r="K52">
        <v>1.1200000000000001</v>
      </c>
      <c r="L52">
        <v>8.4425000000000008</v>
      </c>
      <c r="M52">
        <v>58.304000000000002</v>
      </c>
      <c r="N52">
        <v>59.422499999999999</v>
      </c>
      <c r="O52">
        <v>39.142499999999998</v>
      </c>
      <c r="P52">
        <v>50.570999999999998</v>
      </c>
      <c r="Q52">
        <v>48.405000000000001</v>
      </c>
      <c r="R52">
        <v>24.653500000000001</v>
      </c>
      <c r="S52">
        <v>24.3505</v>
      </c>
      <c r="T52">
        <v>25.669</v>
      </c>
      <c r="U52">
        <v>45.598500000000001</v>
      </c>
      <c r="V52">
        <v>7.3975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f t="shared" si="7"/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</row>
    <row r="53" spans="1:69" x14ac:dyDescent="0.2">
      <c r="A53">
        <f t="shared" si="1"/>
        <v>0</v>
      </c>
      <c r="B53">
        <f>IF(A53&gt;0,SUM(H53:O53)/A53,0)</f>
        <v>0</v>
      </c>
      <c r="C53" t="s">
        <v>56</v>
      </c>
      <c r="D53">
        <v>2013</v>
      </c>
      <c r="E53">
        <v>2</v>
      </c>
      <c r="F53">
        <f t="shared" si="2"/>
        <v>4</v>
      </c>
      <c r="G53">
        <f t="shared" si="3"/>
        <v>3</v>
      </c>
    </row>
    <row r="54" spans="1:69" x14ac:dyDescent="0.2">
      <c r="A54">
        <f t="shared" si="1"/>
        <v>0</v>
      </c>
      <c r="B54">
        <f t="shared" ref="B54:B78" si="8">IF(A54&gt;0,SUM(H54:O54)/A54,0)</f>
        <v>0</v>
      </c>
      <c r="C54" t="s">
        <v>57</v>
      </c>
      <c r="D54">
        <v>2013</v>
      </c>
      <c r="E54">
        <v>8</v>
      </c>
      <c r="F54">
        <f t="shared" si="2"/>
        <v>9</v>
      </c>
      <c r="G54">
        <f t="shared" si="3"/>
        <v>8.5</v>
      </c>
    </row>
    <row r="55" spans="1:69" x14ac:dyDescent="0.2">
      <c r="A55">
        <f t="shared" si="1"/>
        <v>516</v>
      </c>
      <c r="B55">
        <f t="shared" si="8"/>
        <v>3.5934108527131789E-2</v>
      </c>
      <c r="C55" t="s">
        <v>58</v>
      </c>
      <c r="D55">
        <v>2014</v>
      </c>
      <c r="E55">
        <v>2</v>
      </c>
      <c r="F55">
        <f t="shared" si="2"/>
        <v>4</v>
      </c>
      <c r="G55">
        <f t="shared" si="3"/>
        <v>3</v>
      </c>
      <c r="H55">
        <v>0</v>
      </c>
      <c r="I55">
        <v>0</v>
      </c>
      <c r="J55">
        <v>0</v>
      </c>
      <c r="K55">
        <v>0</v>
      </c>
      <c r="L55">
        <v>0.3165</v>
      </c>
      <c r="M55">
        <v>2.6835</v>
      </c>
      <c r="N55">
        <v>3.1625000000000001</v>
      </c>
      <c r="O55">
        <v>12.3795</v>
      </c>
      <c r="P55">
        <v>13.561500000000001</v>
      </c>
      <c r="Q55">
        <v>16.985499999999998</v>
      </c>
      <c r="R55">
        <v>30.062000000000001</v>
      </c>
      <c r="S55">
        <v>74.961500000000001</v>
      </c>
      <c r="T55">
        <v>68.563500000000005</v>
      </c>
      <c r="U55">
        <v>70.340999999999994</v>
      </c>
      <c r="V55">
        <v>32.045000000000002</v>
      </c>
      <c r="W55">
        <v>3.9380000000000002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1.851</v>
      </c>
      <c r="AG55">
        <v>48.600999999999999</v>
      </c>
      <c r="AH55">
        <v>90.740499999999997</v>
      </c>
      <c r="AI55">
        <v>36.395499999999998</v>
      </c>
      <c r="AJ55">
        <v>6.7015000000000002</v>
      </c>
      <c r="AK55">
        <v>1.091</v>
      </c>
      <c r="AL55">
        <v>1.091</v>
      </c>
      <c r="AM55">
        <v>0.52849999999999997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f>SUM(BG55:BQ55)</f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 spans="1:69" x14ac:dyDescent="0.2">
      <c r="A56">
        <f t="shared" si="1"/>
        <v>0</v>
      </c>
      <c r="B56">
        <f t="shared" si="8"/>
        <v>0</v>
      </c>
      <c r="C56" t="s">
        <v>59</v>
      </c>
      <c r="D56">
        <v>2014</v>
      </c>
      <c r="E56">
        <v>8</v>
      </c>
      <c r="F56">
        <f t="shared" si="2"/>
        <v>10</v>
      </c>
      <c r="G56">
        <f t="shared" si="3"/>
        <v>9</v>
      </c>
    </row>
    <row r="57" spans="1:69" x14ac:dyDescent="0.2">
      <c r="A57">
        <f t="shared" si="1"/>
        <v>0</v>
      </c>
      <c r="B57">
        <f t="shared" si="8"/>
        <v>0</v>
      </c>
      <c r="C57" t="s">
        <v>60</v>
      </c>
      <c r="D57">
        <v>2015</v>
      </c>
      <c r="E57">
        <v>2</v>
      </c>
      <c r="F57">
        <f t="shared" si="2"/>
        <v>4</v>
      </c>
      <c r="G57">
        <f t="shared" si="3"/>
        <v>3</v>
      </c>
    </row>
    <row r="58" spans="1:69" x14ac:dyDescent="0.2">
      <c r="A58">
        <f t="shared" si="1"/>
        <v>0</v>
      </c>
      <c r="B58">
        <f t="shared" si="8"/>
        <v>0</v>
      </c>
      <c r="C58" t="s">
        <v>61</v>
      </c>
      <c r="D58">
        <v>2015</v>
      </c>
      <c r="E58">
        <v>9</v>
      </c>
      <c r="F58">
        <f t="shared" si="2"/>
        <v>10</v>
      </c>
      <c r="G58">
        <f t="shared" si="3"/>
        <v>9.5</v>
      </c>
    </row>
    <row r="59" spans="1:69" x14ac:dyDescent="0.2">
      <c r="A59">
        <f t="shared" si="1"/>
        <v>0</v>
      </c>
      <c r="B59">
        <f t="shared" si="8"/>
        <v>0</v>
      </c>
      <c r="C59" t="s">
        <v>62</v>
      </c>
      <c r="D59">
        <v>2016</v>
      </c>
      <c r="E59">
        <v>5</v>
      </c>
      <c r="F59">
        <f t="shared" si="2"/>
        <v>6</v>
      </c>
      <c r="G59">
        <f t="shared" si="3"/>
        <v>5.5</v>
      </c>
    </row>
    <row r="60" spans="1:69" x14ac:dyDescent="0.2">
      <c r="A60">
        <f t="shared" si="1"/>
        <v>299.99999999999994</v>
      </c>
      <c r="B60">
        <f t="shared" si="8"/>
        <v>0</v>
      </c>
      <c r="C60" t="s">
        <v>63</v>
      </c>
      <c r="D60">
        <v>2016</v>
      </c>
      <c r="E60">
        <v>9</v>
      </c>
      <c r="F60">
        <f t="shared" si="2"/>
        <v>10</v>
      </c>
      <c r="G60">
        <f t="shared" si="3"/>
        <v>9.5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0.59250000000000003</v>
      </c>
      <c r="Y60">
        <v>10.4855</v>
      </c>
      <c r="Z60">
        <v>60.149000000000001</v>
      </c>
      <c r="AA60">
        <v>109.5295</v>
      </c>
      <c r="AB60">
        <v>67.211500000000001</v>
      </c>
      <c r="AC60">
        <v>16.641999999999999</v>
      </c>
      <c r="AD60">
        <v>1.39</v>
      </c>
      <c r="AE60">
        <v>5.0069999999999997</v>
      </c>
      <c r="AF60">
        <v>8.3970000000000002</v>
      </c>
      <c r="AG60">
        <v>6.6455000000000002</v>
      </c>
      <c r="AH60">
        <v>3.3805000000000001</v>
      </c>
      <c r="AI60">
        <v>3.9670000000000001</v>
      </c>
      <c r="AJ60">
        <v>2.4714999999999998</v>
      </c>
      <c r="AK60">
        <v>2.8925000000000001</v>
      </c>
      <c r="AL60">
        <v>1.2390000000000001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f t="shared" ref="BD60:BD63" si="9">SUM(BG60:BQ60)</f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</row>
    <row r="61" spans="1:69" x14ac:dyDescent="0.2">
      <c r="A61">
        <f t="shared" si="1"/>
        <v>601</v>
      </c>
      <c r="B61">
        <f t="shared" si="8"/>
        <v>0</v>
      </c>
      <c r="C61" t="s">
        <v>64</v>
      </c>
      <c r="D61">
        <v>2017</v>
      </c>
      <c r="E61">
        <v>2</v>
      </c>
      <c r="F61">
        <f t="shared" si="2"/>
        <v>4</v>
      </c>
      <c r="G61">
        <f t="shared" si="3"/>
        <v>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1.667</v>
      </c>
      <c r="U61">
        <v>13.276</v>
      </c>
      <c r="V61">
        <v>74.474999999999994</v>
      </c>
      <c r="W61">
        <v>170.62200000000001</v>
      </c>
      <c r="X61">
        <v>175.9425</v>
      </c>
      <c r="Y61">
        <v>142.09549999999999</v>
      </c>
      <c r="Z61">
        <v>21.060500000000001</v>
      </c>
      <c r="AA61">
        <v>1.8614999999999999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f t="shared" si="9"/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</row>
    <row r="62" spans="1:69" x14ac:dyDescent="0.2">
      <c r="A62">
        <f t="shared" si="1"/>
        <v>155</v>
      </c>
      <c r="B62">
        <f t="shared" si="8"/>
        <v>0</v>
      </c>
      <c r="C62" t="s">
        <v>65</v>
      </c>
      <c r="D62">
        <v>2017</v>
      </c>
      <c r="E62">
        <v>9</v>
      </c>
      <c r="F62">
        <f t="shared" si="2"/>
        <v>11</v>
      </c>
      <c r="G62">
        <f t="shared" si="3"/>
        <v>10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1.7310000000000001</v>
      </c>
      <c r="Z62">
        <v>10.340999999999999</v>
      </c>
      <c r="AA62">
        <v>27.806999999999999</v>
      </c>
      <c r="AB62">
        <v>36.966000000000001</v>
      </c>
      <c r="AC62">
        <v>41.865000000000002</v>
      </c>
      <c r="AD62">
        <v>27.929500000000001</v>
      </c>
      <c r="AE62">
        <v>7.6985000000000001</v>
      </c>
      <c r="AF62">
        <v>0.66200000000000003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f t="shared" si="9"/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 spans="1:69" x14ac:dyDescent="0.2">
      <c r="A63">
        <f t="shared" si="1"/>
        <v>124.99999999999999</v>
      </c>
      <c r="B63">
        <f t="shared" si="8"/>
        <v>0</v>
      </c>
      <c r="C63" t="s">
        <v>66</v>
      </c>
      <c r="D63">
        <v>2018</v>
      </c>
      <c r="E63">
        <v>2</v>
      </c>
      <c r="F63">
        <f t="shared" si="2"/>
        <v>4</v>
      </c>
      <c r="G63">
        <f t="shared" si="3"/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0.31950000000000001</v>
      </c>
      <c r="X63">
        <v>5.0505000000000004</v>
      </c>
      <c r="Y63">
        <v>28.670999999999999</v>
      </c>
      <c r="Z63">
        <v>62.898000000000003</v>
      </c>
      <c r="AA63">
        <v>27.001999999999999</v>
      </c>
      <c r="AB63">
        <v>1.0589999999999999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f t="shared" si="9"/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 x14ac:dyDescent="0.2">
      <c r="A64">
        <f t="shared" si="1"/>
        <v>0</v>
      </c>
      <c r="B64">
        <f t="shared" si="8"/>
        <v>0</v>
      </c>
      <c r="C64" t="s">
        <v>67</v>
      </c>
      <c r="D64">
        <v>2018</v>
      </c>
      <c r="E64">
        <v>9</v>
      </c>
      <c r="F64">
        <f t="shared" si="2"/>
        <v>11</v>
      </c>
      <c r="G64">
        <f t="shared" si="3"/>
        <v>10</v>
      </c>
    </row>
    <row r="65" spans="1:69" x14ac:dyDescent="0.2">
      <c r="A65">
        <f t="shared" si="1"/>
        <v>169</v>
      </c>
      <c r="B65">
        <f t="shared" si="8"/>
        <v>0</v>
      </c>
      <c r="C65" t="s">
        <v>68</v>
      </c>
      <c r="D65">
        <v>2019</v>
      </c>
      <c r="E65">
        <v>2</v>
      </c>
      <c r="F65">
        <f t="shared" si="2"/>
        <v>3</v>
      </c>
      <c r="G65">
        <f t="shared" si="3"/>
        <v>2.5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1.3029999999999999</v>
      </c>
      <c r="S65">
        <v>2.1819999999999999</v>
      </c>
      <c r="T65">
        <v>18.0185</v>
      </c>
      <c r="U65">
        <v>76.531999999999996</v>
      </c>
      <c r="V65">
        <v>69.98</v>
      </c>
      <c r="W65">
        <v>0.98450000000000004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f>SUM(BG65:BQ65)</f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</row>
    <row r="66" spans="1:69" x14ac:dyDescent="0.2">
      <c r="A66">
        <f t="shared" si="1"/>
        <v>460.00000000000006</v>
      </c>
      <c r="B66">
        <f t="shared" si="8"/>
        <v>0</v>
      </c>
      <c r="C66" t="s">
        <v>69</v>
      </c>
      <c r="D66">
        <v>2019</v>
      </c>
      <c r="E66">
        <v>9</v>
      </c>
      <c r="F66">
        <f t="shared" si="2"/>
        <v>11</v>
      </c>
      <c r="G66">
        <f t="shared" si="3"/>
        <v>10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1.6500000000000001E-2</v>
      </c>
      <c r="AH66">
        <v>2.2734999999999999</v>
      </c>
      <c r="AI66">
        <v>17.062000000000001</v>
      </c>
      <c r="AJ66">
        <v>40.412500000000001</v>
      </c>
      <c r="AK66">
        <v>57.162999999999997</v>
      </c>
      <c r="AL66">
        <v>60.476500000000001</v>
      </c>
      <c r="AM66">
        <v>68.408500000000004</v>
      </c>
      <c r="AN66">
        <v>80.507000000000005</v>
      </c>
      <c r="AO66">
        <v>54.971499999999999</v>
      </c>
      <c r="AP66">
        <v>30.596499999999999</v>
      </c>
      <c r="AQ66">
        <v>21.716000000000001</v>
      </c>
      <c r="AR66">
        <v>12.5715</v>
      </c>
      <c r="AS66">
        <v>10.150499999999999</v>
      </c>
      <c r="AT66">
        <v>2.8740000000000001</v>
      </c>
      <c r="AU66">
        <v>0.80049999999999999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f>SUM(BG66:BQ66)</f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</row>
    <row r="67" spans="1:69" x14ac:dyDescent="0.2">
      <c r="A67">
        <f t="shared" ref="A67:A78" si="10">SUM(H67:BD67)</f>
        <v>253</v>
      </c>
      <c r="B67">
        <f t="shared" si="8"/>
        <v>0.48616600790513836</v>
      </c>
      <c r="C67" t="s">
        <v>70</v>
      </c>
      <c r="D67">
        <v>2020</v>
      </c>
      <c r="E67">
        <v>2</v>
      </c>
      <c r="F67">
        <f t="shared" ref="F67:F78" si="11">MID(C67,6,22)*1</f>
        <v>3</v>
      </c>
      <c r="G67">
        <f t="shared" ref="G67:G78" si="12">AVERAGE(E67:F67)</f>
        <v>2.5</v>
      </c>
      <c r="H67">
        <v>4.4489999999999998</v>
      </c>
      <c r="I67">
        <v>91.460999999999999</v>
      </c>
      <c r="J67">
        <v>26.401499999999999</v>
      </c>
      <c r="K67">
        <v>0.6885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1.55E-2</v>
      </c>
      <c r="W67">
        <v>1.091</v>
      </c>
      <c r="X67">
        <v>0.89349999999999996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0.83450000000000002</v>
      </c>
      <c r="AF67">
        <v>6.6440000000000001</v>
      </c>
      <c r="AG67">
        <v>7.6535000000000002</v>
      </c>
      <c r="AH67">
        <v>8.9429999999999996</v>
      </c>
      <c r="AI67">
        <v>9.7189999999999994</v>
      </c>
      <c r="AJ67">
        <v>4.0744999999999996</v>
      </c>
      <c r="AK67">
        <v>6.3170000000000002</v>
      </c>
      <c r="AL67">
        <v>12.944000000000001</v>
      </c>
      <c r="AM67">
        <v>15.8705</v>
      </c>
      <c r="AN67">
        <v>19.416499999999999</v>
      </c>
      <c r="AO67">
        <v>19.239999999999998</v>
      </c>
      <c r="AP67">
        <v>7.6855000000000002</v>
      </c>
      <c r="AQ67">
        <v>3.4375</v>
      </c>
      <c r="AR67">
        <v>2.2555000000000001</v>
      </c>
      <c r="AS67">
        <v>1.9650000000000001</v>
      </c>
      <c r="AT67">
        <v>0.19950000000000001</v>
      </c>
      <c r="AU67">
        <v>0.80049999999999999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f>SUM(BG67:BQ67)</f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</row>
    <row r="68" spans="1:69" x14ac:dyDescent="0.2">
      <c r="A68">
        <f t="shared" si="10"/>
        <v>0</v>
      </c>
      <c r="B68">
        <f t="shared" si="8"/>
        <v>0</v>
      </c>
      <c r="C68" t="s">
        <v>71</v>
      </c>
      <c r="D68">
        <v>2020</v>
      </c>
      <c r="E68">
        <v>9</v>
      </c>
      <c r="F68">
        <f t="shared" si="11"/>
        <v>11</v>
      </c>
      <c r="G68">
        <f t="shared" si="12"/>
        <v>10</v>
      </c>
    </row>
    <row r="69" spans="1:69" x14ac:dyDescent="0.2">
      <c r="A69">
        <f t="shared" si="10"/>
        <v>0</v>
      </c>
      <c r="B69">
        <f t="shared" si="8"/>
        <v>0</v>
      </c>
      <c r="C69" t="s">
        <v>72</v>
      </c>
      <c r="D69">
        <v>2021</v>
      </c>
      <c r="E69">
        <v>2</v>
      </c>
      <c r="F69">
        <f t="shared" si="11"/>
        <v>4</v>
      </c>
      <c r="G69">
        <f t="shared" si="12"/>
        <v>3</v>
      </c>
    </row>
    <row r="70" spans="1:69" x14ac:dyDescent="0.2">
      <c r="A70">
        <f t="shared" si="10"/>
        <v>250</v>
      </c>
      <c r="B70">
        <f t="shared" si="8"/>
        <v>0.42</v>
      </c>
      <c r="C70" t="s">
        <v>73</v>
      </c>
      <c r="D70">
        <v>2021</v>
      </c>
      <c r="E70">
        <v>9</v>
      </c>
      <c r="F70">
        <f t="shared" si="11"/>
        <v>11</v>
      </c>
      <c r="G70">
        <f t="shared" si="12"/>
        <v>10</v>
      </c>
      <c r="H70">
        <v>0</v>
      </c>
      <c r="I70">
        <v>4.1624999999999996</v>
      </c>
      <c r="J70">
        <v>69.176500000000004</v>
      </c>
      <c r="K70">
        <v>30.6755</v>
      </c>
      <c r="L70">
        <v>0.98550000000000004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0.5625</v>
      </c>
      <c r="AN70">
        <v>5.6654999999999998</v>
      </c>
      <c r="AO70">
        <v>13.195</v>
      </c>
      <c r="AP70">
        <v>14.438499999999999</v>
      </c>
      <c r="AQ70">
        <v>16.962499999999999</v>
      </c>
      <c r="AR70">
        <v>12.4735</v>
      </c>
      <c r="AS70">
        <v>19.089500000000001</v>
      </c>
      <c r="AT70">
        <v>21.4085</v>
      </c>
      <c r="AU70">
        <v>10.109500000000001</v>
      </c>
      <c r="AV70">
        <v>11.673</v>
      </c>
      <c r="AW70">
        <v>9.3119999999999994</v>
      </c>
      <c r="AX70">
        <v>6.0545</v>
      </c>
      <c r="AY70">
        <v>3.0554999999999999</v>
      </c>
      <c r="AZ70">
        <v>0.74550000000000005</v>
      </c>
      <c r="BA70">
        <v>0.2545</v>
      </c>
      <c r="BB70">
        <v>0</v>
      </c>
      <c r="BC70">
        <v>0</v>
      </c>
      <c r="BD70">
        <f>SUM(BG70:BQ70)</f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</row>
    <row r="71" spans="1:69" x14ac:dyDescent="0.2">
      <c r="A71">
        <f t="shared" si="10"/>
        <v>435.99999999999989</v>
      </c>
      <c r="B71">
        <f t="shared" si="8"/>
        <v>0</v>
      </c>
      <c r="C71" t="s">
        <v>74</v>
      </c>
      <c r="D71">
        <v>2022</v>
      </c>
      <c r="E71">
        <v>2</v>
      </c>
      <c r="F71">
        <f t="shared" si="11"/>
        <v>4</v>
      </c>
      <c r="G71">
        <f t="shared" si="12"/>
        <v>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1.4145000000000001</v>
      </c>
      <c r="AM71">
        <v>8.3354999999999997</v>
      </c>
      <c r="AN71">
        <v>25.508500000000002</v>
      </c>
      <c r="AO71">
        <v>30.843</v>
      </c>
      <c r="AP71">
        <v>38.647500000000001</v>
      </c>
      <c r="AQ71">
        <v>27.560500000000001</v>
      </c>
      <c r="AR71">
        <v>45.512999999999998</v>
      </c>
      <c r="AS71">
        <v>52.6875</v>
      </c>
      <c r="AT71">
        <v>61.270499999999998</v>
      </c>
      <c r="AU71">
        <v>41.096499999999999</v>
      </c>
      <c r="AV71">
        <v>29.463999999999999</v>
      </c>
      <c r="AW71">
        <v>22.361499999999999</v>
      </c>
      <c r="AX71">
        <v>27.694500000000001</v>
      </c>
      <c r="AY71">
        <v>13.53</v>
      </c>
      <c r="AZ71">
        <v>5.8005000000000004</v>
      </c>
      <c r="BA71">
        <v>3.782</v>
      </c>
      <c r="BB71">
        <v>0.49049999999999999</v>
      </c>
      <c r="BC71">
        <v>0</v>
      </c>
      <c r="BD71">
        <f>SUM(BG71:BQ71)</f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</row>
    <row r="72" spans="1:69" x14ac:dyDescent="0.2">
      <c r="A72">
        <f t="shared" si="10"/>
        <v>627.34950000000003</v>
      </c>
      <c r="B72">
        <f t="shared" si="8"/>
        <v>0.39905905719220308</v>
      </c>
      <c r="C72" t="s">
        <v>75</v>
      </c>
      <c r="D72">
        <v>2022</v>
      </c>
      <c r="E72">
        <v>9</v>
      </c>
      <c r="F72">
        <f t="shared" si="11"/>
        <v>10</v>
      </c>
      <c r="G72">
        <f t="shared" si="12"/>
        <v>9.5</v>
      </c>
      <c r="H72">
        <v>13.6965</v>
      </c>
      <c r="I72">
        <v>39.618000000000002</v>
      </c>
      <c r="J72">
        <v>163.10650000000001</v>
      </c>
      <c r="K72">
        <v>31.9575</v>
      </c>
      <c r="L72">
        <v>1.9710000000000001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0.92549999999999999</v>
      </c>
      <c r="AG72">
        <v>24.949000000000002</v>
      </c>
      <c r="AH72">
        <v>60.725499999999997</v>
      </c>
      <c r="AI72">
        <v>85.691999999999993</v>
      </c>
      <c r="AJ72">
        <v>74.209500000000006</v>
      </c>
      <c r="AK72">
        <v>50.391500000000001</v>
      </c>
      <c r="AL72">
        <v>28.366</v>
      </c>
      <c r="AM72">
        <v>19.9285</v>
      </c>
      <c r="AN72">
        <v>10.694000000000001</v>
      </c>
      <c r="AO72">
        <v>9.0745000000000005</v>
      </c>
      <c r="AP72">
        <v>5.3860000000000001</v>
      </c>
      <c r="AQ72">
        <v>4.3639999999999999</v>
      </c>
      <c r="AR72">
        <v>0.29399999999999998</v>
      </c>
      <c r="AS72">
        <v>0.1085</v>
      </c>
      <c r="AT72">
        <v>1.091</v>
      </c>
      <c r="AU72">
        <v>0.80049999999999999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f>SUM(BG72:BQ72)</f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</row>
    <row r="73" spans="1:69" x14ac:dyDescent="0.2">
      <c r="A73">
        <f t="shared" si="10"/>
        <v>62</v>
      </c>
      <c r="B73">
        <f t="shared" si="8"/>
        <v>1</v>
      </c>
      <c r="C73" t="s">
        <v>76</v>
      </c>
      <c r="D73">
        <v>2023</v>
      </c>
      <c r="E73">
        <v>2</v>
      </c>
      <c r="F73">
        <f t="shared" si="11"/>
        <v>4</v>
      </c>
      <c r="G73">
        <f t="shared" si="12"/>
        <v>3</v>
      </c>
      <c r="H73">
        <v>0</v>
      </c>
      <c r="I73">
        <v>43.29</v>
      </c>
      <c r="J73">
        <v>17.945</v>
      </c>
      <c r="K73">
        <v>0.76500000000000001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f>SUM(BG73:BQ73)</f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</row>
    <row r="74" spans="1:69" x14ac:dyDescent="0.2">
      <c r="A74">
        <f t="shared" si="10"/>
        <v>80</v>
      </c>
      <c r="B74">
        <f t="shared" si="8"/>
        <v>1</v>
      </c>
      <c r="C74" t="s">
        <v>77</v>
      </c>
      <c r="D74">
        <v>2023</v>
      </c>
      <c r="E74">
        <v>9</v>
      </c>
      <c r="F74">
        <f t="shared" si="11"/>
        <v>10</v>
      </c>
      <c r="G74">
        <f t="shared" si="12"/>
        <v>9.5</v>
      </c>
      <c r="H74">
        <v>0</v>
      </c>
      <c r="I74">
        <v>4.1624999999999996</v>
      </c>
      <c r="J74">
        <v>41.471499999999999</v>
      </c>
      <c r="K74">
        <v>28.380500000000001</v>
      </c>
      <c r="L74">
        <v>0.98550000000000004</v>
      </c>
      <c r="M74">
        <v>0.98250000000000004</v>
      </c>
      <c r="N74">
        <v>4.0175000000000001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f>SUM(BG74:BQ74)</f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</row>
    <row r="75" spans="1:69" x14ac:dyDescent="0.2">
      <c r="A75">
        <f t="shared" si="10"/>
        <v>0</v>
      </c>
      <c r="B75">
        <f t="shared" si="8"/>
        <v>0</v>
      </c>
      <c r="C75" t="s">
        <v>78</v>
      </c>
      <c r="D75">
        <v>2024</v>
      </c>
      <c r="E75">
        <v>2</v>
      </c>
      <c r="F75">
        <f t="shared" si="11"/>
        <v>4</v>
      </c>
      <c r="G75">
        <f t="shared" si="12"/>
        <v>3</v>
      </c>
    </row>
    <row r="76" spans="1:69" x14ac:dyDescent="0.2">
      <c r="A76">
        <f t="shared" si="10"/>
        <v>1025.6305</v>
      </c>
      <c r="B76">
        <f t="shared" si="8"/>
        <v>1</v>
      </c>
      <c r="C76" t="s">
        <v>79</v>
      </c>
      <c r="D76">
        <v>2024</v>
      </c>
      <c r="E76">
        <v>9</v>
      </c>
      <c r="F76">
        <f t="shared" si="11"/>
        <v>10</v>
      </c>
      <c r="G76">
        <f t="shared" si="12"/>
        <v>9.5</v>
      </c>
      <c r="H76">
        <v>350.2715</v>
      </c>
      <c r="I76">
        <v>433.709</v>
      </c>
      <c r="J76">
        <v>150.459</v>
      </c>
      <c r="K76">
        <v>75.408500000000004</v>
      </c>
      <c r="L76">
        <v>14.782500000000001</v>
      </c>
      <c r="M76">
        <v>0.19650000000000001</v>
      </c>
      <c r="N76">
        <v>0.80349999999999999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f>SUM(BG76:BQ76)</f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 spans="1:69" x14ac:dyDescent="0.2">
      <c r="A77">
        <f t="shared" si="10"/>
        <v>0</v>
      </c>
      <c r="B77">
        <f t="shared" si="8"/>
        <v>0</v>
      </c>
      <c r="C77" t="s">
        <v>80</v>
      </c>
      <c r="D77">
        <v>2025</v>
      </c>
      <c r="E77">
        <v>2</v>
      </c>
      <c r="F77">
        <f t="shared" si="11"/>
        <v>4</v>
      </c>
      <c r="G77">
        <f t="shared" si="12"/>
        <v>3</v>
      </c>
    </row>
    <row r="78" spans="1:69" x14ac:dyDescent="0.2">
      <c r="A78">
        <f t="shared" si="10"/>
        <v>307.84449999999998</v>
      </c>
      <c r="B78">
        <f t="shared" si="8"/>
        <v>1</v>
      </c>
      <c r="C78" t="s">
        <v>81</v>
      </c>
      <c r="D78">
        <v>2025</v>
      </c>
      <c r="E78">
        <v>9</v>
      </c>
      <c r="F78">
        <f t="shared" si="11"/>
        <v>10</v>
      </c>
      <c r="G78">
        <f t="shared" si="12"/>
        <v>9.5</v>
      </c>
      <c r="H78">
        <v>122.4845</v>
      </c>
      <c r="I78">
        <v>150.41749999999999</v>
      </c>
      <c r="J78">
        <v>30.254000000000001</v>
      </c>
      <c r="K78">
        <v>2.7029999999999998</v>
      </c>
      <c r="L78">
        <v>1.091</v>
      </c>
      <c r="M78">
        <v>0.89449999999999996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f>SUM(BG78:BQ78)</f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</sheetData>
  <conditionalFormatting sqref="B2:B7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Ianelli</dc:creator>
  <cp:lastModifiedBy>James Ianelli</cp:lastModifiedBy>
  <dcterms:created xsi:type="dcterms:W3CDTF">2026-05-21T02:18:05Z</dcterms:created>
  <dcterms:modified xsi:type="dcterms:W3CDTF">2026-05-21T06:38:30Z</dcterms:modified>
</cp:coreProperties>
</file>