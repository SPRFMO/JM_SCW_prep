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i unidad\JUREL\CTPjurel2025\OROP-PS\GrupoNacional\TEMPLATES\"/>
    </mc:Choice>
  </mc:AlternateContent>
  <xr:revisionPtr revIDLastSave="0" documentId="13_ncr:1_{83C28BE2-B334-45A6-A1A2-7B4E1133E14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8 (Edad)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5" i="1" l="1"/>
  <c r="AC5" i="1"/>
</calcChain>
</file>

<file path=xl/sharedStrings.xml><?xml version="1.0" encoding="utf-8"?>
<sst xmlns="http://schemas.openxmlformats.org/spreadsheetml/2006/main" count="13" uniqueCount="13">
  <si>
    <t>AGE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</si>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</sst>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8">
    <xf numFmtId="0" fontId="0" fillId="0" borderId="0" xfId="0"/>
    <xf numFmtId="41" fontId="0" fillId="0" borderId="0" xfId="0" applyNumberFormat="1"/>
    <xf numFmtId="0" fontId="0" fillId="0" borderId="1" xfId="0" applyBorder="1"/>
    <xf numFmtId="41" fontId="0" fillId="0" borderId="1" xfId="1" applyFont="1" applyBorder="1"/>
    <xf numFmtId="0" fontId="0" fillId="0" borderId="1" xfId="0" applyBorder="1" applyAlignment="1">
      <alignment horizontal="center"/>
    </xf>
    <xf numFmtId="1" fontId="0" fillId="0" borderId="0" xfId="0" applyNumberFormat="1"/>
    <xf numFmtId="0" fontId="2" fillId="0" borderId="0" xfId="0" applyFont="1"/>
    <xf numFmtId="0" fontId="2" fillId="0" borderId="1" xfId="0" applyFont="1" applyBorder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</c:view3D>
    <c:floor>
      <c:thickness val="0"/>
      <c:spPr>
        <a:noFill/>
        <a:ln w="9525" cap="flat" cmpd="sng" algn="ctr">
          <a:solidFill>
            <a:schemeClr val="tx1"/>
          </a:solidFill>
          <a:round/>
        </a:ln>
        <a:effectLst/>
        <a:sp3d contourW="9525">
          <a:contourClr>
            <a:schemeClr val="tx1"/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6713304474538559E-2"/>
          <c:y val="0"/>
          <c:w val="0.95285518382339773"/>
          <c:h val="0.86720282761545209"/>
        </c:manualLayout>
      </c:layout>
      <c:area3DChart>
        <c:grouping val="standard"/>
        <c:varyColors val="0"/>
        <c:ser>
          <c:idx val="2"/>
          <c:order val="0"/>
          <c:tx>
            <c:strRef>
              <c:f>'F8 (Edad)'!$C$3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  <a:sp3d/>
          </c:spPr>
          <c:cat>
            <c:strRef>
              <c:f>'F8 (Edad)'!$B$4:$B$16</c:f>
              <c:strCache>
                <c:ptCount val="13"/>
                <c:pt idx="0">
                  <c:v>0</c:v>
                </c:pt>
                <c:pt idx="1">
                  <c:v>I</c:v>
                </c:pt>
                <c:pt idx="2">
                  <c:v>II</c:v>
                </c:pt>
                <c:pt idx="3">
                  <c:v>III</c:v>
                </c:pt>
                <c:pt idx="4">
                  <c:v>IV</c:v>
                </c:pt>
                <c:pt idx="5">
                  <c:v>V</c:v>
                </c:pt>
                <c:pt idx="6">
                  <c:v>VI</c:v>
                </c:pt>
                <c:pt idx="7">
                  <c:v>VII</c:v>
                </c:pt>
                <c:pt idx="8">
                  <c:v>VIII</c:v>
                </c:pt>
                <c:pt idx="9">
                  <c:v>IX</c:v>
                </c:pt>
                <c:pt idx="10">
                  <c:v>X</c:v>
                </c:pt>
                <c:pt idx="11">
                  <c:v>XI</c:v>
                </c:pt>
                <c:pt idx="12">
                  <c:v>XII</c:v>
                </c:pt>
              </c:strCache>
            </c:strRef>
          </c:cat>
          <c:val>
            <c:numRef>
              <c:f>'F8 (Edad)'!$C$4:$C$16</c:f>
              <c:numCache>
                <c:formatCode>_(* #,##0_);_(* \(#,##0\);_(* "-"_);_(@_)</c:formatCode>
                <c:ptCount val="13"/>
                <c:pt idx="1">
                  <c:v>352635730.31053436</c:v>
                </c:pt>
                <c:pt idx="2">
                  <c:v>99449256.34729898</c:v>
                </c:pt>
                <c:pt idx="3">
                  <c:v>162612685.83284849</c:v>
                </c:pt>
                <c:pt idx="4">
                  <c:v>117769450.64135391</c:v>
                </c:pt>
                <c:pt idx="5">
                  <c:v>39459468.247964285</c:v>
                </c:pt>
                <c:pt idx="6">
                  <c:v>8121775.8900000006</c:v>
                </c:pt>
                <c:pt idx="7">
                  <c:v>617808.99959999998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6B-4657-AFB6-AF6B7AC25BCB}"/>
            </c:ext>
          </c:extLst>
        </c:ser>
        <c:ser>
          <c:idx val="3"/>
          <c:order val="1"/>
          <c:tx>
            <c:strRef>
              <c:f>'F8 (Edad)'!$D$3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strRef>
              <c:f>'F8 (Edad)'!$B$4:$B$16</c:f>
              <c:strCache>
                <c:ptCount val="13"/>
                <c:pt idx="0">
                  <c:v>0</c:v>
                </c:pt>
                <c:pt idx="1">
                  <c:v>I</c:v>
                </c:pt>
                <c:pt idx="2">
                  <c:v>II</c:v>
                </c:pt>
                <c:pt idx="3">
                  <c:v>III</c:v>
                </c:pt>
                <c:pt idx="4">
                  <c:v>IV</c:v>
                </c:pt>
                <c:pt idx="5">
                  <c:v>V</c:v>
                </c:pt>
                <c:pt idx="6">
                  <c:v>VI</c:v>
                </c:pt>
                <c:pt idx="7">
                  <c:v>VII</c:v>
                </c:pt>
                <c:pt idx="8">
                  <c:v>VIII</c:v>
                </c:pt>
                <c:pt idx="9">
                  <c:v>IX</c:v>
                </c:pt>
                <c:pt idx="10">
                  <c:v>X</c:v>
                </c:pt>
                <c:pt idx="11">
                  <c:v>XI</c:v>
                </c:pt>
                <c:pt idx="12">
                  <c:v>XII</c:v>
                </c:pt>
              </c:strCache>
            </c:strRef>
          </c:cat>
          <c:val>
            <c:numRef>
              <c:f>'F8 (Edad)'!$D$4:$D$16</c:f>
              <c:numCache>
                <c:formatCode>_(* #,##0_);_(* \(#,##0\);_(* "-"_);_(@_)</c:formatCode>
                <c:ptCount val="13"/>
                <c:pt idx="1">
                  <c:v>1513110964.6102731</c:v>
                </c:pt>
                <c:pt idx="2">
                  <c:v>36027909.186093949</c:v>
                </c:pt>
                <c:pt idx="3">
                  <c:v>5207472.4870333336</c:v>
                </c:pt>
                <c:pt idx="4">
                  <c:v>19260759.88955</c:v>
                </c:pt>
                <c:pt idx="5">
                  <c:v>12260213.422950001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6B-4657-AFB6-AF6B7AC25BCB}"/>
            </c:ext>
          </c:extLst>
        </c:ser>
        <c:ser>
          <c:idx val="4"/>
          <c:order val="2"/>
          <c:tx>
            <c:strRef>
              <c:f>'F8 (Edad)'!$E$3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strRef>
              <c:f>'F8 (Edad)'!$B$4:$B$16</c:f>
              <c:strCache>
                <c:ptCount val="13"/>
                <c:pt idx="0">
                  <c:v>0</c:v>
                </c:pt>
                <c:pt idx="1">
                  <c:v>I</c:v>
                </c:pt>
                <c:pt idx="2">
                  <c:v>II</c:v>
                </c:pt>
                <c:pt idx="3">
                  <c:v>III</c:v>
                </c:pt>
                <c:pt idx="4">
                  <c:v>IV</c:v>
                </c:pt>
                <c:pt idx="5">
                  <c:v>V</c:v>
                </c:pt>
                <c:pt idx="6">
                  <c:v>VI</c:v>
                </c:pt>
                <c:pt idx="7">
                  <c:v>VII</c:v>
                </c:pt>
                <c:pt idx="8">
                  <c:v>VIII</c:v>
                </c:pt>
                <c:pt idx="9">
                  <c:v>IX</c:v>
                </c:pt>
                <c:pt idx="10">
                  <c:v>X</c:v>
                </c:pt>
                <c:pt idx="11">
                  <c:v>XI</c:v>
                </c:pt>
                <c:pt idx="12">
                  <c:v>XII</c:v>
                </c:pt>
              </c:strCache>
            </c:strRef>
          </c:cat>
          <c:val>
            <c:numRef>
              <c:f>'F8 (Edad)'!$E$4:$E$16</c:f>
              <c:numCache>
                <c:formatCode>_(* #,##0_);_(* \(#,##0\);_(* "-"_);_(@_)</c:formatCode>
                <c:ptCount val="13"/>
                <c:pt idx="1">
                  <c:v>4148979593.5104208</c:v>
                </c:pt>
                <c:pt idx="2">
                  <c:v>1178231755.8645787</c:v>
                </c:pt>
                <c:pt idx="3">
                  <c:v>237687856.53277776</c:v>
                </c:pt>
                <c:pt idx="4">
                  <c:v>137296675.80344445</c:v>
                </c:pt>
                <c:pt idx="5">
                  <c:v>39810016.949111104</c:v>
                </c:pt>
                <c:pt idx="6">
                  <c:v>2281130.5396666699</c:v>
                </c:pt>
                <c:pt idx="7">
                  <c:v>1268612.835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6B-4657-AFB6-AF6B7AC25BCB}"/>
            </c:ext>
          </c:extLst>
        </c:ser>
        <c:ser>
          <c:idx val="5"/>
          <c:order val="3"/>
          <c:tx>
            <c:strRef>
              <c:f>'F8 (Edad)'!$F$3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cat>
            <c:strRef>
              <c:f>'F8 (Edad)'!$B$4:$B$16</c:f>
              <c:strCache>
                <c:ptCount val="13"/>
                <c:pt idx="0">
                  <c:v>0</c:v>
                </c:pt>
                <c:pt idx="1">
                  <c:v>I</c:v>
                </c:pt>
                <c:pt idx="2">
                  <c:v>II</c:v>
                </c:pt>
                <c:pt idx="3">
                  <c:v>III</c:v>
                </c:pt>
                <c:pt idx="4">
                  <c:v>IV</c:v>
                </c:pt>
                <c:pt idx="5">
                  <c:v>V</c:v>
                </c:pt>
                <c:pt idx="6">
                  <c:v>VI</c:v>
                </c:pt>
                <c:pt idx="7">
                  <c:v>VII</c:v>
                </c:pt>
                <c:pt idx="8">
                  <c:v>VIII</c:v>
                </c:pt>
                <c:pt idx="9">
                  <c:v>IX</c:v>
                </c:pt>
                <c:pt idx="10">
                  <c:v>X</c:v>
                </c:pt>
                <c:pt idx="11">
                  <c:v>XI</c:v>
                </c:pt>
                <c:pt idx="12">
                  <c:v>XII</c:v>
                </c:pt>
              </c:strCache>
            </c:strRef>
          </c:cat>
          <c:val>
            <c:numRef>
              <c:f>'F8 (Edad)'!$F$4:$F$16</c:f>
              <c:numCache>
                <c:formatCode>_(* #,##0_);_(* \(#,##0\);_(* "-"_);_(@_)</c:formatCode>
                <c:ptCount val="13"/>
                <c:pt idx="1">
                  <c:v>4909363935.2459993</c:v>
                </c:pt>
                <c:pt idx="2">
                  <c:v>1306797663.1941736</c:v>
                </c:pt>
                <c:pt idx="3">
                  <c:v>282728837.76879662</c:v>
                </c:pt>
                <c:pt idx="4">
                  <c:v>127339089.00203031</c:v>
                </c:pt>
                <c:pt idx="5">
                  <c:v>45462323.496833347</c:v>
                </c:pt>
                <c:pt idx="6">
                  <c:v>27689629.942333329</c:v>
                </c:pt>
                <c:pt idx="7">
                  <c:v>13556200.189833339</c:v>
                </c:pt>
                <c:pt idx="9">
                  <c:v>4016267.0579999997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56B-4657-AFB6-AF6B7AC25BCB}"/>
            </c:ext>
          </c:extLst>
        </c:ser>
        <c:ser>
          <c:idx val="6"/>
          <c:order val="4"/>
          <c:tx>
            <c:strRef>
              <c:f>'F8 (Edad)'!$G$3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'F8 (Edad)'!$B$4:$B$16</c:f>
              <c:strCache>
                <c:ptCount val="13"/>
                <c:pt idx="0">
                  <c:v>0</c:v>
                </c:pt>
                <c:pt idx="1">
                  <c:v>I</c:v>
                </c:pt>
                <c:pt idx="2">
                  <c:v>II</c:v>
                </c:pt>
                <c:pt idx="3">
                  <c:v>III</c:v>
                </c:pt>
                <c:pt idx="4">
                  <c:v>IV</c:v>
                </c:pt>
                <c:pt idx="5">
                  <c:v>V</c:v>
                </c:pt>
                <c:pt idx="6">
                  <c:v>VI</c:v>
                </c:pt>
                <c:pt idx="7">
                  <c:v>VII</c:v>
                </c:pt>
                <c:pt idx="8">
                  <c:v>VIII</c:v>
                </c:pt>
                <c:pt idx="9">
                  <c:v>IX</c:v>
                </c:pt>
                <c:pt idx="10">
                  <c:v>X</c:v>
                </c:pt>
                <c:pt idx="11">
                  <c:v>XI</c:v>
                </c:pt>
                <c:pt idx="12">
                  <c:v>XII</c:v>
                </c:pt>
              </c:strCache>
            </c:strRef>
          </c:cat>
          <c:val>
            <c:numRef>
              <c:f>'F8 (Edad)'!$G$4:$G$16</c:f>
              <c:numCache>
                <c:formatCode>_(* #,##0_);_(* \(#,##0\);_(* "-"_);_(@_)</c:formatCode>
                <c:ptCount val="13"/>
                <c:pt idx="1">
                  <c:v>6505460254.5975838</c:v>
                </c:pt>
                <c:pt idx="2">
                  <c:v>1390111064.4855661</c:v>
                </c:pt>
                <c:pt idx="3">
                  <c:v>481417629.76467901</c:v>
                </c:pt>
                <c:pt idx="4">
                  <c:v>110777064.79507139</c:v>
                </c:pt>
                <c:pt idx="5">
                  <c:v>34460527.765000001</c:v>
                </c:pt>
                <c:pt idx="7">
                  <c:v>4504618.3140000002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6B-4657-AFB6-AF6B7AC25BCB}"/>
            </c:ext>
          </c:extLst>
        </c:ser>
        <c:ser>
          <c:idx val="7"/>
          <c:order val="5"/>
          <c:tx>
            <c:strRef>
              <c:f>'F8 (Edad)'!$H$3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'F8 (Edad)'!$B$4:$B$16</c:f>
              <c:strCache>
                <c:ptCount val="13"/>
                <c:pt idx="0">
                  <c:v>0</c:v>
                </c:pt>
                <c:pt idx="1">
                  <c:v>I</c:v>
                </c:pt>
                <c:pt idx="2">
                  <c:v>II</c:v>
                </c:pt>
                <c:pt idx="3">
                  <c:v>III</c:v>
                </c:pt>
                <c:pt idx="4">
                  <c:v>IV</c:v>
                </c:pt>
                <c:pt idx="5">
                  <c:v>V</c:v>
                </c:pt>
                <c:pt idx="6">
                  <c:v>VI</c:v>
                </c:pt>
                <c:pt idx="7">
                  <c:v>VII</c:v>
                </c:pt>
                <c:pt idx="8">
                  <c:v>VIII</c:v>
                </c:pt>
                <c:pt idx="9">
                  <c:v>IX</c:v>
                </c:pt>
                <c:pt idx="10">
                  <c:v>X</c:v>
                </c:pt>
                <c:pt idx="11">
                  <c:v>XI</c:v>
                </c:pt>
                <c:pt idx="12">
                  <c:v>XII</c:v>
                </c:pt>
              </c:strCache>
            </c:strRef>
          </c:cat>
          <c:val>
            <c:numRef>
              <c:f>'F8 (Edad)'!$H$4:$H$16</c:f>
              <c:numCache>
                <c:formatCode>_(* #,##0_);_(* \(#,##0\);_(* "-"_);_(@_)</c:formatCode>
                <c:ptCount val="13"/>
                <c:pt idx="1">
                  <c:v>9400054906.5200005</c:v>
                </c:pt>
                <c:pt idx="2">
                  <c:v>506578095.21645933</c:v>
                </c:pt>
                <c:pt idx="3">
                  <c:v>107735337.3106661</c:v>
                </c:pt>
                <c:pt idx="4">
                  <c:v>21122802.01054167</c:v>
                </c:pt>
                <c:pt idx="5">
                  <c:v>10651601.77883333</c:v>
                </c:pt>
                <c:pt idx="6">
                  <c:v>3650418.9414999997</c:v>
                </c:pt>
                <c:pt idx="7">
                  <c:v>3091627.0410000002</c:v>
                </c:pt>
                <c:pt idx="8">
                  <c:v>854577.95319999999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56B-4657-AFB6-AF6B7AC25BCB}"/>
            </c:ext>
          </c:extLst>
        </c:ser>
        <c:ser>
          <c:idx val="8"/>
          <c:order val="6"/>
          <c:tx>
            <c:strRef>
              <c:f>'F8 (Edad)'!$I$3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'F8 (Edad)'!$B$4:$B$16</c:f>
              <c:strCache>
                <c:ptCount val="13"/>
                <c:pt idx="0">
                  <c:v>0</c:v>
                </c:pt>
                <c:pt idx="1">
                  <c:v>I</c:v>
                </c:pt>
                <c:pt idx="2">
                  <c:v>II</c:v>
                </c:pt>
                <c:pt idx="3">
                  <c:v>III</c:v>
                </c:pt>
                <c:pt idx="4">
                  <c:v>IV</c:v>
                </c:pt>
                <c:pt idx="5">
                  <c:v>V</c:v>
                </c:pt>
                <c:pt idx="6">
                  <c:v>VI</c:v>
                </c:pt>
                <c:pt idx="7">
                  <c:v>VII</c:v>
                </c:pt>
                <c:pt idx="8">
                  <c:v>VIII</c:v>
                </c:pt>
                <c:pt idx="9">
                  <c:v>IX</c:v>
                </c:pt>
                <c:pt idx="10">
                  <c:v>X</c:v>
                </c:pt>
                <c:pt idx="11">
                  <c:v>XI</c:v>
                </c:pt>
                <c:pt idx="12">
                  <c:v>XII</c:v>
                </c:pt>
              </c:strCache>
            </c:strRef>
          </c:cat>
          <c:val>
            <c:numRef>
              <c:f>'F8 (Edad)'!$I$4:$I$16</c:f>
              <c:numCache>
                <c:formatCode>_(* #,##0_);_(* \(#,##0\);_(* "-"_);_(@_)</c:formatCode>
                <c:ptCount val="13"/>
                <c:pt idx="1">
                  <c:v>1338769114.8699996</c:v>
                </c:pt>
                <c:pt idx="2">
                  <c:v>5059062305.0585442</c:v>
                </c:pt>
                <c:pt idx="3">
                  <c:v>1702772500.4601183</c:v>
                </c:pt>
                <c:pt idx="4">
                  <c:v>313053153.17333329</c:v>
                </c:pt>
                <c:pt idx="5">
                  <c:v>73795885.387999997</c:v>
                </c:pt>
                <c:pt idx="6">
                  <c:v>47260405.332000002</c:v>
                </c:pt>
                <c:pt idx="7">
                  <c:v>6554281.1639999989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56B-4657-AFB6-AF6B7AC25BCB}"/>
            </c:ext>
          </c:extLst>
        </c:ser>
        <c:ser>
          <c:idx val="9"/>
          <c:order val="7"/>
          <c:tx>
            <c:strRef>
              <c:f>'F8 (Edad)'!$J$3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'F8 (Edad)'!$B$4:$B$16</c:f>
              <c:strCache>
                <c:ptCount val="13"/>
                <c:pt idx="0">
                  <c:v>0</c:v>
                </c:pt>
                <c:pt idx="1">
                  <c:v>I</c:v>
                </c:pt>
                <c:pt idx="2">
                  <c:v>II</c:v>
                </c:pt>
                <c:pt idx="3">
                  <c:v>III</c:v>
                </c:pt>
                <c:pt idx="4">
                  <c:v>IV</c:v>
                </c:pt>
                <c:pt idx="5">
                  <c:v>V</c:v>
                </c:pt>
                <c:pt idx="6">
                  <c:v>VI</c:v>
                </c:pt>
                <c:pt idx="7">
                  <c:v>VII</c:v>
                </c:pt>
                <c:pt idx="8">
                  <c:v>VIII</c:v>
                </c:pt>
                <c:pt idx="9">
                  <c:v>IX</c:v>
                </c:pt>
                <c:pt idx="10">
                  <c:v>X</c:v>
                </c:pt>
                <c:pt idx="11">
                  <c:v>XI</c:v>
                </c:pt>
                <c:pt idx="12">
                  <c:v>XII</c:v>
                </c:pt>
              </c:strCache>
            </c:strRef>
          </c:cat>
          <c:val>
            <c:numRef>
              <c:f>'F8 (Edad)'!$J$4:$J$16</c:f>
              <c:numCache>
                <c:formatCode>_(* #,##0_);_(* \(#,##0\);_(* "-"_);_(@_)</c:formatCode>
                <c:ptCount val="13"/>
                <c:pt idx="1">
                  <c:v>2075640491.6671429</c:v>
                </c:pt>
                <c:pt idx="2">
                  <c:v>715513768.37102747</c:v>
                </c:pt>
                <c:pt idx="3">
                  <c:v>2285598677.0429974</c:v>
                </c:pt>
                <c:pt idx="4">
                  <c:v>2810449620.5896592</c:v>
                </c:pt>
                <c:pt idx="5">
                  <c:v>973363801.17600751</c:v>
                </c:pt>
                <c:pt idx="6">
                  <c:v>153178194.8111667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56B-4657-AFB6-AF6B7AC25BCB}"/>
            </c:ext>
          </c:extLst>
        </c:ser>
        <c:ser>
          <c:idx val="10"/>
          <c:order val="8"/>
          <c:tx>
            <c:strRef>
              <c:f>'F8 (Edad)'!$K$3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>
              <a:outerShdw blurRad="50800" dist="50800" dir="5400000" algn="ctr" rotWithShape="0">
                <a:srgbClr val="000000"/>
              </a:outerShdw>
            </a:effectLst>
            <a:scene3d>
              <a:camera prst="orthographicFront"/>
              <a:lightRig rig="threePt" dir="t"/>
            </a:scene3d>
            <a:sp3d prstMaterial="powder"/>
          </c:spPr>
          <c:cat>
            <c:strRef>
              <c:f>'F8 (Edad)'!$B$4:$B$16</c:f>
              <c:strCache>
                <c:ptCount val="13"/>
                <c:pt idx="0">
                  <c:v>0</c:v>
                </c:pt>
                <c:pt idx="1">
                  <c:v>I</c:v>
                </c:pt>
                <c:pt idx="2">
                  <c:v>II</c:v>
                </c:pt>
                <c:pt idx="3">
                  <c:v>III</c:v>
                </c:pt>
                <c:pt idx="4">
                  <c:v>IV</c:v>
                </c:pt>
                <c:pt idx="5">
                  <c:v>V</c:v>
                </c:pt>
                <c:pt idx="6">
                  <c:v>VI</c:v>
                </c:pt>
                <c:pt idx="7">
                  <c:v>VII</c:v>
                </c:pt>
                <c:pt idx="8">
                  <c:v>VIII</c:v>
                </c:pt>
                <c:pt idx="9">
                  <c:v>IX</c:v>
                </c:pt>
                <c:pt idx="10">
                  <c:v>X</c:v>
                </c:pt>
                <c:pt idx="11">
                  <c:v>XI</c:v>
                </c:pt>
                <c:pt idx="12">
                  <c:v>XII</c:v>
                </c:pt>
              </c:strCache>
            </c:strRef>
          </c:cat>
          <c:val>
            <c:numRef>
              <c:f>'F8 (Edad)'!$K$4:$K$16</c:f>
              <c:numCache>
                <c:formatCode>_(* #,##0_);_(* \(#,##0\);_(* "-"_);_(@_)</c:formatCode>
                <c:ptCount val="13"/>
                <c:pt idx="1">
                  <c:v>7722677667.4020004</c:v>
                </c:pt>
                <c:pt idx="2">
                  <c:v>60021100.932291001</c:v>
                </c:pt>
                <c:pt idx="3">
                  <c:v>1642708526.270221</c:v>
                </c:pt>
                <c:pt idx="4">
                  <c:v>1719647306.025435</c:v>
                </c:pt>
                <c:pt idx="5">
                  <c:v>563138536.63031077</c:v>
                </c:pt>
                <c:pt idx="6">
                  <c:v>357534381.61846507</c:v>
                </c:pt>
                <c:pt idx="7">
                  <c:v>187812113.63169146</c:v>
                </c:pt>
                <c:pt idx="8">
                  <c:v>0</c:v>
                </c:pt>
                <c:pt idx="9">
                  <c:v>7913598.7478425913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56B-4657-AFB6-AF6B7AC25BCB}"/>
            </c:ext>
          </c:extLst>
        </c:ser>
        <c:ser>
          <c:idx val="11"/>
          <c:order val="9"/>
          <c:tx>
            <c:strRef>
              <c:f>'F8 (Edad)'!$L$3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  <a:sp3d/>
          </c:spPr>
          <c:val>
            <c:numRef>
              <c:f>'F8 (Edad)'!$L$4:$L$16</c:f>
              <c:numCache>
                <c:formatCode>_(* #,##0_);_(* \(#,##0\);_(* "-"_);_(@_)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B-056B-4657-AFB6-AF6B7AC25BCB}"/>
            </c:ext>
          </c:extLst>
        </c:ser>
        <c:ser>
          <c:idx val="12"/>
          <c:order val="10"/>
          <c:tx>
            <c:strRef>
              <c:f>'F8 (Edad)'!$M$3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 w="25400">
              <a:noFill/>
            </a:ln>
            <a:effectLst/>
            <a:sp3d/>
          </c:spPr>
          <c:val>
            <c:numRef>
              <c:f>'F8 (Edad)'!$M$4:$M$16</c:f>
              <c:numCache>
                <c:formatCode>_(* #,##0_);_(* \(#,##0\);_(* "-"_);_(@_)</c:formatCode>
                <c:ptCount val="13"/>
                <c:pt idx="1">
                  <c:v>314185366.1906628</c:v>
                </c:pt>
                <c:pt idx="2">
                  <c:v>1208576960.4479692</c:v>
                </c:pt>
                <c:pt idx="3">
                  <c:v>1572520512.9994705</c:v>
                </c:pt>
                <c:pt idx="4">
                  <c:v>1460553755.6820002</c:v>
                </c:pt>
                <c:pt idx="5">
                  <c:v>924944927.54171836</c:v>
                </c:pt>
                <c:pt idx="6">
                  <c:v>737214084.50275397</c:v>
                </c:pt>
                <c:pt idx="7">
                  <c:v>378962732.67100096</c:v>
                </c:pt>
                <c:pt idx="8">
                  <c:v>73364877.735424772</c:v>
                </c:pt>
                <c:pt idx="9">
                  <c:v>22727433.789795153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56B-4657-AFB6-AF6B7AC25BCB}"/>
            </c:ext>
          </c:extLst>
        </c:ser>
        <c:ser>
          <c:idx val="13"/>
          <c:order val="11"/>
          <c:tx>
            <c:strRef>
              <c:f>'F8 (Edad)'!$N$3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 w="25400">
              <a:noFill/>
            </a:ln>
            <a:effectLst/>
            <a:sp3d/>
          </c:spPr>
          <c:val>
            <c:numRef>
              <c:f>'F8 (Edad)'!$N$4:$N$16</c:f>
              <c:numCache>
                <c:formatCode>_(* #,##0_);_(* \(#,##0\);_(* "-"_);_(@_)</c:formatCode>
                <c:ptCount val="13"/>
                <c:pt idx="1">
                  <c:v>8974677022.1990471</c:v>
                </c:pt>
                <c:pt idx="2">
                  <c:v>211702156.33911565</c:v>
                </c:pt>
                <c:pt idx="3">
                  <c:v>720775781.37305987</c:v>
                </c:pt>
                <c:pt idx="4">
                  <c:v>1182489735.5270712</c:v>
                </c:pt>
                <c:pt idx="5">
                  <c:v>1146799966.9431043</c:v>
                </c:pt>
                <c:pt idx="6">
                  <c:v>706619139.70248187</c:v>
                </c:pt>
                <c:pt idx="7">
                  <c:v>514098857.04917693</c:v>
                </c:pt>
                <c:pt idx="8">
                  <c:v>69589074.580233321</c:v>
                </c:pt>
                <c:pt idx="9">
                  <c:v>3610955.0841872133</c:v>
                </c:pt>
                <c:pt idx="10">
                  <c:v>992643.10677767219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96-4AC3-8B8E-2C13824A8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7482592"/>
        <c:axId val="1037485544"/>
        <c:axId val="1770112400"/>
      </c:area3DChart>
      <c:catAx>
        <c:axId val="1037482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sz="1200">
                    <a:solidFill>
                      <a:sysClr val="windowText" lastClr="000000"/>
                    </a:solidFill>
                  </a:rPr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37485544"/>
        <c:crosses val="autoZero"/>
        <c:auto val="1"/>
        <c:lblAlgn val="ctr"/>
        <c:lblOffset val="100"/>
        <c:noMultiLvlLbl val="0"/>
      </c:catAx>
      <c:valAx>
        <c:axId val="1037485544"/>
        <c:scaling>
          <c:orientation val="minMax"/>
        </c:scaling>
        <c:delete val="1"/>
        <c:axPos val="l"/>
        <c:numFmt formatCode="_(* #,##0_);_(* \(#,##0\);_(* &quot;-&quot;_);_(@_)" sourceLinked="1"/>
        <c:majorTickMark val="none"/>
        <c:minorTickMark val="none"/>
        <c:tickLblPos val="nextTo"/>
        <c:crossAx val="1037482592"/>
        <c:crosses val="autoZero"/>
        <c:crossBetween val="midCat"/>
      </c:valAx>
      <c:serAx>
        <c:axId val="1770112400"/>
        <c:scaling>
          <c:orientation val="maxMin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37485544"/>
        <c:crosses val="autoZero"/>
      </c:ser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37110</xdr:colOff>
      <xdr:row>18</xdr:row>
      <xdr:rowOff>21069</xdr:rowOff>
    </xdr:from>
    <xdr:to>
      <xdr:col>10</xdr:col>
      <xdr:colOff>524906</xdr:colOff>
      <xdr:row>48</xdr:row>
      <xdr:rowOff>11545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E882581-FD6C-4CC9-8362-A26426AD28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266700</xdr:colOff>
      <xdr:row>18</xdr:row>
      <xdr:rowOff>152400</xdr:rowOff>
    </xdr:from>
    <xdr:to>
      <xdr:col>19</xdr:col>
      <xdr:colOff>622300</xdr:colOff>
      <xdr:row>29</xdr:row>
      <xdr:rowOff>165100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46C987-4DB4-6BA6-B14F-263DC27C573F}"/>
            </a:ext>
          </a:extLst>
        </xdr:cNvPr>
        <xdr:cNvSpPr txBox="1"/>
      </xdr:nvSpPr>
      <xdr:spPr>
        <a:xfrm>
          <a:off x="13220700" y="3352800"/>
          <a:ext cx="9080500" cy="1968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the case of the years 2013 and 2014, the appearance of specimens of age 0 was due to an error when copying the information, the individuals in which the rows were moved 1 cell. The years from 2015 to 2020 have no errors and the year 2021 had an allocation error similar to 2024.</a:t>
          </a:r>
        </a:p>
        <a:p>
          <a:br>
            <a:rPr lang="es-E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C21"/>
  <sheetViews>
    <sheetView tabSelected="1" zoomScale="60" zoomScaleNormal="60" workbookViewId="0">
      <selection activeCell="O39" sqref="O39"/>
    </sheetView>
  </sheetViews>
  <sheetFormatPr defaultColWidth="11.5546875" defaultRowHeight="14.4" x14ac:dyDescent="0.3"/>
  <cols>
    <col min="2" max="2" width="7.44140625" bestFit="1" customWidth="1"/>
    <col min="3" max="14" width="18.88671875" customWidth="1"/>
    <col min="16" max="16" width="13.44140625" bestFit="1" customWidth="1"/>
    <col min="18" max="18" width="17.6640625" customWidth="1"/>
    <col min="19" max="19" width="16.5546875" customWidth="1"/>
    <col min="20" max="20" width="17.77734375" customWidth="1"/>
    <col min="21" max="21" width="13.44140625" bestFit="1" customWidth="1"/>
    <col min="22" max="22" width="17.88671875" customWidth="1"/>
    <col min="23" max="26" width="13.44140625" bestFit="1" customWidth="1"/>
    <col min="28" max="28" width="12" bestFit="1" customWidth="1"/>
    <col min="29" max="29" width="13.44140625" bestFit="1" customWidth="1"/>
  </cols>
  <sheetData>
    <row r="2" spans="2:29" x14ac:dyDescent="0.3">
      <c r="B2" s="6"/>
      <c r="C2" s="1"/>
      <c r="D2" s="1"/>
      <c r="E2" s="1"/>
      <c r="F2" s="1"/>
    </row>
    <row r="3" spans="2:29" x14ac:dyDescent="0.3">
      <c r="B3" s="7" t="s">
        <v>0</v>
      </c>
      <c r="C3" s="2">
        <v>2013</v>
      </c>
      <c r="D3" s="2">
        <v>2014</v>
      </c>
      <c r="E3" s="2">
        <v>2015</v>
      </c>
      <c r="F3" s="2">
        <v>2016</v>
      </c>
      <c r="G3" s="2">
        <v>2017</v>
      </c>
      <c r="H3" s="2">
        <v>2018</v>
      </c>
      <c r="I3" s="2">
        <v>2019</v>
      </c>
      <c r="J3" s="2">
        <v>2020</v>
      </c>
      <c r="K3" s="2">
        <v>2021</v>
      </c>
      <c r="L3" s="2">
        <v>2022</v>
      </c>
      <c r="M3" s="2">
        <v>2023</v>
      </c>
      <c r="N3" s="2">
        <v>2024</v>
      </c>
    </row>
    <row r="4" spans="2:29" x14ac:dyDescent="0.3">
      <c r="B4" s="7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2:29" x14ac:dyDescent="0.3">
      <c r="B5" s="7" t="s">
        <v>1</v>
      </c>
      <c r="C5" s="3">
        <v>352635730.31053436</v>
      </c>
      <c r="D5" s="3">
        <v>1513110964.6102731</v>
      </c>
      <c r="E5" s="3">
        <v>4148979593.5104208</v>
      </c>
      <c r="F5" s="3">
        <v>4909363935.2459993</v>
      </c>
      <c r="G5" s="3">
        <v>6505460254.5975838</v>
      </c>
      <c r="H5" s="3">
        <v>9400054906.5200005</v>
      </c>
      <c r="I5" s="3">
        <v>1338769114.8699996</v>
      </c>
      <c r="J5" s="3">
        <v>2075640491.6671429</v>
      </c>
      <c r="K5" s="3">
        <v>7722677667.4020004</v>
      </c>
      <c r="L5" s="3"/>
      <c r="M5" s="3">
        <v>314185366.1906628</v>
      </c>
      <c r="N5" s="3">
        <v>8974677022.1990471</v>
      </c>
      <c r="P5" s="1"/>
      <c r="R5" s="1"/>
      <c r="S5" s="1"/>
      <c r="T5" s="1"/>
      <c r="U5" s="1"/>
      <c r="V5" s="1"/>
      <c r="W5" s="1"/>
      <c r="X5" s="1"/>
      <c r="Y5" s="1"/>
      <c r="Z5" s="1"/>
      <c r="AA5" s="1"/>
      <c r="AB5" s="1">
        <f t="shared" ref="AB5:AC5" si="0">M4+M5</f>
        <v>314185366.1906628</v>
      </c>
      <c r="AC5" s="1">
        <f t="shared" si="0"/>
        <v>8974677022.1990471</v>
      </c>
    </row>
    <row r="6" spans="2:29" x14ac:dyDescent="0.3">
      <c r="B6" s="7" t="s">
        <v>2</v>
      </c>
      <c r="C6" s="3">
        <v>99449256.34729898</v>
      </c>
      <c r="D6" s="3">
        <v>36027909.186093949</v>
      </c>
      <c r="E6" s="3">
        <v>1178231755.8645787</v>
      </c>
      <c r="F6" s="3">
        <v>1306797663.1941736</v>
      </c>
      <c r="G6" s="3">
        <v>1390111064.4855661</v>
      </c>
      <c r="H6" s="3">
        <v>506578095.21645933</v>
      </c>
      <c r="I6" s="3">
        <v>5059062305.0585442</v>
      </c>
      <c r="J6" s="3">
        <v>715513768.37102747</v>
      </c>
      <c r="K6" s="3">
        <v>60021100.932291001</v>
      </c>
      <c r="L6" s="3"/>
      <c r="M6" s="3">
        <v>1208576960.4479692</v>
      </c>
      <c r="N6" s="3">
        <v>211702156.33911565</v>
      </c>
    </row>
    <row r="7" spans="2:29" x14ac:dyDescent="0.3">
      <c r="B7" s="7" t="s">
        <v>3</v>
      </c>
      <c r="C7" s="3">
        <v>162612685.83284849</v>
      </c>
      <c r="D7" s="3">
        <v>5207472.4870333336</v>
      </c>
      <c r="E7" s="3">
        <v>237687856.53277776</v>
      </c>
      <c r="F7" s="3">
        <v>282728837.76879662</v>
      </c>
      <c r="G7" s="3">
        <v>481417629.76467901</v>
      </c>
      <c r="H7" s="3">
        <v>107735337.3106661</v>
      </c>
      <c r="I7" s="3">
        <v>1702772500.4601183</v>
      </c>
      <c r="J7" s="3">
        <v>2285598677.0429974</v>
      </c>
      <c r="K7" s="3">
        <v>1642708526.270221</v>
      </c>
      <c r="L7" s="3"/>
      <c r="M7" s="3">
        <v>1572520512.9994705</v>
      </c>
      <c r="N7" s="3">
        <v>720775781.37305987</v>
      </c>
    </row>
    <row r="8" spans="2:29" x14ac:dyDescent="0.3">
      <c r="B8" s="7" t="s">
        <v>4</v>
      </c>
      <c r="C8" s="3">
        <v>117769450.64135391</v>
      </c>
      <c r="D8" s="3">
        <v>19260759.88955</v>
      </c>
      <c r="E8" s="3">
        <v>137296675.80344445</v>
      </c>
      <c r="F8" s="3">
        <v>127339089.00203031</v>
      </c>
      <c r="G8" s="3">
        <v>110777064.79507139</v>
      </c>
      <c r="H8" s="3">
        <v>21122802.01054167</v>
      </c>
      <c r="I8" s="3">
        <v>313053153.17333329</v>
      </c>
      <c r="J8" s="3">
        <v>2810449620.5896592</v>
      </c>
      <c r="K8" s="3">
        <v>1719647306.025435</v>
      </c>
      <c r="L8" s="3"/>
      <c r="M8" s="3">
        <v>1460553755.6820002</v>
      </c>
      <c r="N8" s="3">
        <v>1182489735.5270712</v>
      </c>
    </row>
    <row r="9" spans="2:29" x14ac:dyDescent="0.3">
      <c r="B9" s="7" t="s">
        <v>5</v>
      </c>
      <c r="C9" s="3">
        <v>39459468.247964285</v>
      </c>
      <c r="D9" s="3">
        <v>12260213.422950001</v>
      </c>
      <c r="E9" s="3">
        <v>39810016.949111104</v>
      </c>
      <c r="F9" s="3">
        <v>45462323.496833347</v>
      </c>
      <c r="G9" s="3">
        <v>34460527.765000001</v>
      </c>
      <c r="H9" s="3">
        <v>10651601.77883333</v>
      </c>
      <c r="I9" s="3">
        <v>73795885.387999997</v>
      </c>
      <c r="J9" s="3">
        <v>973363801.17600751</v>
      </c>
      <c r="K9" s="3">
        <v>563138536.63031077</v>
      </c>
      <c r="L9" s="3"/>
      <c r="M9" s="3">
        <v>924944927.54171836</v>
      </c>
      <c r="N9" s="3">
        <v>1146799966.9431043</v>
      </c>
      <c r="V9" s="5"/>
    </row>
    <row r="10" spans="2:29" x14ac:dyDescent="0.3">
      <c r="B10" s="7" t="s">
        <v>6</v>
      </c>
      <c r="C10" s="3">
        <v>8121775.8900000006</v>
      </c>
      <c r="D10" s="3"/>
      <c r="E10" s="3">
        <v>2281130.5396666699</v>
      </c>
      <c r="F10" s="3">
        <v>27689629.942333329</v>
      </c>
      <c r="G10" s="3"/>
      <c r="H10" s="3">
        <v>3650418.9414999997</v>
      </c>
      <c r="I10" s="3">
        <v>47260405.332000002</v>
      </c>
      <c r="J10" s="3">
        <v>153178194.8111667</v>
      </c>
      <c r="K10" s="3">
        <v>357534381.61846507</v>
      </c>
      <c r="L10" s="3"/>
      <c r="M10" s="3">
        <v>737214084.50275397</v>
      </c>
      <c r="N10" s="3">
        <v>706619139.70248187</v>
      </c>
      <c r="V10" s="5"/>
    </row>
    <row r="11" spans="2:29" x14ac:dyDescent="0.3">
      <c r="B11" s="7" t="s">
        <v>7</v>
      </c>
      <c r="C11" s="3">
        <v>617808.99959999998</v>
      </c>
      <c r="D11" s="3"/>
      <c r="E11" s="3">
        <v>1268612.835</v>
      </c>
      <c r="F11" s="3">
        <v>13556200.189833339</v>
      </c>
      <c r="G11" s="3">
        <v>4504618.3140000002</v>
      </c>
      <c r="H11" s="3">
        <v>3091627.0410000002</v>
      </c>
      <c r="I11" s="3">
        <v>6554281.1639999989</v>
      </c>
      <c r="J11" s="3"/>
      <c r="K11" s="3">
        <v>187812113.63169146</v>
      </c>
      <c r="L11" s="3"/>
      <c r="M11" s="3">
        <v>378962732.67100096</v>
      </c>
      <c r="N11" s="3">
        <v>514098857.04917693</v>
      </c>
      <c r="V11" s="5"/>
    </row>
    <row r="12" spans="2:29" x14ac:dyDescent="0.3">
      <c r="B12" s="4" t="s">
        <v>8</v>
      </c>
      <c r="C12" s="3"/>
      <c r="D12" s="3"/>
      <c r="E12" s="3"/>
      <c r="F12" s="3"/>
      <c r="G12" s="3"/>
      <c r="H12" s="3">
        <v>854577.95319999999</v>
      </c>
      <c r="I12" s="3"/>
      <c r="J12" s="3"/>
      <c r="K12" s="3">
        <v>0</v>
      </c>
      <c r="L12" s="3"/>
      <c r="M12" s="3">
        <v>73364877.735424772</v>
      </c>
      <c r="N12" s="3">
        <v>69589074.580233321</v>
      </c>
      <c r="V12" s="5"/>
    </row>
    <row r="13" spans="2:29" x14ac:dyDescent="0.3">
      <c r="B13" s="4" t="s">
        <v>9</v>
      </c>
      <c r="C13" s="3"/>
      <c r="D13" s="3"/>
      <c r="E13" s="3"/>
      <c r="F13" s="3">
        <v>4016267.0579999997</v>
      </c>
      <c r="G13" s="3"/>
      <c r="H13" s="3"/>
      <c r="I13" s="3"/>
      <c r="J13" s="3"/>
      <c r="K13" s="3">
        <v>7913598.7478425913</v>
      </c>
      <c r="L13" s="3"/>
      <c r="M13" s="3">
        <v>22727433.789795153</v>
      </c>
      <c r="N13" s="3">
        <v>3610955.0841872133</v>
      </c>
      <c r="V13" s="5"/>
    </row>
    <row r="14" spans="2:29" x14ac:dyDescent="0.3">
      <c r="B14" s="4" t="s">
        <v>10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>
        <v>992643.10677767219</v>
      </c>
      <c r="V14" s="5"/>
    </row>
    <row r="15" spans="2:29" x14ac:dyDescent="0.3">
      <c r="B15" s="4" t="s">
        <v>11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V15" s="5"/>
    </row>
    <row r="16" spans="2:29" x14ac:dyDescent="0.3">
      <c r="B16" s="4" t="s">
        <v>12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V16" s="5"/>
    </row>
    <row r="17" spans="22:22" x14ac:dyDescent="0.3">
      <c r="V17" s="5"/>
    </row>
    <row r="18" spans="22:22" x14ac:dyDescent="0.3">
      <c r="V18" s="5"/>
    </row>
    <row r="19" spans="22:22" x14ac:dyDescent="0.3">
      <c r="V19" s="5"/>
    </row>
    <row r="20" spans="22:22" x14ac:dyDescent="0.3">
      <c r="V20" s="5"/>
    </row>
    <row r="21" spans="22:22" x14ac:dyDescent="0.3">
      <c r="V21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F8 (Edad)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Walker</dc:creator>
  <cp:lastModifiedBy>Ignacio Sergio Paya Contreras</cp:lastModifiedBy>
  <dcterms:created xsi:type="dcterms:W3CDTF">2024-07-26T16:31:15Z</dcterms:created>
  <dcterms:modified xsi:type="dcterms:W3CDTF">2024-10-02T18:07:32Z</dcterms:modified>
</cp:coreProperties>
</file>