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48" yWindow="1092" windowWidth="15108" windowHeight="4776"/>
  </bookViews>
  <sheets>
    <sheet name="Blad1" sheetId="1" r:id="rId1"/>
    <sheet name="Blad2" sheetId="2" r:id="rId2"/>
    <sheet name="Blad3" sheetId="3" r:id="rId3"/>
  </sheets>
  <calcPr calcId="125725"/>
</workbook>
</file>

<file path=xl/calcChain.xml><?xml version="1.0" encoding="utf-8"?>
<calcChain xmlns="http://schemas.openxmlformats.org/spreadsheetml/2006/main">
  <c r="J45" i="1"/>
  <c r="J44"/>
  <c r="I44"/>
  <c r="E44"/>
  <c r="J43"/>
  <c r="I43"/>
  <c r="E43"/>
  <c r="I42"/>
  <c r="E42"/>
  <c r="J42" s="1"/>
  <c r="I41"/>
  <c r="E41"/>
  <c r="J41" s="1"/>
  <c r="J40"/>
  <c r="I40"/>
  <c r="E40"/>
  <c r="J39"/>
  <c r="I39"/>
  <c r="E39"/>
  <c r="I38"/>
  <c r="E38"/>
  <c r="J38" s="1"/>
  <c r="I37"/>
  <c r="E37"/>
  <c r="J37" s="1"/>
  <c r="J36"/>
  <c r="I36"/>
  <c r="E36"/>
  <c r="J35"/>
  <c r="I35"/>
  <c r="E35"/>
  <c r="I34"/>
  <c r="E34"/>
  <c r="J34" s="1"/>
  <c r="I33"/>
  <c r="E33"/>
  <c r="J33" s="1"/>
  <c r="J32"/>
  <c r="I32"/>
  <c r="E32"/>
  <c r="J31"/>
  <c r="I31"/>
  <c r="E31"/>
  <c r="I30"/>
  <c r="E30"/>
  <c r="J30" s="1"/>
  <c r="I29"/>
  <c r="E29"/>
  <c r="J29" s="1"/>
  <c r="J28"/>
  <c r="I28"/>
  <c r="E28"/>
  <c r="J27"/>
  <c r="I27"/>
  <c r="E27"/>
  <c r="I26"/>
  <c r="E26"/>
  <c r="J26" s="1"/>
  <c r="I25"/>
  <c r="E25"/>
  <c r="J25" s="1"/>
  <c r="J24"/>
  <c r="I24"/>
  <c r="E24"/>
  <c r="J23"/>
  <c r="I23"/>
  <c r="E23"/>
  <c r="I22"/>
  <c r="E22"/>
  <c r="J22" s="1"/>
  <c r="I21"/>
  <c r="E21"/>
  <c r="J21" s="1"/>
  <c r="J20"/>
  <c r="I20"/>
  <c r="E20"/>
  <c r="J19"/>
  <c r="I19"/>
  <c r="E19"/>
  <c r="I18"/>
  <c r="E18"/>
  <c r="J18" s="1"/>
  <c r="I17"/>
  <c r="E17"/>
  <c r="J17" s="1"/>
  <c r="J16"/>
  <c r="I16"/>
  <c r="E16"/>
  <c r="J15"/>
  <c r="I15"/>
  <c r="E15"/>
  <c r="I14"/>
  <c r="E14"/>
  <c r="J14" s="1"/>
  <c r="I13"/>
  <c r="E13"/>
  <c r="J13" s="1"/>
  <c r="J12"/>
  <c r="I12"/>
  <c r="E12"/>
  <c r="J11"/>
  <c r="I11"/>
  <c r="E11"/>
  <c r="I10"/>
  <c r="E10"/>
  <c r="J10" s="1"/>
  <c r="I9"/>
  <c r="E9"/>
  <c r="J9" s="1"/>
  <c r="J8"/>
  <c r="I8"/>
  <c r="E8"/>
  <c r="J7"/>
  <c r="I7"/>
  <c r="E7"/>
  <c r="I6"/>
  <c r="E6"/>
  <c r="J6" s="1"/>
  <c r="I5"/>
  <c r="E5"/>
  <c r="J5" s="1"/>
  <c r="J4"/>
  <c r="I4"/>
  <c r="E4"/>
  <c r="J3"/>
  <c r="I3"/>
  <c r="E3"/>
  <c r="I2"/>
  <c r="E2"/>
  <c r="J2" s="1"/>
</calcChain>
</file>

<file path=xl/sharedStrings.xml><?xml version="1.0" encoding="utf-8"?>
<sst xmlns="http://schemas.openxmlformats.org/spreadsheetml/2006/main" count="12" uniqueCount="12">
  <si>
    <t>apr</t>
  </si>
  <si>
    <t>mei</t>
  </si>
  <si>
    <t>jun</t>
  </si>
  <si>
    <t>Q2</t>
  </si>
  <si>
    <t>jul</t>
  </si>
  <si>
    <t>aug</t>
  </si>
  <si>
    <t>sep</t>
  </si>
  <si>
    <t>Q3</t>
  </si>
  <si>
    <t>sum</t>
  </si>
  <si>
    <t>total</t>
  </si>
  <si>
    <t>catch</t>
  </si>
  <si>
    <t>No/kg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</si>
</sst>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selection sqref="A1:XFD1048576"/>
    </sheetView>
  </sheetViews>
  <sheetFormatPr defaultRowHeight="14.4"/>
  <cols>
    <col min="5" max="5" width="8.88671875" style="1"/>
    <col min="9" max="9" width="8.88671875" style="1"/>
  </cols>
  <sheetData>
    <row r="1" spans="1:10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</row>
    <row r="2" spans="1:10">
      <c r="A2">
        <v>15</v>
      </c>
      <c r="B2">
        <v>0</v>
      </c>
      <c r="C2">
        <v>0</v>
      </c>
      <c r="D2">
        <v>0</v>
      </c>
      <c r="E2" s="1">
        <f>SUM(B2:D2)</f>
        <v>0</v>
      </c>
      <c r="F2">
        <v>0</v>
      </c>
      <c r="G2">
        <v>0</v>
      </c>
      <c r="H2">
        <v>0</v>
      </c>
      <c r="I2" s="1">
        <f>SUM(F2:H2)</f>
        <v>0</v>
      </c>
      <c r="J2">
        <f>SUM(B2:H2)</f>
        <v>0</v>
      </c>
    </row>
    <row r="3" spans="1:10">
      <c r="A3">
        <v>16</v>
      </c>
      <c r="B3">
        <v>0</v>
      </c>
      <c r="C3">
        <v>0</v>
      </c>
      <c r="D3">
        <v>0</v>
      </c>
      <c r="E3" s="1">
        <f t="shared" ref="E3:E44" si="0">SUM(B3:D3)</f>
        <v>0</v>
      </c>
      <c r="F3">
        <v>0</v>
      </c>
      <c r="G3">
        <v>0</v>
      </c>
      <c r="H3">
        <v>0</v>
      </c>
      <c r="I3" s="1">
        <f t="shared" ref="I3:I44" si="1">SUM(F3:H3)</f>
        <v>0</v>
      </c>
      <c r="J3">
        <f t="shared" ref="J3:J44" si="2">SUM(B3:H3)</f>
        <v>0</v>
      </c>
    </row>
    <row r="4" spans="1:10">
      <c r="A4">
        <v>17</v>
      </c>
      <c r="B4">
        <v>0</v>
      </c>
      <c r="C4">
        <v>0</v>
      </c>
      <c r="D4">
        <v>0</v>
      </c>
      <c r="E4" s="1">
        <f t="shared" si="0"/>
        <v>0</v>
      </c>
      <c r="F4">
        <v>0</v>
      </c>
      <c r="G4">
        <v>0</v>
      </c>
      <c r="H4">
        <v>0</v>
      </c>
      <c r="I4" s="1">
        <f t="shared" si="1"/>
        <v>0</v>
      </c>
      <c r="J4">
        <f t="shared" si="2"/>
        <v>0</v>
      </c>
    </row>
    <row r="5" spans="1:10">
      <c r="A5">
        <v>18</v>
      </c>
      <c r="B5">
        <v>0</v>
      </c>
      <c r="C5">
        <v>0</v>
      </c>
      <c r="D5">
        <v>1.6263683964423234</v>
      </c>
      <c r="E5" s="1">
        <f t="shared" si="0"/>
        <v>1.6263683964423234</v>
      </c>
      <c r="F5">
        <v>8.3869872003464518</v>
      </c>
      <c r="G5">
        <v>0</v>
      </c>
      <c r="H5">
        <v>0</v>
      </c>
      <c r="I5" s="1">
        <f t="shared" si="1"/>
        <v>8.3869872003464518</v>
      </c>
      <c r="J5">
        <f t="shared" si="2"/>
        <v>11.639723993231099</v>
      </c>
    </row>
    <row r="6" spans="1:10">
      <c r="A6">
        <v>19</v>
      </c>
      <c r="B6">
        <v>0</v>
      </c>
      <c r="C6">
        <v>0</v>
      </c>
      <c r="D6">
        <v>3.2527367928846469</v>
      </c>
      <c r="E6" s="1">
        <f t="shared" si="0"/>
        <v>3.2527367928846469</v>
      </c>
      <c r="F6">
        <v>4.1934936001732259</v>
      </c>
      <c r="G6">
        <v>0</v>
      </c>
      <c r="H6">
        <v>0</v>
      </c>
      <c r="I6" s="1">
        <f t="shared" si="1"/>
        <v>4.1934936001732259</v>
      </c>
      <c r="J6">
        <f t="shared" si="2"/>
        <v>10.69896718594252</v>
      </c>
    </row>
    <row r="7" spans="1:10">
      <c r="A7">
        <v>20</v>
      </c>
      <c r="B7">
        <v>0</v>
      </c>
      <c r="C7">
        <v>0</v>
      </c>
      <c r="D7">
        <v>0</v>
      </c>
      <c r="E7" s="1">
        <f t="shared" si="0"/>
        <v>0</v>
      </c>
      <c r="F7">
        <v>12.580480800519679</v>
      </c>
      <c r="G7">
        <v>0</v>
      </c>
      <c r="H7">
        <v>33.767066666666665</v>
      </c>
      <c r="I7" s="1">
        <f t="shared" si="1"/>
        <v>46.347547467186345</v>
      </c>
      <c r="J7">
        <f t="shared" si="2"/>
        <v>46.347547467186345</v>
      </c>
    </row>
    <row r="8" spans="1:10">
      <c r="A8">
        <v>21</v>
      </c>
      <c r="B8">
        <v>0</v>
      </c>
      <c r="C8">
        <v>0</v>
      </c>
      <c r="D8">
        <v>0</v>
      </c>
      <c r="E8" s="1">
        <f t="shared" si="0"/>
        <v>0</v>
      </c>
      <c r="F8">
        <v>16.773974400692904</v>
      </c>
      <c r="G8">
        <v>0</v>
      </c>
      <c r="H8">
        <v>54.973833333333346</v>
      </c>
      <c r="I8" s="1">
        <f t="shared" si="1"/>
        <v>71.747807734026253</v>
      </c>
      <c r="J8">
        <f t="shared" si="2"/>
        <v>71.747807734026253</v>
      </c>
    </row>
    <row r="9" spans="1:10">
      <c r="A9">
        <v>22</v>
      </c>
      <c r="B9">
        <v>0</v>
      </c>
      <c r="C9">
        <v>0</v>
      </c>
      <c r="D9">
        <v>0</v>
      </c>
      <c r="E9" s="1">
        <f t="shared" si="0"/>
        <v>0</v>
      </c>
      <c r="F9">
        <v>22.896895070164931</v>
      </c>
      <c r="G9">
        <v>0</v>
      </c>
      <c r="H9">
        <v>36.060409229098802</v>
      </c>
      <c r="I9" s="1">
        <f t="shared" si="1"/>
        <v>58.957304299263733</v>
      </c>
      <c r="J9">
        <f t="shared" si="2"/>
        <v>58.957304299263733</v>
      </c>
    </row>
    <row r="10" spans="1:10">
      <c r="A10">
        <v>23</v>
      </c>
      <c r="B10">
        <v>5.0228667837374612</v>
      </c>
      <c r="C10">
        <v>0</v>
      </c>
      <c r="D10">
        <v>1.6263683964423234</v>
      </c>
      <c r="E10" s="1">
        <f t="shared" si="0"/>
        <v>6.6492351801797849</v>
      </c>
      <c r="F10">
        <v>16.773974400692904</v>
      </c>
      <c r="G10">
        <v>0.35534999999999994</v>
      </c>
      <c r="H10">
        <v>37.993942562432139</v>
      </c>
      <c r="I10" s="1">
        <f t="shared" si="1"/>
        <v>55.123266963125047</v>
      </c>
      <c r="J10">
        <f t="shared" si="2"/>
        <v>68.421737323484621</v>
      </c>
    </row>
    <row r="11" spans="1:10">
      <c r="A11">
        <v>24</v>
      </c>
      <c r="B11">
        <v>36.447504906954435</v>
      </c>
      <c r="C11">
        <v>121.31786451207064</v>
      </c>
      <c r="D11">
        <v>6.8096507625780056</v>
      </c>
      <c r="E11" s="1">
        <f t="shared" si="0"/>
        <v>164.57502018160309</v>
      </c>
      <c r="F11">
        <v>86.632583047747374</v>
      </c>
      <c r="G11">
        <v>36.93225000000001</v>
      </c>
      <c r="H11">
        <v>918.00288099891418</v>
      </c>
      <c r="I11" s="1">
        <f t="shared" si="1"/>
        <v>1041.5677140466616</v>
      </c>
      <c r="J11">
        <f t="shared" si="2"/>
        <v>1370.7177544098677</v>
      </c>
    </row>
    <row r="12" spans="1:10">
      <c r="A12">
        <v>25</v>
      </c>
      <c r="B12">
        <v>50.358348064396388</v>
      </c>
      <c r="C12">
        <v>1512.1161542767293</v>
      </c>
      <c r="D12">
        <v>94.320781911354146</v>
      </c>
      <c r="E12" s="1">
        <f t="shared" si="0"/>
        <v>1656.7952842524796</v>
      </c>
      <c r="F12">
        <v>927.25236402258224</v>
      </c>
      <c r="G12">
        <v>586.90516710526333</v>
      </c>
      <c r="H12">
        <v>4308.5475064603697</v>
      </c>
      <c r="I12" s="1">
        <f t="shared" si="1"/>
        <v>5822.7050375882154</v>
      </c>
      <c r="J12">
        <f t="shared" si="2"/>
        <v>9136.2956060931738</v>
      </c>
    </row>
    <row r="13" spans="1:10">
      <c r="A13">
        <v>26</v>
      </c>
      <c r="B13">
        <v>85.517016886763429</v>
      </c>
      <c r="C13">
        <v>2549.6289224641459</v>
      </c>
      <c r="D13">
        <v>1002.7750586497402</v>
      </c>
      <c r="E13" s="1">
        <f t="shared" si="0"/>
        <v>3637.9209980006499</v>
      </c>
      <c r="F13">
        <v>3815.6075435213629</v>
      </c>
      <c r="G13">
        <v>2335.8212618421057</v>
      </c>
      <c r="H13">
        <v>4260.6841556460367</v>
      </c>
      <c r="I13" s="1">
        <f t="shared" si="1"/>
        <v>10412.112961009505</v>
      </c>
      <c r="J13">
        <f t="shared" si="2"/>
        <v>17687.954957010807</v>
      </c>
    </row>
    <row r="14" spans="1:10">
      <c r="A14">
        <v>27</v>
      </c>
      <c r="B14">
        <v>60.931251473535539</v>
      </c>
      <c r="C14">
        <v>2128.3314155510652</v>
      </c>
      <c r="D14">
        <v>1905.534137762508</v>
      </c>
      <c r="E14" s="1">
        <f t="shared" si="0"/>
        <v>4094.7968047871091</v>
      </c>
      <c r="F14">
        <v>5064.6730311382134</v>
      </c>
      <c r="G14">
        <v>2458.9171513799747</v>
      </c>
      <c r="H14">
        <v>901.67148197611277</v>
      </c>
      <c r="I14" s="1">
        <f t="shared" si="1"/>
        <v>8425.2616644943009</v>
      </c>
      <c r="J14">
        <f t="shared" si="2"/>
        <v>16614.855274068519</v>
      </c>
    </row>
    <row r="15" spans="1:10">
      <c r="A15">
        <v>28</v>
      </c>
      <c r="B15">
        <v>11.159579606095171</v>
      </c>
      <c r="C15">
        <v>991.31218031117965</v>
      </c>
      <c r="D15">
        <v>993.18890404430954</v>
      </c>
      <c r="E15" s="1">
        <f t="shared" si="0"/>
        <v>1995.6606639615843</v>
      </c>
      <c r="F15">
        <v>2845.2555246504971</v>
      </c>
      <c r="G15">
        <v>740.07471951219509</v>
      </c>
      <c r="H15">
        <v>83.692341530944631</v>
      </c>
      <c r="I15" s="1">
        <f t="shared" si="1"/>
        <v>3669.0225856936368</v>
      </c>
      <c r="J15">
        <f t="shared" si="2"/>
        <v>7660.3439136168054</v>
      </c>
    </row>
    <row r="16" spans="1:10">
      <c r="A16">
        <v>29</v>
      </c>
      <c r="B16">
        <v>0</v>
      </c>
      <c r="C16">
        <v>252.63570308560116</v>
      </c>
      <c r="D16">
        <v>436.9837932614501</v>
      </c>
      <c r="E16" s="1">
        <f t="shared" si="0"/>
        <v>689.61949634705127</v>
      </c>
      <c r="F16">
        <v>768.44847879347617</v>
      </c>
      <c r="G16">
        <v>338.4477231065469</v>
      </c>
      <c r="H16">
        <v>0</v>
      </c>
      <c r="I16" s="1">
        <f t="shared" si="1"/>
        <v>1106.896201900023</v>
      </c>
      <c r="J16">
        <f t="shared" si="2"/>
        <v>2486.1351945941256</v>
      </c>
    </row>
    <row r="17" spans="1:10">
      <c r="A17">
        <v>30</v>
      </c>
      <c r="B17">
        <v>17.62014304339116</v>
      </c>
      <c r="C17">
        <v>93.990763224806727</v>
      </c>
      <c r="D17">
        <v>52.899942593582495</v>
      </c>
      <c r="E17" s="1">
        <f t="shared" si="0"/>
        <v>164.51084886178037</v>
      </c>
      <c r="F17">
        <v>209.62653880773894</v>
      </c>
      <c r="G17">
        <v>163.61893565468549</v>
      </c>
      <c r="H17">
        <v>0</v>
      </c>
      <c r="I17" s="1">
        <f t="shared" si="1"/>
        <v>373.24547446242445</v>
      </c>
      <c r="J17">
        <f t="shared" si="2"/>
        <v>702.26717218598526</v>
      </c>
    </row>
    <row r="18" spans="1:10">
      <c r="A18">
        <v>31</v>
      </c>
      <c r="B18">
        <v>13.639639090970693</v>
      </c>
      <c r="C18">
        <v>32.680840893675295</v>
      </c>
      <c r="D18">
        <v>5.6493543046947625</v>
      </c>
      <c r="E18" s="1">
        <f t="shared" si="0"/>
        <v>51.969834289340746</v>
      </c>
      <c r="F18">
        <v>123.42751139174345</v>
      </c>
      <c r="G18">
        <v>14.788975609756097</v>
      </c>
      <c r="H18">
        <v>0</v>
      </c>
      <c r="I18" s="1">
        <f t="shared" si="1"/>
        <v>138.21648700149956</v>
      </c>
      <c r="J18">
        <f t="shared" si="2"/>
        <v>242.15615558018106</v>
      </c>
    </row>
    <row r="19" spans="1:10">
      <c r="A19">
        <v>32</v>
      </c>
      <c r="B19">
        <v>54.684170229137486</v>
      </c>
      <c r="C19">
        <v>294.88262701172044</v>
      </c>
      <c r="D19">
        <v>45.385886798519365</v>
      </c>
      <c r="E19" s="1">
        <f t="shared" si="0"/>
        <v>394.95268403937729</v>
      </c>
      <c r="F19">
        <v>338.19413677225708</v>
      </c>
      <c r="G19">
        <v>21.950025</v>
      </c>
      <c r="H19">
        <v>0</v>
      </c>
      <c r="I19" s="1">
        <f t="shared" si="1"/>
        <v>360.14416177225706</v>
      </c>
      <c r="J19">
        <f t="shared" si="2"/>
        <v>1150.0495298510118</v>
      </c>
    </row>
    <row r="20" spans="1:10">
      <c r="A20">
        <v>33</v>
      </c>
      <c r="B20">
        <v>141.83908221916715</v>
      </c>
      <c r="C20">
        <v>889.78619960845595</v>
      </c>
      <c r="D20">
        <v>201.49642558162245</v>
      </c>
      <c r="E20" s="1">
        <f t="shared" si="0"/>
        <v>1233.1217074092453</v>
      </c>
      <c r="F20">
        <v>898.88106004480778</v>
      </c>
      <c r="G20">
        <v>171.86045110837438</v>
      </c>
      <c r="H20">
        <v>0</v>
      </c>
      <c r="I20" s="1">
        <f t="shared" si="1"/>
        <v>1070.7415111531823</v>
      </c>
      <c r="J20">
        <f t="shared" si="2"/>
        <v>3536.984925971673</v>
      </c>
    </row>
    <row r="21" spans="1:10">
      <c r="A21">
        <v>34</v>
      </c>
      <c r="B21">
        <v>118.23803101066443</v>
      </c>
      <c r="C21">
        <v>713.14514055421455</v>
      </c>
      <c r="D21">
        <v>409.95588685670418</v>
      </c>
      <c r="E21" s="1">
        <f t="shared" si="0"/>
        <v>1241.3390584215831</v>
      </c>
      <c r="F21">
        <v>1684.4352086934878</v>
      </c>
      <c r="G21">
        <v>351.03506773399016</v>
      </c>
      <c r="H21">
        <v>0</v>
      </c>
      <c r="I21" s="1">
        <f t="shared" si="1"/>
        <v>2035.470276427478</v>
      </c>
      <c r="J21">
        <f t="shared" si="2"/>
        <v>4518.1483932706442</v>
      </c>
    </row>
    <row r="22" spans="1:10">
      <c r="A22">
        <v>35</v>
      </c>
      <c r="B22">
        <v>35.479971802368553</v>
      </c>
      <c r="C22">
        <v>446.58957209810279</v>
      </c>
      <c r="D22">
        <v>470.75740932879603</v>
      </c>
      <c r="E22" s="1">
        <f t="shared" si="0"/>
        <v>952.82695322926736</v>
      </c>
      <c r="F22">
        <v>794.1653410401201</v>
      </c>
      <c r="G22">
        <v>251.77386884236449</v>
      </c>
      <c r="H22">
        <v>0</v>
      </c>
      <c r="I22" s="1">
        <f t="shared" si="1"/>
        <v>1045.9392098824846</v>
      </c>
      <c r="J22">
        <f t="shared" si="2"/>
        <v>2951.5931163410196</v>
      </c>
    </row>
    <row r="23" spans="1:10">
      <c r="A23">
        <v>36</v>
      </c>
      <c r="B23">
        <v>66.824010433626952</v>
      </c>
      <c r="C23">
        <v>297.80823174639204</v>
      </c>
      <c r="D23">
        <v>102.82559115653477</v>
      </c>
      <c r="E23" s="1">
        <f t="shared" si="0"/>
        <v>467.45783333655373</v>
      </c>
      <c r="F23">
        <v>628.98169443113613</v>
      </c>
      <c r="G23">
        <v>132.27310775862065</v>
      </c>
      <c r="H23">
        <v>0</v>
      </c>
      <c r="I23" s="1">
        <f t="shared" si="1"/>
        <v>761.25480218975679</v>
      </c>
      <c r="J23">
        <f t="shared" si="2"/>
        <v>1696.1704688628643</v>
      </c>
    </row>
    <row r="24" spans="1:10">
      <c r="A24">
        <v>37</v>
      </c>
      <c r="B24">
        <v>178.24382740411733</v>
      </c>
      <c r="C24">
        <v>541.9434142657484</v>
      </c>
      <c r="D24">
        <v>124.430650349744</v>
      </c>
      <c r="E24" s="1">
        <f t="shared" si="0"/>
        <v>844.61789201960971</v>
      </c>
      <c r="F24">
        <v>721.52543581382838</v>
      </c>
      <c r="G24">
        <v>93.851202216748788</v>
      </c>
      <c r="H24">
        <v>0</v>
      </c>
      <c r="I24" s="1">
        <f t="shared" si="1"/>
        <v>815.37663803057717</v>
      </c>
      <c r="J24">
        <f t="shared" si="2"/>
        <v>2504.6124220697966</v>
      </c>
    </row>
    <row r="25" spans="1:10">
      <c r="A25">
        <v>38</v>
      </c>
      <c r="B25">
        <v>346.57922577465979</v>
      </c>
      <c r="C25">
        <v>843.14105727495951</v>
      </c>
      <c r="D25">
        <v>434.52752519787731</v>
      </c>
      <c r="E25" s="1">
        <f t="shared" si="0"/>
        <v>1624.2478082474968</v>
      </c>
      <c r="F25">
        <v>1006.109558007528</v>
      </c>
      <c r="G25">
        <v>112.23846710526317</v>
      </c>
      <c r="H25">
        <v>0</v>
      </c>
      <c r="I25" s="1">
        <f t="shared" si="1"/>
        <v>1118.3480251127912</v>
      </c>
      <c r="J25">
        <f t="shared" si="2"/>
        <v>4366.8436416077848</v>
      </c>
    </row>
    <row r="26" spans="1:10">
      <c r="A26">
        <v>39</v>
      </c>
      <c r="B26">
        <v>270.27312596114291</v>
      </c>
      <c r="C26">
        <v>1052.300125302826</v>
      </c>
      <c r="D26">
        <v>269.71189941360473</v>
      </c>
      <c r="E26" s="1">
        <f t="shared" si="0"/>
        <v>1592.2851506775735</v>
      </c>
      <c r="F26">
        <v>2073.7531579715446</v>
      </c>
      <c r="G26">
        <v>181.17986513157899</v>
      </c>
      <c r="H26">
        <v>0</v>
      </c>
      <c r="I26" s="1">
        <f t="shared" si="1"/>
        <v>2254.9330231031236</v>
      </c>
      <c r="J26">
        <f t="shared" si="2"/>
        <v>5439.503324458271</v>
      </c>
    </row>
    <row r="27" spans="1:10">
      <c r="A27">
        <v>40</v>
      </c>
      <c r="B27">
        <v>428.74366823895218</v>
      </c>
      <c r="C27">
        <v>1203.2724961811205</v>
      </c>
      <c r="D27">
        <v>574.4311093462245</v>
      </c>
      <c r="E27" s="1">
        <f t="shared" si="0"/>
        <v>2206.4472737662973</v>
      </c>
      <c r="F27">
        <v>1790.1650533859752</v>
      </c>
      <c r="G27">
        <v>205.18774539473688</v>
      </c>
      <c r="H27">
        <v>0</v>
      </c>
      <c r="I27" s="1">
        <f t="shared" si="1"/>
        <v>1995.352798780712</v>
      </c>
      <c r="J27">
        <f t="shared" si="2"/>
        <v>6408.2473463133074</v>
      </c>
    </row>
    <row r="28" spans="1:10">
      <c r="A28">
        <v>41</v>
      </c>
      <c r="B28">
        <v>391.86506926310727</v>
      </c>
      <c r="C28">
        <v>886.81417888491228</v>
      </c>
      <c r="D28">
        <v>329.9739678824177</v>
      </c>
      <c r="E28" s="1">
        <f t="shared" si="0"/>
        <v>1608.6532160304373</v>
      </c>
      <c r="F28">
        <v>1303.0469633254872</v>
      </c>
      <c r="G28">
        <v>135.52707039473685</v>
      </c>
      <c r="H28">
        <v>0</v>
      </c>
      <c r="I28" s="1">
        <f t="shared" si="1"/>
        <v>1438.5740337202242</v>
      </c>
      <c r="J28">
        <f t="shared" si="2"/>
        <v>4655.8804657810988</v>
      </c>
    </row>
    <row r="29" spans="1:10">
      <c r="A29">
        <v>42</v>
      </c>
      <c r="B29">
        <v>218.81651657349522</v>
      </c>
      <c r="C29">
        <v>582.69789147464326</v>
      </c>
      <c r="D29">
        <v>317.75833183979859</v>
      </c>
      <c r="E29" s="1">
        <f t="shared" si="0"/>
        <v>1119.272739887937</v>
      </c>
      <c r="F29">
        <v>1132.9964345793137</v>
      </c>
      <c r="G29">
        <v>103.6200802631579</v>
      </c>
      <c r="H29">
        <v>0</v>
      </c>
      <c r="I29" s="1">
        <f t="shared" si="1"/>
        <v>1236.6165148424716</v>
      </c>
      <c r="J29">
        <f t="shared" si="2"/>
        <v>3475.1619946183455</v>
      </c>
    </row>
    <row r="30" spans="1:10">
      <c r="A30">
        <v>43</v>
      </c>
      <c r="B30">
        <v>194.44863412859502</v>
      </c>
      <c r="C30">
        <v>667.22222414442797</v>
      </c>
      <c r="D30">
        <v>286.80098283611414</v>
      </c>
      <c r="E30" s="1">
        <f t="shared" si="0"/>
        <v>1148.4718411091371</v>
      </c>
      <c r="F30">
        <v>374.72614932023106</v>
      </c>
      <c r="G30">
        <v>77.335632236842116</v>
      </c>
      <c r="H30">
        <v>0</v>
      </c>
      <c r="I30" s="1">
        <f t="shared" si="1"/>
        <v>452.06178155707318</v>
      </c>
      <c r="J30">
        <f t="shared" si="2"/>
        <v>2749.0054637753474</v>
      </c>
    </row>
    <row r="31" spans="1:10">
      <c r="A31">
        <v>44</v>
      </c>
      <c r="B31">
        <v>137.52484745721119</v>
      </c>
      <c r="C31">
        <v>573.54630096916515</v>
      </c>
      <c r="D31">
        <v>177.61436291610775</v>
      </c>
      <c r="E31" s="1">
        <f t="shared" si="0"/>
        <v>888.68551134248412</v>
      </c>
      <c r="F31">
        <v>441.43642243442793</v>
      </c>
      <c r="G31">
        <v>54.621311184210533</v>
      </c>
      <c r="H31">
        <v>0</v>
      </c>
      <c r="I31" s="1">
        <f t="shared" si="1"/>
        <v>496.05773361863845</v>
      </c>
      <c r="J31">
        <f t="shared" si="2"/>
        <v>2273.4287563036069</v>
      </c>
    </row>
    <row r="32" spans="1:10">
      <c r="A32">
        <v>45</v>
      </c>
      <c r="B32">
        <v>217.26373568992165</v>
      </c>
      <c r="C32">
        <v>409.81101341534816</v>
      </c>
      <c r="D32">
        <v>118.14194776677761</v>
      </c>
      <c r="E32" s="1">
        <f t="shared" si="0"/>
        <v>745.21669687204735</v>
      </c>
      <c r="F32">
        <v>111.27774166147753</v>
      </c>
      <c r="G32">
        <v>38.288388157894744</v>
      </c>
      <c r="H32">
        <v>0</v>
      </c>
      <c r="I32" s="1">
        <f t="shared" si="1"/>
        <v>149.56612981937229</v>
      </c>
      <c r="J32">
        <f t="shared" si="2"/>
        <v>1639.9995235634672</v>
      </c>
    </row>
    <row r="33" spans="1:10">
      <c r="A33">
        <v>46</v>
      </c>
      <c r="B33">
        <v>127.28638503416194</v>
      </c>
      <c r="C33">
        <v>444.97087737748222</v>
      </c>
      <c r="D33">
        <v>70.885168660066569</v>
      </c>
      <c r="E33" s="1">
        <f t="shared" si="0"/>
        <v>643.1424310717108</v>
      </c>
      <c r="F33">
        <v>90.817589583449475</v>
      </c>
      <c r="G33">
        <v>25.525592105263161</v>
      </c>
      <c r="H33">
        <v>0</v>
      </c>
      <c r="I33" s="1">
        <f t="shared" si="1"/>
        <v>116.34318168871263</v>
      </c>
      <c r="J33">
        <f t="shared" si="2"/>
        <v>1402.6280438321342</v>
      </c>
    </row>
    <row r="34" spans="1:10">
      <c r="A34">
        <v>47</v>
      </c>
      <c r="B34">
        <v>113.79304790034612</v>
      </c>
      <c r="C34">
        <v>310.303265532821</v>
      </c>
      <c r="D34">
        <v>150.73323656986759</v>
      </c>
      <c r="E34" s="1">
        <f t="shared" si="0"/>
        <v>574.82955000303468</v>
      </c>
      <c r="F34">
        <v>143.31358100329291</v>
      </c>
      <c r="G34">
        <v>31.906990131578951</v>
      </c>
      <c r="H34">
        <v>0</v>
      </c>
      <c r="I34" s="1">
        <f t="shared" si="1"/>
        <v>175.22057113487188</v>
      </c>
      <c r="J34">
        <f t="shared" si="2"/>
        <v>1324.8796711409414</v>
      </c>
    </row>
    <row r="35" spans="1:10">
      <c r="A35">
        <v>48</v>
      </c>
      <c r="B35">
        <v>45.529678830489139</v>
      </c>
      <c r="C35">
        <v>241.74298384942003</v>
      </c>
      <c r="D35">
        <v>79.848067909801031</v>
      </c>
      <c r="E35" s="1">
        <f t="shared" si="0"/>
        <v>367.12073058971021</v>
      </c>
      <c r="F35">
        <v>157.61045589232819</v>
      </c>
      <c r="G35">
        <v>19.144194078947372</v>
      </c>
      <c r="H35">
        <v>0</v>
      </c>
      <c r="I35" s="1">
        <f t="shared" si="1"/>
        <v>176.75464997127557</v>
      </c>
      <c r="J35">
        <f t="shared" si="2"/>
        <v>910.99611115069604</v>
      </c>
    </row>
    <row r="36" spans="1:10">
      <c r="A36">
        <v>49</v>
      </c>
      <c r="B36">
        <v>11.779156006087975</v>
      </c>
      <c r="C36">
        <v>109.04574787754765</v>
      </c>
      <c r="D36">
        <v>0</v>
      </c>
      <c r="E36" s="1">
        <f t="shared" si="0"/>
        <v>120.82490388363563</v>
      </c>
      <c r="F36">
        <v>44.276761526287537</v>
      </c>
      <c r="G36">
        <v>0</v>
      </c>
      <c r="H36">
        <v>0</v>
      </c>
      <c r="I36" s="1">
        <f t="shared" si="1"/>
        <v>44.276761526287537</v>
      </c>
      <c r="J36">
        <f t="shared" si="2"/>
        <v>285.92656929355877</v>
      </c>
    </row>
    <row r="37" spans="1:10">
      <c r="A37">
        <v>50</v>
      </c>
      <c r="B37">
        <v>26.109577343433532</v>
      </c>
      <c r="C37">
        <v>45.303510322911627</v>
      </c>
      <c r="D37">
        <v>23.628389553355522</v>
      </c>
      <c r="E37" s="1">
        <f t="shared" si="0"/>
        <v>95.041477219700681</v>
      </c>
      <c r="F37">
        <v>24.151248909835104</v>
      </c>
      <c r="G37">
        <v>6.3813980263157903</v>
      </c>
      <c r="H37">
        <v>0</v>
      </c>
      <c r="I37" s="1">
        <f t="shared" si="1"/>
        <v>30.532646936150893</v>
      </c>
      <c r="J37">
        <f t="shared" si="2"/>
        <v>220.61560137555225</v>
      </c>
    </row>
    <row r="38" spans="1:10">
      <c r="A38">
        <v>51</v>
      </c>
      <c r="B38">
        <v>0</v>
      </c>
      <c r="C38">
        <v>42.701567175645934</v>
      </c>
      <c r="D38">
        <v>0</v>
      </c>
      <c r="E38" s="1">
        <f t="shared" si="0"/>
        <v>42.701567175645934</v>
      </c>
      <c r="F38">
        <v>0</v>
      </c>
      <c r="G38">
        <v>0</v>
      </c>
      <c r="H38">
        <v>0</v>
      </c>
      <c r="I38" s="1">
        <f t="shared" si="1"/>
        <v>0</v>
      </c>
      <c r="J38">
        <f t="shared" si="2"/>
        <v>85.403134351291868</v>
      </c>
    </row>
    <row r="39" spans="1:10">
      <c r="A39">
        <v>52</v>
      </c>
      <c r="B39">
        <v>0</v>
      </c>
      <c r="C39">
        <v>0</v>
      </c>
      <c r="D39">
        <v>56.219875273696914</v>
      </c>
      <c r="E39" s="1">
        <f t="shared" si="0"/>
        <v>56.219875273696914</v>
      </c>
      <c r="F39">
        <v>18.196085547153633</v>
      </c>
      <c r="G39">
        <v>0</v>
      </c>
      <c r="H39">
        <v>0</v>
      </c>
      <c r="I39" s="1">
        <f t="shared" si="1"/>
        <v>18.196085547153633</v>
      </c>
      <c r="J39">
        <f t="shared" si="2"/>
        <v>130.63583609454747</v>
      </c>
    </row>
    <row r="40" spans="1:10">
      <c r="A40">
        <v>53</v>
      </c>
      <c r="B40">
        <v>0</v>
      </c>
      <c r="C40">
        <v>20.635837258100842</v>
      </c>
      <c r="D40">
        <v>23.628389553355522</v>
      </c>
      <c r="E40" s="1">
        <f t="shared" si="0"/>
        <v>44.264226811456368</v>
      </c>
      <c r="F40">
        <v>0</v>
      </c>
      <c r="G40">
        <v>0</v>
      </c>
      <c r="H40">
        <v>0</v>
      </c>
      <c r="I40" s="1">
        <f t="shared" si="1"/>
        <v>0</v>
      </c>
      <c r="J40">
        <f t="shared" si="2"/>
        <v>88.528453622912735</v>
      </c>
    </row>
    <row r="41" spans="1:10">
      <c r="A41">
        <v>54</v>
      </c>
      <c r="B41">
        <v>0</v>
      </c>
      <c r="C41">
        <v>0</v>
      </c>
      <c r="D41">
        <v>0</v>
      </c>
      <c r="E41" s="1">
        <f t="shared" si="0"/>
        <v>0</v>
      </c>
      <c r="F41">
        <v>0</v>
      </c>
      <c r="G41">
        <v>0</v>
      </c>
      <c r="H41">
        <v>0</v>
      </c>
      <c r="I41" s="1">
        <f t="shared" si="1"/>
        <v>0</v>
      </c>
      <c r="J41">
        <f t="shared" si="2"/>
        <v>0</v>
      </c>
    </row>
    <row r="42" spans="1:10">
      <c r="A42">
        <v>55</v>
      </c>
      <c r="B42">
        <v>0</v>
      </c>
      <c r="C42">
        <v>0</v>
      </c>
      <c r="D42">
        <v>0</v>
      </c>
      <c r="E42" s="1">
        <f t="shared" si="0"/>
        <v>0</v>
      </c>
      <c r="F42">
        <v>0</v>
      </c>
      <c r="G42">
        <v>0</v>
      </c>
      <c r="H42">
        <v>0</v>
      </c>
      <c r="I42" s="1">
        <f t="shared" si="1"/>
        <v>0</v>
      </c>
      <c r="J42">
        <f t="shared" si="2"/>
        <v>0</v>
      </c>
    </row>
    <row r="43" spans="1:10">
      <c r="A43" t="s">
        <v>9</v>
      </c>
      <c r="B43">
        <v>3406.0181111565303</v>
      </c>
      <c r="C43">
        <v>18299.678106645239</v>
      </c>
      <c r="D43">
        <v>8773.4222016669701</v>
      </c>
      <c r="E43" s="1">
        <f t="shared" si="0"/>
        <v>30479.118419468738</v>
      </c>
      <c r="F43">
        <v>27700.589460789924</v>
      </c>
      <c r="G43">
        <v>8689.5619910811529</v>
      </c>
      <c r="H43">
        <v>10635.393618403908</v>
      </c>
      <c r="I43" s="1">
        <f t="shared" si="1"/>
        <v>47025.54507027498</v>
      </c>
      <c r="J43">
        <f t="shared" si="2"/>
        <v>107983.78190921246</v>
      </c>
    </row>
    <row r="44" spans="1:10">
      <c r="A44" t="s">
        <v>10</v>
      </c>
      <c r="B44">
        <v>2756</v>
      </c>
      <c r="C44">
        <v>10341</v>
      </c>
      <c r="D44">
        <v>4360</v>
      </c>
      <c r="E44" s="1">
        <f t="shared" si="0"/>
        <v>17457</v>
      </c>
      <c r="F44">
        <v>5610</v>
      </c>
      <c r="G44">
        <v>2754</v>
      </c>
      <c r="H44">
        <v>1903</v>
      </c>
      <c r="I44" s="1">
        <f t="shared" si="1"/>
        <v>10267</v>
      </c>
      <c r="J44">
        <f t="shared" si="2"/>
        <v>45181</v>
      </c>
    </row>
    <row r="45" spans="1:10">
      <c r="A45" t="s">
        <v>11</v>
      </c>
      <c r="B45">
        <v>1.235855628140976</v>
      </c>
      <c r="C45">
        <v>1.7696236443907976</v>
      </c>
      <c r="D45">
        <v>2.0122527985474701</v>
      </c>
      <c r="F45">
        <v>4.9377164814242294</v>
      </c>
      <c r="G45">
        <v>3.1556626267117438</v>
      </c>
      <c r="H45">
        <v>5.5880142022276136</v>
      </c>
      <c r="J45">
        <f>J43/J44</f>
        <v>2.3900263807621003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35F715-5656-4304-BD9D-56518FBE17A1}"/>
</file>

<file path=customXml/itemProps2.xml><?xml version="1.0" encoding="utf-8"?>
<ds:datastoreItem xmlns:ds="http://schemas.openxmlformats.org/officeDocument/2006/customXml" ds:itemID="{83A610A7-17CB-4283-9085-2635B173403F}"/>
</file>

<file path=customXml/itemProps3.xml><?xml version="1.0" encoding="utf-8"?>
<ds:datastoreItem xmlns:ds="http://schemas.openxmlformats.org/officeDocument/2006/customXml" ds:itemID="{8D876487-A6DC-46D5-A61C-2A8D15243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Eigenaar</dc:creator>
  <cp:lastModifiedBy>Eigenaar</cp:lastModifiedBy>
  <dcterms:created xsi:type="dcterms:W3CDTF">2016-10-07T17:28:01Z</dcterms:created>
  <dcterms:modified xsi:type="dcterms:W3CDTF">2016-10-07T17:28:35Z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