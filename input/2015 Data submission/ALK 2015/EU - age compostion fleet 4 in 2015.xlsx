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22"/>
  <workbookPr defaultThemeVersion="124226"/>
  <xr:revisionPtr revIDLastSave="0" documentId="11_D15E2597749394784A691C4C6A4AD6F32E507C6A" xr6:coauthVersionLast="47" xr6:coauthVersionMax="47" xr10:uidLastSave="{00000000-0000-0000-0000-000000000000}"/>
  <bookViews>
    <workbookView xWindow="96" yWindow="36" windowWidth="16260" windowHeight="5832" firstSheet="3" activeTab="3" xr2:uid="{00000000-000D-0000-FFFF-FFFF00000000}"/>
  </bookViews>
  <sheets>
    <sheet name="LFD" sheetId="1" r:id="rId1"/>
    <sheet name="ALK Chile 2015-2" sheetId="2" r:id="rId2"/>
    <sheet name="ALK Chile 2015-3" sheetId="3" r:id="rId3"/>
    <sheet name="age comp 2015" sheetId="6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3" i="2" l="1"/>
  <c r="C53" i="1"/>
  <c r="D53" i="1"/>
  <c r="E53" i="1"/>
  <c r="F53" i="1"/>
  <c r="G53" i="1"/>
  <c r="B53" i="1"/>
  <c r="AE53" i="2"/>
  <c r="D16" i="6"/>
  <c r="C15" i="6"/>
  <c r="C17" i="6" s="1"/>
  <c r="B15" i="6"/>
  <c r="B17" i="6" s="1"/>
  <c r="D14" i="6"/>
  <c r="D13" i="6"/>
  <c r="D12" i="6"/>
  <c r="D11" i="6"/>
  <c r="D10" i="6"/>
  <c r="D9" i="6"/>
  <c r="D8" i="6"/>
  <c r="D7" i="6"/>
  <c r="D6" i="6"/>
  <c r="D5" i="6"/>
  <c r="D4" i="6"/>
  <c r="D3" i="6"/>
  <c r="D2" i="6"/>
  <c r="E3" i="6" l="1"/>
  <c r="E4" i="6"/>
  <c r="E5" i="6"/>
  <c r="E6" i="6"/>
  <c r="E7" i="6"/>
  <c r="E8" i="6"/>
  <c r="E9" i="6"/>
  <c r="E10" i="6"/>
  <c r="E11" i="6"/>
  <c r="E12" i="6"/>
  <c r="E13" i="6"/>
  <c r="E14" i="6"/>
  <c r="E2" i="6"/>
  <c r="D15" i="6"/>
  <c r="E15" i="6" s="1"/>
  <c r="E17" i="6" s="1"/>
  <c r="D17" i="6" l="1"/>
  <c r="AS53" i="3" l="1"/>
  <c r="AR53" i="3"/>
  <c r="AQ53" i="3"/>
  <c r="AP53" i="3"/>
  <c r="AO53" i="3"/>
  <c r="AN53" i="3"/>
  <c r="AM53" i="3"/>
  <c r="AL53" i="3"/>
  <c r="AK53" i="3"/>
  <c r="AJ53" i="3"/>
  <c r="AI53" i="3"/>
  <c r="AH53" i="3"/>
  <c r="AG53" i="3"/>
  <c r="O52" i="3"/>
  <c r="O51" i="3"/>
  <c r="AA51" i="3" s="1"/>
  <c r="O50" i="3"/>
  <c r="Z50" i="3" s="1"/>
  <c r="O49" i="3"/>
  <c r="O48" i="3"/>
  <c r="AB48" i="3" s="1"/>
  <c r="O47" i="3"/>
  <c r="O46" i="3"/>
  <c r="Z46" i="3" s="1"/>
  <c r="O45" i="3"/>
  <c r="O44" i="3"/>
  <c r="O43" i="3"/>
  <c r="O42" i="3"/>
  <c r="Z42" i="3" s="1"/>
  <c r="O41" i="3"/>
  <c r="O40" i="3"/>
  <c r="O39" i="3"/>
  <c r="O38" i="3"/>
  <c r="Z38" i="3" s="1"/>
  <c r="O37" i="3"/>
  <c r="AC37" i="3" s="1"/>
  <c r="O36" i="3"/>
  <c r="O35" i="3"/>
  <c r="AA35" i="3" s="1"/>
  <c r="O34" i="3"/>
  <c r="Z34" i="3" s="1"/>
  <c r="O33" i="3"/>
  <c r="O32" i="3"/>
  <c r="AB32" i="3" s="1"/>
  <c r="O31" i="3"/>
  <c r="O30" i="3"/>
  <c r="Z30" i="3" s="1"/>
  <c r="O29" i="3"/>
  <c r="O28" i="3"/>
  <c r="O27" i="3"/>
  <c r="O26" i="3"/>
  <c r="Z26" i="3" s="1"/>
  <c r="O25" i="3"/>
  <c r="O24" i="3"/>
  <c r="O23" i="3"/>
  <c r="O22" i="3"/>
  <c r="Z22" i="3" s="1"/>
  <c r="O21" i="3"/>
  <c r="AC21" i="3" s="1"/>
  <c r="O20" i="3"/>
  <c r="O19" i="3"/>
  <c r="AA19" i="3" s="1"/>
  <c r="O18" i="3"/>
  <c r="Z18" i="3" s="1"/>
  <c r="O17" i="3"/>
  <c r="O16" i="3"/>
  <c r="AB16" i="3" s="1"/>
  <c r="O15" i="3"/>
  <c r="O14" i="3"/>
  <c r="Z14" i="3" s="1"/>
  <c r="O13" i="3"/>
  <c r="O12" i="3"/>
  <c r="O11" i="3"/>
  <c r="O10" i="3"/>
  <c r="Z10" i="3" s="1"/>
  <c r="O9" i="3"/>
  <c r="AC9" i="3" s="1"/>
  <c r="O8" i="3"/>
  <c r="AB8" i="3" s="1"/>
  <c r="O7" i="3"/>
  <c r="O6" i="3"/>
  <c r="Z6" i="3" s="1"/>
  <c r="O5" i="3"/>
  <c r="O4" i="3"/>
  <c r="O3" i="3"/>
  <c r="O2" i="3"/>
  <c r="Z2" i="3" s="1"/>
  <c r="AH53" i="2"/>
  <c r="AI53" i="2"/>
  <c r="AJ53" i="2"/>
  <c r="AK53" i="2"/>
  <c r="AL53" i="2"/>
  <c r="AM53" i="2"/>
  <c r="AN53" i="2"/>
  <c r="AO53" i="2"/>
  <c r="AP53" i="2"/>
  <c r="AQ53" i="2"/>
  <c r="AR53" i="2"/>
  <c r="AS53" i="2"/>
  <c r="AG53" i="2"/>
  <c r="O52" i="2"/>
  <c r="AB52" i="2" s="1"/>
  <c r="O51" i="2"/>
  <c r="AA51" i="2" s="1"/>
  <c r="O50" i="2"/>
  <c r="Z50" i="2" s="1"/>
  <c r="O49" i="2"/>
  <c r="AC49" i="2" s="1"/>
  <c r="O48" i="2"/>
  <c r="O47" i="2"/>
  <c r="AA47" i="2" s="1"/>
  <c r="O46" i="2"/>
  <c r="Z46" i="2" s="1"/>
  <c r="O45" i="2"/>
  <c r="AC45" i="2" s="1"/>
  <c r="O44" i="2"/>
  <c r="AB44" i="2" s="1"/>
  <c r="O43" i="2"/>
  <c r="AA43" i="2" s="1"/>
  <c r="O42" i="2"/>
  <c r="Z42" i="2" s="1"/>
  <c r="O41" i="2"/>
  <c r="AC41" i="2" s="1"/>
  <c r="O40" i="2"/>
  <c r="O39" i="2"/>
  <c r="AA39" i="2" s="1"/>
  <c r="O38" i="2"/>
  <c r="Z38" i="2" s="1"/>
  <c r="O37" i="2"/>
  <c r="O36" i="2"/>
  <c r="O35" i="2"/>
  <c r="AA35" i="2" s="1"/>
  <c r="O34" i="2"/>
  <c r="Z34" i="2" s="1"/>
  <c r="O33" i="2"/>
  <c r="AC33" i="2" s="1"/>
  <c r="O32" i="2"/>
  <c r="AB32" i="2" s="1"/>
  <c r="O31" i="2"/>
  <c r="AA31" i="2" s="1"/>
  <c r="O30" i="2"/>
  <c r="Z30" i="2" s="1"/>
  <c r="O29" i="2"/>
  <c r="AC29" i="2" s="1"/>
  <c r="O28" i="2"/>
  <c r="AB28" i="2" s="1"/>
  <c r="O27" i="2"/>
  <c r="O26" i="2"/>
  <c r="Z26" i="2" s="1"/>
  <c r="O25" i="2"/>
  <c r="AC25" i="2" s="1"/>
  <c r="O24" i="2"/>
  <c r="AB24" i="2" s="1"/>
  <c r="O23" i="2"/>
  <c r="AA23" i="2" s="1"/>
  <c r="O22" i="2"/>
  <c r="Z22" i="2" s="1"/>
  <c r="O21" i="2"/>
  <c r="AC21" i="2" s="1"/>
  <c r="O20" i="2"/>
  <c r="O19" i="2"/>
  <c r="AA19" i="2" s="1"/>
  <c r="O18" i="2"/>
  <c r="Z18" i="2" s="1"/>
  <c r="O17" i="2"/>
  <c r="AC17" i="2" s="1"/>
  <c r="O16" i="2"/>
  <c r="AB16" i="2" s="1"/>
  <c r="O15" i="2"/>
  <c r="O14" i="2"/>
  <c r="Z14" i="2" s="1"/>
  <c r="O13" i="2"/>
  <c r="O12" i="2"/>
  <c r="AB12" i="2" s="1"/>
  <c r="O11" i="2"/>
  <c r="AA11" i="2" s="1"/>
  <c r="O10" i="2"/>
  <c r="Z10" i="2" s="1"/>
  <c r="O9" i="2"/>
  <c r="AC9" i="2" s="1"/>
  <c r="O8" i="2"/>
  <c r="AB8" i="2" s="1"/>
  <c r="O7" i="2"/>
  <c r="O6" i="2"/>
  <c r="Z6" i="2" s="1"/>
  <c r="O5" i="2"/>
  <c r="O4" i="2"/>
  <c r="AB4" i="2" s="1"/>
  <c r="O3" i="2"/>
  <c r="AA3" i="2" s="1"/>
  <c r="O2" i="2"/>
  <c r="Z2" i="2" l="1"/>
  <c r="O53" i="2"/>
  <c r="AC5" i="2"/>
  <c r="AA5" i="2"/>
  <c r="AA7" i="2"/>
  <c r="U7" i="2"/>
  <c r="AC13" i="2"/>
  <c r="S13" i="2"/>
  <c r="AA15" i="2"/>
  <c r="U15" i="2"/>
  <c r="AB20" i="2"/>
  <c r="Z20" i="2"/>
  <c r="AA27" i="2"/>
  <c r="Q27" i="2"/>
  <c r="AB36" i="2"/>
  <c r="Z36" i="2"/>
  <c r="R36" i="2"/>
  <c r="AC37" i="2"/>
  <c r="V37" i="2"/>
  <c r="AB40" i="2"/>
  <c r="R40" i="2"/>
  <c r="AB48" i="2"/>
  <c r="AC48" i="2"/>
  <c r="U48" i="2"/>
  <c r="AA3" i="3"/>
  <c r="Y3" i="3"/>
  <c r="U3" i="3"/>
  <c r="Q3" i="3"/>
  <c r="AD3" i="3" s="1"/>
  <c r="AB4" i="3"/>
  <c r="V4" i="3"/>
  <c r="R4" i="3"/>
  <c r="AC5" i="3"/>
  <c r="W5" i="3"/>
  <c r="S5" i="3"/>
  <c r="AA7" i="3"/>
  <c r="Q7" i="3"/>
  <c r="AA11" i="3"/>
  <c r="Y11" i="3"/>
  <c r="U11" i="3"/>
  <c r="AB12" i="3"/>
  <c r="V12" i="3"/>
  <c r="R12" i="3"/>
  <c r="AC13" i="3"/>
  <c r="W13" i="3"/>
  <c r="S13" i="3"/>
  <c r="AA15" i="3"/>
  <c r="Q15" i="3"/>
  <c r="AC17" i="3"/>
  <c r="S17" i="3"/>
  <c r="AB20" i="3"/>
  <c r="AC20" i="3"/>
  <c r="Y20" i="3"/>
  <c r="W20" i="3"/>
  <c r="S20" i="3"/>
  <c r="R20" i="3"/>
  <c r="AA23" i="3"/>
  <c r="Y23" i="3"/>
  <c r="U23" i="3"/>
  <c r="Q23" i="3"/>
  <c r="AB24" i="3"/>
  <c r="AC24" i="3"/>
  <c r="AA24" i="3"/>
  <c r="W24" i="3"/>
  <c r="V24" i="3"/>
  <c r="R24" i="3"/>
  <c r="Q24" i="3"/>
  <c r="AC25" i="3"/>
  <c r="AA25" i="3"/>
  <c r="W25" i="3"/>
  <c r="S25" i="3"/>
  <c r="AA27" i="3"/>
  <c r="U27" i="3"/>
  <c r="Q27" i="3"/>
  <c r="AB28" i="3"/>
  <c r="AA28" i="3"/>
  <c r="V28" i="3"/>
  <c r="Q28" i="3"/>
  <c r="AC29" i="3"/>
  <c r="W29" i="3"/>
  <c r="S29" i="3"/>
  <c r="AA31" i="3"/>
  <c r="Q31" i="3"/>
  <c r="AC33" i="3"/>
  <c r="S33" i="3"/>
  <c r="AB36" i="3"/>
  <c r="AC36" i="3"/>
  <c r="Y36" i="3"/>
  <c r="W36" i="3"/>
  <c r="S36" i="3"/>
  <c r="R36" i="3"/>
  <c r="AA39" i="3"/>
  <c r="Y39" i="3"/>
  <c r="U39" i="3"/>
  <c r="Q39" i="3"/>
  <c r="AB40" i="3"/>
  <c r="AC40" i="3"/>
  <c r="AA40" i="3"/>
  <c r="W40" i="3"/>
  <c r="V40" i="3"/>
  <c r="R40" i="3"/>
  <c r="Q40" i="3"/>
  <c r="AC41" i="3"/>
  <c r="AA41" i="3"/>
  <c r="W41" i="3"/>
  <c r="S41" i="3"/>
  <c r="AA43" i="3"/>
  <c r="U43" i="3"/>
  <c r="Q43" i="3"/>
  <c r="AB44" i="3"/>
  <c r="AA44" i="3"/>
  <c r="V44" i="3"/>
  <c r="Q44" i="3"/>
  <c r="AC45" i="3"/>
  <c r="W45" i="3"/>
  <c r="S45" i="3"/>
  <c r="AA47" i="3"/>
  <c r="Q47" i="3"/>
  <c r="AC49" i="3"/>
  <c r="S49" i="3"/>
  <c r="AB52" i="3"/>
  <c r="Z52" i="3"/>
  <c r="U4" i="2"/>
  <c r="U12" i="2"/>
  <c r="AC16" i="2"/>
  <c r="AA41" i="2"/>
  <c r="Y52" i="2"/>
  <c r="Q12" i="2"/>
  <c r="AA13" i="2"/>
  <c r="R25" i="2"/>
  <c r="Y35" i="2"/>
  <c r="U39" i="2"/>
  <c r="R41" i="2"/>
  <c r="U43" i="2"/>
  <c r="Q52" i="2"/>
  <c r="AD52" i="2" s="1"/>
  <c r="Q4" i="2"/>
  <c r="AD4" i="2" s="1"/>
  <c r="S5" i="2"/>
  <c r="Q7" i="2"/>
  <c r="Y8" i="2"/>
  <c r="V16" i="2"/>
  <c r="R20" i="2"/>
  <c r="AA21" i="2"/>
  <c r="U23" i="2"/>
  <c r="AC32" i="2"/>
  <c r="U36" i="2"/>
  <c r="S37" i="2"/>
  <c r="Q40" i="2"/>
  <c r="Z41" i="2"/>
  <c r="Q43" i="2"/>
  <c r="AA49" i="2"/>
  <c r="V52" i="2"/>
  <c r="Q8" i="2"/>
  <c r="AC12" i="2"/>
  <c r="Q16" i="2"/>
  <c r="V17" i="2"/>
  <c r="S21" i="2"/>
  <c r="Q23" i="2"/>
  <c r="Y24" i="2"/>
  <c r="U32" i="2"/>
  <c r="Z40" i="2"/>
  <c r="V41" i="2"/>
  <c r="S49" i="2"/>
  <c r="U51" i="2"/>
  <c r="U52" i="2"/>
  <c r="AC52" i="2"/>
  <c r="AC4" i="2"/>
  <c r="Y19" i="2"/>
  <c r="Q24" i="2"/>
  <c r="Z25" i="2"/>
  <c r="V33" i="2"/>
  <c r="AC36" i="2"/>
  <c r="AA37" i="2"/>
  <c r="Y39" i="2"/>
  <c r="Y40" i="2"/>
  <c r="S41" i="2"/>
  <c r="Y43" i="2"/>
  <c r="R52" i="2"/>
  <c r="Z52" i="2"/>
  <c r="Z16" i="3"/>
  <c r="AC19" i="3"/>
  <c r="V48" i="3"/>
  <c r="AC51" i="3"/>
  <c r="AC3" i="3"/>
  <c r="Z4" i="3"/>
  <c r="AA5" i="3"/>
  <c r="U7" i="3"/>
  <c r="R8" i="3"/>
  <c r="S9" i="3"/>
  <c r="AC11" i="3"/>
  <c r="Z12" i="3"/>
  <c r="AA13" i="3"/>
  <c r="U15" i="3"/>
  <c r="Q16" i="3"/>
  <c r="V16" i="3"/>
  <c r="AA16" i="3"/>
  <c r="W17" i="3"/>
  <c r="Q19" i="3"/>
  <c r="U20" i="3"/>
  <c r="Z20" i="3"/>
  <c r="S21" i="3"/>
  <c r="AC23" i="3"/>
  <c r="S24" i="3"/>
  <c r="Y24" i="3"/>
  <c r="Y27" i="3"/>
  <c r="R28" i="3"/>
  <c r="W28" i="3"/>
  <c r="AC28" i="3"/>
  <c r="AA29" i="3"/>
  <c r="U31" i="3"/>
  <c r="Q32" i="3"/>
  <c r="V32" i="3"/>
  <c r="AA32" i="3"/>
  <c r="W33" i="3"/>
  <c r="Q35" i="3"/>
  <c r="U36" i="3"/>
  <c r="Z36" i="3"/>
  <c r="S37" i="3"/>
  <c r="AC39" i="3"/>
  <c r="S40" i="3"/>
  <c r="Y40" i="3"/>
  <c r="Y43" i="3"/>
  <c r="R44" i="3"/>
  <c r="W44" i="3"/>
  <c r="AC44" i="3"/>
  <c r="AA45" i="3"/>
  <c r="U47" i="3"/>
  <c r="Q48" i="3"/>
  <c r="W48" i="3"/>
  <c r="W49" i="3"/>
  <c r="Q51" i="3"/>
  <c r="AD51" i="3" s="1"/>
  <c r="Z32" i="3"/>
  <c r="AC35" i="3"/>
  <c r="AC7" i="3"/>
  <c r="Z8" i="3"/>
  <c r="AA9" i="3"/>
  <c r="AC15" i="3"/>
  <c r="S16" i="3"/>
  <c r="Y16" i="3"/>
  <c r="Y19" i="3"/>
  <c r="AA21" i="3"/>
  <c r="U28" i="3"/>
  <c r="Z28" i="3"/>
  <c r="AC31" i="3"/>
  <c r="S32" i="3"/>
  <c r="Y32" i="3"/>
  <c r="Y35" i="3"/>
  <c r="AA37" i="3"/>
  <c r="U44" i="3"/>
  <c r="Z44" i="3"/>
  <c r="AC47" i="3"/>
  <c r="S48" i="3"/>
  <c r="Y51" i="3"/>
  <c r="V52" i="3"/>
  <c r="U16" i="3"/>
  <c r="U32" i="3"/>
  <c r="Y7" i="3"/>
  <c r="V8" i="3"/>
  <c r="W9" i="3"/>
  <c r="Q11" i="3"/>
  <c r="Y15" i="3"/>
  <c r="R16" i="3"/>
  <c r="W16" i="3"/>
  <c r="AC16" i="3"/>
  <c r="AA17" i="3"/>
  <c r="U19" i="3"/>
  <c r="Q20" i="3"/>
  <c r="V20" i="3"/>
  <c r="AA20" i="3"/>
  <c r="W21" i="3"/>
  <c r="U24" i="3"/>
  <c r="Z24" i="3"/>
  <c r="AC27" i="3"/>
  <c r="S28" i="3"/>
  <c r="Y28" i="3"/>
  <c r="Y31" i="3"/>
  <c r="R32" i="3"/>
  <c r="W32" i="3"/>
  <c r="AC32" i="3"/>
  <c r="AA33" i="3"/>
  <c r="U35" i="3"/>
  <c r="Q36" i="3"/>
  <c r="V36" i="3"/>
  <c r="AA36" i="3"/>
  <c r="W37" i="3"/>
  <c r="U40" i="3"/>
  <c r="Z40" i="3"/>
  <c r="AC43" i="3"/>
  <c r="S44" i="3"/>
  <c r="Y44" i="3"/>
  <c r="Y47" i="3"/>
  <c r="R48" i="3"/>
  <c r="Z48" i="3"/>
  <c r="AA49" i="3"/>
  <c r="U51" i="3"/>
  <c r="R52" i="3"/>
  <c r="AB10" i="3"/>
  <c r="T22" i="3"/>
  <c r="X26" i="3"/>
  <c r="AB34" i="3"/>
  <c r="T42" i="3"/>
  <c r="T46" i="3"/>
  <c r="Q2" i="3"/>
  <c r="AD2" i="3" s="1"/>
  <c r="U2" i="3"/>
  <c r="Y2" i="3"/>
  <c r="AC2" i="3"/>
  <c r="R3" i="3"/>
  <c r="V3" i="3"/>
  <c r="Z3" i="3"/>
  <c r="S4" i="3"/>
  <c r="W4" i="3"/>
  <c r="AA4" i="3"/>
  <c r="T5" i="3"/>
  <c r="X5" i="3"/>
  <c r="AB5" i="3"/>
  <c r="Q6" i="3"/>
  <c r="U6" i="3"/>
  <c r="Y6" i="3"/>
  <c r="AC6" i="3"/>
  <c r="R7" i="3"/>
  <c r="V7" i="3"/>
  <c r="Z7" i="3"/>
  <c r="S8" i="3"/>
  <c r="W8" i="3"/>
  <c r="AA8" i="3"/>
  <c r="T9" i="3"/>
  <c r="X9" i="3"/>
  <c r="AB9" i="3"/>
  <c r="Q10" i="3"/>
  <c r="U10" i="3"/>
  <c r="Y10" i="3"/>
  <c r="AC10" i="3"/>
  <c r="R11" i="3"/>
  <c r="V11" i="3"/>
  <c r="Z11" i="3"/>
  <c r="S12" i="3"/>
  <c r="W12" i="3"/>
  <c r="AA12" i="3"/>
  <c r="T13" i="3"/>
  <c r="X13" i="3"/>
  <c r="AB13" i="3"/>
  <c r="Q14" i="3"/>
  <c r="U14" i="3"/>
  <c r="Y14" i="3"/>
  <c r="AC14" i="3"/>
  <c r="R15" i="3"/>
  <c r="V15" i="3"/>
  <c r="Z15" i="3"/>
  <c r="T17" i="3"/>
  <c r="X17" i="3"/>
  <c r="AB17" i="3"/>
  <c r="Q18" i="3"/>
  <c r="U18" i="3"/>
  <c r="Y18" i="3"/>
  <c r="AC18" i="3"/>
  <c r="R19" i="3"/>
  <c r="V19" i="3"/>
  <c r="Z19" i="3"/>
  <c r="T21" i="3"/>
  <c r="X21" i="3"/>
  <c r="AB21" i="3"/>
  <c r="Q22" i="3"/>
  <c r="U22" i="3"/>
  <c r="Y22" i="3"/>
  <c r="AC22" i="3"/>
  <c r="R23" i="3"/>
  <c r="V23" i="3"/>
  <c r="Z23" i="3"/>
  <c r="T25" i="3"/>
  <c r="X25" i="3"/>
  <c r="AB25" i="3"/>
  <c r="Q26" i="3"/>
  <c r="U26" i="3"/>
  <c r="Y26" i="3"/>
  <c r="AC26" i="3"/>
  <c r="R27" i="3"/>
  <c r="V27" i="3"/>
  <c r="Z27" i="3"/>
  <c r="T29" i="3"/>
  <c r="X29" i="3"/>
  <c r="AB29" i="3"/>
  <c r="Q30" i="3"/>
  <c r="U30" i="3"/>
  <c r="Y30" i="3"/>
  <c r="AC30" i="3"/>
  <c r="R31" i="3"/>
  <c r="V31" i="3"/>
  <c r="Z31" i="3"/>
  <c r="T33" i="3"/>
  <c r="X33" i="3"/>
  <c r="AB33" i="3"/>
  <c r="Q34" i="3"/>
  <c r="U34" i="3"/>
  <c r="Y34" i="3"/>
  <c r="AC34" i="3"/>
  <c r="R35" i="3"/>
  <c r="V35" i="3"/>
  <c r="Z35" i="3"/>
  <c r="T37" i="3"/>
  <c r="X37" i="3"/>
  <c r="AB37" i="3"/>
  <c r="Q38" i="3"/>
  <c r="U38" i="3"/>
  <c r="Y38" i="3"/>
  <c r="AC38" i="3"/>
  <c r="R39" i="3"/>
  <c r="V39" i="3"/>
  <c r="Z39" i="3"/>
  <c r="T41" i="3"/>
  <c r="X41" i="3"/>
  <c r="AB41" i="3"/>
  <c r="Q42" i="3"/>
  <c r="U42" i="3"/>
  <c r="Y42" i="3"/>
  <c r="AC42" i="3"/>
  <c r="R43" i="3"/>
  <c r="V43" i="3"/>
  <c r="Z43" i="3"/>
  <c r="T45" i="3"/>
  <c r="X45" i="3"/>
  <c r="AB45" i="3"/>
  <c r="Q46" i="3"/>
  <c r="U46" i="3"/>
  <c r="Y46" i="3"/>
  <c r="AC46" i="3"/>
  <c r="R47" i="3"/>
  <c r="AD47" i="3" s="1"/>
  <c r="V47" i="3"/>
  <c r="Z47" i="3"/>
  <c r="AA48" i="3"/>
  <c r="T49" i="3"/>
  <c r="X49" i="3"/>
  <c r="AB49" i="3"/>
  <c r="Q50" i="3"/>
  <c r="AD50" i="3" s="1"/>
  <c r="U50" i="3"/>
  <c r="Y50" i="3"/>
  <c r="AC50" i="3"/>
  <c r="R51" i="3"/>
  <c r="V51" i="3"/>
  <c r="Z51" i="3"/>
  <c r="S52" i="3"/>
  <c r="W52" i="3"/>
  <c r="AA52" i="3"/>
  <c r="AB2" i="3"/>
  <c r="AB6" i="3"/>
  <c r="T10" i="3"/>
  <c r="AB14" i="3"/>
  <c r="X18" i="3"/>
  <c r="X22" i="3"/>
  <c r="AB26" i="3"/>
  <c r="T30" i="3"/>
  <c r="AB30" i="3"/>
  <c r="AB38" i="3"/>
  <c r="AB42" i="3"/>
  <c r="AB46" i="3"/>
  <c r="AB50" i="3"/>
  <c r="S2" i="3"/>
  <c r="W2" i="3"/>
  <c r="AA2" i="3"/>
  <c r="T3" i="3"/>
  <c r="X3" i="3"/>
  <c r="AB3" i="3"/>
  <c r="Q4" i="3"/>
  <c r="AD4" i="3" s="1"/>
  <c r="U4" i="3"/>
  <c r="Y4" i="3"/>
  <c r="AC4" i="3"/>
  <c r="R5" i="3"/>
  <c r="V5" i="3"/>
  <c r="Z5" i="3"/>
  <c r="S6" i="3"/>
  <c r="W6" i="3"/>
  <c r="AA6" i="3"/>
  <c r="T7" i="3"/>
  <c r="X7" i="3"/>
  <c r="AB7" i="3"/>
  <c r="Q8" i="3"/>
  <c r="U8" i="3"/>
  <c r="Y8" i="3"/>
  <c r="AC8" i="3"/>
  <c r="R9" i="3"/>
  <c r="V9" i="3"/>
  <c r="Z9" i="3"/>
  <c r="S10" i="3"/>
  <c r="W10" i="3"/>
  <c r="AA10" i="3"/>
  <c r="T11" i="3"/>
  <c r="X11" i="3"/>
  <c r="AB11" i="3"/>
  <c r="Q12" i="3"/>
  <c r="U12" i="3"/>
  <c r="Y12" i="3"/>
  <c r="AC12" i="3"/>
  <c r="R13" i="3"/>
  <c r="V13" i="3"/>
  <c r="Z13" i="3"/>
  <c r="S14" i="3"/>
  <c r="W14" i="3"/>
  <c r="AA14" i="3"/>
  <c r="T15" i="3"/>
  <c r="X15" i="3"/>
  <c r="AB15" i="3"/>
  <c r="R17" i="3"/>
  <c r="V17" i="3"/>
  <c r="Z17" i="3"/>
  <c r="S18" i="3"/>
  <c r="W18" i="3"/>
  <c r="AA18" i="3"/>
  <c r="T19" i="3"/>
  <c r="X19" i="3"/>
  <c r="AB19" i="3"/>
  <c r="R21" i="3"/>
  <c r="V21" i="3"/>
  <c r="Z21" i="3"/>
  <c r="S22" i="3"/>
  <c r="W22" i="3"/>
  <c r="AA22" i="3"/>
  <c r="T23" i="3"/>
  <c r="X23" i="3"/>
  <c r="AB23" i="3"/>
  <c r="R25" i="3"/>
  <c r="V25" i="3"/>
  <c r="Z25" i="3"/>
  <c r="S26" i="3"/>
  <c r="W26" i="3"/>
  <c r="AA26" i="3"/>
  <c r="T27" i="3"/>
  <c r="X27" i="3"/>
  <c r="AB27" i="3"/>
  <c r="R29" i="3"/>
  <c r="V29" i="3"/>
  <c r="Z29" i="3"/>
  <c r="S30" i="3"/>
  <c r="W30" i="3"/>
  <c r="AA30" i="3"/>
  <c r="T31" i="3"/>
  <c r="X31" i="3"/>
  <c r="AB31" i="3"/>
  <c r="R33" i="3"/>
  <c r="V33" i="3"/>
  <c r="Z33" i="3"/>
  <c r="S34" i="3"/>
  <c r="W34" i="3"/>
  <c r="AA34" i="3"/>
  <c r="T35" i="3"/>
  <c r="X35" i="3"/>
  <c r="AB35" i="3"/>
  <c r="R37" i="3"/>
  <c r="V37" i="3"/>
  <c r="Z37" i="3"/>
  <c r="S38" i="3"/>
  <c r="W38" i="3"/>
  <c r="AA38" i="3"/>
  <c r="T39" i="3"/>
  <c r="X39" i="3"/>
  <c r="AB39" i="3"/>
  <c r="R41" i="3"/>
  <c r="V41" i="3"/>
  <c r="Z41" i="3"/>
  <c r="S42" i="3"/>
  <c r="W42" i="3"/>
  <c r="AA42" i="3"/>
  <c r="T43" i="3"/>
  <c r="X43" i="3"/>
  <c r="AB43" i="3"/>
  <c r="R45" i="3"/>
  <c r="V45" i="3"/>
  <c r="Z45" i="3"/>
  <c r="S46" i="3"/>
  <c r="W46" i="3"/>
  <c r="AA46" i="3"/>
  <c r="T47" i="3"/>
  <c r="X47" i="3"/>
  <c r="AB47" i="3"/>
  <c r="U48" i="3"/>
  <c r="Y48" i="3"/>
  <c r="AC48" i="3"/>
  <c r="R49" i="3"/>
  <c r="V49" i="3"/>
  <c r="Z49" i="3"/>
  <c r="S50" i="3"/>
  <c r="W50" i="3"/>
  <c r="AA50" i="3"/>
  <c r="T51" i="3"/>
  <c r="X51" i="3"/>
  <c r="AB51" i="3"/>
  <c r="Q52" i="3"/>
  <c r="AD52" i="3" s="1"/>
  <c r="U52" i="3"/>
  <c r="Y52" i="3"/>
  <c r="AC52" i="3"/>
  <c r="T2" i="3"/>
  <c r="X2" i="3"/>
  <c r="T6" i="3"/>
  <c r="X6" i="3"/>
  <c r="X10" i="3"/>
  <c r="T14" i="3"/>
  <c r="X14" i="3"/>
  <c r="T18" i="3"/>
  <c r="AB18" i="3"/>
  <c r="AB22" i="3"/>
  <c r="T26" i="3"/>
  <c r="X30" i="3"/>
  <c r="T34" i="3"/>
  <c r="X34" i="3"/>
  <c r="T38" i="3"/>
  <c r="X38" i="3"/>
  <c r="X42" i="3"/>
  <c r="X46" i="3"/>
  <c r="T50" i="3"/>
  <c r="X50" i="3"/>
  <c r="R2" i="3"/>
  <c r="V2" i="3"/>
  <c r="S3" i="3"/>
  <c r="W3" i="3"/>
  <c r="T4" i="3"/>
  <c r="X4" i="3"/>
  <c r="Q5" i="3"/>
  <c r="AD5" i="3" s="1"/>
  <c r="U5" i="3"/>
  <c r="Y5" i="3"/>
  <c r="R6" i="3"/>
  <c r="V6" i="3"/>
  <c r="S7" i="3"/>
  <c r="W7" i="3"/>
  <c r="T8" i="3"/>
  <c r="X8" i="3"/>
  <c r="Q9" i="3"/>
  <c r="U9" i="3"/>
  <c r="Y9" i="3"/>
  <c r="R10" i="3"/>
  <c r="V10" i="3"/>
  <c r="S11" i="3"/>
  <c r="W11" i="3"/>
  <c r="T12" i="3"/>
  <c r="X12" i="3"/>
  <c r="Q13" i="3"/>
  <c r="U13" i="3"/>
  <c r="Y13" i="3"/>
  <c r="R14" i="3"/>
  <c r="V14" i="3"/>
  <c r="S15" i="3"/>
  <c r="W15" i="3"/>
  <c r="T16" i="3"/>
  <c r="X16" i="3"/>
  <c r="Q17" i="3"/>
  <c r="U17" i="3"/>
  <c r="Y17" i="3"/>
  <c r="R18" i="3"/>
  <c r="V18" i="3"/>
  <c r="S19" i="3"/>
  <c r="W19" i="3"/>
  <c r="T20" i="3"/>
  <c r="X20" i="3"/>
  <c r="Q21" i="3"/>
  <c r="U21" i="3"/>
  <c r="Y21" i="3"/>
  <c r="R22" i="3"/>
  <c r="V22" i="3"/>
  <c r="S23" i="3"/>
  <c r="W23" i="3"/>
  <c r="T24" i="3"/>
  <c r="X24" i="3"/>
  <c r="Q25" i="3"/>
  <c r="U25" i="3"/>
  <c r="Y25" i="3"/>
  <c r="R26" i="3"/>
  <c r="V26" i="3"/>
  <c r="S27" i="3"/>
  <c r="W27" i="3"/>
  <c r="T28" i="3"/>
  <c r="X28" i="3"/>
  <c r="Q29" i="3"/>
  <c r="U29" i="3"/>
  <c r="Y29" i="3"/>
  <c r="R30" i="3"/>
  <c r="V30" i="3"/>
  <c r="S31" i="3"/>
  <c r="W31" i="3"/>
  <c r="T32" i="3"/>
  <c r="X32" i="3"/>
  <c r="Q33" i="3"/>
  <c r="U33" i="3"/>
  <c r="Y33" i="3"/>
  <c r="R34" i="3"/>
  <c r="V34" i="3"/>
  <c r="S35" i="3"/>
  <c r="W35" i="3"/>
  <c r="T36" i="3"/>
  <c r="X36" i="3"/>
  <c r="Q37" i="3"/>
  <c r="U37" i="3"/>
  <c r="Y37" i="3"/>
  <c r="R38" i="3"/>
  <c r="V38" i="3"/>
  <c r="S39" i="3"/>
  <c r="W39" i="3"/>
  <c r="T40" i="3"/>
  <c r="X40" i="3"/>
  <c r="Q41" i="3"/>
  <c r="U41" i="3"/>
  <c r="Y41" i="3"/>
  <c r="R42" i="3"/>
  <c r="V42" i="3"/>
  <c r="S43" i="3"/>
  <c r="W43" i="3"/>
  <c r="T44" i="3"/>
  <c r="X44" i="3"/>
  <c r="Q45" i="3"/>
  <c r="U45" i="3"/>
  <c r="Y45" i="3"/>
  <c r="R46" i="3"/>
  <c r="V46" i="3"/>
  <c r="S47" i="3"/>
  <c r="W47" i="3"/>
  <c r="T48" i="3"/>
  <c r="AD48" i="3" s="1"/>
  <c r="X48" i="3"/>
  <c r="Q49" i="3"/>
  <c r="AD49" i="3" s="1"/>
  <c r="U49" i="3"/>
  <c r="Y49" i="3"/>
  <c r="R50" i="3"/>
  <c r="V50" i="3"/>
  <c r="S51" i="3"/>
  <c r="W51" i="3"/>
  <c r="T52" i="3"/>
  <c r="X52" i="3"/>
  <c r="Y3" i="2"/>
  <c r="R4" i="2"/>
  <c r="Z4" i="2"/>
  <c r="R5" i="2"/>
  <c r="Z5" i="2"/>
  <c r="V8" i="2"/>
  <c r="V9" i="2"/>
  <c r="Y11" i="2"/>
  <c r="R12" i="2"/>
  <c r="Z12" i="2"/>
  <c r="R13" i="2"/>
  <c r="Z13" i="2"/>
  <c r="Q15" i="2"/>
  <c r="U16" i="2"/>
  <c r="Z16" i="2"/>
  <c r="S17" i="2"/>
  <c r="AA17" i="2"/>
  <c r="U19" i="2"/>
  <c r="Q20" i="2"/>
  <c r="Y20" i="2"/>
  <c r="R21" i="2"/>
  <c r="Z21" i="2"/>
  <c r="V24" i="2"/>
  <c r="W25" i="2"/>
  <c r="AC27" i="2"/>
  <c r="U28" i="2"/>
  <c r="AC28" i="2"/>
  <c r="V29" i="2"/>
  <c r="Y31" i="2"/>
  <c r="R32" i="2"/>
  <c r="Z32" i="2"/>
  <c r="S33" i="2"/>
  <c r="AA33" i="2"/>
  <c r="U35" i="2"/>
  <c r="Q36" i="2"/>
  <c r="Y36" i="2"/>
  <c r="R37" i="2"/>
  <c r="Z37" i="2"/>
  <c r="Q39" i="2"/>
  <c r="V40" i="2"/>
  <c r="W41" i="2"/>
  <c r="AC43" i="2"/>
  <c r="U44" i="2"/>
  <c r="AC44" i="2"/>
  <c r="V45" i="2"/>
  <c r="Y47" i="2"/>
  <c r="R48" i="2"/>
  <c r="Z48" i="2"/>
  <c r="R49" i="2"/>
  <c r="Z49" i="2"/>
  <c r="Q51" i="2"/>
  <c r="AD51" i="2" s="1"/>
  <c r="AC3" i="2"/>
  <c r="W9" i="2"/>
  <c r="V28" i="2"/>
  <c r="W29" i="2"/>
  <c r="V44" i="2"/>
  <c r="W45" i="2"/>
  <c r="U3" i="2"/>
  <c r="Y4" i="2"/>
  <c r="W5" i="2"/>
  <c r="AC7" i="2"/>
  <c r="U8" i="2"/>
  <c r="AC8" i="2"/>
  <c r="S9" i="2"/>
  <c r="AA9" i="2"/>
  <c r="U11" i="2"/>
  <c r="Y12" i="2"/>
  <c r="W13" i="2"/>
  <c r="AC15" i="2"/>
  <c r="S16" i="2"/>
  <c r="Y16" i="2"/>
  <c r="R17" i="2"/>
  <c r="Z17" i="2"/>
  <c r="Q19" i="2"/>
  <c r="V20" i="2"/>
  <c r="W21" i="2"/>
  <c r="AC23" i="2"/>
  <c r="U24" i="2"/>
  <c r="AC24" i="2"/>
  <c r="V25" i="2"/>
  <c r="Y27" i="2"/>
  <c r="R28" i="2"/>
  <c r="Z28" i="2"/>
  <c r="S29" i="2"/>
  <c r="AA29" i="2"/>
  <c r="U31" i="2"/>
  <c r="Q32" i="2"/>
  <c r="Y32" i="2"/>
  <c r="R33" i="2"/>
  <c r="Z33" i="2"/>
  <c r="Q35" i="2"/>
  <c r="V36" i="2"/>
  <c r="W37" i="2"/>
  <c r="AC39" i="2"/>
  <c r="U40" i="2"/>
  <c r="AC40" i="2"/>
  <c r="R44" i="2"/>
  <c r="Z44" i="2"/>
  <c r="S45" i="2"/>
  <c r="AA45" i="2"/>
  <c r="U47" i="2"/>
  <c r="Q48" i="2"/>
  <c r="Y48" i="2"/>
  <c r="W49" i="2"/>
  <c r="AC51" i="2"/>
  <c r="AC11" i="2"/>
  <c r="AC31" i="2"/>
  <c r="AC47" i="2"/>
  <c r="Q3" i="2"/>
  <c r="AD3" i="2" s="1"/>
  <c r="V4" i="2"/>
  <c r="V5" i="2"/>
  <c r="Y7" i="2"/>
  <c r="R8" i="2"/>
  <c r="Z8" i="2"/>
  <c r="R9" i="2"/>
  <c r="Z9" i="2"/>
  <c r="Q11" i="2"/>
  <c r="V12" i="2"/>
  <c r="V13" i="2"/>
  <c r="Y15" i="2"/>
  <c r="R16" i="2"/>
  <c r="W16" i="2"/>
  <c r="W17" i="2"/>
  <c r="AC19" i="2"/>
  <c r="U20" i="2"/>
  <c r="AC20" i="2"/>
  <c r="V21" i="2"/>
  <c r="Y23" i="2"/>
  <c r="R24" i="2"/>
  <c r="Z24" i="2"/>
  <c r="S25" i="2"/>
  <c r="AA25" i="2"/>
  <c r="U27" i="2"/>
  <c r="Q28" i="2"/>
  <c r="Y28" i="2"/>
  <c r="R29" i="2"/>
  <c r="Z29" i="2"/>
  <c r="Q31" i="2"/>
  <c r="V32" i="2"/>
  <c r="W33" i="2"/>
  <c r="AC35" i="2"/>
  <c r="Q44" i="2"/>
  <c r="Y44" i="2"/>
  <c r="R45" i="2"/>
  <c r="Z45" i="2"/>
  <c r="Q47" i="2"/>
  <c r="V48" i="2"/>
  <c r="V49" i="2"/>
  <c r="Y51" i="2"/>
  <c r="X2" i="2"/>
  <c r="AB2" i="2"/>
  <c r="T6" i="2"/>
  <c r="T10" i="2"/>
  <c r="AB10" i="2"/>
  <c r="X14" i="2"/>
  <c r="T18" i="2"/>
  <c r="T22" i="2"/>
  <c r="AB22" i="2"/>
  <c r="X26" i="2"/>
  <c r="X30" i="2"/>
  <c r="AB30" i="2"/>
  <c r="T34" i="2"/>
  <c r="AB34" i="2"/>
  <c r="X38" i="2"/>
  <c r="T42" i="2"/>
  <c r="AB42" i="2"/>
  <c r="X46" i="2"/>
  <c r="T50" i="2"/>
  <c r="AB50" i="2"/>
  <c r="S2" i="2"/>
  <c r="X3" i="2"/>
  <c r="S6" i="2"/>
  <c r="X7" i="2"/>
  <c r="AB7" i="2"/>
  <c r="W10" i="2"/>
  <c r="AA10" i="2"/>
  <c r="T11" i="2"/>
  <c r="AB11" i="2"/>
  <c r="W14" i="2"/>
  <c r="AA14" i="2"/>
  <c r="T15" i="2"/>
  <c r="S18" i="2"/>
  <c r="X19" i="2"/>
  <c r="AB19" i="2"/>
  <c r="W22" i="2"/>
  <c r="AA22" i="2"/>
  <c r="T23" i="2"/>
  <c r="AB23" i="2"/>
  <c r="W26" i="2"/>
  <c r="AA26" i="2"/>
  <c r="T27" i="2"/>
  <c r="S30" i="2"/>
  <c r="X31" i="2"/>
  <c r="AB31" i="2"/>
  <c r="X35" i="2"/>
  <c r="S38" i="2"/>
  <c r="X39" i="2"/>
  <c r="AB39" i="2"/>
  <c r="W42" i="2"/>
  <c r="AA42" i="2"/>
  <c r="T43" i="2"/>
  <c r="S46" i="2"/>
  <c r="X47" i="2"/>
  <c r="AB47" i="2"/>
  <c r="W50" i="2"/>
  <c r="AA50" i="2"/>
  <c r="T51" i="2"/>
  <c r="AB51" i="2"/>
  <c r="Q2" i="2"/>
  <c r="AD2" i="2" s="1"/>
  <c r="U2" i="2"/>
  <c r="Y2" i="2"/>
  <c r="AC2" i="2"/>
  <c r="R3" i="2"/>
  <c r="V3" i="2"/>
  <c r="Z3" i="2"/>
  <c r="S4" i="2"/>
  <c r="W4" i="2"/>
  <c r="AA4" i="2"/>
  <c r="T5" i="2"/>
  <c r="X5" i="2"/>
  <c r="AB5" i="2"/>
  <c r="Q6" i="2"/>
  <c r="U6" i="2"/>
  <c r="Y6" i="2"/>
  <c r="AC6" i="2"/>
  <c r="R7" i="2"/>
  <c r="V7" i="2"/>
  <c r="Z7" i="2"/>
  <c r="S8" i="2"/>
  <c r="W8" i="2"/>
  <c r="AA8" i="2"/>
  <c r="T9" i="2"/>
  <c r="X9" i="2"/>
  <c r="AB9" i="2"/>
  <c r="Q10" i="2"/>
  <c r="U10" i="2"/>
  <c r="Y10" i="2"/>
  <c r="AC10" i="2"/>
  <c r="R11" i="2"/>
  <c r="V11" i="2"/>
  <c r="Z11" i="2"/>
  <c r="S12" i="2"/>
  <c r="W12" i="2"/>
  <c r="AA12" i="2"/>
  <c r="T13" i="2"/>
  <c r="X13" i="2"/>
  <c r="AB13" i="2"/>
  <c r="Q14" i="2"/>
  <c r="U14" i="2"/>
  <c r="Y14" i="2"/>
  <c r="AC14" i="2"/>
  <c r="R15" i="2"/>
  <c r="V15" i="2"/>
  <c r="Z15" i="2"/>
  <c r="AA16" i="2"/>
  <c r="T17" i="2"/>
  <c r="X17" i="2"/>
  <c r="AB17" i="2"/>
  <c r="Q18" i="2"/>
  <c r="U18" i="2"/>
  <c r="Y18" i="2"/>
  <c r="AC18" i="2"/>
  <c r="R19" i="2"/>
  <c r="V19" i="2"/>
  <c r="Z19" i="2"/>
  <c r="S20" i="2"/>
  <c r="W20" i="2"/>
  <c r="AA20" i="2"/>
  <c r="T21" i="2"/>
  <c r="X21" i="2"/>
  <c r="AB21" i="2"/>
  <c r="Q22" i="2"/>
  <c r="U22" i="2"/>
  <c r="Y22" i="2"/>
  <c r="AC22" i="2"/>
  <c r="R23" i="2"/>
  <c r="V23" i="2"/>
  <c r="Z23" i="2"/>
  <c r="S24" i="2"/>
  <c r="W24" i="2"/>
  <c r="AA24" i="2"/>
  <c r="T25" i="2"/>
  <c r="X25" i="2"/>
  <c r="AB25" i="2"/>
  <c r="Q26" i="2"/>
  <c r="U26" i="2"/>
  <c r="Y26" i="2"/>
  <c r="AC26" i="2"/>
  <c r="R27" i="2"/>
  <c r="V27" i="2"/>
  <c r="Z27" i="2"/>
  <c r="S28" i="2"/>
  <c r="W28" i="2"/>
  <c r="AA28" i="2"/>
  <c r="T29" i="2"/>
  <c r="X29" i="2"/>
  <c r="AB29" i="2"/>
  <c r="Q30" i="2"/>
  <c r="U30" i="2"/>
  <c r="Y30" i="2"/>
  <c r="AC30" i="2"/>
  <c r="R31" i="2"/>
  <c r="V31" i="2"/>
  <c r="Z31" i="2"/>
  <c r="S32" i="2"/>
  <c r="W32" i="2"/>
  <c r="AA32" i="2"/>
  <c r="T33" i="2"/>
  <c r="X33" i="2"/>
  <c r="AB33" i="2"/>
  <c r="Q34" i="2"/>
  <c r="U34" i="2"/>
  <c r="Y34" i="2"/>
  <c r="AC34" i="2"/>
  <c r="R35" i="2"/>
  <c r="V35" i="2"/>
  <c r="Z35" i="2"/>
  <c r="S36" i="2"/>
  <c r="W36" i="2"/>
  <c r="AA36" i="2"/>
  <c r="T37" i="2"/>
  <c r="X37" i="2"/>
  <c r="AB37" i="2"/>
  <c r="Q38" i="2"/>
  <c r="U38" i="2"/>
  <c r="Y38" i="2"/>
  <c r="AC38" i="2"/>
  <c r="R39" i="2"/>
  <c r="V39" i="2"/>
  <c r="Z39" i="2"/>
  <c r="S40" i="2"/>
  <c r="W40" i="2"/>
  <c r="AA40" i="2"/>
  <c r="T41" i="2"/>
  <c r="X41" i="2"/>
  <c r="AB41" i="2"/>
  <c r="Q42" i="2"/>
  <c r="U42" i="2"/>
  <c r="Y42" i="2"/>
  <c r="AC42" i="2"/>
  <c r="R43" i="2"/>
  <c r="V43" i="2"/>
  <c r="Z43" i="2"/>
  <c r="S44" i="2"/>
  <c r="W44" i="2"/>
  <c r="AA44" i="2"/>
  <c r="T45" i="2"/>
  <c r="X45" i="2"/>
  <c r="AB45" i="2"/>
  <c r="Q46" i="2"/>
  <c r="U46" i="2"/>
  <c r="Y46" i="2"/>
  <c r="AC46" i="2"/>
  <c r="R47" i="2"/>
  <c r="V47" i="2"/>
  <c r="Z47" i="2"/>
  <c r="S48" i="2"/>
  <c r="W48" i="2"/>
  <c r="AA48" i="2"/>
  <c r="T49" i="2"/>
  <c r="X49" i="2"/>
  <c r="AB49" i="2"/>
  <c r="Q50" i="2"/>
  <c r="AD50" i="2" s="1"/>
  <c r="U50" i="2"/>
  <c r="Y50" i="2"/>
  <c r="AC50" i="2"/>
  <c r="R51" i="2"/>
  <c r="V51" i="2"/>
  <c r="Z51" i="2"/>
  <c r="S52" i="2"/>
  <c r="W52" i="2"/>
  <c r="AA52" i="2"/>
  <c r="T2" i="2"/>
  <c r="X6" i="2"/>
  <c r="AB6" i="2"/>
  <c r="X10" i="2"/>
  <c r="T14" i="2"/>
  <c r="AB14" i="2"/>
  <c r="X18" i="2"/>
  <c r="AB18" i="2"/>
  <c r="X22" i="2"/>
  <c r="T26" i="2"/>
  <c r="AB26" i="2"/>
  <c r="T30" i="2"/>
  <c r="X34" i="2"/>
  <c r="T38" i="2"/>
  <c r="AB38" i="2"/>
  <c r="X42" i="2"/>
  <c r="T46" i="2"/>
  <c r="AB46" i="2"/>
  <c r="X50" i="2"/>
  <c r="W2" i="2"/>
  <c r="AA2" i="2"/>
  <c r="T3" i="2"/>
  <c r="AB3" i="2"/>
  <c r="W6" i="2"/>
  <c r="AA6" i="2"/>
  <c r="T7" i="2"/>
  <c r="S10" i="2"/>
  <c r="X11" i="2"/>
  <c r="S14" i="2"/>
  <c r="X15" i="2"/>
  <c r="AB15" i="2"/>
  <c r="W18" i="2"/>
  <c r="AA18" i="2"/>
  <c r="T19" i="2"/>
  <c r="S22" i="2"/>
  <c r="X23" i="2"/>
  <c r="S26" i="2"/>
  <c r="X27" i="2"/>
  <c r="AB27" i="2"/>
  <c r="W30" i="2"/>
  <c r="AA30" i="2"/>
  <c r="T31" i="2"/>
  <c r="S34" i="2"/>
  <c r="W34" i="2"/>
  <c r="AA34" i="2"/>
  <c r="T35" i="2"/>
  <c r="AB35" i="2"/>
  <c r="W38" i="2"/>
  <c r="AA38" i="2"/>
  <c r="T39" i="2"/>
  <c r="S42" i="2"/>
  <c r="X43" i="2"/>
  <c r="AB43" i="2"/>
  <c r="W46" i="2"/>
  <c r="AA46" i="2"/>
  <c r="T47" i="2"/>
  <c r="S50" i="2"/>
  <c r="X51" i="2"/>
  <c r="R2" i="2"/>
  <c r="V2" i="2"/>
  <c r="S3" i="2"/>
  <c r="W3" i="2"/>
  <c r="T4" i="2"/>
  <c r="X4" i="2"/>
  <c r="Q5" i="2"/>
  <c r="AD5" i="2" s="1"/>
  <c r="U5" i="2"/>
  <c r="Y5" i="2"/>
  <c r="R6" i="2"/>
  <c r="V6" i="2"/>
  <c r="S7" i="2"/>
  <c r="W7" i="2"/>
  <c r="T8" i="2"/>
  <c r="X8" i="2"/>
  <c r="Q9" i="2"/>
  <c r="U9" i="2"/>
  <c r="Y9" i="2"/>
  <c r="R10" i="2"/>
  <c r="V10" i="2"/>
  <c r="S11" i="2"/>
  <c r="W11" i="2"/>
  <c r="T12" i="2"/>
  <c r="X12" i="2"/>
  <c r="Q13" i="2"/>
  <c r="U13" i="2"/>
  <c r="Y13" i="2"/>
  <c r="R14" i="2"/>
  <c r="V14" i="2"/>
  <c r="S15" i="2"/>
  <c r="W15" i="2"/>
  <c r="T16" i="2"/>
  <c r="X16" i="2"/>
  <c r="Q17" i="2"/>
  <c r="U17" i="2"/>
  <c r="Y17" i="2"/>
  <c r="R18" i="2"/>
  <c r="V18" i="2"/>
  <c r="S19" i="2"/>
  <c r="W19" i="2"/>
  <c r="T20" i="2"/>
  <c r="X20" i="2"/>
  <c r="Q21" i="2"/>
  <c r="U21" i="2"/>
  <c r="Y21" i="2"/>
  <c r="R22" i="2"/>
  <c r="V22" i="2"/>
  <c r="S23" i="2"/>
  <c r="W23" i="2"/>
  <c r="T24" i="2"/>
  <c r="X24" i="2"/>
  <c r="Q25" i="2"/>
  <c r="U25" i="2"/>
  <c r="Y25" i="2"/>
  <c r="R26" i="2"/>
  <c r="V26" i="2"/>
  <c r="S27" i="2"/>
  <c r="W27" i="2"/>
  <c r="T28" i="2"/>
  <c r="X28" i="2"/>
  <c r="Q29" i="2"/>
  <c r="U29" i="2"/>
  <c r="Y29" i="2"/>
  <c r="R30" i="2"/>
  <c r="V30" i="2"/>
  <c r="S31" i="2"/>
  <c r="W31" i="2"/>
  <c r="T32" i="2"/>
  <c r="X32" i="2"/>
  <c r="Q33" i="2"/>
  <c r="U33" i="2"/>
  <c r="Y33" i="2"/>
  <c r="R34" i="2"/>
  <c r="V34" i="2"/>
  <c r="S35" i="2"/>
  <c r="W35" i="2"/>
  <c r="T36" i="2"/>
  <c r="X36" i="2"/>
  <c r="Q37" i="2"/>
  <c r="U37" i="2"/>
  <c r="Y37" i="2"/>
  <c r="R38" i="2"/>
  <c r="V38" i="2"/>
  <c r="S39" i="2"/>
  <c r="W39" i="2"/>
  <c r="T40" i="2"/>
  <c r="X40" i="2"/>
  <c r="Q41" i="2"/>
  <c r="U41" i="2"/>
  <c r="Y41" i="2"/>
  <c r="R42" i="2"/>
  <c r="V42" i="2"/>
  <c r="S43" i="2"/>
  <c r="W43" i="2"/>
  <c r="T44" i="2"/>
  <c r="X44" i="2"/>
  <c r="Q45" i="2"/>
  <c r="U45" i="2"/>
  <c r="Y45" i="2"/>
  <c r="R46" i="2"/>
  <c r="V46" i="2"/>
  <c r="S47" i="2"/>
  <c r="W47" i="2"/>
  <c r="T48" i="2"/>
  <c r="X48" i="2"/>
  <c r="Q49" i="2"/>
  <c r="AD49" i="2" s="1"/>
  <c r="U49" i="2"/>
  <c r="Y49" i="2"/>
  <c r="R50" i="2"/>
  <c r="V50" i="2"/>
  <c r="S51" i="2"/>
  <c r="W51" i="2"/>
  <c r="T52" i="2"/>
  <c r="X52" i="2"/>
  <c r="AD32" i="3" l="1"/>
  <c r="AD16" i="3"/>
  <c r="AD11" i="3"/>
  <c r="AD11" i="2"/>
  <c r="AD16" i="2"/>
  <c r="AD7" i="2"/>
  <c r="AD8" i="2"/>
  <c r="AD44" i="2"/>
  <c r="AD28" i="2"/>
  <c r="AD14" i="2"/>
  <c r="AD12" i="2"/>
  <c r="AD19" i="3"/>
  <c r="AD7" i="3"/>
  <c r="AD36" i="3"/>
  <c r="AD20" i="3"/>
  <c r="AD40" i="3"/>
  <c r="AD31" i="3"/>
  <c r="AD23" i="3"/>
  <c r="AD15" i="3"/>
  <c r="AD44" i="3"/>
  <c r="AD37" i="3"/>
  <c r="AD35" i="3"/>
  <c r="AD28" i="3"/>
  <c r="AD24" i="3"/>
  <c r="AD21" i="3"/>
  <c r="AD43" i="3"/>
  <c r="AD27" i="3"/>
  <c r="AD39" i="3"/>
  <c r="AD8" i="3"/>
  <c r="AD33" i="3"/>
  <c r="AD17" i="3"/>
  <c r="AD46" i="3"/>
  <c r="AD38" i="3"/>
  <c r="AD30" i="3"/>
  <c r="AD22" i="3"/>
  <c r="AD14" i="3"/>
  <c r="AD41" i="3"/>
  <c r="AD25" i="3"/>
  <c r="AD9" i="3"/>
  <c r="AD12" i="3"/>
  <c r="AD42" i="3"/>
  <c r="AD34" i="3"/>
  <c r="AD26" i="3"/>
  <c r="AD18" i="3"/>
  <c r="AD6" i="3"/>
  <c r="AD45" i="3"/>
  <c r="AD29" i="3"/>
  <c r="AD13" i="3"/>
  <c r="AD10" i="3"/>
  <c r="AD23" i="2"/>
  <c r="AD9" i="2"/>
  <c r="AD36" i="2"/>
  <c r="AD31" i="2"/>
  <c r="AD6" i="2"/>
  <c r="AD47" i="2"/>
  <c r="AD48" i="2"/>
  <c r="AD45" i="2"/>
  <c r="AD39" i="2"/>
  <c r="AD29" i="2"/>
  <c r="AD20" i="2"/>
  <c r="AD13" i="2"/>
  <c r="AD40" i="2"/>
  <c r="AD35" i="2"/>
  <c r="AD24" i="2"/>
  <c r="AD19" i="2"/>
  <c r="AD43" i="2"/>
  <c r="AD32" i="2"/>
  <c r="AD27" i="2"/>
  <c r="AD15" i="2"/>
  <c r="AD41" i="2"/>
  <c r="AD25" i="2"/>
  <c r="AD46" i="2"/>
  <c r="AD30" i="2"/>
  <c r="AD17" i="2"/>
  <c r="AD38" i="2"/>
  <c r="AD22" i="2"/>
  <c r="AD34" i="2"/>
  <c r="AD18" i="2"/>
  <c r="AD10" i="2"/>
  <c r="AD33" i="2"/>
  <c r="AD37" i="2"/>
  <c r="AD21" i="2"/>
  <c r="AD42" i="2"/>
  <c r="AD26" i="2"/>
</calcChain>
</file>

<file path=xl/sharedStrings.xml><?xml version="1.0" encoding="utf-8"?>
<sst xmlns="http://schemas.openxmlformats.org/spreadsheetml/2006/main" count="36" uniqueCount="20">
  <si>
    <t>EU Q2</t>
  </si>
  <si>
    <t>EU Q3</t>
  </si>
  <si>
    <t>Chin Q2</t>
  </si>
  <si>
    <t>Chin Q3</t>
  </si>
  <si>
    <t>Kor Q2</t>
  </si>
  <si>
    <t>sum</t>
  </si>
  <si>
    <t>LFD</t>
  </si>
  <si>
    <t>EU total</t>
  </si>
  <si>
    <t>total fleet 4 in 2015</t>
  </si>
  <si>
    <t>catch</t>
  </si>
  <si>
    <t>Mean w</t>
  </si>
  <si>
    <t>length in thousands, catch in tonnes</t>
  </si>
  <si>
    <t>Length data available: EU (considered precise), Korea (small catch, LFD similar to EU), China (different from EU, considered suspect, no sample weight)</t>
  </si>
  <si>
    <t>Age-length data vailable: Chile, EU (differ by 1 year from Chile), China (different even more from Chile)</t>
  </si>
  <si>
    <t>EU length distributions per quarter converted into ages using Chilean ALKs</t>
  </si>
  <si>
    <t>Chilean ALKs used for raising EU and China length distributions for following reasons</t>
  </si>
  <si>
    <t>Chilean age readers are presumably more experienced than EU colleagues</t>
  </si>
  <si>
    <t xml:space="preserve">generally the EU and Chilean ALKs are comparable; only in 2015 there was a difference classification of fish of 27-28 cm; </t>
  </si>
  <si>
    <t xml:space="preserve">EU catch extrapolated to total catch </t>
  </si>
  <si>
    <t>Chinese length dat not used because sample weights 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</si>
</sst>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LFD!$B$1</c:f>
              <c:strCache>
                <c:ptCount val="1"/>
                <c:pt idx="0">
                  <c:v>EU Q2</c:v>
                </c:pt>
              </c:strCache>
            </c:strRef>
          </c:tx>
          <c:marker>
            <c:symbol val="none"/>
          </c:marker>
          <c:cat>
            <c:numRef>
              <c:f>LFD!$A$2:$A$52</c:f>
              <c:numCache>
                <c:formatCode>General</c:formatCode>
                <c:ptCount val="5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</c:numCache>
            </c:numRef>
          </c:cat>
          <c:val>
            <c:numRef>
              <c:f>LFD!$B$2:$B$52</c:f>
              <c:numCache>
                <c:formatCode>General</c:formatCode>
                <c:ptCount val="51"/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</c:v>
                </c:pt>
                <c:pt idx="14">
                  <c:v>161</c:v>
                </c:pt>
                <c:pt idx="15">
                  <c:v>1635</c:v>
                </c:pt>
                <c:pt idx="16">
                  <c:v>3614</c:v>
                </c:pt>
                <c:pt idx="17">
                  <c:v>4092</c:v>
                </c:pt>
                <c:pt idx="18">
                  <c:v>1997</c:v>
                </c:pt>
                <c:pt idx="19">
                  <c:v>693</c:v>
                </c:pt>
                <c:pt idx="20">
                  <c:v>163</c:v>
                </c:pt>
                <c:pt idx="21">
                  <c:v>51</c:v>
                </c:pt>
                <c:pt idx="22">
                  <c:v>388</c:v>
                </c:pt>
                <c:pt idx="23">
                  <c:v>1215</c:v>
                </c:pt>
                <c:pt idx="24">
                  <c:v>1230</c:v>
                </c:pt>
                <c:pt idx="25">
                  <c:v>952</c:v>
                </c:pt>
                <c:pt idx="26">
                  <c:v>461</c:v>
                </c:pt>
                <c:pt idx="27">
                  <c:v>827</c:v>
                </c:pt>
                <c:pt idx="28">
                  <c:v>1596</c:v>
                </c:pt>
                <c:pt idx="29">
                  <c:v>1564</c:v>
                </c:pt>
                <c:pt idx="30">
                  <c:v>2170</c:v>
                </c:pt>
                <c:pt idx="31">
                  <c:v>1575</c:v>
                </c:pt>
                <c:pt idx="32">
                  <c:v>1101</c:v>
                </c:pt>
                <c:pt idx="33">
                  <c:v>1131</c:v>
                </c:pt>
                <c:pt idx="34">
                  <c:v>874</c:v>
                </c:pt>
                <c:pt idx="35">
                  <c:v>727</c:v>
                </c:pt>
                <c:pt idx="36">
                  <c:v>630</c:v>
                </c:pt>
                <c:pt idx="37">
                  <c:v>565</c:v>
                </c:pt>
                <c:pt idx="38">
                  <c:v>362</c:v>
                </c:pt>
                <c:pt idx="39">
                  <c:v>119</c:v>
                </c:pt>
                <c:pt idx="40">
                  <c:v>93</c:v>
                </c:pt>
                <c:pt idx="41">
                  <c:v>42</c:v>
                </c:pt>
                <c:pt idx="42">
                  <c:v>57</c:v>
                </c:pt>
                <c:pt idx="43">
                  <c:v>44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56-45D5-8013-67F2E2E4FC59}"/>
            </c:ext>
          </c:extLst>
        </c:ser>
        <c:ser>
          <c:idx val="1"/>
          <c:order val="1"/>
          <c:tx>
            <c:strRef>
              <c:f>LFD!$C$1</c:f>
              <c:strCache>
                <c:ptCount val="1"/>
                <c:pt idx="0">
                  <c:v>EU Q3</c:v>
                </c:pt>
              </c:strCache>
            </c:strRef>
          </c:tx>
          <c:marker>
            <c:symbol val="none"/>
          </c:marker>
          <c:cat>
            <c:numRef>
              <c:f>LFD!$A$2:$A$52</c:f>
              <c:numCache>
                <c:formatCode>General</c:formatCode>
                <c:ptCount val="5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</c:numCache>
            </c:numRef>
          </c:cat>
          <c:val>
            <c:numRef>
              <c:f>LFD!$C$2:$C$52</c:f>
              <c:numCache>
                <c:formatCode>General</c:formatCode>
                <c:ptCount val="51"/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</c:v>
                </c:pt>
                <c:pt idx="9">
                  <c:v>2</c:v>
                </c:pt>
                <c:pt idx="10">
                  <c:v>39</c:v>
                </c:pt>
                <c:pt idx="11">
                  <c:v>62</c:v>
                </c:pt>
                <c:pt idx="12">
                  <c:v>46</c:v>
                </c:pt>
                <c:pt idx="13">
                  <c:v>46</c:v>
                </c:pt>
                <c:pt idx="14">
                  <c:v>993</c:v>
                </c:pt>
                <c:pt idx="15">
                  <c:v>5305</c:v>
                </c:pt>
                <c:pt idx="16">
                  <c:v>8283</c:v>
                </c:pt>
                <c:pt idx="17">
                  <c:v>5600</c:v>
                </c:pt>
                <c:pt idx="18">
                  <c:v>2082</c:v>
                </c:pt>
                <c:pt idx="19">
                  <c:v>678</c:v>
                </c:pt>
                <c:pt idx="20">
                  <c:v>256</c:v>
                </c:pt>
                <c:pt idx="21">
                  <c:v>69</c:v>
                </c:pt>
                <c:pt idx="22">
                  <c:v>171</c:v>
                </c:pt>
                <c:pt idx="23">
                  <c:v>569</c:v>
                </c:pt>
                <c:pt idx="24">
                  <c:v>1096</c:v>
                </c:pt>
                <c:pt idx="25">
                  <c:v>603</c:v>
                </c:pt>
                <c:pt idx="26">
                  <c:v>410</c:v>
                </c:pt>
                <c:pt idx="27">
                  <c:v>413</c:v>
                </c:pt>
                <c:pt idx="28">
                  <c:v>557</c:v>
                </c:pt>
                <c:pt idx="29">
                  <c:v>1098</c:v>
                </c:pt>
                <c:pt idx="30">
                  <c:v>997</c:v>
                </c:pt>
                <c:pt idx="31">
                  <c:v>712</c:v>
                </c:pt>
                <c:pt idx="32">
                  <c:v>604</c:v>
                </c:pt>
                <c:pt idx="33">
                  <c:v>243</c:v>
                </c:pt>
                <c:pt idx="34">
                  <c:v>250</c:v>
                </c:pt>
                <c:pt idx="35">
                  <c:v>87</c:v>
                </c:pt>
                <c:pt idx="36">
                  <c:v>66</c:v>
                </c:pt>
                <c:pt idx="37">
                  <c:v>95</c:v>
                </c:pt>
                <c:pt idx="38">
                  <c:v>89</c:v>
                </c:pt>
                <c:pt idx="39">
                  <c:v>20</c:v>
                </c:pt>
                <c:pt idx="40">
                  <c:v>17</c:v>
                </c:pt>
                <c:pt idx="41">
                  <c:v>0</c:v>
                </c:pt>
                <c:pt idx="42">
                  <c:v>8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56-45D5-8013-67F2E2E4FC59}"/>
            </c:ext>
          </c:extLst>
        </c:ser>
        <c:ser>
          <c:idx val="2"/>
          <c:order val="2"/>
          <c:tx>
            <c:strRef>
              <c:f>LFD!$D$1</c:f>
              <c:strCache>
                <c:ptCount val="1"/>
                <c:pt idx="0">
                  <c:v>Chin Q2</c:v>
                </c:pt>
              </c:strCache>
            </c:strRef>
          </c:tx>
          <c:marker>
            <c:symbol val="none"/>
          </c:marker>
          <c:cat>
            <c:numRef>
              <c:f>LFD!$A$2:$A$52</c:f>
              <c:numCache>
                <c:formatCode>General</c:formatCode>
                <c:ptCount val="5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</c:numCache>
            </c:numRef>
          </c:cat>
          <c:val>
            <c:numRef>
              <c:f>LFD!$D$2:$D$52</c:f>
              <c:numCache>
                <c:formatCode>General</c:formatCode>
                <c:ptCount val="51"/>
                <c:pt idx="8">
                  <c:v>2</c:v>
                </c:pt>
                <c:pt idx="9">
                  <c:v>4</c:v>
                </c:pt>
                <c:pt idx="10">
                  <c:v>11</c:v>
                </c:pt>
                <c:pt idx="11">
                  <c:v>4</c:v>
                </c:pt>
                <c:pt idx="12">
                  <c:v>7</c:v>
                </c:pt>
                <c:pt idx="13">
                  <c:v>14</c:v>
                </c:pt>
                <c:pt idx="14">
                  <c:v>18</c:v>
                </c:pt>
                <c:pt idx="15">
                  <c:v>66</c:v>
                </c:pt>
                <c:pt idx="16">
                  <c:v>160</c:v>
                </c:pt>
                <c:pt idx="17">
                  <c:v>252</c:v>
                </c:pt>
                <c:pt idx="18">
                  <c:v>333</c:v>
                </c:pt>
                <c:pt idx="19">
                  <c:v>356</c:v>
                </c:pt>
                <c:pt idx="20">
                  <c:v>346</c:v>
                </c:pt>
                <c:pt idx="21">
                  <c:v>413</c:v>
                </c:pt>
                <c:pt idx="22">
                  <c:v>493</c:v>
                </c:pt>
                <c:pt idx="23">
                  <c:v>559</c:v>
                </c:pt>
                <c:pt idx="24">
                  <c:v>545</c:v>
                </c:pt>
                <c:pt idx="25">
                  <c:v>563</c:v>
                </c:pt>
                <c:pt idx="26">
                  <c:v>470</c:v>
                </c:pt>
                <c:pt idx="27">
                  <c:v>312</c:v>
                </c:pt>
                <c:pt idx="28">
                  <c:v>208</c:v>
                </c:pt>
                <c:pt idx="29">
                  <c:v>336</c:v>
                </c:pt>
                <c:pt idx="30">
                  <c:v>420</c:v>
                </c:pt>
                <c:pt idx="31">
                  <c:v>509</c:v>
                </c:pt>
                <c:pt idx="32">
                  <c:v>464</c:v>
                </c:pt>
                <c:pt idx="33">
                  <c:v>327</c:v>
                </c:pt>
                <c:pt idx="34">
                  <c:v>196</c:v>
                </c:pt>
                <c:pt idx="35">
                  <c:v>131</c:v>
                </c:pt>
                <c:pt idx="36">
                  <c:v>97</c:v>
                </c:pt>
                <c:pt idx="37">
                  <c:v>63</c:v>
                </c:pt>
                <c:pt idx="38">
                  <c:v>48</c:v>
                </c:pt>
                <c:pt idx="39">
                  <c:v>24</c:v>
                </c:pt>
                <c:pt idx="40">
                  <c:v>3</c:v>
                </c:pt>
                <c:pt idx="41">
                  <c:v>5</c:v>
                </c:pt>
                <c:pt idx="42">
                  <c:v>12</c:v>
                </c:pt>
                <c:pt idx="43">
                  <c:v>2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56-45D5-8013-67F2E2E4FC59}"/>
            </c:ext>
          </c:extLst>
        </c:ser>
        <c:ser>
          <c:idx val="3"/>
          <c:order val="3"/>
          <c:tx>
            <c:strRef>
              <c:f>LFD!$E$1</c:f>
              <c:strCache>
                <c:ptCount val="1"/>
                <c:pt idx="0">
                  <c:v>Chin Q3</c:v>
                </c:pt>
              </c:strCache>
            </c:strRef>
          </c:tx>
          <c:marker>
            <c:symbol val="none"/>
          </c:marker>
          <c:cat>
            <c:numRef>
              <c:f>LFD!$A$2:$A$52</c:f>
              <c:numCache>
                <c:formatCode>General</c:formatCode>
                <c:ptCount val="5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</c:numCache>
            </c:numRef>
          </c:cat>
          <c:val>
            <c:numRef>
              <c:f>LFD!$E$2:$E$52</c:f>
              <c:numCache>
                <c:formatCode>General</c:formatCode>
                <c:ptCount val="51"/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6</c:v>
                </c:pt>
                <c:pt idx="15">
                  <c:v>9</c:v>
                </c:pt>
                <c:pt idx="16">
                  <c:v>11</c:v>
                </c:pt>
                <c:pt idx="17">
                  <c:v>18</c:v>
                </c:pt>
                <c:pt idx="18">
                  <c:v>25</c:v>
                </c:pt>
                <c:pt idx="19">
                  <c:v>32</c:v>
                </c:pt>
                <c:pt idx="20">
                  <c:v>36</c:v>
                </c:pt>
                <c:pt idx="21">
                  <c:v>29</c:v>
                </c:pt>
                <c:pt idx="22">
                  <c:v>48</c:v>
                </c:pt>
                <c:pt idx="23">
                  <c:v>53</c:v>
                </c:pt>
                <c:pt idx="24">
                  <c:v>60</c:v>
                </c:pt>
                <c:pt idx="25">
                  <c:v>62</c:v>
                </c:pt>
                <c:pt idx="26">
                  <c:v>66</c:v>
                </c:pt>
                <c:pt idx="27">
                  <c:v>73</c:v>
                </c:pt>
                <c:pt idx="28">
                  <c:v>56</c:v>
                </c:pt>
                <c:pt idx="29">
                  <c:v>44</c:v>
                </c:pt>
                <c:pt idx="30">
                  <c:v>57</c:v>
                </c:pt>
                <c:pt idx="31">
                  <c:v>56</c:v>
                </c:pt>
                <c:pt idx="32">
                  <c:v>46</c:v>
                </c:pt>
                <c:pt idx="33">
                  <c:v>50</c:v>
                </c:pt>
                <c:pt idx="34">
                  <c:v>35</c:v>
                </c:pt>
                <c:pt idx="35">
                  <c:v>37</c:v>
                </c:pt>
                <c:pt idx="36">
                  <c:v>45</c:v>
                </c:pt>
                <c:pt idx="37">
                  <c:v>42</c:v>
                </c:pt>
                <c:pt idx="38">
                  <c:v>23</c:v>
                </c:pt>
                <c:pt idx="39">
                  <c:v>29</c:v>
                </c:pt>
                <c:pt idx="40">
                  <c:v>6</c:v>
                </c:pt>
                <c:pt idx="41">
                  <c:v>3</c:v>
                </c:pt>
                <c:pt idx="42">
                  <c:v>4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E56-45D5-8013-67F2E2E4FC59}"/>
            </c:ext>
          </c:extLst>
        </c:ser>
        <c:ser>
          <c:idx val="4"/>
          <c:order val="4"/>
          <c:tx>
            <c:strRef>
              <c:f>LFD!$F$1</c:f>
              <c:strCache>
                <c:ptCount val="1"/>
                <c:pt idx="0">
                  <c:v>Kor Q2</c:v>
                </c:pt>
              </c:strCache>
            </c:strRef>
          </c:tx>
          <c:marker>
            <c:symbol val="none"/>
          </c:marker>
          <c:cat>
            <c:numRef>
              <c:f>LFD!$A$2:$A$52</c:f>
              <c:numCache>
                <c:formatCode>General</c:formatCode>
                <c:ptCount val="5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</c:numCache>
            </c:numRef>
          </c:cat>
          <c:val>
            <c:numRef>
              <c:f>LFD!$F$2:$F$52</c:f>
              <c:numCache>
                <c:formatCode>General</c:formatCode>
                <c:ptCount val="51"/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6</c:v>
                </c:pt>
                <c:pt idx="18">
                  <c:v>15</c:v>
                </c:pt>
                <c:pt idx="19">
                  <c:v>18</c:v>
                </c:pt>
                <c:pt idx="20">
                  <c:v>2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  <c:pt idx="24">
                  <c:v>1</c:v>
                </c:pt>
                <c:pt idx="25">
                  <c:v>8</c:v>
                </c:pt>
                <c:pt idx="26">
                  <c:v>10</c:v>
                </c:pt>
                <c:pt idx="27">
                  <c:v>5</c:v>
                </c:pt>
                <c:pt idx="28">
                  <c:v>6</c:v>
                </c:pt>
                <c:pt idx="29">
                  <c:v>8</c:v>
                </c:pt>
                <c:pt idx="30">
                  <c:v>9</c:v>
                </c:pt>
                <c:pt idx="31">
                  <c:v>9</c:v>
                </c:pt>
                <c:pt idx="32">
                  <c:v>11</c:v>
                </c:pt>
                <c:pt idx="33">
                  <c:v>21</c:v>
                </c:pt>
                <c:pt idx="34">
                  <c:v>10</c:v>
                </c:pt>
                <c:pt idx="35">
                  <c:v>4</c:v>
                </c:pt>
                <c:pt idx="36">
                  <c:v>7</c:v>
                </c:pt>
                <c:pt idx="37">
                  <c:v>8</c:v>
                </c:pt>
                <c:pt idx="38">
                  <c:v>7</c:v>
                </c:pt>
                <c:pt idx="39">
                  <c:v>3</c:v>
                </c:pt>
                <c:pt idx="40">
                  <c:v>1</c:v>
                </c:pt>
                <c:pt idx="41">
                  <c:v>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E56-45D5-8013-67F2E2E4FC59}"/>
            </c:ext>
          </c:extLst>
        </c:ser>
        <c:ser>
          <c:idx val="5"/>
          <c:order val="5"/>
          <c:tx>
            <c:strRef>
              <c:f>LFD!$G$1</c:f>
              <c:strCache>
                <c:ptCount val="1"/>
                <c:pt idx="0">
                  <c:v>Kor Q2</c:v>
                </c:pt>
              </c:strCache>
            </c:strRef>
          </c:tx>
          <c:marker>
            <c:symbol val="none"/>
          </c:marker>
          <c:cat>
            <c:numRef>
              <c:f>LFD!$A$2:$A$52</c:f>
              <c:numCache>
                <c:formatCode>General</c:formatCode>
                <c:ptCount val="5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</c:numCache>
            </c:numRef>
          </c:cat>
          <c:val>
            <c:numRef>
              <c:f>LFD!$G$2:$G$52</c:f>
              <c:numCache>
                <c:formatCode>General</c:formatCode>
                <c:ptCount val="51"/>
                <c:pt idx="10">
                  <c:v>12</c:v>
                </c:pt>
                <c:pt idx="11">
                  <c:v>16</c:v>
                </c:pt>
                <c:pt idx="12">
                  <c:v>25</c:v>
                </c:pt>
                <c:pt idx="13">
                  <c:v>13</c:v>
                </c:pt>
                <c:pt idx="14">
                  <c:v>8</c:v>
                </c:pt>
                <c:pt idx="15">
                  <c:v>49</c:v>
                </c:pt>
                <c:pt idx="16">
                  <c:v>209</c:v>
                </c:pt>
                <c:pt idx="17">
                  <c:v>290</c:v>
                </c:pt>
                <c:pt idx="18">
                  <c:v>258</c:v>
                </c:pt>
                <c:pt idx="19">
                  <c:v>197</c:v>
                </c:pt>
                <c:pt idx="20">
                  <c:v>97</c:v>
                </c:pt>
                <c:pt idx="21">
                  <c:v>34</c:v>
                </c:pt>
                <c:pt idx="22">
                  <c:v>17</c:v>
                </c:pt>
                <c:pt idx="23">
                  <c:v>7</c:v>
                </c:pt>
                <c:pt idx="24">
                  <c:v>23</c:v>
                </c:pt>
                <c:pt idx="25">
                  <c:v>61</c:v>
                </c:pt>
                <c:pt idx="26">
                  <c:v>89</c:v>
                </c:pt>
                <c:pt idx="27">
                  <c:v>71</c:v>
                </c:pt>
                <c:pt idx="28">
                  <c:v>20</c:v>
                </c:pt>
                <c:pt idx="29">
                  <c:v>23</c:v>
                </c:pt>
                <c:pt idx="30">
                  <c:v>66</c:v>
                </c:pt>
                <c:pt idx="31">
                  <c:v>78</c:v>
                </c:pt>
                <c:pt idx="32">
                  <c:v>94</c:v>
                </c:pt>
                <c:pt idx="33">
                  <c:v>74</c:v>
                </c:pt>
                <c:pt idx="34">
                  <c:v>50</c:v>
                </c:pt>
                <c:pt idx="35">
                  <c:v>54</c:v>
                </c:pt>
                <c:pt idx="36">
                  <c:v>21</c:v>
                </c:pt>
                <c:pt idx="37">
                  <c:v>39</c:v>
                </c:pt>
                <c:pt idx="38">
                  <c:v>27</c:v>
                </c:pt>
                <c:pt idx="39">
                  <c:v>15</c:v>
                </c:pt>
                <c:pt idx="40">
                  <c:v>13</c:v>
                </c:pt>
                <c:pt idx="41">
                  <c:v>2</c:v>
                </c:pt>
                <c:pt idx="42">
                  <c:v>2</c:v>
                </c:pt>
                <c:pt idx="43">
                  <c:v>3</c:v>
                </c:pt>
                <c:pt idx="44">
                  <c:v>3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E56-45D5-8013-67F2E2E4F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344768"/>
        <c:axId val="83383424"/>
      </c:lineChart>
      <c:catAx>
        <c:axId val="83344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3383424"/>
        <c:crosses val="autoZero"/>
        <c:auto val="1"/>
        <c:lblAlgn val="ctr"/>
        <c:lblOffset val="100"/>
        <c:noMultiLvlLbl val="0"/>
      </c:catAx>
      <c:valAx>
        <c:axId val="833834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33447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594360</xdr:colOff>
      <xdr:row>0</xdr:row>
      <xdr:rowOff>152400</xdr:rowOff>
    </xdr:from>
    <xdr:to>
      <xdr:col>15</xdr:col>
      <xdr:colOff>289560</xdr:colOff>
      <xdr:row>15</xdr:row>
      <xdr:rowOff>152400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opLeftCell="A49" workbookViewId="0">
      <selection activeCell="J19" sqref="J19"/>
    </sheetView>
  </sheetViews>
  <sheetFormatPr defaultColWidth="8.85546875" defaultRowHeight="14.45"/>
  <cols>
    <col min="1" max="16384" width="8.85546875" style="2"/>
  </cols>
  <sheetData>
    <row r="1" spans="1: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4</v>
      </c>
    </row>
    <row r="2" spans="1:7">
      <c r="A2" s="2">
        <v>10</v>
      </c>
    </row>
    <row r="3" spans="1:7">
      <c r="A3" s="2">
        <v>11</v>
      </c>
    </row>
    <row r="4" spans="1:7">
      <c r="A4" s="2">
        <v>12</v>
      </c>
    </row>
    <row r="5" spans="1:7">
      <c r="A5" s="2">
        <v>13</v>
      </c>
      <c r="E5" s="2">
        <v>0</v>
      </c>
    </row>
    <row r="6" spans="1:7">
      <c r="A6" s="2">
        <v>14</v>
      </c>
      <c r="E6" s="2">
        <v>0</v>
      </c>
    </row>
    <row r="7" spans="1:7">
      <c r="A7" s="2">
        <v>15</v>
      </c>
      <c r="B7" s="2">
        <v>0</v>
      </c>
      <c r="C7" s="2">
        <v>0</v>
      </c>
      <c r="E7" s="2">
        <v>0</v>
      </c>
    </row>
    <row r="8" spans="1:7">
      <c r="A8" s="2">
        <v>16</v>
      </c>
      <c r="B8" s="2">
        <v>0</v>
      </c>
      <c r="C8" s="2">
        <v>0</v>
      </c>
      <c r="E8" s="2">
        <v>0</v>
      </c>
    </row>
    <row r="9" spans="1:7">
      <c r="A9" s="2">
        <v>17</v>
      </c>
      <c r="B9" s="2">
        <v>0</v>
      </c>
      <c r="C9" s="2">
        <v>0</v>
      </c>
      <c r="E9" s="2">
        <v>0</v>
      </c>
    </row>
    <row r="10" spans="1:7">
      <c r="A10" s="2">
        <v>18</v>
      </c>
      <c r="B10" s="2">
        <v>2</v>
      </c>
      <c r="C10" s="2">
        <v>4</v>
      </c>
      <c r="D10" s="2">
        <v>2</v>
      </c>
      <c r="E10" s="2">
        <v>0</v>
      </c>
    </row>
    <row r="11" spans="1:7">
      <c r="A11" s="2">
        <v>19</v>
      </c>
      <c r="B11" s="2">
        <v>3</v>
      </c>
      <c r="C11" s="2">
        <v>2</v>
      </c>
      <c r="D11" s="2">
        <v>4</v>
      </c>
      <c r="E11" s="2">
        <v>0</v>
      </c>
    </row>
    <row r="12" spans="1:7">
      <c r="A12" s="2">
        <v>20</v>
      </c>
      <c r="B12" s="2">
        <v>0</v>
      </c>
      <c r="C12" s="2">
        <v>39</v>
      </c>
      <c r="D12" s="2">
        <v>11</v>
      </c>
      <c r="E12" s="2">
        <v>0</v>
      </c>
      <c r="F12" s="2">
        <v>0</v>
      </c>
      <c r="G12" s="2">
        <v>12</v>
      </c>
    </row>
    <row r="13" spans="1:7">
      <c r="A13" s="2">
        <v>21</v>
      </c>
      <c r="B13" s="2">
        <v>0</v>
      </c>
      <c r="C13" s="2">
        <v>62</v>
      </c>
      <c r="D13" s="2">
        <v>4</v>
      </c>
      <c r="E13" s="2">
        <v>0</v>
      </c>
      <c r="F13" s="2">
        <v>0</v>
      </c>
      <c r="G13" s="2">
        <v>16</v>
      </c>
    </row>
    <row r="14" spans="1:7">
      <c r="A14" s="2">
        <v>22</v>
      </c>
      <c r="B14" s="2">
        <v>0</v>
      </c>
      <c r="C14" s="2">
        <v>46</v>
      </c>
      <c r="D14" s="2">
        <v>7</v>
      </c>
      <c r="E14" s="2">
        <v>0</v>
      </c>
      <c r="F14" s="2">
        <v>0</v>
      </c>
      <c r="G14" s="2">
        <v>25</v>
      </c>
    </row>
    <row r="15" spans="1:7">
      <c r="A15" s="2">
        <v>23</v>
      </c>
      <c r="B15" s="2">
        <v>6</v>
      </c>
      <c r="C15" s="2">
        <v>46</v>
      </c>
      <c r="D15" s="2">
        <v>14</v>
      </c>
      <c r="E15" s="2">
        <v>2</v>
      </c>
      <c r="F15" s="2">
        <v>0</v>
      </c>
      <c r="G15" s="2">
        <v>13</v>
      </c>
    </row>
    <row r="16" spans="1:7">
      <c r="A16" s="2">
        <v>24</v>
      </c>
      <c r="B16" s="2">
        <v>161</v>
      </c>
      <c r="C16" s="2">
        <v>993</v>
      </c>
      <c r="D16" s="2">
        <v>18</v>
      </c>
      <c r="E16" s="2">
        <v>6</v>
      </c>
      <c r="F16" s="2">
        <v>0</v>
      </c>
      <c r="G16" s="2">
        <v>8</v>
      </c>
    </row>
    <row r="17" spans="1:7">
      <c r="A17" s="2">
        <v>25</v>
      </c>
      <c r="B17" s="2">
        <v>1635</v>
      </c>
      <c r="C17" s="2">
        <v>5305</v>
      </c>
      <c r="D17" s="2">
        <v>66</v>
      </c>
      <c r="E17" s="2">
        <v>9</v>
      </c>
      <c r="F17" s="2">
        <v>1</v>
      </c>
      <c r="G17" s="2">
        <v>49</v>
      </c>
    </row>
    <row r="18" spans="1:7">
      <c r="A18" s="2">
        <v>26</v>
      </c>
      <c r="B18" s="2">
        <v>3614</v>
      </c>
      <c r="C18" s="2">
        <v>8283</v>
      </c>
      <c r="D18" s="2">
        <v>160</v>
      </c>
      <c r="E18" s="2">
        <v>11</v>
      </c>
      <c r="F18" s="2">
        <v>2</v>
      </c>
      <c r="G18" s="2">
        <v>209</v>
      </c>
    </row>
    <row r="19" spans="1:7">
      <c r="A19" s="2">
        <v>27</v>
      </c>
      <c r="B19" s="2">
        <v>4092</v>
      </c>
      <c r="C19" s="2">
        <v>5600</v>
      </c>
      <c r="D19" s="2">
        <v>252</v>
      </c>
      <c r="E19" s="2">
        <v>18</v>
      </c>
      <c r="F19" s="2">
        <v>6</v>
      </c>
      <c r="G19" s="2">
        <v>290</v>
      </c>
    </row>
    <row r="20" spans="1:7">
      <c r="A20" s="2">
        <v>28</v>
      </c>
      <c r="B20" s="2">
        <v>1997</v>
      </c>
      <c r="C20" s="2">
        <v>2082</v>
      </c>
      <c r="D20" s="2">
        <v>333</v>
      </c>
      <c r="E20" s="2">
        <v>25</v>
      </c>
      <c r="F20" s="2">
        <v>15</v>
      </c>
      <c r="G20" s="2">
        <v>258</v>
      </c>
    </row>
    <row r="21" spans="1:7">
      <c r="A21" s="2">
        <v>29</v>
      </c>
      <c r="B21" s="2">
        <v>693</v>
      </c>
      <c r="C21" s="2">
        <v>678</v>
      </c>
      <c r="D21" s="2">
        <v>356</v>
      </c>
      <c r="E21" s="2">
        <v>32</v>
      </c>
      <c r="F21" s="2">
        <v>18</v>
      </c>
      <c r="G21" s="2">
        <v>197</v>
      </c>
    </row>
    <row r="22" spans="1:7">
      <c r="A22" s="2">
        <v>30</v>
      </c>
      <c r="B22" s="2">
        <v>163</v>
      </c>
      <c r="C22" s="2">
        <v>256</v>
      </c>
      <c r="D22" s="2">
        <v>346</v>
      </c>
      <c r="E22" s="2">
        <v>36</v>
      </c>
      <c r="F22" s="2">
        <v>2</v>
      </c>
      <c r="G22" s="2">
        <v>97</v>
      </c>
    </row>
    <row r="23" spans="1:7">
      <c r="A23" s="2">
        <v>31</v>
      </c>
      <c r="B23" s="2">
        <v>51</v>
      </c>
      <c r="C23" s="2">
        <v>69</v>
      </c>
      <c r="D23" s="2">
        <v>413</v>
      </c>
      <c r="E23" s="2">
        <v>29</v>
      </c>
      <c r="F23" s="2">
        <v>1</v>
      </c>
      <c r="G23" s="2">
        <v>34</v>
      </c>
    </row>
    <row r="24" spans="1:7">
      <c r="A24" s="2">
        <v>32</v>
      </c>
      <c r="B24" s="2">
        <v>388</v>
      </c>
      <c r="C24" s="2">
        <v>171</v>
      </c>
      <c r="D24" s="2">
        <v>493</v>
      </c>
      <c r="E24" s="2">
        <v>48</v>
      </c>
      <c r="F24" s="2">
        <v>2</v>
      </c>
      <c r="G24" s="2">
        <v>17</v>
      </c>
    </row>
    <row r="25" spans="1:7">
      <c r="A25" s="2">
        <v>33</v>
      </c>
      <c r="B25" s="2">
        <v>1215</v>
      </c>
      <c r="C25" s="2">
        <v>569</v>
      </c>
      <c r="D25" s="2">
        <v>559</v>
      </c>
      <c r="E25" s="2">
        <v>53</v>
      </c>
      <c r="F25" s="2">
        <v>2</v>
      </c>
      <c r="G25" s="2">
        <v>7</v>
      </c>
    </row>
    <row r="26" spans="1:7">
      <c r="A26" s="2">
        <v>34</v>
      </c>
      <c r="B26" s="2">
        <v>1230</v>
      </c>
      <c r="C26" s="2">
        <v>1096</v>
      </c>
      <c r="D26" s="2">
        <v>545</v>
      </c>
      <c r="E26" s="2">
        <v>60</v>
      </c>
      <c r="F26" s="2">
        <v>1</v>
      </c>
      <c r="G26" s="2">
        <v>23</v>
      </c>
    </row>
    <row r="27" spans="1:7">
      <c r="A27" s="2">
        <v>35</v>
      </c>
      <c r="B27" s="2">
        <v>952</v>
      </c>
      <c r="C27" s="2">
        <v>603</v>
      </c>
      <c r="D27" s="2">
        <v>563</v>
      </c>
      <c r="E27" s="2">
        <v>62</v>
      </c>
      <c r="F27" s="2">
        <v>8</v>
      </c>
      <c r="G27" s="2">
        <v>61</v>
      </c>
    </row>
    <row r="28" spans="1:7">
      <c r="A28" s="2">
        <v>36</v>
      </c>
      <c r="B28" s="2">
        <v>461</v>
      </c>
      <c r="C28" s="2">
        <v>410</v>
      </c>
      <c r="D28" s="2">
        <v>470</v>
      </c>
      <c r="E28" s="2">
        <v>66</v>
      </c>
      <c r="F28" s="2">
        <v>10</v>
      </c>
      <c r="G28" s="2">
        <v>89</v>
      </c>
    </row>
    <row r="29" spans="1:7">
      <c r="A29" s="2">
        <v>37</v>
      </c>
      <c r="B29" s="2">
        <v>827</v>
      </c>
      <c r="C29" s="2">
        <v>413</v>
      </c>
      <c r="D29" s="2">
        <v>312</v>
      </c>
      <c r="E29" s="2">
        <v>73</v>
      </c>
      <c r="F29" s="2">
        <v>5</v>
      </c>
      <c r="G29" s="2">
        <v>71</v>
      </c>
    </row>
    <row r="30" spans="1:7">
      <c r="A30" s="2">
        <v>38</v>
      </c>
      <c r="B30" s="2">
        <v>1596</v>
      </c>
      <c r="C30" s="2">
        <v>557</v>
      </c>
      <c r="D30" s="2">
        <v>208</v>
      </c>
      <c r="E30" s="2">
        <v>56</v>
      </c>
      <c r="F30" s="2">
        <v>6</v>
      </c>
      <c r="G30" s="2">
        <v>20</v>
      </c>
    </row>
    <row r="31" spans="1:7">
      <c r="A31" s="2">
        <v>39</v>
      </c>
      <c r="B31" s="2">
        <v>1564</v>
      </c>
      <c r="C31" s="2">
        <v>1098</v>
      </c>
      <c r="D31" s="2">
        <v>336</v>
      </c>
      <c r="E31" s="2">
        <v>44</v>
      </c>
      <c r="F31" s="2">
        <v>8</v>
      </c>
      <c r="G31" s="2">
        <v>23</v>
      </c>
    </row>
    <row r="32" spans="1:7">
      <c r="A32" s="2">
        <v>40</v>
      </c>
      <c r="B32" s="2">
        <v>2170</v>
      </c>
      <c r="C32" s="2">
        <v>997</v>
      </c>
      <c r="D32" s="2">
        <v>420</v>
      </c>
      <c r="E32" s="2">
        <v>57</v>
      </c>
      <c r="F32" s="2">
        <v>9</v>
      </c>
      <c r="G32" s="2">
        <v>66</v>
      </c>
    </row>
    <row r="33" spans="1:7">
      <c r="A33" s="2">
        <v>41</v>
      </c>
      <c r="B33" s="2">
        <v>1575</v>
      </c>
      <c r="C33" s="2">
        <v>712</v>
      </c>
      <c r="D33" s="2">
        <v>509</v>
      </c>
      <c r="E33" s="2">
        <v>56</v>
      </c>
      <c r="F33" s="2">
        <v>9</v>
      </c>
      <c r="G33" s="2">
        <v>78</v>
      </c>
    </row>
    <row r="34" spans="1:7">
      <c r="A34" s="2">
        <v>42</v>
      </c>
      <c r="B34" s="2">
        <v>1101</v>
      </c>
      <c r="C34" s="2">
        <v>604</v>
      </c>
      <c r="D34" s="2">
        <v>464</v>
      </c>
      <c r="E34" s="2">
        <v>46</v>
      </c>
      <c r="F34" s="2">
        <v>11</v>
      </c>
      <c r="G34" s="2">
        <v>94</v>
      </c>
    </row>
    <row r="35" spans="1:7">
      <c r="A35" s="2">
        <v>43</v>
      </c>
      <c r="B35" s="2">
        <v>1131</v>
      </c>
      <c r="C35" s="2">
        <v>243</v>
      </c>
      <c r="D35" s="2">
        <v>327</v>
      </c>
      <c r="E35" s="2">
        <v>50</v>
      </c>
      <c r="F35" s="2">
        <v>21</v>
      </c>
      <c r="G35" s="2">
        <v>74</v>
      </c>
    </row>
    <row r="36" spans="1:7">
      <c r="A36" s="2">
        <v>44</v>
      </c>
      <c r="B36" s="2">
        <v>874</v>
      </c>
      <c r="C36" s="2">
        <v>250</v>
      </c>
      <c r="D36" s="2">
        <v>196</v>
      </c>
      <c r="E36" s="2">
        <v>35</v>
      </c>
      <c r="F36" s="2">
        <v>10</v>
      </c>
      <c r="G36" s="2">
        <v>50</v>
      </c>
    </row>
    <row r="37" spans="1:7">
      <c r="A37" s="2">
        <v>45</v>
      </c>
      <c r="B37" s="2">
        <v>727</v>
      </c>
      <c r="C37" s="2">
        <v>87</v>
      </c>
      <c r="D37" s="2">
        <v>131</v>
      </c>
      <c r="E37" s="2">
        <v>37</v>
      </c>
      <c r="F37" s="2">
        <v>4</v>
      </c>
      <c r="G37" s="2">
        <v>54</v>
      </c>
    </row>
    <row r="38" spans="1:7">
      <c r="A38" s="2">
        <v>46</v>
      </c>
      <c r="B38" s="2">
        <v>630</v>
      </c>
      <c r="C38" s="2">
        <v>66</v>
      </c>
      <c r="D38" s="2">
        <v>97</v>
      </c>
      <c r="E38" s="2">
        <v>45</v>
      </c>
      <c r="F38" s="2">
        <v>7</v>
      </c>
      <c r="G38" s="2">
        <v>21</v>
      </c>
    </row>
    <row r="39" spans="1:7">
      <c r="A39" s="2">
        <v>47</v>
      </c>
      <c r="B39" s="2">
        <v>565</v>
      </c>
      <c r="C39" s="2">
        <v>95</v>
      </c>
      <c r="D39" s="2">
        <v>63</v>
      </c>
      <c r="E39" s="2">
        <v>42</v>
      </c>
      <c r="F39" s="2">
        <v>8</v>
      </c>
      <c r="G39" s="2">
        <v>39</v>
      </c>
    </row>
    <row r="40" spans="1:7">
      <c r="A40" s="2">
        <v>48</v>
      </c>
      <c r="B40" s="2">
        <v>362</v>
      </c>
      <c r="C40" s="2">
        <v>89</v>
      </c>
      <c r="D40" s="2">
        <v>48</v>
      </c>
      <c r="E40" s="2">
        <v>23</v>
      </c>
      <c r="F40" s="2">
        <v>7</v>
      </c>
      <c r="G40" s="2">
        <v>27</v>
      </c>
    </row>
    <row r="41" spans="1:7">
      <c r="A41" s="2">
        <v>49</v>
      </c>
      <c r="B41" s="2">
        <v>119</v>
      </c>
      <c r="C41" s="2">
        <v>20</v>
      </c>
      <c r="D41" s="2">
        <v>24</v>
      </c>
      <c r="E41" s="2">
        <v>29</v>
      </c>
      <c r="F41" s="2">
        <v>3</v>
      </c>
      <c r="G41" s="2">
        <v>15</v>
      </c>
    </row>
    <row r="42" spans="1:7">
      <c r="A42" s="2">
        <v>50</v>
      </c>
      <c r="B42" s="2">
        <v>93</v>
      </c>
      <c r="C42" s="2">
        <v>17</v>
      </c>
      <c r="D42" s="2">
        <v>3</v>
      </c>
      <c r="E42" s="2">
        <v>6</v>
      </c>
      <c r="F42" s="2">
        <v>1</v>
      </c>
      <c r="G42" s="2">
        <v>13</v>
      </c>
    </row>
    <row r="43" spans="1:7">
      <c r="A43" s="2">
        <v>51</v>
      </c>
      <c r="B43" s="2">
        <v>42</v>
      </c>
      <c r="C43" s="2">
        <v>0</v>
      </c>
      <c r="D43" s="2">
        <v>5</v>
      </c>
      <c r="E43" s="2">
        <v>3</v>
      </c>
      <c r="F43" s="2">
        <v>3</v>
      </c>
      <c r="G43" s="2">
        <v>2</v>
      </c>
    </row>
    <row r="44" spans="1:7">
      <c r="A44" s="2">
        <v>52</v>
      </c>
      <c r="B44" s="2">
        <v>57</v>
      </c>
      <c r="C44" s="2">
        <v>8</v>
      </c>
      <c r="D44" s="2">
        <v>12</v>
      </c>
      <c r="E44" s="2">
        <v>4</v>
      </c>
      <c r="F44" s="2">
        <v>0</v>
      </c>
      <c r="G44" s="2">
        <v>2</v>
      </c>
    </row>
    <row r="45" spans="1:7">
      <c r="A45" s="2">
        <v>53</v>
      </c>
      <c r="B45" s="2">
        <v>44</v>
      </c>
      <c r="C45" s="2">
        <v>0</v>
      </c>
      <c r="D45" s="2">
        <v>2</v>
      </c>
      <c r="E45" s="2">
        <v>0</v>
      </c>
      <c r="F45" s="2">
        <v>0</v>
      </c>
      <c r="G45" s="2">
        <v>3</v>
      </c>
    </row>
    <row r="46" spans="1:7">
      <c r="A46" s="2">
        <v>54</v>
      </c>
      <c r="B46" s="2">
        <v>0</v>
      </c>
      <c r="C46" s="2">
        <v>0</v>
      </c>
      <c r="D46" s="2">
        <v>1</v>
      </c>
      <c r="E46" s="2">
        <v>0</v>
      </c>
      <c r="F46" s="2">
        <v>0</v>
      </c>
      <c r="G46" s="2">
        <v>3</v>
      </c>
    </row>
    <row r="47" spans="1:7">
      <c r="A47" s="2">
        <v>55</v>
      </c>
      <c r="B47" s="2">
        <v>0</v>
      </c>
      <c r="C47" s="2">
        <v>0</v>
      </c>
      <c r="D47" s="2">
        <v>0</v>
      </c>
      <c r="F47" s="2">
        <v>0</v>
      </c>
      <c r="G47" s="2">
        <v>0</v>
      </c>
    </row>
    <row r="48" spans="1:7">
      <c r="A48" s="2">
        <v>56</v>
      </c>
      <c r="D48" s="2">
        <v>0</v>
      </c>
      <c r="F48" s="2">
        <v>0</v>
      </c>
      <c r="G48" s="2">
        <v>1</v>
      </c>
    </row>
    <row r="49" spans="1:7">
      <c r="A49" s="2">
        <v>57</v>
      </c>
      <c r="F49" s="2">
        <v>0</v>
      </c>
      <c r="G49" s="2">
        <v>0</v>
      </c>
    </row>
    <row r="50" spans="1:7">
      <c r="A50" s="2">
        <v>58</v>
      </c>
      <c r="F50" s="2">
        <v>0</v>
      </c>
      <c r="G50" s="2">
        <v>0</v>
      </c>
    </row>
    <row r="51" spans="1:7">
      <c r="A51" s="2">
        <v>59</v>
      </c>
      <c r="F51" s="2">
        <v>0</v>
      </c>
      <c r="G51" s="2">
        <v>0</v>
      </c>
    </row>
    <row r="52" spans="1:7">
      <c r="A52" s="2">
        <v>60</v>
      </c>
      <c r="F52" s="2">
        <v>0</v>
      </c>
      <c r="G52" s="2">
        <v>0</v>
      </c>
    </row>
    <row r="53" spans="1:7">
      <c r="A53" s="2" t="s">
        <v>5</v>
      </c>
      <c r="B53" s="2">
        <f>SUM(B2:B52)</f>
        <v>30140</v>
      </c>
      <c r="C53" s="2">
        <f t="shared" ref="C53:G53" si="0">SUM(C2:C52)</f>
        <v>31570</v>
      </c>
      <c r="D53" s="2">
        <f t="shared" si="0"/>
        <v>7774</v>
      </c>
      <c r="E53" s="2">
        <f t="shared" si="0"/>
        <v>1063</v>
      </c>
      <c r="F53" s="2">
        <f t="shared" si="0"/>
        <v>180</v>
      </c>
      <c r="G53" s="2">
        <f t="shared" si="0"/>
        <v>2061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53"/>
  <sheetViews>
    <sheetView topLeftCell="AD40" workbookViewId="0">
      <selection activeCell="AG53" sqref="AG53:AS53"/>
    </sheetView>
  </sheetViews>
  <sheetFormatPr defaultRowHeight="14.45"/>
  <cols>
    <col min="2" max="14" width="6.7109375" customWidth="1"/>
    <col min="33" max="45" width="8.85546875" style="1"/>
  </cols>
  <sheetData>
    <row r="1" spans="1:45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 t="s">
        <v>5</v>
      </c>
      <c r="P1" t="s">
        <v>6</v>
      </c>
      <c r="Q1">
        <v>0</v>
      </c>
      <c r="R1">
        <v>1</v>
      </c>
      <c r="S1">
        <v>2</v>
      </c>
      <c r="T1">
        <v>3</v>
      </c>
      <c r="U1">
        <v>4</v>
      </c>
      <c r="V1">
        <v>5</v>
      </c>
      <c r="W1">
        <v>6</v>
      </c>
      <c r="X1">
        <v>7</v>
      </c>
      <c r="Y1">
        <v>8</v>
      </c>
      <c r="Z1">
        <v>9</v>
      </c>
      <c r="AA1">
        <v>10</v>
      </c>
      <c r="AB1">
        <v>11</v>
      </c>
      <c r="AC1">
        <v>12</v>
      </c>
      <c r="AD1" t="s">
        <v>5</v>
      </c>
      <c r="AE1" t="s">
        <v>6</v>
      </c>
      <c r="AG1" s="1">
        <v>0</v>
      </c>
      <c r="AH1" s="1">
        <v>1</v>
      </c>
      <c r="AI1" s="1">
        <v>2</v>
      </c>
      <c r="AJ1" s="1">
        <v>3</v>
      </c>
      <c r="AK1" s="1">
        <v>4</v>
      </c>
      <c r="AL1" s="1">
        <v>5</v>
      </c>
      <c r="AM1" s="1">
        <v>6</v>
      </c>
      <c r="AN1" s="1">
        <v>7</v>
      </c>
      <c r="AO1" s="1">
        <v>8</v>
      </c>
      <c r="AP1" s="1">
        <v>9</v>
      </c>
      <c r="AQ1" s="1">
        <v>10</v>
      </c>
      <c r="AR1" s="1">
        <v>11</v>
      </c>
      <c r="AS1" s="1">
        <v>12</v>
      </c>
    </row>
    <row r="2" spans="1:45">
      <c r="A2">
        <v>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f>SUM(B2:N2)</f>
        <v>0</v>
      </c>
      <c r="Q2" t="e">
        <f>$P2/$O2*B2</f>
        <v>#DIV/0!</v>
      </c>
      <c r="R2" t="e">
        <f t="shared" ref="R2:AC17" si="0">$P2/$O2*C2</f>
        <v>#DIV/0!</v>
      </c>
      <c r="S2" t="e">
        <f t="shared" si="0"/>
        <v>#DIV/0!</v>
      </c>
      <c r="T2" t="e">
        <f t="shared" si="0"/>
        <v>#DIV/0!</v>
      </c>
      <c r="U2" t="e">
        <f t="shared" si="0"/>
        <v>#DIV/0!</v>
      </c>
      <c r="V2" t="e">
        <f t="shared" si="0"/>
        <v>#DIV/0!</v>
      </c>
      <c r="W2" t="e">
        <f t="shared" si="0"/>
        <v>#DIV/0!</v>
      </c>
      <c r="X2" t="e">
        <f t="shared" si="0"/>
        <v>#DIV/0!</v>
      </c>
      <c r="Y2" t="e">
        <f t="shared" si="0"/>
        <v>#DIV/0!</v>
      </c>
      <c r="Z2" t="e">
        <f t="shared" si="0"/>
        <v>#DIV/0!</v>
      </c>
      <c r="AA2" t="e">
        <f t="shared" si="0"/>
        <v>#DIV/0!</v>
      </c>
      <c r="AB2" t="e">
        <f t="shared" si="0"/>
        <v>#DIV/0!</v>
      </c>
      <c r="AC2" t="e">
        <f t="shared" si="0"/>
        <v>#DIV/0!</v>
      </c>
      <c r="AD2" t="e">
        <f>SUM(Q2:AC2)</f>
        <v>#DIV/0!</v>
      </c>
      <c r="AE2">
        <v>0</v>
      </c>
      <c r="AF2">
        <v>10</v>
      </c>
    </row>
    <row r="3" spans="1:45">
      <c r="A3">
        <v>11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f t="shared" ref="O3:O52" si="1">SUM(B3:N3)</f>
        <v>0</v>
      </c>
      <c r="Q3" t="e">
        <f t="shared" ref="Q3:AC36" si="2">$P3/$O3*B3</f>
        <v>#DIV/0!</v>
      </c>
      <c r="R3" t="e">
        <f t="shared" si="0"/>
        <v>#DIV/0!</v>
      </c>
      <c r="S3" t="e">
        <f t="shared" si="0"/>
        <v>#DIV/0!</v>
      </c>
      <c r="T3" t="e">
        <f t="shared" si="0"/>
        <v>#DIV/0!</v>
      </c>
      <c r="U3" t="e">
        <f t="shared" si="0"/>
        <v>#DIV/0!</v>
      </c>
      <c r="V3" t="e">
        <f t="shared" si="0"/>
        <v>#DIV/0!</v>
      </c>
      <c r="W3" t="e">
        <f t="shared" si="0"/>
        <v>#DIV/0!</v>
      </c>
      <c r="X3" t="e">
        <f t="shared" si="0"/>
        <v>#DIV/0!</v>
      </c>
      <c r="Y3" t="e">
        <f t="shared" si="0"/>
        <v>#DIV/0!</v>
      </c>
      <c r="Z3" t="e">
        <f t="shared" si="0"/>
        <v>#DIV/0!</v>
      </c>
      <c r="AA3" t="e">
        <f t="shared" si="0"/>
        <v>#DIV/0!</v>
      </c>
      <c r="AB3" t="e">
        <f t="shared" si="0"/>
        <v>#DIV/0!</v>
      </c>
      <c r="AC3" t="e">
        <f t="shared" si="0"/>
        <v>#DIV/0!</v>
      </c>
      <c r="AD3" t="e">
        <f t="shared" ref="AD3:AD52" si="3">SUM(Q3:AC3)</f>
        <v>#DIV/0!</v>
      </c>
      <c r="AE3">
        <v>0</v>
      </c>
      <c r="AF3">
        <v>11</v>
      </c>
    </row>
    <row r="4" spans="1:45">
      <c r="A4">
        <v>12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f t="shared" si="1"/>
        <v>0</v>
      </c>
      <c r="Q4" t="e">
        <f t="shared" si="2"/>
        <v>#DIV/0!</v>
      </c>
      <c r="R4" t="e">
        <f t="shared" si="0"/>
        <v>#DIV/0!</v>
      </c>
      <c r="S4" t="e">
        <f t="shared" si="0"/>
        <v>#DIV/0!</v>
      </c>
      <c r="T4" t="e">
        <f t="shared" si="0"/>
        <v>#DIV/0!</v>
      </c>
      <c r="U4" t="e">
        <f t="shared" si="0"/>
        <v>#DIV/0!</v>
      </c>
      <c r="V4" t="e">
        <f t="shared" si="0"/>
        <v>#DIV/0!</v>
      </c>
      <c r="W4" t="e">
        <f t="shared" si="0"/>
        <v>#DIV/0!</v>
      </c>
      <c r="X4" t="e">
        <f t="shared" si="0"/>
        <v>#DIV/0!</v>
      </c>
      <c r="Y4" t="e">
        <f t="shared" si="0"/>
        <v>#DIV/0!</v>
      </c>
      <c r="Z4" t="e">
        <f t="shared" si="0"/>
        <v>#DIV/0!</v>
      </c>
      <c r="AA4" t="e">
        <f t="shared" si="0"/>
        <v>#DIV/0!</v>
      </c>
      <c r="AB4" t="e">
        <f t="shared" si="0"/>
        <v>#DIV/0!</v>
      </c>
      <c r="AC4" t="e">
        <f t="shared" si="0"/>
        <v>#DIV/0!</v>
      </c>
      <c r="AD4" t="e">
        <f t="shared" si="3"/>
        <v>#DIV/0!</v>
      </c>
      <c r="AE4">
        <v>0</v>
      </c>
      <c r="AF4">
        <v>12</v>
      </c>
    </row>
    <row r="5" spans="1:45">
      <c r="A5">
        <v>13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f t="shared" si="1"/>
        <v>0</v>
      </c>
      <c r="Q5" t="e">
        <f t="shared" si="2"/>
        <v>#DIV/0!</v>
      </c>
      <c r="R5" t="e">
        <f t="shared" si="0"/>
        <v>#DIV/0!</v>
      </c>
      <c r="S5" t="e">
        <f t="shared" si="0"/>
        <v>#DIV/0!</v>
      </c>
      <c r="T5" t="e">
        <f t="shared" si="0"/>
        <v>#DIV/0!</v>
      </c>
      <c r="U5" t="e">
        <f t="shared" si="0"/>
        <v>#DIV/0!</v>
      </c>
      <c r="V5" t="e">
        <f t="shared" si="0"/>
        <v>#DIV/0!</v>
      </c>
      <c r="W5" t="e">
        <f t="shared" si="0"/>
        <v>#DIV/0!</v>
      </c>
      <c r="X5" t="e">
        <f t="shared" si="0"/>
        <v>#DIV/0!</v>
      </c>
      <c r="Y5" t="e">
        <f t="shared" si="0"/>
        <v>#DIV/0!</v>
      </c>
      <c r="Z5" t="e">
        <f t="shared" si="0"/>
        <v>#DIV/0!</v>
      </c>
      <c r="AA5" t="e">
        <f t="shared" si="0"/>
        <v>#DIV/0!</v>
      </c>
      <c r="AB5" t="e">
        <f t="shared" si="0"/>
        <v>#DIV/0!</v>
      </c>
      <c r="AC5" t="e">
        <f t="shared" si="0"/>
        <v>#DIV/0!</v>
      </c>
      <c r="AD5" t="e">
        <f t="shared" si="3"/>
        <v>#DIV/0!</v>
      </c>
      <c r="AE5">
        <v>0</v>
      </c>
      <c r="AF5">
        <v>13</v>
      </c>
    </row>
    <row r="6" spans="1:45">
      <c r="A6">
        <v>14</v>
      </c>
      <c r="B6">
        <v>0</v>
      </c>
      <c r="C6">
        <v>6.9454083949999994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f t="shared" si="1"/>
        <v>6.9454083949999994</v>
      </c>
      <c r="Q6">
        <f t="shared" si="2"/>
        <v>0</v>
      </c>
      <c r="R6">
        <f t="shared" si="0"/>
        <v>0</v>
      </c>
      <c r="S6">
        <f t="shared" si="0"/>
        <v>0</v>
      </c>
      <c r="T6">
        <f t="shared" si="0"/>
        <v>0</v>
      </c>
      <c r="U6">
        <f t="shared" si="0"/>
        <v>0</v>
      </c>
      <c r="V6">
        <f t="shared" si="0"/>
        <v>0</v>
      </c>
      <c r="W6">
        <f t="shared" si="0"/>
        <v>0</v>
      </c>
      <c r="X6">
        <f t="shared" si="0"/>
        <v>0</v>
      </c>
      <c r="Y6">
        <f t="shared" si="0"/>
        <v>0</v>
      </c>
      <c r="Z6">
        <f t="shared" si="0"/>
        <v>0</v>
      </c>
      <c r="AA6">
        <f t="shared" si="0"/>
        <v>0</v>
      </c>
      <c r="AB6">
        <f t="shared" si="0"/>
        <v>0</v>
      </c>
      <c r="AC6">
        <f t="shared" si="0"/>
        <v>0</v>
      </c>
      <c r="AD6">
        <f t="shared" si="3"/>
        <v>0</v>
      </c>
      <c r="AE6">
        <v>0</v>
      </c>
      <c r="AF6">
        <v>14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</row>
    <row r="7" spans="1:45">
      <c r="A7">
        <v>15</v>
      </c>
      <c r="B7">
        <v>0</v>
      </c>
      <c r="C7">
        <v>0</v>
      </c>
      <c r="D7">
        <v>42.943200709999999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f t="shared" si="1"/>
        <v>42.943200709999999</v>
      </c>
      <c r="Q7">
        <f t="shared" si="2"/>
        <v>0</v>
      </c>
      <c r="R7">
        <f t="shared" si="0"/>
        <v>0</v>
      </c>
      <c r="S7">
        <f t="shared" si="0"/>
        <v>0</v>
      </c>
      <c r="T7">
        <f t="shared" si="0"/>
        <v>0</v>
      </c>
      <c r="U7">
        <f t="shared" si="0"/>
        <v>0</v>
      </c>
      <c r="V7">
        <f t="shared" si="0"/>
        <v>0</v>
      </c>
      <c r="W7">
        <f t="shared" si="0"/>
        <v>0</v>
      </c>
      <c r="X7">
        <f t="shared" si="0"/>
        <v>0</v>
      </c>
      <c r="Y7">
        <f t="shared" si="0"/>
        <v>0</v>
      </c>
      <c r="Z7">
        <f t="shared" si="0"/>
        <v>0</v>
      </c>
      <c r="AA7">
        <f t="shared" si="0"/>
        <v>0</v>
      </c>
      <c r="AB7">
        <f t="shared" si="0"/>
        <v>0</v>
      </c>
      <c r="AC7">
        <f t="shared" si="0"/>
        <v>0</v>
      </c>
      <c r="AD7">
        <f t="shared" si="3"/>
        <v>0</v>
      </c>
      <c r="AE7">
        <v>0</v>
      </c>
      <c r="AF7">
        <v>15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</row>
    <row r="8" spans="1:45">
      <c r="A8">
        <v>16</v>
      </c>
      <c r="B8">
        <v>0</v>
      </c>
      <c r="C8">
        <v>0</v>
      </c>
      <c r="D8">
        <v>6.9454083949999994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f t="shared" si="1"/>
        <v>6.9454083949999994</v>
      </c>
      <c r="Q8">
        <f t="shared" si="2"/>
        <v>0</v>
      </c>
      <c r="R8">
        <f t="shared" si="0"/>
        <v>0</v>
      </c>
      <c r="S8">
        <f t="shared" si="0"/>
        <v>0</v>
      </c>
      <c r="T8">
        <f t="shared" si="0"/>
        <v>0</v>
      </c>
      <c r="U8">
        <f t="shared" si="0"/>
        <v>0</v>
      </c>
      <c r="V8">
        <f t="shared" si="0"/>
        <v>0</v>
      </c>
      <c r="W8">
        <f t="shared" si="0"/>
        <v>0</v>
      </c>
      <c r="X8">
        <f t="shared" si="0"/>
        <v>0</v>
      </c>
      <c r="Y8">
        <f t="shared" si="0"/>
        <v>0</v>
      </c>
      <c r="Z8">
        <f t="shared" si="0"/>
        <v>0</v>
      </c>
      <c r="AA8">
        <f t="shared" si="0"/>
        <v>0</v>
      </c>
      <c r="AB8">
        <f t="shared" si="0"/>
        <v>0</v>
      </c>
      <c r="AC8">
        <f t="shared" si="0"/>
        <v>0</v>
      </c>
      <c r="AD8">
        <f t="shared" si="3"/>
        <v>0</v>
      </c>
      <c r="AE8">
        <v>0</v>
      </c>
      <c r="AF8">
        <v>16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</row>
    <row r="9" spans="1:45">
      <c r="A9">
        <v>17</v>
      </c>
      <c r="B9">
        <v>0</v>
      </c>
      <c r="C9">
        <v>0</v>
      </c>
      <c r="D9">
        <v>58.146737576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f t="shared" si="1"/>
        <v>58.146737576</v>
      </c>
      <c r="Q9">
        <f t="shared" si="2"/>
        <v>0</v>
      </c>
      <c r="R9">
        <f t="shared" si="0"/>
        <v>0</v>
      </c>
      <c r="S9">
        <f t="shared" si="0"/>
        <v>0</v>
      </c>
      <c r="T9">
        <f t="shared" si="0"/>
        <v>0</v>
      </c>
      <c r="U9">
        <f t="shared" si="0"/>
        <v>0</v>
      </c>
      <c r="V9">
        <f t="shared" si="0"/>
        <v>0</v>
      </c>
      <c r="W9">
        <f t="shared" si="0"/>
        <v>0</v>
      </c>
      <c r="X9">
        <f t="shared" si="0"/>
        <v>0</v>
      </c>
      <c r="Y9">
        <f t="shared" si="0"/>
        <v>0</v>
      </c>
      <c r="Z9">
        <f t="shared" si="0"/>
        <v>0</v>
      </c>
      <c r="AA9">
        <f t="shared" si="0"/>
        <v>0</v>
      </c>
      <c r="AB9">
        <f t="shared" si="0"/>
        <v>0</v>
      </c>
      <c r="AC9">
        <f t="shared" si="0"/>
        <v>0</v>
      </c>
      <c r="AD9">
        <f t="shared" si="3"/>
        <v>0</v>
      </c>
      <c r="AE9">
        <v>0</v>
      </c>
      <c r="AF9">
        <v>17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</row>
    <row r="10" spans="1:45">
      <c r="A10">
        <v>18</v>
      </c>
      <c r="B10">
        <v>0</v>
      </c>
      <c r="C10">
        <v>0</v>
      </c>
      <c r="D10">
        <v>0</v>
      </c>
      <c r="E10">
        <v>246.729002597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f t="shared" si="1"/>
        <v>246.729002597</v>
      </c>
      <c r="P10">
        <v>2</v>
      </c>
      <c r="Q10">
        <f t="shared" si="2"/>
        <v>0</v>
      </c>
      <c r="R10">
        <f t="shared" si="0"/>
        <v>0</v>
      </c>
      <c r="S10">
        <f t="shared" si="0"/>
        <v>0</v>
      </c>
      <c r="T10">
        <f t="shared" si="0"/>
        <v>2</v>
      </c>
      <c r="U10">
        <f t="shared" si="0"/>
        <v>0</v>
      </c>
      <c r="V10">
        <f t="shared" si="0"/>
        <v>0</v>
      </c>
      <c r="W10">
        <f t="shared" si="0"/>
        <v>0</v>
      </c>
      <c r="X10">
        <f t="shared" si="0"/>
        <v>0</v>
      </c>
      <c r="Y10">
        <f t="shared" si="0"/>
        <v>0</v>
      </c>
      <c r="Z10">
        <f t="shared" si="0"/>
        <v>0</v>
      </c>
      <c r="AA10">
        <f t="shared" si="0"/>
        <v>0</v>
      </c>
      <c r="AB10">
        <f t="shared" si="0"/>
        <v>0</v>
      </c>
      <c r="AC10">
        <f t="shared" si="0"/>
        <v>0</v>
      </c>
      <c r="AD10">
        <f t="shared" si="3"/>
        <v>2</v>
      </c>
      <c r="AE10">
        <v>2</v>
      </c>
      <c r="AF10">
        <v>18</v>
      </c>
      <c r="AG10" s="1">
        <v>0</v>
      </c>
      <c r="AH10" s="1">
        <v>0</v>
      </c>
      <c r="AI10" s="1">
        <v>0</v>
      </c>
      <c r="AJ10" s="1">
        <v>2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</row>
    <row r="11" spans="1:45">
      <c r="A11">
        <v>19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f t="shared" si="1"/>
        <v>0</v>
      </c>
      <c r="P11">
        <v>4</v>
      </c>
      <c r="Q11" t="e">
        <f t="shared" si="2"/>
        <v>#DIV/0!</v>
      </c>
      <c r="R11" t="e">
        <f t="shared" si="0"/>
        <v>#DIV/0!</v>
      </c>
      <c r="S11" t="e">
        <f t="shared" si="0"/>
        <v>#DIV/0!</v>
      </c>
      <c r="T11" t="e">
        <f t="shared" si="0"/>
        <v>#DIV/0!</v>
      </c>
      <c r="U11" t="e">
        <f t="shared" si="0"/>
        <v>#DIV/0!</v>
      </c>
      <c r="V11" t="e">
        <f t="shared" si="0"/>
        <v>#DIV/0!</v>
      </c>
      <c r="W11" t="e">
        <f t="shared" si="0"/>
        <v>#DIV/0!</v>
      </c>
      <c r="X11" t="e">
        <f t="shared" si="0"/>
        <v>#DIV/0!</v>
      </c>
      <c r="Y11" t="e">
        <f t="shared" si="0"/>
        <v>#DIV/0!</v>
      </c>
      <c r="Z11" t="e">
        <f t="shared" si="0"/>
        <v>#DIV/0!</v>
      </c>
      <c r="AA11" t="e">
        <f t="shared" si="0"/>
        <v>#DIV/0!</v>
      </c>
      <c r="AB11" t="e">
        <f t="shared" si="0"/>
        <v>#DIV/0!</v>
      </c>
      <c r="AC11" t="e">
        <f t="shared" si="0"/>
        <v>#DIV/0!</v>
      </c>
      <c r="AD11" t="e">
        <f t="shared" si="3"/>
        <v>#DIV/0!</v>
      </c>
      <c r="AE11">
        <v>3</v>
      </c>
      <c r="AF11">
        <v>19</v>
      </c>
    </row>
    <row r="12" spans="1:45">
      <c r="A12">
        <v>20</v>
      </c>
      <c r="B12">
        <v>0</v>
      </c>
      <c r="C12">
        <v>0</v>
      </c>
      <c r="D12">
        <v>0</v>
      </c>
      <c r="E12">
        <v>0.23316520000000002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f t="shared" si="1"/>
        <v>0.23316520000000002</v>
      </c>
      <c r="P12">
        <v>11</v>
      </c>
      <c r="Q12">
        <f t="shared" si="2"/>
        <v>0</v>
      </c>
      <c r="R12">
        <f t="shared" si="0"/>
        <v>0</v>
      </c>
      <c r="S12">
        <f t="shared" si="0"/>
        <v>0</v>
      </c>
      <c r="T12">
        <f t="shared" si="0"/>
        <v>11</v>
      </c>
      <c r="U12">
        <f t="shared" si="0"/>
        <v>0</v>
      </c>
      <c r="V12">
        <f t="shared" si="0"/>
        <v>0</v>
      </c>
      <c r="W12">
        <f t="shared" si="0"/>
        <v>0</v>
      </c>
      <c r="X12">
        <f t="shared" si="0"/>
        <v>0</v>
      </c>
      <c r="Y12">
        <f t="shared" si="0"/>
        <v>0</v>
      </c>
      <c r="Z12">
        <f t="shared" si="0"/>
        <v>0</v>
      </c>
      <c r="AA12">
        <f t="shared" si="0"/>
        <v>0</v>
      </c>
      <c r="AB12">
        <f t="shared" si="0"/>
        <v>0</v>
      </c>
      <c r="AC12">
        <f t="shared" si="0"/>
        <v>0</v>
      </c>
      <c r="AD12">
        <f t="shared" si="3"/>
        <v>11</v>
      </c>
      <c r="AE12">
        <v>0</v>
      </c>
      <c r="AF12">
        <v>20</v>
      </c>
      <c r="AG12" s="1">
        <v>0</v>
      </c>
      <c r="AH12" s="1">
        <v>0</v>
      </c>
      <c r="AI12" s="1">
        <v>0</v>
      </c>
      <c r="AJ12" s="1">
        <v>11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</row>
    <row r="13" spans="1:45">
      <c r="A13">
        <v>21</v>
      </c>
      <c r="B13">
        <v>0</v>
      </c>
      <c r="C13">
        <v>0</v>
      </c>
      <c r="D13">
        <v>0</v>
      </c>
      <c r="E13">
        <v>1.3972424609999998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f t="shared" si="1"/>
        <v>1.3972424609999998</v>
      </c>
      <c r="P13">
        <v>4</v>
      </c>
      <c r="Q13">
        <f t="shared" si="2"/>
        <v>0</v>
      </c>
      <c r="R13">
        <f t="shared" si="0"/>
        <v>0</v>
      </c>
      <c r="S13">
        <f t="shared" si="0"/>
        <v>0</v>
      </c>
      <c r="T13">
        <f t="shared" si="0"/>
        <v>4</v>
      </c>
      <c r="U13">
        <f t="shared" si="0"/>
        <v>0</v>
      </c>
      <c r="V13">
        <f t="shared" si="0"/>
        <v>0</v>
      </c>
      <c r="W13">
        <f t="shared" si="0"/>
        <v>0</v>
      </c>
      <c r="X13">
        <f t="shared" si="0"/>
        <v>0</v>
      </c>
      <c r="Y13">
        <f t="shared" si="0"/>
        <v>0</v>
      </c>
      <c r="Z13">
        <f t="shared" si="0"/>
        <v>0</v>
      </c>
      <c r="AA13">
        <f t="shared" si="0"/>
        <v>0</v>
      </c>
      <c r="AB13">
        <f t="shared" si="0"/>
        <v>0</v>
      </c>
      <c r="AC13">
        <f t="shared" si="0"/>
        <v>0</v>
      </c>
      <c r="AD13">
        <f t="shared" si="3"/>
        <v>4</v>
      </c>
      <c r="AE13">
        <v>0</v>
      </c>
      <c r="AF13">
        <v>21</v>
      </c>
      <c r="AG13" s="1">
        <v>0</v>
      </c>
      <c r="AH13" s="1">
        <v>0</v>
      </c>
      <c r="AI13" s="1">
        <v>0</v>
      </c>
      <c r="AJ13" s="1">
        <v>4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</row>
    <row r="14" spans="1:45">
      <c r="A14">
        <v>22</v>
      </c>
      <c r="B14">
        <v>0</v>
      </c>
      <c r="C14">
        <v>0</v>
      </c>
      <c r="D14">
        <v>0</v>
      </c>
      <c r="E14">
        <v>158.31596477849999</v>
      </c>
      <c r="F14">
        <v>7.1497194014999996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f t="shared" si="1"/>
        <v>165.46568417999998</v>
      </c>
      <c r="P14">
        <v>7</v>
      </c>
      <c r="Q14">
        <f t="shared" si="2"/>
        <v>0</v>
      </c>
      <c r="R14">
        <f t="shared" si="0"/>
        <v>0</v>
      </c>
      <c r="S14">
        <f t="shared" si="0"/>
        <v>0</v>
      </c>
      <c r="T14">
        <f t="shared" si="0"/>
        <v>6.697532234199957</v>
      </c>
      <c r="U14">
        <f t="shared" si="0"/>
        <v>0.30246776580004225</v>
      </c>
      <c r="V14">
        <f t="shared" si="0"/>
        <v>0</v>
      </c>
      <c r="W14">
        <f t="shared" si="0"/>
        <v>0</v>
      </c>
      <c r="X14">
        <f t="shared" si="0"/>
        <v>0</v>
      </c>
      <c r="Y14">
        <f t="shared" si="0"/>
        <v>0</v>
      </c>
      <c r="Z14">
        <f t="shared" si="0"/>
        <v>0</v>
      </c>
      <c r="AA14">
        <f t="shared" si="0"/>
        <v>0</v>
      </c>
      <c r="AB14">
        <f t="shared" si="0"/>
        <v>0</v>
      </c>
      <c r="AC14">
        <f t="shared" si="0"/>
        <v>0</v>
      </c>
      <c r="AD14">
        <f t="shared" si="3"/>
        <v>6.9999999999999991</v>
      </c>
      <c r="AE14">
        <v>0</v>
      </c>
      <c r="AF14">
        <v>22</v>
      </c>
      <c r="AG14" s="1">
        <v>0</v>
      </c>
      <c r="AH14" s="1">
        <v>0</v>
      </c>
      <c r="AI14" s="1">
        <v>0</v>
      </c>
      <c r="AJ14" s="1">
        <v>6.697532234199957</v>
      </c>
      <c r="AK14" s="1">
        <v>0.30246776580004225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</row>
    <row r="15" spans="1:45">
      <c r="A15">
        <v>23</v>
      </c>
      <c r="B15">
        <v>0</v>
      </c>
      <c r="C15">
        <v>0</v>
      </c>
      <c r="D15">
        <v>0</v>
      </c>
      <c r="E15">
        <v>186.77879250034485</v>
      </c>
      <c r="F15">
        <v>835.42502216865523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f t="shared" si="1"/>
        <v>1022.2038146690001</v>
      </c>
      <c r="P15">
        <v>14</v>
      </c>
      <c r="Q15">
        <f t="shared" si="2"/>
        <v>0</v>
      </c>
      <c r="R15">
        <f t="shared" si="0"/>
        <v>0</v>
      </c>
      <c r="S15">
        <f t="shared" si="0"/>
        <v>0</v>
      </c>
      <c r="T15">
        <f t="shared" si="0"/>
        <v>2.5581034403120086</v>
      </c>
      <c r="U15">
        <f t="shared" si="0"/>
        <v>11.441896559687992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3"/>
        <v>14</v>
      </c>
      <c r="AE15">
        <v>6</v>
      </c>
      <c r="AF15">
        <v>23</v>
      </c>
      <c r="AG15" s="1">
        <v>0</v>
      </c>
      <c r="AH15" s="1">
        <v>0</v>
      </c>
      <c r="AI15" s="1">
        <v>0</v>
      </c>
      <c r="AJ15" s="1">
        <v>2.5581034403120086</v>
      </c>
      <c r="AK15" s="1">
        <v>11.441896559687992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</row>
    <row r="16" spans="1:45">
      <c r="A16">
        <v>24</v>
      </c>
      <c r="B16">
        <v>0</v>
      </c>
      <c r="C16">
        <v>0</v>
      </c>
      <c r="D16">
        <v>0</v>
      </c>
      <c r="E16">
        <v>3564.1228996276054</v>
      </c>
      <c r="F16">
        <v>10890.153811146589</v>
      </c>
      <c r="G16">
        <v>1352.2737442048056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f t="shared" si="1"/>
        <v>15806.550454979</v>
      </c>
      <c r="P16">
        <v>18</v>
      </c>
      <c r="Q16">
        <f t="shared" si="2"/>
        <v>0</v>
      </c>
      <c r="R16">
        <f t="shared" si="0"/>
        <v>0</v>
      </c>
      <c r="S16">
        <f t="shared" si="0"/>
        <v>0</v>
      </c>
      <c r="T16">
        <f t="shared" si="0"/>
        <v>4.0587104932239395</v>
      </c>
      <c r="U16">
        <f t="shared" si="0"/>
        <v>12.401362913366858</v>
      </c>
      <c r="V16">
        <f t="shared" si="0"/>
        <v>1.539926593409203</v>
      </c>
      <c r="W16">
        <f t="shared" si="0"/>
        <v>0</v>
      </c>
      <c r="X16">
        <f t="shared" si="0"/>
        <v>0</v>
      </c>
      <c r="Y16">
        <f t="shared" si="0"/>
        <v>0</v>
      </c>
      <c r="Z16">
        <f t="shared" si="0"/>
        <v>0</v>
      </c>
      <c r="AA16">
        <f t="shared" si="0"/>
        <v>0</v>
      </c>
      <c r="AB16">
        <f t="shared" si="0"/>
        <v>0</v>
      </c>
      <c r="AC16">
        <f t="shared" si="0"/>
        <v>0</v>
      </c>
      <c r="AD16">
        <f t="shared" si="3"/>
        <v>18</v>
      </c>
      <c r="AE16">
        <v>161</v>
      </c>
      <c r="AF16">
        <v>24</v>
      </c>
      <c r="AG16" s="1">
        <v>0</v>
      </c>
      <c r="AH16" s="1">
        <v>0</v>
      </c>
      <c r="AI16" s="1">
        <v>0</v>
      </c>
      <c r="AJ16" s="1">
        <v>4.0587104932239395</v>
      </c>
      <c r="AK16" s="1">
        <v>12.401362913366858</v>
      </c>
      <c r="AL16" s="1">
        <v>1.539926593409203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</row>
    <row r="17" spans="1:45">
      <c r="A17">
        <v>25</v>
      </c>
      <c r="B17">
        <v>0</v>
      </c>
      <c r="C17">
        <v>0</v>
      </c>
      <c r="D17">
        <v>0</v>
      </c>
      <c r="E17">
        <v>9917.8893247132728</v>
      </c>
      <c r="F17">
        <v>39671.557298853091</v>
      </c>
      <c r="G17">
        <v>10982.467845805633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f t="shared" si="1"/>
        <v>60571.914469372001</v>
      </c>
      <c r="P17">
        <v>66</v>
      </c>
      <c r="Q17">
        <f t="shared" si="2"/>
        <v>0</v>
      </c>
      <c r="R17">
        <f t="shared" si="0"/>
        <v>0</v>
      </c>
      <c r="S17">
        <f t="shared" si="0"/>
        <v>0</v>
      </c>
      <c r="T17">
        <f t="shared" si="0"/>
        <v>10.806670074165524</v>
      </c>
      <c r="U17">
        <f t="shared" si="0"/>
        <v>43.226680296662096</v>
      </c>
      <c r="V17">
        <f t="shared" si="0"/>
        <v>11.966649629172386</v>
      </c>
      <c r="W17">
        <f t="shared" si="0"/>
        <v>0</v>
      </c>
      <c r="X17">
        <f t="shared" si="0"/>
        <v>0</v>
      </c>
      <c r="Y17">
        <f t="shared" si="0"/>
        <v>0</v>
      </c>
      <c r="Z17">
        <f t="shared" si="0"/>
        <v>0</v>
      </c>
      <c r="AA17">
        <f t="shared" si="0"/>
        <v>0</v>
      </c>
      <c r="AB17">
        <f t="shared" si="0"/>
        <v>0</v>
      </c>
      <c r="AC17">
        <f t="shared" si="0"/>
        <v>0</v>
      </c>
      <c r="AD17">
        <f t="shared" si="3"/>
        <v>66</v>
      </c>
      <c r="AE17">
        <v>1635</v>
      </c>
      <c r="AF17">
        <v>25</v>
      </c>
      <c r="AG17" s="1">
        <v>0</v>
      </c>
      <c r="AH17" s="1">
        <v>0</v>
      </c>
      <c r="AI17" s="1">
        <v>0</v>
      </c>
      <c r="AJ17" s="1">
        <v>10.806670074165524</v>
      </c>
      <c r="AK17" s="1">
        <v>43.226680296662096</v>
      </c>
      <c r="AL17" s="1">
        <v>11.966649629172386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</row>
    <row r="18" spans="1:45">
      <c r="A18">
        <v>26</v>
      </c>
      <c r="B18">
        <v>0</v>
      </c>
      <c r="C18">
        <v>0</v>
      </c>
      <c r="D18">
        <v>0</v>
      </c>
      <c r="E18">
        <v>4191.5095126422384</v>
      </c>
      <c r="F18">
        <v>56342.441131345986</v>
      </c>
      <c r="G18">
        <v>12973.626951452772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f t="shared" si="1"/>
        <v>73507.577595440991</v>
      </c>
      <c r="P18">
        <v>160</v>
      </c>
      <c r="Q18">
        <f t="shared" si="2"/>
        <v>0</v>
      </c>
      <c r="R18">
        <f t="shared" si="2"/>
        <v>0</v>
      </c>
      <c r="S18">
        <f t="shared" si="2"/>
        <v>0</v>
      </c>
      <c r="T18">
        <f t="shared" si="2"/>
        <v>9.1234338548567813</v>
      </c>
      <c r="U18">
        <f t="shared" si="2"/>
        <v>122.63756847803489</v>
      </c>
      <c r="V18">
        <f t="shared" si="2"/>
        <v>28.23899766710834</v>
      </c>
      <c r="W18">
        <f t="shared" si="2"/>
        <v>0</v>
      </c>
      <c r="X18">
        <f t="shared" si="2"/>
        <v>0</v>
      </c>
      <c r="Y18">
        <f t="shared" si="2"/>
        <v>0</v>
      </c>
      <c r="Z18">
        <f t="shared" si="2"/>
        <v>0</v>
      </c>
      <c r="AA18">
        <f t="shared" si="2"/>
        <v>0</v>
      </c>
      <c r="AB18">
        <f t="shared" si="2"/>
        <v>0</v>
      </c>
      <c r="AC18">
        <f t="shared" si="2"/>
        <v>0</v>
      </c>
      <c r="AD18">
        <f t="shared" si="3"/>
        <v>160.00000000000003</v>
      </c>
      <c r="AE18">
        <v>3614</v>
      </c>
      <c r="AF18">
        <v>26</v>
      </c>
      <c r="AG18" s="1">
        <v>0</v>
      </c>
      <c r="AH18" s="1">
        <v>0</v>
      </c>
      <c r="AI18" s="1">
        <v>0</v>
      </c>
      <c r="AJ18" s="1">
        <v>9.1234338548567813</v>
      </c>
      <c r="AK18" s="1">
        <v>122.63756847803489</v>
      </c>
      <c r="AL18" s="1">
        <v>28.23899766710834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</row>
    <row r="19" spans="1:45">
      <c r="A19">
        <v>27</v>
      </c>
      <c r="B19">
        <v>0</v>
      </c>
      <c r="C19">
        <v>0</v>
      </c>
      <c r="D19">
        <v>0</v>
      </c>
      <c r="E19">
        <v>3404.1515194753292</v>
      </c>
      <c r="F19">
        <v>13107.558033842684</v>
      </c>
      <c r="G19">
        <v>9020.8583735311968</v>
      </c>
      <c r="H19">
        <v>1191.5961848947895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f t="shared" si="1"/>
        <v>26724.164111743998</v>
      </c>
      <c r="P19">
        <v>252</v>
      </c>
      <c r="Q19">
        <f t="shared" si="2"/>
        <v>0</v>
      </c>
      <c r="R19">
        <f t="shared" si="2"/>
        <v>0</v>
      </c>
      <c r="S19">
        <f t="shared" si="2"/>
        <v>0</v>
      </c>
      <c r="T19">
        <f t="shared" si="2"/>
        <v>32.100019267985282</v>
      </c>
      <c r="U19">
        <f t="shared" si="2"/>
        <v>123.59992292805893</v>
      </c>
      <c r="V19">
        <f t="shared" si="2"/>
        <v>85.063701174132291</v>
      </c>
      <c r="W19">
        <f t="shared" si="2"/>
        <v>11.23635662982354</v>
      </c>
      <c r="X19">
        <f t="shared" si="2"/>
        <v>0</v>
      </c>
      <c r="Y19">
        <f t="shared" si="2"/>
        <v>0</v>
      </c>
      <c r="Z19">
        <f t="shared" si="2"/>
        <v>0</v>
      </c>
      <c r="AA19">
        <f t="shared" si="2"/>
        <v>0</v>
      </c>
      <c r="AB19">
        <f t="shared" si="2"/>
        <v>0</v>
      </c>
      <c r="AC19">
        <f t="shared" si="2"/>
        <v>0</v>
      </c>
      <c r="AD19">
        <f t="shared" si="3"/>
        <v>252.00000000000006</v>
      </c>
      <c r="AE19">
        <v>4092</v>
      </c>
      <c r="AF19">
        <v>27</v>
      </c>
      <c r="AG19" s="1">
        <v>0</v>
      </c>
      <c r="AH19" s="1">
        <v>0</v>
      </c>
      <c r="AI19" s="1">
        <v>0</v>
      </c>
      <c r="AJ19" s="1">
        <v>32.100019267985282</v>
      </c>
      <c r="AK19" s="1">
        <v>123.59992292805893</v>
      </c>
      <c r="AL19" s="1">
        <v>85.063701174132291</v>
      </c>
      <c r="AM19" s="1">
        <v>11.23635662982354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</row>
    <row r="20" spans="1:45">
      <c r="A20">
        <v>28</v>
      </c>
      <c r="B20">
        <v>0</v>
      </c>
      <c r="C20">
        <v>0</v>
      </c>
      <c r="D20">
        <v>0</v>
      </c>
      <c r="E20">
        <v>0</v>
      </c>
      <c r="F20">
        <v>2179.863851220111</v>
      </c>
      <c r="G20">
        <v>3854.1355211657783</v>
      </c>
      <c r="H20">
        <v>721.73405479055555</v>
      </c>
      <c r="I20">
        <v>721.73405479055555</v>
      </c>
      <c r="J20">
        <v>0</v>
      </c>
      <c r="K20">
        <v>0</v>
      </c>
      <c r="L20">
        <v>0</v>
      </c>
      <c r="M20">
        <v>0</v>
      </c>
      <c r="N20">
        <v>0</v>
      </c>
      <c r="O20">
        <f t="shared" si="1"/>
        <v>7477.4674819669999</v>
      </c>
      <c r="P20">
        <v>333</v>
      </c>
      <c r="Q20">
        <f t="shared" si="2"/>
        <v>0</v>
      </c>
      <c r="R20">
        <f t="shared" si="2"/>
        <v>0</v>
      </c>
      <c r="S20">
        <f t="shared" si="2"/>
        <v>0</v>
      </c>
      <c r="T20">
        <f t="shared" si="2"/>
        <v>0</v>
      </c>
      <c r="U20">
        <f t="shared" si="2"/>
        <v>97.07760872339432</v>
      </c>
      <c r="V20">
        <f t="shared" si="2"/>
        <v>171.63927916014015</v>
      </c>
      <c r="W20">
        <f t="shared" si="2"/>
        <v>32.141556058232773</v>
      </c>
      <c r="X20">
        <f t="shared" si="2"/>
        <v>32.141556058232773</v>
      </c>
      <c r="Y20">
        <f t="shared" si="2"/>
        <v>0</v>
      </c>
      <c r="Z20">
        <f t="shared" si="2"/>
        <v>0</v>
      </c>
      <c r="AA20">
        <f t="shared" si="2"/>
        <v>0</v>
      </c>
      <c r="AB20">
        <f t="shared" si="2"/>
        <v>0</v>
      </c>
      <c r="AC20">
        <f t="shared" si="2"/>
        <v>0</v>
      </c>
      <c r="AD20">
        <f t="shared" si="3"/>
        <v>333</v>
      </c>
      <c r="AE20">
        <v>1997</v>
      </c>
      <c r="AF20">
        <v>28</v>
      </c>
      <c r="AG20" s="1">
        <v>0</v>
      </c>
      <c r="AH20" s="1">
        <v>0</v>
      </c>
      <c r="AI20" s="1">
        <v>0</v>
      </c>
      <c r="AJ20" s="1">
        <v>0</v>
      </c>
      <c r="AK20" s="1">
        <v>97.07760872339432</v>
      </c>
      <c r="AL20" s="1">
        <v>171.63927916014015</v>
      </c>
      <c r="AM20" s="1">
        <v>32.141556058232773</v>
      </c>
      <c r="AN20" s="1">
        <v>32.141556058232773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</row>
    <row r="21" spans="1:45">
      <c r="A21">
        <v>29</v>
      </c>
      <c r="B21">
        <v>0</v>
      </c>
      <c r="C21">
        <v>0</v>
      </c>
      <c r="D21">
        <v>0</v>
      </c>
      <c r="E21">
        <v>0</v>
      </c>
      <c r="F21">
        <v>152.66211671759999</v>
      </c>
      <c r="G21">
        <v>1409.11135661255</v>
      </c>
      <c r="H21">
        <v>554.51607260285004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f t="shared" si="1"/>
        <v>2116.2895459330002</v>
      </c>
      <c r="P21">
        <v>356</v>
      </c>
      <c r="Q21">
        <f t="shared" si="2"/>
        <v>0</v>
      </c>
      <c r="R21">
        <f t="shared" si="2"/>
        <v>0</v>
      </c>
      <c r="S21">
        <f t="shared" si="2"/>
        <v>0</v>
      </c>
      <c r="T21">
        <f t="shared" si="2"/>
        <v>0</v>
      </c>
      <c r="U21">
        <f t="shared" si="2"/>
        <v>25.680660595762443</v>
      </c>
      <c r="V21">
        <f t="shared" si="2"/>
        <v>237.03922930494377</v>
      </c>
      <c r="W21">
        <f t="shared" si="2"/>
        <v>93.280110099293736</v>
      </c>
      <c r="X21">
        <f t="shared" si="2"/>
        <v>0</v>
      </c>
      <c r="Y21">
        <f t="shared" si="2"/>
        <v>0</v>
      </c>
      <c r="Z21">
        <f t="shared" si="2"/>
        <v>0</v>
      </c>
      <c r="AA21">
        <f t="shared" si="2"/>
        <v>0</v>
      </c>
      <c r="AB21">
        <f t="shared" si="2"/>
        <v>0</v>
      </c>
      <c r="AC21">
        <f t="shared" si="2"/>
        <v>0</v>
      </c>
      <c r="AD21">
        <f t="shared" si="3"/>
        <v>355.99999999999994</v>
      </c>
      <c r="AE21">
        <v>693</v>
      </c>
      <c r="AF21">
        <v>29</v>
      </c>
      <c r="AG21" s="1">
        <v>0</v>
      </c>
      <c r="AH21" s="1">
        <v>0</v>
      </c>
      <c r="AI21" s="1">
        <v>0</v>
      </c>
      <c r="AJ21" s="1">
        <v>0</v>
      </c>
      <c r="AK21" s="1">
        <v>25.680660595762443</v>
      </c>
      <c r="AL21" s="1">
        <v>237.03922930494377</v>
      </c>
      <c r="AM21" s="1">
        <v>93.280110099293736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</row>
    <row r="22" spans="1:45">
      <c r="A22">
        <v>30</v>
      </c>
      <c r="B22">
        <v>0</v>
      </c>
      <c r="C22">
        <v>0</v>
      </c>
      <c r="D22">
        <v>0</v>
      </c>
      <c r="E22">
        <v>0</v>
      </c>
      <c r="F22">
        <v>405.55427226943425</v>
      </c>
      <c r="G22">
        <v>1119.3214386271447</v>
      </c>
      <c r="H22">
        <v>55.623644674947364</v>
      </c>
      <c r="I22">
        <v>27.811822337473682</v>
      </c>
      <c r="J22">
        <v>0</v>
      </c>
      <c r="K22">
        <v>0</v>
      </c>
      <c r="L22">
        <v>0</v>
      </c>
      <c r="M22">
        <v>0</v>
      </c>
      <c r="N22">
        <v>0</v>
      </c>
      <c r="O22">
        <f t="shared" si="1"/>
        <v>1608.311177909</v>
      </c>
      <c r="P22">
        <v>346</v>
      </c>
      <c r="Q22">
        <f t="shared" si="2"/>
        <v>0</v>
      </c>
      <c r="R22">
        <f t="shared" si="2"/>
        <v>0</v>
      </c>
      <c r="S22">
        <f t="shared" si="2"/>
        <v>0</v>
      </c>
      <c r="T22">
        <f t="shared" si="2"/>
        <v>0</v>
      </c>
      <c r="U22">
        <f t="shared" si="2"/>
        <v>87.247903348939985</v>
      </c>
      <c r="V22">
        <f t="shared" si="2"/>
        <v>240.80241627650062</v>
      </c>
      <c r="W22">
        <f t="shared" si="2"/>
        <v>11.966453583039597</v>
      </c>
      <c r="X22">
        <f t="shared" si="2"/>
        <v>5.9832267915197983</v>
      </c>
      <c r="Y22">
        <f t="shared" si="2"/>
        <v>0</v>
      </c>
      <c r="Z22">
        <f t="shared" si="2"/>
        <v>0</v>
      </c>
      <c r="AA22">
        <f t="shared" si="2"/>
        <v>0</v>
      </c>
      <c r="AB22">
        <f t="shared" si="2"/>
        <v>0</v>
      </c>
      <c r="AC22">
        <f t="shared" si="2"/>
        <v>0</v>
      </c>
      <c r="AD22">
        <f t="shared" si="3"/>
        <v>346</v>
      </c>
      <c r="AE22">
        <v>163</v>
      </c>
      <c r="AF22">
        <v>30</v>
      </c>
      <c r="AG22" s="1">
        <v>0</v>
      </c>
      <c r="AH22" s="1">
        <v>0</v>
      </c>
      <c r="AI22" s="1">
        <v>0</v>
      </c>
      <c r="AJ22" s="1">
        <v>0</v>
      </c>
      <c r="AK22" s="1">
        <v>87.247903348939985</v>
      </c>
      <c r="AL22" s="1">
        <v>240.80241627650062</v>
      </c>
      <c r="AM22" s="1">
        <v>11.966453583039597</v>
      </c>
      <c r="AN22" s="1">
        <v>5.9832267915197983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</row>
    <row r="23" spans="1:45">
      <c r="A23">
        <v>31</v>
      </c>
      <c r="B23">
        <v>0</v>
      </c>
      <c r="C23">
        <v>0</v>
      </c>
      <c r="D23">
        <v>0</v>
      </c>
      <c r="E23">
        <v>0</v>
      </c>
      <c r="F23">
        <v>62.857282873043474</v>
      </c>
      <c r="G23">
        <v>1567.280616128174</v>
      </c>
      <c r="H23">
        <v>972.21215668321736</v>
      </c>
      <c r="I23">
        <v>94.285924309565218</v>
      </c>
      <c r="J23">
        <v>0</v>
      </c>
      <c r="K23">
        <v>0</v>
      </c>
      <c r="L23">
        <v>0</v>
      </c>
      <c r="M23">
        <v>0</v>
      </c>
      <c r="N23">
        <v>0</v>
      </c>
      <c r="O23">
        <f t="shared" si="1"/>
        <v>2696.6359799940001</v>
      </c>
      <c r="P23">
        <v>413</v>
      </c>
      <c r="Q23">
        <f t="shared" si="2"/>
        <v>0</v>
      </c>
      <c r="R23">
        <f t="shared" si="2"/>
        <v>0</v>
      </c>
      <c r="S23">
        <f t="shared" si="2"/>
        <v>0</v>
      </c>
      <c r="T23">
        <f t="shared" si="2"/>
        <v>0</v>
      </c>
      <c r="U23">
        <f t="shared" si="2"/>
        <v>9.6268306212485957</v>
      </c>
      <c r="V23">
        <f t="shared" si="2"/>
        <v>240.03495438875515</v>
      </c>
      <c r="W23">
        <f t="shared" si="2"/>
        <v>148.89796905812335</v>
      </c>
      <c r="X23">
        <f t="shared" si="2"/>
        <v>14.440245931872894</v>
      </c>
      <c r="Y23">
        <f t="shared" si="2"/>
        <v>0</v>
      </c>
      <c r="Z23">
        <f t="shared" si="2"/>
        <v>0</v>
      </c>
      <c r="AA23">
        <f t="shared" si="2"/>
        <v>0</v>
      </c>
      <c r="AB23">
        <f t="shared" si="2"/>
        <v>0</v>
      </c>
      <c r="AC23">
        <f t="shared" si="2"/>
        <v>0</v>
      </c>
      <c r="AD23">
        <f t="shared" si="3"/>
        <v>412.99999999999994</v>
      </c>
      <c r="AE23">
        <v>51</v>
      </c>
      <c r="AF23">
        <v>31</v>
      </c>
      <c r="AG23" s="1">
        <v>0</v>
      </c>
      <c r="AH23" s="1">
        <v>0</v>
      </c>
      <c r="AI23" s="1">
        <v>0</v>
      </c>
      <c r="AJ23" s="1">
        <v>0</v>
      </c>
      <c r="AK23" s="1">
        <v>9.6268306212485957</v>
      </c>
      <c r="AL23" s="1">
        <v>240.03495438875515</v>
      </c>
      <c r="AM23" s="1">
        <v>148.89796905812335</v>
      </c>
      <c r="AN23" s="1">
        <v>14.440245931872894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</row>
    <row r="24" spans="1:45">
      <c r="A24">
        <v>32</v>
      </c>
      <c r="B24">
        <v>0</v>
      </c>
      <c r="C24">
        <v>0</v>
      </c>
      <c r="D24">
        <v>0</v>
      </c>
      <c r="E24">
        <v>0</v>
      </c>
      <c r="F24">
        <v>0</v>
      </c>
      <c r="G24">
        <v>1564.1788866927754</v>
      </c>
      <c r="H24">
        <v>2994.3594045606769</v>
      </c>
      <c r="I24">
        <v>910.61261977054767</v>
      </c>
      <c r="J24">
        <v>0</v>
      </c>
      <c r="K24">
        <v>0</v>
      </c>
      <c r="L24">
        <v>0</v>
      </c>
      <c r="M24">
        <v>0</v>
      </c>
      <c r="N24">
        <v>0</v>
      </c>
      <c r="O24">
        <f t="shared" si="1"/>
        <v>5469.1509110240004</v>
      </c>
      <c r="P24">
        <v>493</v>
      </c>
      <c r="Q24">
        <f t="shared" si="2"/>
        <v>0</v>
      </c>
      <c r="R24">
        <f t="shared" si="2"/>
        <v>0</v>
      </c>
      <c r="S24">
        <f t="shared" si="2"/>
        <v>0</v>
      </c>
      <c r="T24">
        <f t="shared" si="2"/>
        <v>0</v>
      </c>
      <c r="U24">
        <f t="shared" si="2"/>
        <v>0</v>
      </c>
      <c r="V24">
        <f t="shared" si="2"/>
        <v>140.99815559764033</v>
      </c>
      <c r="W24">
        <f t="shared" si="2"/>
        <v>269.91743516764984</v>
      </c>
      <c r="X24">
        <f t="shared" si="2"/>
        <v>82.08440923470981</v>
      </c>
      <c r="Y24">
        <f t="shared" si="2"/>
        <v>0</v>
      </c>
      <c r="Z24">
        <f t="shared" si="2"/>
        <v>0</v>
      </c>
      <c r="AA24">
        <f t="shared" si="2"/>
        <v>0</v>
      </c>
      <c r="AB24">
        <f t="shared" si="2"/>
        <v>0</v>
      </c>
      <c r="AC24">
        <f t="shared" si="2"/>
        <v>0</v>
      </c>
      <c r="AD24">
        <f t="shared" si="3"/>
        <v>493</v>
      </c>
      <c r="AE24">
        <v>388</v>
      </c>
      <c r="AF24">
        <v>32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140.99815559764033</v>
      </c>
      <c r="AM24" s="1">
        <v>269.91743516764984</v>
      </c>
      <c r="AN24" s="1">
        <v>82.08440923470981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</row>
    <row r="25" spans="1:45">
      <c r="A25">
        <v>33</v>
      </c>
      <c r="B25">
        <v>0</v>
      </c>
      <c r="C25">
        <v>0</v>
      </c>
      <c r="D25">
        <v>0</v>
      </c>
      <c r="E25">
        <v>0</v>
      </c>
      <c r="F25">
        <v>0</v>
      </c>
      <c r="G25">
        <v>1935.7685790933333</v>
      </c>
      <c r="H25">
        <v>4023.1483261979993</v>
      </c>
      <c r="I25">
        <v>2205.1510210083329</v>
      </c>
      <c r="J25">
        <v>882.06040840333344</v>
      </c>
      <c r="K25">
        <v>0</v>
      </c>
      <c r="L25">
        <v>0</v>
      </c>
      <c r="M25">
        <v>0</v>
      </c>
      <c r="N25">
        <v>0</v>
      </c>
      <c r="O25">
        <f t="shared" si="1"/>
        <v>9046.1283347029985</v>
      </c>
      <c r="P25">
        <v>559</v>
      </c>
      <c r="Q25">
        <f t="shared" si="2"/>
        <v>0</v>
      </c>
      <c r="R25">
        <f t="shared" si="2"/>
        <v>0</v>
      </c>
      <c r="S25">
        <f t="shared" si="2"/>
        <v>0</v>
      </c>
      <c r="T25">
        <f t="shared" si="2"/>
        <v>0</v>
      </c>
      <c r="U25">
        <f t="shared" si="2"/>
        <v>0</v>
      </c>
      <c r="V25">
        <f t="shared" si="2"/>
        <v>119.61964231283487</v>
      </c>
      <c r="W25">
        <f t="shared" si="2"/>
        <v>248.60800456668721</v>
      </c>
      <c r="X25">
        <f t="shared" si="2"/>
        <v>136.26596651462708</v>
      </c>
      <c r="Y25">
        <f t="shared" si="2"/>
        <v>54.506386605850849</v>
      </c>
      <c r="Z25">
        <f t="shared" si="2"/>
        <v>0</v>
      </c>
      <c r="AA25">
        <f t="shared" si="2"/>
        <v>0</v>
      </c>
      <c r="AB25">
        <f t="shared" si="2"/>
        <v>0</v>
      </c>
      <c r="AC25">
        <f t="shared" si="2"/>
        <v>0</v>
      </c>
      <c r="AD25">
        <f t="shared" si="3"/>
        <v>559</v>
      </c>
      <c r="AE25">
        <v>1215</v>
      </c>
      <c r="AF25">
        <v>33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119.61964231283487</v>
      </c>
      <c r="AM25" s="1">
        <v>248.60800456668721</v>
      </c>
      <c r="AN25" s="1">
        <v>136.26596651462708</v>
      </c>
      <c r="AO25" s="1">
        <v>54.506386605850849</v>
      </c>
      <c r="AP25" s="1">
        <v>0</v>
      </c>
      <c r="AQ25" s="1">
        <v>0</v>
      </c>
      <c r="AR25" s="1">
        <v>0</v>
      </c>
      <c r="AS25" s="1">
        <v>0</v>
      </c>
    </row>
    <row r="26" spans="1:45">
      <c r="A26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1887.508826747473</v>
      </c>
      <c r="H26">
        <v>2440.7044238818185</v>
      </c>
      <c r="I26">
        <v>2993.9000210161639</v>
      </c>
      <c r="J26">
        <v>92.935303368545476</v>
      </c>
      <c r="K26">
        <v>0</v>
      </c>
      <c r="L26">
        <v>0</v>
      </c>
      <c r="M26">
        <v>0</v>
      </c>
      <c r="N26">
        <v>0</v>
      </c>
      <c r="O26">
        <f t="shared" si="1"/>
        <v>7415.0485750140006</v>
      </c>
      <c r="P26">
        <v>545</v>
      </c>
      <c r="Q26">
        <f t="shared" si="2"/>
        <v>0</v>
      </c>
      <c r="R26">
        <f t="shared" si="2"/>
        <v>0</v>
      </c>
      <c r="S26">
        <f t="shared" si="2"/>
        <v>0</v>
      </c>
      <c r="T26">
        <f t="shared" si="2"/>
        <v>0</v>
      </c>
      <c r="U26">
        <f t="shared" si="2"/>
        <v>0</v>
      </c>
      <c r="V26">
        <f t="shared" si="2"/>
        <v>138.73035357363528</v>
      </c>
      <c r="W26">
        <f t="shared" si="2"/>
        <v>179.38977709435699</v>
      </c>
      <c r="X26">
        <f t="shared" si="2"/>
        <v>220.04920061507869</v>
      </c>
      <c r="Y26">
        <f t="shared" si="2"/>
        <v>6.8306687169290257</v>
      </c>
      <c r="Z26">
        <f t="shared" si="2"/>
        <v>0</v>
      </c>
      <c r="AA26">
        <f t="shared" si="2"/>
        <v>0</v>
      </c>
      <c r="AB26">
        <f t="shared" si="2"/>
        <v>0</v>
      </c>
      <c r="AC26">
        <f t="shared" si="2"/>
        <v>0</v>
      </c>
      <c r="AD26">
        <f t="shared" si="3"/>
        <v>545</v>
      </c>
      <c r="AE26">
        <v>1230</v>
      </c>
      <c r="AF26">
        <v>34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138.73035357363528</v>
      </c>
      <c r="AM26" s="1">
        <v>179.38977709435699</v>
      </c>
      <c r="AN26" s="1">
        <v>220.04920061507869</v>
      </c>
      <c r="AO26" s="1">
        <v>6.8306687169290257</v>
      </c>
      <c r="AP26" s="1">
        <v>0</v>
      </c>
      <c r="AQ26" s="1">
        <v>0</v>
      </c>
      <c r="AR26" s="1">
        <v>0</v>
      </c>
      <c r="AS26" s="1">
        <v>0</v>
      </c>
    </row>
    <row r="27" spans="1:45">
      <c r="A27">
        <v>35</v>
      </c>
      <c r="B27">
        <v>0</v>
      </c>
      <c r="C27">
        <v>0</v>
      </c>
      <c r="D27">
        <v>0</v>
      </c>
      <c r="E27">
        <v>0</v>
      </c>
      <c r="F27">
        <v>0</v>
      </c>
      <c r="G27">
        <v>331.7309660197273</v>
      </c>
      <c r="H27">
        <v>2135.3529282869354</v>
      </c>
      <c r="I27">
        <v>837.4224906417403</v>
      </c>
      <c r="J27">
        <v>721.44878490688313</v>
      </c>
      <c r="K27">
        <v>0</v>
      </c>
      <c r="L27">
        <v>28.993426433714284</v>
      </c>
      <c r="M27">
        <v>0</v>
      </c>
      <c r="N27">
        <v>0</v>
      </c>
      <c r="O27">
        <f t="shared" si="1"/>
        <v>4054.9485962890008</v>
      </c>
      <c r="P27">
        <v>563</v>
      </c>
      <c r="Q27">
        <f t="shared" si="2"/>
        <v>0</v>
      </c>
      <c r="R27">
        <f t="shared" si="2"/>
        <v>0</v>
      </c>
      <c r="S27">
        <f t="shared" si="2"/>
        <v>0</v>
      </c>
      <c r="T27">
        <f t="shared" si="2"/>
        <v>0</v>
      </c>
      <c r="U27">
        <f t="shared" si="2"/>
        <v>0</v>
      </c>
      <c r="V27">
        <f t="shared" si="2"/>
        <v>46.058422057440936</v>
      </c>
      <c r="W27">
        <f t="shared" si="2"/>
        <v>296.47815997612764</v>
      </c>
      <c r="X27">
        <f t="shared" si="2"/>
        <v>116.26999727266029</v>
      </c>
      <c r="Y27">
        <f t="shared" si="2"/>
        <v>100.16789516747467</v>
      </c>
      <c r="Z27">
        <f t="shared" si="2"/>
        <v>0</v>
      </c>
      <c r="AA27">
        <f t="shared" si="2"/>
        <v>4.0255255262964029</v>
      </c>
      <c r="AB27">
        <f t="shared" si="2"/>
        <v>0</v>
      </c>
      <c r="AC27">
        <f t="shared" si="2"/>
        <v>0</v>
      </c>
      <c r="AD27">
        <f t="shared" si="3"/>
        <v>563</v>
      </c>
      <c r="AE27">
        <v>952</v>
      </c>
      <c r="AF27">
        <v>35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46.058422057440936</v>
      </c>
      <c r="AM27" s="1">
        <v>296.47815997612764</v>
      </c>
      <c r="AN27" s="1">
        <v>116.26999727266029</v>
      </c>
      <c r="AO27" s="1">
        <v>100.16789516747467</v>
      </c>
      <c r="AP27" s="1">
        <v>0</v>
      </c>
      <c r="AQ27" s="1">
        <v>4.0255255262964029</v>
      </c>
      <c r="AR27" s="1">
        <v>0</v>
      </c>
      <c r="AS27" s="1">
        <v>0</v>
      </c>
    </row>
    <row r="28" spans="1:45">
      <c r="A28">
        <v>36</v>
      </c>
      <c r="B28">
        <v>0</v>
      </c>
      <c r="C28">
        <v>0</v>
      </c>
      <c r="D28">
        <v>0</v>
      </c>
      <c r="E28">
        <v>0</v>
      </c>
      <c r="F28">
        <v>0</v>
      </c>
      <c r="G28">
        <v>50.263325011833331</v>
      </c>
      <c r="H28">
        <v>1181.8181404332668</v>
      </c>
      <c r="I28">
        <v>1502.4043380475</v>
      </c>
      <c r="J28">
        <v>270.32287260240003</v>
      </c>
      <c r="K28">
        <v>0</v>
      </c>
      <c r="L28">
        <v>0</v>
      </c>
      <c r="M28">
        <v>0</v>
      </c>
      <c r="N28">
        <v>0</v>
      </c>
      <c r="O28">
        <f t="shared" si="1"/>
        <v>3004.808676095</v>
      </c>
      <c r="P28">
        <v>470</v>
      </c>
      <c r="Q28">
        <f t="shared" si="2"/>
        <v>0</v>
      </c>
      <c r="R28">
        <f t="shared" si="2"/>
        <v>0</v>
      </c>
      <c r="S28">
        <f t="shared" si="2"/>
        <v>0</v>
      </c>
      <c r="T28">
        <f t="shared" si="2"/>
        <v>0</v>
      </c>
      <c r="U28">
        <f t="shared" si="2"/>
        <v>0</v>
      </c>
      <c r="V28">
        <f t="shared" si="2"/>
        <v>7.8619856710020954</v>
      </c>
      <c r="W28">
        <f t="shared" si="2"/>
        <v>184.85520573159917</v>
      </c>
      <c r="X28">
        <f t="shared" si="2"/>
        <v>235</v>
      </c>
      <c r="Y28">
        <f t="shared" si="2"/>
        <v>42.282808597398748</v>
      </c>
      <c r="Z28">
        <f t="shared" si="2"/>
        <v>0</v>
      </c>
      <c r="AA28">
        <f t="shared" si="2"/>
        <v>0</v>
      </c>
      <c r="AB28">
        <f t="shared" si="2"/>
        <v>0</v>
      </c>
      <c r="AC28">
        <f t="shared" si="2"/>
        <v>0</v>
      </c>
      <c r="AD28">
        <f t="shared" si="3"/>
        <v>470</v>
      </c>
      <c r="AE28">
        <v>461</v>
      </c>
      <c r="AF28">
        <v>36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7.8619856710020954</v>
      </c>
      <c r="AM28" s="1">
        <v>184.85520573159917</v>
      </c>
      <c r="AN28" s="1">
        <v>235</v>
      </c>
      <c r="AO28" s="1">
        <v>42.282808597398748</v>
      </c>
      <c r="AP28" s="1">
        <v>0</v>
      </c>
      <c r="AQ28" s="1">
        <v>0</v>
      </c>
      <c r="AR28" s="1">
        <v>0</v>
      </c>
      <c r="AS28" s="1">
        <v>0</v>
      </c>
    </row>
    <row r="29" spans="1:45">
      <c r="A29">
        <v>37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2702.9282567922305</v>
      </c>
      <c r="J29">
        <v>1692.1623161697694</v>
      </c>
      <c r="K29">
        <v>0</v>
      </c>
      <c r="L29">
        <v>0</v>
      </c>
      <c r="M29">
        <v>0</v>
      </c>
      <c r="N29">
        <v>0</v>
      </c>
      <c r="O29">
        <f t="shared" si="1"/>
        <v>4395.0905729619999</v>
      </c>
      <c r="P29">
        <v>312</v>
      </c>
      <c r="Q29">
        <f t="shared" si="2"/>
        <v>0</v>
      </c>
      <c r="R29">
        <f t="shared" si="2"/>
        <v>0</v>
      </c>
      <c r="S29">
        <f t="shared" si="2"/>
        <v>0</v>
      </c>
      <c r="T29">
        <f t="shared" si="2"/>
        <v>0</v>
      </c>
      <c r="U29">
        <f t="shared" si="2"/>
        <v>0</v>
      </c>
      <c r="V29">
        <f t="shared" si="2"/>
        <v>0</v>
      </c>
      <c r="W29">
        <f t="shared" si="2"/>
        <v>0</v>
      </c>
      <c r="X29">
        <f t="shared" si="2"/>
        <v>191.87627697757284</v>
      </c>
      <c r="Y29">
        <f t="shared" si="2"/>
        <v>120.12372302242719</v>
      </c>
      <c r="Z29">
        <f t="shared" si="2"/>
        <v>0</v>
      </c>
      <c r="AA29">
        <f t="shared" si="2"/>
        <v>0</v>
      </c>
      <c r="AB29">
        <f t="shared" si="2"/>
        <v>0</v>
      </c>
      <c r="AC29">
        <f t="shared" si="2"/>
        <v>0</v>
      </c>
      <c r="AD29">
        <f t="shared" si="3"/>
        <v>312</v>
      </c>
      <c r="AE29">
        <v>827</v>
      </c>
      <c r="AF29">
        <v>37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191.87627697757284</v>
      </c>
      <c r="AO29" s="1">
        <v>120.12372302242719</v>
      </c>
      <c r="AP29" s="1">
        <v>0</v>
      </c>
      <c r="AQ29" s="1">
        <v>0</v>
      </c>
      <c r="AR29" s="1">
        <v>0</v>
      </c>
      <c r="AS29" s="1">
        <v>0</v>
      </c>
    </row>
    <row r="30" spans="1:45">
      <c r="A30">
        <v>38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1319.9637276677856</v>
      </c>
      <c r="I30">
        <v>2281.218991789643</v>
      </c>
      <c r="J30">
        <v>2639.9274553355713</v>
      </c>
      <c r="K30">
        <v>0</v>
      </c>
      <c r="L30">
        <v>0</v>
      </c>
      <c r="M30">
        <v>0</v>
      </c>
      <c r="N30">
        <v>0</v>
      </c>
      <c r="O30">
        <f t="shared" si="1"/>
        <v>6241.1101747930006</v>
      </c>
      <c r="P30">
        <v>208</v>
      </c>
      <c r="Q30">
        <f t="shared" si="2"/>
        <v>0</v>
      </c>
      <c r="R30">
        <f t="shared" si="2"/>
        <v>0</v>
      </c>
      <c r="S30">
        <f t="shared" si="2"/>
        <v>0</v>
      </c>
      <c r="T30">
        <f t="shared" si="2"/>
        <v>0</v>
      </c>
      <c r="U30">
        <f t="shared" si="2"/>
        <v>0</v>
      </c>
      <c r="V30">
        <f t="shared" si="2"/>
        <v>0</v>
      </c>
      <c r="W30">
        <f t="shared" si="2"/>
        <v>43.990964374219764</v>
      </c>
      <c r="X30">
        <f t="shared" si="2"/>
        <v>76.027106877340657</v>
      </c>
      <c r="Y30">
        <f t="shared" si="2"/>
        <v>87.981928748439529</v>
      </c>
      <c r="Z30">
        <f t="shared" si="2"/>
        <v>0</v>
      </c>
      <c r="AA30">
        <f t="shared" si="2"/>
        <v>0</v>
      </c>
      <c r="AB30">
        <f t="shared" si="2"/>
        <v>0</v>
      </c>
      <c r="AC30">
        <f t="shared" si="2"/>
        <v>0</v>
      </c>
      <c r="AD30">
        <f t="shared" si="3"/>
        <v>207.99999999999994</v>
      </c>
      <c r="AE30">
        <v>1596</v>
      </c>
      <c r="AF30">
        <v>38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43.990964374219764</v>
      </c>
      <c r="AN30" s="1">
        <v>76.027106877340657</v>
      </c>
      <c r="AO30" s="1">
        <v>87.981928748439529</v>
      </c>
      <c r="AP30" s="1">
        <v>0</v>
      </c>
      <c r="AQ30" s="1">
        <v>0</v>
      </c>
      <c r="AR30" s="1">
        <v>0</v>
      </c>
      <c r="AS30" s="1">
        <v>0</v>
      </c>
    </row>
    <row r="31" spans="1:45">
      <c r="A31">
        <v>39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1929.9167802544446</v>
      </c>
      <c r="I31">
        <v>2315.9001363053335</v>
      </c>
      <c r="J31">
        <v>2093.7269915144448</v>
      </c>
      <c r="K31">
        <v>771.96671210177783</v>
      </c>
      <c r="L31">
        <v>0</v>
      </c>
      <c r="M31">
        <v>0</v>
      </c>
      <c r="N31">
        <v>0</v>
      </c>
      <c r="O31">
        <f t="shared" si="1"/>
        <v>7111.5106201760009</v>
      </c>
      <c r="P31">
        <v>336</v>
      </c>
      <c r="Q31">
        <f t="shared" si="2"/>
        <v>0</v>
      </c>
      <c r="R31">
        <f t="shared" si="2"/>
        <v>0</v>
      </c>
      <c r="S31">
        <f t="shared" si="2"/>
        <v>0</v>
      </c>
      <c r="T31">
        <f t="shared" si="2"/>
        <v>0</v>
      </c>
      <c r="U31">
        <f t="shared" si="2"/>
        <v>0</v>
      </c>
      <c r="V31">
        <f t="shared" si="2"/>
        <v>0</v>
      </c>
      <c r="W31">
        <f t="shared" si="2"/>
        <v>91.183445093335891</v>
      </c>
      <c r="X31">
        <f t="shared" si="2"/>
        <v>109.42013411200307</v>
      </c>
      <c r="Y31">
        <f t="shared" si="2"/>
        <v>98.923042757326698</v>
      </c>
      <c r="Z31">
        <f t="shared" si="2"/>
        <v>36.473378037334356</v>
      </c>
      <c r="AA31">
        <f t="shared" si="2"/>
        <v>0</v>
      </c>
      <c r="AB31">
        <f t="shared" si="2"/>
        <v>0</v>
      </c>
      <c r="AC31">
        <f t="shared" si="2"/>
        <v>0</v>
      </c>
      <c r="AD31">
        <f t="shared" si="3"/>
        <v>336</v>
      </c>
      <c r="AE31">
        <v>1564</v>
      </c>
      <c r="AF31">
        <v>39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91.183445093335891</v>
      </c>
      <c r="AN31" s="1">
        <v>109.42013411200307</v>
      </c>
      <c r="AO31" s="1">
        <v>98.923042757326698</v>
      </c>
      <c r="AP31" s="1">
        <v>36.473378037334356</v>
      </c>
      <c r="AQ31" s="1">
        <v>0</v>
      </c>
      <c r="AR31" s="1">
        <v>0</v>
      </c>
      <c r="AS31" s="1">
        <v>0</v>
      </c>
    </row>
    <row r="32" spans="1:45">
      <c r="A32">
        <v>40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1437.3350714117501</v>
      </c>
      <c r="I32">
        <v>2120.4006273024502</v>
      </c>
      <c r="J32">
        <v>1149.8680571293999</v>
      </c>
      <c r="K32">
        <v>862.40104284704989</v>
      </c>
      <c r="L32">
        <v>287.46701428234996</v>
      </c>
      <c r="M32">
        <v>0</v>
      </c>
      <c r="N32">
        <v>0</v>
      </c>
      <c r="O32">
        <f t="shared" si="1"/>
        <v>5857.4718129729999</v>
      </c>
      <c r="P32">
        <v>420</v>
      </c>
      <c r="Q32">
        <f t="shared" si="2"/>
        <v>0</v>
      </c>
      <c r="R32">
        <f t="shared" si="2"/>
        <v>0</v>
      </c>
      <c r="S32">
        <f t="shared" si="2"/>
        <v>0</v>
      </c>
      <c r="T32">
        <f t="shared" si="2"/>
        <v>0</v>
      </c>
      <c r="U32">
        <f t="shared" si="2"/>
        <v>0</v>
      </c>
      <c r="V32">
        <f t="shared" si="2"/>
        <v>0</v>
      </c>
      <c r="W32">
        <f t="shared" si="2"/>
        <v>103.0616534348345</v>
      </c>
      <c r="X32">
        <f t="shared" si="2"/>
        <v>152.03970106943035</v>
      </c>
      <c r="Y32">
        <f t="shared" si="2"/>
        <v>82.449322747867583</v>
      </c>
      <c r="Z32">
        <f t="shared" si="2"/>
        <v>61.836992060900691</v>
      </c>
      <c r="AA32">
        <f t="shared" si="2"/>
        <v>20.612330686966896</v>
      </c>
      <c r="AB32">
        <f t="shared" si="2"/>
        <v>0</v>
      </c>
      <c r="AC32">
        <f t="shared" si="2"/>
        <v>0</v>
      </c>
      <c r="AD32">
        <f t="shared" si="3"/>
        <v>420.00000000000006</v>
      </c>
      <c r="AE32">
        <v>2170</v>
      </c>
      <c r="AF32">
        <v>40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103.0616534348345</v>
      </c>
      <c r="AN32" s="1">
        <v>152.03970106943035</v>
      </c>
      <c r="AO32" s="1">
        <v>82.449322747867583</v>
      </c>
      <c r="AP32" s="1">
        <v>61.836992060900691</v>
      </c>
      <c r="AQ32" s="1">
        <v>20.612330686966896</v>
      </c>
      <c r="AR32" s="1">
        <v>0</v>
      </c>
      <c r="AS32" s="1">
        <v>0</v>
      </c>
    </row>
    <row r="33" spans="1:45">
      <c r="A33">
        <v>41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617.30191814600005</v>
      </c>
      <c r="J33">
        <v>2584.8447876980003</v>
      </c>
      <c r="K33">
        <v>1234.6038362920001</v>
      </c>
      <c r="L33">
        <v>617.30191814600005</v>
      </c>
      <c r="M33">
        <v>308.65095907300002</v>
      </c>
      <c r="N33">
        <v>0</v>
      </c>
      <c r="O33">
        <f t="shared" si="1"/>
        <v>5362.7034193550007</v>
      </c>
      <c r="P33">
        <v>509</v>
      </c>
      <c r="Q33">
        <f t="shared" si="2"/>
        <v>0</v>
      </c>
      <c r="R33">
        <f t="shared" si="2"/>
        <v>0</v>
      </c>
      <c r="S33">
        <f t="shared" si="2"/>
        <v>0</v>
      </c>
      <c r="T33">
        <f t="shared" si="2"/>
        <v>0</v>
      </c>
      <c r="U33">
        <f t="shared" si="2"/>
        <v>0</v>
      </c>
      <c r="V33">
        <f t="shared" si="2"/>
        <v>0</v>
      </c>
      <c r="W33">
        <f t="shared" si="2"/>
        <v>0</v>
      </c>
      <c r="X33">
        <f t="shared" si="2"/>
        <v>58.591097020633903</v>
      </c>
      <c r="Y33">
        <f t="shared" si="2"/>
        <v>245.34006340714743</v>
      </c>
      <c r="Z33">
        <f t="shared" si="2"/>
        <v>117.18219404126781</v>
      </c>
      <c r="AA33">
        <f t="shared" si="2"/>
        <v>58.591097020633903</v>
      </c>
      <c r="AB33">
        <f t="shared" si="2"/>
        <v>29.295548510316952</v>
      </c>
      <c r="AC33">
        <f t="shared" si="2"/>
        <v>0</v>
      </c>
      <c r="AD33">
        <f t="shared" si="3"/>
        <v>509</v>
      </c>
      <c r="AE33">
        <v>1575</v>
      </c>
      <c r="AF33">
        <v>41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58.591097020633903</v>
      </c>
      <c r="AO33" s="1">
        <v>245.34006340714743</v>
      </c>
      <c r="AP33" s="1">
        <v>117.18219404126781</v>
      </c>
      <c r="AQ33" s="1">
        <v>58.591097020633903</v>
      </c>
      <c r="AR33" s="1">
        <v>29.295548510316952</v>
      </c>
      <c r="AS33" s="1">
        <v>0</v>
      </c>
    </row>
    <row r="34" spans="1:45">
      <c r="A34">
        <v>42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626.7341648401665</v>
      </c>
      <c r="J34">
        <v>1744.404701812417</v>
      </c>
      <c r="K34">
        <v>1253.468329680333</v>
      </c>
      <c r="L34">
        <v>313.36708242008325</v>
      </c>
      <c r="M34">
        <v>0</v>
      </c>
      <c r="N34">
        <v>0</v>
      </c>
      <c r="O34">
        <f t="shared" si="1"/>
        <v>3937.9742787529999</v>
      </c>
      <c r="P34">
        <v>464</v>
      </c>
      <c r="Q34">
        <f t="shared" si="2"/>
        <v>0</v>
      </c>
      <c r="R34">
        <f t="shared" si="2"/>
        <v>0</v>
      </c>
      <c r="S34">
        <f t="shared" si="2"/>
        <v>0</v>
      </c>
      <c r="T34">
        <f t="shared" si="2"/>
        <v>0</v>
      </c>
      <c r="U34">
        <f t="shared" si="2"/>
        <v>0</v>
      </c>
      <c r="V34">
        <f t="shared" si="2"/>
        <v>0</v>
      </c>
      <c r="W34">
        <f t="shared" si="2"/>
        <v>0</v>
      </c>
      <c r="X34">
        <f t="shared" si="2"/>
        <v>73.846254927272795</v>
      </c>
      <c r="Y34">
        <f t="shared" si="2"/>
        <v>205.53810775454519</v>
      </c>
      <c r="Z34">
        <f t="shared" si="2"/>
        <v>147.69250985454559</v>
      </c>
      <c r="AA34">
        <f t="shared" si="2"/>
        <v>36.923127463636398</v>
      </c>
      <c r="AB34">
        <f t="shared" si="2"/>
        <v>0</v>
      </c>
      <c r="AC34">
        <f t="shared" si="2"/>
        <v>0</v>
      </c>
      <c r="AD34">
        <f t="shared" si="3"/>
        <v>463.99999999999994</v>
      </c>
      <c r="AE34">
        <v>1101</v>
      </c>
      <c r="AF34">
        <v>42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73.846254927272795</v>
      </c>
      <c r="AO34" s="1">
        <v>205.53810775454519</v>
      </c>
      <c r="AP34" s="1">
        <v>147.69250985454559</v>
      </c>
      <c r="AQ34" s="1">
        <v>36.923127463636398</v>
      </c>
      <c r="AR34" s="1">
        <v>0</v>
      </c>
      <c r="AS34" s="1">
        <v>0</v>
      </c>
    </row>
    <row r="35" spans="1:45">
      <c r="A35">
        <v>43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463.29471863222216</v>
      </c>
      <c r="J35">
        <v>1022.4022641614445</v>
      </c>
      <c r="K35">
        <v>231.64735931611108</v>
      </c>
      <c r="L35">
        <v>231.64735931611108</v>
      </c>
      <c r="M35">
        <v>0</v>
      </c>
      <c r="N35">
        <v>231.64735931611108</v>
      </c>
      <c r="O35">
        <f t="shared" si="1"/>
        <v>2180.6390607419999</v>
      </c>
      <c r="P35">
        <v>327</v>
      </c>
      <c r="Q35">
        <f t="shared" si="2"/>
        <v>0</v>
      </c>
      <c r="R35">
        <f t="shared" si="2"/>
        <v>0</v>
      </c>
      <c r="S35">
        <f t="shared" si="2"/>
        <v>0</v>
      </c>
      <c r="T35">
        <f t="shared" si="2"/>
        <v>0</v>
      </c>
      <c r="U35">
        <f t="shared" si="2"/>
        <v>0</v>
      </c>
      <c r="V35">
        <f t="shared" si="2"/>
        <v>0</v>
      </c>
      <c r="W35">
        <f t="shared" si="2"/>
        <v>0</v>
      </c>
      <c r="X35">
        <f t="shared" si="2"/>
        <v>69.473841737562509</v>
      </c>
      <c r="Y35">
        <f t="shared" si="2"/>
        <v>153.31539565609376</v>
      </c>
      <c r="Z35">
        <f t="shared" si="2"/>
        <v>34.736920868781255</v>
      </c>
      <c r="AA35">
        <f t="shared" si="2"/>
        <v>34.736920868781255</v>
      </c>
      <c r="AB35">
        <f t="shared" si="2"/>
        <v>0</v>
      </c>
      <c r="AC35">
        <f t="shared" si="2"/>
        <v>34.736920868781255</v>
      </c>
      <c r="AD35">
        <f t="shared" si="3"/>
        <v>327</v>
      </c>
      <c r="AE35">
        <v>1131</v>
      </c>
      <c r="AF35">
        <v>43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69.473841737562509</v>
      </c>
      <c r="AO35" s="1">
        <v>153.31539565609376</v>
      </c>
      <c r="AP35" s="1">
        <v>34.736920868781255</v>
      </c>
      <c r="AQ35" s="1">
        <v>34.736920868781255</v>
      </c>
      <c r="AR35" s="1">
        <v>0</v>
      </c>
      <c r="AS35" s="1">
        <v>34.736920868781255</v>
      </c>
    </row>
    <row r="36" spans="1:45">
      <c r="A36">
        <v>44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670.0517483638572</v>
      </c>
      <c r="K36">
        <v>221.60845013528572</v>
      </c>
      <c r="L36">
        <v>221.60845013528572</v>
      </c>
      <c r="M36">
        <v>221.60845013528572</v>
      </c>
      <c r="N36">
        <v>221.60845013528572</v>
      </c>
      <c r="O36">
        <f t="shared" si="1"/>
        <v>1556.4855489050001</v>
      </c>
      <c r="P36">
        <v>196</v>
      </c>
      <c r="Q36">
        <f t="shared" si="2"/>
        <v>0</v>
      </c>
      <c r="R36">
        <f t="shared" si="2"/>
        <v>0</v>
      </c>
      <c r="S36">
        <f t="shared" si="2"/>
        <v>0</v>
      </c>
      <c r="T36">
        <f t="shared" si="2"/>
        <v>0</v>
      </c>
      <c r="U36">
        <f t="shared" si="2"/>
        <v>0</v>
      </c>
      <c r="V36">
        <f t="shared" si="2"/>
        <v>0</v>
      </c>
      <c r="W36">
        <f t="shared" ref="W36:AC52" si="4">$P36/$O36*H36</f>
        <v>0</v>
      </c>
      <c r="X36">
        <f t="shared" si="4"/>
        <v>0</v>
      </c>
      <c r="Y36">
        <f t="shared" si="4"/>
        <v>84.376075814971628</v>
      </c>
      <c r="Z36">
        <f t="shared" si="4"/>
        <v>27.905981046257093</v>
      </c>
      <c r="AA36">
        <f t="shared" si="4"/>
        <v>27.905981046257093</v>
      </c>
      <c r="AB36">
        <f t="shared" si="4"/>
        <v>27.905981046257093</v>
      </c>
      <c r="AC36">
        <f t="shared" si="4"/>
        <v>27.905981046257093</v>
      </c>
      <c r="AD36">
        <f t="shared" si="3"/>
        <v>196</v>
      </c>
      <c r="AE36">
        <v>874</v>
      </c>
      <c r="AF36">
        <v>44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84.376075814971628</v>
      </c>
      <c r="AP36" s="1">
        <v>27.905981046257093</v>
      </c>
      <c r="AQ36" s="1">
        <v>27.905981046257093</v>
      </c>
      <c r="AR36" s="1">
        <v>27.905981046257093</v>
      </c>
      <c r="AS36" s="1">
        <v>27.905981046257093</v>
      </c>
    </row>
    <row r="37" spans="1:45">
      <c r="A37">
        <v>45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231.01415387783331</v>
      </c>
      <c r="K37">
        <v>0</v>
      </c>
      <c r="L37">
        <v>592.81280578333326</v>
      </c>
      <c r="M37">
        <v>148.20320144583332</v>
      </c>
      <c r="N37">
        <v>0</v>
      </c>
      <c r="O37">
        <f t="shared" si="1"/>
        <v>972.03016110699991</v>
      </c>
      <c r="P37">
        <v>131</v>
      </c>
      <c r="Q37">
        <f t="shared" ref="Q37:V52" si="5">$P37/$O37*B37</f>
        <v>0</v>
      </c>
      <c r="R37">
        <f t="shared" si="5"/>
        <v>0</v>
      </c>
      <c r="S37">
        <f t="shared" si="5"/>
        <v>0</v>
      </c>
      <c r="T37">
        <f t="shared" si="5"/>
        <v>0</v>
      </c>
      <c r="U37">
        <f t="shared" si="5"/>
        <v>0</v>
      </c>
      <c r="V37">
        <f t="shared" si="5"/>
        <v>0</v>
      </c>
      <c r="W37">
        <f t="shared" si="4"/>
        <v>0</v>
      </c>
      <c r="X37">
        <f t="shared" si="4"/>
        <v>0</v>
      </c>
      <c r="Y37">
        <f t="shared" si="4"/>
        <v>31.133657543641657</v>
      </c>
      <c r="Z37">
        <f t="shared" si="4"/>
        <v>0</v>
      </c>
      <c r="AA37">
        <f t="shared" si="4"/>
        <v>79.893073965086671</v>
      </c>
      <c r="AB37">
        <f t="shared" si="4"/>
        <v>19.973268491271668</v>
      </c>
      <c r="AC37">
        <f t="shared" si="4"/>
        <v>0</v>
      </c>
      <c r="AD37">
        <f t="shared" si="3"/>
        <v>131</v>
      </c>
      <c r="AE37">
        <v>727</v>
      </c>
      <c r="AF37">
        <v>45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31.133657543641657</v>
      </c>
      <c r="AP37" s="1">
        <v>0</v>
      </c>
      <c r="AQ37" s="1">
        <v>79.893073965086671</v>
      </c>
      <c r="AR37" s="1">
        <v>19.973268491271668</v>
      </c>
      <c r="AS37" s="1">
        <v>0</v>
      </c>
    </row>
    <row r="38" spans="1:45">
      <c r="A38">
        <v>46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800.76449257700006</v>
      </c>
      <c r="O38">
        <f t="shared" si="1"/>
        <v>800.76449257700006</v>
      </c>
      <c r="P38">
        <v>97</v>
      </c>
      <c r="Q38">
        <f t="shared" si="5"/>
        <v>0</v>
      </c>
      <c r="R38">
        <f t="shared" si="5"/>
        <v>0</v>
      </c>
      <c r="S38">
        <f t="shared" si="5"/>
        <v>0</v>
      </c>
      <c r="T38">
        <f t="shared" si="5"/>
        <v>0</v>
      </c>
      <c r="U38">
        <f t="shared" si="5"/>
        <v>0</v>
      </c>
      <c r="V38">
        <f t="shared" si="5"/>
        <v>0</v>
      </c>
      <c r="W38">
        <f t="shared" si="4"/>
        <v>0</v>
      </c>
      <c r="X38">
        <f t="shared" si="4"/>
        <v>0</v>
      </c>
      <c r="Y38">
        <f t="shared" si="4"/>
        <v>0</v>
      </c>
      <c r="Z38">
        <f t="shared" si="4"/>
        <v>0</v>
      </c>
      <c r="AA38">
        <f t="shared" si="4"/>
        <v>0</v>
      </c>
      <c r="AB38">
        <f t="shared" si="4"/>
        <v>0</v>
      </c>
      <c r="AC38">
        <f t="shared" si="4"/>
        <v>97</v>
      </c>
      <c r="AD38">
        <f t="shared" si="3"/>
        <v>97</v>
      </c>
      <c r="AE38">
        <v>630</v>
      </c>
      <c r="AF38">
        <v>46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97</v>
      </c>
    </row>
    <row r="39" spans="1:45">
      <c r="A39">
        <v>47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511.90486999199999</v>
      </c>
      <c r="N39">
        <v>0</v>
      </c>
      <c r="O39">
        <f t="shared" si="1"/>
        <v>511.90486999199999</v>
      </c>
      <c r="P39">
        <v>63</v>
      </c>
      <c r="Q39">
        <f t="shared" si="5"/>
        <v>0</v>
      </c>
      <c r="R39">
        <f t="shared" si="5"/>
        <v>0</v>
      </c>
      <c r="S39">
        <f t="shared" si="5"/>
        <v>0</v>
      </c>
      <c r="T39">
        <f t="shared" si="5"/>
        <v>0</v>
      </c>
      <c r="U39">
        <f t="shared" si="5"/>
        <v>0</v>
      </c>
      <c r="V39">
        <f t="shared" si="5"/>
        <v>0</v>
      </c>
      <c r="W39">
        <f t="shared" si="4"/>
        <v>0</v>
      </c>
      <c r="X39">
        <f t="shared" si="4"/>
        <v>0</v>
      </c>
      <c r="Y39">
        <f t="shared" si="4"/>
        <v>0</v>
      </c>
      <c r="Z39">
        <f t="shared" si="4"/>
        <v>0</v>
      </c>
      <c r="AA39">
        <f t="shared" si="4"/>
        <v>0</v>
      </c>
      <c r="AB39">
        <f t="shared" si="4"/>
        <v>63</v>
      </c>
      <c r="AC39">
        <f t="shared" si="4"/>
        <v>0</v>
      </c>
      <c r="AD39">
        <f t="shared" si="3"/>
        <v>63</v>
      </c>
      <c r="AE39">
        <v>565</v>
      </c>
      <c r="AF39">
        <v>47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63</v>
      </c>
      <c r="AS39" s="1">
        <v>0</v>
      </c>
    </row>
    <row r="40" spans="1:45">
      <c r="A40">
        <v>48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136.78558736266666</v>
      </c>
      <c r="L40">
        <v>0</v>
      </c>
      <c r="M40">
        <v>136.78558736266666</v>
      </c>
      <c r="N40">
        <v>136.78558736266666</v>
      </c>
      <c r="O40">
        <f t="shared" si="1"/>
        <v>410.35676208799998</v>
      </c>
      <c r="P40">
        <v>48</v>
      </c>
      <c r="Q40">
        <f t="shared" si="5"/>
        <v>0</v>
      </c>
      <c r="R40">
        <f t="shared" si="5"/>
        <v>0</v>
      </c>
      <c r="S40">
        <f t="shared" si="5"/>
        <v>0</v>
      </c>
      <c r="T40">
        <f t="shared" si="5"/>
        <v>0</v>
      </c>
      <c r="U40">
        <f t="shared" si="5"/>
        <v>0</v>
      </c>
      <c r="V40">
        <f t="shared" si="5"/>
        <v>0</v>
      </c>
      <c r="W40">
        <f t="shared" si="4"/>
        <v>0</v>
      </c>
      <c r="X40">
        <f t="shared" si="4"/>
        <v>0</v>
      </c>
      <c r="Y40">
        <f t="shared" si="4"/>
        <v>0</v>
      </c>
      <c r="Z40">
        <f t="shared" si="4"/>
        <v>16</v>
      </c>
      <c r="AA40">
        <f t="shared" si="4"/>
        <v>0</v>
      </c>
      <c r="AB40">
        <f t="shared" si="4"/>
        <v>16</v>
      </c>
      <c r="AC40">
        <f t="shared" si="4"/>
        <v>16</v>
      </c>
      <c r="AD40">
        <f t="shared" si="3"/>
        <v>48</v>
      </c>
      <c r="AE40">
        <v>362</v>
      </c>
      <c r="AF40">
        <v>48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16</v>
      </c>
      <c r="AQ40" s="1">
        <v>0</v>
      </c>
      <c r="AR40" s="1">
        <v>16</v>
      </c>
      <c r="AS40" s="1">
        <v>16</v>
      </c>
    </row>
    <row r="41" spans="1:45">
      <c r="A41">
        <v>49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113.008177484</v>
      </c>
      <c r="O41">
        <f t="shared" si="1"/>
        <v>113.008177484</v>
      </c>
      <c r="P41">
        <v>24</v>
      </c>
      <c r="Q41">
        <f t="shared" si="5"/>
        <v>0</v>
      </c>
      <c r="R41">
        <f t="shared" si="5"/>
        <v>0</v>
      </c>
      <c r="S41">
        <f t="shared" si="5"/>
        <v>0</v>
      </c>
      <c r="T41">
        <f t="shared" si="5"/>
        <v>0</v>
      </c>
      <c r="U41">
        <f t="shared" si="5"/>
        <v>0</v>
      </c>
      <c r="V41">
        <f t="shared" si="5"/>
        <v>0</v>
      </c>
      <c r="W41">
        <f t="shared" si="4"/>
        <v>0</v>
      </c>
      <c r="X41">
        <f t="shared" si="4"/>
        <v>0</v>
      </c>
      <c r="Y41">
        <f t="shared" si="4"/>
        <v>0</v>
      </c>
      <c r="Z41">
        <f t="shared" si="4"/>
        <v>0</v>
      </c>
      <c r="AA41">
        <f t="shared" si="4"/>
        <v>0</v>
      </c>
      <c r="AB41">
        <f t="shared" si="4"/>
        <v>0</v>
      </c>
      <c r="AC41">
        <f t="shared" si="4"/>
        <v>24</v>
      </c>
      <c r="AD41">
        <f t="shared" si="3"/>
        <v>24</v>
      </c>
      <c r="AE41">
        <v>119</v>
      </c>
      <c r="AF41">
        <v>49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24</v>
      </c>
    </row>
    <row r="42" spans="1:45">
      <c r="A42">
        <v>50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105.65298125</v>
      </c>
      <c r="O42">
        <f t="shared" si="1"/>
        <v>105.65298125</v>
      </c>
      <c r="P42">
        <v>3</v>
      </c>
      <c r="Q42">
        <f t="shared" si="5"/>
        <v>0</v>
      </c>
      <c r="R42">
        <f t="shared" si="5"/>
        <v>0</v>
      </c>
      <c r="S42">
        <f t="shared" si="5"/>
        <v>0</v>
      </c>
      <c r="T42">
        <f t="shared" si="5"/>
        <v>0</v>
      </c>
      <c r="U42">
        <f t="shared" si="5"/>
        <v>0</v>
      </c>
      <c r="V42">
        <f t="shared" si="5"/>
        <v>0</v>
      </c>
      <c r="W42">
        <f t="shared" si="4"/>
        <v>0</v>
      </c>
      <c r="X42">
        <f t="shared" si="4"/>
        <v>0</v>
      </c>
      <c r="Y42">
        <f t="shared" si="4"/>
        <v>0</v>
      </c>
      <c r="Z42">
        <f t="shared" si="4"/>
        <v>0</v>
      </c>
      <c r="AA42">
        <f t="shared" si="4"/>
        <v>0</v>
      </c>
      <c r="AB42">
        <f t="shared" si="4"/>
        <v>0</v>
      </c>
      <c r="AC42">
        <f t="shared" si="4"/>
        <v>3</v>
      </c>
      <c r="AD42">
        <f t="shared" si="3"/>
        <v>3</v>
      </c>
      <c r="AE42">
        <v>93</v>
      </c>
      <c r="AF42">
        <v>50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3</v>
      </c>
    </row>
    <row r="43" spans="1:45">
      <c r="A43">
        <v>51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81.262735503999991</v>
      </c>
      <c r="O43">
        <f t="shared" si="1"/>
        <v>81.262735503999991</v>
      </c>
      <c r="P43">
        <v>5</v>
      </c>
      <c r="Q43">
        <f t="shared" si="5"/>
        <v>0</v>
      </c>
      <c r="R43">
        <f t="shared" si="5"/>
        <v>0</v>
      </c>
      <c r="S43">
        <f t="shared" si="5"/>
        <v>0</v>
      </c>
      <c r="T43">
        <f t="shared" si="5"/>
        <v>0</v>
      </c>
      <c r="U43">
        <f t="shared" si="5"/>
        <v>0</v>
      </c>
      <c r="V43">
        <f t="shared" si="5"/>
        <v>0</v>
      </c>
      <c r="W43">
        <f t="shared" si="4"/>
        <v>0</v>
      </c>
      <c r="X43">
        <f t="shared" si="4"/>
        <v>0</v>
      </c>
      <c r="Y43">
        <f t="shared" si="4"/>
        <v>0</v>
      </c>
      <c r="Z43">
        <f t="shared" si="4"/>
        <v>0</v>
      </c>
      <c r="AA43">
        <f t="shared" si="4"/>
        <v>0</v>
      </c>
      <c r="AB43">
        <f t="shared" si="4"/>
        <v>0</v>
      </c>
      <c r="AC43">
        <f t="shared" si="4"/>
        <v>5</v>
      </c>
      <c r="AD43">
        <f t="shared" si="3"/>
        <v>5</v>
      </c>
      <c r="AE43">
        <v>42</v>
      </c>
      <c r="AF43">
        <v>51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5</v>
      </c>
    </row>
    <row r="44" spans="1:45">
      <c r="A44">
        <v>52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26.475908460000003</v>
      </c>
      <c r="O44">
        <f t="shared" si="1"/>
        <v>26.475908460000003</v>
      </c>
      <c r="P44">
        <v>12</v>
      </c>
      <c r="Q44">
        <f t="shared" si="5"/>
        <v>0</v>
      </c>
      <c r="R44">
        <f t="shared" si="5"/>
        <v>0</v>
      </c>
      <c r="S44">
        <f t="shared" si="5"/>
        <v>0</v>
      </c>
      <c r="T44">
        <f t="shared" si="5"/>
        <v>0</v>
      </c>
      <c r="U44">
        <f t="shared" si="5"/>
        <v>0</v>
      </c>
      <c r="V44">
        <f t="shared" si="5"/>
        <v>0</v>
      </c>
      <c r="W44">
        <f t="shared" si="4"/>
        <v>0</v>
      </c>
      <c r="X44">
        <f t="shared" si="4"/>
        <v>0</v>
      </c>
      <c r="Y44">
        <f t="shared" si="4"/>
        <v>0</v>
      </c>
      <c r="Z44">
        <f t="shared" si="4"/>
        <v>0</v>
      </c>
      <c r="AA44">
        <f t="shared" si="4"/>
        <v>0</v>
      </c>
      <c r="AB44">
        <f t="shared" si="4"/>
        <v>0</v>
      </c>
      <c r="AC44">
        <f t="shared" si="4"/>
        <v>12</v>
      </c>
      <c r="AD44">
        <f t="shared" si="3"/>
        <v>12</v>
      </c>
      <c r="AE44">
        <v>57</v>
      </c>
      <c r="AF44">
        <v>52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12</v>
      </c>
    </row>
    <row r="45" spans="1:45">
      <c r="A45">
        <v>53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12.300630126</v>
      </c>
      <c r="O45">
        <f t="shared" si="1"/>
        <v>12.300630126</v>
      </c>
      <c r="P45">
        <v>2</v>
      </c>
      <c r="Q45">
        <f t="shared" si="5"/>
        <v>0</v>
      </c>
      <c r="R45">
        <f t="shared" si="5"/>
        <v>0</v>
      </c>
      <c r="S45">
        <f t="shared" si="5"/>
        <v>0</v>
      </c>
      <c r="T45">
        <f t="shared" si="5"/>
        <v>0</v>
      </c>
      <c r="U45">
        <f t="shared" si="5"/>
        <v>0</v>
      </c>
      <c r="V45">
        <f t="shared" si="5"/>
        <v>0</v>
      </c>
      <c r="W45">
        <f t="shared" si="4"/>
        <v>0</v>
      </c>
      <c r="X45">
        <f t="shared" si="4"/>
        <v>0</v>
      </c>
      <c r="Y45">
        <f t="shared" si="4"/>
        <v>0</v>
      </c>
      <c r="Z45">
        <f t="shared" si="4"/>
        <v>0</v>
      </c>
      <c r="AA45">
        <f t="shared" si="4"/>
        <v>0</v>
      </c>
      <c r="AB45">
        <f t="shared" si="4"/>
        <v>0</v>
      </c>
      <c r="AC45">
        <f t="shared" si="4"/>
        <v>2</v>
      </c>
      <c r="AD45">
        <f t="shared" si="3"/>
        <v>2</v>
      </c>
      <c r="AE45">
        <v>44</v>
      </c>
      <c r="AF45">
        <v>53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2</v>
      </c>
    </row>
    <row r="46" spans="1:45">
      <c r="A46">
        <v>54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8.1158976989999996</v>
      </c>
      <c r="O46">
        <f t="shared" si="1"/>
        <v>8.1158976989999996</v>
      </c>
      <c r="P46">
        <v>1</v>
      </c>
      <c r="Q46">
        <f t="shared" si="5"/>
        <v>0</v>
      </c>
      <c r="R46">
        <f t="shared" si="5"/>
        <v>0</v>
      </c>
      <c r="S46">
        <f t="shared" si="5"/>
        <v>0</v>
      </c>
      <c r="T46">
        <f t="shared" si="5"/>
        <v>0</v>
      </c>
      <c r="U46">
        <f t="shared" si="5"/>
        <v>0</v>
      </c>
      <c r="V46">
        <f t="shared" si="5"/>
        <v>0</v>
      </c>
      <c r="W46">
        <f t="shared" si="4"/>
        <v>0</v>
      </c>
      <c r="X46">
        <f t="shared" si="4"/>
        <v>0</v>
      </c>
      <c r="Y46">
        <f t="shared" si="4"/>
        <v>0</v>
      </c>
      <c r="Z46">
        <f t="shared" si="4"/>
        <v>0</v>
      </c>
      <c r="AA46">
        <f t="shared" si="4"/>
        <v>0</v>
      </c>
      <c r="AB46">
        <f t="shared" si="4"/>
        <v>0</v>
      </c>
      <c r="AC46">
        <f t="shared" si="4"/>
        <v>1</v>
      </c>
      <c r="AD46">
        <f t="shared" si="3"/>
        <v>1</v>
      </c>
      <c r="AE46">
        <v>0</v>
      </c>
      <c r="AF46">
        <v>54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1</v>
      </c>
    </row>
    <row r="47" spans="1:45">
      <c r="A47">
        <v>55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10.387509660000001</v>
      </c>
      <c r="O47">
        <f t="shared" si="1"/>
        <v>10.387509660000001</v>
      </c>
      <c r="P47">
        <v>0</v>
      </c>
      <c r="Q47">
        <f t="shared" si="5"/>
        <v>0</v>
      </c>
      <c r="R47">
        <f t="shared" si="5"/>
        <v>0</v>
      </c>
      <c r="S47">
        <f t="shared" si="5"/>
        <v>0</v>
      </c>
      <c r="T47">
        <f t="shared" si="5"/>
        <v>0</v>
      </c>
      <c r="U47">
        <f t="shared" si="5"/>
        <v>0</v>
      </c>
      <c r="V47">
        <f t="shared" si="5"/>
        <v>0</v>
      </c>
      <c r="W47">
        <f t="shared" si="4"/>
        <v>0</v>
      </c>
      <c r="X47">
        <f t="shared" si="4"/>
        <v>0</v>
      </c>
      <c r="Y47">
        <f t="shared" si="4"/>
        <v>0</v>
      </c>
      <c r="Z47">
        <f t="shared" si="4"/>
        <v>0</v>
      </c>
      <c r="AA47">
        <f t="shared" si="4"/>
        <v>0</v>
      </c>
      <c r="AB47">
        <f t="shared" si="4"/>
        <v>0</v>
      </c>
      <c r="AC47">
        <f t="shared" si="4"/>
        <v>0</v>
      </c>
      <c r="AD47">
        <f t="shared" si="3"/>
        <v>0</v>
      </c>
      <c r="AE47">
        <v>0</v>
      </c>
      <c r="AF47">
        <v>55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</row>
    <row r="48" spans="1:45">
      <c r="A48">
        <v>56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0.46924496500000001</v>
      </c>
      <c r="O48">
        <f t="shared" si="1"/>
        <v>0.46924496500000001</v>
      </c>
      <c r="P48">
        <v>0</v>
      </c>
      <c r="Q48">
        <f t="shared" si="5"/>
        <v>0</v>
      </c>
      <c r="R48">
        <f t="shared" si="5"/>
        <v>0</v>
      </c>
      <c r="S48">
        <f t="shared" si="5"/>
        <v>0</v>
      </c>
      <c r="T48">
        <f t="shared" si="5"/>
        <v>0</v>
      </c>
      <c r="U48">
        <f t="shared" si="5"/>
        <v>0</v>
      </c>
      <c r="V48">
        <f t="shared" si="5"/>
        <v>0</v>
      </c>
      <c r="W48">
        <f t="shared" si="4"/>
        <v>0</v>
      </c>
      <c r="X48">
        <f t="shared" si="4"/>
        <v>0</v>
      </c>
      <c r="Y48">
        <f t="shared" si="4"/>
        <v>0</v>
      </c>
      <c r="Z48">
        <f t="shared" si="4"/>
        <v>0</v>
      </c>
      <c r="AA48">
        <f t="shared" si="4"/>
        <v>0</v>
      </c>
      <c r="AB48">
        <f t="shared" si="4"/>
        <v>0</v>
      </c>
      <c r="AC48">
        <f t="shared" si="4"/>
        <v>0</v>
      </c>
      <c r="AD48">
        <f t="shared" si="3"/>
        <v>0</v>
      </c>
      <c r="AF48">
        <v>56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</row>
    <row r="49" spans="1:45">
      <c r="A49">
        <v>57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f t="shared" si="1"/>
        <v>0</v>
      </c>
      <c r="Q49" t="e">
        <f t="shared" si="5"/>
        <v>#DIV/0!</v>
      </c>
      <c r="R49" t="e">
        <f t="shared" si="5"/>
        <v>#DIV/0!</v>
      </c>
      <c r="S49" t="e">
        <f t="shared" si="5"/>
        <v>#DIV/0!</v>
      </c>
      <c r="T49" t="e">
        <f t="shared" si="5"/>
        <v>#DIV/0!</v>
      </c>
      <c r="U49" t="e">
        <f t="shared" si="5"/>
        <v>#DIV/0!</v>
      </c>
      <c r="V49" t="e">
        <f t="shared" si="5"/>
        <v>#DIV/0!</v>
      </c>
      <c r="W49" t="e">
        <f t="shared" si="4"/>
        <v>#DIV/0!</v>
      </c>
      <c r="X49" t="e">
        <f t="shared" si="4"/>
        <v>#DIV/0!</v>
      </c>
      <c r="Y49" t="e">
        <f t="shared" si="4"/>
        <v>#DIV/0!</v>
      </c>
      <c r="Z49" t="e">
        <f t="shared" si="4"/>
        <v>#DIV/0!</v>
      </c>
      <c r="AA49" t="e">
        <f t="shared" si="4"/>
        <v>#DIV/0!</v>
      </c>
      <c r="AB49" t="e">
        <f t="shared" si="4"/>
        <v>#DIV/0!</v>
      </c>
      <c r="AC49" t="e">
        <f t="shared" si="4"/>
        <v>#DIV/0!</v>
      </c>
      <c r="AD49" t="e">
        <f t="shared" si="3"/>
        <v>#DIV/0!</v>
      </c>
      <c r="AF49">
        <v>57</v>
      </c>
    </row>
    <row r="50" spans="1:45">
      <c r="A50">
        <v>58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f t="shared" si="1"/>
        <v>0</v>
      </c>
      <c r="Q50" t="e">
        <f t="shared" si="5"/>
        <v>#DIV/0!</v>
      </c>
      <c r="R50" t="e">
        <f t="shared" si="5"/>
        <v>#DIV/0!</v>
      </c>
      <c r="S50" t="e">
        <f t="shared" si="5"/>
        <v>#DIV/0!</v>
      </c>
      <c r="T50" t="e">
        <f t="shared" si="5"/>
        <v>#DIV/0!</v>
      </c>
      <c r="U50" t="e">
        <f t="shared" si="5"/>
        <v>#DIV/0!</v>
      </c>
      <c r="V50" t="e">
        <f t="shared" si="5"/>
        <v>#DIV/0!</v>
      </c>
      <c r="W50" t="e">
        <f t="shared" si="4"/>
        <v>#DIV/0!</v>
      </c>
      <c r="X50" t="e">
        <f t="shared" si="4"/>
        <v>#DIV/0!</v>
      </c>
      <c r="Y50" t="e">
        <f t="shared" si="4"/>
        <v>#DIV/0!</v>
      </c>
      <c r="Z50" t="e">
        <f t="shared" si="4"/>
        <v>#DIV/0!</v>
      </c>
      <c r="AA50" t="e">
        <f t="shared" si="4"/>
        <v>#DIV/0!</v>
      </c>
      <c r="AB50" t="e">
        <f t="shared" si="4"/>
        <v>#DIV/0!</v>
      </c>
      <c r="AC50" t="e">
        <f t="shared" si="4"/>
        <v>#DIV/0!</v>
      </c>
      <c r="AD50" t="e">
        <f t="shared" si="3"/>
        <v>#DIV/0!</v>
      </c>
      <c r="AF50">
        <v>58</v>
      </c>
    </row>
    <row r="51" spans="1:45">
      <c r="A51">
        <v>59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f t="shared" si="1"/>
        <v>0</v>
      </c>
      <c r="Q51" t="e">
        <f t="shared" si="5"/>
        <v>#DIV/0!</v>
      </c>
      <c r="R51" t="e">
        <f t="shared" si="5"/>
        <v>#DIV/0!</v>
      </c>
      <c r="S51" t="e">
        <f t="shared" si="5"/>
        <v>#DIV/0!</v>
      </c>
      <c r="T51" t="e">
        <f t="shared" si="5"/>
        <v>#DIV/0!</v>
      </c>
      <c r="U51" t="e">
        <f t="shared" si="5"/>
        <v>#DIV/0!</v>
      </c>
      <c r="V51" t="e">
        <f t="shared" si="5"/>
        <v>#DIV/0!</v>
      </c>
      <c r="W51" t="e">
        <f t="shared" si="4"/>
        <v>#DIV/0!</v>
      </c>
      <c r="X51" t="e">
        <f t="shared" si="4"/>
        <v>#DIV/0!</v>
      </c>
      <c r="Y51" t="e">
        <f t="shared" si="4"/>
        <v>#DIV/0!</v>
      </c>
      <c r="Z51" t="e">
        <f t="shared" si="4"/>
        <v>#DIV/0!</v>
      </c>
      <c r="AA51" t="e">
        <f t="shared" si="4"/>
        <v>#DIV/0!</v>
      </c>
      <c r="AB51" t="e">
        <f t="shared" si="4"/>
        <v>#DIV/0!</v>
      </c>
      <c r="AC51" t="e">
        <f t="shared" si="4"/>
        <v>#DIV/0!</v>
      </c>
      <c r="AD51" t="e">
        <f t="shared" si="3"/>
        <v>#DIV/0!</v>
      </c>
      <c r="AF51">
        <v>59</v>
      </c>
    </row>
    <row r="52" spans="1:45">
      <c r="A52">
        <v>60</v>
      </c>
      <c r="O52">
        <f t="shared" si="1"/>
        <v>0</v>
      </c>
      <c r="Q52" t="e">
        <f t="shared" si="5"/>
        <v>#DIV/0!</v>
      </c>
      <c r="R52" t="e">
        <f t="shared" si="5"/>
        <v>#DIV/0!</v>
      </c>
      <c r="S52" t="e">
        <f t="shared" si="5"/>
        <v>#DIV/0!</v>
      </c>
      <c r="T52" t="e">
        <f t="shared" si="5"/>
        <v>#DIV/0!</v>
      </c>
      <c r="U52" t="e">
        <f t="shared" si="5"/>
        <v>#DIV/0!</v>
      </c>
      <c r="V52" t="e">
        <f t="shared" si="5"/>
        <v>#DIV/0!</v>
      </c>
      <c r="W52" t="e">
        <f t="shared" si="4"/>
        <v>#DIV/0!</v>
      </c>
      <c r="X52" t="e">
        <f t="shared" si="4"/>
        <v>#DIV/0!</v>
      </c>
      <c r="Y52" t="e">
        <f t="shared" si="4"/>
        <v>#DIV/0!</v>
      </c>
      <c r="Z52" t="e">
        <f t="shared" si="4"/>
        <v>#DIV/0!</v>
      </c>
      <c r="AA52" t="e">
        <f t="shared" si="4"/>
        <v>#DIV/0!</v>
      </c>
      <c r="AB52" t="e">
        <f t="shared" si="4"/>
        <v>#DIV/0!</v>
      </c>
      <c r="AC52" t="e">
        <f t="shared" si="4"/>
        <v>#DIV/0!</v>
      </c>
      <c r="AD52" t="e">
        <f t="shared" si="3"/>
        <v>#DIV/0!</v>
      </c>
      <c r="AF52">
        <v>60</v>
      </c>
    </row>
    <row r="53" spans="1:45">
      <c r="A53" t="s">
        <v>5</v>
      </c>
      <c r="B53">
        <v>0</v>
      </c>
      <c r="C53">
        <v>6.9454083949999994</v>
      </c>
      <c r="D53">
        <v>108.03534668099999</v>
      </c>
      <c r="E53">
        <v>21671.127423995291</v>
      </c>
      <c r="F53">
        <v>123655.22253983869</v>
      </c>
      <c r="G53">
        <v>48048.526431093196</v>
      </c>
      <c r="H53">
        <v>20958.280916341035</v>
      </c>
      <c r="I53">
        <v>20421.101105729926</v>
      </c>
      <c r="J53">
        <v>15795.1698453439</v>
      </c>
      <c r="K53">
        <v>4712.4813177352244</v>
      </c>
      <c r="L53">
        <v>2293.1980565168778</v>
      </c>
      <c r="M53">
        <v>1327.1530680087858</v>
      </c>
      <c r="N53">
        <v>1748.4789745390633</v>
      </c>
      <c r="O53">
        <f>SUM(O2:O52)</f>
        <v>260745.72043421803</v>
      </c>
      <c r="P53">
        <f>SUM(P2:P52)</f>
        <v>7774</v>
      </c>
      <c r="AE53">
        <f>SUM(AE2:AE52)</f>
        <v>30140</v>
      </c>
      <c r="AF53" t="s">
        <v>5</v>
      </c>
      <c r="AG53" s="1">
        <f>SUM(AG2:AG52)</f>
        <v>0</v>
      </c>
      <c r="AH53" s="1">
        <f t="shared" ref="AH53:AS53" si="6">SUM(AH2:AH52)</f>
        <v>0</v>
      </c>
      <c r="AI53" s="1">
        <f t="shared" si="6"/>
        <v>0</v>
      </c>
      <c r="AJ53" s="1">
        <f t="shared" si="6"/>
        <v>82.344469364743503</v>
      </c>
      <c r="AK53" s="1">
        <f t="shared" si="6"/>
        <v>533.24290223095613</v>
      </c>
      <c r="AL53" s="1">
        <f t="shared" si="6"/>
        <v>1469.5937134067156</v>
      </c>
      <c r="AM53" s="1">
        <f t="shared" si="6"/>
        <v>1715.007090867324</v>
      </c>
      <c r="AN53" s="1">
        <f t="shared" si="6"/>
        <v>1573.5090151405175</v>
      </c>
      <c r="AO53" s="1">
        <f t="shared" si="6"/>
        <v>1312.969076540114</v>
      </c>
      <c r="AP53" s="1">
        <f t="shared" si="6"/>
        <v>441.82797590908677</v>
      </c>
      <c r="AQ53" s="1">
        <f t="shared" si="6"/>
        <v>262.68805657765859</v>
      </c>
      <c r="AR53" s="1">
        <f t="shared" si="6"/>
        <v>156.17479804784571</v>
      </c>
      <c r="AS53" s="1">
        <f t="shared" si="6"/>
        <v>222.64290191503835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53"/>
  <sheetViews>
    <sheetView topLeftCell="AF40" workbookViewId="0">
      <selection activeCell="AG53" sqref="AG53:AS53"/>
    </sheetView>
  </sheetViews>
  <sheetFormatPr defaultRowHeight="14.45"/>
  <cols>
    <col min="2" max="14" width="6.7109375" customWidth="1"/>
    <col min="33" max="45" width="8.85546875" style="1"/>
  </cols>
  <sheetData>
    <row r="1" spans="1:46"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 t="s">
        <v>5</v>
      </c>
      <c r="P1" t="s">
        <v>6</v>
      </c>
      <c r="Q1">
        <v>0</v>
      </c>
      <c r="R1">
        <v>1</v>
      </c>
      <c r="S1">
        <v>2</v>
      </c>
      <c r="T1">
        <v>3</v>
      </c>
      <c r="U1">
        <v>4</v>
      </c>
      <c r="V1">
        <v>5</v>
      </c>
      <c r="W1">
        <v>6</v>
      </c>
      <c r="X1">
        <v>7</v>
      </c>
      <c r="Y1">
        <v>8</v>
      </c>
      <c r="Z1">
        <v>9</v>
      </c>
      <c r="AA1">
        <v>10</v>
      </c>
      <c r="AB1">
        <v>11</v>
      </c>
      <c r="AC1">
        <v>12</v>
      </c>
      <c r="AD1" t="s">
        <v>5</v>
      </c>
      <c r="AE1" t="s">
        <v>6</v>
      </c>
      <c r="AG1" s="1">
        <v>0</v>
      </c>
      <c r="AH1" s="1">
        <v>1</v>
      </c>
      <c r="AI1" s="1">
        <v>2</v>
      </c>
      <c r="AJ1" s="1">
        <v>3</v>
      </c>
      <c r="AK1" s="1">
        <v>4</v>
      </c>
      <c r="AL1" s="1">
        <v>5</v>
      </c>
      <c r="AM1" s="1">
        <v>6</v>
      </c>
      <c r="AN1" s="1">
        <v>7</v>
      </c>
      <c r="AO1" s="1">
        <v>8</v>
      </c>
      <c r="AP1" s="1">
        <v>9</v>
      </c>
      <c r="AQ1" s="1">
        <v>10</v>
      </c>
      <c r="AR1" s="1">
        <v>11</v>
      </c>
      <c r="AS1" s="1">
        <v>12</v>
      </c>
      <c r="AT1" t="s">
        <v>5</v>
      </c>
    </row>
    <row r="2" spans="1:46">
      <c r="A2">
        <v>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f>SUM(B2:N2)</f>
        <v>0</v>
      </c>
      <c r="Q2" t="e">
        <f>$P2/$O2*B2</f>
        <v>#DIV/0!</v>
      </c>
      <c r="R2" t="e">
        <f t="shared" ref="R2:AC17" si="0">$P2/$O2*C2</f>
        <v>#DIV/0!</v>
      </c>
      <c r="S2" t="e">
        <f t="shared" si="0"/>
        <v>#DIV/0!</v>
      </c>
      <c r="T2" t="e">
        <f t="shared" si="0"/>
        <v>#DIV/0!</v>
      </c>
      <c r="U2" t="e">
        <f t="shared" si="0"/>
        <v>#DIV/0!</v>
      </c>
      <c r="V2" t="e">
        <f t="shared" si="0"/>
        <v>#DIV/0!</v>
      </c>
      <c r="W2" t="e">
        <f t="shared" si="0"/>
        <v>#DIV/0!</v>
      </c>
      <c r="X2" t="e">
        <f t="shared" si="0"/>
        <v>#DIV/0!</v>
      </c>
      <c r="Y2" t="e">
        <f t="shared" si="0"/>
        <v>#DIV/0!</v>
      </c>
      <c r="Z2" t="e">
        <f t="shared" si="0"/>
        <v>#DIV/0!</v>
      </c>
      <c r="AA2" t="e">
        <f t="shared" si="0"/>
        <v>#DIV/0!</v>
      </c>
      <c r="AB2" t="e">
        <f t="shared" si="0"/>
        <v>#DIV/0!</v>
      </c>
      <c r="AC2" t="e">
        <f t="shared" si="0"/>
        <v>#DIV/0!</v>
      </c>
      <c r="AD2" t="e">
        <f>SUM(Q2:AC2)</f>
        <v>#DIV/0!</v>
      </c>
      <c r="AE2">
        <v>0</v>
      </c>
      <c r="AF2">
        <v>10</v>
      </c>
    </row>
    <row r="3" spans="1:46">
      <c r="A3">
        <v>11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f t="shared" ref="O3:O52" si="1">SUM(B3:N3)</f>
        <v>0</v>
      </c>
      <c r="Q3" t="e">
        <f t="shared" ref="Q3:AC36" si="2">$P3/$O3*B3</f>
        <v>#DIV/0!</v>
      </c>
      <c r="R3" t="e">
        <f t="shared" si="0"/>
        <v>#DIV/0!</v>
      </c>
      <c r="S3" t="e">
        <f t="shared" si="0"/>
        <v>#DIV/0!</v>
      </c>
      <c r="T3" t="e">
        <f t="shared" si="0"/>
        <v>#DIV/0!</v>
      </c>
      <c r="U3" t="e">
        <f t="shared" si="0"/>
        <v>#DIV/0!</v>
      </c>
      <c r="V3" t="e">
        <f t="shared" si="0"/>
        <v>#DIV/0!</v>
      </c>
      <c r="W3" t="e">
        <f t="shared" si="0"/>
        <v>#DIV/0!</v>
      </c>
      <c r="X3" t="e">
        <f t="shared" si="0"/>
        <v>#DIV/0!</v>
      </c>
      <c r="Y3" t="e">
        <f t="shared" si="0"/>
        <v>#DIV/0!</v>
      </c>
      <c r="Z3" t="e">
        <f t="shared" si="0"/>
        <v>#DIV/0!</v>
      </c>
      <c r="AA3" t="e">
        <f t="shared" si="0"/>
        <v>#DIV/0!</v>
      </c>
      <c r="AB3" t="e">
        <f t="shared" si="0"/>
        <v>#DIV/0!</v>
      </c>
      <c r="AC3" t="e">
        <f t="shared" si="0"/>
        <v>#DIV/0!</v>
      </c>
      <c r="AD3" t="e">
        <f t="shared" ref="AD3:AD52" si="3">SUM(Q3:AC3)</f>
        <v>#DIV/0!</v>
      </c>
      <c r="AE3">
        <v>0</v>
      </c>
      <c r="AF3">
        <v>11</v>
      </c>
    </row>
    <row r="4" spans="1:46">
      <c r="A4">
        <v>12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f t="shared" si="1"/>
        <v>0</v>
      </c>
      <c r="Q4" t="e">
        <f t="shared" si="2"/>
        <v>#DIV/0!</v>
      </c>
      <c r="R4" t="e">
        <f t="shared" si="0"/>
        <v>#DIV/0!</v>
      </c>
      <c r="S4" t="e">
        <f t="shared" si="0"/>
        <v>#DIV/0!</v>
      </c>
      <c r="T4" t="e">
        <f t="shared" si="0"/>
        <v>#DIV/0!</v>
      </c>
      <c r="U4" t="e">
        <f t="shared" si="0"/>
        <v>#DIV/0!</v>
      </c>
      <c r="V4" t="e">
        <f t="shared" si="0"/>
        <v>#DIV/0!</v>
      </c>
      <c r="W4" t="e">
        <f t="shared" si="0"/>
        <v>#DIV/0!</v>
      </c>
      <c r="X4" t="e">
        <f t="shared" si="0"/>
        <v>#DIV/0!</v>
      </c>
      <c r="Y4" t="e">
        <f t="shared" si="0"/>
        <v>#DIV/0!</v>
      </c>
      <c r="Z4" t="e">
        <f t="shared" si="0"/>
        <v>#DIV/0!</v>
      </c>
      <c r="AA4" t="e">
        <f t="shared" si="0"/>
        <v>#DIV/0!</v>
      </c>
      <c r="AB4" t="e">
        <f t="shared" si="0"/>
        <v>#DIV/0!</v>
      </c>
      <c r="AC4" t="e">
        <f t="shared" si="0"/>
        <v>#DIV/0!</v>
      </c>
      <c r="AD4" t="e">
        <f t="shared" si="3"/>
        <v>#DIV/0!</v>
      </c>
      <c r="AE4">
        <v>0</v>
      </c>
      <c r="AF4">
        <v>12</v>
      </c>
    </row>
    <row r="5" spans="1:46">
      <c r="A5">
        <v>13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f t="shared" si="1"/>
        <v>0</v>
      </c>
      <c r="P5">
        <v>0</v>
      </c>
      <c r="Q5" t="e">
        <f t="shared" si="2"/>
        <v>#DIV/0!</v>
      </c>
      <c r="R5" t="e">
        <f t="shared" si="0"/>
        <v>#DIV/0!</v>
      </c>
      <c r="S5" t="e">
        <f t="shared" si="0"/>
        <v>#DIV/0!</v>
      </c>
      <c r="T5" t="e">
        <f t="shared" si="0"/>
        <v>#DIV/0!</v>
      </c>
      <c r="U5" t="e">
        <f t="shared" si="0"/>
        <v>#DIV/0!</v>
      </c>
      <c r="V5" t="e">
        <f t="shared" si="0"/>
        <v>#DIV/0!</v>
      </c>
      <c r="W5" t="e">
        <f t="shared" si="0"/>
        <v>#DIV/0!</v>
      </c>
      <c r="X5" t="e">
        <f t="shared" si="0"/>
        <v>#DIV/0!</v>
      </c>
      <c r="Y5" t="e">
        <f t="shared" si="0"/>
        <v>#DIV/0!</v>
      </c>
      <c r="Z5" t="e">
        <f t="shared" si="0"/>
        <v>#DIV/0!</v>
      </c>
      <c r="AA5" t="e">
        <f t="shared" si="0"/>
        <v>#DIV/0!</v>
      </c>
      <c r="AB5" t="e">
        <f t="shared" si="0"/>
        <v>#DIV/0!</v>
      </c>
      <c r="AC5" t="e">
        <f t="shared" si="0"/>
        <v>#DIV/0!</v>
      </c>
      <c r="AD5" t="e">
        <f t="shared" si="3"/>
        <v>#DIV/0!</v>
      </c>
      <c r="AE5">
        <v>0</v>
      </c>
      <c r="AF5">
        <v>13</v>
      </c>
    </row>
    <row r="6" spans="1:46">
      <c r="A6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f t="shared" si="1"/>
        <v>0</v>
      </c>
      <c r="P6">
        <v>0</v>
      </c>
      <c r="Q6" t="e">
        <f t="shared" si="2"/>
        <v>#DIV/0!</v>
      </c>
      <c r="R6" t="e">
        <f t="shared" si="0"/>
        <v>#DIV/0!</v>
      </c>
      <c r="S6" t="e">
        <f t="shared" si="0"/>
        <v>#DIV/0!</v>
      </c>
      <c r="T6" t="e">
        <f t="shared" si="0"/>
        <v>#DIV/0!</v>
      </c>
      <c r="U6" t="e">
        <f t="shared" si="0"/>
        <v>#DIV/0!</v>
      </c>
      <c r="V6" t="e">
        <f t="shared" si="0"/>
        <v>#DIV/0!</v>
      </c>
      <c r="W6" t="e">
        <f t="shared" si="0"/>
        <v>#DIV/0!</v>
      </c>
      <c r="X6" t="e">
        <f t="shared" si="0"/>
        <v>#DIV/0!</v>
      </c>
      <c r="Y6" t="e">
        <f t="shared" si="0"/>
        <v>#DIV/0!</v>
      </c>
      <c r="Z6" t="e">
        <f t="shared" si="0"/>
        <v>#DIV/0!</v>
      </c>
      <c r="AA6" t="e">
        <f t="shared" si="0"/>
        <v>#DIV/0!</v>
      </c>
      <c r="AB6" t="e">
        <f t="shared" si="0"/>
        <v>#DIV/0!</v>
      </c>
      <c r="AC6" t="e">
        <f t="shared" si="0"/>
        <v>#DIV/0!</v>
      </c>
      <c r="AD6" t="e">
        <f t="shared" si="3"/>
        <v>#DIV/0!</v>
      </c>
      <c r="AE6">
        <v>0</v>
      </c>
      <c r="AF6">
        <v>14</v>
      </c>
      <c r="AT6">
        <v>0</v>
      </c>
    </row>
    <row r="7" spans="1:46">
      <c r="A7">
        <v>15</v>
      </c>
      <c r="B7">
        <v>0</v>
      </c>
      <c r="C7">
        <v>0.78984711500000004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f t="shared" si="1"/>
        <v>0.78984711500000004</v>
      </c>
      <c r="P7">
        <v>0</v>
      </c>
      <c r="Q7">
        <f t="shared" si="2"/>
        <v>0</v>
      </c>
      <c r="R7">
        <f t="shared" si="0"/>
        <v>0</v>
      </c>
      <c r="S7">
        <f t="shared" si="0"/>
        <v>0</v>
      </c>
      <c r="T7">
        <f t="shared" si="0"/>
        <v>0</v>
      </c>
      <c r="U7">
        <f t="shared" si="0"/>
        <v>0</v>
      </c>
      <c r="V7">
        <f t="shared" si="0"/>
        <v>0</v>
      </c>
      <c r="W7">
        <f t="shared" si="0"/>
        <v>0</v>
      </c>
      <c r="X7">
        <f t="shared" si="0"/>
        <v>0</v>
      </c>
      <c r="Y7">
        <f t="shared" si="0"/>
        <v>0</v>
      </c>
      <c r="Z7">
        <f t="shared" si="0"/>
        <v>0</v>
      </c>
      <c r="AA7">
        <f t="shared" si="0"/>
        <v>0</v>
      </c>
      <c r="AB7">
        <f t="shared" si="0"/>
        <v>0</v>
      </c>
      <c r="AC7">
        <f t="shared" si="0"/>
        <v>0</v>
      </c>
      <c r="AD7">
        <f t="shared" si="3"/>
        <v>0</v>
      </c>
      <c r="AE7">
        <v>0</v>
      </c>
      <c r="AF7">
        <v>15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>
        <v>0</v>
      </c>
    </row>
    <row r="8" spans="1:46">
      <c r="A8">
        <v>16</v>
      </c>
      <c r="B8">
        <v>0</v>
      </c>
      <c r="C8">
        <v>0</v>
      </c>
      <c r="D8">
        <v>34.747443930000003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f t="shared" si="1"/>
        <v>34.747443930000003</v>
      </c>
      <c r="P8">
        <v>0</v>
      </c>
      <c r="Q8">
        <f t="shared" si="2"/>
        <v>0</v>
      </c>
      <c r="R8">
        <f t="shared" si="0"/>
        <v>0</v>
      </c>
      <c r="S8">
        <f t="shared" si="0"/>
        <v>0</v>
      </c>
      <c r="T8">
        <f t="shared" si="0"/>
        <v>0</v>
      </c>
      <c r="U8">
        <f t="shared" si="0"/>
        <v>0</v>
      </c>
      <c r="V8">
        <f t="shared" si="0"/>
        <v>0</v>
      </c>
      <c r="W8">
        <f t="shared" si="0"/>
        <v>0</v>
      </c>
      <c r="X8">
        <f t="shared" si="0"/>
        <v>0</v>
      </c>
      <c r="Y8">
        <f t="shared" si="0"/>
        <v>0</v>
      </c>
      <c r="Z8">
        <f t="shared" si="0"/>
        <v>0</v>
      </c>
      <c r="AA8">
        <f t="shared" si="0"/>
        <v>0</v>
      </c>
      <c r="AB8">
        <f t="shared" si="0"/>
        <v>0</v>
      </c>
      <c r="AC8">
        <f t="shared" si="0"/>
        <v>0</v>
      </c>
      <c r="AD8">
        <f t="shared" si="3"/>
        <v>0</v>
      </c>
      <c r="AE8">
        <v>0</v>
      </c>
      <c r="AF8">
        <v>16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>
        <v>0</v>
      </c>
    </row>
    <row r="9" spans="1:46">
      <c r="A9">
        <v>17</v>
      </c>
      <c r="B9">
        <v>0</v>
      </c>
      <c r="C9">
        <v>0</v>
      </c>
      <c r="D9">
        <v>75.379394594999994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f t="shared" si="1"/>
        <v>75.379394594999994</v>
      </c>
      <c r="P9">
        <v>0</v>
      </c>
      <c r="Q9">
        <f t="shared" si="2"/>
        <v>0</v>
      </c>
      <c r="R9">
        <f t="shared" si="0"/>
        <v>0</v>
      </c>
      <c r="S9">
        <f t="shared" si="0"/>
        <v>0</v>
      </c>
      <c r="T9">
        <f t="shared" si="0"/>
        <v>0</v>
      </c>
      <c r="U9">
        <f t="shared" si="0"/>
        <v>0</v>
      </c>
      <c r="V9">
        <f t="shared" si="0"/>
        <v>0</v>
      </c>
      <c r="W9">
        <f t="shared" si="0"/>
        <v>0</v>
      </c>
      <c r="X9">
        <f t="shared" si="0"/>
        <v>0</v>
      </c>
      <c r="Y9">
        <f t="shared" si="0"/>
        <v>0</v>
      </c>
      <c r="Z9">
        <f t="shared" si="0"/>
        <v>0</v>
      </c>
      <c r="AA9">
        <f t="shared" si="0"/>
        <v>0</v>
      </c>
      <c r="AB9">
        <f t="shared" si="0"/>
        <v>0</v>
      </c>
      <c r="AC9">
        <f t="shared" si="0"/>
        <v>0</v>
      </c>
      <c r="AD9">
        <f t="shared" si="3"/>
        <v>0</v>
      </c>
      <c r="AE9">
        <v>0</v>
      </c>
      <c r="AF9">
        <v>17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>
        <v>0</v>
      </c>
    </row>
    <row r="10" spans="1:46">
      <c r="A10">
        <v>18</v>
      </c>
      <c r="B10">
        <v>0</v>
      </c>
      <c r="C10">
        <v>0</v>
      </c>
      <c r="D10">
        <v>139.07021771399999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f t="shared" si="1"/>
        <v>139.07021771399999</v>
      </c>
      <c r="P10">
        <v>0</v>
      </c>
      <c r="Q10">
        <f t="shared" si="2"/>
        <v>0</v>
      </c>
      <c r="R10">
        <f t="shared" si="0"/>
        <v>0</v>
      </c>
      <c r="S10">
        <f t="shared" si="0"/>
        <v>0</v>
      </c>
      <c r="T10">
        <f t="shared" si="0"/>
        <v>0</v>
      </c>
      <c r="U10">
        <f t="shared" si="0"/>
        <v>0</v>
      </c>
      <c r="V10">
        <f t="shared" si="0"/>
        <v>0</v>
      </c>
      <c r="W10">
        <f t="shared" si="0"/>
        <v>0</v>
      </c>
      <c r="X10">
        <f t="shared" si="0"/>
        <v>0</v>
      </c>
      <c r="Y10">
        <f t="shared" si="0"/>
        <v>0</v>
      </c>
      <c r="Z10">
        <f t="shared" si="0"/>
        <v>0</v>
      </c>
      <c r="AA10">
        <f t="shared" si="0"/>
        <v>0</v>
      </c>
      <c r="AB10">
        <f t="shared" si="0"/>
        <v>0</v>
      </c>
      <c r="AC10">
        <f t="shared" si="0"/>
        <v>0</v>
      </c>
      <c r="AD10">
        <f t="shared" si="3"/>
        <v>0</v>
      </c>
      <c r="AE10">
        <v>2</v>
      </c>
      <c r="AF10">
        <v>18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>
        <v>2</v>
      </c>
    </row>
    <row r="11" spans="1:46">
      <c r="A11">
        <v>19</v>
      </c>
      <c r="B11">
        <v>0</v>
      </c>
      <c r="C11">
        <v>66.791920278999996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f t="shared" si="1"/>
        <v>66.791920278999996</v>
      </c>
      <c r="P11">
        <v>0</v>
      </c>
      <c r="Q11">
        <f t="shared" si="2"/>
        <v>0</v>
      </c>
      <c r="R11">
        <f t="shared" si="0"/>
        <v>0</v>
      </c>
      <c r="S11">
        <f t="shared" si="0"/>
        <v>0</v>
      </c>
      <c r="T11">
        <f t="shared" si="0"/>
        <v>0</v>
      </c>
      <c r="U11">
        <f t="shared" si="0"/>
        <v>0</v>
      </c>
      <c r="V11">
        <f t="shared" si="0"/>
        <v>0</v>
      </c>
      <c r="W11">
        <f t="shared" si="0"/>
        <v>0</v>
      </c>
      <c r="X11">
        <f t="shared" si="0"/>
        <v>0</v>
      </c>
      <c r="Y11">
        <f t="shared" si="0"/>
        <v>0</v>
      </c>
      <c r="Z11">
        <f t="shared" si="0"/>
        <v>0</v>
      </c>
      <c r="AA11">
        <f t="shared" si="0"/>
        <v>0</v>
      </c>
      <c r="AB11">
        <f t="shared" si="0"/>
        <v>0</v>
      </c>
      <c r="AC11">
        <f t="shared" si="0"/>
        <v>0</v>
      </c>
      <c r="AD11">
        <f t="shared" si="3"/>
        <v>0</v>
      </c>
      <c r="AE11">
        <v>3</v>
      </c>
      <c r="AF11">
        <v>19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</row>
    <row r="12" spans="1:46">
      <c r="A12">
        <v>20</v>
      </c>
      <c r="B12">
        <v>0</v>
      </c>
      <c r="C12">
        <v>0</v>
      </c>
      <c r="D12">
        <v>40.444252679000002</v>
      </c>
      <c r="E12">
        <v>40.444252679000002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f t="shared" si="1"/>
        <v>80.888505358000003</v>
      </c>
      <c r="P12">
        <v>0</v>
      </c>
      <c r="Q12">
        <f t="shared" si="2"/>
        <v>0</v>
      </c>
      <c r="R12">
        <f t="shared" si="0"/>
        <v>0</v>
      </c>
      <c r="S12">
        <f t="shared" si="0"/>
        <v>0</v>
      </c>
      <c r="T12">
        <f t="shared" si="0"/>
        <v>0</v>
      </c>
      <c r="U12">
        <f t="shared" si="0"/>
        <v>0</v>
      </c>
      <c r="V12">
        <f t="shared" si="0"/>
        <v>0</v>
      </c>
      <c r="W12">
        <f t="shared" si="0"/>
        <v>0</v>
      </c>
      <c r="X12">
        <f t="shared" si="0"/>
        <v>0</v>
      </c>
      <c r="Y12">
        <f t="shared" si="0"/>
        <v>0</v>
      </c>
      <c r="Z12">
        <f t="shared" si="0"/>
        <v>0</v>
      </c>
      <c r="AA12">
        <f t="shared" si="0"/>
        <v>0</v>
      </c>
      <c r="AB12">
        <f t="shared" si="0"/>
        <v>0</v>
      </c>
      <c r="AC12">
        <f t="shared" si="0"/>
        <v>0</v>
      </c>
      <c r="AD12">
        <f t="shared" si="3"/>
        <v>0</v>
      </c>
      <c r="AE12">
        <v>0</v>
      </c>
      <c r="AF12">
        <v>20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>
        <v>0</v>
      </c>
    </row>
    <row r="13" spans="1:46">
      <c r="A13">
        <v>21</v>
      </c>
      <c r="B13">
        <v>0</v>
      </c>
      <c r="C13">
        <v>0</v>
      </c>
      <c r="D13">
        <v>0</v>
      </c>
      <c r="E13">
        <v>48.921556438000003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f t="shared" si="1"/>
        <v>48.921556438000003</v>
      </c>
      <c r="P13">
        <v>0</v>
      </c>
      <c r="Q13">
        <f t="shared" si="2"/>
        <v>0</v>
      </c>
      <c r="R13">
        <f t="shared" si="0"/>
        <v>0</v>
      </c>
      <c r="S13">
        <f t="shared" si="0"/>
        <v>0</v>
      </c>
      <c r="T13">
        <f t="shared" si="0"/>
        <v>0</v>
      </c>
      <c r="U13">
        <f t="shared" si="0"/>
        <v>0</v>
      </c>
      <c r="V13">
        <f t="shared" si="0"/>
        <v>0</v>
      </c>
      <c r="W13">
        <f t="shared" si="0"/>
        <v>0</v>
      </c>
      <c r="X13">
        <f t="shared" si="0"/>
        <v>0</v>
      </c>
      <c r="Y13">
        <f t="shared" si="0"/>
        <v>0</v>
      </c>
      <c r="Z13">
        <f t="shared" si="0"/>
        <v>0</v>
      </c>
      <c r="AA13">
        <f t="shared" si="0"/>
        <v>0</v>
      </c>
      <c r="AB13">
        <f t="shared" si="0"/>
        <v>0</v>
      </c>
      <c r="AC13">
        <f t="shared" si="0"/>
        <v>0</v>
      </c>
      <c r="AD13">
        <f t="shared" si="3"/>
        <v>0</v>
      </c>
      <c r="AE13">
        <v>0</v>
      </c>
      <c r="AF13">
        <v>21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>
        <v>0</v>
      </c>
    </row>
    <row r="14" spans="1:46">
      <c r="A14">
        <v>22</v>
      </c>
      <c r="B14">
        <v>0</v>
      </c>
      <c r="C14">
        <v>0</v>
      </c>
      <c r="D14">
        <v>7.4816883550000011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f t="shared" si="1"/>
        <v>7.4816883550000011</v>
      </c>
      <c r="P14">
        <v>0</v>
      </c>
      <c r="Q14">
        <f t="shared" si="2"/>
        <v>0</v>
      </c>
      <c r="R14">
        <f t="shared" si="0"/>
        <v>0</v>
      </c>
      <c r="S14">
        <f t="shared" si="0"/>
        <v>0</v>
      </c>
      <c r="T14">
        <f t="shared" si="0"/>
        <v>0</v>
      </c>
      <c r="U14">
        <f t="shared" si="0"/>
        <v>0</v>
      </c>
      <c r="V14">
        <f t="shared" si="0"/>
        <v>0</v>
      </c>
      <c r="W14">
        <f t="shared" si="0"/>
        <v>0</v>
      </c>
      <c r="X14">
        <f t="shared" si="0"/>
        <v>0</v>
      </c>
      <c r="Y14">
        <f t="shared" si="0"/>
        <v>0</v>
      </c>
      <c r="Z14">
        <f t="shared" si="0"/>
        <v>0</v>
      </c>
      <c r="AA14">
        <f t="shared" si="0"/>
        <v>0</v>
      </c>
      <c r="AB14">
        <f t="shared" si="0"/>
        <v>0</v>
      </c>
      <c r="AC14">
        <f t="shared" si="0"/>
        <v>0</v>
      </c>
      <c r="AD14">
        <f t="shared" si="3"/>
        <v>0</v>
      </c>
      <c r="AE14">
        <v>0</v>
      </c>
      <c r="AF14">
        <v>22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>
        <v>0</v>
      </c>
    </row>
    <row r="15" spans="1:46">
      <c r="A15">
        <v>23</v>
      </c>
      <c r="B15">
        <v>0</v>
      </c>
      <c r="C15">
        <v>0</v>
      </c>
      <c r="D15">
        <v>0</v>
      </c>
      <c r="E15">
        <v>2.2780240040000002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f t="shared" si="1"/>
        <v>2.2780240040000002</v>
      </c>
      <c r="P15">
        <v>2</v>
      </c>
      <c r="Q15">
        <f t="shared" si="2"/>
        <v>0</v>
      </c>
      <c r="R15">
        <f t="shared" si="0"/>
        <v>0</v>
      </c>
      <c r="S15">
        <f t="shared" si="0"/>
        <v>0</v>
      </c>
      <c r="T15">
        <f t="shared" si="0"/>
        <v>2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3"/>
        <v>2</v>
      </c>
      <c r="AE15">
        <v>6</v>
      </c>
      <c r="AF15">
        <v>23</v>
      </c>
      <c r="AG15" s="1">
        <v>0</v>
      </c>
      <c r="AH15" s="1">
        <v>0</v>
      </c>
      <c r="AI15" s="1">
        <v>0</v>
      </c>
      <c r="AJ15" s="1">
        <v>2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>
        <v>6</v>
      </c>
    </row>
    <row r="16" spans="1:46">
      <c r="A16">
        <v>24</v>
      </c>
      <c r="B16">
        <v>0</v>
      </c>
      <c r="C16">
        <v>0</v>
      </c>
      <c r="D16">
        <v>103.06484753000001</v>
      </c>
      <c r="E16">
        <v>103.06484753000001</v>
      </c>
      <c r="F16">
        <v>123.50877226600001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f t="shared" si="1"/>
        <v>329.63846732600001</v>
      </c>
      <c r="P16">
        <v>6</v>
      </c>
      <c r="Q16">
        <f t="shared" si="2"/>
        <v>0</v>
      </c>
      <c r="R16">
        <f t="shared" si="0"/>
        <v>0</v>
      </c>
      <c r="S16">
        <f t="shared" si="0"/>
        <v>1.8759615350608843</v>
      </c>
      <c r="T16">
        <f t="shared" si="0"/>
        <v>1.8759615350608843</v>
      </c>
      <c r="U16">
        <f t="shared" si="0"/>
        <v>2.2480769298782324</v>
      </c>
      <c r="V16">
        <f t="shared" si="0"/>
        <v>0</v>
      </c>
      <c r="W16">
        <f t="shared" si="0"/>
        <v>0</v>
      </c>
      <c r="X16">
        <f t="shared" si="0"/>
        <v>0</v>
      </c>
      <c r="Y16">
        <f t="shared" si="0"/>
        <v>0</v>
      </c>
      <c r="Z16">
        <f t="shared" si="0"/>
        <v>0</v>
      </c>
      <c r="AA16">
        <f t="shared" si="0"/>
        <v>0</v>
      </c>
      <c r="AB16">
        <f t="shared" si="0"/>
        <v>0</v>
      </c>
      <c r="AC16">
        <f t="shared" si="0"/>
        <v>0</v>
      </c>
      <c r="AD16">
        <f t="shared" si="3"/>
        <v>6.0000000000000009</v>
      </c>
      <c r="AE16">
        <v>161</v>
      </c>
      <c r="AF16">
        <v>24</v>
      </c>
      <c r="AG16" s="1">
        <v>0</v>
      </c>
      <c r="AH16" s="1">
        <v>0</v>
      </c>
      <c r="AI16" s="1">
        <v>1.8759615350608843</v>
      </c>
      <c r="AJ16" s="1">
        <v>1.8759615350608843</v>
      </c>
      <c r="AK16" s="1">
        <v>2.2480769298782324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>
        <v>160.99999999999997</v>
      </c>
    </row>
    <row r="17" spans="1:46">
      <c r="A17">
        <v>25</v>
      </c>
      <c r="B17">
        <v>0</v>
      </c>
      <c r="C17">
        <v>0</v>
      </c>
      <c r="D17">
        <v>27.450178649781819</v>
      </c>
      <c r="E17">
        <v>1427.698796179709</v>
      </c>
      <c r="F17">
        <v>439.2028583965091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f t="shared" si="1"/>
        <v>1894.3518332259998</v>
      </c>
      <c r="P17">
        <v>9</v>
      </c>
      <c r="Q17">
        <f t="shared" si="2"/>
        <v>0</v>
      </c>
      <c r="R17">
        <f t="shared" si="0"/>
        <v>0</v>
      </c>
      <c r="S17">
        <f t="shared" si="0"/>
        <v>0.13041484877036708</v>
      </c>
      <c r="T17">
        <f t="shared" si="0"/>
        <v>6.7829475709037608</v>
      </c>
      <c r="U17">
        <f t="shared" si="0"/>
        <v>2.0866375803258732</v>
      </c>
      <c r="V17">
        <f t="shared" si="0"/>
        <v>0</v>
      </c>
      <c r="W17">
        <f t="shared" si="0"/>
        <v>0</v>
      </c>
      <c r="X17">
        <f t="shared" si="0"/>
        <v>0</v>
      </c>
      <c r="Y17">
        <f t="shared" si="0"/>
        <v>0</v>
      </c>
      <c r="Z17">
        <f t="shared" si="0"/>
        <v>0</v>
      </c>
      <c r="AA17">
        <f t="shared" si="0"/>
        <v>0</v>
      </c>
      <c r="AB17">
        <f t="shared" si="0"/>
        <v>0</v>
      </c>
      <c r="AC17">
        <f t="shared" si="0"/>
        <v>0</v>
      </c>
      <c r="AD17">
        <f t="shared" si="3"/>
        <v>9</v>
      </c>
      <c r="AE17">
        <v>1635</v>
      </c>
      <c r="AF17">
        <v>25</v>
      </c>
      <c r="AG17" s="1">
        <v>0</v>
      </c>
      <c r="AH17" s="1">
        <v>0</v>
      </c>
      <c r="AI17" s="1">
        <v>0.13041484877036708</v>
      </c>
      <c r="AJ17" s="1">
        <v>6.7829475709037608</v>
      </c>
      <c r="AK17" s="1">
        <v>2.0866375803258732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>
        <v>1635</v>
      </c>
    </row>
    <row r="18" spans="1:46">
      <c r="A18">
        <v>26</v>
      </c>
      <c r="B18">
        <v>0</v>
      </c>
      <c r="C18">
        <v>0</v>
      </c>
      <c r="D18">
        <v>33.812795674247624</v>
      </c>
      <c r="E18">
        <v>5057.7525115898043</v>
      </c>
      <c r="F18">
        <v>2832.1794997526067</v>
      </c>
      <c r="G18">
        <v>875.08501908834148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f t="shared" si="1"/>
        <v>8798.8298261050004</v>
      </c>
      <c r="P18">
        <v>11</v>
      </c>
      <c r="Q18">
        <f t="shared" si="2"/>
        <v>0</v>
      </c>
      <c r="R18">
        <f t="shared" si="2"/>
        <v>0</v>
      </c>
      <c r="S18">
        <f t="shared" si="2"/>
        <v>4.2271615631572203E-2</v>
      </c>
      <c r="T18">
        <f t="shared" si="2"/>
        <v>6.3230314402064129</v>
      </c>
      <c r="U18">
        <f t="shared" si="2"/>
        <v>3.5406951961781123</v>
      </c>
      <c r="V18">
        <f t="shared" si="2"/>
        <v>1.0940017479839013</v>
      </c>
      <c r="W18">
        <f t="shared" si="2"/>
        <v>0</v>
      </c>
      <c r="X18">
        <f t="shared" si="2"/>
        <v>0</v>
      </c>
      <c r="Y18">
        <f t="shared" si="2"/>
        <v>0</v>
      </c>
      <c r="Z18">
        <f t="shared" si="2"/>
        <v>0</v>
      </c>
      <c r="AA18">
        <f t="shared" si="2"/>
        <v>0</v>
      </c>
      <c r="AB18">
        <f t="shared" si="2"/>
        <v>0</v>
      </c>
      <c r="AC18">
        <f t="shared" si="2"/>
        <v>0</v>
      </c>
      <c r="AD18">
        <f t="shared" si="3"/>
        <v>10.999999999999998</v>
      </c>
      <c r="AE18">
        <v>3614</v>
      </c>
      <c r="AF18">
        <v>26</v>
      </c>
      <c r="AG18" s="1">
        <v>0</v>
      </c>
      <c r="AH18" s="1">
        <v>0</v>
      </c>
      <c r="AI18" s="1">
        <v>4.2271615631572203E-2</v>
      </c>
      <c r="AJ18" s="1">
        <v>6.3230314402064129</v>
      </c>
      <c r="AK18" s="1">
        <v>3.5406951961781123</v>
      </c>
      <c r="AL18" s="1">
        <v>1.0940017479839013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>
        <v>3614.0000000000005</v>
      </c>
    </row>
    <row r="19" spans="1:46">
      <c r="A19">
        <v>27</v>
      </c>
      <c r="B19">
        <v>0</v>
      </c>
      <c r="C19">
        <v>0</v>
      </c>
      <c r="D19">
        <v>99.816511845409096</v>
      </c>
      <c r="E19">
        <v>7250.269811410828</v>
      </c>
      <c r="F19">
        <v>10259.869560736215</v>
      </c>
      <c r="G19">
        <v>133.08868246054547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f t="shared" si="1"/>
        <v>17743.044566452994</v>
      </c>
      <c r="P19">
        <v>18</v>
      </c>
      <c r="Q19">
        <f t="shared" si="2"/>
        <v>0</v>
      </c>
      <c r="R19">
        <f t="shared" si="2"/>
        <v>0</v>
      </c>
      <c r="S19">
        <f t="shared" si="2"/>
        <v>0.10126205829491082</v>
      </c>
      <c r="T19">
        <f t="shared" si="2"/>
        <v>7.3552684893855327</v>
      </c>
      <c r="U19">
        <f t="shared" si="2"/>
        <v>10.408453374593012</v>
      </c>
      <c r="V19">
        <f t="shared" si="2"/>
        <v>0.13501607772654775</v>
      </c>
      <c r="W19">
        <f t="shared" si="2"/>
        <v>0</v>
      </c>
      <c r="X19">
        <f t="shared" si="2"/>
        <v>0</v>
      </c>
      <c r="Y19">
        <f t="shared" si="2"/>
        <v>0</v>
      </c>
      <c r="Z19">
        <f t="shared" si="2"/>
        <v>0</v>
      </c>
      <c r="AA19">
        <f t="shared" si="2"/>
        <v>0</v>
      </c>
      <c r="AB19">
        <f t="shared" si="2"/>
        <v>0</v>
      </c>
      <c r="AC19">
        <f t="shared" si="2"/>
        <v>0</v>
      </c>
      <c r="AD19">
        <f t="shared" si="3"/>
        <v>18.000000000000004</v>
      </c>
      <c r="AE19">
        <v>4092</v>
      </c>
      <c r="AF19">
        <v>27</v>
      </c>
      <c r="AG19" s="1">
        <v>0</v>
      </c>
      <c r="AH19" s="1">
        <v>0</v>
      </c>
      <c r="AI19" s="1">
        <v>0.10126205829491082</v>
      </c>
      <c r="AJ19" s="1">
        <v>7.3552684893855327</v>
      </c>
      <c r="AK19" s="1">
        <v>10.408453374593012</v>
      </c>
      <c r="AL19" s="1">
        <v>0.13501607772654775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>
        <v>4092.0000000000005</v>
      </c>
    </row>
    <row r="20" spans="1:46">
      <c r="A20">
        <v>28</v>
      </c>
      <c r="B20">
        <v>0</v>
      </c>
      <c r="C20">
        <v>0</v>
      </c>
      <c r="D20">
        <v>562.39834003865224</v>
      </c>
      <c r="E20">
        <v>1313.3424401716793</v>
      </c>
      <c r="F20">
        <v>9417.3640186059365</v>
      </c>
      <c r="G20">
        <v>1729.0940779147068</v>
      </c>
      <c r="H20">
        <v>583.3478689380272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f t="shared" si="1"/>
        <v>13605.546745669002</v>
      </c>
      <c r="P20">
        <v>25</v>
      </c>
      <c r="Q20">
        <f t="shared" si="2"/>
        <v>0</v>
      </c>
      <c r="R20">
        <f t="shared" si="2"/>
        <v>0</v>
      </c>
      <c r="S20">
        <f t="shared" si="2"/>
        <v>1.0333990073160386</v>
      </c>
      <c r="T20">
        <f t="shared" si="2"/>
        <v>2.4132481860564523</v>
      </c>
      <c r="U20">
        <f t="shared" si="2"/>
        <v>17.304273386888564</v>
      </c>
      <c r="V20">
        <f t="shared" si="2"/>
        <v>3.1771859489313106</v>
      </c>
      <c r="W20">
        <f t="shared" si="2"/>
        <v>1.0718934708076358</v>
      </c>
      <c r="X20">
        <f t="shared" si="2"/>
        <v>0</v>
      </c>
      <c r="Y20">
        <f t="shared" si="2"/>
        <v>0</v>
      </c>
      <c r="Z20">
        <f t="shared" si="2"/>
        <v>0</v>
      </c>
      <c r="AA20">
        <f t="shared" si="2"/>
        <v>0</v>
      </c>
      <c r="AB20">
        <f t="shared" si="2"/>
        <v>0</v>
      </c>
      <c r="AC20">
        <f t="shared" si="2"/>
        <v>0</v>
      </c>
      <c r="AD20">
        <f t="shared" si="3"/>
        <v>25</v>
      </c>
      <c r="AE20">
        <v>1997</v>
      </c>
      <c r="AF20">
        <v>28</v>
      </c>
      <c r="AG20" s="1">
        <v>0</v>
      </c>
      <c r="AH20" s="1">
        <v>0</v>
      </c>
      <c r="AI20" s="1">
        <v>1.0333990073160386</v>
      </c>
      <c r="AJ20" s="1">
        <v>2.4132481860564523</v>
      </c>
      <c r="AK20" s="1">
        <v>17.304273386888564</v>
      </c>
      <c r="AL20" s="1">
        <v>3.1771859489313106</v>
      </c>
      <c r="AM20" s="1">
        <v>1.0718934708076358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>
        <v>1997.0000000000005</v>
      </c>
    </row>
    <row r="21" spans="1:46">
      <c r="A21">
        <v>29</v>
      </c>
      <c r="B21">
        <v>0</v>
      </c>
      <c r="C21">
        <v>0</v>
      </c>
      <c r="D21">
        <v>0</v>
      </c>
      <c r="E21">
        <v>1249.6217278961733</v>
      </c>
      <c r="F21">
        <v>2943.2022293579475</v>
      </c>
      <c r="G21">
        <v>965.81484844203374</v>
      </c>
      <c r="H21">
        <v>45.757684031846161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f t="shared" si="1"/>
        <v>5204.3964897280002</v>
      </c>
      <c r="P21">
        <v>32</v>
      </c>
      <c r="Q21">
        <f t="shared" si="2"/>
        <v>0</v>
      </c>
      <c r="R21">
        <f t="shared" si="2"/>
        <v>0</v>
      </c>
      <c r="S21">
        <f t="shared" si="2"/>
        <v>0</v>
      </c>
      <c r="T21">
        <f t="shared" si="2"/>
        <v>7.6834836414947025</v>
      </c>
      <c r="U21">
        <f t="shared" si="2"/>
        <v>18.09671333176551</v>
      </c>
      <c r="V21">
        <f t="shared" si="2"/>
        <v>5.9384551525128586</v>
      </c>
      <c r="W21">
        <f t="shared" si="2"/>
        <v>0.28134787422693147</v>
      </c>
      <c r="X21">
        <f t="shared" si="2"/>
        <v>0</v>
      </c>
      <c r="Y21">
        <f t="shared" si="2"/>
        <v>0</v>
      </c>
      <c r="Z21">
        <f t="shared" si="2"/>
        <v>0</v>
      </c>
      <c r="AA21">
        <f t="shared" si="2"/>
        <v>0</v>
      </c>
      <c r="AB21">
        <f t="shared" si="2"/>
        <v>0</v>
      </c>
      <c r="AC21">
        <f t="shared" si="2"/>
        <v>0</v>
      </c>
      <c r="AD21">
        <f t="shared" si="3"/>
        <v>32.000000000000007</v>
      </c>
      <c r="AE21">
        <v>693</v>
      </c>
      <c r="AF21">
        <v>29</v>
      </c>
      <c r="AG21" s="1">
        <v>0</v>
      </c>
      <c r="AH21" s="1">
        <v>0</v>
      </c>
      <c r="AI21" s="1">
        <v>0</v>
      </c>
      <c r="AJ21" s="1">
        <v>7.6834836414947025</v>
      </c>
      <c r="AK21" s="1">
        <v>18.09671333176551</v>
      </c>
      <c r="AL21" s="1">
        <v>5.9384551525128586</v>
      </c>
      <c r="AM21" s="1">
        <v>0.28134787422693147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>
        <v>692.99999999999989</v>
      </c>
    </row>
    <row r="22" spans="1:46">
      <c r="A22">
        <v>30</v>
      </c>
      <c r="B22">
        <v>0</v>
      </c>
      <c r="C22">
        <v>0</v>
      </c>
      <c r="D22">
        <v>0</v>
      </c>
      <c r="E22">
        <v>120.44900893690911</v>
      </c>
      <c r="F22">
        <v>602.24504468454541</v>
      </c>
      <c r="G22">
        <v>423.31499226692733</v>
      </c>
      <c r="H22">
        <v>282.20999484461822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f t="shared" si="1"/>
        <v>1428.2190407330002</v>
      </c>
      <c r="P22">
        <v>36</v>
      </c>
      <c r="Q22">
        <f t="shared" si="2"/>
        <v>0</v>
      </c>
      <c r="R22">
        <f t="shared" si="2"/>
        <v>0</v>
      </c>
      <c r="S22">
        <f t="shared" si="2"/>
        <v>0</v>
      </c>
      <c r="T22">
        <f t="shared" si="2"/>
        <v>3.0360639356154313</v>
      </c>
      <c r="U22">
        <f t="shared" si="2"/>
        <v>15.180319678077153</v>
      </c>
      <c r="V22">
        <f t="shared" si="2"/>
        <v>10.670169831784451</v>
      </c>
      <c r="W22">
        <f t="shared" si="2"/>
        <v>7.1134465545229668</v>
      </c>
      <c r="X22">
        <f t="shared" si="2"/>
        <v>0</v>
      </c>
      <c r="Y22">
        <f t="shared" si="2"/>
        <v>0</v>
      </c>
      <c r="Z22">
        <f t="shared" si="2"/>
        <v>0</v>
      </c>
      <c r="AA22">
        <f t="shared" si="2"/>
        <v>0</v>
      </c>
      <c r="AB22">
        <f t="shared" si="2"/>
        <v>0</v>
      </c>
      <c r="AC22">
        <f t="shared" si="2"/>
        <v>0</v>
      </c>
      <c r="AD22">
        <f t="shared" si="3"/>
        <v>36</v>
      </c>
      <c r="AE22">
        <v>163</v>
      </c>
      <c r="AF22">
        <v>30</v>
      </c>
      <c r="AG22" s="1">
        <v>0</v>
      </c>
      <c r="AH22" s="1">
        <v>0</v>
      </c>
      <c r="AI22" s="1">
        <v>0</v>
      </c>
      <c r="AJ22" s="1">
        <v>3.0360639356154313</v>
      </c>
      <c r="AK22" s="1">
        <v>15.180319678077153</v>
      </c>
      <c r="AL22" s="1">
        <v>10.670169831784451</v>
      </c>
      <c r="AM22" s="1">
        <v>7.1134465545229668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>
        <v>163</v>
      </c>
    </row>
    <row r="23" spans="1:46">
      <c r="A23">
        <v>31</v>
      </c>
      <c r="B23">
        <v>0</v>
      </c>
      <c r="C23">
        <v>0</v>
      </c>
      <c r="D23">
        <v>0</v>
      </c>
      <c r="E23">
        <v>0</v>
      </c>
      <c r="F23">
        <v>435.99327582800004</v>
      </c>
      <c r="G23">
        <v>101.08410915600001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f t="shared" si="1"/>
        <v>537.07738498399999</v>
      </c>
      <c r="P23">
        <v>29</v>
      </c>
      <c r="Q23">
        <f t="shared" si="2"/>
        <v>0</v>
      </c>
      <c r="R23">
        <f t="shared" si="2"/>
        <v>0</v>
      </c>
      <c r="S23">
        <f t="shared" si="2"/>
        <v>0</v>
      </c>
      <c r="T23">
        <f t="shared" si="2"/>
        <v>0</v>
      </c>
      <c r="U23">
        <f t="shared" si="2"/>
        <v>23.541868178621357</v>
      </c>
      <c r="V23">
        <f t="shared" si="2"/>
        <v>5.4581318213786467</v>
      </c>
      <c r="W23">
        <f t="shared" si="2"/>
        <v>0</v>
      </c>
      <c r="X23">
        <f t="shared" si="2"/>
        <v>0</v>
      </c>
      <c r="Y23">
        <f t="shared" si="2"/>
        <v>0</v>
      </c>
      <c r="Z23">
        <f t="shared" si="2"/>
        <v>0</v>
      </c>
      <c r="AA23">
        <f t="shared" si="2"/>
        <v>0</v>
      </c>
      <c r="AB23">
        <f t="shared" si="2"/>
        <v>0</v>
      </c>
      <c r="AC23">
        <f t="shared" si="2"/>
        <v>0</v>
      </c>
      <c r="AD23">
        <f t="shared" si="3"/>
        <v>29.000000000000004</v>
      </c>
      <c r="AE23">
        <v>51</v>
      </c>
      <c r="AF23">
        <v>31</v>
      </c>
      <c r="AG23" s="1">
        <v>0</v>
      </c>
      <c r="AH23" s="1">
        <v>0</v>
      </c>
      <c r="AI23" s="1">
        <v>0</v>
      </c>
      <c r="AJ23" s="1">
        <v>0</v>
      </c>
      <c r="AK23" s="1">
        <v>23.541868178621357</v>
      </c>
      <c r="AL23" s="1">
        <v>5.4581318213786467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>
        <v>51.000000000000007</v>
      </c>
    </row>
    <row r="24" spans="1:46">
      <c r="A24">
        <v>32</v>
      </c>
      <c r="B24">
        <v>0</v>
      </c>
      <c r="C24">
        <v>0</v>
      </c>
      <c r="D24">
        <v>0</v>
      </c>
      <c r="E24">
        <v>0</v>
      </c>
      <c r="F24">
        <v>0</v>
      </c>
      <c r="G24">
        <v>647.67321865414283</v>
      </c>
      <c r="H24">
        <v>45.045851174285708</v>
      </c>
      <c r="I24">
        <v>11.261462793571427</v>
      </c>
      <c r="J24">
        <v>0</v>
      </c>
      <c r="K24">
        <v>0</v>
      </c>
      <c r="L24">
        <v>0</v>
      </c>
      <c r="M24">
        <v>0</v>
      </c>
      <c r="N24">
        <v>0</v>
      </c>
      <c r="O24">
        <f t="shared" si="1"/>
        <v>703.98053262200006</v>
      </c>
      <c r="P24">
        <v>48</v>
      </c>
      <c r="Q24">
        <f t="shared" si="2"/>
        <v>0</v>
      </c>
      <c r="R24">
        <f t="shared" si="2"/>
        <v>0</v>
      </c>
      <c r="S24">
        <f t="shared" si="2"/>
        <v>0</v>
      </c>
      <c r="T24">
        <f t="shared" si="2"/>
        <v>0</v>
      </c>
      <c r="U24">
        <f t="shared" si="2"/>
        <v>0</v>
      </c>
      <c r="V24">
        <f t="shared" si="2"/>
        <v>44.16075879202134</v>
      </c>
      <c r="W24">
        <f t="shared" si="2"/>
        <v>3.0713929663829216</v>
      </c>
      <c r="X24">
        <f t="shared" si="2"/>
        <v>0.7678482415957304</v>
      </c>
      <c r="Y24">
        <f t="shared" si="2"/>
        <v>0</v>
      </c>
      <c r="Z24">
        <f t="shared" si="2"/>
        <v>0</v>
      </c>
      <c r="AA24">
        <f t="shared" si="2"/>
        <v>0</v>
      </c>
      <c r="AB24">
        <f t="shared" si="2"/>
        <v>0</v>
      </c>
      <c r="AC24">
        <f t="shared" si="2"/>
        <v>0</v>
      </c>
      <c r="AD24">
        <f t="shared" si="3"/>
        <v>47.999999999999993</v>
      </c>
      <c r="AE24">
        <v>388</v>
      </c>
      <c r="AF24">
        <v>32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44.16075879202134</v>
      </c>
      <c r="AM24" s="1">
        <v>3.0713929663829216</v>
      </c>
      <c r="AN24" s="1">
        <v>0.7678482415957304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>
        <v>388</v>
      </c>
    </row>
    <row r="25" spans="1:46">
      <c r="A25">
        <v>33</v>
      </c>
      <c r="B25">
        <v>0</v>
      </c>
      <c r="C25">
        <v>0</v>
      </c>
      <c r="D25">
        <v>0</v>
      </c>
      <c r="E25">
        <v>0</v>
      </c>
      <c r="F25">
        <v>0</v>
      </c>
      <c r="G25">
        <v>232.62197366008334</v>
      </c>
      <c r="H25">
        <v>1122.8692951388334</v>
      </c>
      <c r="I25">
        <v>232.62197366008334</v>
      </c>
      <c r="J25">
        <v>0</v>
      </c>
      <c r="K25">
        <v>0</v>
      </c>
      <c r="L25">
        <v>0</v>
      </c>
      <c r="M25">
        <v>0</v>
      </c>
      <c r="N25">
        <v>0</v>
      </c>
      <c r="O25">
        <f t="shared" si="1"/>
        <v>1588.113242459</v>
      </c>
      <c r="P25">
        <v>53</v>
      </c>
      <c r="Q25">
        <f t="shared" si="2"/>
        <v>0</v>
      </c>
      <c r="R25">
        <f t="shared" si="2"/>
        <v>0</v>
      </c>
      <c r="S25">
        <f t="shared" si="2"/>
        <v>0</v>
      </c>
      <c r="T25">
        <f t="shared" si="2"/>
        <v>0</v>
      </c>
      <c r="U25">
        <f t="shared" si="2"/>
        <v>0</v>
      </c>
      <c r="V25">
        <f t="shared" si="2"/>
        <v>7.7632780045927436</v>
      </c>
      <c r="W25">
        <f t="shared" si="2"/>
        <v>37.473443990814516</v>
      </c>
      <c r="X25">
        <f t="shared" si="2"/>
        <v>7.7632780045927436</v>
      </c>
      <c r="Y25">
        <f t="shared" si="2"/>
        <v>0</v>
      </c>
      <c r="Z25">
        <f t="shared" si="2"/>
        <v>0</v>
      </c>
      <c r="AA25">
        <f t="shared" si="2"/>
        <v>0</v>
      </c>
      <c r="AB25">
        <f t="shared" si="2"/>
        <v>0</v>
      </c>
      <c r="AC25">
        <f t="shared" si="2"/>
        <v>0</v>
      </c>
      <c r="AD25">
        <f t="shared" si="3"/>
        <v>53</v>
      </c>
      <c r="AE25">
        <v>1215</v>
      </c>
      <c r="AF25">
        <v>33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7.7632780045927436</v>
      </c>
      <c r="AM25" s="1">
        <v>37.473443990814516</v>
      </c>
      <c r="AN25" s="1">
        <v>7.7632780045927436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>
        <v>1215</v>
      </c>
    </row>
    <row r="26" spans="1:46">
      <c r="A26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249.18947837000005</v>
      </c>
      <c r="H26">
        <v>2021.436582442667</v>
      </c>
      <c r="I26">
        <v>1052.5994244453334</v>
      </c>
      <c r="J26">
        <v>0</v>
      </c>
      <c r="K26">
        <v>0</v>
      </c>
      <c r="L26">
        <v>0</v>
      </c>
      <c r="M26">
        <v>0</v>
      </c>
      <c r="N26">
        <v>0</v>
      </c>
      <c r="O26">
        <f t="shared" si="1"/>
        <v>3323.2254852580008</v>
      </c>
      <c r="P26">
        <v>60</v>
      </c>
      <c r="Q26">
        <f t="shared" si="2"/>
        <v>0</v>
      </c>
      <c r="R26">
        <f t="shared" si="2"/>
        <v>0</v>
      </c>
      <c r="S26">
        <f t="shared" si="2"/>
        <v>0</v>
      </c>
      <c r="T26">
        <f t="shared" si="2"/>
        <v>0</v>
      </c>
      <c r="U26">
        <f t="shared" si="2"/>
        <v>0</v>
      </c>
      <c r="V26">
        <f t="shared" si="2"/>
        <v>4.4990533349377113</v>
      </c>
      <c r="W26">
        <f t="shared" si="2"/>
        <v>36.496528894771608</v>
      </c>
      <c r="X26">
        <f t="shared" si="2"/>
        <v>19.004417770290676</v>
      </c>
      <c r="Y26">
        <f t="shared" si="2"/>
        <v>0</v>
      </c>
      <c r="Z26">
        <f t="shared" si="2"/>
        <v>0</v>
      </c>
      <c r="AA26">
        <f t="shared" si="2"/>
        <v>0</v>
      </c>
      <c r="AB26">
        <f t="shared" si="2"/>
        <v>0</v>
      </c>
      <c r="AC26">
        <f t="shared" si="2"/>
        <v>0</v>
      </c>
      <c r="AD26">
        <f t="shared" si="3"/>
        <v>60</v>
      </c>
      <c r="AE26">
        <v>1230</v>
      </c>
      <c r="AF26">
        <v>34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4.4990533349377113</v>
      </c>
      <c r="AM26" s="1">
        <v>36.496528894771608</v>
      </c>
      <c r="AN26" s="1">
        <v>19.004417770290676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>
        <v>1230.0000000000002</v>
      </c>
    </row>
    <row r="27" spans="1:46">
      <c r="A27">
        <v>35</v>
      </c>
      <c r="B27">
        <v>0</v>
      </c>
      <c r="C27">
        <v>0</v>
      </c>
      <c r="D27">
        <v>0</v>
      </c>
      <c r="E27">
        <v>0</v>
      </c>
      <c r="F27">
        <v>16.5060559645</v>
      </c>
      <c r="G27">
        <v>939.98961084849998</v>
      </c>
      <c r="H27">
        <v>1170.8604995695002</v>
      </c>
      <c r="I27">
        <v>1385.2253323260002</v>
      </c>
      <c r="J27">
        <v>478.24783340649998</v>
      </c>
      <c r="K27">
        <v>0</v>
      </c>
      <c r="L27">
        <v>0</v>
      </c>
      <c r="M27">
        <v>0</v>
      </c>
      <c r="N27">
        <v>0</v>
      </c>
      <c r="O27">
        <f t="shared" si="1"/>
        <v>3990.8293321150004</v>
      </c>
      <c r="P27">
        <v>62</v>
      </c>
      <c r="Q27">
        <f t="shared" si="2"/>
        <v>0</v>
      </c>
      <c r="R27">
        <f t="shared" si="2"/>
        <v>0</v>
      </c>
      <c r="S27">
        <f t="shared" si="2"/>
        <v>0</v>
      </c>
      <c r="T27">
        <f t="shared" si="2"/>
        <v>0</v>
      </c>
      <c r="U27">
        <f t="shared" si="2"/>
        <v>0.25643178012241546</v>
      </c>
      <c r="V27">
        <f t="shared" si="2"/>
        <v>14.603319516477788</v>
      </c>
      <c r="W27">
        <f t="shared" si="2"/>
        <v>18.190041450566632</v>
      </c>
      <c r="X27">
        <f t="shared" si="2"/>
        <v>21.520331604533059</v>
      </c>
      <c r="Y27">
        <f t="shared" si="2"/>
        <v>7.4298756483001007</v>
      </c>
      <c r="Z27">
        <f t="shared" si="2"/>
        <v>0</v>
      </c>
      <c r="AA27">
        <f t="shared" si="2"/>
        <v>0</v>
      </c>
      <c r="AB27">
        <f t="shared" si="2"/>
        <v>0</v>
      </c>
      <c r="AC27">
        <f t="shared" si="2"/>
        <v>0</v>
      </c>
      <c r="AD27">
        <f t="shared" si="3"/>
        <v>61.999999999999986</v>
      </c>
      <c r="AE27">
        <v>952</v>
      </c>
      <c r="AF27">
        <v>35</v>
      </c>
      <c r="AG27" s="1">
        <v>0</v>
      </c>
      <c r="AH27" s="1">
        <v>0</v>
      </c>
      <c r="AI27" s="1">
        <v>0</v>
      </c>
      <c r="AJ27" s="1">
        <v>0</v>
      </c>
      <c r="AK27" s="1">
        <v>0.25643178012241546</v>
      </c>
      <c r="AL27" s="1">
        <v>14.603319516477788</v>
      </c>
      <c r="AM27" s="1">
        <v>18.190041450566632</v>
      </c>
      <c r="AN27" s="1">
        <v>21.520331604533059</v>
      </c>
      <c r="AO27" s="1">
        <v>7.4298756483001007</v>
      </c>
      <c r="AP27" s="1">
        <v>0</v>
      </c>
      <c r="AQ27" s="1">
        <v>0</v>
      </c>
      <c r="AR27" s="1">
        <v>0</v>
      </c>
      <c r="AS27" s="1">
        <v>0</v>
      </c>
      <c r="AT27">
        <v>952</v>
      </c>
    </row>
    <row r="28" spans="1:46">
      <c r="A28">
        <v>36</v>
      </c>
      <c r="B28">
        <v>0</v>
      </c>
      <c r="C28">
        <v>0</v>
      </c>
      <c r="D28">
        <v>0</v>
      </c>
      <c r="E28">
        <v>0</v>
      </c>
      <c r="F28">
        <v>0</v>
      </c>
      <c r="G28">
        <v>19.164042092333332</v>
      </c>
      <c r="H28">
        <v>345.60950630866665</v>
      </c>
      <c r="I28">
        <v>1382.4380252346666</v>
      </c>
      <c r="J28">
        <v>383.93759049333335</v>
      </c>
      <c r="K28">
        <v>0</v>
      </c>
      <c r="L28">
        <v>0</v>
      </c>
      <c r="M28">
        <v>0</v>
      </c>
      <c r="N28">
        <v>0</v>
      </c>
      <c r="O28">
        <f t="shared" si="1"/>
        <v>2131.1491641289999</v>
      </c>
      <c r="P28">
        <v>66</v>
      </c>
      <c r="Q28">
        <f t="shared" si="2"/>
        <v>0</v>
      </c>
      <c r="R28">
        <f t="shared" si="2"/>
        <v>0</v>
      </c>
      <c r="S28">
        <f t="shared" si="2"/>
        <v>0</v>
      </c>
      <c r="T28">
        <f t="shared" si="2"/>
        <v>0</v>
      </c>
      <c r="U28">
        <f t="shared" si="2"/>
        <v>0</v>
      </c>
      <c r="V28">
        <f t="shared" si="2"/>
        <v>0.59349519000512307</v>
      </c>
      <c r="W28">
        <f t="shared" si="2"/>
        <v>10.703252404997439</v>
      </c>
      <c r="X28">
        <f t="shared" si="2"/>
        <v>42.813009619989757</v>
      </c>
      <c r="Y28">
        <f t="shared" si="2"/>
        <v>11.890242785007686</v>
      </c>
      <c r="Z28">
        <f t="shared" si="2"/>
        <v>0</v>
      </c>
      <c r="AA28">
        <f t="shared" si="2"/>
        <v>0</v>
      </c>
      <c r="AB28">
        <f t="shared" si="2"/>
        <v>0</v>
      </c>
      <c r="AC28">
        <f t="shared" si="2"/>
        <v>0</v>
      </c>
      <c r="AD28">
        <f t="shared" si="3"/>
        <v>66</v>
      </c>
      <c r="AE28">
        <v>461</v>
      </c>
      <c r="AF28">
        <v>36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0.59349519000512307</v>
      </c>
      <c r="AM28" s="1">
        <v>10.703252404997439</v>
      </c>
      <c r="AN28" s="1">
        <v>42.813009619989757</v>
      </c>
      <c r="AO28" s="1">
        <v>11.890242785007686</v>
      </c>
      <c r="AP28" s="1">
        <v>0</v>
      </c>
      <c r="AQ28" s="1">
        <v>0</v>
      </c>
      <c r="AR28" s="1">
        <v>0</v>
      </c>
      <c r="AS28" s="1">
        <v>0</v>
      </c>
      <c r="AT28">
        <v>461</v>
      </c>
    </row>
    <row r="29" spans="1:46">
      <c r="A29">
        <v>37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457.25431505377776</v>
      </c>
      <c r="I29">
        <v>342.94073629033329</v>
      </c>
      <c r="J29">
        <v>228.62715752688888</v>
      </c>
      <c r="K29">
        <v>13.387762871</v>
      </c>
      <c r="L29">
        <v>0</v>
      </c>
      <c r="M29">
        <v>0</v>
      </c>
      <c r="N29">
        <v>0</v>
      </c>
      <c r="O29">
        <f t="shared" si="1"/>
        <v>1042.2099717419999</v>
      </c>
      <c r="P29">
        <v>73</v>
      </c>
      <c r="Q29">
        <f t="shared" si="2"/>
        <v>0</v>
      </c>
      <c r="R29">
        <f t="shared" si="2"/>
        <v>0</v>
      </c>
      <c r="S29">
        <f t="shared" si="2"/>
        <v>0</v>
      </c>
      <c r="T29">
        <f t="shared" si="2"/>
        <v>0</v>
      </c>
      <c r="U29">
        <f t="shared" si="2"/>
        <v>0</v>
      </c>
      <c r="V29">
        <f t="shared" si="2"/>
        <v>0</v>
      </c>
      <c r="W29">
        <f t="shared" si="2"/>
        <v>32.027677631152926</v>
      </c>
      <c r="X29">
        <f t="shared" si="2"/>
        <v>24.020758223364695</v>
      </c>
      <c r="Y29">
        <f t="shared" si="2"/>
        <v>16.013838815576463</v>
      </c>
      <c r="Z29">
        <f t="shared" si="2"/>
        <v>0.93772532990591373</v>
      </c>
      <c r="AA29">
        <f t="shared" si="2"/>
        <v>0</v>
      </c>
      <c r="AB29">
        <f t="shared" si="2"/>
        <v>0</v>
      </c>
      <c r="AC29">
        <f t="shared" si="2"/>
        <v>0</v>
      </c>
      <c r="AD29">
        <f t="shared" si="3"/>
        <v>73</v>
      </c>
      <c r="AE29">
        <v>827</v>
      </c>
      <c r="AF29">
        <v>37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32.027677631152926</v>
      </c>
      <c r="AN29" s="1">
        <v>24.020758223364695</v>
      </c>
      <c r="AO29" s="1">
        <v>16.013838815576463</v>
      </c>
      <c r="AP29" s="1">
        <v>0.93772532990591373</v>
      </c>
      <c r="AQ29" s="1">
        <v>0</v>
      </c>
      <c r="AR29" s="1">
        <v>0</v>
      </c>
      <c r="AS29" s="1">
        <v>0</v>
      </c>
      <c r="AT29">
        <v>827</v>
      </c>
    </row>
    <row r="30" spans="1:46">
      <c r="A30">
        <v>38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122.85330901723079</v>
      </c>
      <c r="I30">
        <v>592.54281243892308</v>
      </c>
      <c r="J30">
        <v>859.97316312061525</v>
      </c>
      <c r="K30">
        <v>122.85330901723079</v>
      </c>
      <c r="L30">
        <v>0</v>
      </c>
      <c r="M30">
        <v>0</v>
      </c>
      <c r="N30">
        <v>0</v>
      </c>
      <c r="O30">
        <f t="shared" si="1"/>
        <v>1698.2225935939998</v>
      </c>
      <c r="P30">
        <v>56</v>
      </c>
      <c r="Q30">
        <f t="shared" si="2"/>
        <v>0</v>
      </c>
      <c r="R30">
        <f t="shared" si="2"/>
        <v>0</v>
      </c>
      <c r="S30">
        <f t="shared" si="2"/>
        <v>0</v>
      </c>
      <c r="T30">
        <f t="shared" si="2"/>
        <v>0</v>
      </c>
      <c r="U30">
        <f t="shared" si="2"/>
        <v>0</v>
      </c>
      <c r="V30">
        <f t="shared" si="2"/>
        <v>0</v>
      </c>
      <c r="W30">
        <f t="shared" si="2"/>
        <v>4.0511681630645517</v>
      </c>
      <c r="X30">
        <f t="shared" si="2"/>
        <v>19.539486532419041</v>
      </c>
      <c r="Y30">
        <f t="shared" si="2"/>
        <v>28.358177141451858</v>
      </c>
      <c r="Z30">
        <f t="shared" si="2"/>
        <v>4.0511681630645517</v>
      </c>
      <c r="AA30">
        <f t="shared" si="2"/>
        <v>0</v>
      </c>
      <c r="AB30">
        <f t="shared" si="2"/>
        <v>0</v>
      </c>
      <c r="AC30">
        <f t="shared" si="2"/>
        <v>0</v>
      </c>
      <c r="AD30">
        <f t="shared" si="3"/>
        <v>56.000000000000007</v>
      </c>
      <c r="AE30">
        <v>1596</v>
      </c>
      <c r="AF30">
        <v>38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4.0511681630645517</v>
      </c>
      <c r="AN30" s="1">
        <v>19.539486532419041</v>
      </c>
      <c r="AO30" s="1">
        <v>28.358177141451858</v>
      </c>
      <c r="AP30" s="1">
        <v>4.0511681630645517</v>
      </c>
      <c r="AQ30" s="1">
        <v>0</v>
      </c>
      <c r="AR30" s="1">
        <v>0</v>
      </c>
      <c r="AS30" s="1">
        <v>0</v>
      </c>
      <c r="AT30">
        <v>1596</v>
      </c>
    </row>
    <row r="31" spans="1:46">
      <c r="A31">
        <v>39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315.08120953200006</v>
      </c>
      <c r="I31">
        <v>1102.7842333619999</v>
      </c>
      <c r="J31">
        <v>1333.5369621890002</v>
      </c>
      <c r="K31">
        <v>0</v>
      </c>
      <c r="L31">
        <v>0</v>
      </c>
      <c r="M31">
        <v>0</v>
      </c>
      <c r="N31">
        <v>0</v>
      </c>
      <c r="O31">
        <f t="shared" si="1"/>
        <v>2751.4024050830003</v>
      </c>
      <c r="P31">
        <v>44</v>
      </c>
      <c r="Q31">
        <f t="shared" si="2"/>
        <v>0</v>
      </c>
      <c r="R31">
        <f t="shared" si="2"/>
        <v>0</v>
      </c>
      <c r="S31">
        <f t="shared" si="2"/>
        <v>0</v>
      </c>
      <c r="T31">
        <f t="shared" si="2"/>
        <v>0</v>
      </c>
      <c r="U31">
        <f t="shared" si="2"/>
        <v>0</v>
      </c>
      <c r="V31">
        <f t="shared" si="2"/>
        <v>0</v>
      </c>
      <c r="W31">
        <f t="shared" si="2"/>
        <v>5.0387297742402701</v>
      </c>
      <c r="X31">
        <f t="shared" si="2"/>
        <v>17.63555420984094</v>
      </c>
      <c r="Y31">
        <f t="shared" si="2"/>
        <v>21.325716015918786</v>
      </c>
      <c r="Z31">
        <f t="shared" si="2"/>
        <v>0</v>
      </c>
      <c r="AA31">
        <f t="shared" si="2"/>
        <v>0</v>
      </c>
      <c r="AB31">
        <f t="shared" si="2"/>
        <v>0</v>
      </c>
      <c r="AC31">
        <f t="shared" si="2"/>
        <v>0</v>
      </c>
      <c r="AD31">
        <f t="shared" si="3"/>
        <v>44</v>
      </c>
      <c r="AE31">
        <v>1564</v>
      </c>
      <c r="AF31">
        <v>39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5.0387297742402701</v>
      </c>
      <c r="AN31" s="1">
        <v>17.63555420984094</v>
      </c>
      <c r="AO31" s="1">
        <v>21.325716015918786</v>
      </c>
      <c r="AP31" s="1">
        <v>0</v>
      </c>
      <c r="AQ31" s="1">
        <v>0</v>
      </c>
      <c r="AR31" s="1">
        <v>0</v>
      </c>
      <c r="AS31" s="1">
        <v>0</v>
      </c>
      <c r="AT31">
        <v>1564</v>
      </c>
    </row>
    <row r="32" spans="1:46">
      <c r="A32">
        <v>40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1448.9834510364003</v>
      </c>
      <c r="J32">
        <v>1517.5899794844001</v>
      </c>
      <c r="K32">
        <v>724.49172551820016</v>
      </c>
      <c r="L32">
        <v>0</v>
      </c>
      <c r="M32">
        <v>0</v>
      </c>
      <c r="N32">
        <v>0</v>
      </c>
      <c r="O32">
        <f t="shared" si="1"/>
        <v>3691.0651560390006</v>
      </c>
      <c r="P32">
        <v>57</v>
      </c>
      <c r="Q32">
        <f t="shared" si="2"/>
        <v>0</v>
      </c>
      <c r="R32">
        <f t="shared" si="2"/>
        <v>0</v>
      </c>
      <c r="S32">
        <f t="shared" si="2"/>
        <v>0</v>
      </c>
      <c r="T32">
        <f t="shared" si="2"/>
        <v>0</v>
      </c>
      <c r="U32">
        <f t="shared" si="2"/>
        <v>0</v>
      </c>
      <c r="V32">
        <f t="shared" si="2"/>
        <v>0</v>
      </c>
      <c r="W32">
        <f t="shared" si="2"/>
        <v>0</v>
      </c>
      <c r="X32">
        <f t="shared" si="2"/>
        <v>22.376212073619143</v>
      </c>
      <c r="Y32">
        <f t="shared" si="2"/>
        <v>23.435681889571281</v>
      </c>
      <c r="Z32">
        <f t="shared" si="2"/>
        <v>11.188106036809572</v>
      </c>
      <c r="AA32">
        <f t="shared" si="2"/>
        <v>0</v>
      </c>
      <c r="AB32">
        <f t="shared" si="2"/>
        <v>0</v>
      </c>
      <c r="AC32">
        <f t="shared" si="2"/>
        <v>0</v>
      </c>
      <c r="AD32">
        <f t="shared" si="3"/>
        <v>57</v>
      </c>
      <c r="AE32">
        <v>2170</v>
      </c>
      <c r="AF32">
        <v>40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22.376212073619143</v>
      </c>
      <c r="AO32" s="1">
        <v>23.435681889571281</v>
      </c>
      <c r="AP32" s="1">
        <v>11.188106036809572</v>
      </c>
      <c r="AQ32" s="1">
        <v>0</v>
      </c>
      <c r="AR32" s="1">
        <v>0</v>
      </c>
      <c r="AS32" s="1">
        <v>0</v>
      </c>
      <c r="AT32">
        <v>2170</v>
      </c>
    </row>
    <row r="33" spans="1:46">
      <c r="A33">
        <v>41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1116.4155120352273</v>
      </c>
      <c r="J33">
        <v>1579.465542631682</v>
      </c>
      <c r="K33">
        <v>771.75005099409088</v>
      </c>
      <c r="L33">
        <v>0</v>
      </c>
      <c r="M33">
        <v>0</v>
      </c>
      <c r="N33">
        <v>0</v>
      </c>
      <c r="O33">
        <f t="shared" si="1"/>
        <v>3467.6311056610002</v>
      </c>
      <c r="P33">
        <v>56</v>
      </c>
      <c r="Q33">
        <f t="shared" si="2"/>
        <v>0</v>
      </c>
      <c r="R33">
        <f t="shared" si="2"/>
        <v>0</v>
      </c>
      <c r="S33">
        <f t="shared" si="2"/>
        <v>0</v>
      </c>
      <c r="T33">
        <f t="shared" si="2"/>
        <v>0</v>
      </c>
      <c r="U33">
        <f t="shared" si="2"/>
        <v>0</v>
      </c>
      <c r="V33">
        <f t="shared" si="2"/>
        <v>0</v>
      </c>
      <c r="W33">
        <f t="shared" si="2"/>
        <v>0</v>
      </c>
      <c r="X33">
        <f t="shared" si="2"/>
        <v>18.029388585166501</v>
      </c>
      <c r="Y33">
        <f t="shared" si="2"/>
        <v>25.507347146291625</v>
      </c>
      <c r="Z33">
        <f t="shared" si="2"/>
        <v>12.463264268541872</v>
      </c>
      <c r="AA33">
        <f t="shared" si="2"/>
        <v>0</v>
      </c>
      <c r="AB33">
        <f t="shared" si="2"/>
        <v>0</v>
      </c>
      <c r="AC33">
        <f t="shared" si="2"/>
        <v>0</v>
      </c>
      <c r="AD33">
        <f t="shared" si="3"/>
        <v>55.999999999999993</v>
      </c>
      <c r="AE33">
        <v>1575</v>
      </c>
      <c r="AF33">
        <v>41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18.029388585166501</v>
      </c>
      <c r="AO33" s="1">
        <v>25.507347146291625</v>
      </c>
      <c r="AP33" s="1">
        <v>12.463264268541872</v>
      </c>
      <c r="AQ33" s="1">
        <v>0</v>
      </c>
      <c r="AR33" s="1">
        <v>0</v>
      </c>
      <c r="AS33" s="1">
        <v>0</v>
      </c>
      <c r="AT33">
        <v>1574.9999999999998</v>
      </c>
    </row>
    <row r="34" spans="1:46">
      <c r="A34">
        <v>42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506.28936372761905</v>
      </c>
      <c r="J34">
        <v>1036.6145620972381</v>
      </c>
      <c r="K34">
        <v>759.43404559142868</v>
      </c>
      <c r="L34">
        <v>403.75285743771428</v>
      </c>
      <c r="M34">
        <v>0</v>
      </c>
      <c r="N34">
        <v>0</v>
      </c>
      <c r="O34">
        <f t="shared" si="1"/>
        <v>2706.0908288539999</v>
      </c>
      <c r="P34">
        <v>46</v>
      </c>
      <c r="Q34">
        <f t="shared" si="2"/>
        <v>0</v>
      </c>
      <c r="R34">
        <f t="shared" si="2"/>
        <v>0</v>
      </c>
      <c r="S34">
        <f t="shared" si="2"/>
        <v>0</v>
      </c>
      <c r="T34">
        <f t="shared" si="2"/>
        <v>0</v>
      </c>
      <c r="U34">
        <f t="shared" si="2"/>
        <v>0</v>
      </c>
      <c r="V34">
        <f t="shared" si="2"/>
        <v>0</v>
      </c>
      <c r="W34">
        <f t="shared" si="2"/>
        <v>0</v>
      </c>
      <c r="X34">
        <f t="shared" si="2"/>
        <v>8.6062561105287241</v>
      </c>
      <c r="Y34">
        <f t="shared" si="2"/>
        <v>17.621089930919549</v>
      </c>
      <c r="Z34">
        <f t="shared" si="2"/>
        <v>12.909384165793087</v>
      </c>
      <c r="AA34">
        <f t="shared" si="2"/>
        <v>6.8632697927586426</v>
      </c>
      <c r="AB34">
        <f t="shared" si="2"/>
        <v>0</v>
      </c>
      <c r="AC34">
        <f t="shared" si="2"/>
        <v>0</v>
      </c>
      <c r="AD34">
        <f t="shared" si="3"/>
        <v>46</v>
      </c>
      <c r="AE34">
        <v>1101</v>
      </c>
      <c r="AF34">
        <v>42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8.6062561105287241</v>
      </c>
      <c r="AO34" s="1">
        <v>17.621089930919549</v>
      </c>
      <c r="AP34" s="1">
        <v>12.909384165793087</v>
      </c>
      <c r="AQ34" s="1">
        <v>6.8632697927586426</v>
      </c>
      <c r="AR34" s="1">
        <v>0</v>
      </c>
      <c r="AS34" s="1">
        <v>0</v>
      </c>
      <c r="AT34">
        <v>1101</v>
      </c>
    </row>
    <row r="35" spans="1:46">
      <c r="A35">
        <v>43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945.98417041493326</v>
      </c>
      <c r="K35">
        <v>683.76067964320009</v>
      </c>
      <c r="L35">
        <v>113.96011327386665</v>
      </c>
      <c r="M35">
        <v>0</v>
      </c>
      <c r="N35">
        <v>0</v>
      </c>
      <c r="O35">
        <f t="shared" si="1"/>
        <v>1743.704963332</v>
      </c>
      <c r="P35">
        <v>50</v>
      </c>
      <c r="Q35">
        <f t="shared" si="2"/>
        <v>0</v>
      </c>
      <c r="R35">
        <f t="shared" si="2"/>
        <v>0</v>
      </c>
      <c r="S35">
        <f t="shared" si="2"/>
        <v>0</v>
      </c>
      <c r="T35">
        <f t="shared" si="2"/>
        <v>0</v>
      </c>
      <c r="U35">
        <f t="shared" si="2"/>
        <v>0</v>
      </c>
      <c r="V35">
        <f t="shared" si="2"/>
        <v>0</v>
      </c>
      <c r="W35">
        <f t="shared" si="2"/>
        <v>0</v>
      </c>
      <c r="X35">
        <f t="shared" si="2"/>
        <v>0</v>
      </c>
      <c r="Y35">
        <f t="shared" si="2"/>
        <v>27.12569472209556</v>
      </c>
      <c r="Z35">
        <f t="shared" si="2"/>
        <v>19.606547381060949</v>
      </c>
      <c r="AA35">
        <f t="shared" si="2"/>
        <v>3.2677578968434906</v>
      </c>
      <c r="AB35">
        <f t="shared" si="2"/>
        <v>0</v>
      </c>
      <c r="AC35">
        <f t="shared" si="2"/>
        <v>0</v>
      </c>
      <c r="AD35">
        <f t="shared" si="3"/>
        <v>50</v>
      </c>
      <c r="AE35">
        <v>1131</v>
      </c>
      <c r="AF35">
        <v>43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27.12569472209556</v>
      </c>
      <c r="AP35" s="1">
        <v>19.606547381060949</v>
      </c>
      <c r="AQ35" s="1">
        <v>3.2677578968434906</v>
      </c>
      <c r="AR35" s="1">
        <v>0</v>
      </c>
      <c r="AS35" s="1">
        <v>0</v>
      </c>
      <c r="AT35">
        <v>1131.0000000000002</v>
      </c>
    </row>
    <row r="36" spans="1:46">
      <c r="A36">
        <v>44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144.99523690250001</v>
      </c>
      <c r="J36">
        <v>579.98094761000004</v>
      </c>
      <c r="K36">
        <v>434.9857107075</v>
      </c>
      <c r="L36">
        <v>291.652358768</v>
      </c>
      <c r="M36">
        <v>0</v>
      </c>
      <c r="N36">
        <v>0</v>
      </c>
      <c r="O36">
        <f t="shared" si="1"/>
        <v>1451.6142539880002</v>
      </c>
      <c r="P36">
        <v>35</v>
      </c>
      <c r="Q36">
        <f t="shared" si="2"/>
        <v>0</v>
      </c>
      <c r="R36">
        <f t="shared" si="2"/>
        <v>0</v>
      </c>
      <c r="S36">
        <f t="shared" si="2"/>
        <v>0</v>
      </c>
      <c r="T36">
        <f t="shared" si="2"/>
        <v>0</v>
      </c>
      <c r="U36">
        <f t="shared" si="2"/>
        <v>0</v>
      </c>
      <c r="V36">
        <f t="shared" si="2"/>
        <v>0</v>
      </c>
      <c r="W36">
        <f t="shared" ref="W36:AC52" si="4">$P36/$O36*H36</f>
        <v>0</v>
      </c>
      <c r="X36">
        <f t="shared" si="4"/>
        <v>3.4959930144289224</v>
      </c>
      <c r="Y36">
        <f t="shared" si="4"/>
        <v>13.98397205771569</v>
      </c>
      <c r="Z36">
        <f t="shared" si="4"/>
        <v>10.487979043286767</v>
      </c>
      <c r="AA36">
        <f t="shared" si="4"/>
        <v>7.0320558845686172</v>
      </c>
      <c r="AB36">
        <f t="shared" si="4"/>
        <v>0</v>
      </c>
      <c r="AC36">
        <f t="shared" si="4"/>
        <v>0</v>
      </c>
      <c r="AD36">
        <f t="shared" si="3"/>
        <v>35</v>
      </c>
      <c r="AE36">
        <v>874</v>
      </c>
      <c r="AF36">
        <v>44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3.4959930144289224</v>
      </c>
      <c r="AO36" s="1">
        <v>13.98397205771569</v>
      </c>
      <c r="AP36" s="1">
        <v>10.487979043286767</v>
      </c>
      <c r="AQ36" s="1">
        <v>7.0320558845686172</v>
      </c>
      <c r="AR36" s="1">
        <v>0</v>
      </c>
      <c r="AS36" s="1">
        <v>0</v>
      </c>
      <c r="AT36">
        <v>873.99999999999989</v>
      </c>
    </row>
    <row r="37" spans="1:46">
      <c r="A37">
        <v>45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381.03460603159999</v>
      </c>
      <c r="K37">
        <v>0</v>
      </c>
      <c r="L37">
        <v>381.03460603159999</v>
      </c>
      <c r="M37">
        <v>190.5173030158</v>
      </c>
      <c r="N37">
        <v>0</v>
      </c>
      <c r="O37">
        <f t="shared" si="1"/>
        <v>952.58651507900004</v>
      </c>
      <c r="P37">
        <v>37</v>
      </c>
      <c r="Q37">
        <f t="shared" ref="Q37:V52" si="5">$P37/$O37*B37</f>
        <v>0</v>
      </c>
      <c r="R37">
        <f t="shared" si="5"/>
        <v>0</v>
      </c>
      <c r="S37">
        <f t="shared" si="5"/>
        <v>0</v>
      </c>
      <c r="T37">
        <f t="shared" si="5"/>
        <v>0</v>
      </c>
      <c r="U37">
        <f t="shared" si="5"/>
        <v>0</v>
      </c>
      <c r="V37">
        <f t="shared" si="5"/>
        <v>0</v>
      </c>
      <c r="W37">
        <f t="shared" si="4"/>
        <v>0</v>
      </c>
      <c r="X37">
        <f t="shared" si="4"/>
        <v>0</v>
      </c>
      <c r="Y37">
        <f t="shared" si="4"/>
        <v>14.799999999999999</v>
      </c>
      <c r="Z37">
        <f t="shared" si="4"/>
        <v>0</v>
      </c>
      <c r="AA37">
        <f t="shared" si="4"/>
        <v>14.799999999999999</v>
      </c>
      <c r="AB37">
        <f t="shared" si="4"/>
        <v>7.3999999999999995</v>
      </c>
      <c r="AC37">
        <f t="shared" si="4"/>
        <v>0</v>
      </c>
      <c r="AD37">
        <f t="shared" si="3"/>
        <v>37</v>
      </c>
      <c r="AE37">
        <v>727</v>
      </c>
      <c r="AF37">
        <v>45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14.799999999999999</v>
      </c>
      <c r="AP37" s="1">
        <v>0</v>
      </c>
      <c r="AQ37" s="1">
        <v>14.799999999999999</v>
      </c>
      <c r="AR37" s="1">
        <v>7.3999999999999995</v>
      </c>
      <c r="AS37" s="1">
        <v>0</v>
      </c>
      <c r="AT37">
        <v>727</v>
      </c>
    </row>
    <row r="38" spans="1:46">
      <c r="A38">
        <v>46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69.495600309222226</v>
      </c>
      <c r="K38">
        <v>277.9824012368889</v>
      </c>
      <c r="L38">
        <v>138.99120061844445</v>
      </c>
      <c r="M38">
        <v>138.99120061844445</v>
      </c>
      <c r="N38">
        <v>0</v>
      </c>
      <c r="O38">
        <f t="shared" si="1"/>
        <v>625.46040278300006</v>
      </c>
      <c r="P38">
        <v>45</v>
      </c>
      <c r="Q38">
        <f t="shared" si="5"/>
        <v>0</v>
      </c>
      <c r="R38">
        <f t="shared" si="5"/>
        <v>0</v>
      </c>
      <c r="S38">
        <f t="shared" si="5"/>
        <v>0</v>
      </c>
      <c r="T38">
        <f t="shared" si="5"/>
        <v>0</v>
      </c>
      <c r="U38">
        <f t="shared" si="5"/>
        <v>0</v>
      </c>
      <c r="V38">
        <f t="shared" si="5"/>
        <v>0</v>
      </c>
      <c r="W38">
        <f t="shared" si="4"/>
        <v>0</v>
      </c>
      <c r="X38">
        <f t="shared" si="4"/>
        <v>0</v>
      </c>
      <c r="Y38">
        <f t="shared" si="4"/>
        <v>5</v>
      </c>
      <c r="Z38">
        <f t="shared" si="4"/>
        <v>20</v>
      </c>
      <c r="AA38">
        <f t="shared" si="4"/>
        <v>10</v>
      </c>
      <c r="AB38">
        <f t="shared" si="4"/>
        <v>10</v>
      </c>
      <c r="AC38">
        <f t="shared" si="4"/>
        <v>0</v>
      </c>
      <c r="AD38">
        <f t="shared" si="3"/>
        <v>45</v>
      </c>
      <c r="AE38">
        <v>630</v>
      </c>
      <c r="AF38">
        <v>46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5</v>
      </c>
      <c r="AP38" s="1">
        <v>20</v>
      </c>
      <c r="AQ38" s="1">
        <v>10</v>
      </c>
      <c r="AR38" s="1">
        <v>10</v>
      </c>
      <c r="AS38" s="1">
        <v>0</v>
      </c>
      <c r="AT38">
        <v>630</v>
      </c>
    </row>
    <row r="39" spans="1:46">
      <c r="A39">
        <v>47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37.818870818300006</v>
      </c>
      <c r="L39">
        <v>113.4566124549</v>
      </c>
      <c r="M39">
        <v>113.4566124549</v>
      </c>
      <c r="N39">
        <v>113.4566124549</v>
      </c>
      <c r="O39">
        <f t="shared" si="1"/>
        <v>378.18870818299996</v>
      </c>
      <c r="P39">
        <v>42</v>
      </c>
      <c r="Q39">
        <f t="shared" si="5"/>
        <v>0</v>
      </c>
      <c r="R39">
        <f t="shared" si="5"/>
        <v>0</v>
      </c>
      <c r="S39">
        <f t="shared" si="5"/>
        <v>0</v>
      </c>
      <c r="T39">
        <f t="shared" si="5"/>
        <v>0</v>
      </c>
      <c r="U39">
        <f t="shared" si="5"/>
        <v>0</v>
      </c>
      <c r="V39">
        <f t="shared" si="5"/>
        <v>0</v>
      </c>
      <c r="W39">
        <f t="shared" si="4"/>
        <v>0</v>
      </c>
      <c r="X39">
        <f t="shared" si="4"/>
        <v>0</v>
      </c>
      <c r="Y39">
        <f t="shared" si="4"/>
        <v>0</v>
      </c>
      <c r="Z39">
        <f t="shared" si="4"/>
        <v>4.2000000000000011</v>
      </c>
      <c r="AA39">
        <f t="shared" si="4"/>
        <v>12.6</v>
      </c>
      <c r="AB39">
        <f t="shared" si="4"/>
        <v>12.6</v>
      </c>
      <c r="AC39">
        <f t="shared" si="4"/>
        <v>12.6</v>
      </c>
      <c r="AD39">
        <f t="shared" si="3"/>
        <v>42</v>
      </c>
      <c r="AE39">
        <v>565</v>
      </c>
      <c r="AF39">
        <v>47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4.2000000000000011</v>
      </c>
      <c r="AQ39" s="1">
        <v>12.6</v>
      </c>
      <c r="AR39" s="1">
        <v>12.6</v>
      </c>
      <c r="AS39" s="1">
        <v>12.6</v>
      </c>
      <c r="AT39">
        <v>565</v>
      </c>
    </row>
    <row r="40" spans="1:46">
      <c r="A40">
        <v>48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56.413154314000003</v>
      </c>
      <c r="M40">
        <v>56.413154314000003</v>
      </c>
      <c r="N40">
        <v>112.82630862800001</v>
      </c>
      <c r="O40">
        <f t="shared" si="1"/>
        <v>225.65261725600001</v>
      </c>
      <c r="P40">
        <v>23</v>
      </c>
      <c r="Q40">
        <f t="shared" si="5"/>
        <v>0</v>
      </c>
      <c r="R40">
        <f t="shared" si="5"/>
        <v>0</v>
      </c>
      <c r="S40">
        <f t="shared" si="5"/>
        <v>0</v>
      </c>
      <c r="T40">
        <f t="shared" si="5"/>
        <v>0</v>
      </c>
      <c r="U40">
        <f t="shared" si="5"/>
        <v>0</v>
      </c>
      <c r="V40">
        <f t="shared" si="5"/>
        <v>0</v>
      </c>
      <c r="W40">
        <f t="shared" si="4"/>
        <v>0</v>
      </c>
      <c r="X40">
        <f t="shared" si="4"/>
        <v>0</v>
      </c>
      <c r="Y40">
        <f t="shared" si="4"/>
        <v>0</v>
      </c>
      <c r="Z40">
        <f t="shared" si="4"/>
        <v>0</v>
      </c>
      <c r="AA40">
        <f t="shared" si="4"/>
        <v>5.75</v>
      </c>
      <c r="AB40">
        <f t="shared" si="4"/>
        <v>5.75</v>
      </c>
      <c r="AC40">
        <f t="shared" si="4"/>
        <v>11.5</v>
      </c>
      <c r="AD40">
        <f t="shared" si="3"/>
        <v>23</v>
      </c>
      <c r="AE40">
        <v>362</v>
      </c>
      <c r="AF40">
        <v>48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5.75</v>
      </c>
      <c r="AR40" s="1">
        <v>5.75</v>
      </c>
      <c r="AS40" s="1">
        <v>11.5</v>
      </c>
      <c r="AT40">
        <v>362</v>
      </c>
    </row>
    <row r="41" spans="1:46">
      <c r="A41">
        <v>49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86.128193732399993</v>
      </c>
      <c r="M41">
        <v>0</v>
      </c>
      <c r="N41">
        <v>129.19229059859998</v>
      </c>
      <c r="O41">
        <f t="shared" si="1"/>
        <v>215.32048433099999</v>
      </c>
      <c r="P41">
        <v>29</v>
      </c>
      <c r="Q41">
        <f t="shared" si="5"/>
        <v>0</v>
      </c>
      <c r="R41">
        <f t="shared" si="5"/>
        <v>0</v>
      </c>
      <c r="S41">
        <f t="shared" si="5"/>
        <v>0</v>
      </c>
      <c r="T41">
        <f t="shared" si="5"/>
        <v>0</v>
      </c>
      <c r="U41">
        <f t="shared" si="5"/>
        <v>0</v>
      </c>
      <c r="V41">
        <f t="shared" si="5"/>
        <v>0</v>
      </c>
      <c r="W41">
        <f t="shared" si="4"/>
        <v>0</v>
      </c>
      <c r="X41">
        <f t="shared" si="4"/>
        <v>0</v>
      </c>
      <c r="Y41">
        <f t="shared" si="4"/>
        <v>0</v>
      </c>
      <c r="Z41">
        <f t="shared" si="4"/>
        <v>0</v>
      </c>
      <c r="AA41">
        <f t="shared" si="4"/>
        <v>11.6</v>
      </c>
      <c r="AB41">
        <f t="shared" si="4"/>
        <v>0</v>
      </c>
      <c r="AC41">
        <f t="shared" si="4"/>
        <v>17.399999999999999</v>
      </c>
      <c r="AD41">
        <f t="shared" si="3"/>
        <v>29</v>
      </c>
      <c r="AE41">
        <v>119</v>
      </c>
      <c r="AF41">
        <v>49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11.6</v>
      </c>
      <c r="AR41" s="1">
        <v>0</v>
      </c>
      <c r="AS41" s="1">
        <v>17.399999999999999</v>
      </c>
      <c r="AT41">
        <v>119.00000000000001</v>
      </c>
    </row>
    <row r="42" spans="1:46">
      <c r="A42">
        <v>50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52.649285073000001</v>
      </c>
      <c r="O42">
        <f t="shared" si="1"/>
        <v>52.649285073000001</v>
      </c>
      <c r="P42">
        <v>6</v>
      </c>
      <c r="Q42">
        <f t="shared" si="5"/>
        <v>0</v>
      </c>
      <c r="R42">
        <f t="shared" si="5"/>
        <v>0</v>
      </c>
      <c r="S42">
        <f t="shared" si="5"/>
        <v>0</v>
      </c>
      <c r="T42">
        <f t="shared" si="5"/>
        <v>0</v>
      </c>
      <c r="U42">
        <f t="shared" si="5"/>
        <v>0</v>
      </c>
      <c r="V42">
        <f t="shared" si="5"/>
        <v>0</v>
      </c>
      <c r="W42">
        <f t="shared" si="4"/>
        <v>0</v>
      </c>
      <c r="X42">
        <f t="shared" si="4"/>
        <v>0</v>
      </c>
      <c r="Y42">
        <f t="shared" si="4"/>
        <v>0</v>
      </c>
      <c r="Z42">
        <f t="shared" si="4"/>
        <v>0</v>
      </c>
      <c r="AA42">
        <f t="shared" si="4"/>
        <v>0</v>
      </c>
      <c r="AB42">
        <f t="shared" si="4"/>
        <v>0</v>
      </c>
      <c r="AC42">
        <f t="shared" si="4"/>
        <v>6</v>
      </c>
      <c r="AD42">
        <f t="shared" si="3"/>
        <v>6</v>
      </c>
      <c r="AE42">
        <v>93</v>
      </c>
      <c r="AF42">
        <v>50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6</v>
      </c>
      <c r="AT42">
        <v>93</v>
      </c>
    </row>
    <row r="43" spans="1:46">
      <c r="A43">
        <v>51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27.761231625000001</v>
      </c>
      <c r="O43">
        <f t="shared" si="1"/>
        <v>27.761231625000001</v>
      </c>
      <c r="P43">
        <v>3</v>
      </c>
      <c r="Q43">
        <f t="shared" si="5"/>
        <v>0</v>
      </c>
      <c r="R43">
        <f t="shared" si="5"/>
        <v>0</v>
      </c>
      <c r="S43">
        <f t="shared" si="5"/>
        <v>0</v>
      </c>
      <c r="T43">
        <f t="shared" si="5"/>
        <v>0</v>
      </c>
      <c r="U43">
        <f t="shared" si="5"/>
        <v>0</v>
      </c>
      <c r="V43">
        <f t="shared" si="5"/>
        <v>0</v>
      </c>
      <c r="W43">
        <f t="shared" si="4"/>
        <v>0</v>
      </c>
      <c r="X43">
        <f t="shared" si="4"/>
        <v>0</v>
      </c>
      <c r="Y43">
        <f t="shared" si="4"/>
        <v>0</v>
      </c>
      <c r="Z43">
        <f t="shared" si="4"/>
        <v>0</v>
      </c>
      <c r="AA43">
        <f t="shared" si="4"/>
        <v>0</v>
      </c>
      <c r="AB43">
        <f t="shared" si="4"/>
        <v>0</v>
      </c>
      <c r="AC43">
        <f t="shared" si="4"/>
        <v>3</v>
      </c>
      <c r="AD43">
        <f t="shared" si="3"/>
        <v>3</v>
      </c>
      <c r="AE43">
        <v>42</v>
      </c>
      <c r="AF43">
        <v>51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3</v>
      </c>
      <c r="AT43">
        <v>42</v>
      </c>
    </row>
    <row r="44" spans="1:46">
      <c r="A44">
        <v>52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39.675390432</v>
      </c>
      <c r="O44">
        <f t="shared" si="1"/>
        <v>39.675390432</v>
      </c>
      <c r="P44">
        <v>4</v>
      </c>
      <c r="Q44">
        <f t="shared" si="5"/>
        <v>0</v>
      </c>
      <c r="R44">
        <f t="shared" si="5"/>
        <v>0</v>
      </c>
      <c r="S44">
        <f t="shared" si="5"/>
        <v>0</v>
      </c>
      <c r="T44">
        <f t="shared" si="5"/>
        <v>0</v>
      </c>
      <c r="U44">
        <f t="shared" si="5"/>
        <v>0</v>
      </c>
      <c r="V44">
        <f t="shared" si="5"/>
        <v>0</v>
      </c>
      <c r="W44">
        <f t="shared" si="4"/>
        <v>0</v>
      </c>
      <c r="X44">
        <f t="shared" si="4"/>
        <v>0</v>
      </c>
      <c r="Y44">
        <f t="shared" si="4"/>
        <v>0</v>
      </c>
      <c r="Z44">
        <f t="shared" si="4"/>
        <v>0</v>
      </c>
      <c r="AA44">
        <f t="shared" si="4"/>
        <v>0</v>
      </c>
      <c r="AB44">
        <f t="shared" si="4"/>
        <v>0</v>
      </c>
      <c r="AC44">
        <f t="shared" si="4"/>
        <v>4</v>
      </c>
      <c r="AD44">
        <f t="shared" si="3"/>
        <v>4</v>
      </c>
      <c r="AE44">
        <v>57</v>
      </c>
      <c r="AF44">
        <v>52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4</v>
      </c>
      <c r="AT44">
        <v>57.000000000000007</v>
      </c>
    </row>
    <row r="45" spans="1:46">
      <c r="A45">
        <v>53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17.726384330000002</v>
      </c>
      <c r="O45">
        <f t="shared" si="1"/>
        <v>17.726384330000002</v>
      </c>
      <c r="P45">
        <v>0</v>
      </c>
      <c r="Q45">
        <f t="shared" si="5"/>
        <v>0</v>
      </c>
      <c r="R45">
        <f t="shared" si="5"/>
        <v>0</v>
      </c>
      <c r="S45">
        <f t="shared" si="5"/>
        <v>0</v>
      </c>
      <c r="T45">
        <f t="shared" si="5"/>
        <v>0</v>
      </c>
      <c r="U45">
        <f t="shared" si="5"/>
        <v>0</v>
      </c>
      <c r="V45">
        <f t="shared" si="5"/>
        <v>0</v>
      </c>
      <c r="W45">
        <f t="shared" si="4"/>
        <v>0</v>
      </c>
      <c r="X45">
        <f t="shared" si="4"/>
        <v>0</v>
      </c>
      <c r="Y45">
        <f t="shared" si="4"/>
        <v>0</v>
      </c>
      <c r="Z45">
        <f t="shared" si="4"/>
        <v>0</v>
      </c>
      <c r="AA45">
        <f t="shared" si="4"/>
        <v>0</v>
      </c>
      <c r="AB45">
        <f t="shared" si="4"/>
        <v>0</v>
      </c>
      <c r="AC45">
        <f t="shared" si="4"/>
        <v>0</v>
      </c>
      <c r="AD45">
        <f t="shared" si="3"/>
        <v>0</v>
      </c>
      <c r="AE45">
        <v>44</v>
      </c>
      <c r="AF45">
        <v>53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>
        <v>44</v>
      </c>
    </row>
    <row r="46" spans="1:46">
      <c r="A46">
        <v>54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f t="shared" si="1"/>
        <v>0</v>
      </c>
      <c r="P46">
        <v>0</v>
      </c>
      <c r="Q46" t="e">
        <f t="shared" si="5"/>
        <v>#DIV/0!</v>
      </c>
      <c r="R46" t="e">
        <f t="shared" si="5"/>
        <v>#DIV/0!</v>
      </c>
      <c r="S46" t="e">
        <f t="shared" si="5"/>
        <v>#DIV/0!</v>
      </c>
      <c r="T46" t="e">
        <f t="shared" si="5"/>
        <v>#DIV/0!</v>
      </c>
      <c r="U46" t="e">
        <f t="shared" si="5"/>
        <v>#DIV/0!</v>
      </c>
      <c r="V46" t="e">
        <f t="shared" si="5"/>
        <v>#DIV/0!</v>
      </c>
      <c r="W46" t="e">
        <f t="shared" si="4"/>
        <v>#DIV/0!</v>
      </c>
      <c r="X46" t="e">
        <f t="shared" si="4"/>
        <v>#DIV/0!</v>
      </c>
      <c r="Y46" t="e">
        <f t="shared" si="4"/>
        <v>#DIV/0!</v>
      </c>
      <c r="Z46" t="e">
        <f t="shared" si="4"/>
        <v>#DIV/0!</v>
      </c>
      <c r="AA46" t="e">
        <f t="shared" si="4"/>
        <v>#DIV/0!</v>
      </c>
      <c r="AB46" t="e">
        <f t="shared" si="4"/>
        <v>#DIV/0!</v>
      </c>
      <c r="AC46" t="e">
        <f t="shared" si="4"/>
        <v>#DIV/0!</v>
      </c>
      <c r="AD46" t="e">
        <f t="shared" si="3"/>
        <v>#DIV/0!</v>
      </c>
      <c r="AE46">
        <v>0</v>
      </c>
      <c r="AF46">
        <v>54</v>
      </c>
      <c r="AT46">
        <v>0</v>
      </c>
    </row>
    <row r="47" spans="1:46">
      <c r="A47">
        <v>55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f t="shared" si="1"/>
        <v>0</v>
      </c>
      <c r="Q47" t="e">
        <f t="shared" si="5"/>
        <v>#DIV/0!</v>
      </c>
      <c r="R47" t="e">
        <f t="shared" si="5"/>
        <v>#DIV/0!</v>
      </c>
      <c r="S47" t="e">
        <f t="shared" si="5"/>
        <v>#DIV/0!</v>
      </c>
      <c r="T47" t="e">
        <f t="shared" si="5"/>
        <v>#DIV/0!</v>
      </c>
      <c r="U47" t="e">
        <f t="shared" si="5"/>
        <v>#DIV/0!</v>
      </c>
      <c r="V47" t="e">
        <f t="shared" si="5"/>
        <v>#DIV/0!</v>
      </c>
      <c r="W47" t="e">
        <f t="shared" si="4"/>
        <v>#DIV/0!</v>
      </c>
      <c r="X47" t="e">
        <f t="shared" si="4"/>
        <v>#DIV/0!</v>
      </c>
      <c r="Y47" t="e">
        <f t="shared" si="4"/>
        <v>#DIV/0!</v>
      </c>
      <c r="Z47" t="e">
        <f t="shared" si="4"/>
        <v>#DIV/0!</v>
      </c>
      <c r="AA47" t="e">
        <f t="shared" si="4"/>
        <v>#DIV/0!</v>
      </c>
      <c r="AB47" t="e">
        <f t="shared" si="4"/>
        <v>#DIV/0!</v>
      </c>
      <c r="AC47" t="e">
        <f t="shared" si="4"/>
        <v>#DIV/0!</v>
      </c>
      <c r="AD47" t="e">
        <f t="shared" si="3"/>
        <v>#DIV/0!</v>
      </c>
      <c r="AE47">
        <v>0</v>
      </c>
      <c r="AF47">
        <v>55</v>
      </c>
      <c r="AT47">
        <v>0</v>
      </c>
    </row>
    <row r="48" spans="1:46">
      <c r="A48">
        <v>56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f t="shared" si="1"/>
        <v>0</v>
      </c>
      <c r="Q48" t="e">
        <f t="shared" si="5"/>
        <v>#DIV/0!</v>
      </c>
      <c r="R48" t="e">
        <f t="shared" si="5"/>
        <v>#DIV/0!</v>
      </c>
      <c r="S48" t="e">
        <f t="shared" si="5"/>
        <v>#DIV/0!</v>
      </c>
      <c r="T48" t="e">
        <f t="shared" si="5"/>
        <v>#DIV/0!</v>
      </c>
      <c r="U48" t="e">
        <f t="shared" si="5"/>
        <v>#DIV/0!</v>
      </c>
      <c r="V48" t="e">
        <f t="shared" si="5"/>
        <v>#DIV/0!</v>
      </c>
      <c r="W48" t="e">
        <f t="shared" si="4"/>
        <v>#DIV/0!</v>
      </c>
      <c r="X48" t="e">
        <f t="shared" si="4"/>
        <v>#DIV/0!</v>
      </c>
      <c r="Y48" t="e">
        <f t="shared" si="4"/>
        <v>#DIV/0!</v>
      </c>
      <c r="Z48" t="e">
        <f t="shared" si="4"/>
        <v>#DIV/0!</v>
      </c>
      <c r="AA48" t="e">
        <f t="shared" si="4"/>
        <v>#DIV/0!</v>
      </c>
      <c r="AB48" t="e">
        <f t="shared" si="4"/>
        <v>#DIV/0!</v>
      </c>
      <c r="AC48" t="e">
        <f t="shared" si="4"/>
        <v>#DIV/0!</v>
      </c>
      <c r="AD48" t="e">
        <f t="shared" si="3"/>
        <v>#DIV/0!</v>
      </c>
      <c r="AF48">
        <v>56</v>
      </c>
      <c r="AT48">
        <v>0</v>
      </c>
    </row>
    <row r="49" spans="1:45">
      <c r="A49">
        <v>57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f t="shared" si="1"/>
        <v>0</v>
      </c>
      <c r="Q49" t="e">
        <f t="shared" si="5"/>
        <v>#DIV/0!</v>
      </c>
      <c r="R49" t="e">
        <f t="shared" si="5"/>
        <v>#DIV/0!</v>
      </c>
      <c r="S49" t="e">
        <f t="shared" si="5"/>
        <v>#DIV/0!</v>
      </c>
      <c r="T49" t="e">
        <f t="shared" si="5"/>
        <v>#DIV/0!</v>
      </c>
      <c r="U49" t="e">
        <f t="shared" si="5"/>
        <v>#DIV/0!</v>
      </c>
      <c r="V49" t="e">
        <f t="shared" si="5"/>
        <v>#DIV/0!</v>
      </c>
      <c r="W49" t="e">
        <f t="shared" si="4"/>
        <v>#DIV/0!</v>
      </c>
      <c r="X49" t="e">
        <f t="shared" si="4"/>
        <v>#DIV/0!</v>
      </c>
      <c r="Y49" t="e">
        <f t="shared" si="4"/>
        <v>#DIV/0!</v>
      </c>
      <c r="Z49" t="e">
        <f t="shared" si="4"/>
        <v>#DIV/0!</v>
      </c>
      <c r="AA49" t="e">
        <f t="shared" si="4"/>
        <v>#DIV/0!</v>
      </c>
      <c r="AB49" t="e">
        <f t="shared" si="4"/>
        <v>#DIV/0!</v>
      </c>
      <c r="AC49" t="e">
        <f t="shared" si="4"/>
        <v>#DIV/0!</v>
      </c>
      <c r="AD49" t="e">
        <f t="shared" si="3"/>
        <v>#DIV/0!</v>
      </c>
      <c r="AF49">
        <v>57</v>
      </c>
    </row>
    <row r="50" spans="1:45">
      <c r="A50">
        <v>58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f t="shared" si="1"/>
        <v>0</v>
      </c>
      <c r="Q50" t="e">
        <f t="shared" si="5"/>
        <v>#DIV/0!</v>
      </c>
      <c r="R50" t="e">
        <f t="shared" si="5"/>
        <v>#DIV/0!</v>
      </c>
      <c r="S50" t="e">
        <f t="shared" si="5"/>
        <v>#DIV/0!</v>
      </c>
      <c r="T50" t="e">
        <f t="shared" si="5"/>
        <v>#DIV/0!</v>
      </c>
      <c r="U50" t="e">
        <f t="shared" si="5"/>
        <v>#DIV/0!</v>
      </c>
      <c r="V50" t="e">
        <f t="shared" si="5"/>
        <v>#DIV/0!</v>
      </c>
      <c r="W50" t="e">
        <f t="shared" si="4"/>
        <v>#DIV/0!</v>
      </c>
      <c r="X50" t="e">
        <f t="shared" si="4"/>
        <v>#DIV/0!</v>
      </c>
      <c r="Y50" t="e">
        <f t="shared" si="4"/>
        <v>#DIV/0!</v>
      </c>
      <c r="Z50" t="e">
        <f t="shared" si="4"/>
        <v>#DIV/0!</v>
      </c>
      <c r="AA50" t="e">
        <f t="shared" si="4"/>
        <v>#DIV/0!</v>
      </c>
      <c r="AB50" t="e">
        <f t="shared" si="4"/>
        <v>#DIV/0!</v>
      </c>
      <c r="AC50" t="e">
        <f t="shared" si="4"/>
        <v>#DIV/0!</v>
      </c>
      <c r="AD50" t="e">
        <f t="shared" si="3"/>
        <v>#DIV/0!</v>
      </c>
      <c r="AF50">
        <v>58</v>
      </c>
    </row>
    <row r="51" spans="1:45">
      <c r="A51">
        <v>59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f t="shared" si="1"/>
        <v>0</v>
      </c>
      <c r="Q51" t="e">
        <f t="shared" si="5"/>
        <v>#DIV/0!</v>
      </c>
      <c r="R51" t="e">
        <f t="shared" si="5"/>
        <v>#DIV/0!</v>
      </c>
      <c r="S51" t="e">
        <f t="shared" si="5"/>
        <v>#DIV/0!</v>
      </c>
      <c r="T51" t="e">
        <f t="shared" si="5"/>
        <v>#DIV/0!</v>
      </c>
      <c r="U51" t="e">
        <f t="shared" si="5"/>
        <v>#DIV/0!</v>
      </c>
      <c r="V51" t="e">
        <f t="shared" si="5"/>
        <v>#DIV/0!</v>
      </c>
      <c r="W51" t="e">
        <f t="shared" si="4"/>
        <v>#DIV/0!</v>
      </c>
      <c r="X51" t="e">
        <f t="shared" si="4"/>
        <v>#DIV/0!</v>
      </c>
      <c r="Y51" t="e">
        <f t="shared" si="4"/>
        <v>#DIV/0!</v>
      </c>
      <c r="Z51" t="e">
        <f t="shared" si="4"/>
        <v>#DIV/0!</v>
      </c>
      <c r="AA51" t="e">
        <f t="shared" si="4"/>
        <v>#DIV/0!</v>
      </c>
      <c r="AB51" t="e">
        <f t="shared" si="4"/>
        <v>#DIV/0!</v>
      </c>
      <c r="AC51" t="e">
        <f t="shared" si="4"/>
        <v>#DIV/0!</v>
      </c>
      <c r="AD51" t="e">
        <f t="shared" si="3"/>
        <v>#DIV/0!</v>
      </c>
      <c r="AF51">
        <v>59</v>
      </c>
    </row>
    <row r="52" spans="1:45">
      <c r="A52">
        <v>60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f t="shared" si="1"/>
        <v>0</v>
      </c>
      <c r="Q52" t="e">
        <f t="shared" si="5"/>
        <v>#DIV/0!</v>
      </c>
      <c r="R52" t="e">
        <f t="shared" si="5"/>
        <v>#DIV/0!</v>
      </c>
      <c r="S52" t="e">
        <f t="shared" si="5"/>
        <v>#DIV/0!</v>
      </c>
      <c r="T52" t="e">
        <f t="shared" si="5"/>
        <v>#DIV/0!</v>
      </c>
      <c r="U52" t="e">
        <f t="shared" si="5"/>
        <v>#DIV/0!</v>
      </c>
      <c r="V52" t="e">
        <f t="shared" si="5"/>
        <v>#DIV/0!</v>
      </c>
      <c r="W52" t="e">
        <f t="shared" si="4"/>
        <v>#DIV/0!</v>
      </c>
      <c r="X52" t="e">
        <f t="shared" si="4"/>
        <v>#DIV/0!</v>
      </c>
      <c r="Y52" t="e">
        <f t="shared" si="4"/>
        <v>#DIV/0!</v>
      </c>
      <c r="Z52" t="e">
        <f t="shared" si="4"/>
        <v>#DIV/0!</v>
      </c>
      <c r="AA52" t="e">
        <f t="shared" si="4"/>
        <v>#DIV/0!</v>
      </c>
      <c r="AB52" t="e">
        <f t="shared" si="4"/>
        <v>#DIV/0!</v>
      </c>
      <c r="AC52" t="e">
        <f t="shared" si="4"/>
        <v>#DIV/0!</v>
      </c>
      <c r="AD52" t="e">
        <f t="shared" si="3"/>
        <v>#DIV/0!</v>
      </c>
      <c r="AF52">
        <v>60</v>
      </c>
    </row>
    <row r="53" spans="1:45">
      <c r="A53" t="s">
        <v>5</v>
      </c>
      <c r="B53">
        <v>0</v>
      </c>
      <c r="C53">
        <v>6.9454083949999994</v>
      </c>
      <c r="D53">
        <v>108.03534668099999</v>
      </c>
      <c r="E53">
        <v>21671.127423995291</v>
      </c>
      <c r="F53">
        <v>123655.22253983869</v>
      </c>
      <c r="G53">
        <v>48048.526431093196</v>
      </c>
      <c r="H53">
        <v>20958.280916341035</v>
      </c>
      <c r="I53">
        <v>20421.101105729926</v>
      </c>
      <c r="J53">
        <v>15795.1698453439</v>
      </c>
      <c r="K53">
        <v>4712.4813177352244</v>
      </c>
      <c r="L53">
        <v>2293.1980565168778</v>
      </c>
      <c r="M53">
        <v>1327.1530680087858</v>
      </c>
      <c r="N53">
        <v>1748.4789745390633</v>
      </c>
      <c r="AF53" t="s">
        <v>5</v>
      </c>
      <c r="AG53" s="1">
        <f>SUM(AG2:AG52)</f>
        <v>0</v>
      </c>
      <c r="AH53" s="1">
        <f t="shared" ref="AH53:AS53" si="6">SUM(AH2:AH52)</f>
        <v>0</v>
      </c>
      <c r="AI53" s="1">
        <f t="shared" si="6"/>
        <v>3.183309065073773</v>
      </c>
      <c r="AJ53" s="1">
        <f t="shared" si="6"/>
        <v>37.470004798723174</v>
      </c>
      <c r="AK53" s="1">
        <f t="shared" si="6"/>
        <v>92.663469436450228</v>
      </c>
      <c r="AL53" s="1">
        <f t="shared" si="6"/>
        <v>98.092865418352432</v>
      </c>
      <c r="AM53" s="1">
        <f t="shared" si="6"/>
        <v>155.51892317554839</v>
      </c>
      <c r="AN53" s="1">
        <f t="shared" si="6"/>
        <v>205.57253399036995</v>
      </c>
      <c r="AO53" s="1">
        <f t="shared" si="6"/>
        <v>212.49163615284857</v>
      </c>
      <c r="AP53" s="1">
        <f t="shared" si="6"/>
        <v>95.844174388462719</v>
      </c>
      <c r="AQ53" s="1">
        <f t="shared" si="6"/>
        <v>71.913083574170741</v>
      </c>
      <c r="AR53" s="1">
        <f t="shared" si="6"/>
        <v>35.75</v>
      </c>
      <c r="AS53" s="1">
        <f t="shared" si="6"/>
        <v>54.5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7"/>
  <sheetViews>
    <sheetView tabSelected="1" workbookViewId="0">
      <selection activeCell="G15" sqref="G15"/>
    </sheetView>
  </sheetViews>
  <sheetFormatPr defaultRowHeight="14.45"/>
  <sheetData>
    <row r="1" spans="1:5">
      <c r="B1" t="s">
        <v>0</v>
      </c>
      <c r="C1" t="s">
        <v>1</v>
      </c>
      <c r="D1" t="s">
        <v>7</v>
      </c>
      <c r="E1" t="s">
        <v>8</v>
      </c>
    </row>
    <row r="2" spans="1:5">
      <c r="A2">
        <v>0</v>
      </c>
      <c r="B2">
        <v>0</v>
      </c>
      <c r="C2">
        <v>0</v>
      </c>
      <c r="D2">
        <f>B2+C2</f>
        <v>0</v>
      </c>
      <c r="E2">
        <f>E$16/D$16*D2</f>
        <v>0</v>
      </c>
    </row>
    <row r="3" spans="1:5">
      <c r="A3">
        <v>1</v>
      </c>
      <c r="B3">
        <v>0</v>
      </c>
      <c r="C3">
        <v>2</v>
      </c>
      <c r="D3">
        <f t="shared" ref="D3:D16" si="0">B3+C3</f>
        <v>2</v>
      </c>
      <c r="E3">
        <f t="shared" ref="E3:E15" si="1">E$16/D$16*D3</f>
        <v>4.6366550116550114</v>
      </c>
    </row>
    <row r="4" spans="1:5">
      <c r="A4">
        <v>2</v>
      </c>
      <c r="B4">
        <v>0</v>
      </c>
      <c r="C4">
        <v>606.23968950271296</v>
      </c>
      <c r="D4">
        <f t="shared" si="0"/>
        <v>606.23968950271296</v>
      </c>
      <c r="E4">
        <f t="shared" si="1"/>
        <v>1405.4621472984661</v>
      </c>
    </row>
    <row r="5" spans="1:5">
      <c r="A5">
        <v>3</v>
      </c>
      <c r="B5">
        <v>1034.4286632570338</v>
      </c>
      <c r="C5">
        <v>11871.049729983994</v>
      </c>
      <c r="D5">
        <f t="shared" si="0"/>
        <v>12905.478393241028</v>
      </c>
      <c r="E5">
        <f t="shared" si="1"/>
        <v>29919.125534913237</v>
      </c>
    </row>
    <row r="6" spans="1:5">
      <c r="A6">
        <v>4</v>
      </c>
      <c r="B6">
        <v>6638.2291048646293</v>
      </c>
      <c r="C6">
        <v>9497.3229958922038</v>
      </c>
      <c r="D6">
        <f t="shared" si="0"/>
        <v>16135.552100756833</v>
      </c>
      <c r="E6">
        <f t="shared" si="1"/>
        <v>37407.494256897357</v>
      </c>
    </row>
    <row r="7" spans="1:5">
      <c r="A7">
        <v>5</v>
      </c>
      <c r="B7">
        <v>4732.8273225542152</v>
      </c>
      <c r="C7">
        <v>1813.6354501670421</v>
      </c>
      <c r="D7">
        <f t="shared" si="0"/>
        <v>6546.4627727212574</v>
      </c>
      <c r="E7">
        <f t="shared" si="1"/>
        <v>15176.84471187549</v>
      </c>
    </row>
    <row r="8" spans="1:5">
      <c r="A8">
        <v>6</v>
      </c>
      <c r="B8">
        <v>3715.5738113708244</v>
      </c>
      <c r="C8">
        <v>1816.3681315211263</v>
      </c>
      <c r="D8">
        <f t="shared" si="0"/>
        <v>5531.9419428919509</v>
      </c>
      <c r="E8">
        <f t="shared" si="1"/>
        <v>12824.853166847262</v>
      </c>
    </row>
    <row r="9" spans="1:5">
      <c r="A9">
        <v>7</v>
      </c>
      <c r="B9">
        <v>4465.4991737676637</v>
      </c>
      <c r="C9">
        <v>2437.4174882299812</v>
      </c>
      <c r="D9">
        <f t="shared" si="0"/>
        <v>6902.916661997645</v>
      </c>
      <c r="E9">
        <f t="shared" si="1"/>
        <v>16003.221567944131</v>
      </c>
    </row>
    <row r="10" spans="1:5">
      <c r="A10">
        <v>8</v>
      </c>
      <c r="B10">
        <v>4550.8555902418448</v>
      </c>
      <c r="C10">
        <v>2290.4089893376431</v>
      </c>
      <c r="D10">
        <f t="shared" si="0"/>
        <v>6841.2645795794879</v>
      </c>
      <c r="E10">
        <f t="shared" si="1"/>
        <v>15860.291849482574</v>
      </c>
    </row>
    <row r="11" spans="1:5">
      <c r="A11">
        <v>9</v>
      </c>
      <c r="B11">
        <v>1567.5642783818023</v>
      </c>
      <c r="C11">
        <v>778.29620163997731</v>
      </c>
      <c r="D11">
        <f t="shared" si="0"/>
        <v>2345.8604800217795</v>
      </c>
      <c r="E11">
        <f t="shared" si="1"/>
        <v>5438.4728756682071</v>
      </c>
    </row>
    <row r="12" spans="1:5">
      <c r="A12">
        <v>10</v>
      </c>
      <c r="B12">
        <v>1070.174494785329</v>
      </c>
      <c r="C12">
        <v>264.44465705865321</v>
      </c>
      <c r="D12">
        <f t="shared" si="0"/>
        <v>1334.6191518439823</v>
      </c>
      <c r="E12">
        <f t="shared" si="1"/>
        <v>3094.0842895240808</v>
      </c>
    </row>
    <row r="13" spans="1:5">
      <c r="A13">
        <v>11</v>
      </c>
      <c r="B13">
        <v>1011.5978690590302</v>
      </c>
      <c r="C13">
        <v>82.816666666666663</v>
      </c>
      <c r="D13">
        <f t="shared" si="0"/>
        <v>1094.4145357256969</v>
      </c>
      <c r="E13">
        <f t="shared" si="1"/>
        <v>2537.2113209503223</v>
      </c>
    </row>
    <row r="14" spans="1:5">
      <c r="A14">
        <v>12</v>
      </c>
      <c r="B14">
        <v>1350.2496917176268</v>
      </c>
      <c r="C14">
        <v>110</v>
      </c>
      <c r="D14">
        <f t="shared" si="0"/>
        <v>1460.2496917176268</v>
      </c>
      <c r="E14">
        <f t="shared" si="1"/>
        <v>3385.3370256851099</v>
      </c>
    </row>
    <row r="15" spans="1:5">
      <c r="A15" t="s">
        <v>5</v>
      </c>
      <c r="B15">
        <f>SUM(B2:B14)</f>
        <v>30137</v>
      </c>
      <c r="C15">
        <f t="shared" ref="C15" si="2">SUM(C2:C14)</f>
        <v>31569.999999999996</v>
      </c>
      <c r="D15">
        <f t="shared" si="0"/>
        <v>61707</v>
      </c>
      <c r="E15">
        <f t="shared" si="1"/>
        <v>143057.03540209788</v>
      </c>
    </row>
    <row r="16" spans="1:5">
      <c r="A16" t="s">
        <v>9</v>
      </c>
      <c r="B16">
        <v>17198</v>
      </c>
      <c r="C16">
        <v>10258</v>
      </c>
      <c r="D16">
        <f t="shared" si="0"/>
        <v>27456</v>
      </c>
      <c r="E16">
        <v>63652</v>
      </c>
    </row>
    <row r="17" spans="1:5">
      <c r="A17" t="s">
        <v>10</v>
      </c>
      <c r="B17">
        <f>B16/B15</f>
        <v>0.57066064969970465</v>
      </c>
      <c r="C17">
        <f t="shared" ref="C17:E17" si="3">C16/C15</f>
        <v>0.32492872980677862</v>
      </c>
      <c r="D17">
        <f t="shared" si="3"/>
        <v>0.44494141669502651</v>
      </c>
      <c r="E17">
        <f t="shared" si="3"/>
        <v>0.44494141669502657</v>
      </c>
    </row>
    <row r="19" spans="1:5">
      <c r="A19" t="s">
        <v>11</v>
      </c>
    </row>
    <row r="20" spans="1:5">
      <c r="A20" t="s">
        <v>12</v>
      </c>
    </row>
    <row r="21" spans="1:5">
      <c r="A21" t="s">
        <v>13</v>
      </c>
    </row>
    <row r="22" spans="1:5">
      <c r="A22" t="s">
        <v>14</v>
      </c>
    </row>
    <row r="23" spans="1:5">
      <c r="A23" t="s">
        <v>15</v>
      </c>
    </row>
    <row r="24" spans="1:5">
      <c r="B24" t="s">
        <v>16</v>
      </c>
    </row>
    <row r="25" spans="1:5">
      <c r="B25" t="s">
        <v>17</v>
      </c>
    </row>
    <row r="26" spans="1:5">
      <c r="A26" t="s">
        <v>18</v>
      </c>
    </row>
    <row r="27" spans="1:5">
      <c r="A27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2D0B056278C642B7C89719D0EEC9C4" ma:contentTypeVersion="4" ma:contentTypeDescription="Create a new document." ma:contentTypeScope="" ma:versionID="459ccd4a2f4db444801dd1c587af921d">
  <xsd:schema xmlns:xsd="http://www.w3.org/2001/XMLSchema" xmlns:xs="http://www.w3.org/2001/XMLSchema" xmlns:p="http://schemas.microsoft.com/office/2006/metadata/properties" xmlns:ns2="f419981a-ca0a-4e56-9512-575f16b7ea2d" targetNamespace="http://schemas.microsoft.com/office/2006/metadata/properties" ma:root="true" ma:fieldsID="e76f6978cc275c7466d741305d3dbcb0" ns2:_="">
    <xsd:import namespace="f419981a-ca0a-4e56-9512-575f16b7ea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9981a-ca0a-4e56-9512-575f16b7ea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2259D7-A778-40DB-9FC7-8838C753037E}"/>
</file>

<file path=customXml/itemProps2.xml><?xml version="1.0" encoding="utf-8"?>
<ds:datastoreItem xmlns:ds="http://schemas.openxmlformats.org/officeDocument/2006/customXml" ds:itemID="{16582BBD-3258-4CB2-916E-5DEA516D0D6C}"/>
</file>

<file path=customXml/itemProps3.xml><?xml version="1.0" encoding="utf-8"?>
<ds:datastoreItem xmlns:ds="http://schemas.openxmlformats.org/officeDocument/2006/customXml" ds:itemID="{E4E08603-9700-4D20-B0A2-5CC9E37170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Eigenaar</dc:creator>
  <cp:keywords/>
  <dc:description/>
  <cp:lastModifiedBy>Marianne Vignaux</cp:lastModifiedBy>
  <cp:revision/>
  <dcterms:created xsi:type="dcterms:W3CDTF">2016-10-08T09:15:07Z</dcterms:created>
  <dcterms:modified xsi:type="dcterms:W3CDTF">2021-08-27T02:51:35Z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0x010100812D0B056278C642B7C89719D0EEC9C4</vt:lpwstr>
  </property>
</Properties>
</file>