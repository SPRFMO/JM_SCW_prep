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01"/>
  <workbookPr/>
  <mc:AlternateContent xmlns:mc="http://schemas.openxmlformats.org/markup-compatibility/2006">
    <mc:Choice Requires="x15">
      <x15ac:absPath xmlns:x15ac="http://schemas.microsoft.com/office/spreadsheetml/2010/11/ac" url="D:\IFOP\proyectos_cIFOP\Jurel_cIFOP\datos2016\Enviados\"/>
    </mc:Choice>
  </mc:AlternateContent>
  <xr:revisionPtr revIDLastSave="0" documentId="11_3C3F5D41D0322FD8FAA841521A96C033FE20275D" xr6:coauthVersionLast="47" xr6:coauthVersionMax="47" xr10:uidLastSave="{00000000-0000-0000-0000-000000000000}"/>
  <bookViews>
    <workbookView xWindow="0" yWindow="0" windowWidth="23040" windowHeight="9384" xr2:uid="{00000000-000D-0000-FFFF-FFFF00000000}"/>
  </bookViews>
  <sheets>
    <sheet name="catch data" sheetId="3" r:id="rId1"/>
    <sheet name="CANUM Fleet 1" sheetId="1" r:id="rId2"/>
    <sheet name="CANUM Fleet" sheetId="2" r:id="rId3"/>
  </sheets>
  <externalReferences>
    <externalReference r:id="rId4"/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3" l="1"/>
  <c r="L21" i="3"/>
  <c r="K21" i="3"/>
  <c r="J21" i="3"/>
  <c r="I21" i="3"/>
  <c r="H21" i="3"/>
  <c r="G21" i="3"/>
  <c r="F21" i="3"/>
  <c r="E21" i="3"/>
  <c r="D21" i="3"/>
  <c r="P21" i="3" s="1"/>
  <c r="C21" i="3"/>
  <c r="O21" i="3" s="1"/>
  <c r="Q21" i="3" s="1"/>
  <c r="B21" i="3"/>
  <c r="N21" i="3" s="1"/>
  <c r="P20" i="3"/>
  <c r="O20" i="3"/>
  <c r="Q20" i="3" s="1"/>
  <c r="N20" i="3"/>
  <c r="P19" i="3"/>
  <c r="O19" i="3"/>
  <c r="Q19" i="3" s="1"/>
  <c r="N19" i="3"/>
  <c r="P18" i="3"/>
  <c r="O18" i="3"/>
  <c r="Q18" i="3" s="1"/>
  <c r="N18" i="3"/>
  <c r="P17" i="3"/>
  <c r="O17" i="3"/>
  <c r="Q17" i="3" s="1"/>
  <c r="N17" i="3"/>
  <c r="K13" i="3"/>
  <c r="H13" i="3"/>
  <c r="E13" i="3"/>
  <c r="B13" i="3"/>
  <c r="B6" i="3"/>
  <c r="B5" i="3"/>
  <c r="B4" i="3"/>
  <c r="C5" i="1" l="1"/>
  <c r="C6" i="1"/>
  <c r="I6" i="1"/>
  <c r="O12" i="1"/>
  <c r="P12" i="1"/>
  <c r="Q12" i="1"/>
  <c r="O13" i="1"/>
  <c r="P13" i="1"/>
  <c r="Q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4" i="1"/>
  <c r="P24" i="1"/>
  <c r="Q24" i="1"/>
  <c r="C25" i="1"/>
  <c r="D25" i="1"/>
  <c r="E25" i="1"/>
  <c r="D28" i="1" s="1"/>
  <c r="F25" i="1"/>
  <c r="G25" i="1"/>
  <c r="H25" i="1"/>
  <c r="I25" i="1"/>
  <c r="J25" i="1"/>
  <c r="K25" i="1"/>
  <c r="L25" i="1"/>
  <c r="M25" i="1"/>
  <c r="N25" i="1"/>
  <c r="D27" i="1"/>
  <c r="P27" i="1" s="1"/>
  <c r="G28" i="1"/>
  <c r="J28" i="1"/>
  <c r="M28" i="1"/>
  <c r="G29" i="1"/>
  <c r="J29" i="1"/>
  <c r="M29" i="1"/>
  <c r="C5" i="2"/>
  <c r="C6" i="2"/>
  <c r="I6" i="2"/>
  <c r="O12" i="2"/>
  <c r="P12" i="2"/>
  <c r="Q12" i="2"/>
  <c r="O13" i="2"/>
  <c r="P13" i="2"/>
  <c r="Q13" i="2"/>
  <c r="O14" i="2"/>
  <c r="P14" i="2"/>
  <c r="Q14" i="2"/>
  <c r="O15" i="2"/>
  <c r="P15" i="2"/>
  <c r="Q15" i="2"/>
  <c r="O16" i="2"/>
  <c r="P16" i="2"/>
  <c r="Q16" i="2"/>
  <c r="O17" i="2"/>
  <c r="P17" i="2"/>
  <c r="Q17" i="2"/>
  <c r="O18" i="2"/>
  <c r="P18" i="2"/>
  <c r="Q18" i="2"/>
  <c r="O19" i="2"/>
  <c r="P19" i="2"/>
  <c r="Q19" i="2"/>
  <c r="O20" i="2"/>
  <c r="P20" i="2"/>
  <c r="Q20" i="2"/>
  <c r="O21" i="2"/>
  <c r="P21" i="2"/>
  <c r="Q21" i="2"/>
  <c r="O22" i="2"/>
  <c r="P22" i="2"/>
  <c r="Q22" i="2"/>
  <c r="O23" i="2"/>
  <c r="P23" i="2"/>
  <c r="Q23" i="2"/>
  <c r="O24" i="2"/>
  <c r="P24" i="2"/>
  <c r="Q24" i="2"/>
  <c r="C25" i="2"/>
  <c r="D25" i="2"/>
  <c r="E25" i="2"/>
  <c r="D28" i="2" s="1"/>
  <c r="D29" i="2" s="1"/>
  <c r="F25" i="2"/>
  <c r="G25" i="2" s="1"/>
  <c r="H25" i="2"/>
  <c r="I25" i="2"/>
  <c r="J25" i="2" s="1"/>
  <c r="L25" i="2"/>
  <c r="M25" i="2" s="1"/>
  <c r="P27" i="2"/>
  <c r="G28" i="2"/>
  <c r="G29" i="2"/>
  <c r="O25" i="2" l="1"/>
  <c r="D29" i="1"/>
  <c r="O25" i="1"/>
  <c r="Q25" i="2"/>
  <c r="P25" i="2"/>
  <c r="P28" i="2"/>
  <c r="P29" i="2" s="1"/>
  <c r="K25" i="2"/>
  <c r="J28" i="2" s="1"/>
  <c r="J29" i="2" s="1"/>
  <c r="N25" i="2"/>
  <c r="M28" i="2" s="1"/>
  <c r="M29" i="2" s="1"/>
  <c r="Q25" i="1" l="1"/>
  <c r="P28" i="1"/>
  <c r="P29" i="1" s="1"/>
  <c r="P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C4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this column can contain negative numbers signifying catches transferred to another area. </t>
        </r>
      </text>
    </comment>
  </commentList>
</comments>
</file>

<file path=xl/sharedStrings.xml><?xml version="1.0" encoding="utf-8"?>
<sst xmlns="http://schemas.openxmlformats.org/spreadsheetml/2006/main" count="304" uniqueCount="89">
  <si>
    <t>WG for the Assessment of Herring in the Area south of 62°N</t>
  </si>
  <si>
    <t>CATCH DATA</t>
  </si>
  <si>
    <t>Only fill in yellow cells!</t>
  </si>
  <si>
    <r>
      <t xml:space="preserve">    </t>
    </r>
    <r>
      <rPr>
        <sz val="10"/>
        <color indexed="8"/>
        <rFont val="Geneva"/>
      </rPr>
      <t xml:space="preserve">COLUMN A: </t>
    </r>
    <r>
      <rPr>
        <sz val="10"/>
        <color indexed="10"/>
        <rFont val="Geneva"/>
      </rPr>
      <t>ICES Division(s) or sub-division(s).</t>
    </r>
  </si>
  <si>
    <r>
      <t xml:space="preserve">    COLUMN B: </t>
    </r>
    <r>
      <rPr>
        <sz val="10"/>
        <color indexed="10"/>
        <rFont val="Geneva"/>
      </rPr>
      <t xml:space="preserve">Official landings as supplied by national authorities (tonnes). </t>
    </r>
  </si>
  <si>
    <t xml:space="preserve">Country : </t>
  </si>
  <si>
    <r>
      <t xml:space="preserve">    COLUMN C: </t>
    </r>
    <r>
      <rPr>
        <sz val="10"/>
        <color indexed="10"/>
        <rFont val="Geneva"/>
      </rPr>
      <t>Unallocated landings and/or misreportings (tonnes).</t>
    </r>
  </si>
  <si>
    <t xml:space="preserve">Species : </t>
  </si>
  <si>
    <t xml:space="preserve">                     These can be either possitive or negative !</t>
  </si>
  <si>
    <t xml:space="preserve">Year : </t>
  </si>
  <si>
    <r>
      <t xml:space="preserve">    COLUMN D:</t>
    </r>
    <r>
      <rPr>
        <sz val="10"/>
        <color indexed="10"/>
        <rFont val="Geneva"/>
      </rPr>
      <t xml:space="preserve"> The Area-Misreporting column is for catches which are reported as taken in one area but </t>
    </r>
  </si>
  <si>
    <t xml:space="preserve">Revised (date) : </t>
  </si>
  <si>
    <t xml:space="preserve">                     reported in another. Values can be either positive or negative.</t>
  </si>
  <si>
    <r>
      <t xml:space="preserve">    COLUMN E:</t>
    </r>
    <r>
      <rPr>
        <sz val="10"/>
        <color indexed="10"/>
        <rFont val="Geneva"/>
      </rPr>
      <t xml:space="preserve"> Estimate of discards (tonnes). </t>
    </r>
  </si>
  <si>
    <t xml:space="preserve"> </t>
  </si>
  <si>
    <r>
      <t xml:space="preserve">    COLUMN F: </t>
    </r>
    <r>
      <rPr>
        <sz val="10"/>
        <color indexed="10"/>
        <rFont val="Geneva"/>
      </rPr>
      <t>WG catch estimate (sum of previous three columns).</t>
    </r>
  </si>
  <si>
    <t>1st Quarter</t>
  </si>
  <si>
    <t>2nd Quarter</t>
  </si>
  <si>
    <t>3rd Quarter</t>
  </si>
  <si>
    <t>4th Quarter</t>
  </si>
  <si>
    <t>all quarters</t>
  </si>
  <si>
    <t>TOTAL CATCH</t>
  </si>
  <si>
    <t>REMARKS</t>
  </si>
  <si>
    <t>OFFICIAL LANDINGS</t>
  </si>
  <si>
    <t>RETAINED</t>
  </si>
  <si>
    <t>DISCARDS</t>
  </si>
  <si>
    <t>WG estimate</t>
  </si>
  <si>
    <t>(e.g. to state to which area misre-</t>
  </si>
  <si>
    <t>FLEET</t>
  </si>
  <si>
    <t>Fleet</t>
  </si>
  <si>
    <t>(tonnes)</t>
  </si>
  <si>
    <t>ported catches are transferred</t>
  </si>
  <si>
    <t>Fleet1</t>
  </si>
  <si>
    <t>Fleet 1</t>
  </si>
  <si>
    <t>Fleet 2</t>
  </si>
  <si>
    <t>Fleet 3</t>
  </si>
  <si>
    <t>Fleet 4</t>
  </si>
  <si>
    <t>Total</t>
  </si>
  <si>
    <t>TOTAL</t>
  </si>
  <si>
    <t xml:space="preserve">PLEASE CHECK: </t>
  </si>
  <si>
    <t>Final total catch (WG estimate) should be the same as the sum of the catch totals of all CANUM sheets !</t>
  </si>
  <si>
    <t>CATCH NUMBERS, LENGTH AND WEIGHT AT AGE</t>
  </si>
  <si>
    <t>Catch data (WG estimate) should include discards and unreported landings.</t>
  </si>
  <si>
    <t>Of the sample(s) taken, raised to the total catch of the sample(s)</t>
  </si>
  <si>
    <r>
      <t>TONNES SHOULD ALWAYS BE FILLED IN</t>
    </r>
    <r>
      <rPr>
        <u/>
        <sz val="12"/>
        <color indexed="10"/>
        <rFont val="Geneva"/>
      </rPr>
      <t xml:space="preserve"> (</t>
    </r>
    <r>
      <rPr>
        <sz val="12"/>
        <color indexed="10"/>
        <rFont val="Geneva"/>
      </rPr>
      <t>even if no numbers at age data are available !)</t>
    </r>
  </si>
  <si>
    <t>Member:</t>
  </si>
  <si>
    <t>CHILE</t>
  </si>
  <si>
    <t xml:space="preserve">Fleet : </t>
  </si>
  <si>
    <t>Northern Chile</t>
  </si>
  <si>
    <t>Species:</t>
  </si>
  <si>
    <t>Year:</t>
  </si>
  <si>
    <t>Quarter 1</t>
  </si>
  <si>
    <t>Quarter 2</t>
  </si>
  <si>
    <t>Quarter 3</t>
  </si>
  <si>
    <t>Quarter 4</t>
  </si>
  <si>
    <t>All year</t>
  </si>
  <si>
    <t xml:space="preserve">Numbers </t>
  </si>
  <si>
    <t>Mean</t>
  </si>
  <si>
    <t>Age</t>
  </si>
  <si>
    <t xml:space="preserve">at age </t>
  </si>
  <si>
    <t>Length</t>
  </si>
  <si>
    <t>Weight</t>
  </si>
  <si>
    <t>(thousands)</t>
  </si>
  <si>
    <t>(cm)</t>
  </si>
  <si>
    <t>(kg)</t>
  </si>
  <si>
    <t>(g)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</si>
  <si>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</si>
  <si>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</si>
  <si>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</si>
  <si>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</si>
  <si>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</si>
  <si>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</si>
  <si>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</si>
  <si>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</si>
  <si>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</si>
  <si>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Plus-group</t>
  </si>
  <si>
    <t>12+</t>
  </si>
  <si>
    <t>Total/Mean --&gt;</t>
  </si>
  <si>
    <t>Catch sample(s)</t>
  </si>
  <si>
    <t xml:space="preserve"> (t)</t>
  </si>
  <si>
    <t xml:space="preserve">Catch </t>
  </si>
  <si>
    <t xml:space="preserve">SoP </t>
  </si>
  <si>
    <t>NOTE: the official catches are higher than this table because catches were recorder in 1th Quarter only</t>
  </si>
  <si>
    <t xml:space="preserve"> (%)</t>
  </si>
  <si>
    <t xml:space="preserve">No. aged </t>
  </si>
  <si>
    <t xml:space="preserve"> (n)</t>
  </si>
  <si>
    <t xml:space="preserve">New sheets for other fishing areas may be copied by &lt;EDIT&gt; &lt;MOVE OR COPY SHEET&gt;. </t>
  </si>
  <si>
    <t>Then rename the sheet according the new fishing area by double clicking on it. (Rename also this CANUM sheet according fishing area).</t>
  </si>
  <si>
    <t>South-Central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</si>
</sst>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###\ ###\ ###"/>
    <numFmt numFmtId="167" formatCode="0.0"/>
    <numFmt numFmtId="168" formatCode="d\-mmm\-yyyy"/>
  </numFmts>
  <fonts count="3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Geneva"/>
    </font>
    <font>
      <b/>
      <sz val="10"/>
      <name val="Geneva"/>
    </font>
    <font>
      <sz val="12"/>
      <color indexed="10"/>
      <name val="Geneva"/>
    </font>
    <font>
      <sz val="10"/>
      <color indexed="12"/>
      <name val="Geneva"/>
    </font>
    <font>
      <b/>
      <sz val="10"/>
      <color indexed="18"/>
      <name val="Geneva"/>
    </font>
    <font>
      <b/>
      <sz val="8"/>
      <name val="Geneva"/>
    </font>
    <font>
      <sz val="10"/>
      <color indexed="18"/>
      <name val="Geneva"/>
    </font>
    <font>
      <b/>
      <sz val="12"/>
      <name val="Geneva"/>
    </font>
    <font>
      <b/>
      <sz val="9"/>
      <name val="Geneva"/>
    </font>
    <font>
      <b/>
      <sz val="11"/>
      <name val="Geneva"/>
    </font>
    <font>
      <sz val="12"/>
      <name val="Geneva"/>
    </font>
    <font>
      <sz val="10"/>
      <color indexed="10"/>
      <name val="Geneva"/>
    </font>
    <font>
      <b/>
      <sz val="12"/>
      <color indexed="18"/>
      <name val="Geneva"/>
    </font>
    <font>
      <sz val="14"/>
      <name val="Geneva"/>
    </font>
    <font>
      <b/>
      <sz val="14"/>
      <name val="Geneva"/>
    </font>
    <font>
      <b/>
      <sz val="14"/>
      <color indexed="18"/>
      <name val="Geneva"/>
    </font>
    <font>
      <u/>
      <sz val="10"/>
      <color indexed="10"/>
      <name val="Geneva"/>
    </font>
    <font>
      <b/>
      <sz val="10"/>
      <color indexed="8"/>
      <name val="Geneva"/>
    </font>
    <font>
      <b/>
      <u/>
      <sz val="12"/>
      <color indexed="10"/>
      <name val="Geneva"/>
    </font>
    <font>
      <u/>
      <sz val="12"/>
      <color indexed="10"/>
      <name val="Geneva"/>
    </font>
    <font>
      <b/>
      <sz val="11"/>
      <color indexed="8"/>
      <name val="Geneva"/>
    </font>
    <font>
      <b/>
      <i/>
      <sz val="18"/>
      <name val="Arial"/>
      <family val="2"/>
    </font>
    <font>
      <b/>
      <sz val="10"/>
      <color indexed="10"/>
      <name val="Geneva"/>
    </font>
    <font>
      <sz val="10"/>
      <color indexed="8"/>
      <name val="Geneva"/>
    </font>
    <font>
      <b/>
      <sz val="12"/>
      <color indexed="9"/>
      <name val="Geneva"/>
    </font>
    <font>
      <b/>
      <sz val="16"/>
      <name val="Geneva"/>
    </font>
    <font>
      <sz val="16"/>
      <name val="Geneva"/>
    </font>
    <font>
      <sz val="12"/>
      <color indexed="18"/>
      <name val="Geneva"/>
    </font>
    <font>
      <b/>
      <sz val="18"/>
      <color indexed="10"/>
      <name val="Geneva"/>
    </font>
    <font>
      <sz val="14"/>
      <color indexed="10"/>
      <name val="Geneva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tted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ash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320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Alignment="1">
      <alignment vertical="center"/>
    </xf>
    <xf numFmtId="0" fontId="2" fillId="2" borderId="0" xfId="1" applyFill="1" applyAlignment="1">
      <alignment vertical="center"/>
    </xf>
    <xf numFmtId="164" fontId="2" fillId="2" borderId="0" xfId="1" applyNumberFormat="1" applyFill="1" applyAlignment="1">
      <alignment vertical="center"/>
    </xf>
    <xf numFmtId="0" fontId="2" fillId="2" borderId="0" xfId="1" applyFill="1" applyAlignment="1">
      <alignment horizontal="center" vertical="center"/>
    </xf>
    <xf numFmtId="0" fontId="3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3" xfId="1" applyFill="1" applyBorder="1" applyAlignment="1">
      <alignment vertical="center"/>
    </xf>
    <xf numFmtId="0" fontId="2" fillId="2" borderId="2" xfId="1" applyFill="1" applyBorder="1" applyAlignment="1">
      <alignment vertical="center"/>
    </xf>
    <xf numFmtId="0" fontId="2" fillId="2" borderId="2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2" fillId="2" borderId="5" xfId="1" applyFill="1" applyBorder="1" applyAlignment="1">
      <alignment vertical="center"/>
    </xf>
    <xf numFmtId="0" fontId="2" fillId="2" borderId="1" xfId="1" applyFill="1" applyBorder="1" applyAlignment="1">
      <alignment vertical="center"/>
    </xf>
    <xf numFmtId="0" fontId="2" fillId="2" borderId="1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0" fontId="2" fillId="2" borderId="4" xfId="1" applyFill="1" applyBorder="1" applyAlignment="1">
      <alignment vertical="center"/>
    </xf>
    <xf numFmtId="0" fontId="3" fillId="2" borderId="0" xfId="1" applyFont="1" applyFill="1" applyAlignment="1">
      <alignment horizontal="center" vertical="center"/>
    </xf>
    <xf numFmtId="0" fontId="2" fillId="2" borderId="7" xfId="1" applyFill="1" applyBorder="1" applyAlignment="1">
      <alignment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right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8" xfId="1" applyFont="1" applyFill="1" applyBorder="1" applyAlignment="1" applyProtection="1">
      <alignment horizontal="center" vertical="center"/>
      <protection locked="0"/>
    </xf>
    <xf numFmtId="0" fontId="2" fillId="2" borderId="0" xfId="1" applyFill="1"/>
    <xf numFmtId="0" fontId="2" fillId="2" borderId="0" xfId="1" applyFill="1" applyBorder="1" applyAlignment="1">
      <alignment vertical="center"/>
    </xf>
    <xf numFmtId="0" fontId="2" fillId="2" borderId="9" xfId="1" applyFill="1" applyBorder="1" applyAlignment="1">
      <alignment horizontal="right" vertical="center"/>
    </xf>
    <xf numFmtId="9" fontId="2" fillId="2" borderId="10" xfId="1" applyNumberFormat="1" applyFont="1" applyFill="1" applyBorder="1" applyAlignment="1">
      <alignment horizontal="center" vertical="center"/>
    </xf>
    <xf numFmtId="166" fontId="2" fillId="2" borderId="7" xfId="1" applyNumberFormat="1" applyFill="1" applyBorder="1" applyAlignment="1">
      <alignment vertical="center"/>
    </xf>
    <xf numFmtId="166" fontId="2" fillId="2" borderId="11" xfId="1" applyNumberFormat="1" applyFont="1" applyFill="1" applyBorder="1" applyAlignment="1">
      <alignment horizontal="center" vertical="center"/>
    </xf>
    <xf numFmtId="166" fontId="3" fillId="2" borderId="12" xfId="1" applyNumberFormat="1" applyFont="1" applyFill="1" applyBorder="1" applyAlignment="1">
      <alignment horizontal="center" vertical="center"/>
    </xf>
    <xf numFmtId="166" fontId="6" fillId="3" borderId="12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Alignment="1"/>
    <xf numFmtId="0" fontId="2" fillId="2" borderId="0" xfId="1" applyFill="1" applyAlignment="1"/>
    <xf numFmtId="0" fontId="2" fillId="2" borderId="5" xfId="1" applyFill="1" applyBorder="1" applyAlignment="1"/>
    <xf numFmtId="0" fontId="2" fillId="2" borderId="1" xfId="1" applyFill="1" applyBorder="1" applyAlignment="1"/>
    <xf numFmtId="0" fontId="2" fillId="2" borderId="6" xfId="1" applyFill="1" applyBorder="1" applyAlignment="1">
      <alignment horizontal="center"/>
    </xf>
    <xf numFmtId="0" fontId="2" fillId="2" borderId="5" xfId="1" applyFill="1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6" xfId="1" applyFill="1" applyBorder="1"/>
    <xf numFmtId="165" fontId="2" fillId="2" borderId="13" xfId="1" applyNumberFormat="1" applyFont="1" applyFill="1" applyBorder="1" applyAlignment="1">
      <alignment horizontal="right" vertical="center"/>
    </xf>
    <xf numFmtId="167" fontId="2" fillId="2" borderId="14" xfId="1" applyNumberFormat="1" applyFont="1" applyFill="1" applyBorder="1" applyAlignment="1">
      <alignment horizontal="right" vertical="center"/>
    </xf>
    <xf numFmtId="166" fontId="2" fillId="2" borderId="15" xfId="1" applyNumberFormat="1" applyFont="1" applyFill="1" applyBorder="1" applyAlignment="1">
      <alignment horizontal="right" vertical="center"/>
    </xf>
    <xf numFmtId="165" fontId="2" fillId="2" borderId="16" xfId="1" applyNumberFormat="1" applyFont="1" applyFill="1" applyBorder="1" applyAlignment="1">
      <alignment horizontal="right" vertical="center"/>
    </xf>
    <xf numFmtId="1" fontId="2" fillId="2" borderId="16" xfId="1" applyNumberFormat="1" applyFont="1" applyFill="1" applyBorder="1" applyAlignment="1">
      <alignment horizontal="right" vertical="center"/>
    </xf>
    <xf numFmtId="0" fontId="7" fillId="2" borderId="13" xfId="1" applyFont="1" applyFill="1" applyBorder="1" applyAlignment="1">
      <alignment horizontal="right" vertical="center"/>
    </xf>
    <xf numFmtId="0" fontId="3" fillId="2" borderId="15" xfId="1" applyFont="1" applyFill="1" applyBorder="1" applyAlignment="1">
      <alignment horizontal="center" vertical="center"/>
    </xf>
    <xf numFmtId="165" fontId="2" fillId="2" borderId="17" xfId="1" applyNumberFormat="1" applyFont="1" applyFill="1" applyBorder="1" applyAlignment="1">
      <alignment vertical="center"/>
    </xf>
    <xf numFmtId="167" fontId="2" fillId="2" borderId="18" xfId="1" applyNumberFormat="1" applyFont="1" applyFill="1" applyBorder="1" applyAlignment="1">
      <alignment vertical="center"/>
    </xf>
    <xf numFmtId="166" fontId="2" fillId="2" borderId="19" xfId="1" applyNumberFormat="1" applyFont="1" applyFill="1" applyBorder="1" applyAlignment="1">
      <alignment vertical="center"/>
    </xf>
    <xf numFmtId="165" fontId="8" fillId="4" borderId="17" xfId="1" applyNumberFormat="1" applyFont="1" applyFill="1" applyBorder="1" applyAlignment="1" applyProtection="1">
      <alignment vertical="center"/>
      <protection locked="0"/>
    </xf>
    <xf numFmtId="167" fontId="8" fillId="4" borderId="18" xfId="1" applyNumberFormat="1" applyFont="1" applyFill="1" applyBorder="1" applyAlignment="1" applyProtection="1">
      <alignment vertical="center"/>
      <protection locked="0"/>
    </xf>
    <xf numFmtId="166" fontId="8" fillId="4" borderId="19" xfId="1" applyNumberFormat="1" applyFont="1" applyFill="1" applyBorder="1" applyAlignment="1" applyProtection="1">
      <alignment vertical="center"/>
      <protection locked="0"/>
    </xf>
    <xf numFmtId="0" fontId="9" fillId="2" borderId="17" xfId="1" quotePrefix="1" applyFont="1" applyFill="1" applyBorder="1" applyAlignment="1">
      <alignment horizontal="center" vertical="center"/>
    </xf>
    <xf numFmtId="0" fontId="10" fillId="2" borderId="20" xfId="1" applyFont="1" applyFill="1" applyBorder="1" applyAlignment="1">
      <alignment horizontal="center" vertical="center"/>
    </xf>
    <xf numFmtId="1" fontId="2" fillId="0" borderId="0" xfId="1" applyNumberFormat="1"/>
    <xf numFmtId="0" fontId="11" fillId="2" borderId="20" xfId="1" applyFont="1" applyFill="1" applyBorder="1" applyAlignment="1">
      <alignment horizontal="center" vertical="center"/>
    </xf>
    <xf numFmtId="166" fontId="2" fillId="0" borderId="0" xfId="1" applyNumberFormat="1" applyAlignment="1">
      <alignment vertical="center"/>
    </xf>
    <xf numFmtId="165" fontId="8" fillId="4" borderId="21" xfId="1" applyNumberFormat="1" applyFont="1" applyFill="1" applyBorder="1" applyAlignment="1" applyProtection="1">
      <alignment vertical="center"/>
      <protection locked="0"/>
    </xf>
    <xf numFmtId="167" fontId="8" fillId="4" borderId="22" xfId="1" applyNumberFormat="1" applyFont="1" applyFill="1" applyBorder="1" applyAlignment="1" applyProtection="1">
      <alignment vertical="center"/>
      <protection locked="0"/>
    </xf>
    <xf numFmtId="166" fontId="8" fillId="4" borderId="23" xfId="1" applyNumberFormat="1" applyFont="1" applyFill="1" applyBorder="1" applyAlignment="1" applyProtection="1">
      <alignment vertical="center"/>
      <protection locked="0"/>
    </xf>
    <xf numFmtId="0" fontId="2" fillId="2" borderId="3" xfId="1" applyFill="1" applyBorder="1" applyAlignment="1">
      <alignment horizontal="center" vertical="center"/>
    </xf>
    <xf numFmtId="0" fontId="2" fillId="2" borderId="24" xfId="1" applyFill="1" applyBorder="1" applyAlignment="1">
      <alignment horizontal="center" vertical="center"/>
    </xf>
    <xf numFmtId="0" fontId="2" fillId="2" borderId="4" xfId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7" xfId="1" applyFill="1" applyBorder="1" applyAlignment="1">
      <alignment horizontal="center" vertical="center"/>
    </xf>
    <xf numFmtId="0" fontId="2" fillId="2" borderId="25" xfId="1" applyFill="1" applyBorder="1" applyAlignment="1">
      <alignment horizontal="center" vertical="center"/>
    </xf>
    <xf numFmtId="0" fontId="2" fillId="2" borderId="9" xfId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5" xfId="1" applyFill="1" applyBorder="1" applyAlignment="1">
      <alignment horizontal="center" vertical="center"/>
    </xf>
    <xf numFmtId="0" fontId="2" fillId="2" borderId="26" xfId="1" applyFill="1" applyBorder="1" applyAlignment="1">
      <alignment horizontal="center" vertical="center"/>
    </xf>
    <xf numFmtId="0" fontId="2" fillId="2" borderId="6" xfId="1" applyFill="1" applyBorder="1" applyAlignment="1">
      <alignment horizontal="center" vertical="center"/>
    </xf>
    <xf numFmtId="0" fontId="2" fillId="2" borderId="27" xfId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12" fillId="0" borderId="0" xfId="1" applyFont="1" applyAlignment="1">
      <alignment vertical="center"/>
    </xf>
    <xf numFmtId="0" fontId="12" fillId="2" borderId="0" xfId="1" applyFont="1" applyFill="1" applyAlignment="1">
      <alignment vertical="center"/>
    </xf>
    <xf numFmtId="0" fontId="9" fillId="2" borderId="13" xfId="1" applyFont="1" applyFill="1" applyBorder="1" applyAlignment="1">
      <alignment horizontal="centerContinuous" vertical="center"/>
    </xf>
    <xf numFmtId="0" fontId="9" fillId="2" borderId="16" xfId="1" applyFont="1" applyFill="1" applyBorder="1" applyAlignment="1">
      <alignment horizontal="centerContinuous" vertical="center"/>
    </xf>
    <xf numFmtId="0" fontId="9" fillId="2" borderId="15" xfId="1" applyFont="1" applyFill="1" applyBorder="1" applyAlignment="1">
      <alignment horizontal="centerContinuous" vertical="center"/>
    </xf>
    <xf numFmtId="0" fontId="9" fillId="2" borderId="15" xfId="1" applyFont="1" applyFill="1" applyBorder="1" applyAlignment="1">
      <alignment horizontal="left" vertical="center"/>
    </xf>
    <xf numFmtId="0" fontId="12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12" fillId="4" borderId="28" xfId="1" applyFont="1" applyFill="1" applyBorder="1" applyAlignment="1">
      <alignment horizontal="centerContinuous" vertical="center"/>
    </xf>
    <xf numFmtId="0" fontId="2" fillId="2" borderId="0" xfId="1" applyFont="1" applyFill="1" applyBorder="1" applyAlignment="1">
      <alignment horizontal="right" vertical="center"/>
    </xf>
    <xf numFmtId="0" fontId="15" fillId="2" borderId="28" xfId="1" applyFont="1" applyFill="1" applyBorder="1" applyAlignment="1">
      <alignment vertical="center"/>
    </xf>
    <xf numFmtId="0" fontId="15" fillId="2" borderId="29" xfId="1" applyFont="1" applyFill="1" applyBorder="1" applyAlignment="1">
      <alignment vertical="center"/>
    </xf>
    <xf numFmtId="0" fontId="16" fillId="2" borderId="30" xfId="1" applyFont="1" applyFill="1" applyBorder="1" applyAlignment="1">
      <alignment horizontal="left" vertical="center"/>
    </xf>
    <xf numFmtId="0" fontId="2" fillId="4" borderId="31" xfId="1" applyFill="1" applyBorder="1" applyAlignment="1">
      <alignment horizontal="centerContinuous" vertical="center"/>
    </xf>
    <xf numFmtId="0" fontId="2" fillId="4" borderId="32" xfId="1" applyFill="1" applyBorder="1" applyAlignment="1" applyProtection="1">
      <alignment horizontal="centerContinuous" vertical="center"/>
      <protection locked="0"/>
    </xf>
    <xf numFmtId="0" fontId="14" fillId="4" borderId="33" xfId="1" applyFont="1" applyFill="1" applyBorder="1" applyAlignment="1" applyProtection="1">
      <alignment horizontal="left" vertical="center"/>
      <protection locked="0"/>
    </xf>
    <xf numFmtId="0" fontId="2" fillId="2" borderId="0" xfId="1" applyFont="1" applyFill="1" applyBorder="1" applyAlignment="1">
      <alignment vertical="center"/>
    </xf>
    <xf numFmtId="0" fontId="2" fillId="2" borderId="31" xfId="1" applyFill="1" applyBorder="1" applyAlignment="1">
      <alignment vertical="center"/>
    </xf>
    <xf numFmtId="0" fontId="2" fillId="2" borderId="32" xfId="1" applyFont="1" applyFill="1" applyBorder="1" applyAlignment="1">
      <alignment vertical="center"/>
    </xf>
    <xf numFmtId="0" fontId="9" fillId="2" borderId="33" xfId="1" applyFont="1" applyFill="1" applyBorder="1" applyAlignment="1">
      <alignment horizontal="left" vertical="center"/>
    </xf>
    <xf numFmtId="0" fontId="2" fillId="4" borderId="34" xfId="1" applyFill="1" applyBorder="1" applyAlignment="1">
      <alignment horizontal="centerContinuous" vertical="center"/>
    </xf>
    <xf numFmtId="0" fontId="2" fillId="4" borderId="35" xfId="1" applyFill="1" applyBorder="1" applyAlignment="1" applyProtection="1">
      <alignment horizontal="centerContinuous" vertical="center"/>
      <protection locked="0"/>
    </xf>
    <xf numFmtId="0" fontId="17" fillId="4" borderId="36" xfId="1" applyFont="1" applyFill="1" applyBorder="1" applyAlignment="1" applyProtection="1">
      <alignment horizontal="left" vertical="center"/>
      <protection locked="0"/>
    </xf>
    <xf numFmtId="0" fontId="2" fillId="2" borderId="34" xfId="1" applyFill="1" applyBorder="1" applyAlignment="1">
      <alignment vertical="center"/>
    </xf>
    <xf numFmtId="0" fontId="2" fillId="2" borderId="35" xfId="1" applyFont="1" applyFill="1" applyBorder="1" applyAlignment="1">
      <alignment horizontal="left" vertical="center"/>
    </xf>
    <xf numFmtId="0" fontId="9" fillId="2" borderId="36" xfId="1" applyFont="1" applyFill="1" applyBorder="1" applyAlignment="1">
      <alignment horizontal="left" vertical="center"/>
    </xf>
    <xf numFmtId="0" fontId="2" fillId="0" borderId="0" xfId="1" applyFont="1" applyFill="1" applyBorder="1" applyAlignment="1">
      <alignment horizontal="right" vertical="center"/>
    </xf>
    <xf numFmtId="0" fontId="18" fillId="2" borderId="0" xfId="1" applyFont="1" applyFill="1" applyAlignment="1">
      <alignment horizontal="left" vertical="center"/>
    </xf>
    <xf numFmtId="0" fontId="19" fillId="2" borderId="0" xfId="1" applyFont="1" applyFill="1" applyAlignment="1">
      <alignment horizontal="left" vertical="center"/>
    </xf>
    <xf numFmtId="0" fontId="20" fillId="2" borderId="0" xfId="1" applyFont="1" applyFill="1" applyAlignment="1">
      <alignment horizontal="left" vertical="center"/>
    </xf>
    <xf numFmtId="0" fontId="22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16" fillId="2" borderId="0" xfId="1" applyFont="1" applyFill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0" fillId="2" borderId="5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0" fillId="2" borderId="4" xfId="0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 applyProtection="1">
      <alignment horizontal="center" vertical="center"/>
      <protection locked="0"/>
    </xf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9" xfId="0" applyFill="1" applyBorder="1" applyAlignment="1">
      <alignment horizontal="right" vertical="center"/>
    </xf>
    <xf numFmtId="9" fontId="2" fillId="2" borderId="10" xfId="0" applyNumberFormat="1" applyFont="1" applyFill="1" applyBorder="1" applyAlignment="1">
      <alignment horizontal="center" vertical="center"/>
    </xf>
    <xf numFmtId="166" fontId="0" fillId="2" borderId="7" xfId="0" applyNumberFormat="1" applyFill="1" applyBorder="1" applyAlignment="1">
      <alignment vertical="center"/>
    </xf>
    <xf numFmtId="166" fontId="2" fillId="2" borderId="11" xfId="0" applyNumberFormat="1" applyFont="1" applyFill="1" applyBorder="1" applyAlignment="1">
      <alignment horizontal="center" vertical="center"/>
    </xf>
    <xf numFmtId="166" fontId="3" fillId="2" borderId="12" xfId="0" applyNumberFormat="1" applyFont="1" applyFill="1" applyBorder="1" applyAlignment="1">
      <alignment horizontal="center" vertical="center"/>
    </xf>
    <xf numFmtId="166" fontId="6" fillId="3" borderId="1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/>
    <xf numFmtId="0" fontId="0" fillId="2" borderId="0" xfId="0" applyFill="1" applyAlignment="1"/>
    <xf numFmtId="0" fontId="0" fillId="2" borderId="5" xfId="0" applyFill="1" applyBorder="1" applyAlignment="1"/>
    <xf numFmtId="0" fontId="0" fillId="2" borderId="1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6" xfId="0" applyFill="1" applyBorder="1"/>
    <xf numFmtId="1" fontId="2" fillId="2" borderId="13" xfId="0" applyNumberFormat="1" applyFont="1" applyFill="1" applyBorder="1" applyAlignment="1">
      <alignment horizontal="right" vertical="center"/>
    </xf>
    <xf numFmtId="167" fontId="2" fillId="2" borderId="14" xfId="0" applyNumberFormat="1" applyFont="1" applyFill="1" applyBorder="1" applyAlignment="1">
      <alignment horizontal="right" vertical="center"/>
    </xf>
    <xf numFmtId="166" fontId="2" fillId="2" borderId="15" xfId="0" applyNumberFormat="1" applyFont="1" applyFill="1" applyBorder="1" applyAlignment="1">
      <alignment horizontal="right" vertical="center"/>
    </xf>
    <xf numFmtId="1" fontId="2" fillId="2" borderId="16" xfId="0" applyNumberFormat="1" applyFont="1" applyFill="1" applyBorder="1" applyAlignment="1">
      <alignment horizontal="right" vertical="center"/>
    </xf>
    <xf numFmtId="165" fontId="2" fillId="2" borderId="16" xfId="0" applyNumberFormat="1" applyFont="1" applyFill="1" applyBorder="1" applyAlignment="1">
      <alignment horizontal="right" vertical="center"/>
    </xf>
    <xf numFmtId="0" fontId="7" fillId="2" borderId="13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center" vertical="center"/>
    </xf>
    <xf numFmtId="165" fontId="2" fillId="2" borderId="17" xfId="0" applyNumberFormat="1" applyFont="1" applyFill="1" applyBorder="1" applyAlignment="1">
      <alignment vertical="center"/>
    </xf>
    <xf numFmtId="167" fontId="2" fillId="2" borderId="18" xfId="0" applyNumberFormat="1" applyFont="1" applyFill="1" applyBorder="1" applyAlignment="1">
      <alignment vertical="center"/>
    </xf>
    <xf numFmtId="166" fontId="2" fillId="2" borderId="19" xfId="0" applyNumberFormat="1" applyFont="1" applyFill="1" applyBorder="1" applyAlignment="1">
      <alignment vertical="center"/>
    </xf>
    <xf numFmtId="165" fontId="8" fillId="4" borderId="17" xfId="0" applyNumberFormat="1" applyFont="1" applyFill="1" applyBorder="1" applyAlignment="1" applyProtection="1">
      <alignment vertical="center"/>
      <protection locked="0"/>
    </xf>
    <xf numFmtId="167" fontId="8" fillId="4" borderId="18" xfId="0" applyNumberFormat="1" applyFont="1" applyFill="1" applyBorder="1" applyAlignment="1" applyProtection="1">
      <alignment vertical="center"/>
      <protection locked="0"/>
    </xf>
    <xf numFmtId="166" fontId="8" fillId="4" borderId="19" xfId="0" applyNumberFormat="1" applyFont="1" applyFill="1" applyBorder="1" applyAlignment="1" applyProtection="1">
      <alignment vertical="center"/>
      <protection locked="0"/>
    </xf>
    <xf numFmtId="0" fontId="9" fillId="2" borderId="17" xfId="0" quotePrefix="1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165" fontId="8" fillId="4" borderId="21" xfId="0" applyNumberFormat="1" applyFont="1" applyFill="1" applyBorder="1" applyAlignment="1" applyProtection="1">
      <alignment vertical="center"/>
      <protection locked="0"/>
    </xf>
    <xf numFmtId="167" fontId="8" fillId="4" borderId="22" xfId="0" applyNumberFormat="1" applyFont="1" applyFill="1" applyBorder="1" applyAlignment="1" applyProtection="1">
      <alignment vertical="center"/>
      <protection locked="0"/>
    </xf>
    <xf numFmtId="166" fontId="8" fillId="4" borderId="23" xfId="0" applyNumberFormat="1" applyFont="1" applyFill="1" applyBorder="1" applyAlignment="1" applyProtection="1">
      <alignment vertical="center"/>
      <protection locked="0"/>
    </xf>
    <xf numFmtId="0" fontId="0" fillId="2" borderId="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9" fillId="2" borderId="13" xfId="0" applyFont="1" applyFill="1" applyBorder="1" applyAlignment="1">
      <alignment horizontal="centerContinuous" vertical="center"/>
    </xf>
    <xf numFmtId="0" fontId="9" fillId="2" borderId="16" xfId="0" applyFont="1" applyFill="1" applyBorder="1" applyAlignment="1">
      <alignment horizontal="centerContinuous" vertical="center"/>
    </xf>
    <xf numFmtId="0" fontId="9" fillId="2" borderId="15" xfId="0" applyFont="1" applyFill="1" applyBorder="1" applyAlignment="1">
      <alignment horizontal="centerContinuous" vertical="center"/>
    </xf>
    <xf numFmtId="0" fontId="9" fillId="2" borderId="15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4" borderId="28" xfId="0" applyFont="1" applyFill="1" applyBorder="1" applyAlignment="1">
      <alignment horizontal="centerContinuous" vertical="center"/>
    </xf>
    <xf numFmtId="0" fontId="2" fillId="2" borderId="0" xfId="0" applyFont="1" applyFill="1" applyBorder="1" applyAlignment="1">
      <alignment horizontal="right" vertical="center"/>
    </xf>
    <xf numFmtId="0" fontId="15" fillId="2" borderId="28" xfId="0" applyFont="1" applyFill="1" applyBorder="1" applyAlignment="1">
      <alignment vertical="center"/>
    </xf>
    <xf numFmtId="0" fontId="15" fillId="2" borderId="29" xfId="0" applyFont="1" applyFill="1" applyBorder="1" applyAlignment="1">
      <alignment vertical="center"/>
    </xf>
    <xf numFmtId="0" fontId="16" fillId="2" borderId="30" xfId="0" applyFont="1" applyFill="1" applyBorder="1" applyAlignment="1">
      <alignment horizontal="left" vertical="center"/>
    </xf>
    <xf numFmtId="0" fontId="0" fillId="4" borderId="31" xfId="0" applyFill="1" applyBorder="1" applyAlignment="1">
      <alignment horizontal="centerContinuous" vertical="center"/>
    </xf>
    <xf numFmtId="0" fontId="0" fillId="4" borderId="32" xfId="0" applyFill="1" applyBorder="1" applyAlignment="1" applyProtection="1">
      <alignment horizontal="centerContinuous" vertical="center"/>
      <protection locked="0"/>
    </xf>
    <xf numFmtId="0" fontId="14" fillId="4" borderId="33" xfId="0" quotePrefix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>
      <alignment vertical="center"/>
    </xf>
    <xf numFmtId="0" fontId="0" fillId="2" borderId="31" xfId="0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9" fillId="2" borderId="33" xfId="0" applyFont="1" applyFill="1" applyBorder="1" applyAlignment="1">
      <alignment horizontal="left" vertical="center"/>
    </xf>
    <xf numFmtId="0" fontId="0" fillId="4" borderId="34" xfId="0" applyFill="1" applyBorder="1" applyAlignment="1">
      <alignment horizontal="centerContinuous" vertical="center"/>
    </xf>
    <xf numFmtId="0" fontId="0" fillId="4" borderId="35" xfId="0" applyFill="1" applyBorder="1" applyAlignment="1" applyProtection="1">
      <alignment horizontal="centerContinuous" vertical="center"/>
      <protection locked="0"/>
    </xf>
    <xf numFmtId="0" fontId="17" fillId="4" borderId="36" xfId="0" applyFont="1" applyFill="1" applyBorder="1" applyAlignment="1" applyProtection="1">
      <alignment horizontal="left" vertical="center"/>
      <protection locked="0"/>
    </xf>
    <xf numFmtId="0" fontId="0" fillId="2" borderId="0" xfId="0" applyFont="1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2" fillId="2" borderId="35" xfId="0" applyFont="1" applyFill="1" applyBorder="1" applyAlignment="1">
      <alignment horizontal="left" vertical="center"/>
    </xf>
    <xf numFmtId="0" fontId="9" fillId="2" borderId="36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23" fillId="0" borderId="0" xfId="1" applyFont="1"/>
    <xf numFmtId="0" fontId="24" fillId="2" borderId="0" xfId="1" applyFont="1" applyFill="1" applyAlignment="1">
      <alignment horizontal="left" vertical="center"/>
    </xf>
    <xf numFmtId="0" fontId="13" fillId="2" borderId="0" xfId="1" applyFont="1" applyFill="1" applyBorder="1" applyAlignment="1">
      <alignment horizontal="left" vertical="center"/>
    </xf>
    <xf numFmtId="0" fontId="25" fillId="2" borderId="0" xfId="1" applyFont="1" applyFill="1" applyBorder="1" applyAlignment="1">
      <alignment horizontal="left" vertical="center"/>
    </xf>
    <xf numFmtId="0" fontId="2" fillId="2" borderId="0" xfId="1" applyFill="1" applyAlignment="1">
      <alignment horizontal="left" vertical="center" wrapText="1"/>
    </xf>
    <xf numFmtId="0" fontId="2" fillId="2" borderId="0" xfId="1" applyFill="1" applyAlignment="1">
      <alignment horizontal="right" vertical="center"/>
    </xf>
    <xf numFmtId="0" fontId="14" fillId="0" borderId="37" xfId="1" applyFont="1" applyFill="1" applyBorder="1" applyAlignment="1" applyProtection="1">
      <alignment vertical="center"/>
      <protection locked="0"/>
    </xf>
    <xf numFmtId="0" fontId="13" fillId="2" borderId="0" xfId="1" applyFont="1" applyFill="1" applyBorder="1" applyAlignment="1">
      <alignment vertical="center"/>
    </xf>
    <xf numFmtId="0" fontId="17" fillId="0" borderId="37" xfId="1" applyFont="1" applyFill="1" applyBorder="1" applyAlignment="1" applyProtection="1">
      <alignment horizontal="left" vertical="center"/>
      <protection locked="0"/>
    </xf>
    <xf numFmtId="0" fontId="2" fillId="2" borderId="0" xfId="1" applyFill="1" applyBorder="1" applyAlignment="1">
      <alignment horizontal="right" vertical="center"/>
    </xf>
    <xf numFmtId="168" fontId="14" fillId="4" borderId="37" xfId="1" quotePrefix="1" applyNumberFormat="1" applyFont="1" applyFill="1" applyBorder="1" applyAlignment="1">
      <alignment horizontal="left" vertical="center"/>
    </xf>
    <xf numFmtId="0" fontId="13" fillId="0" borderId="0" xfId="1" applyFont="1" applyAlignment="1">
      <alignment horizontal="left" vertical="center"/>
    </xf>
    <xf numFmtId="168" fontId="26" fillId="2" borderId="0" xfId="1" quotePrefix="1" applyNumberFormat="1" applyFont="1" applyFill="1" applyBorder="1" applyAlignment="1">
      <alignment horizontal="left" vertical="center"/>
    </xf>
    <xf numFmtId="168" fontId="14" fillId="2" borderId="0" xfId="1" applyNumberFormat="1" applyFont="1" applyFill="1" applyBorder="1" applyAlignment="1">
      <alignment horizontal="left" vertical="center"/>
    </xf>
    <xf numFmtId="0" fontId="3" fillId="0" borderId="0" xfId="1" applyFont="1" applyAlignment="1">
      <alignment vertical="center"/>
    </xf>
    <xf numFmtId="0" fontId="2" fillId="2" borderId="38" xfId="1" applyFont="1" applyFill="1" applyBorder="1" applyAlignment="1">
      <alignment horizontal="center" vertical="top" wrapText="1"/>
    </xf>
    <xf numFmtId="0" fontId="3" fillId="2" borderId="38" xfId="1" applyFont="1" applyFill="1" applyBorder="1" applyAlignment="1">
      <alignment horizontal="center" vertical="top" wrapText="1"/>
    </xf>
    <xf numFmtId="0" fontId="3" fillId="2" borderId="39" xfId="1" applyFont="1" applyFill="1" applyBorder="1" applyAlignment="1">
      <alignment horizontal="center" vertical="top" wrapText="1"/>
    </xf>
    <xf numFmtId="0" fontId="3" fillId="2" borderId="40" xfId="1" applyFont="1" applyFill="1" applyBorder="1" applyAlignment="1">
      <alignment horizontal="center" vertical="top" wrapText="1"/>
    </xf>
    <xf numFmtId="0" fontId="3" fillId="2" borderId="41" xfId="1" applyFont="1" applyFill="1" applyBorder="1" applyAlignment="1">
      <alignment horizontal="center" vertical="top" wrapText="1"/>
    </xf>
    <xf numFmtId="0" fontId="3" fillId="5" borderId="38" xfId="1" applyFont="1" applyFill="1" applyBorder="1" applyAlignment="1">
      <alignment horizontal="center" vertical="top" wrapText="1"/>
    </xf>
    <xf numFmtId="0" fontId="3" fillId="2" borderId="42" xfId="1" applyFont="1" applyFill="1" applyBorder="1" applyAlignment="1">
      <alignment horizontal="center" vertical="top" wrapText="1"/>
    </xf>
    <xf numFmtId="0" fontId="3" fillId="2" borderId="5" xfId="1" applyFont="1" applyFill="1" applyBorder="1" applyAlignment="1">
      <alignment horizontal="center" vertical="top" wrapText="1"/>
    </xf>
    <xf numFmtId="0" fontId="3" fillId="6" borderId="5" xfId="1" applyFont="1" applyFill="1" applyBorder="1" applyAlignment="1">
      <alignment horizontal="center" vertical="top" wrapText="1"/>
    </xf>
    <xf numFmtId="0" fontId="2" fillId="2" borderId="43" xfId="1" applyFont="1" applyFill="1" applyBorder="1" applyAlignment="1">
      <alignment horizontal="center" vertical="top" wrapText="1"/>
    </xf>
    <xf numFmtId="0" fontId="3" fillId="2" borderId="43" xfId="1" applyFont="1" applyFill="1" applyBorder="1" applyAlignment="1">
      <alignment horizontal="center" vertical="top" wrapText="1"/>
    </xf>
    <xf numFmtId="0" fontId="3" fillId="2" borderId="44" xfId="1" applyFont="1" applyFill="1" applyBorder="1" applyAlignment="1">
      <alignment horizontal="center" vertical="top" wrapText="1"/>
    </xf>
    <xf numFmtId="0" fontId="3" fillId="2" borderId="45" xfId="1" applyFont="1" applyFill="1" applyBorder="1" applyAlignment="1">
      <alignment horizontal="center" vertical="top" wrapText="1"/>
    </xf>
    <xf numFmtId="0" fontId="3" fillId="2" borderId="46" xfId="1" applyFont="1" applyFill="1" applyBorder="1" applyAlignment="1">
      <alignment horizontal="center" vertical="top" wrapText="1"/>
    </xf>
    <xf numFmtId="0" fontId="3" fillId="5" borderId="43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top" wrapText="1"/>
    </xf>
    <xf numFmtId="0" fontId="3" fillId="6" borderId="7" xfId="1" applyFont="1" applyFill="1" applyBorder="1" applyAlignment="1">
      <alignment horizontal="center" vertical="top" wrapText="1"/>
    </xf>
    <xf numFmtId="0" fontId="9" fillId="2" borderId="43" xfId="1" applyFont="1" applyFill="1" applyBorder="1" applyAlignment="1">
      <alignment horizontal="center" vertical="center"/>
    </xf>
    <xf numFmtId="0" fontId="9" fillId="2" borderId="47" xfId="1" applyFont="1" applyFill="1" applyBorder="1" applyAlignment="1">
      <alignment horizontal="center" vertical="center"/>
    </xf>
    <xf numFmtId="0" fontId="2" fillId="2" borderId="47" xfId="1" applyFont="1" applyFill="1" applyBorder="1" applyAlignment="1">
      <alignment horizontal="center" vertical="center"/>
    </xf>
    <xf numFmtId="0" fontId="2" fillId="2" borderId="48" xfId="1" applyFont="1" applyFill="1" applyBorder="1" applyAlignment="1">
      <alignment horizontal="center" vertical="center"/>
    </xf>
    <xf numFmtId="0" fontId="2" fillId="2" borderId="49" xfId="1" applyFont="1" applyFill="1" applyBorder="1" applyAlignment="1">
      <alignment horizontal="center" vertical="center"/>
    </xf>
    <xf numFmtId="0" fontId="2" fillId="2" borderId="50" xfId="1" applyFont="1" applyFill="1" applyBorder="1" applyAlignment="1">
      <alignment horizontal="center" vertical="center"/>
    </xf>
    <xf numFmtId="0" fontId="2" fillId="5" borderId="47" xfId="1" applyFont="1" applyFill="1" applyBorder="1" applyAlignment="1">
      <alignment horizontal="center" vertical="center"/>
    </xf>
    <xf numFmtId="0" fontId="2" fillId="2" borderId="5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6" borderId="7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12" fillId="0" borderId="11" xfId="1" applyFont="1" applyFill="1" applyBorder="1" applyAlignment="1">
      <alignment horizontal="center" vertical="center"/>
    </xf>
    <xf numFmtId="166" fontId="29" fillId="4" borderId="11" xfId="1" applyNumberFormat="1" applyFont="1" applyFill="1" applyBorder="1" applyAlignment="1" applyProtection="1">
      <alignment horizontal="center" vertical="center"/>
      <protection locked="0"/>
    </xf>
    <xf numFmtId="166" fontId="29" fillId="4" borderId="52" xfId="1" applyNumberFormat="1" applyFont="1" applyFill="1" applyBorder="1" applyAlignment="1" applyProtection="1">
      <alignment horizontal="center" vertical="center"/>
      <protection locked="0"/>
    </xf>
    <xf numFmtId="166" fontId="29" fillId="4" borderId="53" xfId="1" applyNumberFormat="1" applyFont="1" applyFill="1" applyBorder="1" applyAlignment="1" applyProtection="1">
      <alignment horizontal="center" vertical="center"/>
      <protection locked="0"/>
    </xf>
    <xf numFmtId="166" fontId="29" fillId="4" borderId="54" xfId="1" applyNumberFormat="1" applyFont="1" applyFill="1" applyBorder="1" applyAlignment="1" applyProtection="1">
      <alignment horizontal="center" vertical="center"/>
      <protection locked="0"/>
    </xf>
    <xf numFmtId="166" fontId="29" fillId="4" borderId="55" xfId="1" applyNumberFormat="1" applyFont="1" applyFill="1" applyBorder="1" applyAlignment="1" applyProtection="1">
      <alignment horizontal="center" vertical="center"/>
      <protection locked="0"/>
    </xf>
    <xf numFmtId="166" fontId="29" fillId="5" borderId="54" xfId="1" applyNumberFormat="1" applyFont="1" applyFill="1" applyBorder="1" applyAlignment="1" applyProtection="1">
      <alignment horizontal="center" vertical="center"/>
      <protection locked="0"/>
    </xf>
    <xf numFmtId="166" fontId="29" fillId="0" borderId="56" xfId="1" applyNumberFormat="1" applyFont="1" applyFill="1" applyBorder="1" applyAlignment="1" applyProtection="1">
      <alignment horizontal="center" vertical="center"/>
      <protection locked="0"/>
    </xf>
    <xf numFmtId="166" fontId="29" fillId="0" borderId="57" xfId="1" applyNumberFormat="1" applyFont="1" applyFill="1" applyBorder="1" applyAlignment="1" applyProtection="1">
      <alignment horizontal="center" vertical="center"/>
      <protection locked="0"/>
    </xf>
    <xf numFmtId="166" fontId="9" fillId="6" borderId="12" xfId="2" applyNumberFormat="1" applyFont="1" applyFill="1" applyBorder="1" applyAlignment="1">
      <alignment horizontal="center" vertical="center"/>
    </xf>
    <xf numFmtId="166" fontId="9" fillId="3" borderId="12" xfId="2" applyNumberFormat="1" applyFont="1" applyFill="1" applyBorder="1" applyAlignment="1">
      <alignment horizontal="center" vertical="center"/>
    </xf>
    <xf numFmtId="166" fontId="29" fillId="4" borderId="58" xfId="1" applyNumberFormat="1" applyFont="1" applyFill="1" applyBorder="1" applyAlignment="1" applyProtection="1">
      <alignment horizontal="center" vertical="center"/>
      <protection locked="0"/>
    </xf>
    <xf numFmtId="166" fontId="29" fillId="4" borderId="59" xfId="1" applyNumberFormat="1" applyFont="1" applyFill="1" applyBorder="1" applyAlignment="1" applyProtection="1">
      <alignment horizontal="center" vertical="center"/>
      <protection locked="0"/>
    </xf>
    <xf numFmtId="166" fontId="29" fillId="4" borderId="60" xfId="1" applyNumberFormat="1" applyFont="1" applyFill="1" applyBorder="1" applyAlignment="1" applyProtection="1">
      <alignment horizontal="center" vertical="center"/>
      <protection locked="0"/>
    </xf>
    <xf numFmtId="166" fontId="9" fillId="6" borderId="11" xfId="2" applyNumberFormat="1" applyFont="1" applyFill="1" applyBorder="1" applyAlignment="1">
      <alignment horizontal="center" vertical="center"/>
    </xf>
    <xf numFmtId="166" fontId="9" fillId="3" borderId="11" xfId="2" applyNumberFormat="1" applyFont="1" applyFill="1" applyBorder="1" applyAlignment="1">
      <alignment horizontal="center" vertical="center"/>
    </xf>
    <xf numFmtId="166" fontId="29" fillId="5" borderId="43" xfId="1" applyNumberFormat="1" applyFont="1" applyFill="1" applyBorder="1" applyAlignment="1" applyProtection="1">
      <alignment horizontal="center" vertical="center"/>
      <protection locked="0"/>
    </xf>
    <xf numFmtId="166" fontId="29" fillId="0" borderId="61" xfId="1" applyNumberFormat="1" applyFont="1" applyFill="1" applyBorder="1" applyAlignment="1" applyProtection="1">
      <alignment horizontal="center" vertical="center"/>
      <protection locked="0"/>
    </xf>
    <xf numFmtId="166" fontId="29" fillId="0" borderId="7" xfId="1" applyNumberFormat="1" applyFont="1" applyFill="1" applyBorder="1" applyAlignment="1" applyProtection="1">
      <alignment horizontal="center" vertical="center"/>
      <protection locked="0"/>
    </xf>
    <xf numFmtId="0" fontId="12" fillId="0" borderId="38" xfId="1" applyFont="1" applyFill="1" applyBorder="1" applyAlignment="1">
      <alignment horizontal="center" vertical="center"/>
    </xf>
    <xf numFmtId="166" fontId="9" fillId="0" borderId="38" xfId="1" applyNumberFormat="1" applyFont="1" applyFill="1" applyBorder="1" applyAlignment="1">
      <alignment horizontal="center" vertical="center"/>
    </xf>
    <xf numFmtId="166" fontId="9" fillId="0" borderId="40" xfId="1" applyNumberFormat="1" applyFont="1" applyFill="1" applyBorder="1" applyAlignment="1">
      <alignment horizontal="center" vertical="center"/>
    </xf>
    <xf numFmtId="166" fontId="9" fillId="0" borderId="62" xfId="1" applyNumberFormat="1" applyFont="1" applyFill="1" applyBorder="1" applyAlignment="1">
      <alignment horizontal="center" vertical="center"/>
    </xf>
    <xf numFmtId="166" fontId="9" fillId="0" borderId="63" xfId="1" applyNumberFormat="1" applyFont="1" applyFill="1" applyBorder="1" applyAlignment="1">
      <alignment horizontal="center" vertical="center"/>
    </xf>
    <xf numFmtId="166" fontId="9" fillId="0" borderId="8" xfId="1" applyNumberFormat="1" applyFont="1" applyFill="1" applyBorder="1" applyAlignment="1">
      <alignment horizontal="center" vertical="center"/>
    </xf>
    <xf numFmtId="166" fontId="9" fillId="0" borderId="64" xfId="1" applyNumberFormat="1" applyFont="1" applyFill="1" applyBorder="1" applyAlignment="1">
      <alignment horizontal="center" vertical="center"/>
    </xf>
    <xf numFmtId="166" fontId="9" fillId="0" borderId="65" xfId="1" applyNumberFormat="1" applyFont="1" applyFill="1" applyBorder="1" applyAlignment="1">
      <alignment horizontal="center" vertical="center"/>
    </xf>
    <xf numFmtId="166" fontId="29" fillId="5" borderId="8" xfId="1" applyNumberFormat="1" applyFont="1" applyFill="1" applyBorder="1" applyAlignment="1" applyProtection="1">
      <alignment horizontal="center" vertical="center"/>
      <protection locked="0"/>
    </xf>
    <xf numFmtId="166" fontId="29" fillId="0" borderId="66" xfId="1" applyNumberFormat="1" applyFont="1" applyFill="1" applyBorder="1" applyAlignment="1" applyProtection="1">
      <alignment horizontal="center" vertical="center"/>
      <protection locked="0"/>
    </xf>
    <xf numFmtId="166" fontId="29" fillId="0" borderId="13" xfId="1" applyNumberFormat="1" applyFont="1" applyFill="1" applyBorder="1" applyAlignment="1" applyProtection="1">
      <alignment horizontal="center" vertical="center"/>
      <protection locked="0"/>
    </xf>
    <xf numFmtId="166" fontId="9" fillId="6" borderId="8" xfId="2" applyNumberFormat="1" applyFont="1" applyFill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30" fillId="0" borderId="6" xfId="1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31" fillId="0" borderId="4" xfId="1" applyFont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2" fillId="0" borderId="2" xfId="1" applyBorder="1" applyAlignment="1">
      <alignment vertical="center"/>
    </xf>
    <xf numFmtId="0" fontId="1" fillId="2" borderId="0" xfId="0" applyFont="1" applyFill="1" applyAlignment="1">
      <alignment vertical="center"/>
    </xf>
    <xf numFmtId="0" fontId="27" fillId="2" borderId="6" xfId="1" applyFont="1" applyFill="1" applyBorder="1" applyAlignment="1">
      <alignment horizontal="center" vertical="center"/>
    </xf>
    <xf numFmtId="0" fontId="27" fillId="2" borderId="1" xfId="1" applyFont="1" applyFill="1" applyBorder="1" applyAlignment="1">
      <alignment horizontal="center" vertical="center"/>
    </xf>
    <xf numFmtId="0" fontId="27" fillId="2" borderId="5" xfId="1" applyFont="1" applyFill="1" applyBorder="1" applyAlignment="1">
      <alignment horizontal="center" vertical="center"/>
    </xf>
    <xf numFmtId="0" fontId="27" fillId="2" borderId="4" xfId="1" applyFont="1" applyFill="1" applyBorder="1" applyAlignment="1">
      <alignment horizontal="center" vertical="center"/>
    </xf>
    <xf numFmtId="0" fontId="27" fillId="2" borderId="2" xfId="1" applyFont="1" applyFill="1" applyBorder="1" applyAlignment="1">
      <alignment horizontal="center" vertical="center"/>
    </xf>
    <xf numFmtId="0" fontId="27" fillId="2" borderId="3" xfId="1" applyFont="1" applyFill="1" applyBorder="1" applyAlignment="1">
      <alignment horizontal="center" vertical="center"/>
    </xf>
    <xf numFmtId="0" fontId="28" fillId="2" borderId="4" xfId="1" applyFont="1" applyFill="1" applyBorder="1" applyAlignment="1">
      <alignment horizontal="center" vertical="center"/>
    </xf>
    <xf numFmtId="0" fontId="28" fillId="2" borderId="2" xfId="1" applyFont="1" applyFill="1" applyBorder="1" applyAlignment="1">
      <alignment horizontal="center" vertical="center"/>
    </xf>
    <xf numFmtId="0" fontId="28" fillId="2" borderId="3" xfId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168" fontId="14" fillId="4" borderId="4" xfId="0" quotePrefix="1" applyNumberFormat="1" applyFont="1" applyFill="1" applyBorder="1" applyAlignment="1">
      <alignment horizontal="left" vertical="center"/>
    </xf>
    <xf numFmtId="168" fontId="14" fillId="4" borderId="2" xfId="0" quotePrefix="1" applyNumberFormat="1" applyFont="1" applyFill="1" applyBorder="1" applyAlignment="1">
      <alignment horizontal="left" vertical="center"/>
    </xf>
    <xf numFmtId="168" fontId="14" fillId="4" borderId="4" xfId="1" quotePrefix="1" applyNumberFormat="1" applyFont="1" applyFill="1" applyBorder="1" applyAlignment="1">
      <alignment horizontal="left" vertical="center"/>
    </xf>
    <xf numFmtId="168" fontId="14" fillId="4" borderId="2" xfId="1" quotePrefix="1" applyNumberFormat="1" applyFont="1" applyFill="1" applyBorder="1" applyAlignment="1">
      <alignment horizontal="left" vertical="center"/>
    </xf>
    <xf numFmtId="0" fontId="9" fillId="2" borderId="15" xfId="1" applyFont="1" applyFill="1" applyBorder="1" applyAlignment="1">
      <alignment horizontal="left" vertical="center"/>
    </xf>
    <xf numFmtId="0" fontId="9" fillId="2" borderId="16" xfId="1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Porcentaj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intz001/AppData/Local/Microsoft/Windows/Temporary%20Internet%20Files/Content.Outlook/BW27WGY1/Copy%20of%20NLD2014_exchangeHer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PRFMO/4th_CCmeeting%20(La%20Haya%202016)/Enviados/template_ALK_SPRFMO_CHILE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Comments"/>
      <sheetName val="catch data"/>
      <sheetName val="sampling"/>
      <sheetName val="length IVa west landing"/>
      <sheetName val="length IVa west discard"/>
      <sheetName val="length IVb"/>
      <sheetName val="length IVc"/>
      <sheetName val="length VIa"/>
      <sheetName val="length VIId"/>
      <sheetName val="length VIIe"/>
      <sheetName val="CANUM IVa west discard"/>
      <sheetName val="CANUM IVa west official Landing"/>
      <sheetName val="CANUM IVa west total"/>
      <sheetName val="CANUM IVa east"/>
      <sheetName val="CANUM IVb"/>
      <sheetName val="CANUM IVc"/>
      <sheetName val="CANUM VIa north discard"/>
      <sheetName val="CANUM VIa north off. landing"/>
      <sheetName val="CANUM VIa north total"/>
      <sheetName val="CANUM VIId"/>
      <sheetName val="CANUM VIIh"/>
      <sheetName val="CANUM VIIe"/>
      <sheetName val="Area-Official "/>
      <sheetName val="Area-WG"/>
      <sheetName val="CROSSCHECK"/>
      <sheetName val="Tabelle1"/>
    </sheetNames>
    <sheetDataSet>
      <sheetData sheetId="0">
        <row r="4">
          <cell r="K4">
            <v>2014</v>
          </cell>
        </row>
        <row r="6">
          <cell r="F6" t="str">
            <v>Herring</v>
          </cell>
        </row>
        <row r="7">
          <cell r="F7" t="str">
            <v>Netherlands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Comments"/>
      <sheetName val="catch data"/>
      <sheetName val="sampling"/>
      <sheetName val="LENGTH Fleet 1"/>
      <sheetName val="LENGTH Fleet 2"/>
      <sheetName val="LENGTH Fleet 3"/>
      <sheetName val="LENGTH Fleet 4"/>
      <sheetName val="ALK Fleet 1"/>
      <sheetName val="ALK Fleet 2"/>
      <sheetName val="ALK Fleet 3"/>
      <sheetName val="ALK Fleet 4"/>
      <sheetName val="CANUM Fleet 1"/>
      <sheetName val="CANUM Fleet 2"/>
      <sheetName val="CANUM Fleet 3"/>
      <sheetName val="CANUM Fleet 4"/>
    </sheetNames>
    <sheetDataSet>
      <sheetData sheetId="0">
        <row r="4">
          <cell r="K4">
            <v>2015</v>
          </cell>
        </row>
        <row r="6">
          <cell r="F6" t="str">
            <v>Jack mackerel</v>
          </cell>
        </row>
        <row r="9">
          <cell r="F9">
            <v>41131</v>
          </cell>
        </row>
      </sheetData>
      <sheetData sheetId="1"/>
      <sheetData sheetId="2"/>
      <sheetData sheetId="3">
        <row r="11">
          <cell r="B11">
            <v>22035.260000000006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  <pageSetUpPr autoPageBreaks="0" fitToPage="1"/>
  </sheetPr>
  <dimension ref="A1:S24"/>
  <sheetViews>
    <sheetView tabSelected="1" topLeftCell="A12" zoomScale="70" zoomScaleNormal="70" workbookViewId="0">
      <pane xSplit="1" ySplit="5" topLeftCell="J17" activePane="bottomRight" state="frozen"/>
      <selection pane="bottomRight" activeCell="N18" sqref="N18"/>
      <selection pane="bottomLeft" activeCell="A17" sqref="A17"/>
      <selection pane="topRight" activeCell="B12" sqref="B12"/>
    </sheetView>
  </sheetViews>
  <sheetFormatPr defaultColWidth="8.7109375" defaultRowHeight="24.75" customHeight="1"/>
  <cols>
    <col min="1" max="1" width="18.42578125" style="1" customWidth="1"/>
    <col min="2" max="2" width="28" style="1" bestFit="1" customWidth="1"/>
    <col min="3" max="3" width="26.42578125" style="1" customWidth="1"/>
    <col min="4" max="4" width="15.5703125" style="1" customWidth="1"/>
    <col min="5" max="5" width="29.28515625" style="1" customWidth="1"/>
    <col min="6" max="6" width="32.140625" style="1" customWidth="1"/>
    <col min="7" max="7" width="15.5703125" style="1" customWidth="1"/>
    <col min="8" max="8" width="29.28515625" style="1" bestFit="1" customWidth="1"/>
    <col min="9" max="9" width="38.42578125" style="1" bestFit="1" customWidth="1"/>
    <col min="10" max="10" width="15.5703125" style="1" customWidth="1"/>
    <col min="11" max="11" width="29.28515625" style="1" bestFit="1" customWidth="1"/>
    <col min="12" max="12" width="38.42578125" style="1" bestFit="1" customWidth="1"/>
    <col min="13" max="13" width="15.5703125" style="1" customWidth="1"/>
    <col min="14" max="14" width="27" style="1" customWidth="1"/>
    <col min="15" max="16" width="31" style="1" customWidth="1"/>
    <col min="17" max="17" width="22.42578125" style="1" customWidth="1"/>
    <col min="18" max="18" width="34" style="1" bestFit="1" customWidth="1"/>
    <col min="19" max="19" width="19" style="1" customWidth="1"/>
    <col min="20" max="20" width="13.85546875" style="1" customWidth="1"/>
    <col min="21" max="21" width="12.7109375" style="1" customWidth="1"/>
    <col min="22" max="22" width="12.5703125" style="1" bestFit="1" customWidth="1"/>
    <col min="23" max="23" width="10.5703125" style="1" customWidth="1"/>
    <col min="24" max="24" width="13.85546875" style="1" customWidth="1"/>
    <col min="25" max="25" width="12.7109375" style="1" customWidth="1"/>
    <col min="26" max="26" width="12.5703125" style="1" customWidth="1"/>
    <col min="27" max="27" width="22.42578125" style="1" bestFit="1" customWidth="1"/>
    <col min="28" max="28" width="19" style="1" bestFit="1" customWidth="1"/>
    <col min="29" max="29" width="15.5703125" style="1" bestFit="1" customWidth="1"/>
    <col min="30" max="30" width="20.7109375" style="1" bestFit="1" customWidth="1"/>
    <col min="31" max="31" width="51.5703125" style="1" bestFit="1" customWidth="1"/>
    <col min="32" max="256" width="8.7109375" style="1"/>
    <col min="257" max="257" width="18.42578125" style="1" customWidth="1"/>
    <col min="258" max="258" width="28" style="1" bestFit="1" customWidth="1"/>
    <col min="259" max="259" width="26.42578125" style="1" customWidth="1"/>
    <col min="260" max="260" width="15.5703125" style="1" customWidth="1"/>
    <col min="261" max="261" width="29.28515625" style="1" customWidth="1"/>
    <col min="262" max="262" width="32.140625" style="1" customWidth="1"/>
    <col min="263" max="263" width="15.5703125" style="1" customWidth="1"/>
    <col min="264" max="264" width="29.28515625" style="1" bestFit="1" customWidth="1"/>
    <col min="265" max="265" width="38.42578125" style="1" bestFit="1" customWidth="1"/>
    <col min="266" max="266" width="15.5703125" style="1" customWidth="1"/>
    <col min="267" max="267" width="29.28515625" style="1" bestFit="1" customWidth="1"/>
    <col min="268" max="268" width="38.42578125" style="1" bestFit="1" customWidth="1"/>
    <col min="269" max="269" width="15.5703125" style="1" customWidth="1"/>
    <col min="270" max="270" width="27" style="1" customWidth="1"/>
    <col min="271" max="272" width="31" style="1" customWidth="1"/>
    <col min="273" max="273" width="22.42578125" style="1" customWidth="1"/>
    <col min="274" max="274" width="34" style="1" bestFit="1" customWidth="1"/>
    <col min="275" max="275" width="19" style="1" customWidth="1"/>
    <col min="276" max="276" width="13.85546875" style="1" customWidth="1"/>
    <col min="277" max="277" width="12.7109375" style="1" customWidth="1"/>
    <col min="278" max="278" width="12.5703125" style="1" bestFit="1" customWidth="1"/>
    <col min="279" max="279" width="10.5703125" style="1" customWidth="1"/>
    <col min="280" max="280" width="13.85546875" style="1" customWidth="1"/>
    <col min="281" max="281" width="12.7109375" style="1" customWidth="1"/>
    <col min="282" max="282" width="12.5703125" style="1" customWidth="1"/>
    <col min="283" max="283" width="22.42578125" style="1" bestFit="1" customWidth="1"/>
    <col min="284" max="284" width="19" style="1" bestFit="1" customWidth="1"/>
    <col min="285" max="285" width="15.5703125" style="1" bestFit="1" customWidth="1"/>
    <col min="286" max="286" width="20.7109375" style="1" bestFit="1" customWidth="1"/>
    <col min="287" max="287" width="51.5703125" style="1" bestFit="1" customWidth="1"/>
    <col min="288" max="512" width="8.7109375" style="1"/>
    <col min="513" max="513" width="18.42578125" style="1" customWidth="1"/>
    <col min="514" max="514" width="28" style="1" bestFit="1" customWidth="1"/>
    <col min="515" max="515" width="26.42578125" style="1" customWidth="1"/>
    <col min="516" max="516" width="15.5703125" style="1" customWidth="1"/>
    <col min="517" max="517" width="29.28515625" style="1" customWidth="1"/>
    <col min="518" max="518" width="32.140625" style="1" customWidth="1"/>
    <col min="519" max="519" width="15.5703125" style="1" customWidth="1"/>
    <col min="520" max="520" width="29.28515625" style="1" bestFit="1" customWidth="1"/>
    <col min="521" max="521" width="38.42578125" style="1" bestFit="1" customWidth="1"/>
    <col min="522" max="522" width="15.5703125" style="1" customWidth="1"/>
    <col min="523" max="523" width="29.28515625" style="1" bestFit="1" customWidth="1"/>
    <col min="524" max="524" width="38.42578125" style="1" bestFit="1" customWidth="1"/>
    <col min="525" max="525" width="15.5703125" style="1" customWidth="1"/>
    <col min="526" max="526" width="27" style="1" customWidth="1"/>
    <col min="527" max="528" width="31" style="1" customWidth="1"/>
    <col min="529" max="529" width="22.42578125" style="1" customWidth="1"/>
    <col min="530" max="530" width="34" style="1" bestFit="1" customWidth="1"/>
    <col min="531" max="531" width="19" style="1" customWidth="1"/>
    <col min="532" max="532" width="13.85546875" style="1" customWidth="1"/>
    <col min="533" max="533" width="12.7109375" style="1" customWidth="1"/>
    <col min="534" max="534" width="12.5703125" style="1" bestFit="1" customWidth="1"/>
    <col min="535" max="535" width="10.5703125" style="1" customWidth="1"/>
    <col min="536" max="536" width="13.85546875" style="1" customWidth="1"/>
    <col min="537" max="537" width="12.7109375" style="1" customWidth="1"/>
    <col min="538" max="538" width="12.5703125" style="1" customWidth="1"/>
    <col min="539" max="539" width="22.42578125" style="1" bestFit="1" customWidth="1"/>
    <col min="540" max="540" width="19" style="1" bestFit="1" customWidth="1"/>
    <col min="541" max="541" width="15.5703125" style="1" bestFit="1" customWidth="1"/>
    <col min="542" max="542" width="20.7109375" style="1" bestFit="1" customWidth="1"/>
    <col min="543" max="543" width="51.5703125" style="1" bestFit="1" customWidth="1"/>
    <col min="544" max="768" width="8.7109375" style="1"/>
    <col min="769" max="769" width="18.42578125" style="1" customWidth="1"/>
    <col min="770" max="770" width="28" style="1" bestFit="1" customWidth="1"/>
    <col min="771" max="771" width="26.42578125" style="1" customWidth="1"/>
    <col min="772" max="772" width="15.5703125" style="1" customWidth="1"/>
    <col min="773" max="773" width="29.28515625" style="1" customWidth="1"/>
    <col min="774" max="774" width="32.140625" style="1" customWidth="1"/>
    <col min="775" max="775" width="15.5703125" style="1" customWidth="1"/>
    <col min="776" max="776" width="29.28515625" style="1" bestFit="1" customWidth="1"/>
    <col min="777" max="777" width="38.42578125" style="1" bestFit="1" customWidth="1"/>
    <col min="778" max="778" width="15.5703125" style="1" customWidth="1"/>
    <col min="779" max="779" width="29.28515625" style="1" bestFit="1" customWidth="1"/>
    <col min="780" max="780" width="38.42578125" style="1" bestFit="1" customWidth="1"/>
    <col min="781" max="781" width="15.5703125" style="1" customWidth="1"/>
    <col min="782" max="782" width="27" style="1" customWidth="1"/>
    <col min="783" max="784" width="31" style="1" customWidth="1"/>
    <col min="785" max="785" width="22.42578125" style="1" customWidth="1"/>
    <col min="786" max="786" width="34" style="1" bestFit="1" customWidth="1"/>
    <col min="787" max="787" width="19" style="1" customWidth="1"/>
    <col min="788" max="788" width="13.85546875" style="1" customWidth="1"/>
    <col min="789" max="789" width="12.7109375" style="1" customWidth="1"/>
    <col min="790" max="790" width="12.5703125" style="1" bestFit="1" customWidth="1"/>
    <col min="791" max="791" width="10.5703125" style="1" customWidth="1"/>
    <col min="792" max="792" width="13.85546875" style="1" customWidth="1"/>
    <col min="793" max="793" width="12.7109375" style="1" customWidth="1"/>
    <col min="794" max="794" width="12.5703125" style="1" customWidth="1"/>
    <col min="795" max="795" width="22.42578125" style="1" bestFit="1" customWidth="1"/>
    <col min="796" max="796" width="19" style="1" bestFit="1" customWidth="1"/>
    <col min="797" max="797" width="15.5703125" style="1" bestFit="1" customWidth="1"/>
    <col min="798" max="798" width="20.7109375" style="1" bestFit="1" customWidth="1"/>
    <col min="799" max="799" width="51.5703125" style="1" bestFit="1" customWidth="1"/>
    <col min="800" max="1024" width="8.7109375" style="1"/>
    <col min="1025" max="1025" width="18.42578125" style="1" customWidth="1"/>
    <col min="1026" max="1026" width="28" style="1" bestFit="1" customWidth="1"/>
    <col min="1027" max="1027" width="26.42578125" style="1" customWidth="1"/>
    <col min="1028" max="1028" width="15.5703125" style="1" customWidth="1"/>
    <col min="1029" max="1029" width="29.28515625" style="1" customWidth="1"/>
    <col min="1030" max="1030" width="32.140625" style="1" customWidth="1"/>
    <col min="1031" max="1031" width="15.5703125" style="1" customWidth="1"/>
    <col min="1032" max="1032" width="29.28515625" style="1" bestFit="1" customWidth="1"/>
    <col min="1033" max="1033" width="38.42578125" style="1" bestFit="1" customWidth="1"/>
    <col min="1034" max="1034" width="15.5703125" style="1" customWidth="1"/>
    <col min="1035" max="1035" width="29.28515625" style="1" bestFit="1" customWidth="1"/>
    <col min="1036" max="1036" width="38.42578125" style="1" bestFit="1" customWidth="1"/>
    <col min="1037" max="1037" width="15.5703125" style="1" customWidth="1"/>
    <col min="1038" max="1038" width="27" style="1" customWidth="1"/>
    <col min="1039" max="1040" width="31" style="1" customWidth="1"/>
    <col min="1041" max="1041" width="22.42578125" style="1" customWidth="1"/>
    <col min="1042" max="1042" width="34" style="1" bestFit="1" customWidth="1"/>
    <col min="1043" max="1043" width="19" style="1" customWidth="1"/>
    <col min="1044" max="1044" width="13.85546875" style="1" customWidth="1"/>
    <col min="1045" max="1045" width="12.7109375" style="1" customWidth="1"/>
    <col min="1046" max="1046" width="12.5703125" style="1" bestFit="1" customWidth="1"/>
    <col min="1047" max="1047" width="10.5703125" style="1" customWidth="1"/>
    <col min="1048" max="1048" width="13.85546875" style="1" customWidth="1"/>
    <col min="1049" max="1049" width="12.7109375" style="1" customWidth="1"/>
    <col min="1050" max="1050" width="12.5703125" style="1" customWidth="1"/>
    <col min="1051" max="1051" width="22.42578125" style="1" bestFit="1" customWidth="1"/>
    <col min="1052" max="1052" width="19" style="1" bestFit="1" customWidth="1"/>
    <col min="1053" max="1053" width="15.5703125" style="1" bestFit="1" customWidth="1"/>
    <col min="1054" max="1054" width="20.7109375" style="1" bestFit="1" customWidth="1"/>
    <col min="1055" max="1055" width="51.5703125" style="1" bestFit="1" customWidth="1"/>
    <col min="1056" max="1280" width="8.7109375" style="1"/>
    <col min="1281" max="1281" width="18.42578125" style="1" customWidth="1"/>
    <col min="1282" max="1282" width="28" style="1" bestFit="1" customWidth="1"/>
    <col min="1283" max="1283" width="26.42578125" style="1" customWidth="1"/>
    <col min="1284" max="1284" width="15.5703125" style="1" customWidth="1"/>
    <col min="1285" max="1285" width="29.28515625" style="1" customWidth="1"/>
    <col min="1286" max="1286" width="32.140625" style="1" customWidth="1"/>
    <col min="1287" max="1287" width="15.5703125" style="1" customWidth="1"/>
    <col min="1288" max="1288" width="29.28515625" style="1" bestFit="1" customWidth="1"/>
    <col min="1289" max="1289" width="38.42578125" style="1" bestFit="1" customWidth="1"/>
    <col min="1290" max="1290" width="15.5703125" style="1" customWidth="1"/>
    <col min="1291" max="1291" width="29.28515625" style="1" bestFit="1" customWidth="1"/>
    <col min="1292" max="1292" width="38.42578125" style="1" bestFit="1" customWidth="1"/>
    <col min="1293" max="1293" width="15.5703125" style="1" customWidth="1"/>
    <col min="1294" max="1294" width="27" style="1" customWidth="1"/>
    <col min="1295" max="1296" width="31" style="1" customWidth="1"/>
    <col min="1297" max="1297" width="22.42578125" style="1" customWidth="1"/>
    <col min="1298" max="1298" width="34" style="1" bestFit="1" customWidth="1"/>
    <col min="1299" max="1299" width="19" style="1" customWidth="1"/>
    <col min="1300" max="1300" width="13.85546875" style="1" customWidth="1"/>
    <col min="1301" max="1301" width="12.7109375" style="1" customWidth="1"/>
    <col min="1302" max="1302" width="12.5703125" style="1" bestFit="1" customWidth="1"/>
    <col min="1303" max="1303" width="10.5703125" style="1" customWidth="1"/>
    <col min="1304" max="1304" width="13.85546875" style="1" customWidth="1"/>
    <col min="1305" max="1305" width="12.7109375" style="1" customWidth="1"/>
    <col min="1306" max="1306" width="12.5703125" style="1" customWidth="1"/>
    <col min="1307" max="1307" width="22.42578125" style="1" bestFit="1" customWidth="1"/>
    <col min="1308" max="1308" width="19" style="1" bestFit="1" customWidth="1"/>
    <col min="1309" max="1309" width="15.5703125" style="1" bestFit="1" customWidth="1"/>
    <col min="1310" max="1310" width="20.7109375" style="1" bestFit="1" customWidth="1"/>
    <col min="1311" max="1311" width="51.5703125" style="1" bestFit="1" customWidth="1"/>
    <col min="1312" max="1536" width="8.7109375" style="1"/>
    <col min="1537" max="1537" width="18.42578125" style="1" customWidth="1"/>
    <col min="1538" max="1538" width="28" style="1" bestFit="1" customWidth="1"/>
    <col min="1539" max="1539" width="26.42578125" style="1" customWidth="1"/>
    <col min="1540" max="1540" width="15.5703125" style="1" customWidth="1"/>
    <col min="1541" max="1541" width="29.28515625" style="1" customWidth="1"/>
    <col min="1542" max="1542" width="32.140625" style="1" customWidth="1"/>
    <col min="1543" max="1543" width="15.5703125" style="1" customWidth="1"/>
    <col min="1544" max="1544" width="29.28515625" style="1" bestFit="1" customWidth="1"/>
    <col min="1545" max="1545" width="38.42578125" style="1" bestFit="1" customWidth="1"/>
    <col min="1546" max="1546" width="15.5703125" style="1" customWidth="1"/>
    <col min="1547" max="1547" width="29.28515625" style="1" bestFit="1" customWidth="1"/>
    <col min="1548" max="1548" width="38.42578125" style="1" bestFit="1" customWidth="1"/>
    <col min="1549" max="1549" width="15.5703125" style="1" customWidth="1"/>
    <col min="1550" max="1550" width="27" style="1" customWidth="1"/>
    <col min="1551" max="1552" width="31" style="1" customWidth="1"/>
    <col min="1553" max="1553" width="22.42578125" style="1" customWidth="1"/>
    <col min="1554" max="1554" width="34" style="1" bestFit="1" customWidth="1"/>
    <col min="1555" max="1555" width="19" style="1" customWidth="1"/>
    <col min="1556" max="1556" width="13.85546875" style="1" customWidth="1"/>
    <col min="1557" max="1557" width="12.7109375" style="1" customWidth="1"/>
    <col min="1558" max="1558" width="12.5703125" style="1" bestFit="1" customWidth="1"/>
    <col min="1559" max="1559" width="10.5703125" style="1" customWidth="1"/>
    <col min="1560" max="1560" width="13.85546875" style="1" customWidth="1"/>
    <col min="1561" max="1561" width="12.7109375" style="1" customWidth="1"/>
    <col min="1562" max="1562" width="12.5703125" style="1" customWidth="1"/>
    <col min="1563" max="1563" width="22.42578125" style="1" bestFit="1" customWidth="1"/>
    <col min="1564" max="1564" width="19" style="1" bestFit="1" customWidth="1"/>
    <col min="1565" max="1565" width="15.5703125" style="1" bestFit="1" customWidth="1"/>
    <col min="1566" max="1566" width="20.7109375" style="1" bestFit="1" customWidth="1"/>
    <col min="1567" max="1567" width="51.5703125" style="1" bestFit="1" customWidth="1"/>
    <col min="1568" max="1792" width="8.7109375" style="1"/>
    <col min="1793" max="1793" width="18.42578125" style="1" customWidth="1"/>
    <col min="1794" max="1794" width="28" style="1" bestFit="1" customWidth="1"/>
    <col min="1795" max="1795" width="26.42578125" style="1" customWidth="1"/>
    <col min="1796" max="1796" width="15.5703125" style="1" customWidth="1"/>
    <col min="1797" max="1797" width="29.28515625" style="1" customWidth="1"/>
    <col min="1798" max="1798" width="32.140625" style="1" customWidth="1"/>
    <col min="1799" max="1799" width="15.5703125" style="1" customWidth="1"/>
    <col min="1800" max="1800" width="29.28515625" style="1" bestFit="1" customWidth="1"/>
    <col min="1801" max="1801" width="38.42578125" style="1" bestFit="1" customWidth="1"/>
    <col min="1802" max="1802" width="15.5703125" style="1" customWidth="1"/>
    <col min="1803" max="1803" width="29.28515625" style="1" bestFit="1" customWidth="1"/>
    <col min="1804" max="1804" width="38.42578125" style="1" bestFit="1" customWidth="1"/>
    <col min="1805" max="1805" width="15.5703125" style="1" customWidth="1"/>
    <col min="1806" max="1806" width="27" style="1" customWidth="1"/>
    <col min="1807" max="1808" width="31" style="1" customWidth="1"/>
    <col min="1809" max="1809" width="22.42578125" style="1" customWidth="1"/>
    <col min="1810" max="1810" width="34" style="1" bestFit="1" customWidth="1"/>
    <col min="1811" max="1811" width="19" style="1" customWidth="1"/>
    <col min="1812" max="1812" width="13.85546875" style="1" customWidth="1"/>
    <col min="1813" max="1813" width="12.7109375" style="1" customWidth="1"/>
    <col min="1814" max="1814" width="12.5703125" style="1" bestFit="1" customWidth="1"/>
    <col min="1815" max="1815" width="10.5703125" style="1" customWidth="1"/>
    <col min="1816" max="1816" width="13.85546875" style="1" customWidth="1"/>
    <col min="1817" max="1817" width="12.7109375" style="1" customWidth="1"/>
    <col min="1818" max="1818" width="12.5703125" style="1" customWidth="1"/>
    <col min="1819" max="1819" width="22.42578125" style="1" bestFit="1" customWidth="1"/>
    <col min="1820" max="1820" width="19" style="1" bestFit="1" customWidth="1"/>
    <col min="1821" max="1821" width="15.5703125" style="1" bestFit="1" customWidth="1"/>
    <col min="1822" max="1822" width="20.7109375" style="1" bestFit="1" customWidth="1"/>
    <col min="1823" max="1823" width="51.5703125" style="1" bestFit="1" customWidth="1"/>
    <col min="1824" max="2048" width="8.7109375" style="1"/>
    <col min="2049" max="2049" width="18.42578125" style="1" customWidth="1"/>
    <col min="2050" max="2050" width="28" style="1" bestFit="1" customWidth="1"/>
    <col min="2051" max="2051" width="26.42578125" style="1" customWidth="1"/>
    <col min="2052" max="2052" width="15.5703125" style="1" customWidth="1"/>
    <col min="2053" max="2053" width="29.28515625" style="1" customWidth="1"/>
    <col min="2054" max="2054" width="32.140625" style="1" customWidth="1"/>
    <col min="2055" max="2055" width="15.5703125" style="1" customWidth="1"/>
    <col min="2056" max="2056" width="29.28515625" style="1" bestFit="1" customWidth="1"/>
    <col min="2057" max="2057" width="38.42578125" style="1" bestFit="1" customWidth="1"/>
    <col min="2058" max="2058" width="15.5703125" style="1" customWidth="1"/>
    <col min="2059" max="2059" width="29.28515625" style="1" bestFit="1" customWidth="1"/>
    <col min="2060" max="2060" width="38.42578125" style="1" bestFit="1" customWidth="1"/>
    <col min="2061" max="2061" width="15.5703125" style="1" customWidth="1"/>
    <col min="2062" max="2062" width="27" style="1" customWidth="1"/>
    <col min="2063" max="2064" width="31" style="1" customWidth="1"/>
    <col min="2065" max="2065" width="22.42578125" style="1" customWidth="1"/>
    <col min="2066" max="2066" width="34" style="1" bestFit="1" customWidth="1"/>
    <col min="2067" max="2067" width="19" style="1" customWidth="1"/>
    <col min="2068" max="2068" width="13.85546875" style="1" customWidth="1"/>
    <col min="2069" max="2069" width="12.7109375" style="1" customWidth="1"/>
    <col min="2070" max="2070" width="12.5703125" style="1" bestFit="1" customWidth="1"/>
    <col min="2071" max="2071" width="10.5703125" style="1" customWidth="1"/>
    <col min="2072" max="2072" width="13.85546875" style="1" customWidth="1"/>
    <col min="2073" max="2073" width="12.7109375" style="1" customWidth="1"/>
    <col min="2074" max="2074" width="12.5703125" style="1" customWidth="1"/>
    <col min="2075" max="2075" width="22.42578125" style="1" bestFit="1" customWidth="1"/>
    <col min="2076" max="2076" width="19" style="1" bestFit="1" customWidth="1"/>
    <col min="2077" max="2077" width="15.5703125" style="1" bestFit="1" customWidth="1"/>
    <col min="2078" max="2078" width="20.7109375" style="1" bestFit="1" customWidth="1"/>
    <col min="2079" max="2079" width="51.5703125" style="1" bestFit="1" customWidth="1"/>
    <col min="2080" max="2304" width="8.7109375" style="1"/>
    <col min="2305" max="2305" width="18.42578125" style="1" customWidth="1"/>
    <col min="2306" max="2306" width="28" style="1" bestFit="1" customWidth="1"/>
    <col min="2307" max="2307" width="26.42578125" style="1" customWidth="1"/>
    <col min="2308" max="2308" width="15.5703125" style="1" customWidth="1"/>
    <col min="2309" max="2309" width="29.28515625" style="1" customWidth="1"/>
    <col min="2310" max="2310" width="32.140625" style="1" customWidth="1"/>
    <col min="2311" max="2311" width="15.5703125" style="1" customWidth="1"/>
    <col min="2312" max="2312" width="29.28515625" style="1" bestFit="1" customWidth="1"/>
    <col min="2313" max="2313" width="38.42578125" style="1" bestFit="1" customWidth="1"/>
    <col min="2314" max="2314" width="15.5703125" style="1" customWidth="1"/>
    <col min="2315" max="2315" width="29.28515625" style="1" bestFit="1" customWidth="1"/>
    <col min="2316" max="2316" width="38.42578125" style="1" bestFit="1" customWidth="1"/>
    <col min="2317" max="2317" width="15.5703125" style="1" customWidth="1"/>
    <col min="2318" max="2318" width="27" style="1" customWidth="1"/>
    <col min="2319" max="2320" width="31" style="1" customWidth="1"/>
    <col min="2321" max="2321" width="22.42578125" style="1" customWidth="1"/>
    <col min="2322" max="2322" width="34" style="1" bestFit="1" customWidth="1"/>
    <col min="2323" max="2323" width="19" style="1" customWidth="1"/>
    <col min="2324" max="2324" width="13.85546875" style="1" customWidth="1"/>
    <col min="2325" max="2325" width="12.7109375" style="1" customWidth="1"/>
    <col min="2326" max="2326" width="12.5703125" style="1" bestFit="1" customWidth="1"/>
    <col min="2327" max="2327" width="10.5703125" style="1" customWidth="1"/>
    <col min="2328" max="2328" width="13.85546875" style="1" customWidth="1"/>
    <col min="2329" max="2329" width="12.7109375" style="1" customWidth="1"/>
    <col min="2330" max="2330" width="12.5703125" style="1" customWidth="1"/>
    <col min="2331" max="2331" width="22.42578125" style="1" bestFit="1" customWidth="1"/>
    <col min="2332" max="2332" width="19" style="1" bestFit="1" customWidth="1"/>
    <col min="2333" max="2333" width="15.5703125" style="1" bestFit="1" customWidth="1"/>
    <col min="2334" max="2334" width="20.7109375" style="1" bestFit="1" customWidth="1"/>
    <col min="2335" max="2335" width="51.5703125" style="1" bestFit="1" customWidth="1"/>
    <col min="2336" max="2560" width="8.7109375" style="1"/>
    <col min="2561" max="2561" width="18.42578125" style="1" customWidth="1"/>
    <col min="2562" max="2562" width="28" style="1" bestFit="1" customWidth="1"/>
    <col min="2563" max="2563" width="26.42578125" style="1" customWidth="1"/>
    <col min="2564" max="2564" width="15.5703125" style="1" customWidth="1"/>
    <col min="2565" max="2565" width="29.28515625" style="1" customWidth="1"/>
    <col min="2566" max="2566" width="32.140625" style="1" customWidth="1"/>
    <col min="2567" max="2567" width="15.5703125" style="1" customWidth="1"/>
    <col min="2568" max="2568" width="29.28515625" style="1" bestFit="1" customWidth="1"/>
    <col min="2569" max="2569" width="38.42578125" style="1" bestFit="1" customWidth="1"/>
    <col min="2570" max="2570" width="15.5703125" style="1" customWidth="1"/>
    <col min="2571" max="2571" width="29.28515625" style="1" bestFit="1" customWidth="1"/>
    <col min="2572" max="2572" width="38.42578125" style="1" bestFit="1" customWidth="1"/>
    <col min="2573" max="2573" width="15.5703125" style="1" customWidth="1"/>
    <col min="2574" max="2574" width="27" style="1" customWidth="1"/>
    <col min="2575" max="2576" width="31" style="1" customWidth="1"/>
    <col min="2577" max="2577" width="22.42578125" style="1" customWidth="1"/>
    <col min="2578" max="2578" width="34" style="1" bestFit="1" customWidth="1"/>
    <col min="2579" max="2579" width="19" style="1" customWidth="1"/>
    <col min="2580" max="2580" width="13.85546875" style="1" customWidth="1"/>
    <col min="2581" max="2581" width="12.7109375" style="1" customWidth="1"/>
    <col min="2582" max="2582" width="12.5703125" style="1" bestFit="1" customWidth="1"/>
    <col min="2583" max="2583" width="10.5703125" style="1" customWidth="1"/>
    <col min="2584" max="2584" width="13.85546875" style="1" customWidth="1"/>
    <col min="2585" max="2585" width="12.7109375" style="1" customWidth="1"/>
    <col min="2586" max="2586" width="12.5703125" style="1" customWidth="1"/>
    <col min="2587" max="2587" width="22.42578125" style="1" bestFit="1" customWidth="1"/>
    <col min="2588" max="2588" width="19" style="1" bestFit="1" customWidth="1"/>
    <col min="2589" max="2589" width="15.5703125" style="1" bestFit="1" customWidth="1"/>
    <col min="2590" max="2590" width="20.7109375" style="1" bestFit="1" customWidth="1"/>
    <col min="2591" max="2591" width="51.5703125" style="1" bestFit="1" customWidth="1"/>
    <col min="2592" max="2816" width="8.7109375" style="1"/>
    <col min="2817" max="2817" width="18.42578125" style="1" customWidth="1"/>
    <col min="2818" max="2818" width="28" style="1" bestFit="1" customWidth="1"/>
    <col min="2819" max="2819" width="26.42578125" style="1" customWidth="1"/>
    <col min="2820" max="2820" width="15.5703125" style="1" customWidth="1"/>
    <col min="2821" max="2821" width="29.28515625" style="1" customWidth="1"/>
    <col min="2822" max="2822" width="32.140625" style="1" customWidth="1"/>
    <col min="2823" max="2823" width="15.5703125" style="1" customWidth="1"/>
    <col min="2824" max="2824" width="29.28515625" style="1" bestFit="1" customWidth="1"/>
    <col min="2825" max="2825" width="38.42578125" style="1" bestFit="1" customWidth="1"/>
    <col min="2826" max="2826" width="15.5703125" style="1" customWidth="1"/>
    <col min="2827" max="2827" width="29.28515625" style="1" bestFit="1" customWidth="1"/>
    <col min="2828" max="2828" width="38.42578125" style="1" bestFit="1" customWidth="1"/>
    <col min="2829" max="2829" width="15.5703125" style="1" customWidth="1"/>
    <col min="2830" max="2830" width="27" style="1" customWidth="1"/>
    <col min="2831" max="2832" width="31" style="1" customWidth="1"/>
    <col min="2833" max="2833" width="22.42578125" style="1" customWidth="1"/>
    <col min="2834" max="2834" width="34" style="1" bestFit="1" customWidth="1"/>
    <col min="2835" max="2835" width="19" style="1" customWidth="1"/>
    <col min="2836" max="2836" width="13.85546875" style="1" customWidth="1"/>
    <col min="2837" max="2837" width="12.7109375" style="1" customWidth="1"/>
    <col min="2838" max="2838" width="12.5703125" style="1" bestFit="1" customWidth="1"/>
    <col min="2839" max="2839" width="10.5703125" style="1" customWidth="1"/>
    <col min="2840" max="2840" width="13.85546875" style="1" customWidth="1"/>
    <col min="2841" max="2841" width="12.7109375" style="1" customWidth="1"/>
    <col min="2842" max="2842" width="12.5703125" style="1" customWidth="1"/>
    <col min="2843" max="2843" width="22.42578125" style="1" bestFit="1" customWidth="1"/>
    <col min="2844" max="2844" width="19" style="1" bestFit="1" customWidth="1"/>
    <col min="2845" max="2845" width="15.5703125" style="1" bestFit="1" customWidth="1"/>
    <col min="2846" max="2846" width="20.7109375" style="1" bestFit="1" customWidth="1"/>
    <col min="2847" max="2847" width="51.5703125" style="1" bestFit="1" customWidth="1"/>
    <col min="2848" max="3072" width="8.7109375" style="1"/>
    <col min="3073" max="3073" width="18.42578125" style="1" customWidth="1"/>
    <col min="3074" max="3074" width="28" style="1" bestFit="1" customWidth="1"/>
    <col min="3075" max="3075" width="26.42578125" style="1" customWidth="1"/>
    <col min="3076" max="3076" width="15.5703125" style="1" customWidth="1"/>
    <col min="3077" max="3077" width="29.28515625" style="1" customWidth="1"/>
    <col min="3078" max="3078" width="32.140625" style="1" customWidth="1"/>
    <col min="3079" max="3079" width="15.5703125" style="1" customWidth="1"/>
    <col min="3080" max="3080" width="29.28515625" style="1" bestFit="1" customWidth="1"/>
    <col min="3081" max="3081" width="38.42578125" style="1" bestFit="1" customWidth="1"/>
    <col min="3082" max="3082" width="15.5703125" style="1" customWidth="1"/>
    <col min="3083" max="3083" width="29.28515625" style="1" bestFit="1" customWidth="1"/>
    <col min="3084" max="3084" width="38.42578125" style="1" bestFit="1" customWidth="1"/>
    <col min="3085" max="3085" width="15.5703125" style="1" customWidth="1"/>
    <col min="3086" max="3086" width="27" style="1" customWidth="1"/>
    <col min="3087" max="3088" width="31" style="1" customWidth="1"/>
    <col min="3089" max="3089" width="22.42578125" style="1" customWidth="1"/>
    <col min="3090" max="3090" width="34" style="1" bestFit="1" customWidth="1"/>
    <col min="3091" max="3091" width="19" style="1" customWidth="1"/>
    <col min="3092" max="3092" width="13.85546875" style="1" customWidth="1"/>
    <col min="3093" max="3093" width="12.7109375" style="1" customWidth="1"/>
    <col min="3094" max="3094" width="12.5703125" style="1" bestFit="1" customWidth="1"/>
    <col min="3095" max="3095" width="10.5703125" style="1" customWidth="1"/>
    <col min="3096" max="3096" width="13.85546875" style="1" customWidth="1"/>
    <col min="3097" max="3097" width="12.7109375" style="1" customWidth="1"/>
    <col min="3098" max="3098" width="12.5703125" style="1" customWidth="1"/>
    <col min="3099" max="3099" width="22.42578125" style="1" bestFit="1" customWidth="1"/>
    <col min="3100" max="3100" width="19" style="1" bestFit="1" customWidth="1"/>
    <col min="3101" max="3101" width="15.5703125" style="1" bestFit="1" customWidth="1"/>
    <col min="3102" max="3102" width="20.7109375" style="1" bestFit="1" customWidth="1"/>
    <col min="3103" max="3103" width="51.5703125" style="1" bestFit="1" customWidth="1"/>
    <col min="3104" max="3328" width="8.7109375" style="1"/>
    <col min="3329" max="3329" width="18.42578125" style="1" customWidth="1"/>
    <col min="3330" max="3330" width="28" style="1" bestFit="1" customWidth="1"/>
    <col min="3331" max="3331" width="26.42578125" style="1" customWidth="1"/>
    <col min="3332" max="3332" width="15.5703125" style="1" customWidth="1"/>
    <col min="3333" max="3333" width="29.28515625" style="1" customWidth="1"/>
    <col min="3334" max="3334" width="32.140625" style="1" customWidth="1"/>
    <col min="3335" max="3335" width="15.5703125" style="1" customWidth="1"/>
    <col min="3336" max="3336" width="29.28515625" style="1" bestFit="1" customWidth="1"/>
    <col min="3337" max="3337" width="38.42578125" style="1" bestFit="1" customWidth="1"/>
    <col min="3338" max="3338" width="15.5703125" style="1" customWidth="1"/>
    <col min="3339" max="3339" width="29.28515625" style="1" bestFit="1" customWidth="1"/>
    <col min="3340" max="3340" width="38.42578125" style="1" bestFit="1" customWidth="1"/>
    <col min="3341" max="3341" width="15.5703125" style="1" customWidth="1"/>
    <col min="3342" max="3342" width="27" style="1" customWidth="1"/>
    <col min="3343" max="3344" width="31" style="1" customWidth="1"/>
    <col min="3345" max="3345" width="22.42578125" style="1" customWidth="1"/>
    <col min="3346" max="3346" width="34" style="1" bestFit="1" customWidth="1"/>
    <col min="3347" max="3347" width="19" style="1" customWidth="1"/>
    <col min="3348" max="3348" width="13.85546875" style="1" customWidth="1"/>
    <col min="3349" max="3349" width="12.7109375" style="1" customWidth="1"/>
    <col min="3350" max="3350" width="12.5703125" style="1" bestFit="1" customWidth="1"/>
    <col min="3351" max="3351" width="10.5703125" style="1" customWidth="1"/>
    <col min="3352" max="3352" width="13.85546875" style="1" customWidth="1"/>
    <col min="3353" max="3353" width="12.7109375" style="1" customWidth="1"/>
    <col min="3354" max="3354" width="12.5703125" style="1" customWidth="1"/>
    <col min="3355" max="3355" width="22.42578125" style="1" bestFit="1" customWidth="1"/>
    <col min="3356" max="3356" width="19" style="1" bestFit="1" customWidth="1"/>
    <col min="3357" max="3357" width="15.5703125" style="1" bestFit="1" customWidth="1"/>
    <col min="3358" max="3358" width="20.7109375" style="1" bestFit="1" customWidth="1"/>
    <col min="3359" max="3359" width="51.5703125" style="1" bestFit="1" customWidth="1"/>
    <col min="3360" max="3584" width="8.7109375" style="1"/>
    <col min="3585" max="3585" width="18.42578125" style="1" customWidth="1"/>
    <col min="3586" max="3586" width="28" style="1" bestFit="1" customWidth="1"/>
    <col min="3587" max="3587" width="26.42578125" style="1" customWidth="1"/>
    <col min="3588" max="3588" width="15.5703125" style="1" customWidth="1"/>
    <col min="3589" max="3589" width="29.28515625" style="1" customWidth="1"/>
    <col min="3590" max="3590" width="32.140625" style="1" customWidth="1"/>
    <col min="3591" max="3591" width="15.5703125" style="1" customWidth="1"/>
    <col min="3592" max="3592" width="29.28515625" style="1" bestFit="1" customWidth="1"/>
    <col min="3593" max="3593" width="38.42578125" style="1" bestFit="1" customWidth="1"/>
    <col min="3594" max="3594" width="15.5703125" style="1" customWidth="1"/>
    <col min="3595" max="3595" width="29.28515625" style="1" bestFit="1" customWidth="1"/>
    <col min="3596" max="3596" width="38.42578125" style="1" bestFit="1" customWidth="1"/>
    <col min="3597" max="3597" width="15.5703125" style="1" customWidth="1"/>
    <col min="3598" max="3598" width="27" style="1" customWidth="1"/>
    <col min="3599" max="3600" width="31" style="1" customWidth="1"/>
    <col min="3601" max="3601" width="22.42578125" style="1" customWidth="1"/>
    <col min="3602" max="3602" width="34" style="1" bestFit="1" customWidth="1"/>
    <col min="3603" max="3603" width="19" style="1" customWidth="1"/>
    <col min="3604" max="3604" width="13.85546875" style="1" customWidth="1"/>
    <col min="3605" max="3605" width="12.7109375" style="1" customWidth="1"/>
    <col min="3606" max="3606" width="12.5703125" style="1" bestFit="1" customWidth="1"/>
    <col min="3607" max="3607" width="10.5703125" style="1" customWidth="1"/>
    <col min="3608" max="3608" width="13.85546875" style="1" customWidth="1"/>
    <col min="3609" max="3609" width="12.7109375" style="1" customWidth="1"/>
    <col min="3610" max="3610" width="12.5703125" style="1" customWidth="1"/>
    <col min="3611" max="3611" width="22.42578125" style="1" bestFit="1" customWidth="1"/>
    <col min="3612" max="3612" width="19" style="1" bestFit="1" customWidth="1"/>
    <col min="3613" max="3613" width="15.5703125" style="1" bestFit="1" customWidth="1"/>
    <col min="3614" max="3614" width="20.7109375" style="1" bestFit="1" customWidth="1"/>
    <col min="3615" max="3615" width="51.5703125" style="1" bestFit="1" customWidth="1"/>
    <col min="3616" max="3840" width="8.7109375" style="1"/>
    <col min="3841" max="3841" width="18.42578125" style="1" customWidth="1"/>
    <col min="3842" max="3842" width="28" style="1" bestFit="1" customWidth="1"/>
    <col min="3843" max="3843" width="26.42578125" style="1" customWidth="1"/>
    <col min="3844" max="3844" width="15.5703125" style="1" customWidth="1"/>
    <col min="3845" max="3845" width="29.28515625" style="1" customWidth="1"/>
    <col min="3846" max="3846" width="32.140625" style="1" customWidth="1"/>
    <col min="3847" max="3847" width="15.5703125" style="1" customWidth="1"/>
    <col min="3848" max="3848" width="29.28515625" style="1" bestFit="1" customWidth="1"/>
    <col min="3849" max="3849" width="38.42578125" style="1" bestFit="1" customWidth="1"/>
    <col min="3850" max="3850" width="15.5703125" style="1" customWidth="1"/>
    <col min="3851" max="3851" width="29.28515625" style="1" bestFit="1" customWidth="1"/>
    <col min="3852" max="3852" width="38.42578125" style="1" bestFit="1" customWidth="1"/>
    <col min="3853" max="3853" width="15.5703125" style="1" customWidth="1"/>
    <col min="3854" max="3854" width="27" style="1" customWidth="1"/>
    <col min="3855" max="3856" width="31" style="1" customWidth="1"/>
    <col min="3857" max="3857" width="22.42578125" style="1" customWidth="1"/>
    <col min="3858" max="3858" width="34" style="1" bestFit="1" customWidth="1"/>
    <col min="3859" max="3859" width="19" style="1" customWidth="1"/>
    <col min="3860" max="3860" width="13.85546875" style="1" customWidth="1"/>
    <col min="3861" max="3861" width="12.7109375" style="1" customWidth="1"/>
    <col min="3862" max="3862" width="12.5703125" style="1" bestFit="1" customWidth="1"/>
    <col min="3863" max="3863" width="10.5703125" style="1" customWidth="1"/>
    <col min="3864" max="3864" width="13.85546875" style="1" customWidth="1"/>
    <col min="3865" max="3865" width="12.7109375" style="1" customWidth="1"/>
    <col min="3866" max="3866" width="12.5703125" style="1" customWidth="1"/>
    <col min="3867" max="3867" width="22.42578125" style="1" bestFit="1" customWidth="1"/>
    <col min="3868" max="3868" width="19" style="1" bestFit="1" customWidth="1"/>
    <col min="3869" max="3869" width="15.5703125" style="1" bestFit="1" customWidth="1"/>
    <col min="3870" max="3870" width="20.7109375" style="1" bestFit="1" customWidth="1"/>
    <col min="3871" max="3871" width="51.5703125" style="1" bestFit="1" customWidth="1"/>
    <col min="3872" max="4096" width="8.7109375" style="1"/>
    <col min="4097" max="4097" width="18.42578125" style="1" customWidth="1"/>
    <col min="4098" max="4098" width="28" style="1" bestFit="1" customWidth="1"/>
    <col min="4099" max="4099" width="26.42578125" style="1" customWidth="1"/>
    <col min="4100" max="4100" width="15.5703125" style="1" customWidth="1"/>
    <col min="4101" max="4101" width="29.28515625" style="1" customWidth="1"/>
    <col min="4102" max="4102" width="32.140625" style="1" customWidth="1"/>
    <col min="4103" max="4103" width="15.5703125" style="1" customWidth="1"/>
    <col min="4104" max="4104" width="29.28515625" style="1" bestFit="1" customWidth="1"/>
    <col min="4105" max="4105" width="38.42578125" style="1" bestFit="1" customWidth="1"/>
    <col min="4106" max="4106" width="15.5703125" style="1" customWidth="1"/>
    <col min="4107" max="4107" width="29.28515625" style="1" bestFit="1" customWidth="1"/>
    <col min="4108" max="4108" width="38.42578125" style="1" bestFit="1" customWidth="1"/>
    <col min="4109" max="4109" width="15.5703125" style="1" customWidth="1"/>
    <col min="4110" max="4110" width="27" style="1" customWidth="1"/>
    <col min="4111" max="4112" width="31" style="1" customWidth="1"/>
    <col min="4113" max="4113" width="22.42578125" style="1" customWidth="1"/>
    <col min="4114" max="4114" width="34" style="1" bestFit="1" customWidth="1"/>
    <col min="4115" max="4115" width="19" style="1" customWidth="1"/>
    <col min="4116" max="4116" width="13.85546875" style="1" customWidth="1"/>
    <col min="4117" max="4117" width="12.7109375" style="1" customWidth="1"/>
    <col min="4118" max="4118" width="12.5703125" style="1" bestFit="1" customWidth="1"/>
    <col min="4119" max="4119" width="10.5703125" style="1" customWidth="1"/>
    <col min="4120" max="4120" width="13.85546875" style="1" customWidth="1"/>
    <col min="4121" max="4121" width="12.7109375" style="1" customWidth="1"/>
    <col min="4122" max="4122" width="12.5703125" style="1" customWidth="1"/>
    <col min="4123" max="4123" width="22.42578125" style="1" bestFit="1" customWidth="1"/>
    <col min="4124" max="4124" width="19" style="1" bestFit="1" customWidth="1"/>
    <col min="4125" max="4125" width="15.5703125" style="1" bestFit="1" customWidth="1"/>
    <col min="4126" max="4126" width="20.7109375" style="1" bestFit="1" customWidth="1"/>
    <col min="4127" max="4127" width="51.5703125" style="1" bestFit="1" customWidth="1"/>
    <col min="4128" max="4352" width="8.7109375" style="1"/>
    <col min="4353" max="4353" width="18.42578125" style="1" customWidth="1"/>
    <col min="4354" max="4354" width="28" style="1" bestFit="1" customWidth="1"/>
    <col min="4355" max="4355" width="26.42578125" style="1" customWidth="1"/>
    <col min="4356" max="4356" width="15.5703125" style="1" customWidth="1"/>
    <col min="4357" max="4357" width="29.28515625" style="1" customWidth="1"/>
    <col min="4358" max="4358" width="32.140625" style="1" customWidth="1"/>
    <col min="4359" max="4359" width="15.5703125" style="1" customWidth="1"/>
    <col min="4360" max="4360" width="29.28515625" style="1" bestFit="1" customWidth="1"/>
    <col min="4361" max="4361" width="38.42578125" style="1" bestFit="1" customWidth="1"/>
    <col min="4362" max="4362" width="15.5703125" style="1" customWidth="1"/>
    <col min="4363" max="4363" width="29.28515625" style="1" bestFit="1" customWidth="1"/>
    <col min="4364" max="4364" width="38.42578125" style="1" bestFit="1" customWidth="1"/>
    <col min="4365" max="4365" width="15.5703125" style="1" customWidth="1"/>
    <col min="4366" max="4366" width="27" style="1" customWidth="1"/>
    <col min="4367" max="4368" width="31" style="1" customWidth="1"/>
    <col min="4369" max="4369" width="22.42578125" style="1" customWidth="1"/>
    <col min="4370" max="4370" width="34" style="1" bestFit="1" customWidth="1"/>
    <col min="4371" max="4371" width="19" style="1" customWidth="1"/>
    <col min="4372" max="4372" width="13.85546875" style="1" customWidth="1"/>
    <col min="4373" max="4373" width="12.7109375" style="1" customWidth="1"/>
    <col min="4374" max="4374" width="12.5703125" style="1" bestFit="1" customWidth="1"/>
    <col min="4375" max="4375" width="10.5703125" style="1" customWidth="1"/>
    <col min="4376" max="4376" width="13.85546875" style="1" customWidth="1"/>
    <col min="4377" max="4377" width="12.7109375" style="1" customWidth="1"/>
    <col min="4378" max="4378" width="12.5703125" style="1" customWidth="1"/>
    <col min="4379" max="4379" width="22.42578125" style="1" bestFit="1" customWidth="1"/>
    <col min="4380" max="4380" width="19" style="1" bestFit="1" customWidth="1"/>
    <col min="4381" max="4381" width="15.5703125" style="1" bestFit="1" customWidth="1"/>
    <col min="4382" max="4382" width="20.7109375" style="1" bestFit="1" customWidth="1"/>
    <col min="4383" max="4383" width="51.5703125" style="1" bestFit="1" customWidth="1"/>
    <col min="4384" max="4608" width="8.7109375" style="1"/>
    <col min="4609" max="4609" width="18.42578125" style="1" customWidth="1"/>
    <col min="4610" max="4610" width="28" style="1" bestFit="1" customWidth="1"/>
    <col min="4611" max="4611" width="26.42578125" style="1" customWidth="1"/>
    <col min="4612" max="4612" width="15.5703125" style="1" customWidth="1"/>
    <col min="4613" max="4613" width="29.28515625" style="1" customWidth="1"/>
    <col min="4614" max="4614" width="32.140625" style="1" customWidth="1"/>
    <col min="4615" max="4615" width="15.5703125" style="1" customWidth="1"/>
    <col min="4616" max="4616" width="29.28515625" style="1" bestFit="1" customWidth="1"/>
    <col min="4617" max="4617" width="38.42578125" style="1" bestFit="1" customWidth="1"/>
    <col min="4618" max="4618" width="15.5703125" style="1" customWidth="1"/>
    <col min="4619" max="4619" width="29.28515625" style="1" bestFit="1" customWidth="1"/>
    <col min="4620" max="4620" width="38.42578125" style="1" bestFit="1" customWidth="1"/>
    <col min="4621" max="4621" width="15.5703125" style="1" customWidth="1"/>
    <col min="4622" max="4622" width="27" style="1" customWidth="1"/>
    <col min="4623" max="4624" width="31" style="1" customWidth="1"/>
    <col min="4625" max="4625" width="22.42578125" style="1" customWidth="1"/>
    <col min="4626" max="4626" width="34" style="1" bestFit="1" customWidth="1"/>
    <col min="4627" max="4627" width="19" style="1" customWidth="1"/>
    <col min="4628" max="4628" width="13.85546875" style="1" customWidth="1"/>
    <col min="4629" max="4629" width="12.7109375" style="1" customWidth="1"/>
    <col min="4630" max="4630" width="12.5703125" style="1" bestFit="1" customWidth="1"/>
    <col min="4631" max="4631" width="10.5703125" style="1" customWidth="1"/>
    <col min="4632" max="4632" width="13.85546875" style="1" customWidth="1"/>
    <col min="4633" max="4633" width="12.7109375" style="1" customWidth="1"/>
    <col min="4634" max="4634" width="12.5703125" style="1" customWidth="1"/>
    <col min="4635" max="4635" width="22.42578125" style="1" bestFit="1" customWidth="1"/>
    <col min="4636" max="4636" width="19" style="1" bestFit="1" customWidth="1"/>
    <col min="4637" max="4637" width="15.5703125" style="1" bestFit="1" customWidth="1"/>
    <col min="4638" max="4638" width="20.7109375" style="1" bestFit="1" customWidth="1"/>
    <col min="4639" max="4639" width="51.5703125" style="1" bestFit="1" customWidth="1"/>
    <col min="4640" max="4864" width="8.7109375" style="1"/>
    <col min="4865" max="4865" width="18.42578125" style="1" customWidth="1"/>
    <col min="4866" max="4866" width="28" style="1" bestFit="1" customWidth="1"/>
    <col min="4867" max="4867" width="26.42578125" style="1" customWidth="1"/>
    <col min="4868" max="4868" width="15.5703125" style="1" customWidth="1"/>
    <col min="4869" max="4869" width="29.28515625" style="1" customWidth="1"/>
    <col min="4870" max="4870" width="32.140625" style="1" customWidth="1"/>
    <col min="4871" max="4871" width="15.5703125" style="1" customWidth="1"/>
    <col min="4872" max="4872" width="29.28515625" style="1" bestFit="1" customWidth="1"/>
    <col min="4873" max="4873" width="38.42578125" style="1" bestFit="1" customWidth="1"/>
    <col min="4874" max="4874" width="15.5703125" style="1" customWidth="1"/>
    <col min="4875" max="4875" width="29.28515625" style="1" bestFit="1" customWidth="1"/>
    <col min="4876" max="4876" width="38.42578125" style="1" bestFit="1" customWidth="1"/>
    <col min="4877" max="4877" width="15.5703125" style="1" customWidth="1"/>
    <col min="4878" max="4878" width="27" style="1" customWidth="1"/>
    <col min="4879" max="4880" width="31" style="1" customWidth="1"/>
    <col min="4881" max="4881" width="22.42578125" style="1" customWidth="1"/>
    <col min="4882" max="4882" width="34" style="1" bestFit="1" customWidth="1"/>
    <col min="4883" max="4883" width="19" style="1" customWidth="1"/>
    <col min="4884" max="4884" width="13.85546875" style="1" customWidth="1"/>
    <col min="4885" max="4885" width="12.7109375" style="1" customWidth="1"/>
    <col min="4886" max="4886" width="12.5703125" style="1" bestFit="1" customWidth="1"/>
    <col min="4887" max="4887" width="10.5703125" style="1" customWidth="1"/>
    <col min="4888" max="4888" width="13.85546875" style="1" customWidth="1"/>
    <col min="4889" max="4889" width="12.7109375" style="1" customWidth="1"/>
    <col min="4890" max="4890" width="12.5703125" style="1" customWidth="1"/>
    <col min="4891" max="4891" width="22.42578125" style="1" bestFit="1" customWidth="1"/>
    <col min="4892" max="4892" width="19" style="1" bestFit="1" customWidth="1"/>
    <col min="4893" max="4893" width="15.5703125" style="1" bestFit="1" customWidth="1"/>
    <col min="4894" max="4894" width="20.7109375" style="1" bestFit="1" customWidth="1"/>
    <col min="4895" max="4895" width="51.5703125" style="1" bestFit="1" customWidth="1"/>
    <col min="4896" max="5120" width="8.7109375" style="1"/>
    <col min="5121" max="5121" width="18.42578125" style="1" customWidth="1"/>
    <col min="5122" max="5122" width="28" style="1" bestFit="1" customWidth="1"/>
    <col min="5123" max="5123" width="26.42578125" style="1" customWidth="1"/>
    <col min="5124" max="5124" width="15.5703125" style="1" customWidth="1"/>
    <col min="5125" max="5125" width="29.28515625" style="1" customWidth="1"/>
    <col min="5126" max="5126" width="32.140625" style="1" customWidth="1"/>
    <col min="5127" max="5127" width="15.5703125" style="1" customWidth="1"/>
    <col min="5128" max="5128" width="29.28515625" style="1" bestFit="1" customWidth="1"/>
    <col min="5129" max="5129" width="38.42578125" style="1" bestFit="1" customWidth="1"/>
    <col min="5130" max="5130" width="15.5703125" style="1" customWidth="1"/>
    <col min="5131" max="5131" width="29.28515625" style="1" bestFit="1" customWidth="1"/>
    <col min="5132" max="5132" width="38.42578125" style="1" bestFit="1" customWidth="1"/>
    <col min="5133" max="5133" width="15.5703125" style="1" customWidth="1"/>
    <col min="5134" max="5134" width="27" style="1" customWidth="1"/>
    <col min="5135" max="5136" width="31" style="1" customWidth="1"/>
    <col min="5137" max="5137" width="22.42578125" style="1" customWidth="1"/>
    <col min="5138" max="5138" width="34" style="1" bestFit="1" customWidth="1"/>
    <col min="5139" max="5139" width="19" style="1" customWidth="1"/>
    <col min="5140" max="5140" width="13.85546875" style="1" customWidth="1"/>
    <col min="5141" max="5141" width="12.7109375" style="1" customWidth="1"/>
    <col min="5142" max="5142" width="12.5703125" style="1" bestFit="1" customWidth="1"/>
    <col min="5143" max="5143" width="10.5703125" style="1" customWidth="1"/>
    <col min="5144" max="5144" width="13.85546875" style="1" customWidth="1"/>
    <col min="5145" max="5145" width="12.7109375" style="1" customWidth="1"/>
    <col min="5146" max="5146" width="12.5703125" style="1" customWidth="1"/>
    <col min="5147" max="5147" width="22.42578125" style="1" bestFit="1" customWidth="1"/>
    <col min="5148" max="5148" width="19" style="1" bestFit="1" customWidth="1"/>
    <col min="5149" max="5149" width="15.5703125" style="1" bestFit="1" customWidth="1"/>
    <col min="5150" max="5150" width="20.7109375" style="1" bestFit="1" customWidth="1"/>
    <col min="5151" max="5151" width="51.5703125" style="1" bestFit="1" customWidth="1"/>
    <col min="5152" max="5376" width="8.7109375" style="1"/>
    <col min="5377" max="5377" width="18.42578125" style="1" customWidth="1"/>
    <col min="5378" max="5378" width="28" style="1" bestFit="1" customWidth="1"/>
    <col min="5379" max="5379" width="26.42578125" style="1" customWidth="1"/>
    <col min="5380" max="5380" width="15.5703125" style="1" customWidth="1"/>
    <col min="5381" max="5381" width="29.28515625" style="1" customWidth="1"/>
    <col min="5382" max="5382" width="32.140625" style="1" customWidth="1"/>
    <col min="5383" max="5383" width="15.5703125" style="1" customWidth="1"/>
    <col min="5384" max="5384" width="29.28515625" style="1" bestFit="1" customWidth="1"/>
    <col min="5385" max="5385" width="38.42578125" style="1" bestFit="1" customWidth="1"/>
    <col min="5386" max="5386" width="15.5703125" style="1" customWidth="1"/>
    <col min="5387" max="5387" width="29.28515625" style="1" bestFit="1" customWidth="1"/>
    <col min="5388" max="5388" width="38.42578125" style="1" bestFit="1" customWidth="1"/>
    <col min="5389" max="5389" width="15.5703125" style="1" customWidth="1"/>
    <col min="5390" max="5390" width="27" style="1" customWidth="1"/>
    <col min="5391" max="5392" width="31" style="1" customWidth="1"/>
    <col min="5393" max="5393" width="22.42578125" style="1" customWidth="1"/>
    <col min="5394" max="5394" width="34" style="1" bestFit="1" customWidth="1"/>
    <col min="5395" max="5395" width="19" style="1" customWidth="1"/>
    <col min="5396" max="5396" width="13.85546875" style="1" customWidth="1"/>
    <col min="5397" max="5397" width="12.7109375" style="1" customWidth="1"/>
    <col min="5398" max="5398" width="12.5703125" style="1" bestFit="1" customWidth="1"/>
    <col min="5399" max="5399" width="10.5703125" style="1" customWidth="1"/>
    <col min="5400" max="5400" width="13.85546875" style="1" customWidth="1"/>
    <col min="5401" max="5401" width="12.7109375" style="1" customWidth="1"/>
    <col min="5402" max="5402" width="12.5703125" style="1" customWidth="1"/>
    <col min="5403" max="5403" width="22.42578125" style="1" bestFit="1" customWidth="1"/>
    <col min="5404" max="5404" width="19" style="1" bestFit="1" customWidth="1"/>
    <col min="5405" max="5405" width="15.5703125" style="1" bestFit="1" customWidth="1"/>
    <col min="5406" max="5406" width="20.7109375" style="1" bestFit="1" customWidth="1"/>
    <col min="5407" max="5407" width="51.5703125" style="1" bestFit="1" customWidth="1"/>
    <col min="5408" max="5632" width="8.7109375" style="1"/>
    <col min="5633" max="5633" width="18.42578125" style="1" customWidth="1"/>
    <col min="5634" max="5634" width="28" style="1" bestFit="1" customWidth="1"/>
    <col min="5635" max="5635" width="26.42578125" style="1" customWidth="1"/>
    <col min="5636" max="5636" width="15.5703125" style="1" customWidth="1"/>
    <col min="5637" max="5637" width="29.28515625" style="1" customWidth="1"/>
    <col min="5638" max="5638" width="32.140625" style="1" customWidth="1"/>
    <col min="5639" max="5639" width="15.5703125" style="1" customWidth="1"/>
    <col min="5640" max="5640" width="29.28515625" style="1" bestFit="1" customWidth="1"/>
    <col min="5641" max="5641" width="38.42578125" style="1" bestFit="1" customWidth="1"/>
    <col min="5642" max="5642" width="15.5703125" style="1" customWidth="1"/>
    <col min="5643" max="5643" width="29.28515625" style="1" bestFit="1" customWidth="1"/>
    <col min="5644" max="5644" width="38.42578125" style="1" bestFit="1" customWidth="1"/>
    <col min="5645" max="5645" width="15.5703125" style="1" customWidth="1"/>
    <col min="5646" max="5646" width="27" style="1" customWidth="1"/>
    <col min="5647" max="5648" width="31" style="1" customWidth="1"/>
    <col min="5649" max="5649" width="22.42578125" style="1" customWidth="1"/>
    <col min="5650" max="5650" width="34" style="1" bestFit="1" customWidth="1"/>
    <col min="5651" max="5651" width="19" style="1" customWidth="1"/>
    <col min="5652" max="5652" width="13.85546875" style="1" customWidth="1"/>
    <col min="5653" max="5653" width="12.7109375" style="1" customWidth="1"/>
    <col min="5654" max="5654" width="12.5703125" style="1" bestFit="1" customWidth="1"/>
    <col min="5655" max="5655" width="10.5703125" style="1" customWidth="1"/>
    <col min="5656" max="5656" width="13.85546875" style="1" customWidth="1"/>
    <col min="5657" max="5657" width="12.7109375" style="1" customWidth="1"/>
    <col min="5658" max="5658" width="12.5703125" style="1" customWidth="1"/>
    <col min="5659" max="5659" width="22.42578125" style="1" bestFit="1" customWidth="1"/>
    <col min="5660" max="5660" width="19" style="1" bestFit="1" customWidth="1"/>
    <col min="5661" max="5661" width="15.5703125" style="1" bestFit="1" customWidth="1"/>
    <col min="5662" max="5662" width="20.7109375" style="1" bestFit="1" customWidth="1"/>
    <col min="5663" max="5663" width="51.5703125" style="1" bestFit="1" customWidth="1"/>
    <col min="5664" max="5888" width="8.7109375" style="1"/>
    <col min="5889" max="5889" width="18.42578125" style="1" customWidth="1"/>
    <col min="5890" max="5890" width="28" style="1" bestFit="1" customWidth="1"/>
    <col min="5891" max="5891" width="26.42578125" style="1" customWidth="1"/>
    <col min="5892" max="5892" width="15.5703125" style="1" customWidth="1"/>
    <col min="5893" max="5893" width="29.28515625" style="1" customWidth="1"/>
    <col min="5894" max="5894" width="32.140625" style="1" customWidth="1"/>
    <col min="5895" max="5895" width="15.5703125" style="1" customWidth="1"/>
    <col min="5896" max="5896" width="29.28515625" style="1" bestFit="1" customWidth="1"/>
    <col min="5897" max="5897" width="38.42578125" style="1" bestFit="1" customWidth="1"/>
    <col min="5898" max="5898" width="15.5703125" style="1" customWidth="1"/>
    <col min="5899" max="5899" width="29.28515625" style="1" bestFit="1" customWidth="1"/>
    <col min="5900" max="5900" width="38.42578125" style="1" bestFit="1" customWidth="1"/>
    <col min="5901" max="5901" width="15.5703125" style="1" customWidth="1"/>
    <col min="5902" max="5902" width="27" style="1" customWidth="1"/>
    <col min="5903" max="5904" width="31" style="1" customWidth="1"/>
    <col min="5905" max="5905" width="22.42578125" style="1" customWidth="1"/>
    <col min="5906" max="5906" width="34" style="1" bestFit="1" customWidth="1"/>
    <col min="5907" max="5907" width="19" style="1" customWidth="1"/>
    <col min="5908" max="5908" width="13.85546875" style="1" customWidth="1"/>
    <col min="5909" max="5909" width="12.7109375" style="1" customWidth="1"/>
    <col min="5910" max="5910" width="12.5703125" style="1" bestFit="1" customWidth="1"/>
    <col min="5911" max="5911" width="10.5703125" style="1" customWidth="1"/>
    <col min="5912" max="5912" width="13.85546875" style="1" customWidth="1"/>
    <col min="5913" max="5913" width="12.7109375" style="1" customWidth="1"/>
    <col min="5914" max="5914" width="12.5703125" style="1" customWidth="1"/>
    <col min="5915" max="5915" width="22.42578125" style="1" bestFit="1" customWidth="1"/>
    <col min="5916" max="5916" width="19" style="1" bestFit="1" customWidth="1"/>
    <col min="5917" max="5917" width="15.5703125" style="1" bestFit="1" customWidth="1"/>
    <col min="5918" max="5918" width="20.7109375" style="1" bestFit="1" customWidth="1"/>
    <col min="5919" max="5919" width="51.5703125" style="1" bestFit="1" customWidth="1"/>
    <col min="5920" max="6144" width="8.7109375" style="1"/>
    <col min="6145" max="6145" width="18.42578125" style="1" customWidth="1"/>
    <col min="6146" max="6146" width="28" style="1" bestFit="1" customWidth="1"/>
    <col min="6147" max="6147" width="26.42578125" style="1" customWidth="1"/>
    <col min="6148" max="6148" width="15.5703125" style="1" customWidth="1"/>
    <col min="6149" max="6149" width="29.28515625" style="1" customWidth="1"/>
    <col min="6150" max="6150" width="32.140625" style="1" customWidth="1"/>
    <col min="6151" max="6151" width="15.5703125" style="1" customWidth="1"/>
    <col min="6152" max="6152" width="29.28515625" style="1" bestFit="1" customWidth="1"/>
    <col min="6153" max="6153" width="38.42578125" style="1" bestFit="1" customWidth="1"/>
    <col min="6154" max="6154" width="15.5703125" style="1" customWidth="1"/>
    <col min="6155" max="6155" width="29.28515625" style="1" bestFit="1" customWidth="1"/>
    <col min="6156" max="6156" width="38.42578125" style="1" bestFit="1" customWidth="1"/>
    <col min="6157" max="6157" width="15.5703125" style="1" customWidth="1"/>
    <col min="6158" max="6158" width="27" style="1" customWidth="1"/>
    <col min="6159" max="6160" width="31" style="1" customWidth="1"/>
    <col min="6161" max="6161" width="22.42578125" style="1" customWidth="1"/>
    <col min="6162" max="6162" width="34" style="1" bestFit="1" customWidth="1"/>
    <col min="6163" max="6163" width="19" style="1" customWidth="1"/>
    <col min="6164" max="6164" width="13.85546875" style="1" customWidth="1"/>
    <col min="6165" max="6165" width="12.7109375" style="1" customWidth="1"/>
    <col min="6166" max="6166" width="12.5703125" style="1" bestFit="1" customWidth="1"/>
    <col min="6167" max="6167" width="10.5703125" style="1" customWidth="1"/>
    <col min="6168" max="6168" width="13.85546875" style="1" customWidth="1"/>
    <col min="6169" max="6169" width="12.7109375" style="1" customWidth="1"/>
    <col min="6170" max="6170" width="12.5703125" style="1" customWidth="1"/>
    <col min="6171" max="6171" width="22.42578125" style="1" bestFit="1" customWidth="1"/>
    <col min="6172" max="6172" width="19" style="1" bestFit="1" customWidth="1"/>
    <col min="6173" max="6173" width="15.5703125" style="1" bestFit="1" customWidth="1"/>
    <col min="6174" max="6174" width="20.7109375" style="1" bestFit="1" customWidth="1"/>
    <col min="6175" max="6175" width="51.5703125" style="1" bestFit="1" customWidth="1"/>
    <col min="6176" max="6400" width="8.7109375" style="1"/>
    <col min="6401" max="6401" width="18.42578125" style="1" customWidth="1"/>
    <col min="6402" max="6402" width="28" style="1" bestFit="1" customWidth="1"/>
    <col min="6403" max="6403" width="26.42578125" style="1" customWidth="1"/>
    <col min="6404" max="6404" width="15.5703125" style="1" customWidth="1"/>
    <col min="6405" max="6405" width="29.28515625" style="1" customWidth="1"/>
    <col min="6406" max="6406" width="32.140625" style="1" customWidth="1"/>
    <col min="6407" max="6407" width="15.5703125" style="1" customWidth="1"/>
    <col min="6408" max="6408" width="29.28515625" style="1" bestFit="1" customWidth="1"/>
    <col min="6409" max="6409" width="38.42578125" style="1" bestFit="1" customWidth="1"/>
    <col min="6410" max="6410" width="15.5703125" style="1" customWidth="1"/>
    <col min="6411" max="6411" width="29.28515625" style="1" bestFit="1" customWidth="1"/>
    <col min="6412" max="6412" width="38.42578125" style="1" bestFit="1" customWidth="1"/>
    <col min="6413" max="6413" width="15.5703125" style="1" customWidth="1"/>
    <col min="6414" max="6414" width="27" style="1" customWidth="1"/>
    <col min="6415" max="6416" width="31" style="1" customWidth="1"/>
    <col min="6417" max="6417" width="22.42578125" style="1" customWidth="1"/>
    <col min="6418" max="6418" width="34" style="1" bestFit="1" customWidth="1"/>
    <col min="6419" max="6419" width="19" style="1" customWidth="1"/>
    <col min="6420" max="6420" width="13.85546875" style="1" customWidth="1"/>
    <col min="6421" max="6421" width="12.7109375" style="1" customWidth="1"/>
    <col min="6422" max="6422" width="12.5703125" style="1" bestFit="1" customWidth="1"/>
    <col min="6423" max="6423" width="10.5703125" style="1" customWidth="1"/>
    <col min="6424" max="6424" width="13.85546875" style="1" customWidth="1"/>
    <col min="6425" max="6425" width="12.7109375" style="1" customWidth="1"/>
    <col min="6426" max="6426" width="12.5703125" style="1" customWidth="1"/>
    <col min="6427" max="6427" width="22.42578125" style="1" bestFit="1" customWidth="1"/>
    <col min="6428" max="6428" width="19" style="1" bestFit="1" customWidth="1"/>
    <col min="6429" max="6429" width="15.5703125" style="1" bestFit="1" customWidth="1"/>
    <col min="6430" max="6430" width="20.7109375" style="1" bestFit="1" customWidth="1"/>
    <col min="6431" max="6431" width="51.5703125" style="1" bestFit="1" customWidth="1"/>
    <col min="6432" max="6656" width="8.7109375" style="1"/>
    <col min="6657" max="6657" width="18.42578125" style="1" customWidth="1"/>
    <col min="6658" max="6658" width="28" style="1" bestFit="1" customWidth="1"/>
    <col min="6659" max="6659" width="26.42578125" style="1" customWidth="1"/>
    <col min="6660" max="6660" width="15.5703125" style="1" customWidth="1"/>
    <col min="6661" max="6661" width="29.28515625" style="1" customWidth="1"/>
    <col min="6662" max="6662" width="32.140625" style="1" customWidth="1"/>
    <col min="6663" max="6663" width="15.5703125" style="1" customWidth="1"/>
    <col min="6664" max="6664" width="29.28515625" style="1" bestFit="1" customWidth="1"/>
    <col min="6665" max="6665" width="38.42578125" style="1" bestFit="1" customWidth="1"/>
    <col min="6666" max="6666" width="15.5703125" style="1" customWidth="1"/>
    <col min="6667" max="6667" width="29.28515625" style="1" bestFit="1" customWidth="1"/>
    <col min="6668" max="6668" width="38.42578125" style="1" bestFit="1" customWidth="1"/>
    <col min="6669" max="6669" width="15.5703125" style="1" customWidth="1"/>
    <col min="6670" max="6670" width="27" style="1" customWidth="1"/>
    <col min="6671" max="6672" width="31" style="1" customWidth="1"/>
    <col min="6673" max="6673" width="22.42578125" style="1" customWidth="1"/>
    <col min="6674" max="6674" width="34" style="1" bestFit="1" customWidth="1"/>
    <col min="6675" max="6675" width="19" style="1" customWidth="1"/>
    <col min="6676" max="6676" width="13.85546875" style="1" customWidth="1"/>
    <col min="6677" max="6677" width="12.7109375" style="1" customWidth="1"/>
    <col min="6678" max="6678" width="12.5703125" style="1" bestFit="1" customWidth="1"/>
    <col min="6679" max="6679" width="10.5703125" style="1" customWidth="1"/>
    <col min="6680" max="6680" width="13.85546875" style="1" customWidth="1"/>
    <col min="6681" max="6681" width="12.7109375" style="1" customWidth="1"/>
    <col min="6682" max="6682" width="12.5703125" style="1" customWidth="1"/>
    <col min="6683" max="6683" width="22.42578125" style="1" bestFit="1" customWidth="1"/>
    <col min="6684" max="6684" width="19" style="1" bestFit="1" customWidth="1"/>
    <col min="6685" max="6685" width="15.5703125" style="1" bestFit="1" customWidth="1"/>
    <col min="6686" max="6686" width="20.7109375" style="1" bestFit="1" customWidth="1"/>
    <col min="6687" max="6687" width="51.5703125" style="1" bestFit="1" customWidth="1"/>
    <col min="6688" max="6912" width="8.7109375" style="1"/>
    <col min="6913" max="6913" width="18.42578125" style="1" customWidth="1"/>
    <col min="6914" max="6914" width="28" style="1" bestFit="1" customWidth="1"/>
    <col min="6915" max="6915" width="26.42578125" style="1" customWidth="1"/>
    <col min="6916" max="6916" width="15.5703125" style="1" customWidth="1"/>
    <col min="6917" max="6917" width="29.28515625" style="1" customWidth="1"/>
    <col min="6918" max="6918" width="32.140625" style="1" customWidth="1"/>
    <col min="6919" max="6919" width="15.5703125" style="1" customWidth="1"/>
    <col min="6920" max="6920" width="29.28515625" style="1" bestFit="1" customWidth="1"/>
    <col min="6921" max="6921" width="38.42578125" style="1" bestFit="1" customWidth="1"/>
    <col min="6922" max="6922" width="15.5703125" style="1" customWidth="1"/>
    <col min="6923" max="6923" width="29.28515625" style="1" bestFit="1" customWidth="1"/>
    <col min="6924" max="6924" width="38.42578125" style="1" bestFit="1" customWidth="1"/>
    <col min="6925" max="6925" width="15.5703125" style="1" customWidth="1"/>
    <col min="6926" max="6926" width="27" style="1" customWidth="1"/>
    <col min="6927" max="6928" width="31" style="1" customWidth="1"/>
    <col min="6929" max="6929" width="22.42578125" style="1" customWidth="1"/>
    <col min="6930" max="6930" width="34" style="1" bestFit="1" customWidth="1"/>
    <col min="6931" max="6931" width="19" style="1" customWidth="1"/>
    <col min="6932" max="6932" width="13.85546875" style="1" customWidth="1"/>
    <col min="6933" max="6933" width="12.7109375" style="1" customWidth="1"/>
    <col min="6934" max="6934" width="12.5703125" style="1" bestFit="1" customWidth="1"/>
    <col min="6935" max="6935" width="10.5703125" style="1" customWidth="1"/>
    <col min="6936" max="6936" width="13.85546875" style="1" customWidth="1"/>
    <col min="6937" max="6937" width="12.7109375" style="1" customWidth="1"/>
    <col min="6938" max="6938" width="12.5703125" style="1" customWidth="1"/>
    <col min="6939" max="6939" width="22.42578125" style="1" bestFit="1" customWidth="1"/>
    <col min="6940" max="6940" width="19" style="1" bestFit="1" customWidth="1"/>
    <col min="6941" max="6941" width="15.5703125" style="1" bestFit="1" customWidth="1"/>
    <col min="6942" max="6942" width="20.7109375" style="1" bestFit="1" customWidth="1"/>
    <col min="6943" max="6943" width="51.5703125" style="1" bestFit="1" customWidth="1"/>
    <col min="6944" max="7168" width="8.7109375" style="1"/>
    <col min="7169" max="7169" width="18.42578125" style="1" customWidth="1"/>
    <col min="7170" max="7170" width="28" style="1" bestFit="1" customWidth="1"/>
    <col min="7171" max="7171" width="26.42578125" style="1" customWidth="1"/>
    <col min="7172" max="7172" width="15.5703125" style="1" customWidth="1"/>
    <col min="7173" max="7173" width="29.28515625" style="1" customWidth="1"/>
    <col min="7174" max="7174" width="32.140625" style="1" customWidth="1"/>
    <col min="7175" max="7175" width="15.5703125" style="1" customWidth="1"/>
    <col min="7176" max="7176" width="29.28515625" style="1" bestFit="1" customWidth="1"/>
    <col min="7177" max="7177" width="38.42578125" style="1" bestFit="1" customWidth="1"/>
    <col min="7178" max="7178" width="15.5703125" style="1" customWidth="1"/>
    <col min="7179" max="7179" width="29.28515625" style="1" bestFit="1" customWidth="1"/>
    <col min="7180" max="7180" width="38.42578125" style="1" bestFit="1" customWidth="1"/>
    <col min="7181" max="7181" width="15.5703125" style="1" customWidth="1"/>
    <col min="7182" max="7182" width="27" style="1" customWidth="1"/>
    <col min="7183" max="7184" width="31" style="1" customWidth="1"/>
    <col min="7185" max="7185" width="22.42578125" style="1" customWidth="1"/>
    <col min="7186" max="7186" width="34" style="1" bestFit="1" customWidth="1"/>
    <col min="7187" max="7187" width="19" style="1" customWidth="1"/>
    <col min="7188" max="7188" width="13.85546875" style="1" customWidth="1"/>
    <col min="7189" max="7189" width="12.7109375" style="1" customWidth="1"/>
    <col min="7190" max="7190" width="12.5703125" style="1" bestFit="1" customWidth="1"/>
    <col min="7191" max="7191" width="10.5703125" style="1" customWidth="1"/>
    <col min="7192" max="7192" width="13.85546875" style="1" customWidth="1"/>
    <col min="7193" max="7193" width="12.7109375" style="1" customWidth="1"/>
    <col min="7194" max="7194" width="12.5703125" style="1" customWidth="1"/>
    <col min="7195" max="7195" width="22.42578125" style="1" bestFit="1" customWidth="1"/>
    <col min="7196" max="7196" width="19" style="1" bestFit="1" customWidth="1"/>
    <col min="7197" max="7197" width="15.5703125" style="1" bestFit="1" customWidth="1"/>
    <col min="7198" max="7198" width="20.7109375" style="1" bestFit="1" customWidth="1"/>
    <col min="7199" max="7199" width="51.5703125" style="1" bestFit="1" customWidth="1"/>
    <col min="7200" max="7424" width="8.7109375" style="1"/>
    <col min="7425" max="7425" width="18.42578125" style="1" customWidth="1"/>
    <col min="7426" max="7426" width="28" style="1" bestFit="1" customWidth="1"/>
    <col min="7427" max="7427" width="26.42578125" style="1" customWidth="1"/>
    <col min="7428" max="7428" width="15.5703125" style="1" customWidth="1"/>
    <col min="7429" max="7429" width="29.28515625" style="1" customWidth="1"/>
    <col min="7430" max="7430" width="32.140625" style="1" customWidth="1"/>
    <col min="7431" max="7431" width="15.5703125" style="1" customWidth="1"/>
    <col min="7432" max="7432" width="29.28515625" style="1" bestFit="1" customWidth="1"/>
    <col min="7433" max="7433" width="38.42578125" style="1" bestFit="1" customWidth="1"/>
    <col min="7434" max="7434" width="15.5703125" style="1" customWidth="1"/>
    <col min="7435" max="7435" width="29.28515625" style="1" bestFit="1" customWidth="1"/>
    <col min="7436" max="7436" width="38.42578125" style="1" bestFit="1" customWidth="1"/>
    <col min="7437" max="7437" width="15.5703125" style="1" customWidth="1"/>
    <col min="7438" max="7438" width="27" style="1" customWidth="1"/>
    <col min="7439" max="7440" width="31" style="1" customWidth="1"/>
    <col min="7441" max="7441" width="22.42578125" style="1" customWidth="1"/>
    <col min="7442" max="7442" width="34" style="1" bestFit="1" customWidth="1"/>
    <col min="7443" max="7443" width="19" style="1" customWidth="1"/>
    <col min="7444" max="7444" width="13.85546875" style="1" customWidth="1"/>
    <col min="7445" max="7445" width="12.7109375" style="1" customWidth="1"/>
    <col min="7446" max="7446" width="12.5703125" style="1" bestFit="1" customWidth="1"/>
    <col min="7447" max="7447" width="10.5703125" style="1" customWidth="1"/>
    <col min="7448" max="7448" width="13.85546875" style="1" customWidth="1"/>
    <col min="7449" max="7449" width="12.7109375" style="1" customWidth="1"/>
    <col min="7450" max="7450" width="12.5703125" style="1" customWidth="1"/>
    <col min="7451" max="7451" width="22.42578125" style="1" bestFit="1" customWidth="1"/>
    <col min="7452" max="7452" width="19" style="1" bestFit="1" customWidth="1"/>
    <col min="7453" max="7453" width="15.5703125" style="1" bestFit="1" customWidth="1"/>
    <col min="7454" max="7454" width="20.7109375" style="1" bestFit="1" customWidth="1"/>
    <col min="7455" max="7455" width="51.5703125" style="1" bestFit="1" customWidth="1"/>
    <col min="7456" max="7680" width="8.7109375" style="1"/>
    <col min="7681" max="7681" width="18.42578125" style="1" customWidth="1"/>
    <col min="7682" max="7682" width="28" style="1" bestFit="1" customWidth="1"/>
    <col min="7683" max="7683" width="26.42578125" style="1" customWidth="1"/>
    <col min="7684" max="7684" width="15.5703125" style="1" customWidth="1"/>
    <col min="7685" max="7685" width="29.28515625" style="1" customWidth="1"/>
    <col min="7686" max="7686" width="32.140625" style="1" customWidth="1"/>
    <col min="7687" max="7687" width="15.5703125" style="1" customWidth="1"/>
    <col min="7688" max="7688" width="29.28515625" style="1" bestFit="1" customWidth="1"/>
    <col min="7689" max="7689" width="38.42578125" style="1" bestFit="1" customWidth="1"/>
    <col min="7690" max="7690" width="15.5703125" style="1" customWidth="1"/>
    <col min="7691" max="7691" width="29.28515625" style="1" bestFit="1" customWidth="1"/>
    <col min="7692" max="7692" width="38.42578125" style="1" bestFit="1" customWidth="1"/>
    <col min="7693" max="7693" width="15.5703125" style="1" customWidth="1"/>
    <col min="7694" max="7694" width="27" style="1" customWidth="1"/>
    <col min="7695" max="7696" width="31" style="1" customWidth="1"/>
    <col min="7697" max="7697" width="22.42578125" style="1" customWidth="1"/>
    <col min="7698" max="7698" width="34" style="1" bestFit="1" customWidth="1"/>
    <col min="7699" max="7699" width="19" style="1" customWidth="1"/>
    <col min="7700" max="7700" width="13.85546875" style="1" customWidth="1"/>
    <col min="7701" max="7701" width="12.7109375" style="1" customWidth="1"/>
    <col min="7702" max="7702" width="12.5703125" style="1" bestFit="1" customWidth="1"/>
    <col min="7703" max="7703" width="10.5703125" style="1" customWidth="1"/>
    <col min="7704" max="7704" width="13.85546875" style="1" customWidth="1"/>
    <col min="7705" max="7705" width="12.7109375" style="1" customWidth="1"/>
    <col min="7706" max="7706" width="12.5703125" style="1" customWidth="1"/>
    <col min="7707" max="7707" width="22.42578125" style="1" bestFit="1" customWidth="1"/>
    <col min="7708" max="7708" width="19" style="1" bestFit="1" customWidth="1"/>
    <col min="7709" max="7709" width="15.5703125" style="1" bestFit="1" customWidth="1"/>
    <col min="7710" max="7710" width="20.7109375" style="1" bestFit="1" customWidth="1"/>
    <col min="7711" max="7711" width="51.5703125" style="1" bestFit="1" customWidth="1"/>
    <col min="7712" max="7936" width="8.7109375" style="1"/>
    <col min="7937" max="7937" width="18.42578125" style="1" customWidth="1"/>
    <col min="7938" max="7938" width="28" style="1" bestFit="1" customWidth="1"/>
    <col min="7939" max="7939" width="26.42578125" style="1" customWidth="1"/>
    <col min="7940" max="7940" width="15.5703125" style="1" customWidth="1"/>
    <col min="7941" max="7941" width="29.28515625" style="1" customWidth="1"/>
    <col min="7942" max="7942" width="32.140625" style="1" customWidth="1"/>
    <col min="7943" max="7943" width="15.5703125" style="1" customWidth="1"/>
    <col min="7944" max="7944" width="29.28515625" style="1" bestFit="1" customWidth="1"/>
    <col min="7945" max="7945" width="38.42578125" style="1" bestFit="1" customWidth="1"/>
    <col min="7946" max="7946" width="15.5703125" style="1" customWidth="1"/>
    <col min="7947" max="7947" width="29.28515625" style="1" bestFit="1" customWidth="1"/>
    <col min="7948" max="7948" width="38.42578125" style="1" bestFit="1" customWidth="1"/>
    <col min="7949" max="7949" width="15.5703125" style="1" customWidth="1"/>
    <col min="7950" max="7950" width="27" style="1" customWidth="1"/>
    <col min="7951" max="7952" width="31" style="1" customWidth="1"/>
    <col min="7953" max="7953" width="22.42578125" style="1" customWidth="1"/>
    <col min="7954" max="7954" width="34" style="1" bestFit="1" customWidth="1"/>
    <col min="7955" max="7955" width="19" style="1" customWidth="1"/>
    <col min="7956" max="7956" width="13.85546875" style="1" customWidth="1"/>
    <col min="7957" max="7957" width="12.7109375" style="1" customWidth="1"/>
    <col min="7958" max="7958" width="12.5703125" style="1" bestFit="1" customWidth="1"/>
    <col min="7959" max="7959" width="10.5703125" style="1" customWidth="1"/>
    <col min="7960" max="7960" width="13.85546875" style="1" customWidth="1"/>
    <col min="7961" max="7961" width="12.7109375" style="1" customWidth="1"/>
    <col min="7962" max="7962" width="12.5703125" style="1" customWidth="1"/>
    <col min="7963" max="7963" width="22.42578125" style="1" bestFit="1" customWidth="1"/>
    <col min="7964" max="7964" width="19" style="1" bestFit="1" customWidth="1"/>
    <col min="7965" max="7965" width="15.5703125" style="1" bestFit="1" customWidth="1"/>
    <col min="7966" max="7966" width="20.7109375" style="1" bestFit="1" customWidth="1"/>
    <col min="7967" max="7967" width="51.5703125" style="1" bestFit="1" customWidth="1"/>
    <col min="7968" max="8192" width="8.7109375" style="1"/>
    <col min="8193" max="8193" width="18.42578125" style="1" customWidth="1"/>
    <col min="8194" max="8194" width="28" style="1" bestFit="1" customWidth="1"/>
    <col min="8195" max="8195" width="26.42578125" style="1" customWidth="1"/>
    <col min="8196" max="8196" width="15.5703125" style="1" customWidth="1"/>
    <col min="8197" max="8197" width="29.28515625" style="1" customWidth="1"/>
    <col min="8198" max="8198" width="32.140625" style="1" customWidth="1"/>
    <col min="8199" max="8199" width="15.5703125" style="1" customWidth="1"/>
    <col min="8200" max="8200" width="29.28515625" style="1" bestFit="1" customWidth="1"/>
    <col min="8201" max="8201" width="38.42578125" style="1" bestFit="1" customWidth="1"/>
    <col min="8202" max="8202" width="15.5703125" style="1" customWidth="1"/>
    <col min="8203" max="8203" width="29.28515625" style="1" bestFit="1" customWidth="1"/>
    <col min="8204" max="8204" width="38.42578125" style="1" bestFit="1" customWidth="1"/>
    <col min="8205" max="8205" width="15.5703125" style="1" customWidth="1"/>
    <col min="8206" max="8206" width="27" style="1" customWidth="1"/>
    <col min="8207" max="8208" width="31" style="1" customWidth="1"/>
    <col min="8209" max="8209" width="22.42578125" style="1" customWidth="1"/>
    <col min="8210" max="8210" width="34" style="1" bestFit="1" customWidth="1"/>
    <col min="8211" max="8211" width="19" style="1" customWidth="1"/>
    <col min="8212" max="8212" width="13.85546875" style="1" customWidth="1"/>
    <col min="8213" max="8213" width="12.7109375" style="1" customWidth="1"/>
    <col min="8214" max="8214" width="12.5703125" style="1" bestFit="1" customWidth="1"/>
    <col min="8215" max="8215" width="10.5703125" style="1" customWidth="1"/>
    <col min="8216" max="8216" width="13.85546875" style="1" customWidth="1"/>
    <col min="8217" max="8217" width="12.7109375" style="1" customWidth="1"/>
    <col min="8218" max="8218" width="12.5703125" style="1" customWidth="1"/>
    <col min="8219" max="8219" width="22.42578125" style="1" bestFit="1" customWidth="1"/>
    <col min="8220" max="8220" width="19" style="1" bestFit="1" customWidth="1"/>
    <col min="8221" max="8221" width="15.5703125" style="1" bestFit="1" customWidth="1"/>
    <col min="8222" max="8222" width="20.7109375" style="1" bestFit="1" customWidth="1"/>
    <col min="8223" max="8223" width="51.5703125" style="1" bestFit="1" customWidth="1"/>
    <col min="8224" max="8448" width="8.7109375" style="1"/>
    <col min="8449" max="8449" width="18.42578125" style="1" customWidth="1"/>
    <col min="8450" max="8450" width="28" style="1" bestFit="1" customWidth="1"/>
    <col min="8451" max="8451" width="26.42578125" style="1" customWidth="1"/>
    <col min="8452" max="8452" width="15.5703125" style="1" customWidth="1"/>
    <col min="8453" max="8453" width="29.28515625" style="1" customWidth="1"/>
    <col min="8454" max="8454" width="32.140625" style="1" customWidth="1"/>
    <col min="8455" max="8455" width="15.5703125" style="1" customWidth="1"/>
    <col min="8456" max="8456" width="29.28515625" style="1" bestFit="1" customWidth="1"/>
    <col min="8457" max="8457" width="38.42578125" style="1" bestFit="1" customWidth="1"/>
    <col min="8458" max="8458" width="15.5703125" style="1" customWidth="1"/>
    <col min="8459" max="8459" width="29.28515625" style="1" bestFit="1" customWidth="1"/>
    <col min="8460" max="8460" width="38.42578125" style="1" bestFit="1" customWidth="1"/>
    <col min="8461" max="8461" width="15.5703125" style="1" customWidth="1"/>
    <col min="8462" max="8462" width="27" style="1" customWidth="1"/>
    <col min="8463" max="8464" width="31" style="1" customWidth="1"/>
    <col min="8465" max="8465" width="22.42578125" style="1" customWidth="1"/>
    <col min="8466" max="8466" width="34" style="1" bestFit="1" customWidth="1"/>
    <col min="8467" max="8467" width="19" style="1" customWidth="1"/>
    <col min="8468" max="8468" width="13.85546875" style="1" customWidth="1"/>
    <col min="8469" max="8469" width="12.7109375" style="1" customWidth="1"/>
    <col min="8470" max="8470" width="12.5703125" style="1" bestFit="1" customWidth="1"/>
    <col min="8471" max="8471" width="10.5703125" style="1" customWidth="1"/>
    <col min="8472" max="8472" width="13.85546875" style="1" customWidth="1"/>
    <col min="8473" max="8473" width="12.7109375" style="1" customWidth="1"/>
    <col min="8474" max="8474" width="12.5703125" style="1" customWidth="1"/>
    <col min="8475" max="8475" width="22.42578125" style="1" bestFit="1" customWidth="1"/>
    <col min="8476" max="8476" width="19" style="1" bestFit="1" customWidth="1"/>
    <col min="8477" max="8477" width="15.5703125" style="1" bestFit="1" customWidth="1"/>
    <col min="8478" max="8478" width="20.7109375" style="1" bestFit="1" customWidth="1"/>
    <col min="8479" max="8479" width="51.5703125" style="1" bestFit="1" customWidth="1"/>
    <col min="8480" max="8704" width="8.7109375" style="1"/>
    <col min="8705" max="8705" width="18.42578125" style="1" customWidth="1"/>
    <col min="8706" max="8706" width="28" style="1" bestFit="1" customWidth="1"/>
    <col min="8707" max="8707" width="26.42578125" style="1" customWidth="1"/>
    <col min="8708" max="8708" width="15.5703125" style="1" customWidth="1"/>
    <col min="8709" max="8709" width="29.28515625" style="1" customWidth="1"/>
    <col min="8710" max="8710" width="32.140625" style="1" customWidth="1"/>
    <col min="8711" max="8711" width="15.5703125" style="1" customWidth="1"/>
    <col min="8712" max="8712" width="29.28515625" style="1" bestFit="1" customWidth="1"/>
    <col min="8713" max="8713" width="38.42578125" style="1" bestFit="1" customWidth="1"/>
    <col min="8714" max="8714" width="15.5703125" style="1" customWidth="1"/>
    <col min="8715" max="8715" width="29.28515625" style="1" bestFit="1" customWidth="1"/>
    <col min="8716" max="8716" width="38.42578125" style="1" bestFit="1" customWidth="1"/>
    <col min="8717" max="8717" width="15.5703125" style="1" customWidth="1"/>
    <col min="8718" max="8718" width="27" style="1" customWidth="1"/>
    <col min="8719" max="8720" width="31" style="1" customWidth="1"/>
    <col min="8721" max="8721" width="22.42578125" style="1" customWidth="1"/>
    <col min="8722" max="8722" width="34" style="1" bestFit="1" customWidth="1"/>
    <col min="8723" max="8723" width="19" style="1" customWidth="1"/>
    <col min="8724" max="8724" width="13.85546875" style="1" customWidth="1"/>
    <col min="8725" max="8725" width="12.7109375" style="1" customWidth="1"/>
    <col min="8726" max="8726" width="12.5703125" style="1" bestFit="1" customWidth="1"/>
    <col min="8727" max="8727" width="10.5703125" style="1" customWidth="1"/>
    <col min="8728" max="8728" width="13.85546875" style="1" customWidth="1"/>
    <col min="8729" max="8729" width="12.7109375" style="1" customWidth="1"/>
    <col min="8730" max="8730" width="12.5703125" style="1" customWidth="1"/>
    <col min="8731" max="8731" width="22.42578125" style="1" bestFit="1" customWidth="1"/>
    <col min="8732" max="8732" width="19" style="1" bestFit="1" customWidth="1"/>
    <col min="8733" max="8733" width="15.5703125" style="1" bestFit="1" customWidth="1"/>
    <col min="8734" max="8734" width="20.7109375" style="1" bestFit="1" customWidth="1"/>
    <col min="8735" max="8735" width="51.5703125" style="1" bestFit="1" customWidth="1"/>
    <col min="8736" max="8960" width="8.7109375" style="1"/>
    <col min="8961" max="8961" width="18.42578125" style="1" customWidth="1"/>
    <col min="8962" max="8962" width="28" style="1" bestFit="1" customWidth="1"/>
    <col min="8963" max="8963" width="26.42578125" style="1" customWidth="1"/>
    <col min="8964" max="8964" width="15.5703125" style="1" customWidth="1"/>
    <col min="8965" max="8965" width="29.28515625" style="1" customWidth="1"/>
    <col min="8966" max="8966" width="32.140625" style="1" customWidth="1"/>
    <col min="8967" max="8967" width="15.5703125" style="1" customWidth="1"/>
    <col min="8968" max="8968" width="29.28515625" style="1" bestFit="1" customWidth="1"/>
    <col min="8969" max="8969" width="38.42578125" style="1" bestFit="1" customWidth="1"/>
    <col min="8970" max="8970" width="15.5703125" style="1" customWidth="1"/>
    <col min="8971" max="8971" width="29.28515625" style="1" bestFit="1" customWidth="1"/>
    <col min="8972" max="8972" width="38.42578125" style="1" bestFit="1" customWidth="1"/>
    <col min="8973" max="8973" width="15.5703125" style="1" customWidth="1"/>
    <col min="8974" max="8974" width="27" style="1" customWidth="1"/>
    <col min="8975" max="8976" width="31" style="1" customWidth="1"/>
    <col min="8977" max="8977" width="22.42578125" style="1" customWidth="1"/>
    <col min="8978" max="8978" width="34" style="1" bestFit="1" customWidth="1"/>
    <col min="8979" max="8979" width="19" style="1" customWidth="1"/>
    <col min="8980" max="8980" width="13.85546875" style="1" customWidth="1"/>
    <col min="8981" max="8981" width="12.7109375" style="1" customWidth="1"/>
    <col min="8982" max="8982" width="12.5703125" style="1" bestFit="1" customWidth="1"/>
    <col min="8983" max="8983" width="10.5703125" style="1" customWidth="1"/>
    <col min="8984" max="8984" width="13.85546875" style="1" customWidth="1"/>
    <col min="8985" max="8985" width="12.7109375" style="1" customWidth="1"/>
    <col min="8986" max="8986" width="12.5703125" style="1" customWidth="1"/>
    <col min="8987" max="8987" width="22.42578125" style="1" bestFit="1" customWidth="1"/>
    <col min="8988" max="8988" width="19" style="1" bestFit="1" customWidth="1"/>
    <col min="8989" max="8989" width="15.5703125" style="1" bestFit="1" customWidth="1"/>
    <col min="8990" max="8990" width="20.7109375" style="1" bestFit="1" customWidth="1"/>
    <col min="8991" max="8991" width="51.5703125" style="1" bestFit="1" customWidth="1"/>
    <col min="8992" max="9216" width="8.7109375" style="1"/>
    <col min="9217" max="9217" width="18.42578125" style="1" customWidth="1"/>
    <col min="9218" max="9218" width="28" style="1" bestFit="1" customWidth="1"/>
    <col min="9219" max="9219" width="26.42578125" style="1" customWidth="1"/>
    <col min="9220" max="9220" width="15.5703125" style="1" customWidth="1"/>
    <col min="9221" max="9221" width="29.28515625" style="1" customWidth="1"/>
    <col min="9222" max="9222" width="32.140625" style="1" customWidth="1"/>
    <col min="9223" max="9223" width="15.5703125" style="1" customWidth="1"/>
    <col min="9224" max="9224" width="29.28515625" style="1" bestFit="1" customWidth="1"/>
    <col min="9225" max="9225" width="38.42578125" style="1" bestFit="1" customWidth="1"/>
    <col min="9226" max="9226" width="15.5703125" style="1" customWidth="1"/>
    <col min="9227" max="9227" width="29.28515625" style="1" bestFit="1" customWidth="1"/>
    <col min="9228" max="9228" width="38.42578125" style="1" bestFit="1" customWidth="1"/>
    <col min="9229" max="9229" width="15.5703125" style="1" customWidth="1"/>
    <col min="9230" max="9230" width="27" style="1" customWidth="1"/>
    <col min="9231" max="9232" width="31" style="1" customWidth="1"/>
    <col min="9233" max="9233" width="22.42578125" style="1" customWidth="1"/>
    <col min="9234" max="9234" width="34" style="1" bestFit="1" customWidth="1"/>
    <col min="9235" max="9235" width="19" style="1" customWidth="1"/>
    <col min="9236" max="9236" width="13.85546875" style="1" customWidth="1"/>
    <col min="9237" max="9237" width="12.7109375" style="1" customWidth="1"/>
    <col min="9238" max="9238" width="12.5703125" style="1" bestFit="1" customWidth="1"/>
    <col min="9239" max="9239" width="10.5703125" style="1" customWidth="1"/>
    <col min="9240" max="9240" width="13.85546875" style="1" customWidth="1"/>
    <col min="9241" max="9241" width="12.7109375" style="1" customWidth="1"/>
    <col min="9242" max="9242" width="12.5703125" style="1" customWidth="1"/>
    <col min="9243" max="9243" width="22.42578125" style="1" bestFit="1" customWidth="1"/>
    <col min="9244" max="9244" width="19" style="1" bestFit="1" customWidth="1"/>
    <col min="9245" max="9245" width="15.5703125" style="1" bestFit="1" customWidth="1"/>
    <col min="9246" max="9246" width="20.7109375" style="1" bestFit="1" customWidth="1"/>
    <col min="9247" max="9247" width="51.5703125" style="1" bestFit="1" customWidth="1"/>
    <col min="9248" max="9472" width="8.7109375" style="1"/>
    <col min="9473" max="9473" width="18.42578125" style="1" customWidth="1"/>
    <col min="9474" max="9474" width="28" style="1" bestFit="1" customWidth="1"/>
    <col min="9475" max="9475" width="26.42578125" style="1" customWidth="1"/>
    <col min="9476" max="9476" width="15.5703125" style="1" customWidth="1"/>
    <col min="9477" max="9477" width="29.28515625" style="1" customWidth="1"/>
    <col min="9478" max="9478" width="32.140625" style="1" customWidth="1"/>
    <col min="9479" max="9479" width="15.5703125" style="1" customWidth="1"/>
    <col min="9480" max="9480" width="29.28515625" style="1" bestFit="1" customWidth="1"/>
    <col min="9481" max="9481" width="38.42578125" style="1" bestFit="1" customWidth="1"/>
    <col min="9482" max="9482" width="15.5703125" style="1" customWidth="1"/>
    <col min="9483" max="9483" width="29.28515625" style="1" bestFit="1" customWidth="1"/>
    <col min="9484" max="9484" width="38.42578125" style="1" bestFit="1" customWidth="1"/>
    <col min="9485" max="9485" width="15.5703125" style="1" customWidth="1"/>
    <col min="9486" max="9486" width="27" style="1" customWidth="1"/>
    <col min="9487" max="9488" width="31" style="1" customWidth="1"/>
    <col min="9489" max="9489" width="22.42578125" style="1" customWidth="1"/>
    <col min="9490" max="9490" width="34" style="1" bestFit="1" customWidth="1"/>
    <col min="9491" max="9491" width="19" style="1" customWidth="1"/>
    <col min="9492" max="9492" width="13.85546875" style="1" customWidth="1"/>
    <col min="9493" max="9493" width="12.7109375" style="1" customWidth="1"/>
    <col min="9494" max="9494" width="12.5703125" style="1" bestFit="1" customWidth="1"/>
    <col min="9495" max="9495" width="10.5703125" style="1" customWidth="1"/>
    <col min="9496" max="9496" width="13.85546875" style="1" customWidth="1"/>
    <col min="9497" max="9497" width="12.7109375" style="1" customWidth="1"/>
    <col min="9498" max="9498" width="12.5703125" style="1" customWidth="1"/>
    <col min="9499" max="9499" width="22.42578125" style="1" bestFit="1" customWidth="1"/>
    <col min="9500" max="9500" width="19" style="1" bestFit="1" customWidth="1"/>
    <col min="9501" max="9501" width="15.5703125" style="1" bestFit="1" customWidth="1"/>
    <col min="9502" max="9502" width="20.7109375" style="1" bestFit="1" customWidth="1"/>
    <col min="9503" max="9503" width="51.5703125" style="1" bestFit="1" customWidth="1"/>
    <col min="9504" max="9728" width="8.7109375" style="1"/>
    <col min="9729" max="9729" width="18.42578125" style="1" customWidth="1"/>
    <col min="9730" max="9730" width="28" style="1" bestFit="1" customWidth="1"/>
    <col min="9731" max="9731" width="26.42578125" style="1" customWidth="1"/>
    <col min="9732" max="9732" width="15.5703125" style="1" customWidth="1"/>
    <col min="9733" max="9733" width="29.28515625" style="1" customWidth="1"/>
    <col min="9734" max="9734" width="32.140625" style="1" customWidth="1"/>
    <col min="9735" max="9735" width="15.5703125" style="1" customWidth="1"/>
    <col min="9736" max="9736" width="29.28515625" style="1" bestFit="1" customWidth="1"/>
    <col min="9737" max="9737" width="38.42578125" style="1" bestFit="1" customWidth="1"/>
    <col min="9738" max="9738" width="15.5703125" style="1" customWidth="1"/>
    <col min="9739" max="9739" width="29.28515625" style="1" bestFit="1" customWidth="1"/>
    <col min="9740" max="9740" width="38.42578125" style="1" bestFit="1" customWidth="1"/>
    <col min="9741" max="9741" width="15.5703125" style="1" customWidth="1"/>
    <col min="9742" max="9742" width="27" style="1" customWidth="1"/>
    <col min="9743" max="9744" width="31" style="1" customWidth="1"/>
    <col min="9745" max="9745" width="22.42578125" style="1" customWidth="1"/>
    <col min="9746" max="9746" width="34" style="1" bestFit="1" customWidth="1"/>
    <col min="9747" max="9747" width="19" style="1" customWidth="1"/>
    <col min="9748" max="9748" width="13.85546875" style="1" customWidth="1"/>
    <col min="9749" max="9749" width="12.7109375" style="1" customWidth="1"/>
    <col min="9750" max="9750" width="12.5703125" style="1" bestFit="1" customWidth="1"/>
    <col min="9751" max="9751" width="10.5703125" style="1" customWidth="1"/>
    <col min="9752" max="9752" width="13.85546875" style="1" customWidth="1"/>
    <col min="9753" max="9753" width="12.7109375" style="1" customWidth="1"/>
    <col min="9754" max="9754" width="12.5703125" style="1" customWidth="1"/>
    <col min="9755" max="9755" width="22.42578125" style="1" bestFit="1" customWidth="1"/>
    <col min="9756" max="9756" width="19" style="1" bestFit="1" customWidth="1"/>
    <col min="9757" max="9757" width="15.5703125" style="1" bestFit="1" customWidth="1"/>
    <col min="9758" max="9758" width="20.7109375" style="1" bestFit="1" customWidth="1"/>
    <col min="9759" max="9759" width="51.5703125" style="1" bestFit="1" customWidth="1"/>
    <col min="9760" max="9984" width="8.7109375" style="1"/>
    <col min="9985" max="9985" width="18.42578125" style="1" customWidth="1"/>
    <col min="9986" max="9986" width="28" style="1" bestFit="1" customWidth="1"/>
    <col min="9987" max="9987" width="26.42578125" style="1" customWidth="1"/>
    <col min="9988" max="9988" width="15.5703125" style="1" customWidth="1"/>
    <col min="9989" max="9989" width="29.28515625" style="1" customWidth="1"/>
    <col min="9990" max="9990" width="32.140625" style="1" customWidth="1"/>
    <col min="9991" max="9991" width="15.5703125" style="1" customWidth="1"/>
    <col min="9992" max="9992" width="29.28515625" style="1" bestFit="1" customWidth="1"/>
    <col min="9993" max="9993" width="38.42578125" style="1" bestFit="1" customWidth="1"/>
    <col min="9994" max="9994" width="15.5703125" style="1" customWidth="1"/>
    <col min="9995" max="9995" width="29.28515625" style="1" bestFit="1" customWidth="1"/>
    <col min="9996" max="9996" width="38.42578125" style="1" bestFit="1" customWidth="1"/>
    <col min="9997" max="9997" width="15.5703125" style="1" customWidth="1"/>
    <col min="9998" max="9998" width="27" style="1" customWidth="1"/>
    <col min="9999" max="10000" width="31" style="1" customWidth="1"/>
    <col min="10001" max="10001" width="22.42578125" style="1" customWidth="1"/>
    <col min="10002" max="10002" width="34" style="1" bestFit="1" customWidth="1"/>
    <col min="10003" max="10003" width="19" style="1" customWidth="1"/>
    <col min="10004" max="10004" width="13.85546875" style="1" customWidth="1"/>
    <col min="10005" max="10005" width="12.7109375" style="1" customWidth="1"/>
    <col min="10006" max="10006" width="12.5703125" style="1" bestFit="1" customWidth="1"/>
    <col min="10007" max="10007" width="10.5703125" style="1" customWidth="1"/>
    <col min="10008" max="10008" width="13.85546875" style="1" customWidth="1"/>
    <col min="10009" max="10009" width="12.7109375" style="1" customWidth="1"/>
    <col min="10010" max="10010" width="12.5703125" style="1" customWidth="1"/>
    <col min="10011" max="10011" width="22.42578125" style="1" bestFit="1" customWidth="1"/>
    <col min="10012" max="10012" width="19" style="1" bestFit="1" customWidth="1"/>
    <col min="10013" max="10013" width="15.5703125" style="1" bestFit="1" customWidth="1"/>
    <col min="10014" max="10014" width="20.7109375" style="1" bestFit="1" customWidth="1"/>
    <col min="10015" max="10015" width="51.5703125" style="1" bestFit="1" customWidth="1"/>
    <col min="10016" max="10240" width="8.7109375" style="1"/>
    <col min="10241" max="10241" width="18.42578125" style="1" customWidth="1"/>
    <col min="10242" max="10242" width="28" style="1" bestFit="1" customWidth="1"/>
    <col min="10243" max="10243" width="26.42578125" style="1" customWidth="1"/>
    <col min="10244" max="10244" width="15.5703125" style="1" customWidth="1"/>
    <col min="10245" max="10245" width="29.28515625" style="1" customWidth="1"/>
    <col min="10246" max="10246" width="32.140625" style="1" customWidth="1"/>
    <col min="10247" max="10247" width="15.5703125" style="1" customWidth="1"/>
    <col min="10248" max="10248" width="29.28515625" style="1" bestFit="1" customWidth="1"/>
    <col min="10249" max="10249" width="38.42578125" style="1" bestFit="1" customWidth="1"/>
    <col min="10250" max="10250" width="15.5703125" style="1" customWidth="1"/>
    <col min="10251" max="10251" width="29.28515625" style="1" bestFit="1" customWidth="1"/>
    <col min="10252" max="10252" width="38.42578125" style="1" bestFit="1" customWidth="1"/>
    <col min="10253" max="10253" width="15.5703125" style="1" customWidth="1"/>
    <col min="10254" max="10254" width="27" style="1" customWidth="1"/>
    <col min="10255" max="10256" width="31" style="1" customWidth="1"/>
    <col min="10257" max="10257" width="22.42578125" style="1" customWidth="1"/>
    <col min="10258" max="10258" width="34" style="1" bestFit="1" customWidth="1"/>
    <col min="10259" max="10259" width="19" style="1" customWidth="1"/>
    <col min="10260" max="10260" width="13.85546875" style="1" customWidth="1"/>
    <col min="10261" max="10261" width="12.7109375" style="1" customWidth="1"/>
    <col min="10262" max="10262" width="12.5703125" style="1" bestFit="1" customWidth="1"/>
    <col min="10263" max="10263" width="10.5703125" style="1" customWidth="1"/>
    <col min="10264" max="10264" width="13.85546875" style="1" customWidth="1"/>
    <col min="10265" max="10265" width="12.7109375" style="1" customWidth="1"/>
    <col min="10266" max="10266" width="12.5703125" style="1" customWidth="1"/>
    <col min="10267" max="10267" width="22.42578125" style="1" bestFit="1" customWidth="1"/>
    <col min="10268" max="10268" width="19" style="1" bestFit="1" customWidth="1"/>
    <col min="10269" max="10269" width="15.5703125" style="1" bestFit="1" customWidth="1"/>
    <col min="10270" max="10270" width="20.7109375" style="1" bestFit="1" customWidth="1"/>
    <col min="10271" max="10271" width="51.5703125" style="1" bestFit="1" customWidth="1"/>
    <col min="10272" max="10496" width="8.7109375" style="1"/>
    <col min="10497" max="10497" width="18.42578125" style="1" customWidth="1"/>
    <col min="10498" max="10498" width="28" style="1" bestFit="1" customWidth="1"/>
    <col min="10499" max="10499" width="26.42578125" style="1" customWidth="1"/>
    <col min="10500" max="10500" width="15.5703125" style="1" customWidth="1"/>
    <col min="10501" max="10501" width="29.28515625" style="1" customWidth="1"/>
    <col min="10502" max="10502" width="32.140625" style="1" customWidth="1"/>
    <col min="10503" max="10503" width="15.5703125" style="1" customWidth="1"/>
    <col min="10504" max="10504" width="29.28515625" style="1" bestFit="1" customWidth="1"/>
    <col min="10505" max="10505" width="38.42578125" style="1" bestFit="1" customWidth="1"/>
    <col min="10506" max="10506" width="15.5703125" style="1" customWidth="1"/>
    <col min="10507" max="10507" width="29.28515625" style="1" bestFit="1" customWidth="1"/>
    <col min="10508" max="10508" width="38.42578125" style="1" bestFit="1" customWidth="1"/>
    <col min="10509" max="10509" width="15.5703125" style="1" customWidth="1"/>
    <col min="10510" max="10510" width="27" style="1" customWidth="1"/>
    <col min="10511" max="10512" width="31" style="1" customWidth="1"/>
    <col min="10513" max="10513" width="22.42578125" style="1" customWidth="1"/>
    <col min="10514" max="10514" width="34" style="1" bestFit="1" customWidth="1"/>
    <col min="10515" max="10515" width="19" style="1" customWidth="1"/>
    <col min="10516" max="10516" width="13.85546875" style="1" customWidth="1"/>
    <col min="10517" max="10517" width="12.7109375" style="1" customWidth="1"/>
    <col min="10518" max="10518" width="12.5703125" style="1" bestFit="1" customWidth="1"/>
    <col min="10519" max="10519" width="10.5703125" style="1" customWidth="1"/>
    <col min="10520" max="10520" width="13.85546875" style="1" customWidth="1"/>
    <col min="10521" max="10521" width="12.7109375" style="1" customWidth="1"/>
    <col min="10522" max="10522" width="12.5703125" style="1" customWidth="1"/>
    <col min="10523" max="10523" width="22.42578125" style="1" bestFit="1" customWidth="1"/>
    <col min="10524" max="10524" width="19" style="1" bestFit="1" customWidth="1"/>
    <col min="10525" max="10525" width="15.5703125" style="1" bestFit="1" customWidth="1"/>
    <col min="10526" max="10526" width="20.7109375" style="1" bestFit="1" customWidth="1"/>
    <col min="10527" max="10527" width="51.5703125" style="1" bestFit="1" customWidth="1"/>
    <col min="10528" max="10752" width="8.7109375" style="1"/>
    <col min="10753" max="10753" width="18.42578125" style="1" customWidth="1"/>
    <col min="10754" max="10754" width="28" style="1" bestFit="1" customWidth="1"/>
    <col min="10755" max="10755" width="26.42578125" style="1" customWidth="1"/>
    <col min="10756" max="10756" width="15.5703125" style="1" customWidth="1"/>
    <col min="10757" max="10757" width="29.28515625" style="1" customWidth="1"/>
    <col min="10758" max="10758" width="32.140625" style="1" customWidth="1"/>
    <col min="10759" max="10759" width="15.5703125" style="1" customWidth="1"/>
    <col min="10760" max="10760" width="29.28515625" style="1" bestFit="1" customWidth="1"/>
    <col min="10761" max="10761" width="38.42578125" style="1" bestFit="1" customWidth="1"/>
    <col min="10762" max="10762" width="15.5703125" style="1" customWidth="1"/>
    <col min="10763" max="10763" width="29.28515625" style="1" bestFit="1" customWidth="1"/>
    <col min="10764" max="10764" width="38.42578125" style="1" bestFit="1" customWidth="1"/>
    <col min="10765" max="10765" width="15.5703125" style="1" customWidth="1"/>
    <col min="10766" max="10766" width="27" style="1" customWidth="1"/>
    <col min="10767" max="10768" width="31" style="1" customWidth="1"/>
    <col min="10769" max="10769" width="22.42578125" style="1" customWidth="1"/>
    <col min="10770" max="10770" width="34" style="1" bestFit="1" customWidth="1"/>
    <col min="10771" max="10771" width="19" style="1" customWidth="1"/>
    <col min="10772" max="10772" width="13.85546875" style="1" customWidth="1"/>
    <col min="10773" max="10773" width="12.7109375" style="1" customWidth="1"/>
    <col min="10774" max="10774" width="12.5703125" style="1" bestFit="1" customWidth="1"/>
    <col min="10775" max="10775" width="10.5703125" style="1" customWidth="1"/>
    <col min="10776" max="10776" width="13.85546875" style="1" customWidth="1"/>
    <col min="10777" max="10777" width="12.7109375" style="1" customWidth="1"/>
    <col min="10778" max="10778" width="12.5703125" style="1" customWidth="1"/>
    <col min="10779" max="10779" width="22.42578125" style="1" bestFit="1" customWidth="1"/>
    <col min="10780" max="10780" width="19" style="1" bestFit="1" customWidth="1"/>
    <col min="10781" max="10781" width="15.5703125" style="1" bestFit="1" customWidth="1"/>
    <col min="10782" max="10782" width="20.7109375" style="1" bestFit="1" customWidth="1"/>
    <col min="10783" max="10783" width="51.5703125" style="1" bestFit="1" customWidth="1"/>
    <col min="10784" max="11008" width="8.7109375" style="1"/>
    <col min="11009" max="11009" width="18.42578125" style="1" customWidth="1"/>
    <col min="11010" max="11010" width="28" style="1" bestFit="1" customWidth="1"/>
    <col min="11011" max="11011" width="26.42578125" style="1" customWidth="1"/>
    <col min="11012" max="11012" width="15.5703125" style="1" customWidth="1"/>
    <col min="11013" max="11013" width="29.28515625" style="1" customWidth="1"/>
    <col min="11014" max="11014" width="32.140625" style="1" customWidth="1"/>
    <col min="11015" max="11015" width="15.5703125" style="1" customWidth="1"/>
    <col min="11016" max="11016" width="29.28515625" style="1" bestFit="1" customWidth="1"/>
    <col min="11017" max="11017" width="38.42578125" style="1" bestFit="1" customWidth="1"/>
    <col min="11018" max="11018" width="15.5703125" style="1" customWidth="1"/>
    <col min="11019" max="11019" width="29.28515625" style="1" bestFit="1" customWidth="1"/>
    <col min="11020" max="11020" width="38.42578125" style="1" bestFit="1" customWidth="1"/>
    <col min="11021" max="11021" width="15.5703125" style="1" customWidth="1"/>
    <col min="11022" max="11022" width="27" style="1" customWidth="1"/>
    <col min="11023" max="11024" width="31" style="1" customWidth="1"/>
    <col min="11025" max="11025" width="22.42578125" style="1" customWidth="1"/>
    <col min="11026" max="11026" width="34" style="1" bestFit="1" customWidth="1"/>
    <col min="11027" max="11027" width="19" style="1" customWidth="1"/>
    <col min="11028" max="11028" width="13.85546875" style="1" customWidth="1"/>
    <col min="11029" max="11029" width="12.7109375" style="1" customWidth="1"/>
    <col min="11030" max="11030" width="12.5703125" style="1" bestFit="1" customWidth="1"/>
    <col min="11031" max="11031" width="10.5703125" style="1" customWidth="1"/>
    <col min="11032" max="11032" width="13.85546875" style="1" customWidth="1"/>
    <col min="11033" max="11033" width="12.7109375" style="1" customWidth="1"/>
    <col min="11034" max="11034" width="12.5703125" style="1" customWidth="1"/>
    <col min="11035" max="11035" width="22.42578125" style="1" bestFit="1" customWidth="1"/>
    <col min="11036" max="11036" width="19" style="1" bestFit="1" customWidth="1"/>
    <col min="11037" max="11037" width="15.5703125" style="1" bestFit="1" customWidth="1"/>
    <col min="11038" max="11038" width="20.7109375" style="1" bestFit="1" customWidth="1"/>
    <col min="11039" max="11039" width="51.5703125" style="1" bestFit="1" customWidth="1"/>
    <col min="11040" max="11264" width="8.7109375" style="1"/>
    <col min="11265" max="11265" width="18.42578125" style="1" customWidth="1"/>
    <col min="11266" max="11266" width="28" style="1" bestFit="1" customWidth="1"/>
    <col min="11267" max="11267" width="26.42578125" style="1" customWidth="1"/>
    <col min="11268" max="11268" width="15.5703125" style="1" customWidth="1"/>
    <col min="11269" max="11269" width="29.28515625" style="1" customWidth="1"/>
    <col min="11270" max="11270" width="32.140625" style="1" customWidth="1"/>
    <col min="11271" max="11271" width="15.5703125" style="1" customWidth="1"/>
    <col min="11272" max="11272" width="29.28515625" style="1" bestFit="1" customWidth="1"/>
    <col min="11273" max="11273" width="38.42578125" style="1" bestFit="1" customWidth="1"/>
    <col min="11274" max="11274" width="15.5703125" style="1" customWidth="1"/>
    <col min="11275" max="11275" width="29.28515625" style="1" bestFit="1" customWidth="1"/>
    <col min="11276" max="11276" width="38.42578125" style="1" bestFit="1" customWidth="1"/>
    <col min="11277" max="11277" width="15.5703125" style="1" customWidth="1"/>
    <col min="11278" max="11278" width="27" style="1" customWidth="1"/>
    <col min="11279" max="11280" width="31" style="1" customWidth="1"/>
    <col min="11281" max="11281" width="22.42578125" style="1" customWidth="1"/>
    <col min="11282" max="11282" width="34" style="1" bestFit="1" customWidth="1"/>
    <col min="11283" max="11283" width="19" style="1" customWidth="1"/>
    <col min="11284" max="11284" width="13.85546875" style="1" customWidth="1"/>
    <col min="11285" max="11285" width="12.7109375" style="1" customWidth="1"/>
    <col min="11286" max="11286" width="12.5703125" style="1" bestFit="1" customWidth="1"/>
    <col min="11287" max="11287" width="10.5703125" style="1" customWidth="1"/>
    <col min="11288" max="11288" width="13.85546875" style="1" customWidth="1"/>
    <col min="11289" max="11289" width="12.7109375" style="1" customWidth="1"/>
    <col min="11290" max="11290" width="12.5703125" style="1" customWidth="1"/>
    <col min="11291" max="11291" width="22.42578125" style="1" bestFit="1" customWidth="1"/>
    <col min="11292" max="11292" width="19" style="1" bestFit="1" customWidth="1"/>
    <col min="11293" max="11293" width="15.5703125" style="1" bestFit="1" customWidth="1"/>
    <col min="11294" max="11294" width="20.7109375" style="1" bestFit="1" customWidth="1"/>
    <col min="11295" max="11295" width="51.5703125" style="1" bestFit="1" customWidth="1"/>
    <col min="11296" max="11520" width="8.7109375" style="1"/>
    <col min="11521" max="11521" width="18.42578125" style="1" customWidth="1"/>
    <col min="11522" max="11522" width="28" style="1" bestFit="1" customWidth="1"/>
    <col min="11523" max="11523" width="26.42578125" style="1" customWidth="1"/>
    <col min="11524" max="11524" width="15.5703125" style="1" customWidth="1"/>
    <col min="11525" max="11525" width="29.28515625" style="1" customWidth="1"/>
    <col min="11526" max="11526" width="32.140625" style="1" customWidth="1"/>
    <col min="11527" max="11527" width="15.5703125" style="1" customWidth="1"/>
    <col min="11528" max="11528" width="29.28515625" style="1" bestFit="1" customWidth="1"/>
    <col min="11529" max="11529" width="38.42578125" style="1" bestFit="1" customWidth="1"/>
    <col min="11530" max="11530" width="15.5703125" style="1" customWidth="1"/>
    <col min="11531" max="11531" width="29.28515625" style="1" bestFit="1" customWidth="1"/>
    <col min="11532" max="11532" width="38.42578125" style="1" bestFit="1" customWidth="1"/>
    <col min="11533" max="11533" width="15.5703125" style="1" customWidth="1"/>
    <col min="11534" max="11534" width="27" style="1" customWidth="1"/>
    <col min="11535" max="11536" width="31" style="1" customWidth="1"/>
    <col min="11537" max="11537" width="22.42578125" style="1" customWidth="1"/>
    <col min="11538" max="11538" width="34" style="1" bestFit="1" customWidth="1"/>
    <col min="11539" max="11539" width="19" style="1" customWidth="1"/>
    <col min="11540" max="11540" width="13.85546875" style="1" customWidth="1"/>
    <col min="11541" max="11541" width="12.7109375" style="1" customWidth="1"/>
    <col min="11542" max="11542" width="12.5703125" style="1" bestFit="1" customWidth="1"/>
    <col min="11543" max="11543" width="10.5703125" style="1" customWidth="1"/>
    <col min="11544" max="11544" width="13.85546875" style="1" customWidth="1"/>
    <col min="11545" max="11545" width="12.7109375" style="1" customWidth="1"/>
    <col min="11546" max="11546" width="12.5703125" style="1" customWidth="1"/>
    <col min="11547" max="11547" width="22.42578125" style="1" bestFit="1" customWidth="1"/>
    <col min="11548" max="11548" width="19" style="1" bestFit="1" customWidth="1"/>
    <col min="11549" max="11549" width="15.5703125" style="1" bestFit="1" customWidth="1"/>
    <col min="11550" max="11550" width="20.7109375" style="1" bestFit="1" customWidth="1"/>
    <col min="11551" max="11551" width="51.5703125" style="1" bestFit="1" customWidth="1"/>
    <col min="11552" max="11776" width="8.7109375" style="1"/>
    <col min="11777" max="11777" width="18.42578125" style="1" customWidth="1"/>
    <col min="11778" max="11778" width="28" style="1" bestFit="1" customWidth="1"/>
    <col min="11779" max="11779" width="26.42578125" style="1" customWidth="1"/>
    <col min="11780" max="11780" width="15.5703125" style="1" customWidth="1"/>
    <col min="11781" max="11781" width="29.28515625" style="1" customWidth="1"/>
    <col min="11782" max="11782" width="32.140625" style="1" customWidth="1"/>
    <col min="11783" max="11783" width="15.5703125" style="1" customWidth="1"/>
    <col min="11784" max="11784" width="29.28515625" style="1" bestFit="1" customWidth="1"/>
    <col min="11785" max="11785" width="38.42578125" style="1" bestFit="1" customWidth="1"/>
    <col min="11786" max="11786" width="15.5703125" style="1" customWidth="1"/>
    <col min="11787" max="11787" width="29.28515625" style="1" bestFit="1" customWidth="1"/>
    <col min="11788" max="11788" width="38.42578125" style="1" bestFit="1" customWidth="1"/>
    <col min="11789" max="11789" width="15.5703125" style="1" customWidth="1"/>
    <col min="11790" max="11790" width="27" style="1" customWidth="1"/>
    <col min="11791" max="11792" width="31" style="1" customWidth="1"/>
    <col min="11793" max="11793" width="22.42578125" style="1" customWidth="1"/>
    <col min="11794" max="11794" width="34" style="1" bestFit="1" customWidth="1"/>
    <col min="11795" max="11795" width="19" style="1" customWidth="1"/>
    <col min="11796" max="11796" width="13.85546875" style="1" customWidth="1"/>
    <col min="11797" max="11797" width="12.7109375" style="1" customWidth="1"/>
    <col min="11798" max="11798" width="12.5703125" style="1" bestFit="1" customWidth="1"/>
    <col min="11799" max="11799" width="10.5703125" style="1" customWidth="1"/>
    <col min="11800" max="11800" width="13.85546875" style="1" customWidth="1"/>
    <col min="11801" max="11801" width="12.7109375" style="1" customWidth="1"/>
    <col min="11802" max="11802" width="12.5703125" style="1" customWidth="1"/>
    <col min="11803" max="11803" width="22.42578125" style="1" bestFit="1" customWidth="1"/>
    <col min="11804" max="11804" width="19" style="1" bestFit="1" customWidth="1"/>
    <col min="11805" max="11805" width="15.5703125" style="1" bestFit="1" customWidth="1"/>
    <col min="11806" max="11806" width="20.7109375" style="1" bestFit="1" customWidth="1"/>
    <col min="11807" max="11807" width="51.5703125" style="1" bestFit="1" customWidth="1"/>
    <col min="11808" max="12032" width="8.7109375" style="1"/>
    <col min="12033" max="12033" width="18.42578125" style="1" customWidth="1"/>
    <col min="12034" max="12034" width="28" style="1" bestFit="1" customWidth="1"/>
    <col min="12035" max="12035" width="26.42578125" style="1" customWidth="1"/>
    <col min="12036" max="12036" width="15.5703125" style="1" customWidth="1"/>
    <col min="12037" max="12037" width="29.28515625" style="1" customWidth="1"/>
    <col min="12038" max="12038" width="32.140625" style="1" customWidth="1"/>
    <col min="12039" max="12039" width="15.5703125" style="1" customWidth="1"/>
    <col min="12040" max="12040" width="29.28515625" style="1" bestFit="1" customWidth="1"/>
    <col min="12041" max="12041" width="38.42578125" style="1" bestFit="1" customWidth="1"/>
    <col min="12042" max="12042" width="15.5703125" style="1" customWidth="1"/>
    <col min="12043" max="12043" width="29.28515625" style="1" bestFit="1" customWidth="1"/>
    <col min="12044" max="12044" width="38.42578125" style="1" bestFit="1" customWidth="1"/>
    <col min="12045" max="12045" width="15.5703125" style="1" customWidth="1"/>
    <col min="12046" max="12046" width="27" style="1" customWidth="1"/>
    <col min="12047" max="12048" width="31" style="1" customWidth="1"/>
    <col min="12049" max="12049" width="22.42578125" style="1" customWidth="1"/>
    <col min="12050" max="12050" width="34" style="1" bestFit="1" customWidth="1"/>
    <col min="12051" max="12051" width="19" style="1" customWidth="1"/>
    <col min="12052" max="12052" width="13.85546875" style="1" customWidth="1"/>
    <col min="12053" max="12053" width="12.7109375" style="1" customWidth="1"/>
    <col min="12054" max="12054" width="12.5703125" style="1" bestFit="1" customWidth="1"/>
    <col min="12055" max="12055" width="10.5703125" style="1" customWidth="1"/>
    <col min="12056" max="12056" width="13.85546875" style="1" customWidth="1"/>
    <col min="12057" max="12057" width="12.7109375" style="1" customWidth="1"/>
    <col min="12058" max="12058" width="12.5703125" style="1" customWidth="1"/>
    <col min="12059" max="12059" width="22.42578125" style="1" bestFit="1" customWidth="1"/>
    <col min="12060" max="12060" width="19" style="1" bestFit="1" customWidth="1"/>
    <col min="12061" max="12061" width="15.5703125" style="1" bestFit="1" customWidth="1"/>
    <col min="12062" max="12062" width="20.7109375" style="1" bestFit="1" customWidth="1"/>
    <col min="12063" max="12063" width="51.5703125" style="1" bestFit="1" customWidth="1"/>
    <col min="12064" max="12288" width="8.7109375" style="1"/>
    <col min="12289" max="12289" width="18.42578125" style="1" customWidth="1"/>
    <col min="12290" max="12290" width="28" style="1" bestFit="1" customWidth="1"/>
    <col min="12291" max="12291" width="26.42578125" style="1" customWidth="1"/>
    <col min="12292" max="12292" width="15.5703125" style="1" customWidth="1"/>
    <col min="12293" max="12293" width="29.28515625" style="1" customWidth="1"/>
    <col min="12294" max="12294" width="32.140625" style="1" customWidth="1"/>
    <col min="12295" max="12295" width="15.5703125" style="1" customWidth="1"/>
    <col min="12296" max="12296" width="29.28515625" style="1" bestFit="1" customWidth="1"/>
    <col min="12297" max="12297" width="38.42578125" style="1" bestFit="1" customWidth="1"/>
    <col min="12298" max="12298" width="15.5703125" style="1" customWidth="1"/>
    <col min="12299" max="12299" width="29.28515625" style="1" bestFit="1" customWidth="1"/>
    <col min="12300" max="12300" width="38.42578125" style="1" bestFit="1" customWidth="1"/>
    <col min="12301" max="12301" width="15.5703125" style="1" customWidth="1"/>
    <col min="12302" max="12302" width="27" style="1" customWidth="1"/>
    <col min="12303" max="12304" width="31" style="1" customWidth="1"/>
    <col min="12305" max="12305" width="22.42578125" style="1" customWidth="1"/>
    <col min="12306" max="12306" width="34" style="1" bestFit="1" customWidth="1"/>
    <col min="12307" max="12307" width="19" style="1" customWidth="1"/>
    <col min="12308" max="12308" width="13.85546875" style="1" customWidth="1"/>
    <col min="12309" max="12309" width="12.7109375" style="1" customWidth="1"/>
    <col min="12310" max="12310" width="12.5703125" style="1" bestFit="1" customWidth="1"/>
    <col min="12311" max="12311" width="10.5703125" style="1" customWidth="1"/>
    <col min="12312" max="12312" width="13.85546875" style="1" customWidth="1"/>
    <col min="12313" max="12313" width="12.7109375" style="1" customWidth="1"/>
    <col min="12314" max="12314" width="12.5703125" style="1" customWidth="1"/>
    <col min="12315" max="12315" width="22.42578125" style="1" bestFit="1" customWidth="1"/>
    <col min="12316" max="12316" width="19" style="1" bestFit="1" customWidth="1"/>
    <col min="12317" max="12317" width="15.5703125" style="1" bestFit="1" customWidth="1"/>
    <col min="12318" max="12318" width="20.7109375" style="1" bestFit="1" customWidth="1"/>
    <col min="12319" max="12319" width="51.5703125" style="1" bestFit="1" customWidth="1"/>
    <col min="12320" max="12544" width="8.7109375" style="1"/>
    <col min="12545" max="12545" width="18.42578125" style="1" customWidth="1"/>
    <col min="12546" max="12546" width="28" style="1" bestFit="1" customWidth="1"/>
    <col min="12547" max="12547" width="26.42578125" style="1" customWidth="1"/>
    <col min="12548" max="12548" width="15.5703125" style="1" customWidth="1"/>
    <col min="12549" max="12549" width="29.28515625" style="1" customWidth="1"/>
    <col min="12550" max="12550" width="32.140625" style="1" customWidth="1"/>
    <col min="12551" max="12551" width="15.5703125" style="1" customWidth="1"/>
    <col min="12552" max="12552" width="29.28515625" style="1" bestFit="1" customWidth="1"/>
    <col min="12553" max="12553" width="38.42578125" style="1" bestFit="1" customWidth="1"/>
    <col min="12554" max="12554" width="15.5703125" style="1" customWidth="1"/>
    <col min="12555" max="12555" width="29.28515625" style="1" bestFit="1" customWidth="1"/>
    <col min="12556" max="12556" width="38.42578125" style="1" bestFit="1" customWidth="1"/>
    <col min="12557" max="12557" width="15.5703125" style="1" customWidth="1"/>
    <col min="12558" max="12558" width="27" style="1" customWidth="1"/>
    <col min="12559" max="12560" width="31" style="1" customWidth="1"/>
    <col min="12561" max="12561" width="22.42578125" style="1" customWidth="1"/>
    <col min="12562" max="12562" width="34" style="1" bestFit="1" customWidth="1"/>
    <col min="12563" max="12563" width="19" style="1" customWidth="1"/>
    <col min="12564" max="12564" width="13.85546875" style="1" customWidth="1"/>
    <col min="12565" max="12565" width="12.7109375" style="1" customWidth="1"/>
    <col min="12566" max="12566" width="12.5703125" style="1" bestFit="1" customWidth="1"/>
    <col min="12567" max="12567" width="10.5703125" style="1" customWidth="1"/>
    <col min="12568" max="12568" width="13.85546875" style="1" customWidth="1"/>
    <col min="12569" max="12569" width="12.7109375" style="1" customWidth="1"/>
    <col min="12570" max="12570" width="12.5703125" style="1" customWidth="1"/>
    <col min="12571" max="12571" width="22.42578125" style="1" bestFit="1" customWidth="1"/>
    <col min="12572" max="12572" width="19" style="1" bestFit="1" customWidth="1"/>
    <col min="12573" max="12573" width="15.5703125" style="1" bestFit="1" customWidth="1"/>
    <col min="12574" max="12574" width="20.7109375" style="1" bestFit="1" customWidth="1"/>
    <col min="12575" max="12575" width="51.5703125" style="1" bestFit="1" customWidth="1"/>
    <col min="12576" max="12800" width="8.7109375" style="1"/>
    <col min="12801" max="12801" width="18.42578125" style="1" customWidth="1"/>
    <col min="12802" max="12802" width="28" style="1" bestFit="1" customWidth="1"/>
    <col min="12803" max="12803" width="26.42578125" style="1" customWidth="1"/>
    <col min="12804" max="12804" width="15.5703125" style="1" customWidth="1"/>
    <col min="12805" max="12805" width="29.28515625" style="1" customWidth="1"/>
    <col min="12806" max="12806" width="32.140625" style="1" customWidth="1"/>
    <col min="12807" max="12807" width="15.5703125" style="1" customWidth="1"/>
    <col min="12808" max="12808" width="29.28515625" style="1" bestFit="1" customWidth="1"/>
    <col min="12809" max="12809" width="38.42578125" style="1" bestFit="1" customWidth="1"/>
    <col min="12810" max="12810" width="15.5703125" style="1" customWidth="1"/>
    <col min="12811" max="12811" width="29.28515625" style="1" bestFit="1" customWidth="1"/>
    <col min="12812" max="12812" width="38.42578125" style="1" bestFit="1" customWidth="1"/>
    <col min="12813" max="12813" width="15.5703125" style="1" customWidth="1"/>
    <col min="12814" max="12814" width="27" style="1" customWidth="1"/>
    <col min="12815" max="12816" width="31" style="1" customWidth="1"/>
    <col min="12817" max="12817" width="22.42578125" style="1" customWidth="1"/>
    <col min="12818" max="12818" width="34" style="1" bestFit="1" customWidth="1"/>
    <col min="12819" max="12819" width="19" style="1" customWidth="1"/>
    <col min="12820" max="12820" width="13.85546875" style="1" customWidth="1"/>
    <col min="12821" max="12821" width="12.7109375" style="1" customWidth="1"/>
    <col min="12822" max="12822" width="12.5703125" style="1" bestFit="1" customWidth="1"/>
    <col min="12823" max="12823" width="10.5703125" style="1" customWidth="1"/>
    <col min="12824" max="12824" width="13.85546875" style="1" customWidth="1"/>
    <col min="12825" max="12825" width="12.7109375" style="1" customWidth="1"/>
    <col min="12826" max="12826" width="12.5703125" style="1" customWidth="1"/>
    <col min="12827" max="12827" width="22.42578125" style="1" bestFit="1" customWidth="1"/>
    <col min="12828" max="12828" width="19" style="1" bestFit="1" customWidth="1"/>
    <col min="12829" max="12829" width="15.5703125" style="1" bestFit="1" customWidth="1"/>
    <col min="12830" max="12830" width="20.7109375" style="1" bestFit="1" customWidth="1"/>
    <col min="12831" max="12831" width="51.5703125" style="1" bestFit="1" customWidth="1"/>
    <col min="12832" max="13056" width="8.7109375" style="1"/>
    <col min="13057" max="13057" width="18.42578125" style="1" customWidth="1"/>
    <col min="13058" max="13058" width="28" style="1" bestFit="1" customWidth="1"/>
    <col min="13059" max="13059" width="26.42578125" style="1" customWidth="1"/>
    <col min="13060" max="13060" width="15.5703125" style="1" customWidth="1"/>
    <col min="13061" max="13061" width="29.28515625" style="1" customWidth="1"/>
    <col min="13062" max="13062" width="32.140625" style="1" customWidth="1"/>
    <col min="13063" max="13063" width="15.5703125" style="1" customWidth="1"/>
    <col min="13064" max="13064" width="29.28515625" style="1" bestFit="1" customWidth="1"/>
    <col min="13065" max="13065" width="38.42578125" style="1" bestFit="1" customWidth="1"/>
    <col min="13066" max="13066" width="15.5703125" style="1" customWidth="1"/>
    <col min="13067" max="13067" width="29.28515625" style="1" bestFit="1" customWidth="1"/>
    <col min="13068" max="13068" width="38.42578125" style="1" bestFit="1" customWidth="1"/>
    <col min="13069" max="13069" width="15.5703125" style="1" customWidth="1"/>
    <col min="13070" max="13070" width="27" style="1" customWidth="1"/>
    <col min="13071" max="13072" width="31" style="1" customWidth="1"/>
    <col min="13073" max="13073" width="22.42578125" style="1" customWidth="1"/>
    <col min="13074" max="13074" width="34" style="1" bestFit="1" customWidth="1"/>
    <col min="13075" max="13075" width="19" style="1" customWidth="1"/>
    <col min="13076" max="13076" width="13.85546875" style="1" customWidth="1"/>
    <col min="13077" max="13077" width="12.7109375" style="1" customWidth="1"/>
    <col min="13078" max="13078" width="12.5703125" style="1" bestFit="1" customWidth="1"/>
    <col min="13079" max="13079" width="10.5703125" style="1" customWidth="1"/>
    <col min="13080" max="13080" width="13.85546875" style="1" customWidth="1"/>
    <col min="13081" max="13081" width="12.7109375" style="1" customWidth="1"/>
    <col min="13082" max="13082" width="12.5703125" style="1" customWidth="1"/>
    <col min="13083" max="13083" width="22.42578125" style="1" bestFit="1" customWidth="1"/>
    <col min="13084" max="13084" width="19" style="1" bestFit="1" customWidth="1"/>
    <col min="13085" max="13085" width="15.5703125" style="1" bestFit="1" customWidth="1"/>
    <col min="13086" max="13086" width="20.7109375" style="1" bestFit="1" customWidth="1"/>
    <col min="13087" max="13087" width="51.5703125" style="1" bestFit="1" customWidth="1"/>
    <col min="13088" max="13312" width="8.7109375" style="1"/>
    <col min="13313" max="13313" width="18.42578125" style="1" customWidth="1"/>
    <col min="13314" max="13314" width="28" style="1" bestFit="1" customWidth="1"/>
    <col min="13315" max="13315" width="26.42578125" style="1" customWidth="1"/>
    <col min="13316" max="13316" width="15.5703125" style="1" customWidth="1"/>
    <col min="13317" max="13317" width="29.28515625" style="1" customWidth="1"/>
    <col min="13318" max="13318" width="32.140625" style="1" customWidth="1"/>
    <col min="13319" max="13319" width="15.5703125" style="1" customWidth="1"/>
    <col min="13320" max="13320" width="29.28515625" style="1" bestFit="1" customWidth="1"/>
    <col min="13321" max="13321" width="38.42578125" style="1" bestFit="1" customWidth="1"/>
    <col min="13322" max="13322" width="15.5703125" style="1" customWidth="1"/>
    <col min="13323" max="13323" width="29.28515625" style="1" bestFit="1" customWidth="1"/>
    <col min="13324" max="13324" width="38.42578125" style="1" bestFit="1" customWidth="1"/>
    <col min="13325" max="13325" width="15.5703125" style="1" customWidth="1"/>
    <col min="13326" max="13326" width="27" style="1" customWidth="1"/>
    <col min="13327" max="13328" width="31" style="1" customWidth="1"/>
    <col min="13329" max="13329" width="22.42578125" style="1" customWidth="1"/>
    <col min="13330" max="13330" width="34" style="1" bestFit="1" customWidth="1"/>
    <col min="13331" max="13331" width="19" style="1" customWidth="1"/>
    <col min="13332" max="13332" width="13.85546875" style="1" customWidth="1"/>
    <col min="13333" max="13333" width="12.7109375" style="1" customWidth="1"/>
    <col min="13334" max="13334" width="12.5703125" style="1" bestFit="1" customWidth="1"/>
    <col min="13335" max="13335" width="10.5703125" style="1" customWidth="1"/>
    <col min="13336" max="13336" width="13.85546875" style="1" customWidth="1"/>
    <col min="13337" max="13337" width="12.7109375" style="1" customWidth="1"/>
    <col min="13338" max="13338" width="12.5703125" style="1" customWidth="1"/>
    <col min="13339" max="13339" width="22.42578125" style="1" bestFit="1" customWidth="1"/>
    <col min="13340" max="13340" width="19" style="1" bestFit="1" customWidth="1"/>
    <col min="13341" max="13341" width="15.5703125" style="1" bestFit="1" customWidth="1"/>
    <col min="13342" max="13342" width="20.7109375" style="1" bestFit="1" customWidth="1"/>
    <col min="13343" max="13343" width="51.5703125" style="1" bestFit="1" customWidth="1"/>
    <col min="13344" max="13568" width="8.7109375" style="1"/>
    <col min="13569" max="13569" width="18.42578125" style="1" customWidth="1"/>
    <col min="13570" max="13570" width="28" style="1" bestFit="1" customWidth="1"/>
    <col min="13571" max="13571" width="26.42578125" style="1" customWidth="1"/>
    <col min="13572" max="13572" width="15.5703125" style="1" customWidth="1"/>
    <col min="13573" max="13573" width="29.28515625" style="1" customWidth="1"/>
    <col min="13574" max="13574" width="32.140625" style="1" customWidth="1"/>
    <col min="13575" max="13575" width="15.5703125" style="1" customWidth="1"/>
    <col min="13576" max="13576" width="29.28515625" style="1" bestFit="1" customWidth="1"/>
    <col min="13577" max="13577" width="38.42578125" style="1" bestFit="1" customWidth="1"/>
    <col min="13578" max="13578" width="15.5703125" style="1" customWidth="1"/>
    <col min="13579" max="13579" width="29.28515625" style="1" bestFit="1" customWidth="1"/>
    <col min="13580" max="13580" width="38.42578125" style="1" bestFit="1" customWidth="1"/>
    <col min="13581" max="13581" width="15.5703125" style="1" customWidth="1"/>
    <col min="13582" max="13582" width="27" style="1" customWidth="1"/>
    <col min="13583" max="13584" width="31" style="1" customWidth="1"/>
    <col min="13585" max="13585" width="22.42578125" style="1" customWidth="1"/>
    <col min="13586" max="13586" width="34" style="1" bestFit="1" customWidth="1"/>
    <col min="13587" max="13587" width="19" style="1" customWidth="1"/>
    <col min="13588" max="13588" width="13.85546875" style="1" customWidth="1"/>
    <col min="13589" max="13589" width="12.7109375" style="1" customWidth="1"/>
    <col min="13590" max="13590" width="12.5703125" style="1" bestFit="1" customWidth="1"/>
    <col min="13591" max="13591" width="10.5703125" style="1" customWidth="1"/>
    <col min="13592" max="13592" width="13.85546875" style="1" customWidth="1"/>
    <col min="13593" max="13593" width="12.7109375" style="1" customWidth="1"/>
    <col min="13594" max="13594" width="12.5703125" style="1" customWidth="1"/>
    <col min="13595" max="13595" width="22.42578125" style="1" bestFit="1" customWidth="1"/>
    <col min="13596" max="13596" width="19" style="1" bestFit="1" customWidth="1"/>
    <col min="13597" max="13597" width="15.5703125" style="1" bestFit="1" customWidth="1"/>
    <col min="13598" max="13598" width="20.7109375" style="1" bestFit="1" customWidth="1"/>
    <col min="13599" max="13599" width="51.5703125" style="1" bestFit="1" customWidth="1"/>
    <col min="13600" max="13824" width="8.7109375" style="1"/>
    <col min="13825" max="13825" width="18.42578125" style="1" customWidth="1"/>
    <col min="13826" max="13826" width="28" style="1" bestFit="1" customWidth="1"/>
    <col min="13827" max="13827" width="26.42578125" style="1" customWidth="1"/>
    <col min="13828" max="13828" width="15.5703125" style="1" customWidth="1"/>
    <col min="13829" max="13829" width="29.28515625" style="1" customWidth="1"/>
    <col min="13830" max="13830" width="32.140625" style="1" customWidth="1"/>
    <col min="13831" max="13831" width="15.5703125" style="1" customWidth="1"/>
    <col min="13832" max="13832" width="29.28515625" style="1" bestFit="1" customWidth="1"/>
    <col min="13833" max="13833" width="38.42578125" style="1" bestFit="1" customWidth="1"/>
    <col min="13834" max="13834" width="15.5703125" style="1" customWidth="1"/>
    <col min="13835" max="13835" width="29.28515625" style="1" bestFit="1" customWidth="1"/>
    <col min="13836" max="13836" width="38.42578125" style="1" bestFit="1" customWidth="1"/>
    <col min="13837" max="13837" width="15.5703125" style="1" customWidth="1"/>
    <col min="13838" max="13838" width="27" style="1" customWidth="1"/>
    <col min="13839" max="13840" width="31" style="1" customWidth="1"/>
    <col min="13841" max="13841" width="22.42578125" style="1" customWidth="1"/>
    <col min="13842" max="13842" width="34" style="1" bestFit="1" customWidth="1"/>
    <col min="13843" max="13843" width="19" style="1" customWidth="1"/>
    <col min="13844" max="13844" width="13.85546875" style="1" customWidth="1"/>
    <col min="13845" max="13845" width="12.7109375" style="1" customWidth="1"/>
    <col min="13846" max="13846" width="12.5703125" style="1" bestFit="1" customWidth="1"/>
    <col min="13847" max="13847" width="10.5703125" style="1" customWidth="1"/>
    <col min="13848" max="13848" width="13.85546875" style="1" customWidth="1"/>
    <col min="13849" max="13849" width="12.7109375" style="1" customWidth="1"/>
    <col min="13850" max="13850" width="12.5703125" style="1" customWidth="1"/>
    <col min="13851" max="13851" width="22.42578125" style="1" bestFit="1" customWidth="1"/>
    <col min="13852" max="13852" width="19" style="1" bestFit="1" customWidth="1"/>
    <col min="13853" max="13853" width="15.5703125" style="1" bestFit="1" customWidth="1"/>
    <col min="13854" max="13854" width="20.7109375" style="1" bestFit="1" customWidth="1"/>
    <col min="13855" max="13855" width="51.5703125" style="1" bestFit="1" customWidth="1"/>
    <col min="13856" max="14080" width="8.7109375" style="1"/>
    <col min="14081" max="14081" width="18.42578125" style="1" customWidth="1"/>
    <col min="14082" max="14082" width="28" style="1" bestFit="1" customWidth="1"/>
    <col min="14083" max="14083" width="26.42578125" style="1" customWidth="1"/>
    <col min="14084" max="14084" width="15.5703125" style="1" customWidth="1"/>
    <col min="14085" max="14085" width="29.28515625" style="1" customWidth="1"/>
    <col min="14086" max="14086" width="32.140625" style="1" customWidth="1"/>
    <col min="14087" max="14087" width="15.5703125" style="1" customWidth="1"/>
    <col min="14088" max="14088" width="29.28515625" style="1" bestFit="1" customWidth="1"/>
    <col min="14089" max="14089" width="38.42578125" style="1" bestFit="1" customWidth="1"/>
    <col min="14090" max="14090" width="15.5703125" style="1" customWidth="1"/>
    <col min="14091" max="14091" width="29.28515625" style="1" bestFit="1" customWidth="1"/>
    <col min="14092" max="14092" width="38.42578125" style="1" bestFit="1" customWidth="1"/>
    <col min="14093" max="14093" width="15.5703125" style="1" customWidth="1"/>
    <col min="14094" max="14094" width="27" style="1" customWidth="1"/>
    <col min="14095" max="14096" width="31" style="1" customWidth="1"/>
    <col min="14097" max="14097" width="22.42578125" style="1" customWidth="1"/>
    <col min="14098" max="14098" width="34" style="1" bestFit="1" customWidth="1"/>
    <col min="14099" max="14099" width="19" style="1" customWidth="1"/>
    <col min="14100" max="14100" width="13.85546875" style="1" customWidth="1"/>
    <col min="14101" max="14101" width="12.7109375" style="1" customWidth="1"/>
    <col min="14102" max="14102" width="12.5703125" style="1" bestFit="1" customWidth="1"/>
    <col min="14103" max="14103" width="10.5703125" style="1" customWidth="1"/>
    <col min="14104" max="14104" width="13.85546875" style="1" customWidth="1"/>
    <col min="14105" max="14105" width="12.7109375" style="1" customWidth="1"/>
    <col min="14106" max="14106" width="12.5703125" style="1" customWidth="1"/>
    <col min="14107" max="14107" width="22.42578125" style="1" bestFit="1" customWidth="1"/>
    <col min="14108" max="14108" width="19" style="1" bestFit="1" customWidth="1"/>
    <col min="14109" max="14109" width="15.5703125" style="1" bestFit="1" customWidth="1"/>
    <col min="14110" max="14110" width="20.7109375" style="1" bestFit="1" customWidth="1"/>
    <col min="14111" max="14111" width="51.5703125" style="1" bestFit="1" customWidth="1"/>
    <col min="14112" max="14336" width="8.7109375" style="1"/>
    <col min="14337" max="14337" width="18.42578125" style="1" customWidth="1"/>
    <col min="14338" max="14338" width="28" style="1" bestFit="1" customWidth="1"/>
    <col min="14339" max="14339" width="26.42578125" style="1" customWidth="1"/>
    <col min="14340" max="14340" width="15.5703125" style="1" customWidth="1"/>
    <col min="14341" max="14341" width="29.28515625" style="1" customWidth="1"/>
    <col min="14342" max="14342" width="32.140625" style="1" customWidth="1"/>
    <col min="14343" max="14343" width="15.5703125" style="1" customWidth="1"/>
    <col min="14344" max="14344" width="29.28515625" style="1" bestFit="1" customWidth="1"/>
    <col min="14345" max="14345" width="38.42578125" style="1" bestFit="1" customWidth="1"/>
    <col min="14346" max="14346" width="15.5703125" style="1" customWidth="1"/>
    <col min="14347" max="14347" width="29.28515625" style="1" bestFit="1" customWidth="1"/>
    <col min="14348" max="14348" width="38.42578125" style="1" bestFit="1" customWidth="1"/>
    <col min="14349" max="14349" width="15.5703125" style="1" customWidth="1"/>
    <col min="14350" max="14350" width="27" style="1" customWidth="1"/>
    <col min="14351" max="14352" width="31" style="1" customWidth="1"/>
    <col min="14353" max="14353" width="22.42578125" style="1" customWidth="1"/>
    <col min="14354" max="14354" width="34" style="1" bestFit="1" customWidth="1"/>
    <col min="14355" max="14355" width="19" style="1" customWidth="1"/>
    <col min="14356" max="14356" width="13.85546875" style="1" customWidth="1"/>
    <col min="14357" max="14357" width="12.7109375" style="1" customWidth="1"/>
    <col min="14358" max="14358" width="12.5703125" style="1" bestFit="1" customWidth="1"/>
    <col min="14359" max="14359" width="10.5703125" style="1" customWidth="1"/>
    <col min="14360" max="14360" width="13.85546875" style="1" customWidth="1"/>
    <col min="14361" max="14361" width="12.7109375" style="1" customWidth="1"/>
    <col min="14362" max="14362" width="12.5703125" style="1" customWidth="1"/>
    <col min="14363" max="14363" width="22.42578125" style="1" bestFit="1" customWidth="1"/>
    <col min="14364" max="14364" width="19" style="1" bestFit="1" customWidth="1"/>
    <col min="14365" max="14365" width="15.5703125" style="1" bestFit="1" customWidth="1"/>
    <col min="14366" max="14366" width="20.7109375" style="1" bestFit="1" customWidth="1"/>
    <col min="14367" max="14367" width="51.5703125" style="1" bestFit="1" customWidth="1"/>
    <col min="14368" max="14592" width="8.7109375" style="1"/>
    <col min="14593" max="14593" width="18.42578125" style="1" customWidth="1"/>
    <col min="14594" max="14594" width="28" style="1" bestFit="1" customWidth="1"/>
    <col min="14595" max="14595" width="26.42578125" style="1" customWidth="1"/>
    <col min="14596" max="14596" width="15.5703125" style="1" customWidth="1"/>
    <col min="14597" max="14597" width="29.28515625" style="1" customWidth="1"/>
    <col min="14598" max="14598" width="32.140625" style="1" customWidth="1"/>
    <col min="14599" max="14599" width="15.5703125" style="1" customWidth="1"/>
    <col min="14600" max="14600" width="29.28515625" style="1" bestFit="1" customWidth="1"/>
    <col min="14601" max="14601" width="38.42578125" style="1" bestFit="1" customWidth="1"/>
    <col min="14602" max="14602" width="15.5703125" style="1" customWidth="1"/>
    <col min="14603" max="14603" width="29.28515625" style="1" bestFit="1" customWidth="1"/>
    <col min="14604" max="14604" width="38.42578125" style="1" bestFit="1" customWidth="1"/>
    <col min="14605" max="14605" width="15.5703125" style="1" customWidth="1"/>
    <col min="14606" max="14606" width="27" style="1" customWidth="1"/>
    <col min="14607" max="14608" width="31" style="1" customWidth="1"/>
    <col min="14609" max="14609" width="22.42578125" style="1" customWidth="1"/>
    <col min="14610" max="14610" width="34" style="1" bestFit="1" customWidth="1"/>
    <col min="14611" max="14611" width="19" style="1" customWidth="1"/>
    <col min="14612" max="14612" width="13.85546875" style="1" customWidth="1"/>
    <col min="14613" max="14613" width="12.7109375" style="1" customWidth="1"/>
    <col min="14614" max="14614" width="12.5703125" style="1" bestFit="1" customWidth="1"/>
    <col min="14615" max="14615" width="10.5703125" style="1" customWidth="1"/>
    <col min="14616" max="14616" width="13.85546875" style="1" customWidth="1"/>
    <col min="14617" max="14617" width="12.7109375" style="1" customWidth="1"/>
    <col min="14618" max="14618" width="12.5703125" style="1" customWidth="1"/>
    <col min="14619" max="14619" width="22.42578125" style="1" bestFit="1" customWidth="1"/>
    <col min="14620" max="14620" width="19" style="1" bestFit="1" customWidth="1"/>
    <col min="14621" max="14621" width="15.5703125" style="1" bestFit="1" customWidth="1"/>
    <col min="14622" max="14622" width="20.7109375" style="1" bestFit="1" customWidth="1"/>
    <col min="14623" max="14623" width="51.5703125" style="1" bestFit="1" customWidth="1"/>
    <col min="14624" max="14848" width="8.7109375" style="1"/>
    <col min="14849" max="14849" width="18.42578125" style="1" customWidth="1"/>
    <col min="14850" max="14850" width="28" style="1" bestFit="1" customWidth="1"/>
    <col min="14851" max="14851" width="26.42578125" style="1" customWidth="1"/>
    <col min="14852" max="14852" width="15.5703125" style="1" customWidth="1"/>
    <col min="14853" max="14853" width="29.28515625" style="1" customWidth="1"/>
    <col min="14854" max="14854" width="32.140625" style="1" customWidth="1"/>
    <col min="14855" max="14855" width="15.5703125" style="1" customWidth="1"/>
    <col min="14856" max="14856" width="29.28515625" style="1" bestFit="1" customWidth="1"/>
    <col min="14857" max="14857" width="38.42578125" style="1" bestFit="1" customWidth="1"/>
    <col min="14858" max="14858" width="15.5703125" style="1" customWidth="1"/>
    <col min="14859" max="14859" width="29.28515625" style="1" bestFit="1" customWidth="1"/>
    <col min="14860" max="14860" width="38.42578125" style="1" bestFit="1" customWidth="1"/>
    <col min="14861" max="14861" width="15.5703125" style="1" customWidth="1"/>
    <col min="14862" max="14862" width="27" style="1" customWidth="1"/>
    <col min="14863" max="14864" width="31" style="1" customWidth="1"/>
    <col min="14865" max="14865" width="22.42578125" style="1" customWidth="1"/>
    <col min="14866" max="14866" width="34" style="1" bestFit="1" customWidth="1"/>
    <col min="14867" max="14867" width="19" style="1" customWidth="1"/>
    <col min="14868" max="14868" width="13.85546875" style="1" customWidth="1"/>
    <col min="14869" max="14869" width="12.7109375" style="1" customWidth="1"/>
    <col min="14870" max="14870" width="12.5703125" style="1" bestFit="1" customWidth="1"/>
    <col min="14871" max="14871" width="10.5703125" style="1" customWidth="1"/>
    <col min="14872" max="14872" width="13.85546875" style="1" customWidth="1"/>
    <col min="14873" max="14873" width="12.7109375" style="1" customWidth="1"/>
    <col min="14874" max="14874" width="12.5703125" style="1" customWidth="1"/>
    <col min="14875" max="14875" width="22.42578125" style="1" bestFit="1" customWidth="1"/>
    <col min="14876" max="14876" width="19" style="1" bestFit="1" customWidth="1"/>
    <col min="14877" max="14877" width="15.5703125" style="1" bestFit="1" customWidth="1"/>
    <col min="14878" max="14878" width="20.7109375" style="1" bestFit="1" customWidth="1"/>
    <col min="14879" max="14879" width="51.5703125" style="1" bestFit="1" customWidth="1"/>
    <col min="14880" max="15104" width="8.7109375" style="1"/>
    <col min="15105" max="15105" width="18.42578125" style="1" customWidth="1"/>
    <col min="15106" max="15106" width="28" style="1" bestFit="1" customWidth="1"/>
    <col min="15107" max="15107" width="26.42578125" style="1" customWidth="1"/>
    <col min="15108" max="15108" width="15.5703125" style="1" customWidth="1"/>
    <col min="15109" max="15109" width="29.28515625" style="1" customWidth="1"/>
    <col min="15110" max="15110" width="32.140625" style="1" customWidth="1"/>
    <col min="15111" max="15111" width="15.5703125" style="1" customWidth="1"/>
    <col min="15112" max="15112" width="29.28515625" style="1" bestFit="1" customWidth="1"/>
    <col min="15113" max="15113" width="38.42578125" style="1" bestFit="1" customWidth="1"/>
    <col min="15114" max="15114" width="15.5703125" style="1" customWidth="1"/>
    <col min="15115" max="15115" width="29.28515625" style="1" bestFit="1" customWidth="1"/>
    <col min="15116" max="15116" width="38.42578125" style="1" bestFit="1" customWidth="1"/>
    <col min="15117" max="15117" width="15.5703125" style="1" customWidth="1"/>
    <col min="15118" max="15118" width="27" style="1" customWidth="1"/>
    <col min="15119" max="15120" width="31" style="1" customWidth="1"/>
    <col min="15121" max="15121" width="22.42578125" style="1" customWidth="1"/>
    <col min="15122" max="15122" width="34" style="1" bestFit="1" customWidth="1"/>
    <col min="15123" max="15123" width="19" style="1" customWidth="1"/>
    <col min="15124" max="15124" width="13.85546875" style="1" customWidth="1"/>
    <col min="15125" max="15125" width="12.7109375" style="1" customWidth="1"/>
    <col min="15126" max="15126" width="12.5703125" style="1" bestFit="1" customWidth="1"/>
    <col min="15127" max="15127" width="10.5703125" style="1" customWidth="1"/>
    <col min="15128" max="15128" width="13.85546875" style="1" customWidth="1"/>
    <col min="15129" max="15129" width="12.7109375" style="1" customWidth="1"/>
    <col min="15130" max="15130" width="12.5703125" style="1" customWidth="1"/>
    <col min="15131" max="15131" width="22.42578125" style="1" bestFit="1" customWidth="1"/>
    <col min="15132" max="15132" width="19" style="1" bestFit="1" customWidth="1"/>
    <col min="15133" max="15133" width="15.5703125" style="1" bestFit="1" customWidth="1"/>
    <col min="15134" max="15134" width="20.7109375" style="1" bestFit="1" customWidth="1"/>
    <col min="15135" max="15135" width="51.5703125" style="1" bestFit="1" customWidth="1"/>
    <col min="15136" max="15360" width="8.7109375" style="1"/>
    <col min="15361" max="15361" width="18.42578125" style="1" customWidth="1"/>
    <col min="15362" max="15362" width="28" style="1" bestFit="1" customWidth="1"/>
    <col min="15363" max="15363" width="26.42578125" style="1" customWidth="1"/>
    <col min="15364" max="15364" width="15.5703125" style="1" customWidth="1"/>
    <col min="15365" max="15365" width="29.28515625" style="1" customWidth="1"/>
    <col min="15366" max="15366" width="32.140625" style="1" customWidth="1"/>
    <col min="15367" max="15367" width="15.5703125" style="1" customWidth="1"/>
    <col min="15368" max="15368" width="29.28515625" style="1" bestFit="1" customWidth="1"/>
    <col min="15369" max="15369" width="38.42578125" style="1" bestFit="1" customWidth="1"/>
    <col min="15370" max="15370" width="15.5703125" style="1" customWidth="1"/>
    <col min="15371" max="15371" width="29.28515625" style="1" bestFit="1" customWidth="1"/>
    <col min="15372" max="15372" width="38.42578125" style="1" bestFit="1" customWidth="1"/>
    <col min="15373" max="15373" width="15.5703125" style="1" customWidth="1"/>
    <col min="15374" max="15374" width="27" style="1" customWidth="1"/>
    <col min="15375" max="15376" width="31" style="1" customWidth="1"/>
    <col min="15377" max="15377" width="22.42578125" style="1" customWidth="1"/>
    <col min="15378" max="15378" width="34" style="1" bestFit="1" customWidth="1"/>
    <col min="15379" max="15379" width="19" style="1" customWidth="1"/>
    <col min="15380" max="15380" width="13.85546875" style="1" customWidth="1"/>
    <col min="15381" max="15381" width="12.7109375" style="1" customWidth="1"/>
    <col min="15382" max="15382" width="12.5703125" style="1" bestFit="1" customWidth="1"/>
    <col min="15383" max="15383" width="10.5703125" style="1" customWidth="1"/>
    <col min="15384" max="15384" width="13.85546875" style="1" customWidth="1"/>
    <col min="15385" max="15385" width="12.7109375" style="1" customWidth="1"/>
    <col min="15386" max="15386" width="12.5703125" style="1" customWidth="1"/>
    <col min="15387" max="15387" width="22.42578125" style="1" bestFit="1" customWidth="1"/>
    <col min="15388" max="15388" width="19" style="1" bestFit="1" customWidth="1"/>
    <col min="15389" max="15389" width="15.5703125" style="1" bestFit="1" customWidth="1"/>
    <col min="15390" max="15390" width="20.7109375" style="1" bestFit="1" customWidth="1"/>
    <col min="15391" max="15391" width="51.5703125" style="1" bestFit="1" customWidth="1"/>
    <col min="15392" max="15616" width="8.7109375" style="1"/>
    <col min="15617" max="15617" width="18.42578125" style="1" customWidth="1"/>
    <col min="15618" max="15618" width="28" style="1" bestFit="1" customWidth="1"/>
    <col min="15619" max="15619" width="26.42578125" style="1" customWidth="1"/>
    <col min="15620" max="15620" width="15.5703125" style="1" customWidth="1"/>
    <col min="15621" max="15621" width="29.28515625" style="1" customWidth="1"/>
    <col min="15622" max="15622" width="32.140625" style="1" customWidth="1"/>
    <col min="15623" max="15623" width="15.5703125" style="1" customWidth="1"/>
    <col min="15624" max="15624" width="29.28515625" style="1" bestFit="1" customWidth="1"/>
    <col min="15625" max="15625" width="38.42578125" style="1" bestFit="1" customWidth="1"/>
    <col min="15626" max="15626" width="15.5703125" style="1" customWidth="1"/>
    <col min="15627" max="15627" width="29.28515625" style="1" bestFit="1" customWidth="1"/>
    <col min="15628" max="15628" width="38.42578125" style="1" bestFit="1" customWidth="1"/>
    <col min="15629" max="15629" width="15.5703125" style="1" customWidth="1"/>
    <col min="15630" max="15630" width="27" style="1" customWidth="1"/>
    <col min="15631" max="15632" width="31" style="1" customWidth="1"/>
    <col min="15633" max="15633" width="22.42578125" style="1" customWidth="1"/>
    <col min="15634" max="15634" width="34" style="1" bestFit="1" customWidth="1"/>
    <col min="15635" max="15635" width="19" style="1" customWidth="1"/>
    <col min="15636" max="15636" width="13.85546875" style="1" customWidth="1"/>
    <col min="15637" max="15637" width="12.7109375" style="1" customWidth="1"/>
    <col min="15638" max="15638" width="12.5703125" style="1" bestFit="1" customWidth="1"/>
    <col min="15639" max="15639" width="10.5703125" style="1" customWidth="1"/>
    <col min="15640" max="15640" width="13.85546875" style="1" customWidth="1"/>
    <col min="15641" max="15641" width="12.7109375" style="1" customWidth="1"/>
    <col min="15642" max="15642" width="12.5703125" style="1" customWidth="1"/>
    <col min="15643" max="15643" width="22.42578125" style="1" bestFit="1" customWidth="1"/>
    <col min="15644" max="15644" width="19" style="1" bestFit="1" customWidth="1"/>
    <col min="15645" max="15645" width="15.5703125" style="1" bestFit="1" customWidth="1"/>
    <col min="15646" max="15646" width="20.7109375" style="1" bestFit="1" customWidth="1"/>
    <col min="15647" max="15647" width="51.5703125" style="1" bestFit="1" customWidth="1"/>
    <col min="15648" max="15872" width="8.7109375" style="1"/>
    <col min="15873" max="15873" width="18.42578125" style="1" customWidth="1"/>
    <col min="15874" max="15874" width="28" style="1" bestFit="1" customWidth="1"/>
    <col min="15875" max="15875" width="26.42578125" style="1" customWidth="1"/>
    <col min="15876" max="15876" width="15.5703125" style="1" customWidth="1"/>
    <col min="15877" max="15877" width="29.28515625" style="1" customWidth="1"/>
    <col min="15878" max="15878" width="32.140625" style="1" customWidth="1"/>
    <col min="15879" max="15879" width="15.5703125" style="1" customWidth="1"/>
    <col min="15880" max="15880" width="29.28515625" style="1" bestFit="1" customWidth="1"/>
    <col min="15881" max="15881" width="38.42578125" style="1" bestFit="1" customWidth="1"/>
    <col min="15882" max="15882" width="15.5703125" style="1" customWidth="1"/>
    <col min="15883" max="15883" width="29.28515625" style="1" bestFit="1" customWidth="1"/>
    <col min="15884" max="15884" width="38.42578125" style="1" bestFit="1" customWidth="1"/>
    <col min="15885" max="15885" width="15.5703125" style="1" customWidth="1"/>
    <col min="15886" max="15886" width="27" style="1" customWidth="1"/>
    <col min="15887" max="15888" width="31" style="1" customWidth="1"/>
    <col min="15889" max="15889" width="22.42578125" style="1" customWidth="1"/>
    <col min="15890" max="15890" width="34" style="1" bestFit="1" customWidth="1"/>
    <col min="15891" max="15891" width="19" style="1" customWidth="1"/>
    <col min="15892" max="15892" width="13.85546875" style="1" customWidth="1"/>
    <col min="15893" max="15893" width="12.7109375" style="1" customWidth="1"/>
    <col min="15894" max="15894" width="12.5703125" style="1" bestFit="1" customWidth="1"/>
    <col min="15895" max="15895" width="10.5703125" style="1" customWidth="1"/>
    <col min="15896" max="15896" width="13.85546875" style="1" customWidth="1"/>
    <col min="15897" max="15897" width="12.7109375" style="1" customWidth="1"/>
    <col min="15898" max="15898" width="12.5703125" style="1" customWidth="1"/>
    <col min="15899" max="15899" width="22.42578125" style="1" bestFit="1" customWidth="1"/>
    <col min="15900" max="15900" width="19" style="1" bestFit="1" customWidth="1"/>
    <col min="15901" max="15901" width="15.5703125" style="1" bestFit="1" customWidth="1"/>
    <col min="15902" max="15902" width="20.7109375" style="1" bestFit="1" customWidth="1"/>
    <col min="15903" max="15903" width="51.5703125" style="1" bestFit="1" customWidth="1"/>
    <col min="15904" max="16128" width="8.7109375" style="1"/>
    <col min="16129" max="16129" width="18.42578125" style="1" customWidth="1"/>
    <col min="16130" max="16130" width="28" style="1" bestFit="1" customWidth="1"/>
    <col min="16131" max="16131" width="26.42578125" style="1" customWidth="1"/>
    <col min="16132" max="16132" width="15.5703125" style="1" customWidth="1"/>
    <col min="16133" max="16133" width="29.28515625" style="1" customWidth="1"/>
    <col min="16134" max="16134" width="32.140625" style="1" customWidth="1"/>
    <col min="16135" max="16135" width="15.5703125" style="1" customWidth="1"/>
    <col min="16136" max="16136" width="29.28515625" style="1" bestFit="1" customWidth="1"/>
    <col min="16137" max="16137" width="38.42578125" style="1" bestFit="1" customWidth="1"/>
    <col min="16138" max="16138" width="15.5703125" style="1" customWidth="1"/>
    <col min="16139" max="16139" width="29.28515625" style="1" bestFit="1" customWidth="1"/>
    <col min="16140" max="16140" width="38.42578125" style="1" bestFit="1" customWidth="1"/>
    <col min="16141" max="16141" width="15.5703125" style="1" customWidth="1"/>
    <col min="16142" max="16142" width="27" style="1" customWidth="1"/>
    <col min="16143" max="16144" width="31" style="1" customWidth="1"/>
    <col min="16145" max="16145" width="22.42578125" style="1" customWidth="1"/>
    <col min="16146" max="16146" width="34" style="1" bestFit="1" customWidth="1"/>
    <col min="16147" max="16147" width="19" style="1" customWidth="1"/>
    <col min="16148" max="16148" width="13.85546875" style="1" customWidth="1"/>
    <col min="16149" max="16149" width="12.7109375" style="1" customWidth="1"/>
    <col min="16150" max="16150" width="12.5703125" style="1" bestFit="1" customWidth="1"/>
    <col min="16151" max="16151" width="10.5703125" style="1" customWidth="1"/>
    <col min="16152" max="16152" width="13.85546875" style="1" customWidth="1"/>
    <col min="16153" max="16153" width="12.7109375" style="1" customWidth="1"/>
    <col min="16154" max="16154" width="12.5703125" style="1" customWidth="1"/>
    <col min="16155" max="16155" width="22.42578125" style="1" bestFit="1" customWidth="1"/>
    <col min="16156" max="16156" width="19" style="1" bestFit="1" customWidth="1"/>
    <col min="16157" max="16157" width="15.5703125" style="1" bestFit="1" customWidth="1"/>
    <col min="16158" max="16158" width="20.7109375" style="1" bestFit="1" customWidth="1"/>
    <col min="16159" max="16159" width="51.5703125" style="1" bestFit="1" customWidth="1"/>
    <col min="16160" max="16384" width="8.7109375" style="1"/>
  </cols>
  <sheetData>
    <row r="1" spans="1:19" ht="24.75" customHeight="1">
      <c r="A1" s="222" t="s">
        <v>0</v>
      </c>
    </row>
    <row r="2" spans="1:19" s="4" customFormat="1" ht="19.5" customHeight="1">
      <c r="A2" s="110" t="s">
        <v>1</v>
      </c>
      <c r="B2" s="223" t="s">
        <v>2</v>
      </c>
      <c r="C2" s="224" t="s">
        <v>3</v>
      </c>
      <c r="D2" s="25"/>
      <c r="E2" s="5"/>
    </row>
    <row r="3" spans="1:19" s="4" customFormat="1" ht="19.5" customHeight="1">
      <c r="A3" s="222"/>
      <c r="B3" s="25"/>
      <c r="C3" s="225" t="s">
        <v>4</v>
      </c>
      <c r="D3" s="25"/>
      <c r="E3" s="226"/>
    </row>
    <row r="4" spans="1:19" s="4" customFormat="1" ht="19.5" customHeight="1">
      <c r="A4" s="227" t="s">
        <v>5</v>
      </c>
      <c r="B4" s="228" t="str">
        <f>'[1]START HERE'!F7</f>
        <v>Netherlands</v>
      </c>
      <c r="C4" s="225" t="s">
        <v>6</v>
      </c>
      <c r="D4" s="25"/>
      <c r="E4" s="226"/>
    </row>
    <row r="5" spans="1:19" s="4" customFormat="1" ht="19.5" customHeight="1">
      <c r="A5" s="227" t="s">
        <v>7</v>
      </c>
      <c r="B5" s="228" t="str">
        <f>'[1]START HERE'!F6</f>
        <v>Herring</v>
      </c>
      <c r="C5" s="229" t="s">
        <v>8</v>
      </c>
      <c r="D5" s="25"/>
      <c r="E5" s="226"/>
    </row>
    <row r="6" spans="1:19" s="4" customFormat="1" ht="19.5" customHeight="1">
      <c r="A6" s="227" t="s">
        <v>9</v>
      </c>
      <c r="B6" s="230">
        <f>'[1]START HERE'!K4</f>
        <v>2014</v>
      </c>
      <c r="C6" s="225" t="s">
        <v>10</v>
      </c>
      <c r="D6" s="25"/>
      <c r="E6" s="226"/>
    </row>
    <row r="7" spans="1:19" s="4" customFormat="1" ht="19.5" customHeight="1">
      <c r="A7" s="231" t="s">
        <v>11</v>
      </c>
      <c r="B7" s="232"/>
      <c r="C7" s="233" t="s">
        <v>12</v>
      </c>
      <c r="D7" s="25"/>
      <c r="E7" s="5"/>
    </row>
    <row r="8" spans="1:19" s="4" customFormat="1" ht="19.5" customHeight="1">
      <c r="A8" s="231"/>
      <c r="B8" s="234"/>
      <c r="C8" s="225" t="s">
        <v>13</v>
      </c>
      <c r="D8" s="25"/>
      <c r="E8" s="5"/>
    </row>
    <row r="9" spans="1:19" s="4" customFormat="1" ht="19.5" customHeight="1">
      <c r="A9" s="231"/>
      <c r="B9" s="235" t="s">
        <v>14</v>
      </c>
      <c r="C9" s="225" t="s">
        <v>15</v>
      </c>
      <c r="D9" s="25"/>
      <c r="E9" s="5"/>
    </row>
    <row r="10" spans="1:19" ht="24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9" ht="24.75" customHeight="1" thickBot="1">
      <c r="A11" s="4"/>
      <c r="N11" s="4"/>
      <c r="O11" s="4"/>
      <c r="P11" s="4"/>
      <c r="Q11" s="4"/>
    </row>
    <row r="12" spans="1:19" ht="24.75" customHeight="1">
      <c r="A12" s="236"/>
      <c r="B12" s="303" t="s">
        <v>16</v>
      </c>
      <c r="C12" s="304"/>
      <c r="D12" s="305"/>
      <c r="E12" s="303" t="s">
        <v>17</v>
      </c>
      <c r="F12" s="304"/>
      <c r="G12" s="305"/>
      <c r="H12" s="303" t="s">
        <v>18</v>
      </c>
      <c r="I12" s="304"/>
      <c r="J12" s="305"/>
      <c r="K12" s="303" t="s">
        <v>19</v>
      </c>
      <c r="L12" s="304"/>
      <c r="M12" s="305"/>
      <c r="N12" s="303" t="s">
        <v>20</v>
      </c>
      <c r="O12" s="304"/>
      <c r="P12" s="304"/>
      <c r="Q12" s="305"/>
    </row>
    <row r="13" spans="1:19" ht="24.75" customHeight="1" thickBot="1">
      <c r="A13" s="4"/>
      <c r="B13" s="309">
        <f>'[2]START HERE'!$K$4</f>
        <v>2015</v>
      </c>
      <c r="C13" s="310"/>
      <c r="D13" s="311"/>
      <c r="E13" s="309">
        <f>'[2]START HERE'!$K$4</f>
        <v>2015</v>
      </c>
      <c r="F13" s="310"/>
      <c r="G13" s="311"/>
      <c r="H13" s="309">
        <f>'[2]START HERE'!$K$4</f>
        <v>2015</v>
      </c>
      <c r="I13" s="310"/>
      <c r="J13" s="311"/>
      <c r="K13" s="309">
        <f>'[2]START HERE'!$K$4</f>
        <v>2015</v>
      </c>
      <c r="L13" s="310"/>
      <c r="M13" s="311"/>
      <c r="N13" s="306"/>
      <c r="O13" s="307"/>
      <c r="P13" s="307"/>
      <c r="Q13" s="308"/>
    </row>
    <row r="14" spans="1:19" ht="24.75" customHeight="1">
      <c r="A14" s="237"/>
      <c r="B14" s="238"/>
      <c r="D14" s="239"/>
      <c r="E14" s="238"/>
      <c r="F14" s="240"/>
      <c r="G14" s="239"/>
      <c r="H14" s="238"/>
      <c r="I14" s="240"/>
      <c r="J14" s="239"/>
      <c r="K14" s="238"/>
      <c r="L14" s="240"/>
      <c r="M14" s="241"/>
      <c r="N14" s="242"/>
      <c r="O14" s="243"/>
      <c r="P14" s="244"/>
      <c r="Q14" s="245" t="s">
        <v>21</v>
      </c>
      <c r="R14" s="244" t="s">
        <v>22</v>
      </c>
      <c r="S14" s="237"/>
    </row>
    <row r="15" spans="1:19" ht="24.75" customHeight="1">
      <c r="A15" s="246"/>
      <c r="B15" s="247" t="s">
        <v>23</v>
      </c>
      <c r="C15" s="248" t="s">
        <v>24</v>
      </c>
      <c r="D15" s="248" t="s">
        <v>25</v>
      </c>
      <c r="E15" s="247" t="s">
        <v>23</v>
      </c>
      <c r="F15" s="248" t="s">
        <v>24</v>
      </c>
      <c r="G15" s="249" t="s">
        <v>25</v>
      </c>
      <c r="H15" s="247" t="s">
        <v>23</v>
      </c>
      <c r="I15" s="248" t="s">
        <v>24</v>
      </c>
      <c r="J15" s="249" t="s">
        <v>25</v>
      </c>
      <c r="K15" s="247" t="s">
        <v>23</v>
      </c>
      <c r="L15" s="248" t="s">
        <v>24</v>
      </c>
      <c r="M15" s="250" t="s">
        <v>25</v>
      </c>
      <c r="N15" s="251" t="s">
        <v>23</v>
      </c>
      <c r="O15" s="248" t="s">
        <v>24</v>
      </c>
      <c r="P15" s="252" t="s">
        <v>25</v>
      </c>
      <c r="Q15" s="253" t="s">
        <v>26</v>
      </c>
      <c r="R15" s="252" t="s">
        <v>27</v>
      </c>
      <c r="S15" s="254" t="s">
        <v>28</v>
      </c>
    </row>
    <row r="16" spans="1:19" ht="24.75" customHeight="1" thickBot="1">
      <c r="A16" s="255" t="s">
        <v>29</v>
      </c>
      <c r="B16" s="256" t="s">
        <v>30</v>
      </c>
      <c r="C16" s="257" t="s">
        <v>30</v>
      </c>
      <c r="D16" s="258" t="s">
        <v>30</v>
      </c>
      <c r="E16" s="256" t="s">
        <v>30</v>
      </c>
      <c r="F16" s="257" t="s">
        <v>30</v>
      </c>
      <c r="G16" s="258" t="s">
        <v>30</v>
      </c>
      <c r="H16" s="256" t="s">
        <v>30</v>
      </c>
      <c r="I16" s="257" t="s">
        <v>30</v>
      </c>
      <c r="J16" s="258" t="s">
        <v>30</v>
      </c>
      <c r="K16" s="256" t="s">
        <v>30</v>
      </c>
      <c r="L16" s="257" t="s">
        <v>30</v>
      </c>
      <c r="M16" s="259" t="s">
        <v>30</v>
      </c>
      <c r="N16" s="260" t="s">
        <v>30</v>
      </c>
      <c r="O16" s="261" t="s">
        <v>30</v>
      </c>
      <c r="P16" s="262" t="s">
        <v>30</v>
      </c>
      <c r="Q16" s="263" t="s">
        <v>30</v>
      </c>
      <c r="R16" s="264" t="s">
        <v>31</v>
      </c>
      <c r="S16" s="255"/>
    </row>
    <row r="17" spans="1:19" ht="24.75" customHeight="1">
      <c r="A17" s="265" t="s">
        <v>32</v>
      </c>
      <c r="B17" s="266">
        <v>29539</v>
      </c>
      <c r="C17" s="267"/>
      <c r="D17" s="268"/>
      <c r="E17" s="269">
        <v>5311</v>
      </c>
      <c r="F17" s="267"/>
      <c r="G17" s="268"/>
      <c r="H17" s="269">
        <v>7</v>
      </c>
      <c r="I17" s="267"/>
      <c r="J17" s="268"/>
      <c r="K17" s="269">
        <v>29</v>
      </c>
      <c r="L17" s="267"/>
      <c r="M17" s="270"/>
      <c r="N17" s="271">
        <f t="shared" ref="N17:P21" si="0">SUM(B17+E17+H17+K17)</f>
        <v>34886</v>
      </c>
      <c r="O17" s="272">
        <f t="shared" si="0"/>
        <v>0</v>
      </c>
      <c r="P17" s="273">
        <f t="shared" si="0"/>
        <v>0</v>
      </c>
      <c r="Q17" s="274">
        <f>SUM(O17:P17)</f>
        <v>0</v>
      </c>
      <c r="R17" s="275"/>
      <c r="S17" s="265" t="s">
        <v>33</v>
      </c>
    </row>
    <row r="18" spans="1:19" ht="24.75" customHeight="1">
      <c r="A18" s="265" t="s">
        <v>34</v>
      </c>
      <c r="B18" s="266">
        <v>38872</v>
      </c>
      <c r="C18" s="276"/>
      <c r="D18" s="277"/>
      <c r="E18" s="269">
        <v>145825</v>
      </c>
      <c r="F18" s="276"/>
      <c r="G18" s="277"/>
      <c r="H18" s="266">
        <v>55453</v>
      </c>
      <c r="I18" s="276"/>
      <c r="J18" s="277"/>
      <c r="K18" s="266">
        <v>10177</v>
      </c>
      <c r="L18" s="276"/>
      <c r="M18" s="278"/>
      <c r="N18" s="271">
        <f t="shared" si="0"/>
        <v>250327</v>
      </c>
      <c r="O18" s="272">
        <f t="shared" si="0"/>
        <v>0</v>
      </c>
      <c r="P18" s="273">
        <f t="shared" si="0"/>
        <v>0</v>
      </c>
      <c r="Q18" s="279">
        <f>SUM(O18:P18)</f>
        <v>0</v>
      </c>
      <c r="R18" s="280"/>
      <c r="S18" s="265" t="s">
        <v>34</v>
      </c>
    </row>
    <row r="19" spans="1:19" ht="24.75" customHeight="1">
      <c r="A19" s="265" t="s">
        <v>35</v>
      </c>
      <c r="B19" s="266"/>
      <c r="C19" s="276"/>
      <c r="D19" s="277"/>
      <c r="E19" s="266"/>
      <c r="F19" s="276"/>
      <c r="G19" s="277"/>
      <c r="H19" s="266"/>
      <c r="I19" s="276"/>
      <c r="J19" s="277"/>
      <c r="K19" s="266"/>
      <c r="L19" s="276"/>
      <c r="M19" s="278"/>
      <c r="N19" s="271">
        <f t="shared" si="0"/>
        <v>0</v>
      </c>
      <c r="O19" s="272">
        <f t="shared" si="0"/>
        <v>0</v>
      </c>
      <c r="P19" s="273">
        <f t="shared" si="0"/>
        <v>0</v>
      </c>
      <c r="Q19" s="279">
        <f>SUM(O19:P19)</f>
        <v>0</v>
      </c>
      <c r="R19" s="280"/>
      <c r="S19" s="265" t="s">
        <v>35</v>
      </c>
    </row>
    <row r="20" spans="1:19" ht="24.75" customHeight="1" thickBot="1">
      <c r="A20" s="265" t="s">
        <v>36</v>
      </c>
      <c r="B20" s="266"/>
      <c r="C20" s="276"/>
      <c r="D20" s="277"/>
      <c r="E20" s="266"/>
      <c r="F20" s="276"/>
      <c r="G20" s="277"/>
      <c r="H20" s="266"/>
      <c r="I20" s="276"/>
      <c r="J20" s="277"/>
      <c r="K20" s="266"/>
      <c r="L20" s="276"/>
      <c r="M20" s="278"/>
      <c r="N20" s="281">
        <f t="shared" si="0"/>
        <v>0</v>
      </c>
      <c r="O20" s="282">
        <f t="shared" si="0"/>
        <v>0</v>
      </c>
      <c r="P20" s="283">
        <f t="shared" si="0"/>
        <v>0</v>
      </c>
      <c r="Q20" s="279">
        <f>SUM(O20:P20)</f>
        <v>0</v>
      </c>
      <c r="R20" s="280"/>
      <c r="S20" s="265" t="s">
        <v>36</v>
      </c>
    </row>
    <row r="21" spans="1:19" ht="24.75" customHeight="1" thickBot="1">
      <c r="A21" s="284" t="s">
        <v>37</v>
      </c>
      <c r="B21" s="285">
        <f t="shared" ref="B21:M21" si="1">SUM(B17:B20)</f>
        <v>68411</v>
      </c>
      <c r="C21" s="286">
        <f t="shared" si="1"/>
        <v>0</v>
      </c>
      <c r="D21" s="287">
        <f t="shared" si="1"/>
        <v>0</v>
      </c>
      <c r="E21" s="285">
        <f t="shared" si="1"/>
        <v>151136</v>
      </c>
      <c r="F21" s="286">
        <f t="shared" si="1"/>
        <v>0</v>
      </c>
      <c r="G21" s="288">
        <f t="shared" si="1"/>
        <v>0</v>
      </c>
      <c r="H21" s="289">
        <f t="shared" si="1"/>
        <v>55460</v>
      </c>
      <c r="I21" s="290">
        <f t="shared" si="1"/>
        <v>0</v>
      </c>
      <c r="J21" s="288">
        <f t="shared" si="1"/>
        <v>0</v>
      </c>
      <c r="K21" s="289">
        <f t="shared" si="1"/>
        <v>10206</v>
      </c>
      <c r="L21" s="290">
        <f t="shared" si="1"/>
        <v>0</v>
      </c>
      <c r="M21" s="291">
        <f t="shared" si="1"/>
        <v>0</v>
      </c>
      <c r="N21" s="292">
        <f t="shared" si="0"/>
        <v>285213</v>
      </c>
      <c r="O21" s="293">
        <f t="shared" si="0"/>
        <v>0</v>
      </c>
      <c r="P21" s="294">
        <f t="shared" si="0"/>
        <v>0</v>
      </c>
      <c r="Q21" s="295">
        <f>SUM(O21:P21)</f>
        <v>0</v>
      </c>
      <c r="S21" s="296" t="s">
        <v>38</v>
      </c>
    </row>
    <row r="22" spans="1:19" ht="24.75" customHeight="1">
      <c r="A22" s="297" t="s">
        <v>39</v>
      </c>
      <c r="B22" s="298"/>
      <c r="C22" s="298"/>
      <c r="D22" s="298"/>
      <c r="E22" s="298"/>
      <c r="F22" s="298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</row>
    <row r="23" spans="1:19" ht="24.75" customHeight="1" thickBot="1">
      <c r="A23" s="299" t="s">
        <v>40</v>
      </c>
      <c r="B23" s="300"/>
      <c r="C23" s="300"/>
      <c r="D23" s="300"/>
      <c r="E23" s="301"/>
      <c r="F23" s="300"/>
      <c r="G23" s="77"/>
      <c r="H23" s="77"/>
      <c r="I23" s="77"/>
      <c r="J23" s="77"/>
      <c r="K23" s="77"/>
      <c r="L23" s="77"/>
      <c r="M23" s="77"/>
      <c r="N23" s="4"/>
      <c r="O23" s="4"/>
      <c r="P23" s="4"/>
      <c r="Q23" s="4"/>
    </row>
    <row r="24" spans="1:19" ht="24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</sheetData>
  <mergeCells count="9">
    <mergeCell ref="B12:D12"/>
    <mergeCell ref="E12:G12"/>
    <mergeCell ref="H12:J12"/>
    <mergeCell ref="K12:M12"/>
    <mergeCell ref="N12:Q13"/>
    <mergeCell ref="B13:D13"/>
    <mergeCell ref="E13:G13"/>
    <mergeCell ref="H13:J13"/>
    <mergeCell ref="K13:M13"/>
  </mergeCells>
  <dataValidations count="4">
    <dataValidation type="whole" errorStyle="warning" allowBlank="1" showErrorMessage="1" errorTitle="Warning" error="Dodgy values please check!" promptTitle="Landings" prompt="Official landings should be less than 100,000t" sqref="N17:P21 JJ17:JL21 TF17:TH21 ADB17:ADD21 AMX17:AMZ21 AWT17:AWV21 BGP17:BGR21 BQL17:BQN21 CAH17:CAJ21 CKD17:CKF21 CTZ17:CUB21 DDV17:DDX21 DNR17:DNT21 DXN17:DXP21 EHJ17:EHL21 ERF17:ERH21 FBB17:FBD21 FKX17:FKZ21 FUT17:FUV21 GEP17:GER21 GOL17:GON21 GYH17:GYJ21 HID17:HIF21 HRZ17:HSB21 IBV17:IBX21 ILR17:ILT21 IVN17:IVP21 JFJ17:JFL21 JPF17:JPH21 JZB17:JZD21 KIX17:KIZ21 KST17:KSV21 LCP17:LCR21 LML17:LMN21 LWH17:LWJ21 MGD17:MGF21 MPZ17:MQB21 MZV17:MZX21 NJR17:NJT21 NTN17:NTP21 ODJ17:ODL21 ONF17:ONH21 OXB17:OXD21 PGX17:PGZ21 PQT17:PQV21 QAP17:QAR21 QKL17:QKN21 QUH17:QUJ21 RED17:REF21 RNZ17:ROB21 RXV17:RXX21 SHR17:SHT21 SRN17:SRP21 TBJ17:TBL21 TLF17:TLH21 TVB17:TVD21 UEX17:UEZ21 UOT17:UOV21 UYP17:UYR21 VIL17:VIN21 VSH17:VSJ21 WCD17:WCF21 WLZ17:WMB21 WVV17:WVX21 N65553:P65557 JJ65553:JL65557 TF65553:TH65557 ADB65553:ADD65557 AMX65553:AMZ65557 AWT65553:AWV65557 BGP65553:BGR65557 BQL65553:BQN65557 CAH65553:CAJ65557 CKD65553:CKF65557 CTZ65553:CUB65557 DDV65553:DDX65557 DNR65553:DNT65557 DXN65553:DXP65557 EHJ65553:EHL65557 ERF65553:ERH65557 FBB65553:FBD65557 FKX65553:FKZ65557 FUT65553:FUV65557 GEP65553:GER65557 GOL65553:GON65557 GYH65553:GYJ65557 HID65553:HIF65557 HRZ65553:HSB65557 IBV65553:IBX65557 ILR65553:ILT65557 IVN65553:IVP65557 JFJ65553:JFL65557 JPF65553:JPH65557 JZB65553:JZD65557 KIX65553:KIZ65557 KST65553:KSV65557 LCP65553:LCR65557 LML65553:LMN65557 LWH65553:LWJ65557 MGD65553:MGF65557 MPZ65553:MQB65557 MZV65553:MZX65557 NJR65553:NJT65557 NTN65553:NTP65557 ODJ65553:ODL65557 ONF65553:ONH65557 OXB65553:OXD65557 PGX65553:PGZ65557 PQT65553:PQV65557 QAP65553:QAR65557 QKL65553:QKN65557 QUH65553:QUJ65557 RED65553:REF65557 RNZ65553:ROB65557 RXV65553:RXX65557 SHR65553:SHT65557 SRN65553:SRP65557 TBJ65553:TBL65557 TLF65553:TLH65557 TVB65553:TVD65557 UEX65553:UEZ65557 UOT65553:UOV65557 UYP65553:UYR65557 VIL65553:VIN65557 VSH65553:VSJ65557 WCD65553:WCF65557 WLZ65553:WMB65557 WVV65553:WVX65557 N131089:P131093 JJ131089:JL131093 TF131089:TH131093 ADB131089:ADD131093 AMX131089:AMZ131093 AWT131089:AWV131093 BGP131089:BGR131093 BQL131089:BQN131093 CAH131089:CAJ131093 CKD131089:CKF131093 CTZ131089:CUB131093 DDV131089:DDX131093 DNR131089:DNT131093 DXN131089:DXP131093 EHJ131089:EHL131093 ERF131089:ERH131093 FBB131089:FBD131093 FKX131089:FKZ131093 FUT131089:FUV131093 GEP131089:GER131093 GOL131089:GON131093 GYH131089:GYJ131093 HID131089:HIF131093 HRZ131089:HSB131093 IBV131089:IBX131093 ILR131089:ILT131093 IVN131089:IVP131093 JFJ131089:JFL131093 JPF131089:JPH131093 JZB131089:JZD131093 KIX131089:KIZ131093 KST131089:KSV131093 LCP131089:LCR131093 LML131089:LMN131093 LWH131089:LWJ131093 MGD131089:MGF131093 MPZ131089:MQB131093 MZV131089:MZX131093 NJR131089:NJT131093 NTN131089:NTP131093 ODJ131089:ODL131093 ONF131089:ONH131093 OXB131089:OXD131093 PGX131089:PGZ131093 PQT131089:PQV131093 QAP131089:QAR131093 QKL131089:QKN131093 QUH131089:QUJ131093 RED131089:REF131093 RNZ131089:ROB131093 RXV131089:RXX131093 SHR131089:SHT131093 SRN131089:SRP131093 TBJ131089:TBL131093 TLF131089:TLH131093 TVB131089:TVD131093 UEX131089:UEZ131093 UOT131089:UOV131093 UYP131089:UYR131093 VIL131089:VIN131093 VSH131089:VSJ131093 WCD131089:WCF131093 WLZ131089:WMB131093 WVV131089:WVX131093 N196625:P196629 JJ196625:JL196629 TF196625:TH196629 ADB196625:ADD196629 AMX196625:AMZ196629 AWT196625:AWV196629 BGP196625:BGR196629 BQL196625:BQN196629 CAH196625:CAJ196629 CKD196625:CKF196629 CTZ196625:CUB196629 DDV196625:DDX196629 DNR196625:DNT196629 DXN196625:DXP196629 EHJ196625:EHL196629 ERF196625:ERH196629 FBB196625:FBD196629 FKX196625:FKZ196629 FUT196625:FUV196629 GEP196625:GER196629 GOL196625:GON196629 GYH196625:GYJ196629 HID196625:HIF196629 HRZ196625:HSB196629 IBV196625:IBX196629 ILR196625:ILT196629 IVN196625:IVP196629 JFJ196625:JFL196629 JPF196625:JPH196629 JZB196625:JZD196629 KIX196625:KIZ196629 KST196625:KSV196629 LCP196625:LCR196629 LML196625:LMN196629 LWH196625:LWJ196629 MGD196625:MGF196629 MPZ196625:MQB196629 MZV196625:MZX196629 NJR196625:NJT196629 NTN196625:NTP196629 ODJ196625:ODL196629 ONF196625:ONH196629 OXB196625:OXD196629 PGX196625:PGZ196629 PQT196625:PQV196629 QAP196625:QAR196629 QKL196625:QKN196629 QUH196625:QUJ196629 RED196625:REF196629 RNZ196625:ROB196629 RXV196625:RXX196629 SHR196625:SHT196629 SRN196625:SRP196629 TBJ196625:TBL196629 TLF196625:TLH196629 TVB196625:TVD196629 UEX196625:UEZ196629 UOT196625:UOV196629 UYP196625:UYR196629 VIL196625:VIN196629 VSH196625:VSJ196629 WCD196625:WCF196629 WLZ196625:WMB196629 WVV196625:WVX196629 N262161:P262165 JJ262161:JL262165 TF262161:TH262165 ADB262161:ADD262165 AMX262161:AMZ262165 AWT262161:AWV262165 BGP262161:BGR262165 BQL262161:BQN262165 CAH262161:CAJ262165 CKD262161:CKF262165 CTZ262161:CUB262165 DDV262161:DDX262165 DNR262161:DNT262165 DXN262161:DXP262165 EHJ262161:EHL262165 ERF262161:ERH262165 FBB262161:FBD262165 FKX262161:FKZ262165 FUT262161:FUV262165 GEP262161:GER262165 GOL262161:GON262165 GYH262161:GYJ262165 HID262161:HIF262165 HRZ262161:HSB262165 IBV262161:IBX262165 ILR262161:ILT262165 IVN262161:IVP262165 JFJ262161:JFL262165 JPF262161:JPH262165 JZB262161:JZD262165 KIX262161:KIZ262165 KST262161:KSV262165 LCP262161:LCR262165 LML262161:LMN262165 LWH262161:LWJ262165 MGD262161:MGF262165 MPZ262161:MQB262165 MZV262161:MZX262165 NJR262161:NJT262165 NTN262161:NTP262165 ODJ262161:ODL262165 ONF262161:ONH262165 OXB262161:OXD262165 PGX262161:PGZ262165 PQT262161:PQV262165 QAP262161:QAR262165 QKL262161:QKN262165 QUH262161:QUJ262165 RED262161:REF262165 RNZ262161:ROB262165 RXV262161:RXX262165 SHR262161:SHT262165 SRN262161:SRP262165 TBJ262161:TBL262165 TLF262161:TLH262165 TVB262161:TVD262165 UEX262161:UEZ262165 UOT262161:UOV262165 UYP262161:UYR262165 VIL262161:VIN262165 VSH262161:VSJ262165 WCD262161:WCF262165 WLZ262161:WMB262165 WVV262161:WVX262165 N327697:P327701 JJ327697:JL327701 TF327697:TH327701 ADB327697:ADD327701 AMX327697:AMZ327701 AWT327697:AWV327701 BGP327697:BGR327701 BQL327697:BQN327701 CAH327697:CAJ327701 CKD327697:CKF327701 CTZ327697:CUB327701 DDV327697:DDX327701 DNR327697:DNT327701 DXN327697:DXP327701 EHJ327697:EHL327701 ERF327697:ERH327701 FBB327697:FBD327701 FKX327697:FKZ327701 FUT327697:FUV327701 GEP327697:GER327701 GOL327697:GON327701 GYH327697:GYJ327701 HID327697:HIF327701 HRZ327697:HSB327701 IBV327697:IBX327701 ILR327697:ILT327701 IVN327697:IVP327701 JFJ327697:JFL327701 JPF327697:JPH327701 JZB327697:JZD327701 KIX327697:KIZ327701 KST327697:KSV327701 LCP327697:LCR327701 LML327697:LMN327701 LWH327697:LWJ327701 MGD327697:MGF327701 MPZ327697:MQB327701 MZV327697:MZX327701 NJR327697:NJT327701 NTN327697:NTP327701 ODJ327697:ODL327701 ONF327697:ONH327701 OXB327697:OXD327701 PGX327697:PGZ327701 PQT327697:PQV327701 QAP327697:QAR327701 QKL327697:QKN327701 QUH327697:QUJ327701 RED327697:REF327701 RNZ327697:ROB327701 RXV327697:RXX327701 SHR327697:SHT327701 SRN327697:SRP327701 TBJ327697:TBL327701 TLF327697:TLH327701 TVB327697:TVD327701 UEX327697:UEZ327701 UOT327697:UOV327701 UYP327697:UYR327701 VIL327697:VIN327701 VSH327697:VSJ327701 WCD327697:WCF327701 WLZ327697:WMB327701 WVV327697:WVX327701 N393233:P393237 JJ393233:JL393237 TF393233:TH393237 ADB393233:ADD393237 AMX393233:AMZ393237 AWT393233:AWV393237 BGP393233:BGR393237 BQL393233:BQN393237 CAH393233:CAJ393237 CKD393233:CKF393237 CTZ393233:CUB393237 DDV393233:DDX393237 DNR393233:DNT393237 DXN393233:DXP393237 EHJ393233:EHL393237 ERF393233:ERH393237 FBB393233:FBD393237 FKX393233:FKZ393237 FUT393233:FUV393237 GEP393233:GER393237 GOL393233:GON393237 GYH393233:GYJ393237 HID393233:HIF393237 HRZ393233:HSB393237 IBV393233:IBX393237 ILR393233:ILT393237 IVN393233:IVP393237 JFJ393233:JFL393237 JPF393233:JPH393237 JZB393233:JZD393237 KIX393233:KIZ393237 KST393233:KSV393237 LCP393233:LCR393237 LML393233:LMN393237 LWH393233:LWJ393237 MGD393233:MGF393237 MPZ393233:MQB393237 MZV393233:MZX393237 NJR393233:NJT393237 NTN393233:NTP393237 ODJ393233:ODL393237 ONF393233:ONH393237 OXB393233:OXD393237 PGX393233:PGZ393237 PQT393233:PQV393237 QAP393233:QAR393237 QKL393233:QKN393237 QUH393233:QUJ393237 RED393233:REF393237 RNZ393233:ROB393237 RXV393233:RXX393237 SHR393233:SHT393237 SRN393233:SRP393237 TBJ393233:TBL393237 TLF393233:TLH393237 TVB393233:TVD393237 UEX393233:UEZ393237 UOT393233:UOV393237 UYP393233:UYR393237 VIL393233:VIN393237 VSH393233:VSJ393237 WCD393233:WCF393237 WLZ393233:WMB393237 WVV393233:WVX393237 N458769:P458773 JJ458769:JL458773 TF458769:TH458773 ADB458769:ADD458773 AMX458769:AMZ458773 AWT458769:AWV458773 BGP458769:BGR458773 BQL458769:BQN458773 CAH458769:CAJ458773 CKD458769:CKF458773 CTZ458769:CUB458773 DDV458769:DDX458773 DNR458769:DNT458773 DXN458769:DXP458773 EHJ458769:EHL458773 ERF458769:ERH458773 FBB458769:FBD458773 FKX458769:FKZ458773 FUT458769:FUV458773 GEP458769:GER458773 GOL458769:GON458773 GYH458769:GYJ458773 HID458769:HIF458773 HRZ458769:HSB458773 IBV458769:IBX458773 ILR458769:ILT458773 IVN458769:IVP458773 JFJ458769:JFL458773 JPF458769:JPH458773 JZB458769:JZD458773 KIX458769:KIZ458773 KST458769:KSV458773 LCP458769:LCR458773 LML458769:LMN458773 LWH458769:LWJ458773 MGD458769:MGF458773 MPZ458769:MQB458773 MZV458769:MZX458773 NJR458769:NJT458773 NTN458769:NTP458773 ODJ458769:ODL458773 ONF458769:ONH458773 OXB458769:OXD458773 PGX458769:PGZ458773 PQT458769:PQV458773 QAP458769:QAR458773 QKL458769:QKN458773 QUH458769:QUJ458773 RED458769:REF458773 RNZ458769:ROB458773 RXV458769:RXX458773 SHR458769:SHT458773 SRN458769:SRP458773 TBJ458769:TBL458773 TLF458769:TLH458773 TVB458769:TVD458773 UEX458769:UEZ458773 UOT458769:UOV458773 UYP458769:UYR458773 VIL458769:VIN458773 VSH458769:VSJ458773 WCD458769:WCF458773 WLZ458769:WMB458773 WVV458769:WVX458773 N524305:P524309 JJ524305:JL524309 TF524305:TH524309 ADB524305:ADD524309 AMX524305:AMZ524309 AWT524305:AWV524309 BGP524305:BGR524309 BQL524305:BQN524309 CAH524305:CAJ524309 CKD524305:CKF524309 CTZ524305:CUB524309 DDV524305:DDX524309 DNR524305:DNT524309 DXN524305:DXP524309 EHJ524305:EHL524309 ERF524305:ERH524309 FBB524305:FBD524309 FKX524305:FKZ524309 FUT524305:FUV524309 GEP524305:GER524309 GOL524305:GON524309 GYH524305:GYJ524309 HID524305:HIF524309 HRZ524305:HSB524309 IBV524305:IBX524309 ILR524305:ILT524309 IVN524305:IVP524309 JFJ524305:JFL524309 JPF524305:JPH524309 JZB524305:JZD524309 KIX524305:KIZ524309 KST524305:KSV524309 LCP524305:LCR524309 LML524305:LMN524309 LWH524305:LWJ524309 MGD524305:MGF524309 MPZ524305:MQB524309 MZV524305:MZX524309 NJR524305:NJT524309 NTN524305:NTP524309 ODJ524305:ODL524309 ONF524305:ONH524309 OXB524305:OXD524309 PGX524305:PGZ524309 PQT524305:PQV524309 QAP524305:QAR524309 QKL524305:QKN524309 QUH524305:QUJ524309 RED524305:REF524309 RNZ524305:ROB524309 RXV524305:RXX524309 SHR524305:SHT524309 SRN524305:SRP524309 TBJ524305:TBL524309 TLF524305:TLH524309 TVB524305:TVD524309 UEX524305:UEZ524309 UOT524305:UOV524309 UYP524305:UYR524309 VIL524305:VIN524309 VSH524305:VSJ524309 WCD524305:WCF524309 WLZ524305:WMB524309 WVV524305:WVX524309 N589841:P589845 JJ589841:JL589845 TF589841:TH589845 ADB589841:ADD589845 AMX589841:AMZ589845 AWT589841:AWV589845 BGP589841:BGR589845 BQL589841:BQN589845 CAH589841:CAJ589845 CKD589841:CKF589845 CTZ589841:CUB589845 DDV589841:DDX589845 DNR589841:DNT589845 DXN589841:DXP589845 EHJ589841:EHL589845 ERF589841:ERH589845 FBB589841:FBD589845 FKX589841:FKZ589845 FUT589841:FUV589845 GEP589841:GER589845 GOL589841:GON589845 GYH589841:GYJ589845 HID589841:HIF589845 HRZ589841:HSB589845 IBV589841:IBX589845 ILR589841:ILT589845 IVN589841:IVP589845 JFJ589841:JFL589845 JPF589841:JPH589845 JZB589841:JZD589845 KIX589841:KIZ589845 KST589841:KSV589845 LCP589841:LCR589845 LML589841:LMN589845 LWH589841:LWJ589845 MGD589841:MGF589845 MPZ589841:MQB589845 MZV589841:MZX589845 NJR589841:NJT589845 NTN589841:NTP589845 ODJ589841:ODL589845 ONF589841:ONH589845 OXB589841:OXD589845 PGX589841:PGZ589845 PQT589841:PQV589845 QAP589841:QAR589845 QKL589841:QKN589845 QUH589841:QUJ589845 RED589841:REF589845 RNZ589841:ROB589845 RXV589841:RXX589845 SHR589841:SHT589845 SRN589841:SRP589845 TBJ589841:TBL589845 TLF589841:TLH589845 TVB589841:TVD589845 UEX589841:UEZ589845 UOT589841:UOV589845 UYP589841:UYR589845 VIL589841:VIN589845 VSH589841:VSJ589845 WCD589841:WCF589845 WLZ589841:WMB589845 WVV589841:WVX589845 N655377:P655381 JJ655377:JL655381 TF655377:TH655381 ADB655377:ADD655381 AMX655377:AMZ655381 AWT655377:AWV655381 BGP655377:BGR655381 BQL655377:BQN655381 CAH655377:CAJ655381 CKD655377:CKF655381 CTZ655377:CUB655381 DDV655377:DDX655381 DNR655377:DNT655381 DXN655377:DXP655381 EHJ655377:EHL655381 ERF655377:ERH655381 FBB655377:FBD655381 FKX655377:FKZ655381 FUT655377:FUV655381 GEP655377:GER655381 GOL655377:GON655381 GYH655377:GYJ655381 HID655377:HIF655381 HRZ655377:HSB655381 IBV655377:IBX655381 ILR655377:ILT655381 IVN655377:IVP655381 JFJ655377:JFL655381 JPF655377:JPH655381 JZB655377:JZD655381 KIX655377:KIZ655381 KST655377:KSV655381 LCP655377:LCR655381 LML655377:LMN655381 LWH655377:LWJ655381 MGD655377:MGF655381 MPZ655377:MQB655381 MZV655377:MZX655381 NJR655377:NJT655381 NTN655377:NTP655381 ODJ655377:ODL655381 ONF655377:ONH655381 OXB655377:OXD655381 PGX655377:PGZ655381 PQT655377:PQV655381 QAP655377:QAR655381 QKL655377:QKN655381 QUH655377:QUJ655381 RED655377:REF655381 RNZ655377:ROB655381 RXV655377:RXX655381 SHR655377:SHT655381 SRN655377:SRP655381 TBJ655377:TBL655381 TLF655377:TLH655381 TVB655377:TVD655381 UEX655377:UEZ655381 UOT655377:UOV655381 UYP655377:UYR655381 VIL655377:VIN655381 VSH655377:VSJ655381 WCD655377:WCF655381 WLZ655377:WMB655381 WVV655377:WVX655381 N720913:P720917 JJ720913:JL720917 TF720913:TH720917 ADB720913:ADD720917 AMX720913:AMZ720917 AWT720913:AWV720917 BGP720913:BGR720917 BQL720913:BQN720917 CAH720913:CAJ720917 CKD720913:CKF720917 CTZ720913:CUB720917 DDV720913:DDX720917 DNR720913:DNT720917 DXN720913:DXP720917 EHJ720913:EHL720917 ERF720913:ERH720917 FBB720913:FBD720917 FKX720913:FKZ720917 FUT720913:FUV720917 GEP720913:GER720917 GOL720913:GON720917 GYH720913:GYJ720917 HID720913:HIF720917 HRZ720913:HSB720917 IBV720913:IBX720917 ILR720913:ILT720917 IVN720913:IVP720917 JFJ720913:JFL720917 JPF720913:JPH720917 JZB720913:JZD720917 KIX720913:KIZ720917 KST720913:KSV720917 LCP720913:LCR720917 LML720913:LMN720917 LWH720913:LWJ720917 MGD720913:MGF720917 MPZ720913:MQB720917 MZV720913:MZX720917 NJR720913:NJT720917 NTN720913:NTP720917 ODJ720913:ODL720917 ONF720913:ONH720917 OXB720913:OXD720917 PGX720913:PGZ720917 PQT720913:PQV720917 QAP720913:QAR720917 QKL720913:QKN720917 QUH720913:QUJ720917 RED720913:REF720917 RNZ720913:ROB720917 RXV720913:RXX720917 SHR720913:SHT720917 SRN720913:SRP720917 TBJ720913:TBL720917 TLF720913:TLH720917 TVB720913:TVD720917 UEX720913:UEZ720917 UOT720913:UOV720917 UYP720913:UYR720917 VIL720913:VIN720917 VSH720913:VSJ720917 WCD720913:WCF720917 WLZ720913:WMB720917 WVV720913:WVX720917 N786449:P786453 JJ786449:JL786453 TF786449:TH786453 ADB786449:ADD786453 AMX786449:AMZ786453 AWT786449:AWV786453 BGP786449:BGR786453 BQL786449:BQN786453 CAH786449:CAJ786453 CKD786449:CKF786453 CTZ786449:CUB786453 DDV786449:DDX786453 DNR786449:DNT786453 DXN786449:DXP786453 EHJ786449:EHL786453 ERF786449:ERH786453 FBB786449:FBD786453 FKX786449:FKZ786453 FUT786449:FUV786453 GEP786449:GER786453 GOL786449:GON786453 GYH786449:GYJ786453 HID786449:HIF786453 HRZ786449:HSB786453 IBV786449:IBX786453 ILR786449:ILT786453 IVN786449:IVP786453 JFJ786449:JFL786453 JPF786449:JPH786453 JZB786449:JZD786453 KIX786449:KIZ786453 KST786449:KSV786453 LCP786449:LCR786453 LML786449:LMN786453 LWH786449:LWJ786453 MGD786449:MGF786453 MPZ786449:MQB786453 MZV786449:MZX786453 NJR786449:NJT786453 NTN786449:NTP786453 ODJ786449:ODL786453 ONF786449:ONH786453 OXB786449:OXD786453 PGX786449:PGZ786453 PQT786449:PQV786453 QAP786449:QAR786453 QKL786449:QKN786453 QUH786449:QUJ786453 RED786449:REF786453 RNZ786449:ROB786453 RXV786449:RXX786453 SHR786449:SHT786453 SRN786449:SRP786453 TBJ786449:TBL786453 TLF786449:TLH786453 TVB786449:TVD786453 UEX786449:UEZ786453 UOT786449:UOV786453 UYP786449:UYR786453 VIL786449:VIN786453 VSH786449:VSJ786453 WCD786449:WCF786453 WLZ786449:WMB786453 WVV786449:WVX786453 N851985:P851989 JJ851985:JL851989 TF851985:TH851989 ADB851985:ADD851989 AMX851985:AMZ851989 AWT851985:AWV851989 BGP851985:BGR851989 BQL851985:BQN851989 CAH851985:CAJ851989 CKD851985:CKF851989 CTZ851985:CUB851989 DDV851985:DDX851989 DNR851985:DNT851989 DXN851985:DXP851989 EHJ851985:EHL851989 ERF851985:ERH851989 FBB851985:FBD851989 FKX851985:FKZ851989 FUT851985:FUV851989 GEP851985:GER851989 GOL851985:GON851989 GYH851985:GYJ851989 HID851985:HIF851989 HRZ851985:HSB851989 IBV851985:IBX851989 ILR851985:ILT851989 IVN851985:IVP851989 JFJ851985:JFL851989 JPF851985:JPH851989 JZB851985:JZD851989 KIX851985:KIZ851989 KST851985:KSV851989 LCP851985:LCR851989 LML851985:LMN851989 LWH851985:LWJ851989 MGD851985:MGF851989 MPZ851985:MQB851989 MZV851985:MZX851989 NJR851985:NJT851989 NTN851985:NTP851989 ODJ851985:ODL851989 ONF851985:ONH851989 OXB851985:OXD851989 PGX851985:PGZ851989 PQT851985:PQV851989 QAP851985:QAR851989 QKL851985:QKN851989 QUH851985:QUJ851989 RED851985:REF851989 RNZ851985:ROB851989 RXV851985:RXX851989 SHR851985:SHT851989 SRN851985:SRP851989 TBJ851985:TBL851989 TLF851985:TLH851989 TVB851985:TVD851989 UEX851985:UEZ851989 UOT851985:UOV851989 UYP851985:UYR851989 VIL851985:VIN851989 VSH851985:VSJ851989 WCD851985:WCF851989 WLZ851985:WMB851989 WVV851985:WVX851989 N917521:P917525 JJ917521:JL917525 TF917521:TH917525 ADB917521:ADD917525 AMX917521:AMZ917525 AWT917521:AWV917525 BGP917521:BGR917525 BQL917521:BQN917525 CAH917521:CAJ917525 CKD917521:CKF917525 CTZ917521:CUB917525 DDV917521:DDX917525 DNR917521:DNT917525 DXN917521:DXP917525 EHJ917521:EHL917525 ERF917521:ERH917525 FBB917521:FBD917525 FKX917521:FKZ917525 FUT917521:FUV917525 GEP917521:GER917525 GOL917521:GON917525 GYH917521:GYJ917525 HID917521:HIF917525 HRZ917521:HSB917525 IBV917521:IBX917525 ILR917521:ILT917525 IVN917521:IVP917525 JFJ917521:JFL917525 JPF917521:JPH917525 JZB917521:JZD917525 KIX917521:KIZ917525 KST917521:KSV917525 LCP917521:LCR917525 LML917521:LMN917525 LWH917521:LWJ917525 MGD917521:MGF917525 MPZ917521:MQB917525 MZV917521:MZX917525 NJR917521:NJT917525 NTN917521:NTP917525 ODJ917521:ODL917525 ONF917521:ONH917525 OXB917521:OXD917525 PGX917521:PGZ917525 PQT917521:PQV917525 QAP917521:QAR917525 QKL917521:QKN917525 QUH917521:QUJ917525 RED917521:REF917525 RNZ917521:ROB917525 RXV917521:RXX917525 SHR917521:SHT917525 SRN917521:SRP917525 TBJ917521:TBL917525 TLF917521:TLH917525 TVB917521:TVD917525 UEX917521:UEZ917525 UOT917521:UOV917525 UYP917521:UYR917525 VIL917521:VIN917525 VSH917521:VSJ917525 WCD917521:WCF917525 WLZ917521:WMB917525 WVV917521:WVX917525 N983057:P983061 JJ983057:JL983061 TF983057:TH983061 ADB983057:ADD983061 AMX983057:AMZ983061 AWT983057:AWV983061 BGP983057:BGR983061 BQL983057:BQN983061 CAH983057:CAJ983061 CKD983057:CKF983061 CTZ983057:CUB983061 DDV983057:DDX983061 DNR983057:DNT983061 DXN983057:DXP983061 EHJ983057:EHL983061 ERF983057:ERH983061 FBB983057:FBD983061 FKX983057:FKZ983061 FUT983057:FUV983061 GEP983057:GER983061 GOL983057:GON983061 GYH983057:GYJ983061 HID983057:HIF983061 HRZ983057:HSB983061 IBV983057:IBX983061 ILR983057:ILT983061 IVN983057:IVP983061 JFJ983057:JFL983061 JPF983057:JPH983061 JZB983057:JZD983061 KIX983057:KIZ983061 KST983057:KSV983061 LCP983057:LCR983061 LML983057:LMN983061 LWH983057:LWJ983061 MGD983057:MGF983061 MPZ983057:MQB983061 MZV983057:MZX983061 NJR983057:NJT983061 NTN983057:NTP983061 ODJ983057:ODL983061 ONF983057:ONH983061 OXB983057:OXD983061 PGX983057:PGZ983061 PQT983057:PQV983061 QAP983057:QAR983061 QKL983057:QKN983061 QUH983057:QUJ983061 RED983057:REF983061 RNZ983057:ROB983061 RXV983057:RXX983061 SHR983057:SHT983061 SRN983057:SRP983061 TBJ983057:TBL983061 TLF983057:TLH983061 TVB983057:TVD983061 UEX983057:UEZ983061 UOT983057:UOV983061 UYP983057:UYR983061 VIL983057:VIN983061 VSH983057:VSJ983061 WCD983057:WCF983061 WLZ983057:WMB983061 WVV983057:WVX983061" xr:uid="{00000000-0002-0000-0000-000000000000}">
      <formula1>0</formula1>
      <formula2>100000</formula2>
    </dataValidation>
    <dataValidation type="decimal" errorStyle="warning" allowBlank="1" showInputMessage="1" showErrorMessage="1" errorTitle="Please Check" error="Confirm that the value you have entered is correct" promptTitle="Unallocated" prompt="Adjustments to the official catches made for any special knowledge about the fishery, such as under- or over-reporting for which there is firm external evidence" sqref="C17:C20 IY17:IY20 SU17:SU20 ACQ17:ACQ20 AMM17:AMM20 AWI17:AWI20 BGE17:BGE20 BQA17:BQA20 BZW17:BZW20 CJS17:CJS20 CTO17:CTO20 DDK17:DDK20 DNG17:DNG20 DXC17:DXC20 EGY17:EGY20 EQU17:EQU20 FAQ17:FAQ20 FKM17:FKM20 FUI17:FUI20 GEE17:GEE20 GOA17:GOA20 GXW17:GXW20 HHS17:HHS20 HRO17:HRO20 IBK17:IBK20 ILG17:ILG20 IVC17:IVC20 JEY17:JEY20 JOU17:JOU20 JYQ17:JYQ20 KIM17:KIM20 KSI17:KSI20 LCE17:LCE20 LMA17:LMA20 LVW17:LVW20 MFS17:MFS20 MPO17:MPO20 MZK17:MZK20 NJG17:NJG20 NTC17:NTC20 OCY17:OCY20 OMU17:OMU20 OWQ17:OWQ20 PGM17:PGM20 PQI17:PQI20 QAE17:QAE20 QKA17:QKA20 QTW17:QTW20 RDS17:RDS20 RNO17:RNO20 RXK17:RXK20 SHG17:SHG20 SRC17:SRC20 TAY17:TAY20 TKU17:TKU20 TUQ17:TUQ20 UEM17:UEM20 UOI17:UOI20 UYE17:UYE20 VIA17:VIA20 VRW17:VRW20 WBS17:WBS20 WLO17:WLO20 WVK17:WVK20 C65553:C65556 IY65553:IY65556 SU65553:SU65556 ACQ65553:ACQ65556 AMM65553:AMM65556 AWI65553:AWI65556 BGE65553:BGE65556 BQA65553:BQA65556 BZW65553:BZW65556 CJS65553:CJS65556 CTO65553:CTO65556 DDK65553:DDK65556 DNG65553:DNG65556 DXC65553:DXC65556 EGY65553:EGY65556 EQU65553:EQU65556 FAQ65553:FAQ65556 FKM65553:FKM65556 FUI65553:FUI65556 GEE65553:GEE65556 GOA65553:GOA65556 GXW65553:GXW65556 HHS65553:HHS65556 HRO65553:HRO65556 IBK65553:IBK65556 ILG65553:ILG65556 IVC65553:IVC65556 JEY65553:JEY65556 JOU65553:JOU65556 JYQ65553:JYQ65556 KIM65553:KIM65556 KSI65553:KSI65556 LCE65553:LCE65556 LMA65553:LMA65556 LVW65553:LVW65556 MFS65553:MFS65556 MPO65553:MPO65556 MZK65553:MZK65556 NJG65553:NJG65556 NTC65553:NTC65556 OCY65553:OCY65556 OMU65553:OMU65556 OWQ65553:OWQ65556 PGM65553:PGM65556 PQI65553:PQI65556 QAE65553:QAE65556 QKA65553:QKA65556 QTW65553:QTW65556 RDS65553:RDS65556 RNO65553:RNO65556 RXK65553:RXK65556 SHG65553:SHG65556 SRC65553:SRC65556 TAY65553:TAY65556 TKU65553:TKU65556 TUQ65553:TUQ65556 UEM65553:UEM65556 UOI65553:UOI65556 UYE65553:UYE65556 VIA65553:VIA65556 VRW65553:VRW65556 WBS65553:WBS65556 WLO65553:WLO65556 WVK65553:WVK65556 C131089:C131092 IY131089:IY131092 SU131089:SU131092 ACQ131089:ACQ131092 AMM131089:AMM131092 AWI131089:AWI131092 BGE131089:BGE131092 BQA131089:BQA131092 BZW131089:BZW131092 CJS131089:CJS131092 CTO131089:CTO131092 DDK131089:DDK131092 DNG131089:DNG131092 DXC131089:DXC131092 EGY131089:EGY131092 EQU131089:EQU131092 FAQ131089:FAQ131092 FKM131089:FKM131092 FUI131089:FUI131092 GEE131089:GEE131092 GOA131089:GOA131092 GXW131089:GXW131092 HHS131089:HHS131092 HRO131089:HRO131092 IBK131089:IBK131092 ILG131089:ILG131092 IVC131089:IVC131092 JEY131089:JEY131092 JOU131089:JOU131092 JYQ131089:JYQ131092 KIM131089:KIM131092 KSI131089:KSI131092 LCE131089:LCE131092 LMA131089:LMA131092 LVW131089:LVW131092 MFS131089:MFS131092 MPO131089:MPO131092 MZK131089:MZK131092 NJG131089:NJG131092 NTC131089:NTC131092 OCY131089:OCY131092 OMU131089:OMU131092 OWQ131089:OWQ131092 PGM131089:PGM131092 PQI131089:PQI131092 QAE131089:QAE131092 QKA131089:QKA131092 QTW131089:QTW131092 RDS131089:RDS131092 RNO131089:RNO131092 RXK131089:RXK131092 SHG131089:SHG131092 SRC131089:SRC131092 TAY131089:TAY131092 TKU131089:TKU131092 TUQ131089:TUQ131092 UEM131089:UEM131092 UOI131089:UOI131092 UYE131089:UYE131092 VIA131089:VIA131092 VRW131089:VRW131092 WBS131089:WBS131092 WLO131089:WLO131092 WVK131089:WVK131092 C196625:C196628 IY196625:IY196628 SU196625:SU196628 ACQ196625:ACQ196628 AMM196625:AMM196628 AWI196625:AWI196628 BGE196625:BGE196628 BQA196625:BQA196628 BZW196625:BZW196628 CJS196625:CJS196628 CTO196625:CTO196628 DDK196625:DDK196628 DNG196625:DNG196628 DXC196625:DXC196628 EGY196625:EGY196628 EQU196625:EQU196628 FAQ196625:FAQ196628 FKM196625:FKM196628 FUI196625:FUI196628 GEE196625:GEE196628 GOA196625:GOA196628 GXW196625:GXW196628 HHS196625:HHS196628 HRO196625:HRO196628 IBK196625:IBK196628 ILG196625:ILG196628 IVC196625:IVC196628 JEY196625:JEY196628 JOU196625:JOU196628 JYQ196625:JYQ196628 KIM196625:KIM196628 KSI196625:KSI196628 LCE196625:LCE196628 LMA196625:LMA196628 LVW196625:LVW196628 MFS196625:MFS196628 MPO196625:MPO196628 MZK196625:MZK196628 NJG196625:NJG196628 NTC196625:NTC196628 OCY196625:OCY196628 OMU196625:OMU196628 OWQ196625:OWQ196628 PGM196625:PGM196628 PQI196625:PQI196628 QAE196625:QAE196628 QKA196625:QKA196628 QTW196625:QTW196628 RDS196625:RDS196628 RNO196625:RNO196628 RXK196625:RXK196628 SHG196625:SHG196628 SRC196625:SRC196628 TAY196625:TAY196628 TKU196625:TKU196628 TUQ196625:TUQ196628 UEM196625:UEM196628 UOI196625:UOI196628 UYE196625:UYE196628 VIA196625:VIA196628 VRW196625:VRW196628 WBS196625:WBS196628 WLO196625:WLO196628 WVK196625:WVK196628 C262161:C262164 IY262161:IY262164 SU262161:SU262164 ACQ262161:ACQ262164 AMM262161:AMM262164 AWI262161:AWI262164 BGE262161:BGE262164 BQA262161:BQA262164 BZW262161:BZW262164 CJS262161:CJS262164 CTO262161:CTO262164 DDK262161:DDK262164 DNG262161:DNG262164 DXC262161:DXC262164 EGY262161:EGY262164 EQU262161:EQU262164 FAQ262161:FAQ262164 FKM262161:FKM262164 FUI262161:FUI262164 GEE262161:GEE262164 GOA262161:GOA262164 GXW262161:GXW262164 HHS262161:HHS262164 HRO262161:HRO262164 IBK262161:IBK262164 ILG262161:ILG262164 IVC262161:IVC262164 JEY262161:JEY262164 JOU262161:JOU262164 JYQ262161:JYQ262164 KIM262161:KIM262164 KSI262161:KSI262164 LCE262161:LCE262164 LMA262161:LMA262164 LVW262161:LVW262164 MFS262161:MFS262164 MPO262161:MPO262164 MZK262161:MZK262164 NJG262161:NJG262164 NTC262161:NTC262164 OCY262161:OCY262164 OMU262161:OMU262164 OWQ262161:OWQ262164 PGM262161:PGM262164 PQI262161:PQI262164 QAE262161:QAE262164 QKA262161:QKA262164 QTW262161:QTW262164 RDS262161:RDS262164 RNO262161:RNO262164 RXK262161:RXK262164 SHG262161:SHG262164 SRC262161:SRC262164 TAY262161:TAY262164 TKU262161:TKU262164 TUQ262161:TUQ262164 UEM262161:UEM262164 UOI262161:UOI262164 UYE262161:UYE262164 VIA262161:VIA262164 VRW262161:VRW262164 WBS262161:WBS262164 WLO262161:WLO262164 WVK262161:WVK262164 C327697:C327700 IY327697:IY327700 SU327697:SU327700 ACQ327697:ACQ327700 AMM327697:AMM327700 AWI327697:AWI327700 BGE327697:BGE327700 BQA327697:BQA327700 BZW327697:BZW327700 CJS327697:CJS327700 CTO327697:CTO327700 DDK327697:DDK327700 DNG327697:DNG327700 DXC327697:DXC327700 EGY327697:EGY327700 EQU327697:EQU327700 FAQ327697:FAQ327700 FKM327697:FKM327700 FUI327697:FUI327700 GEE327697:GEE327700 GOA327697:GOA327700 GXW327697:GXW327700 HHS327697:HHS327700 HRO327697:HRO327700 IBK327697:IBK327700 ILG327697:ILG327700 IVC327697:IVC327700 JEY327697:JEY327700 JOU327697:JOU327700 JYQ327697:JYQ327700 KIM327697:KIM327700 KSI327697:KSI327700 LCE327697:LCE327700 LMA327697:LMA327700 LVW327697:LVW327700 MFS327697:MFS327700 MPO327697:MPO327700 MZK327697:MZK327700 NJG327697:NJG327700 NTC327697:NTC327700 OCY327697:OCY327700 OMU327697:OMU327700 OWQ327697:OWQ327700 PGM327697:PGM327700 PQI327697:PQI327700 QAE327697:QAE327700 QKA327697:QKA327700 QTW327697:QTW327700 RDS327697:RDS327700 RNO327697:RNO327700 RXK327697:RXK327700 SHG327697:SHG327700 SRC327697:SRC327700 TAY327697:TAY327700 TKU327697:TKU327700 TUQ327697:TUQ327700 UEM327697:UEM327700 UOI327697:UOI327700 UYE327697:UYE327700 VIA327697:VIA327700 VRW327697:VRW327700 WBS327697:WBS327700 WLO327697:WLO327700 WVK327697:WVK327700 C393233:C393236 IY393233:IY393236 SU393233:SU393236 ACQ393233:ACQ393236 AMM393233:AMM393236 AWI393233:AWI393236 BGE393233:BGE393236 BQA393233:BQA393236 BZW393233:BZW393236 CJS393233:CJS393236 CTO393233:CTO393236 DDK393233:DDK393236 DNG393233:DNG393236 DXC393233:DXC393236 EGY393233:EGY393236 EQU393233:EQU393236 FAQ393233:FAQ393236 FKM393233:FKM393236 FUI393233:FUI393236 GEE393233:GEE393236 GOA393233:GOA393236 GXW393233:GXW393236 HHS393233:HHS393236 HRO393233:HRO393236 IBK393233:IBK393236 ILG393233:ILG393236 IVC393233:IVC393236 JEY393233:JEY393236 JOU393233:JOU393236 JYQ393233:JYQ393236 KIM393233:KIM393236 KSI393233:KSI393236 LCE393233:LCE393236 LMA393233:LMA393236 LVW393233:LVW393236 MFS393233:MFS393236 MPO393233:MPO393236 MZK393233:MZK393236 NJG393233:NJG393236 NTC393233:NTC393236 OCY393233:OCY393236 OMU393233:OMU393236 OWQ393233:OWQ393236 PGM393233:PGM393236 PQI393233:PQI393236 QAE393233:QAE393236 QKA393233:QKA393236 QTW393233:QTW393236 RDS393233:RDS393236 RNO393233:RNO393236 RXK393233:RXK393236 SHG393233:SHG393236 SRC393233:SRC393236 TAY393233:TAY393236 TKU393233:TKU393236 TUQ393233:TUQ393236 UEM393233:UEM393236 UOI393233:UOI393236 UYE393233:UYE393236 VIA393233:VIA393236 VRW393233:VRW393236 WBS393233:WBS393236 WLO393233:WLO393236 WVK393233:WVK393236 C458769:C458772 IY458769:IY458772 SU458769:SU458772 ACQ458769:ACQ458772 AMM458769:AMM458772 AWI458769:AWI458772 BGE458769:BGE458772 BQA458769:BQA458772 BZW458769:BZW458772 CJS458769:CJS458772 CTO458769:CTO458772 DDK458769:DDK458772 DNG458769:DNG458772 DXC458769:DXC458772 EGY458769:EGY458772 EQU458769:EQU458772 FAQ458769:FAQ458772 FKM458769:FKM458772 FUI458769:FUI458772 GEE458769:GEE458772 GOA458769:GOA458772 GXW458769:GXW458772 HHS458769:HHS458772 HRO458769:HRO458772 IBK458769:IBK458772 ILG458769:ILG458772 IVC458769:IVC458772 JEY458769:JEY458772 JOU458769:JOU458772 JYQ458769:JYQ458772 KIM458769:KIM458772 KSI458769:KSI458772 LCE458769:LCE458772 LMA458769:LMA458772 LVW458769:LVW458772 MFS458769:MFS458772 MPO458769:MPO458772 MZK458769:MZK458772 NJG458769:NJG458772 NTC458769:NTC458772 OCY458769:OCY458772 OMU458769:OMU458772 OWQ458769:OWQ458772 PGM458769:PGM458772 PQI458769:PQI458772 QAE458769:QAE458772 QKA458769:QKA458772 QTW458769:QTW458772 RDS458769:RDS458772 RNO458769:RNO458772 RXK458769:RXK458772 SHG458769:SHG458772 SRC458769:SRC458772 TAY458769:TAY458772 TKU458769:TKU458772 TUQ458769:TUQ458772 UEM458769:UEM458772 UOI458769:UOI458772 UYE458769:UYE458772 VIA458769:VIA458772 VRW458769:VRW458772 WBS458769:WBS458772 WLO458769:WLO458772 WVK458769:WVK458772 C524305:C524308 IY524305:IY524308 SU524305:SU524308 ACQ524305:ACQ524308 AMM524305:AMM524308 AWI524305:AWI524308 BGE524305:BGE524308 BQA524305:BQA524308 BZW524305:BZW524308 CJS524305:CJS524308 CTO524305:CTO524308 DDK524305:DDK524308 DNG524305:DNG524308 DXC524305:DXC524308 EGY524305:EGY524308 EQU524305:EQU524308 FAQ524305:FAQ524308 FKM524305:FKM524308 FUI524305:FUI524308 GEE524305:GEE524308 GOA524305:GOA524308 GXW524305:GXW524308 HHS524305:HHS524308 HRO524305:HRO524308 IBK524305:IBK524308 ILG524305:ILG524308 IVC524305:IVC524308 JEY524305:JEY524308 JOU524305:JOU524308 JYQ524305:JYQ524308 KIM524305:KIM524308 KSI524305:KSI524308 LCE524305:LCE524308 LMA524305:LMA524308 LVW524305:LVW524308 MFS524305:MFS524308 MPO524305:MPO524308 MZK524305:MZK524308 NJG524305:NJG524308 NTC524305:NTC524308 OCY524305:OCY524308 OMU524305:OMU524308 OWQ524305:OWQ524308 PGM524305:PGM524308 PQI524305:PQI524308 QAE524305:QAE524308 QKA524305:QKA524308 QTW524305:QTW524308 RDS524305:RDS524308 RNO524305:RNO524308 RXK524305:RXK524308 SHG524305:SHG524308 SRC524305:SRC524308 TAY524305:TAY524308 TKU524305:TKU524308 TUQ524305:TUQ524308 UEM524305:UEM524308 UOI524305:UOI524308 UYE524305:UYE524308 VIA524305:VIA524308 VRW524305:VRW524308 WBS524305:WBS524308 WLO524305:WLO524308 WVK524305:WVK524308 C589841:C589844 IY589841:IY589844 SU589841:SU589844 ACQ589841:ACQ589844 AMM589841:AMM589844 AWI589841:AWI589844 BGE589841:BGE589844 BQA589841:BQA589844 BZW589841:BZW589844 CJS589841:CJS589844 CTO589841:CTO589844 DDK589841:DDK589844 DNG589841:DNG589844 DXC589841:DXC589844 EGY589841:EGY589844 EQU589841:EQU589844 FAQ589841:FAQ589844 FKM589841:FKM589844 FUI589841:FUI589844 GEE589841:GEE589844 GOA589841:GOA589844 GXW589841:GXW589844 HHS589841:HHS589844 HRO589841:HRO589844 IBK589841:IBK589844 ILG589841:ILG589844 IVC589841:IVC589844 JEY589841:JEY589844 JOU589841:JOU589844 JYQ589841:JYQ589844 KIM589841:KIM589844 KSI589841:KSI589844 LCE589841:LCE589844 LMA589841:LMA589844 LVW589841:LVW589844 MFS589841:MFS589844 MPO589841:MPO589844 MZK589841:MZK589844 NJG589841:NJG589844 NTC589841:NTC589844 OCY589841:OCY589844 OMU589841:OMU589844 OWQ589841:OWQ589844 PGM589841:PGM589844 PQI589841:PQI589844 QAE589841:QAE589844 QKA589841:QKA589844 QTW589841:QTW589844 RDS589841:RDS589844 RNO589841:RNO589844 RXK589841:RXK589844 SHG589841:SHG589844 SRC589841:SRC589844 TAY589841:TAY589844 TKU589841:TKU589844 TUQ589841:TUQ589844 UEM589841:UEM589844 UOI589841:UOI589844 UYE589841:UYE589844 VIA589841:VIA589844 VRW589841:VRW589844 WBS589841:WBS589844 WLO589841:WLO589844 WVK589841:WVK589844 C655377:C655380 IY655377:IY655380 SU655377:SU655380 ACQ655377:ACQ655380 AMM655377:AMM655380 AWI655377:AWI655380 BGE655377:BGE655380 BQA655377:BQA655380 BZW655377:BZW655380 CJS655377:CJS655380 CTO655377:CTO655380 DDK655377:DDK655380 DNG655377:DNG655380 DXC655377:DXC655380 EGY655377:EGY655380 EQU655377:EQU655380 FAQ655377:FAQ655380 FKM655377:FKM655380 FUI655377:FUI655380 GEE655377:GEE655380 GOA655377:GOA655380 GXW655377:GXW655380 HHS655377:HHS655380 HRO655377:HRO655380 IBK655377:IBK655380 ILG655377:ILG655380 IVC655377:IVC655380 JEY655377:JEY655380 JOU655377:JOU655380 JYQ655377:JYQ655380 KIM655377:KIM655380 KSI655377:KSI655380 LCE655377:LCE655380 LMA655377:LMA655380 LVW655377:LVW655380 MFS655377:MFS655380 MPO655377:MPO655380 MZK655377:MZK655380 NJG655377:NJG655380 NTC655377:NTC655380 OCY655377:OCY655380 OMU655377:OMU655380 OWQ655377:OWQ655380 PGM655377:PGM655380 PQI655377:PQI655380 QAE655377:QAE655380 QKA655377:QKA655380 QTW655377:QTW655380 RDS655377:RDS655380 RNO655377:RNO655380 RXK655377:RXK655380 SHG655377:SHG655380 SRC655377:SRC655380 TAY655377:TAY655380 TKU655377:TKU655380 TUQ655377:TUQ655380 UEM655377:UEM655380 UOI655377:UOI655380 UYE655377:UYE655380 VIA655377:VIA655380 VRW655377:VRW655380 WBS655377:WBS655380 WLO655377:WLO655380 WVK655377:WVK655380 C720913:C720916 IY720913:IY720916 SU720913:SU720916 ACQ720913:ACQ720916 AMM720913:AMM720916 AWI720913:AWI720916 BGE720913:BGE720916 BQA720913:BQA720916 BZW720913:BZW720916 CJS720913:CJS720916 CTO720913:CTO720916 DDK720913:DDK720916 DNG720913:DNG720916 DXC720913:DXC720916 EGY720913:EGY720916 EQU720913:EQU720916 FAQ720913:FAQ720916 FKM720913:FKM720916 FUI720913:FUI720916 GEE720913:GEE720916 GOA720913:GOA720916 GXW720913:GXW720916 HHS720913:HHS720916 HRO720913:HRO720916 IBK720913:IBK720916 ILG720913:ILG720916 IVC720913:IVC720916 JEY720913:JEY720916 JOU720913:JOU720916 JYQ720913:JYQ720916 KIM720913:KIM720916 KSI720913:KSI720916 LCE720913:LCE720916 LMA720913:LMA720916 LVW720913:LVW720916 MFS720913:MFS720916 MPO720913:MPO720916 MZK720913:MZK720916 NJG720913:NJG720916 NTC720913:NTC720916 OCY720913:OCY720916 OMU720913:OMU720916 OWQ720913:OWQ720916 PGM720913:PGM720916 PQI720913:PQI720916 QAE720913:QAE720916 QKA720913:QKA720916 QTW720913:QTW720916 RDS720913:RDS720916 RNO720913:RNO720916 RXK720913:RXK720916 SHG720913:SHG720916 SRC720913:SRC720916 TAY720913:TAY720916 TKU720913:TKU720916 TUQ720913:TUQ720916 UEM720913:UEM720916 UOI720913:UOI720916 UYE720913:UYE720916 VIA720913:VIA720916 VRW720913:VRW720916 WBS720913:WBS720916 WLO720913:WLO720916 WVK720913:WVK720916 C786449:C786452 IY786449:IY786452 SU786449:SU786452 ACQ786449:ACQ786452 AMM786449:AMM786452 AWI786449:AWI786452 BGE786449:BGE786452 BQA786449:BQA786452 BZW786449:BZW786452 CJS786449:CJS786452 CTO786449:CTO786452 DDK786449:DDK786452 DNG786449:DNG786452 DXC786449:DXC786452 EGY786449:EGY786452 EQU786449:EQU786452 FAQ786449:FAQ786452 FKM786449:FKM786452 FUI786449:FUI786452 GEE786449:GEE786452 GOA786449:GOA786452 GXW786449:GXW786452 HHS786449:HHS786452 HRO786449:HRO786452 IBK786449:IBK786452 ILG786449:ILG786452 IVC786449:IVC786452 JEY786449:JEY786452 JOU786449:JOU786452 JYQ786449:JYQ786452 KIM786449:KIM786452 KSI786449:KSI786452 LCE786449:LCE786452 LMA786449:LMA786452 LVW786449:LVW786452 MFS786449:MFS786452 MPO786449:MPO786452 MZK786449:MZK786452 NJG786449:NJG786452 NTC786449:NTC786452 OCY786449:OCY786452 OMU786449:OMU786452 OWQ786449:OWQ786452 PGM786449:PGM786452 PQI786449:PQI786452 QAE786449:QAE786452 QKA786449:QKA786452 QTW786449:QTW786452 RDS786449:RDS786452 RNO786449:RNO786452 RXK786449:RXK786452 SHG786449:SHG786452 SRC786449:SRC786452 TAY786449:TAY786452 TKU786449:TKU786452 TUQ786449:TUQ786452 UEM786449:UEM786452 UOI786449:UOI786452 UYE786449:UYE786452 VIA786449:VIA786452 VRW786449:VRW786452 WBS786449:WBS786452 WLO786449:WLO786452 WVK786449:WVK786452 C851985:C851988 IY851985:IY851988 SU851985:SU851988 ACQ851985:ACQ851988 AMM851985:AMM851988 AWI851985:AWI851988 BGE851985:BGE851988 BQA851985:BQA851988 BZW851985:BZW851988 CJS851985:CJS851988 CTO851985:CTO851988 DDK851985:DDK851988 DNG851985:DNG851988 DXC851985:DXC851988 EGY851985:EGY851988 EQU851985:EQU851988 FAQ851985:FAQ851988 FKM851985:FKM851988 FUI851985:FUI851988 GEE851985:GEE851988 GOA851985:GOA851988 GXW851985:GXW851988 HHS851985:HHS851988 HRO851985:HRO851988 IBK851985:IBK851988 ILG851985:ILG851988 IVC851985:IVC851988 JEY851985:JEY851988 JOU851985:JOU851988 JYQ851985:JYQ851988 KIM851985:KIM851988 KSI851985:KSI851988 LCE851985:LCE851988 LMA851985:LMA851988 LVW851985:LVW851988 MFS851985:MFS851988 MPO851985:MPO851988 MZK851985:MZK851988 NJG851985:NJG851988 NTC851985:NTC851988 OCY851985:OCY851988 OMU851985:OMU851988 OWQ851985:OWQ851988 PGM851985:PGM851988 PQI851985:PQI851988 QAE851985:QAE851988 QKA851985:QKA851988 QTW851985:QTW851988 RDS851985:RDS851988 RNO851985:RNO851988 RXK851985:RXK851988 SHG851985:SHG851988 SRC851985:SRC851988 TAY851985:TAY851988 TKU851985:TKU851988 TUQ851985:TUQ851988 UEM851985:UEM851988 UOI851985:UOI851988 UYE851985:UYE851988 VIA851985:VIA851988 VRW851985:VRW851988 WBS851985:WBS851988 WLO851985:WLO851988 WVK851985:WVK851988 C917521:C917524 IY917521:IY917524 SU917521:SU917524 ACQ917521:ACQ917524 AMM917521:AMM917524 AWI917521:AWI917524 BGE917521:BGE917524 BQA917521:BQA917524 BZW917521:BZW917524 CJS917521:CJS917524 CTO917521:CTO917524 DDK917521:DDK917524 DNG917521:DNG917524 DXC917521:DXC917524 EGY917521:EGY917524 EQU917521:EQU917524 FAQ917521:FAQ917524 FKM917521:FKM917524 FUI917521:FUI917524 GEE917521:GEE917524 GOA917521:GOA917524 GXW917521:GXW917524 HHS917521:HHS917524 HRO917521:HRO917524 IBK917521:IBK917524 ILG917521:ILG917524 IVC917521:IVC917524 JEY917521:JEY917524 JOU917521:JOU917524 JYQ917521:JYQ917524 KIM917521:KIM917524 KSI917521:KSI917524 LCE917521:LCE917524 LMA917521:LMA917524 LVW917521:LVW917524 MFS917521:MFS917524 MPO917521:MPO917524 MZK917521:MZK917524 NJG917521:NJG917524 NTC917521:NTC917524 OCY917521:OCY917524 OMU917521:OMU917524 OWQ917521:OWQ917524 PGM917521:PGM917524 PQI917521:PQI917524 QAE917521:QAE917524 QKA917521:QKA917524 QTW917521:QTW917524 RDS917521:RDS917524 RNO917521:RNO917524 RXK917521:RXK917524 SHG917521:SHG917524 SRC917521:SRC917524 TAY917521:TAY917524 TKU917521:TKU917524 TUQ917521:TUQ917524 UEM917521:UEM917524 UOI917521:UOI917524 UYE917521:UYE917524 VIA917521:VIA917524 VRW917521:VRW917524 WBS917521:WBS917524 WLO917521:WLO917524 WVK917521:WVK917524 C983057:C983060 IY983057:IY983060 SU983057:SU983060 ACQ983057:ACQ983060 AMM983057:AMM983060 AWI983057:AWI983060 BGE983057:BGE983060 BQA983057:BQA983060 BZW983057:BZW983060 CJS983057:CJS983060 CTO983057:CTO983060 DDK983057:DDK983060 DNG983057:DNG983060 DXC983057:DXC983060 EGY983057:EGY983060 EQU983057:EQU983060 FAQ983057:FAQ983060 FKM983057:FKM983060 FUI983057:FUI983060 GEE983057:GEE983060 GOA983057:GOA983060 GXW983057:GXW983060 HHS983057:HHS983060 HRO983057:HRO983060 IBK983057:IBK983060 ILG983057:ILG983060 IVC983057:IVC983060 JEY983057:JEY983060 JOU983057:JOU983060 JYQ983057:JYQ983060 KIM983057:KIM983060 KSI983057:KSI983060 LCE983057:LCE983060 LMA983057:LMA983060 LVW983057:LVW983060 MFS983057:MFS983060 MPO983057:MPO983060 MZK983057:MZK983060 NJG983057:NJG983060 NTC983057:NTC983060 OCY983057:OCY983060 OMU983057:OMU983060 OWQ983057:OWQ983060 PGM983057:PGM983060 PQI983057:PQI983060 QAE983057:QAE983060 QKA983057:QKA983060 QTW983057:QTW983060 RDS983057:RDS983060 RNO983057:RNO983060 RXK983057:RXK983060 SHG983057:SHG983060 SRC983057:SRC983060 TAY983057:TAY983060 TKU983057:TKU983060 TUQ983057:TUQ983060 UEM983057:UEM983060 UOI983057:UOI983060 UYE983057:UYE983060 VIA983057:VIA983060 VRW983057:VRW983060 WBS983057:WBS983060 WLO983057:WLO983060 WVK983057:WVK983060 F17:F20 JB17:JB20 SX17:SX20 ACT17:ACT20 AMP17:AMP20 AWL17:AWL20 BGH17:BGH20 BQD17:BQD20 BZZ17:BZZ20 CJV17:CJV20 CTR17:CTR20 DDN17:DDN20 DNJ17:DNJ20 DXF17:DXF20 EHB17:EHB20 EQX17:EQX20 FAT17:FAT20 FKP17:FKP20 FUL17:FUL20 GEH17:GEH20 GOD17:GOD20 GXZ17:GXZ20 HHV17:HHV20 HRR17:HRR20 IBN17:IBN20 ILJ17:ILJ20 IVF17:IVF20 JFB17:JFB20 JOX17:JOX20 JYT17:JYT20 KIP17:KIP20 KSL17:KSL20 LCH17:LCH20 LMD17:LMD20 LVZ17:LVZ20 MFV17:MFV20 MPR17:MPR20 MZN17:MZN20 NJJ17:NJJ20 NTF17:NTF20 ODB17:ODB20 OMX17:OMX20 OWT17:OWT20 PGP17:PGP20 PQL17:PQL20 QAH17:QAH20 QKD17:QKD20 QTZ17:QTZ20 RDV17:RDV20 RNR17:RNR20 RXN17:RXN20 SHJ17:SHJ20 SRF17:SRF20 TBB17:TBB20 TKX17:TKX20 TUT17:TUT20 UEP17:UEP20 UOL17:UOL20 UYH17:UYH20 VID17:VID20 VRZ17:VRZ20 WBV17:WBV20 WLR17:WLR20 WVN17:WVN20 F65553:F65556 JB65553:JB65556 SX65553:SX65556 ACT65553:ACT65556 AMP65553:AMP65556 AWL65553:AWL65556 BGH65553:BGH65556 BQD65553:BQD65556 BZZ65553:BZZ65556 CJV65553:CJV65556 CTR65553:CTR65556 DDN65553:DDN65556 DNJ65553:DNJ65556 DXF65553:DXF65556 EHB65553:EHB65556 EQX65553:EQX65556 FAT65553:FAT65556 FKP65553:FKP65556 FUL65553:FUL65556 GEH65553:GEH65556 GOD65553:GOD65556 GXZ65553:GXZ65556 HHV65553:HHV65556 HRR65553:HRR65556 IBN65553:IBN65556 ILJ65553:ILJ65556 IVF65553:IVF65556 JFB65553:JFB65556 JOX65553:JOX65556 JYT65553:JYT65556 KIP65553:KIP65556 KSL65553:KSL65556 LCH65553:LCH65556 LMD65553:LMD65556 LVZ65553:LVZ65556 MFV65553:MFV65556 MPR65553:MPR65556 MZN65553:MZN65556 NJJ65553:NJJ65556 NTF65553:NTF65556 ODB65553:ODB65556 OMX65553:OMX65556 OWT65553:OWT65556 PGP65553:PGP65556 PQL65553:PQL65556 QAH65553:QAH65556 QKD65553:QKD65556 QTZ65553:QTZ65556 RDV65553:RDV65556 RNR65553:RNR65556 RXN65553:RXN65556 SHJ65553:SHJ65556 SRF65553:SRF65556 TBB65553:TBB65556 TKX65553:TKX65556 TUT65553:TUT65556 UEP65553:UEP65556 UOL65553:UOL65556 UYH65553:UYH65556 VID65553:VID65556 VRZ65553:VRZ65556 WBV65553:WBV65556 WLR65553:WLR65556 WVN65553:WVN65556 F131089:F131092 JB131089:JB131092 SX131089:SX131092 ACT131089:ACT131092 AMP131089:AMP131092 AWL131089:AWL131092 BGH131089:BGH131092 BQD131089:BQD131092 BZZ131089:BZZ131092 CJV131089:CJV131092 CTR131089:CTR131092 DDN131089:DDN131092 DNJ131089:DNJ131092 DXF131089:DXF131092 EHB131089:EHB131092 EQX131089:EQX131092 FAT131089:FAT131092 FKP131089:FKP131092 FUL131089:FUL131092 GEH131089:GEH131092 GOD131089:GOD131092 GXZ131089:GXZ131092 HHV131089:HHV131092 HRR131089:HRR131092 IBN131089:IBN131092 ILJ131089:ILJ131092 IVF131089:IVF131092 JFB131089:JFB131092 JOX131089:JOX131092 JYT131089:JYT131092 KIP131089:KIP131092 KSL131089:KSL131092 LCH131089:LCH131092 LMD131089:LMD131092 LVZ131089:LVZ131092 MFV131089:MFV131092 MPR131089:MPR131092 MZN131089:MZN131092 NJJ131089:NJJ131092 NTF131089:NTF131092 ODB131089:ODB131092 OMX131089:OMX131092 OWT131089:OWT131092 PGP131089:PGP131092 PQL131089:PQL131092 QAH131089:QAH131092 QKD131089:QKD131092 QTZ131089:QTZ131092 RDV131089:RDV131092 RNR131089:RNR131092 RXN131089:RXN131092 SHJ131089:SHJ131092 SRF131089:SRF131092 TBB131089:TBB131092 TKX131089:TKX131092 TUT131089:TUT131092 UEP131089:UEP131092 UOL131089:UOL131092 UYH131089:UYH131092 VID131089:VID131092 VRZ131089:VRZ131092 WBV131089:WBV131092 WLR131089:WLR131092 WVN131089:WVN131092 F196625:F196628 JB196625:JB196628 SX196625:SX196628 ACT196625:ACT196628 AMP196625:AMP196628 AWL196625:AWL196628 BGH196625:BGH196628 BQD196625:BQD196628 BZZ196625:BZZ196628 CJV196625:CJV196628 CTR196625:CTR196628 DDN196625:DDN196628 DNJ196625:DNJ196628 DXF196625:DXF196628 EHB196625:EHB196628 EQX196625:EQX196628 FAT196625:FAT196628 FKP196625:FKP196628 FUL196625:FUL196628 GEH196625:GEH196628 GOD196625:GOD196628 GXZ196625:GXZ196628 HHV196625:HHV196628 HRR196625:HRR196628 IBN196625:IBN196628 ILJ196625:ILJ196628 IVF196625:IVF196628 JFB196625:JFB196628 JOX196625:JOX196628 JYT196625:JYT196628 KIP196625:KIP196628 KSL196625:KSL196628 LCH196625:LCH196628 LMD196625:LMD196628 LVZ196625:LVZ196628 MFV196625:MFV196628 MPR196625:MPR196628 MZN196625:MZN196628 NJJ196625:NJJ196628 NTF196625:NTF196628 ODB196625:ODB196628 OMX196625:OMX196628 OWT196625:OWT196628 PGP196625:PGP196628 PQL196625:PQL196628 QAH196625:QAH196628 QKD196625:QKD196628 QTZ196625:QTZ196628 RDV196625:RDV196628 RNR196625:RNR196628 RXN196625:RXN196628 SHJ196625:SHJ196628 SRF196625:SRF196628 TBB196625:TBB196628 TKX196625:TKX196628 TUT196625:TUT196628 UEP196625:UEP196628 UOL196625:UOL196628 UYH196625:UYH196628 VID196625:VID196628 VRZ196625:VRZ196628 WBV196625:WBV196628 WLR196625:WLR196628 WVN196625:WVN196628 F262161:F262164 JB262161:JB262164 SX262161:SX262164 ACT262161:ACT262164 AMP262161:AMP262164 AWL262161:AWL262164 BGH262161:BGH262164 BQD262161:BQD262164 BZZ262161:BZZ262164 CJV262161:CJV262164 CTR262161:CTR262164 DDN262161:DDN262164 DNJ262161:DNJ262164 DXF262161:DXF262164 EHB262161:EHB262164 EQX262161:EQX262164 FAT262161:FAT262164 FKP262161:FKP262164 FUL262161:FUL262164 GEH262161:GEH262164 GOD262161:GOD262164 GXZ262161:GXZ262164 HHV262161:HHV262164 HRR262161:HRR262164 IBN262161:IBN262164 ILJ262161:ILJ262164 IVF262161:IVF262164 JFB262161:JFB262164 JOX262161:JOX262164 JYT262161:JYT262164 KIP262161:KIP262164 KSL262161:KSL262164 LCH262161:LCH262164 LMD262161:LMD262164 LVZ262161:LVZ262164 MFV262161:MFV262164 MPR262161:MPR262164 MZN262161:MZN262164 NJJ262161:NJJ262164 NTF262161:NTF262164 ODB262161:ODB262164 OMX262161:OMX262164 OWT262161:OWT262164 PGP262161:PGP262164 PQL262161:PQL262164 QAH262161:QAH262164 QKD262161:QKD262164 QTZ262161:QTZ262164 RDV262161:RDV262164 RNR262161:RNR262164 RXN262161:RXN262164 SHJ262161:SHJ262164 SRF262161:SRF262164 TBB262161:TBB262164 TKX262161:TKX262164 TUT262161:TUT262164 UEP262161:UEP262164 UOL262161:UOL262164 UYH262161:UYH262164 VID262161:VID262164 VRZ262161:VRZ262164 WBV262161:WBV262164 WLR262161:WLR262164 WVN262161:WVN262164 F327697:F327700 JB327697:JB327700 SX327697:SX327700 ACT327697:ACT327700 AMP327697:AMP327700 AWL327697:AWL327700 BGH327697:BGH327700 BQD327697:BQD327700 BZZ327697:BZZ327700 CJV327697:CJV327700 CTR327697:CTR327700 DDN327697:DDN327700 DNJ327697:DNJ327700 DXF327697:DXF327700 EHB327697:EHB327700 EQX327697:EQX327700 FAT327697:FAT327700 FKP327697:FKP327700 FUL327697:FUL327700 GEH327697:GEH327700 GOD327697:GOD327700 GXZ327697:GXZ327700 HHV327697:HHV327700 HRR327697:HRR327700 IBN327697:IBN327700 ILJ327697:ILJ327700 IVF327697:IVF327700 JFB327697:JFB327700 JOX327697:JOX327700 JYT327697:JYT327700 KIP327697:KIP327700 KSL327697:KSL327700 LCH327697:LCH327700 LMD327697:LMD327700 LVZ327697:LVZ327700 MFV327697:MFV327700 MPR327697:MPR327700 MZN327697:MZN327700 NJJ327697:NJJ327700 NTF327697:NTF327700 ODB327697:ODB327700 OMX327697:OMX327700 OWT327697:OWT327700 PGP327697:PGP327700 PQL327697:PQL327700 QAH327697:QAH327700 QKD327697:QKD327700 QTZ327697:QTZ327700 RDV327697:RDV327700 RNR327697:RNR327700 RXN327697:RXN327700 SHJ327697:SHJ327700 SRF327697:SRF327700 TBB327697:TBB327700 TKX327697:TKX327700 TUT327697:TUT327700 UEP327697:UEP327700 UOL327697:UOL327700 UYH327697:UYH327700 VID327697:VID327700 VRZ327697:VRZ327700 WBV327697:WBV327700 WLR327697:WLR327700 WVN327697:WVN327700 F393233:F393236 JB393233:JB393236 SX393233:SX393236 ACT393233:ACT393236 AMP393233:AMP393236 AWL393233:AWL393236 BGH393233:BGH393236 BQD393233:BQD393236 BZZ393233:BZZ393236 CJV393233:CJV393236 CTR393233:CTR393236 DDN393233:DDN393236 DNJ393233:DNJ393236 DXF393233:DXF393236 EHB393233:EHB393236 EQX393233:EQX393236 FAT393233:FAT393236 FKP393233:FKP393236 FUL393233:FUL393236 GEH393233:GEH393236 GOD393233:GOD393236 GXZ393233:GXZ393236 HHV393233:HHV393236 HRR393233:HRR393236 IBN393233:IBN393236 ILJ393233:ILJ393236 IVF393233:IVF393236 JFB393233:JFB393236 JOX393233:JOX393236 JYT393233:JYT393236 KIP393233:KIP393236 KSL393233:KSL393236 LCH393233:LCH393236 LMD393233:LMD393236 LVZ393233:LVZ393236 MFV393233:MFV393236 MPR393233:MPR393236 MZN393233:MZN393236 NJJ393233:NJJ393236 NTF393233:NTF393236 ODB393233:ODB393236 OMX393233:OMX393236 OWT393233:OWT393236 PGP393233:PGP393236 PQL393233:PQL393236 QAH393233:QAH393236 QKD393233:QKD393236 QTZ393233:QTZ393236 RDV393233:RDV393236 RNR393233:RNR393236 RXN393233:RXN393236 SHJ393233:SHJ393236 SRF393233:SRF393236 TBB393233:TBB393236 TKX393233:TKX393236 TUT393233:TUT393236 UEP393233:UEP393236 UOL393233:UOL393236 UYH393233:UYH393236 VID393233:VID393236 VRZ393233:VRZ393236 WBV393233:WBV393236 WLR393233:WLR393236 WVN393233:WVN393236 F458769:F458772 JB458769:JB458772 SX458769:SX458772 ACT458769:ACT458772 AMP458769:AMP458772 AWL458769:AWL458772 BGH458769:BGH458772 BQD458769:BQD458772 BZZ458769:BZZ458772 CJV458769:CJV458772 CTR458769:CTR458772 DDN458769:DDN458772 DNJ458769:DNJ458772 DXF458769:DXF458772 EHB458769:EHB458772 EQX458769:EQX458772 FAT458769:FAT458772 FKP458769:FKP458772 FUL458769:FUL458772 GEH458769:GEH458772 GOD458769:GOD458772 GXZ458769:GXZ458772 HHV458769:HHV458772 HRR458769:HRR458772 IBN458769:IBN458772 ILJ458769:ILJ458772 IVF458769:IVF458772 JFB458769:JFB458772 JOX458769:JOX458772 JYT458769:JYT458772 KIP458769:KIP458772 KSL458769:KSL458772 LCH458769:LCH458772 LMD458769:LMD458772 LVZ458769:LVZ458772 MFV458769:MFV458772 MPR458769:MPR458772 MZN458769:MZN458772 NJJ458769:NJJ458772 NTF458769:NTF458772 ODB458769:ODB458772 OMX458769:OMX458772 OWT458769:OWT458772 PGP458769:PGP458772 PQL458769:PQL458772 QAH458769:QAH458772 QKD458769:QKD458772 QTZ458769:QTZ458772 RDV458769:RDV458772 RNR458769:RNR458772 RXN458769:RXN458772 SHJ458769:SHJ458772 SRF458769:SRF458772 TBB458769:TBB458772 TKX458769:TKX458772 TUT458769:TUT458772 UEP458769:UEP458772 UOL458769:UOL458772 UYH458769:UYH458772 VID458769:VID458772 VRZ458769:VRZ458772 WBV458769:WBV458772 WLR458769:WLR458772 WVN458769:WVN458772 F524305:F524308 JB524305:JB524308 SX524305:SX524308 ACT524305:ACT524308 AMP524305:AMP524308 AWL524305:AWL524308 BGH524305:BGH524308 BQD524305:BQD524308 BZZ524305:BZZ524308 CJV524305:CJV524308 CTR524305:CTR524308 DDN524305:DDN524308 DNJ524305:DNJ524308 DXF524305:DXF524308 EHB524305:EHB524308 EQX524305:EQX524308 FAT524305:FAT524308 FKP524305:FKP524308 FUL524305:FUL524308 GEH524305:GEH524308 GOD524305:GOD524308 GXZ524305:GXZ524308 HHV524305:HHV524308 HRR524305:HRR524308 IBN524305:IBN524308 ILJ524305:ILJ524308 IVF524305:IVF524308 JFB524305:JFB524308 JOX524305:JOX524308 JYT524305:JYT524308 KIP524305:KIP524308 KSL524305:KSL524308 LCH524305:LCH524308 LMD524305:LMD524308 LVZ524305:LVZ524308 MFV524305:MFV524308 MPR524305:MPR524308 MZN524305:MZN524308 NJJ524305:NJJ524308 NTF524305:NTF524308 ODB524305:ODB524308 OMX524305:OMX524308 OWT524305:OWT524308 PGP524305:PGP524308 PQL524305:PQL524308 QAH524305:QAH524308 QKD524305:QKD524308 QTZ524305:QTZ524308 RDV524305:RDV524308 RNR524305:RNR524308 RXN524305:RXN524308 SHJ524305:SHJ524308 SRF524305:SRF524308 TBB524305:TBB524308 TKX524305:TKX524308 TUT524305:TUT524308 UEP524305:UEP524308 UOL524305:UOL524308 UYH524305:UYH524308 VID524305:VID524308 VRZ524305:VRZ524308 WBV524305:WBV524308 WLR524305:WLR524308 WVN524305:WVN524308 F589841:F589844 JB589841:JB589844 SX589841:SX589844 ACT589841:ACT589844 AMP589841:AMP589844 AWL589841:AWL589844 BGH589841:BGH589844 BQD589841:BQD589844 BZZ589841:BZZ589844 CJV589841:CJV589844 CTR589841:CTR589844 DDN589841:DDN589844 DNJ589841:DNJ589844 DXF589841:DXF589844 EHB589841:EHB589844 EQX589841:EQX589844 FAT589841:FAT589844 FKP589841:FKP589844 FUL589841:FUL589844 GEH589841:GEH589844 GOD589841:GOD589844 GXZ589841:GXZ589844 HHV589841:HHV589844 HRR589841:HRR589844 IBN589841:IBN589844 ILJ589841:ILJ589844 IVF589841:IVF589844 JFB589841:JFB589844 JOX589841:JOX589844 JYT589841:JYT589844 KIP589841:KIP589844 KSL589841:KSL589844 LCH589841:LCH589844 LMD589841:LMD589844 LVZ589841:LVZ589844 MFV589841:MFV589844 MPR589841:MPR589844 MZN589841:MZN589844 NJJ589841:NJJ589844 NTF589841:NTF589844 ODB589841:ODB589844 OMX589841:OMX589844 OWT589841:OWT589844 PGP589841:PGP589844 PQL589841:PQL589844 QAH589841:QAH589844 QKD589841:QKD589844 QTZ589841:QTZ589844 RDV589841:RDV589844 RNR589841:RNR589844 RXN589841:RXN589844 SHJ589841:SHJ589844 SRF589841:SRF589844 TBB589841:TBB589844 TKX589841:TKX589844 TUT589841:TUT589844 UEP589841:UEP589844 UOL589841:UOL589844 UYH589841:UYH589844 VID589841:VID589844 VRZ589841:VRZ589844 WBV589841:WBV589844 WLR589841:WLR589844 WVN589841:WVN589844 F655377:F655380 JB655377:JB655380 SX655377:SX655380 ACT655377:ACT655380 AMP655377:AMP655380 AWL655377:AWL655380 BGH655377:BGH655380 BQD655377:BQD655380 BZZ655377:BZZ655380 CJV655377:CJV655380 CTR655377:CTR655380 DDN655377:DDN655380 DNJ655377:DNJ655380 DXF655377:DXF655380 EHB655377:EHB655380 EQX655377:EQX655380 FAT655377:FAT655380 FKP655377:FKP655380 FUL655377:FUL655380 GEH655377:GEH655380 GOD655377:GOD655380 GXZ655377:GXZ655380 HHV655377:HHV655380 HRR655377:HRR655380 IBN655377:IBN655380 ILJ655377:ILJ655380 IVF655377:IVF655380 JFB655377:JFB655380 JOX655377:JOX655380 JYT655377:JYT655380 KIP655377:KIP655380 KSL655377:KSL655380 LCH655377:LCH655380 LMD655377:LMD655380 LVZ655377:LVZ655380 MFV655377:MFV655380 MPR655377:MPR655380 MZN655377:MZN655380 NJJ655377:NJJ655380 NTF655377:NTF655380 ODB655377:ODB655380 OMX655377:OMX655380 OWT655377:OWT655380 PGP655377:PGP655380 PQL655377:PQL655380 QAH655377:QAH655380 QKD655377:QKD655380 QTZ655377:QTZ655380 RDV655377:RDV655380 RNR655377:RNR655380 RXN655377:RXN655380 SHJ655377:SHJ655380 SRF655377:SRF655380 TBB655377:TBB655380 TKX655377:TKX655380 TUT655377:TUT655380 UEP655377:UEP655380 UOL655377:UOL655380 UYH655377:UYH655380 VID655377:VID655380 VRZ655377:VRZ655380 WBV655377:WBV655380 WLR655377:WLR655380 WVN655377:WVN655380 F720913:F720916 JB720913:JB720916 SX720913:SX720916 ACT720913:ACT720916 AMP720913:AMP720916 AWL720913:AWL720916 BGH720913:BGH720916 BQD720913:BQD720916 BZZ720913:BZZ720916 CJV720913:CJV720916 CTR720913:CTR720916 DDN720913:DDN720916 DNJ720913:DNJ720916 DXF720913:DXF720916 EHB720913:EHB720916 EQX720913:EQX720916 FAT720913:FAT720916 FKP720913:FKP720916 FUL720913:FUL720916 GEH720913:GEH720916 GOD720913:GOD720916 GXZ720913:GXZ720916 HHV720913:HHV720916 HRR720913:HRR720916 IBN720913:IBN720916 ILJ720913:ILJ720916 IVF720913:IVF720916 JFB720913:JFB720916 JOX720913:JOX720916 JYT720913:JYT720916 KIP720913:KIP720916 KSL720913:KSL720916 LCH720913:LCH720916 LMD720913:LMD720916 LVZ720913:LVZ720916 MFV720913:MFV720916 MPR720913:MPR720916 MZN720913:MZN720916 NJJ720913:NJJ720916 NTF720913:NTF720916 ODB720913:ODB720916 OMX720913:OMX720916 OWT720913:OWT720916 PGP720913:PGP720916 PQL720913:PQL720916 QAH720913:QAH720916 QKD720913:QKD720916 QTZ720913:QTZ720916 RDV720913:RDV720916 RNR720913:RNR720916 RXN720913:RXN720916 SHJ720913:SHJ720916 SRF720913:SRF720916 TBB720913:TBB720916 TKX720913:TKX720916 TUT720913:TUT720916 UEP720913:UEP720916 UOL720913:UOL720916 UYH720913:UYH720916 VID720913:VID720916 VRZ720913:VRZ720916 WBV720913:WBV720916 WLR720913:WLR720916 WVN720913:WVN720916 F786449:F786452 JB786449:JB786452 SX786449:SX786452 ACT786449:ACT786452 AMP786449:AMP786452 AWL786449:AWL786452 BGH786449:BGH786452 BQD786449:BQD786452 BZZ786449:BZZ786452 CJV786449:CJV786452 CTR786449:CTR786452 DDN786449:DDN786452 DNJ786449:DNJ786452 DXF786449:DXF786452 EHB786449:EHB786452 EQX786449:EQX786452 FAT786449:FAT786452 FKP786449:FKP786452 FUL786449:FUL786452 GEH786449:GEH786452 GOD786449:GOD786452 GXZ786449:GXZ786452 HHV786449:HHV786452 HRR786449:HRR786452 IBN786449:IBN786452 ILJ786449:ILJ786452 IVF786449:IVF786452 JFB786449:JFB786452 JOX786449:JOX786452 JYT786449:JYT786452 KIP786449:KIP786452 KSL786449:KSL786452 LCH786449:LCH786452 LMD786449:LMD786452 LVZ786449:LVZ786452 MFV786449:MFV786452 MPR786449:MPR786452 MZN786449:MZN786452 NJJ786449:NJJ786452 NTF786449:NTF786452 ODB786449:ODB786452 OMX786449:OMX786452 OWT786449:OWT786452 PGP786449:PGP786452 PQL786449:PQL786452 QAH786449:QAH786452 QKD786449:QKD786452 QTZ786449:QTZ786452 RDV786449:RDV786452 RNR786449:RNR786452 RXN786449:RXN786452 SHJ786449:SHJ786452 SRF786449:SRF786452 TBB786449:TBB786452 TKX786449:TKX786452 TUT786449:TUT786452 UEP786449:UEP786452 UOL786449:UOL786452 UYH786449:UYH786452 VID786449:VID786452 VRZ786449:VRZ786452 WBV786449:WBV786452 WLR786449:WLR786452 WVN786449:WVN786452 F851985:F851988 JB851985:JB851988 SX851985:SX851988 ACT851985:ACT851988 AMP851985:AMP851988 AWL851985:AWL851988 BGH851985:BGH851988 BQD851985:BQD851988 BZZ851985:BZZ851988 CJV851985:CJV851988 CTR851985:CTR851988 DDN851985:DDN851988 DNJ851985:DNJ851988 DXF851985:DXF851988 EHB851985:EHB851988 EQX851985:EQX851988 FAT851985:FAT851988 FKP851985:FKP851988 FUL851985:FUL851988 GEH851985:GEH851988 GOD851985:GOD851988 GXZ851985:GXZ851988 HHV851985:HHV851988 HRR851985:HRR851988 IBN851985:IBN851988 ILJ851985:ILJ851988 IVF851985:IVF851988 JFB851985:JFB851988 JOX851985:JOX851988 JYT851985:JYT851988 KIP851985:KIP851988 KSL851985:KSL851988 LCH851985:LCH851988 LMD851985:LMD851988 LVZ851985:LVZ851988 MFV851985:MFV851988 MPR851985:MPR851988 MZN851985:MZN851988 NJJ851985:NJJ851988 NTF851985:NTF851988 ODB851985:ODB851988 OMX851985:OMX851988 OWT851985:OWT851988 PGP851985:PGP851988 PQL851985:PQL851988 QAH851985:QAH851988 QKD851985:QKD851988 QTZ851985:QTZ851988 RDV851985:RDV851988 RNR851985:RNR851988 RXN851985:RXN851988 SHJ851985:SHJ851988 SRF851985:SRF851988 TBB851985:TBB851988 TKX851985:TKX851988 TUT851985:TUT851988 UEP851985:UEP851988 UOL851985:UOL851988 UYH851985:UYH851988 VID851985:VID851988 VRZ851985:VRZ851988 WBV851985:WBV851988 WLR851985:WLR851988 WVN851985:WVN851988 F917521:F917524 JB917521:JB917524 SX917521:SX917524 ACT917521:ACT917524 AMP917521:AMP917524 AWL917521:AWL917524 BGH917521:BGH917524 BQD917521:BQD917524 BZZ917521:BZZ917524 CJV917521:CJV917524 CTR917521:CTR917524 DDN917521:DDN917524 DNJ917521:DNJ917524 DXF917521:DXF917524 EHB917521:EHB917524 EQX917521:EQX917524 FAT917521:FAT917524 FKP917521:FKP917524 FUL917521:FUL917524 GEH917521:GEH917524 GOD917521:GOD917524 GXZ917521:GXZ917524 HHV917521:HHV917524 HRR917521:HRR917524 IBN917521:IBN917524 ILJ917521:ILJ917524 IVF917521:IVF917524 JFB917521:JFB917524 JOX917521:JOX917524 JYT917521:JYT917524 KIP917521:KIP917524 KSL917521:KSL917524 LCH917521:LCH917524 LMD917521:LMD917524 LVZ917521:LVZ917524 MFV917521:MFV917524 MPR917521:MPR917524 MZN917521:MZN917524 NJJ917521:NJJ917524 NTF917521:NTF917524 ODB917521:ODB917524 OMX917521:OMX917524 OWT917521:OWT917524 PGP917521:PGP917524 PQL917521:PQL917524 QAH917521:QAH917524 QKD917521:QKD917524 QTZ917521:QTZ917524 RDV917521:RDV917524 RNR917521:RNR917524 RXN917521:RXN917524 SHJ917521:SHJ917524 SRF917521:SRF917524 TBB917521:TBB917524 TKX917521:TKX917524 TUT917521:TUT917524 UEP917521:UEP917524 UOL917521:UOL917524 UYH917521:UYH917524 VID917521:VID917524 VRZ917521:VRZ917524 WBV917521:WBV917524 WLR917521:WLR917524 WVN917521:WVN917524 F983057:F983060 JB983057:JB983060 SX983057:SX983060 ACT983057:ACT983060 AMP983057:AMP983060 AWL983057:AWL983060 BGH983057:BGH983060 BQD983057:BQD983060 BZZ983057:BZZ983060 CJV983057:CJV983060 CTR983057:CTR983060 DDN983057:DDN983060 DNJ983057:DNJ983060 DXF983057:DXF983060 EHB983057:EHB983060 EQX983057:EQX983060 FAT983057:FAT983060 FKP983057:FKP983060 FUL983057:FUL983060 GEH983057:GEH983060 GOD983057:GOD983060 GXZ983057:GXZ983060 HHV983057:HHV983060 HRR983057:HRR983060 IBN983057:IBN983060 ILJ983057:ILJ983060 IVF983057:IVF983060 JFB983057:JFB983060 JOX983057:JOX983060 JYT983057:JYT983060 KIP983057:KIP983060 KSL983057:KSL983060 LCH983057:LCH983060 LMD983057:LMD983060 LVZ983057:LVZ983060 MFV983057:MFV983060 MPR983057:MPR983060 MZN983057:MZN983060 NJJ983057:NJJ983060 NTF983057:NTF983060 ODB983057:ODB983060 OMX983057:OMX983060 OWT983057:OWT983060 PGP983057:PGP983060 PQL983057:PQL983060 QAH983057:QAH983060 QKD983057:QKD983060 QTZ983057:QTZ983060 RDV983057:RDV983060 RNR983057:RNR983060 RXN983057:RXN983060 SHJ983057:SHJ983060 SRF983057:SRF983060 TBB983057:TBB983060 TKX983057:TKX983060 TUT983057:TUT983060 UEP983057:UEP983060 UOL983057:UOL983060 UYH983057:UYH983060 VID983057:VID983060 VRZ983057:VRZ983060 WBV983057:WBV983060 WLR983057:WLR983060 WVN983057:WVN983060 I17:I20 JE17:JE20 TA17:TA20 ACW17:ACW20 AMS17:AMS20 AWO17:AWO20 BGK17:BGK20 BQG17:BQG20 CAC17:CAC20 CJY17:CJY20 CTU17:CTU20 DDQ17:DDQ20 DNM17:DNM20 DXI17:DXI20 EHE17:EHE20 ERA17:ERA20 FAW17:FAW20 FKS17:FKS20 FUO17:FUO20 GEK17:GEK20 GOG17:GOG20 GYC17:GYC20 HHY17:HHY20 HRU17:HRU20 IBQ17:IBQ20 ILM17:ILM20 IVI17:IVI20 JFE17:JFE20 JPA17:JPA20 JYW17:JYW20 KIS17:KIS20 KSO17:KSO20 LCK17:LCK20 LMG17:LMG20 LWC17:LWC20 MFY17:MFY20 MPU17:MPU20 MZQ17:MZQ20 NJM17:NJM20 NTI17:NTI20 ODE17:ODE20 ONA17:ONA20 OWW17:OWW20 PGS17:PGS20 PQO17:PQO20 QAK17:QAK20 QKG17:QKG20 QUC17:QUC20 RDY17:RDY20 RNU17:RNU20 RXQ17:RXQ20 SHM17:SHM20 SRI17:SRI20 TBE17:TBE20 TLA17:TLA20 TUW17:TUW20 UES17:UES20 UOO17:UOO20 UYK17:UYK20 VIG17:VIG20 VSC17:VSC20 WBY17:WBY20 WLU17:WLU20 WVQ17:WVQ20 I65553:I65556 JE65553:JE65556 TA65553:TA65556 ACW65553:ACW65556 AMS65553:AMS65556 AWO65553:AWO65556 BGK65553:BGK65556 BQG65553:BQG65556 CAC65553:CAC65556 CJY65553:CJY65556 CTU65553:CTU65556 DDQ65553:DDQ65556 DNM65553:DNM65556 DXI65553:DXI65556 EHE65553:EHE65556 ERA65553:ERA65556 FAW65553:FAW65556 FKS65553:FKS65556 FUO65553:FUO65556 GEK65553:GEK65556 GOG65553:GOG65556 GYC65553:GYC65556 HHY65553:HHY65556 HRU65553:HRU65556 IBQ65553:IBQ65556 ILM65553:ILM65556 IVI65553:IVI65556 JFE65553:JFE65556 JPA65553:JPA65556 JYW65553:JYW65556 KIS65553:KIS65556 KSO65553:KSO65556 LCK65553:LCK65556 LMG65553:LMG65556 LWC65553:LWC65556 MFY65553:MFY65556 MPU65553:MPU65556 MZQ65553:MZQ65556 NJM65553:NJM65556 NTI65553:NTI65556 ODE65553:ODE65556 ONA65553:ONA65556 OWW65553:OWW65556 PGS65553:PGS65556 PQO65553:PQO65556 QAK65553:QAK65556 QKG65553:QKG65556 QUC65553:QUC65556 RDY65553:RDY65556 RNU65553:RNU65556 RXQ65553:RXQ65556 SHM65553:SHM65556 SRI65553:SRI65556 TBE65553:TBE65556 TLA65553:TLA65556 TUW65553:TUW65556 UES65553:UES65556 UOO65553:UOO65556 UYK65553:UYK65556 VIG65553:VIG65556 VSC65553:VSC65556 WBY65553:WBY65556 WLU65553:WLU65556 WVQ65553:WVQ65556 I131089:I131092 JE131089:JE131092 TA131089:TA131092 ACW131089:ACW131092 AMS131089:AMS131092 AWO131089:AWO131092 BGK131089:BGK131092 BQG131089:BQG131092 CAC131089:CAC131092 CJY131089:CJY131092 CTU131089:CTU131092 DDQ131089:DDQ131092 DNM131089:DNM131092 DXI131089:DXI131092 EHE131089:EHE131092 ERA131089:ERA131092 FAW131089:FAW131092 FKS131089:FKS131092 FUO131089:FUO131092 GEK131089:GEK131092 GOG131089:GOG131092 GYC131089:GYC131092 HHY131089:HHY131092 HRU131089:HRU131092 IBQ131089:IBQ131092 ILM131089:ILM131092 IVI131089:IVI131092 JFE131089:JFE131092 JPA131089:JPA131092 JYW131089:JYW131092 KIS131089:KIS131092 KSO131089:KSO131092 LCK131089:LCK131092 LMG131089:LMG131092 LWC131089:LWC131092 MFY131089:MFY131092 MPU131089:MPU131092 MZQ131089:MZQ131092 NJM131089:NJM131092 NTI131089:NTI131092 ODE131089:ODE131092 ONA131089:ONA131092 OWW131089:OWW131092 PGS131089:PGS131092 PQO131089:PQO131092 QAK131089:QAK131092 QKG131089:QKG131092 QUC131089:QUC131092 RDY131089:RDY131092 RNU131089:RNU131092 RXQ131089:RXQ131092 SHM131089:SHM131092 SRI131089:SRI131092 TBE131089:TBE131092 TLA131089:TLA131092 TUW131089:TUW131092 UES131089:UES131092 UOO131089:UOO131092 UYK131089:UYK131092 VIG131089:VIG131092 VSC131089:VSC131092 WBY131089:WBY131092 WLU131089:WLU131092 WVQ131089:WVQ131092 I196625:I196628 JE196625:JE196628 TA196625:TA196628 ACW196625:ACW196628 AMS196625:AMS196628 AWO196625:AWO196628 BGK196625:BGK196628 BQG196625:BQG196628 CAC196625:CAC196628 CJY196625:CJY196628 CTU196625:CTU196628 DDQ196625:DDQ196628 DNM196625:DNM196628 DXI196625:DXI196628 EHE196625:EHE196628 ERA196625:ERA196628 FAW196625:FAW196628 FKS196625:FKS196628 FUO196625:FUO196628 GEK196625:GEK196628 GOG196625:GOG196628 GYC196625:GYC196628 HHY196625:HHY196628 HRU196625:HRU196628 IBQ196625:IBQ196628 ILM196625:ILM196628 IVI196625:IVI196628 JFE196625:JFE196628 JPA196625:JPA196628 JYW196625:JYW196628 KIS196625:KIS196628 KSO196625:KSO196628 LCK196625:LCK196628 LMG196625:LMG196628 LWC196625:LWC196628 MFY196625:MFY196628 MPU196625:MPU196628 MZQ196625:MZQ196628 NJM196625:NJM196628 NTI196625:NTI196628 ODE196625:ODE196628 ONA196625:ONA196628 OWW196625:OWW196628 PGS196625:PGS196628 PQO196625:PQO196628 QAK196625:QAK196628 QKG196625:QKG196628 QUC196625:QUC196628 RDY196625:RDY196628 RNU196625:RNU196628 RXQ196625:RXQ196628 SHM196625:SHM196628 SRI196625:SRI196628 TBE196625:TBE196628 TLA196625:TLA196628 TUW196625:TUW196628 UES196625:UES196628 UOO196625:UOO196628 UYK196625:UYK196628 VIG196625:VIG196628 VSC196625:VSC196628 WBY196625:WBY196628 WLU196625:WLU196628 WVQ196625:WVQ196628 I262161:I262164 JE262161:JE262164 TA262161:TA262164 ACW262161:ACW262164 AMS262161:AMS262164 AWO262161:AWO262164 BGK262161:BGK262164 BQG262161:BQG262164 CAC262161:CAC262164 CJY262161:CJY262164 CTU262161:CTU262164 DDQ262161:DDQ262164 DNM262161:DNM262164 DXI262161:DXI262164 EHE262161:EHE262164 ERA262161:ERA262164 FAW262161:FAW262164 FKS262161:FKS262164 FUO262161:FUO262164 GEK262161:GEK262164 GOG262161:GOG262164 GYC262161:GYC262164 HHY262161:HHY262164 HRU262161:HRU262164 IBQ262161:IBQ262164 ILM262161:ILM262164 IVI262161:IVI262164 JFE262161:JFE262164 JPA262161:JPA262164 JYW262161:JYW262164 KIS262161:KIS262164 KSO262161:KSO262164 LCK262161:LCK262164 LMG262161:LMG262164 LWC262161:LWC262164 MFY262161:MFY262164 MPU262161:MPU262164 MZQ262161:MZQ262164 NJM262161:NJM262164 NTI262161:NTI262164 ODE262161:ODE262164 ONA262161:ONA262164 OWW262161:OWW262164 PGS262161:PGS262164 PQO262161:PQO262164 QAK262161:QAK262164 QKG262161:QKG262164 QUC262161:QUC262164 RDY262161:RDY262164 RNU262161:RNU262164 RXQ262161:RXQ262164 SHM262161:SHM262164 SRI262161:SRI262164 TBE262161:TBE262164 TLA262161:TLA262164 TUW262161:TUW262164 UES262161:UES262164 UOO262161:UOO262164 UYK262161:UYK262164 VIG262161:VIG262164 VSC262161:VSC262164 WBY262161:WBY262164 WLU262161:WLU262164 WVQ262161:WVQ262164 I327697:I327700 JE327697:JE327700 TA327697:TA327700 ACW327697:ACW327700 AMS327697:AMS327700 AWO327697:AWO327700 BGK327697:BGK327700 BQG327697:BQG327700 CAC327697:CAC327700 CJY327697:CJY327700 CTU327697:CTU327700 DDQ327697:DDQ327700 DNM327697:DNM327700 DXI327697:DXI327700 EHE327697:EHE327700 ERA327697:ERA327700 FAW327697:FAW327700 FKS327697:FKS327700 FUO327697:FUO327700 GEK327697:GEK327700 GOG327697:GOG327700 GYC327697:GYC327700 HHY327697:HHY327700 HRU327697:HRU327700 IBQ327697:IBQ327700 ILM327697:ILM327700 IVI327697:IVI327700 JFE327697:JFE327700 JPA327697:JPA327700 JYW327697:JYW327700 KIS327697:KIS327700 KSO327697:KSO327700 LCK327697:LCK327700 LMG327697:LMG327700 LWC327697:LWC327700 MFY327697:MFY327700 MPU327697:MPU327700 MZQ327697:MZQ327700 NJM327697:NJM327700 NTI327697:NTI327700 ODE327697:ODE327700 ONA327697:ONA327700 OWW327697:OWW327700 PGS327697:PGS327700 PQO327697:PQO327700 QAK327697:QAK327700 QKG327697:QKG327700 QUC327697:QUC327700 RDY327697:RDY327700 RNU327697:RNU327700 RXQ327697:RXQ327700 SHM327697:SHM327700 SRI327697:SRI327700 TBE327697:TBE327700 TLA327697:TLA327700 TUW327697:TUW327700 UES327697:UES327700 UOO327697:UOO327700 UYK327697:UYK327700 VIG327697:VIG327700 VSC327697:VSC327700 WBY327697:WBY327700 WLU327697:WLU327700 WVQ327697:WVQ327700 I393233:I393236 JE393233:JE393236 TA393233:TA393236 ACW393233:ACW393236 AMS393233:AMS393236 AWO393233:AWO393236 BGK393233:BGK393236 BQG393233:BQG393236 CAC393233:CAC393236 CJY393233:CJY393236 CTU393233:CTU393236 DDQ393233:DDQ393236 DNM393233:DNM393236 DXI393233:DXI393236 EHE393233:EHE393236 ERA393233:ERA393236 FAW393233:FAW393236 FKS393233:FKS393236 FUO393233:FUO393236 GEK393233:GEK393236 GOG393233:GOG393236 GYC393233:GYC393236 HHY393233:HHY393236 HRU393233:HRU393236 IBQ393233:IBQ393236 ILM393233:ILM393236 IVI393233:IVI393236 JFE393233:JFE393236 JPA393233:JPA393236 JYW393233:JYW393236 KIS393233:KIS393236 KSO393233:KSO393236 LCK393233:LCK393236 LMG393233:LMG393236 LWC393233:LWC393236 MFY393233:MFY393236 MPU393233:MPU393236 MZQ393233:MZQ393236 NJM393233:NJM393236 NTI393233:NTI393236 ODE393233:ODE393236 ONA393233:ONA393236 OWW393233:OWW393236 PGS393233:PGS393236 PQO393233:PQO393236 QAK393233:QAK393236 QKG393233:QKG393236 QUC393233:QUC393236 RDY393233:RDY393236 RNU393233:RNU393236 RXQ393233:RXQ393236 SHM393233:SHM393236 SRI393233:SRI393236 TBE393233:TBE393236 TLA393233:TLA393236 TUW393233:TUW393236 UES393233:UES393236 UOO393233:UOO393236 UYK393233:UYK393236 VIG393233:VIG393236 VSC393233:VSC393236 WBY393233:WBY393236 WLU393233:WLU393236 WVQ393233:WVQ393236 I458769:I458772 JE458769:JE458772 TA458769:TA458772 ACW458769:ACW458772 AMS458769:AMS458772 AWO458769:AWO458772 BGK458769:BGK458772 BQG458769:BQG458772 CAC458769:CAC458772 CJY458769:CJY458772 CTU458769:CTU458772 DDQ458769:DDQ458772 DNM458769:DNM458772 DXI458769:DXI458772 EHE458769:EHE458772 ERA458769:ERA458772 FAW458769:FAW458772 FKS458769:FKS458772 FUO458769:FUO458772 GEK458769:GEK458772 GOG458769:GOG458772 GYC458769:GYC458772 HHY458769:HHY458772 HRU458769:HRU458772 IBQ458769:IBQ458772 ILM458769:ILM458772 IVI458769:IVI458772 JFE458769:JFE458772 JPA458769:JPA458772 JYW458769:JYW458772 KIS458769:KIS458772 KSO458769:KSO458772 LCK458769:LCK458772 LMG458769:LMG458772 LWC458769:LWC458772 MFY458769:MFY458772 MPU458769:MPU458772 MZQ458769:MZQ458772 NJM458769:NJM458772 NTI458769:NTI458772 ODE458769:ODE458772 ONA458769:ONA458772 OWW458769:OWW458772 PGS458769:PGS458772 PQO458769:PQO458772 QAK458769:QAK458772 QKG458769:QKG458772 QUC458769:QUC458772 RDY458769:RDY458772 RNU458769:RNU458772 RXQ458769:RXQ458772 SHM458769:SHM458772 SRI458769:SRI458772 TBE458769:TBE458772 TLA458769:TLA458772 TUW458769:TUW458772 UES458769:UES458772 UOO458769:UOO458772 UYK458769:UYK458772 VIG458769:VIG458772 VSC458769:VSC458772 WBY458769:WBY458772 WLU458769:WLU458772 WVQ458769:WVQ458772 I524305:I524308 JE524305:JE524308 TA524305:TA524308 ACW524305:ACW524308 AMS524305:AMS524308 AWO524305:AWO524308 BGK524305:BGK524308 BQG524305:BQG524308 CAC524305:CAC524308 CJY524305:CJY524308 CTU524305:CTU524308 DDQ524305:DDQ524308 DNM524305:DNM524308 DXI524305:DXI524308 EHE524305:EHE524308 ERA524305:ERA524308 FAW524305:FAW524308 FKS524305:FKS524308 FUO524305:FUO524308 GEK524305:GEK524308 GOG524305:GOG524308 GYC524305:GYC524308 HHY524305:HHY524308 HRU524305:HRU524308 IBQ524305:IBQ524308 ILM524305:ILM524308 IVI524305:IVI524308 JFE524305:JFE524308 JPA524305:JPA524308 JYW524305:JYW524308 KIS524305:KIS524308 KSO524305:KSO524308 LCK524305:LCK524308 LMG524305:LMG524308 LWC524305:LWC524308 MFY524305:MFY524308 MPU524305:MPU524308 MZQ524305:MZQ524308 NJM524305:NJM524308 NTI524305:NTI524308 ODE524305:ODE524308 ONA524305:ONA524308 OWW524305:OWW524308 PGS524305:PGS524308 PQO524305:PQO524308 QAK524305:QAK524308 QKG524305:QKG524308 QUC524305:QUC524308 RDY524305:RDY524308 RNU524305:RNU524308 RXQ524305:RXQ524308 SHM524305:SHM524308 SRI524305:SRI524308 TBE524305:TBE524308 TLA524305:TLA524308 TUW524305:TUW524308 UES524305:UES524308 UOO524305:UOO524308 UYK524305:UYK524308 VIG524305:VIG524308 VSC524305:VSC524308 WBY524305:WBY524308 WLU524305:WLU524308 WVQ524305:WVQ524308 I589841:I589844 JE589841:JE589844 TA589841:TA589844 ACW589841:ACW589844 AMS589841:AMS589844 AWO589841:AWO589844 BGK589841:BGK589844 BQG589841:BQG589844 CAC589841:CAC589844 CJY589841:CJY589844 CTU589841:CTU589844 DDQ589841:DDQ589844 DNM589841:DNM589844 DXI589841:DXI589844 EHE589841:EHE589844 ERA589841:ERA589844 FAW589841:FAW589844 FKS589841:FKS589844 FUO589841:FUO589844 GEK589841:GEK589844 GOG589841:GOG589844 GYC589841:GYC589844 HHY589841:HHY589844 HRU589841:HRU589844 IBQ589841:IBQ589844 ILM589841:ILM589844 IVI589841:IVI589844 JFE589841:JFE589844 JPA589841:JPA589844 JYW589841:JYW589844 KIS589841:KIS589844 KSO589841:KSO589844 LCK589841:LCK589844 LMG589841:LMG589844 LWC589841:LWC589844 MFY589841:MFY589844 MPU589841:MPU589844 MZQ589841:MZQ589844 NJM589841:NJM589844 NTI589841:NTI589844 ODE589841:ODE589844 ONA589841:ONA589844 OWW589841:OWW589844 PGS589841:PGS589844 PQO589841:PQO589844 QAK589841:QAK589844 QKG589841:QKG589844 QUC589841:QUC589844 RDY589841:RDY589844 RNU589841:RNU589844 RXQ589841:RXQ589844 SHM589841:SHM589844 SRI589841:SRI589844 TBE589841:TBE589844 TLA589841:TLA589844 TUW589841:TUW589844 UES589841:UES589844 UOO589841:UOO589844 UYK589841:UYK589844 VIG589841:VIG589844 VSC589841:VSC589844 WBY589841:WBY589844 WLU589841:WLU589844 WVQ589841:WVQ589844 I655377:I655380 JE655377:JE655380 TA655377:TA655380 ACW655377:ACW655380 AMS655377:AMS655380 AWO655377:AWO655380 BGK655377:BGK655380 BQG655377:BQG655380 CAC655377:CAC655380 CJY655377:CJY655380 CTU655377:CTU655380 DDQ655377:DDQ655380 DNM655377:DNM655380 DXI655377:DXI655380 EHE655377:EHE655380 ERA655377:ERA655380 FAW655377:FAW655380 FKS655377:FKS655380 FUO655377:FUO655380 GEK655377:GEK655380 GOG655377:GOG655380 GYC655377:GYC655380 HHY655377:HHY655380 HRU655377:HRU655380 IBQ655377:IBQ655380 ILM655377:ILM655380 IVI655377:IVI655380 JFE655377:JFE655380 JPA655377:JPA655380 JYW655377:JYW655380 KIS655377:KIS655380 KSO655377:KSO655380 LCK655377:LCK655380 LMG655377:LMG655380 LWC655377:LWC655380 MFY655377:MFY655380 MPU655377:MPU655380 MZQ655377:MZQ655380 NJM655377:NJM655380 NTI655377:NTI655380 ODE655377:ODE655380 ONA655377:ONA655380 OWW655377:OWW655380 PGS655377:PGS655380 PQO655377:PQO655380 QAK655377:QAK655380 QKG655377:QKG655380 QUC655377:QUC655380 RDY655377:RDY655380 RNU655377:RNU655380 RXQ655377:RXQ655380 SHM655377:SHM655380 SRI655377:SRI655380 TBE655377:TBE655380 TLA655377:TLA655380 TUW655377:TUW655380 UES655377:UES655380 UOO655377:UOO655380 UYK655377:UYK655380 VIG655377:VIG655380 VSC655377:VSC655380 WBY655377:WBY655380 WLU655377:WLU655380 WVQ655377:WVQ655380 I720913:I720916 JE720913:JE720916 TA720913:TA720916 ACW720913:ACW720916 AMS720913:AMS720916 AWO720913:AWO720916 BGK720913:BGK720916 BQG720913:BQG720916 CAC720913:CAC720916 CJY720913:CJY720916 CTU720913:CTU720916 DDQ720913:DDQ720916 DNM720913:DNM720916 DXI720913:DXI720916 EHE720913:EHE720916 ERA720913:ERA720916 FAW720913:FAW720916 FKS720913:FKS720916 FUO720913:FUO720916 GEK720913:GEK720916 GOG720913:GOG720916 GYC720913:GYC720916 HHY720913:HHY720916 HRU720913:HRU720916 IBQ720913:IBQ720916 ILM720913:ILM720916 IVI720913:IVI720916 JFE720913:JFE720916 JPA720913:JPA720916 JYW720913:JYW720916 KIS720913:KIS720916 KSO720913:KSO720916 LCK720913:LCK720916 LMG720913:LMG720916 LWC720913:LWC720916 MFY720913:MFY720916 MPU720913:MPU720916 MZQ720913:MZQ720916 NJM720913:NJM720916 NTI720913:NTI720916 ODE720913:ODE720916 ONA720913:ONA720916 OWW720913:OWW720916 PGS720913:PGS720916 PQO720913:PQO720916 QAK720913:QAK720916 QKG720913:QKG720916 QUC720913:QUC720916 RDY720913:RDY720916 RNU720913:RNU720916 RXQ720913:RXQ720916 SHM720913:SHM720916 SRI720913:SRI720916 TBE720913:TBE720916 TLA720913:TLA720916 TUW720913:TUW720916 UES720913:UES720916 UOO720913:UOO720916 UYK720913:UYK720916 VIG720913:VIG720916 VSC720913:VSC720916 WBY720913:WBY720916 WLU720913:WLU720916 WVQ720913:WVQ720916 I786449:I786452 JE786449:JE786452 TA786449:TA786452 ACW786449:ACW786452 AMS786449:AMS786452 AWO786449:AWO786452 BGK786449:BGK786452 BQG786449:BQG786452 CAC786449:CAC786452 CJY786449:CJY786452 CTU786449:CTU786452 DDQ786449:DDQ786452 DNM786449:DNM786452 DXI786449:DXI786452 EHE786449:EHE786452 ERA786449:ERA786452 FAW786449:FAW786452 FKS786449:FKS786452 FUO786449:FUO786452 GEK786449:GEK786452 GOG786449:GOG786452 GYC786449:GYC786452 HHY786449:HHY786452 HRU786449:HRU786452 IBQ786449:IBQ786452 ILM786449:ILM786452 IVI786449:IVI786452 JFE786449:JFE786452 JPA786449:JPA786452 JYW786449:JYW786452 KIS786449:KIS786452 KSO786449:KSO786452 LCK786449:LCK786452 LMG786449:LMG786452 LWC786449:LWC786452 MFY786449:MFY786452 MPU786449:MPU786452 MZQ786449:MZQ786452 NJM786449:NJM786452 NTI786449:NTI786452 ODE786449:ODE786452 ONA786449:ONA786452 OWW786449:OWW786452 PGS786449:PGS786452 PQO786449:PQO786452 QAK786449:QAK786452 QKG786449:QKG786452 QUC786449:QUC786452 RDY786449:RDY786452 RNU786449:RNU786452 RXQ786449:RXQ786452 SHM786449:SHM786452 SRI786449:SRI786452 TBE786449:TBE786452 TLA786449:TLA786452 TUW786449:TUW786452 UES786449:UES786452 UOO786449:UOO786452 UYK786449:UYK786452 VIG786449:VIG786452 VSC786449:VSC786452 WBY786449:WBY786452 WLU786449:WLU786452 WVQ786449:WVQ786452 I851985:I851988 JE851985:JE851988 TA851985:TA851988 ACW851985:ACW851988 AMS851985:AMS851988 AWO851985:AWO851988 BGK851985:BGK851988 BQG851985:BQG851988 CAC851985:CAC851988 CJY851985:CJY851988 CTU851985:CTU851988 DDQ851985:DDQ851988 DNM851985:DNM851988 DXI851985:DXI851988 EHE851985:EHE851988 ERA851985:ERA851988 FAW851985:FAW851988 FKS851985:FKS851988 FUO851985:FUO851988 GEK851985:GEK851988 GOG851985:GOG851988 GYC851985:GYC851988 HHY851985:HHY851988 HRU851985:HRU851988 IBQ851985:IBQ851988 ILM851985:ILM851988 IVI851985:IVI851988 JFE851985:JFE851988 JPA851985:JPA851988 JYW851985:JYW851988 KIS851985:KIS851988 KSO851985:KSO851988 LCK851985:LCK851988 LMG851985:LMG851988 LWC851985:LWC851988 MFY851985:MFY851988 MPU851985:MPU851988 MZQ851985:MZQ851988 NJM851985:NJM851988 NTI851985:NTI851988 ODE851985:ODE851988 ONA851985:ONA851988 OWW851985:OWW851988 PGS851985:PGS851988 PQO851985:PQO851988 QAK851985:QAK851988 QKG851985:QKG851988 QUC851985:QUC851988 RDY851985:RDY851988 RNU851985:RNU851988 RXQ851985:RXQ851988 SHM851985:SHM851988 SRI851985:SRI851988 TBE851985:TBE851988 TLA851985:TLA851988 TUW851985:TUW851988 UES851985:UES851988 UOO851985:UOO851988 UYK851985:UYK851988 VIG851985:VIG851988 VSC851985:VSC851988 WBY851985:WBY851988 WLU851985:WLU851988 WVQ851985:WVQ851988 I917521:I917524 JE917521:JE917524 TA917521:TA917524 ACW917521:ACW917524 AMS917521:AMS917524 AWO917521:AWO917524 BGK917521:BGK917524 BQG917521:BQG917524 CAC917521:CAC917524 CJY917521:CJY917524 CTU917521:CTU917524 DDQ917521:DDQ917524 DNM917521:DNM917524 DXI917521:DXI917524 EHE917521:EHE917524 ERA917521:ERA917524 FAW917521:FAW917524 FKS917521:FKS917524 FUO917521:FUO917524 GEK917521:GEK917524 GOG917521:GOG917524 GYC917521:GYC917524 HHY917521:HHY917524 HRU917521:HRU917524 IBQ917521:IBQ917524 ILM917521:ILM917524 IVI917521:IVI917524 JFE917521:JFE917524 JPA917521:JPA917524 JYW917521:JYW917524 KIS917521:KIS917524 KSO917521:KSO917524 LCK917521:LCK917524 LMG917521:LMG917524 LWC917521:LWC917524 MFY917521:MFY917524 MPU917521:MPU917524 MZQ917521:MZQ917524 NJM917521:NJM917524 NTI917521:NTI917524 ODE917521:ODE917524 ONA917521:ONA917524 OWW917521:OWW917524 PGS917521:PGS917524 PQO917521:PQO917524 QAK917521:QAK917524 QKG917521:QKG917524 QUC917521:QUC917524 RDY917521:RDY917524 RNU917521:RNU917524 RXQ917521:RXQ917524 SHM917521:SHM917524 SRI917521:SRI917524 TBE917521:TBE917524 TLA917521:TLA917524 TUW917521:TUW917524 UES917521:UES917524 UOO917521:UOO917524 UYK917521:UYK917524 VIG917521:VIG917524 VSC917521:VSC917524 WBY917521:WBY917524 WLU917521:WLU917524 WVQ917521:WVQ917524 I983057:I983060 JE983057:JE983060 TA983057:TA983060 ACW983057:ACW983060 AMS983057:AMS983060 AWO983057:AWO983060 BGK983057:BGK983060 BQG983057:BQG983060 CAC983057:CAC983060 CJY983057:CJY983060 CTU983057:CTU983060 DDQ983057:DDQ983060 DNM983057:DNM983060 DXI983057:DXI983060 EHE983057:EHE983060 ERA983057:ERA983060 FAW983057:FAW983060 FKS983057:FKS983060 FUO983057:FUO983060 GEK983057:GEK983060 GOG983057:GOG983060 GYC983057:GYC983060 HHY983057:HHY983060 HRU983057:HRU983060 IBQ983057:IBQ983060 ILM983057:ILM983060 IVI983057:IVI983060 JFE983057:JFE983060 JPA983057:JPA983060 JYW983057:JYW983060 KIS983057:KIS983060 KSO983057:KSO983060 LCK983057:LCK983060 LMG983057:LMG983060 LWC983057:LWC983060 MFY983057:MFY983060 MPU983057:MPU983060 MZQ983057:MZQ983060 NJM983057:NJM983060 NTI983057:NTI983060 ODE983057:ODE983060 ONA983057:ONA983060 OWW983057:OWW983060 PGS983057:PGS983060 PQO983057:PQO983060 QAK983057:QAK983060 QKG983057:QKG983060 QUC983057:QUC983060 RDY983057:RDY983060 RNU983057:RNU983060 RXQ983057:RXQ983060 SHM983057:SHM983060 SRI983057:SRI983060 TBE983057:TBE983060 TLA983057:TLA983060 TUW983057:TUW983060 UES983057:UES983060 UOO983057:UOO983060 UYK983057:UYK983060 VIG983057:VIG983060 VSC983057:VSC983060 WBY983057:WBY983060 WLU983057:WLU983060 WVQ983057:WVQ983060 L17:L20 JH17:JH20 TD17:TD20 ACZ17:ACZ20 AMV17:AMV20 AWR17:AWR20 BGN17:BGN20 BQJ17:BQJ20 CAF17:CAF20 CKB17:CKB20 CTX17:CTX20 DDT17:DDT20 DNP17:DNP20 DXL17:DXL20 EHH17:EHH20 ERD17:ERD20 FAZ17:FAZ20 FKV17:FKV20 FUR17:FUR20 GEN17:GEN20 GOJ17:GOJ20 GYF17:GYF20 HIB17:HIB20 HRX17:HRX20 IBT17:IBT20 ILP17:ILP20 IVL17:IVL20 JFH17:JFH20 JPD17:JPD20 JYZ17:JYZ20 KIV17:KIV20 KSR17:KSR20 LCN17:LCN20 LMJ17:LMJ20 LWF17:LWF20 MGB17:MGB20 MPX17:MPX20 MZT17:MZT20 NJP17:NJP20 NTL17:NTL20 ODH17:ODH20 OND17:OND20 OWZ17:OWZ20 PGV17:PGV20 PQR17:PQR20 QAN17:QAN20 QKJ17:QKJ20 QUF17:QUF20 REB17:REB20 RNX17:RNX20 RXT17:RXT20 SHP17:SHP20 SRL17:SRL20 TBH17:TBH20 TLD17:TLD20 TUZ17:TUZ20 UEV17:UEV20 UOR17:UOR20 UYN17:UYN20 VIJ17:VIJ20 VSF17:VSF20 WCB17:WCB20 WLX17:WLX20 WVT17:WVT20 L65553:L65556 JH65553:JH65556 TD65553:TD65556 ACZ65553:ACZ65556 AMV65553:AMV65556 AWR65553:AWR65556 BGN65553:BGN65556 BQJ65553:BQJ65556 CAF65553:CAF65556 CKB65553:CKB65556 CTX65553:CTX65556 DDT65553:DDT65556 DNP65553:DNP65556 DXL65553:DXL65556 EHH65553:EHH65556 ERD65553:ERD65556 FAZ65553:FAZ65556 FKV65553:FKV65556 FUR65553:FUR65556 GEN65553:GEN65556 GOJ65553:GOJ65556 GYF65553:GYF65556 HIB65553:HIB65556 HRX65553:HRX65556 IBT65553:IBT65556 ILP65553:ILP65556 IVL65553:IVL65556 JFH65553:JFH65556 JPD65553:JPD65556 JYZ65553:JYZ65556 KIV65553:KIV65556 KSR65553:KSR65556 LCN65553:LCN65556 LMJ65553:LMJ65556 LWF65553:LWF65556 MGB65553:MGB65556 MPX65553:MPX65556 MZT65553:MZT65556 NJP65553:NJP65556 NTL65553:NTL65556 ODH65553:ODH65556 OND65553:OND65556 OWZ65553:OWZ65556 PGV65553:PGV65556 PQR65553:PQR65556 QAN65553:QAN65556 QKJ65553:QKJ65556 QUF65553:QUF65556 REB65553:REB65556 RNX65553:RNX65556 RXT65553:RXT65556 SHP65553:SHP65556 SRL65553:SRL65556 TBH65553:TBH65556 TLD65553:TLD65556 TUZ65553:TUZ65556 UEV65553:UEV65556 UOR65553:UOR65556 UYN65553:UYN65556 VIJ65553:VIJ65556 VSF65553:VSF65556 WCB65553:WCB65556 WLX65553:WLX65556 WVT65553:WVT65556 L131089:L131092 JH131089:JH131092 TD131089:TD131092 ACZ131089:ACZ131092 AMV131089:AMV131092 AWR131089:AWR131092 BGN131089:BGN131092 BQJ131089:BQJ131092 CAF131089:CAF131092 CKB131089:CKB131092 CTX131089:CTX131092 DDT131089:DDT131092 DNP131089:DNP131092 DXL131089:DXL131092 EHH131089:EHH131092 ERD131089:ERD131092 FAZ131089:FAZ131092 FKV131089:FKV131092 FUR131089:FUR131092 GEN131089:GEN131092 GOJ131089:GOJ131092 GYF131089:GYF131092 HIB131089:HIB131092 HRX131089:HRX131092 IBT131089:IBT131092 ILP131089:ILP131092 IVL131089:IVL131092 JFH131089:JFH131092 JPD131089:JPD131092 JYZ131089:JYZ131092 KIV131089:KIV131092 KSR131089:KSR131092 LCN131089:LCN131092 LMJ131089:LMJ131092 LWF131089:LWF131092 MGB131089:MGB131092 MPX131089:MPX131092 MZT131089:MZT131092 NJP131089:NJP131092 NTL131089:NTL131092 ODH131089:ODH131092 OND131089:OND131092 OWZ131089:OWZ131092 PGV131089:PGV131092 PQR131089:PQR131092 QAN131089:QAN131092 QKJ131089:QKJ131092 QUF131089:QUF131092 REB131089:REB131092 RNX131089:RNX131092 RXT131089:RXT131092 SHP131089:SHP131092 SRL131089:SRL131092 TBH131089:TBH131092 TLD131089:TLD131092 TUZ131089:TUZ131092 UEV131089:UEV131092 UOR131089:UOR131092 UYN131089:UYN131092 VIJ131089:VIJ131092 VSF131089:VSF131092 WCB131089:WCB131092 WLX131089:WLX131092 WVT131089:WVT131092 L196625:L196628 JH196625:JH196628 TD196625:TD196628 ACZ196625:ACZ196628 AMV196625:AMV196628 AWR196625:AWR196628 BGN196625:BGN196628 BQJ196625:BQJ196628 CAF196625:CAF196628 CKB196625:CKB196628 CTX196625:CTX196628 DDT196625:DDT196628 DNP196625:DNP196628 DXL196625:DXL196628 EHH196625:EHH196628 ERD196625:ERD196628 FAZ196625:FAZ196628 FKV196625:FKV196628 FUR196625:FUR196628 GEN196625:GEN196628 GOJ196625:GOJ196628 GYF196625:GYF196628 HIB196625:HIB196628 HRX196625:HRX196628 IBT196625:IBT196628 ILP196625:ILP196628 IVL196625:IVL196628 JFH196625:JFH196628 JPD196625:JPD196628 JYZ196625:JYZ196628 KIV196625:KIV196628 KSR196625:KSR196628 LCN196625:LCN196628 LMJ196625:LMJ196628 LWF196625:LWF196628 MGB196625:MGB196628 MPX196625:MPX196628 MZT196625:MZT196628 NJP196625:NJP196628 NTL196625:NTL196628 ODH196625:ODH196628 OND196625:OND196628 OWZ196625:OWZ196628 PGV196625:PGV196628 PQR196625:PQR196628 QAN196625:QAN196628 QKJ196625:QKJ196628 QUF196625:QUF196628 REB196625:REB196628 RNX196625:RNX196628 RXT196625:RXT196628 SHP196625:SHP196628 SRL196625:SRL196628 TBH196625:TBH196628 TLD196625:TLD196628 TUZ196625:TUZ196628 UEV196625:UEV196628 UOR196625:UOR196628 UYN196625:UYN196628 VIJ196625:VIJ196628 VSF196625:VSF196628 WCB196625:WCB196628 WLX196625:WLX196628 WVT196625:WVT196628 L262161:L262164 JH262161:JH262164 TD262161:TD262164 ACZ262161:ACZ262164 AMV262161:AMV262164 AWR262161:AWR262164 BGN262161:BGN262164 BQJ262161:BQJ262164 CAF262161:CAF262164 CKB262161:CKB262164 CTX262161:CTX262164 DDT262161:DDT262164 DNP262161:DNP262164 DXL262161:DXL262164 EHH262161:EHH262164 ERD262161:ERD262164 FAZ262161:FAZ262164 FKV262161:FKV262164 FUR262161:FUR262164 GEN262161:GEN262164 GOJ262161:GOJ262164 GYF262161:GYF262164 HIB262161:HIB262164 HRX262161:HRX262164 IBT262161:IBT262164 ILP262161:ILP262164 IVL262161:IVL262164 JFH262161:JFH262164 JPD262161:JPD262164 JYZ262161:JYZ262164 KIV262161:KIV262164 KSR262161:KSR262164 LCN262161:LCN262164 LMJ262161:LMJ262164 LWF262161:LWF262164 MGB262161:MGB262164 MPX262161:MPX262164 MZT262161:MZT262164 NJP262161:NJP262164 NTL262161:NTL262164 ODH262161:ODH262164 OND262161:OND262164 OWZ262161:OWZ262164 PGV262161:PGV262164 PQR262161:PQR262164 QAN262161:QAN262164 QKJ262161:QKJ262164 QUF262161:QUF262164 REB262161:REB262164 RNX262161:RNX262164 RXT262161:RXT262164 SHP262161:SHP262164 SRL262161:SRL262164 TBH262161:TBH262164 TLD262161:TLD262164 TUZ262161:TUZ262164 UEV262161:UEV262164 UOR262161:UOR262164 UYN262161:UYN262164 VIJ262161:VIJ262164 VSF262161:VSF262164 WCB262161:WCB262164 WLX262161:WLX262164 WVT262161:WVT262164 L327697:L327700 JH327697:JH327700 TD327697:TD327700 ACZ327697:ACZ327700 AMV327697:AMV327700 AWR327697:AWR327700 BGN327697:BGN327700 BQJ327697:BQJ327700 CAF327697:CAF327700 CKB327697:CKB327700 CTX327697:CTX327700 DDT327697:DDT327700 DNP327697:DNP327700 DXL327697:DXL327700 EHH327697:EHH327700 ERD327697:ERD327700 FAZ327697:FAZ327700 FKV327697:FKV327700 FUR327697:FUR327700 GEN327697:GEN327700 GOJ327697:GOJ327700 GYF327697:GYF327700 HIB327697:HIB327700 HRX327697:HRX327700 IBT327697:IBT327700 ILP327697:ILP327700 IVL327697:IVL327700 JFH327697:JFH327700 JPD327697:JPD327700 JYZ327697:JYZ327700 KIV327697:KIV327700 KSR327697:KSR327700 LCN327697:LCN327700 LMJ327697:LMJ327700 LWF327697:LWF327700 MGB327697:MGB327700 MPX327697:MPX327700 MZT327697:MZT327700 NJP327697:NJP327700 NTL327697:NTL327700 ODH327697:ODH327700 OND327697:OND327700 OWZ327697:OWZ327700 PGV327697:PGV327700 PQR327697:PQR327700 QAN327697:QAN327700 QKJ327697:QKJ327700 QUF327697:QUF327700 REB327697:REB327700 RNX327697:RNX327700 RXT327697:RXT327700 SHP327697:SHP327700 SRL327697:SRL327700 TBH327697:TBH327700 TLD327697:TLD327700 TUZ327697:TUZ327700 UEV327697:UEV327700 UOR327697:UOR327700 UYN327697:UYN327700 VIJ327697:VIJ327700 VSF327697:VSF327700 WCB327697:WCB327700 WLX327697:WLX327700 WVT327697:WVT327700 L393233:L393236 JH393233:JH393236 TD393233:TD393236 ACZ393233:ACZ393236 AMV393233:AMV393236 AWR393233:AWR393236 BGN393233:BGN393236 BQJ393233:BQJ393236 CAF393233:CAF393236 CKB393233:CKB393236 CTX393233:CTX393236 DDT393233:DDT393236 DNP393233:DNP393236 DXL393233:DXL393236 EHH393233:EHH393236 ERD393233:ERD393236 FAZ393233:FAZ393236 FKV393233:FKV393236 FUR393233:FUR393236 GEN393233:GEN393236 GOJ393233:GOJ393236 GYF393233:GYF393236 HIB393233:HIB393236 HRX393233:HRX393236 IBT393233:IBT393236 ILP393233:ILP393236 IVL393233:IVL393236 JFH393233:JFH393236 JPD393233:JPD393236 JYZ393233:JYZ393236 KIV393233:KIV393236 KSR393233:KSR393236 LCN393233:LCN393236 LMJ393233:LMJ393236 LWF393233:LWF393236 MGB393233:MGB393236 MPX393233:MPX393236 MZT393233:MZT393236 NJP393233:NJP393236 NTL393233:NTL393236 ODH393233:ODH393236 OND393233:OND393236 OWZ393233:OWZ393236 PGV393233:PGV393236 PQR393233:PQR393236 QAN393233:QAN393236 QKJ393233:QKJ393236 QUF393233:QUF393236 REB393233:REB393236 RNX393233:RNX393236 RXT393233:RXT393236 SHP393233:SHP393236 SRL393233:SRL393236 TBH393233:TBH393236 TLD393233:TLD393236 TUZ393233:TUZ393236 UEV393233:UEV393236 UOR393233:UOR393236 UYN393233:UYN393236 VIJ393233:VIJ393236 VSF393233:VSF393236 WCB393233:WCB393236 WLX393233:WLX393236 WVT393233:WVT393236 L458769:L458772 JH458769:JH458772 TD458769:TD458772 ACZ458769:ACZ458772 AMV458769:AMV458772 AWR458769:AWR458772 BGN458769:BGN458772 BQJ458769:BQJ458772 CAF458769:CAF458772 CKB458769:CKB458772 CTX458769:CTX458772 DDT458769:DDT458772 DNP458769:DNP458772 DXL458769:DXL458772 EHH458769:EHH458772 ERD458769:ERD458772 FAZ458769:FAZ458772 FKV458769:FKV458772 FUR458769:FUR458772 GEN458769:GEN458772 GOJ458769:GOJ458772 GYF458769:GYF458772 HIB458769:HIB458772 HRX458769:HRX458772 IBT458769:IBT458772 ILP458769:ILP458772 IVL458769:IVL458772 JFH458769:JFH458772 JPD458769:JPD458772 JYZ458769:JYZ458772 KIV458769:KIV458772 KSR458769:KSR458772 LCN458769:LCN458772 LMJ458769:LMJ458772 LWF458769:LWF458772 MGB458769:MGB458772 MPX458769:MPX458772 MZT458769:MZT458772 NJP458769:NJP458772 NTL458769:NTL458772 ODH458769:ODH458772 OND458769:OND458772 OWZ458769:OWZ458772 PGV458769:PGV458772 PQR458769:PQR458772 QAN458769:QAN458772 QKJ458769:QKJ458772 QUF458769:QUF458772 REB458769:REB458772 RNX458769:RNX458772 RXT458769:RXT458772 SHP458769:SHP458772 SRL458769:SRL458772 TBH458769:TBH458772 TLD458769:TLD458772 TUZ458769:TUZ458772 UEV458769:UEV458772 UOR458769:UOR458772 UYN458769:UYN458772 VIJ458769:VIJ458772 VSF458769:VSF458772 WCB458769:WCB458772 WLX458769:WLX458772 WVT458769:WVT458772 L524305:L524308 JH524305:JH524308 TD524305:TD524308 ACZ524305:ACZ524308 AMV524305:AMV524308 AWR524305:AWR524308 BGN524305:BGN524308 BQJ524305:BQJ524308 CAF524305:CAF524308 CKB524305:CKB524308 CTX524305:CTX524308 DDT524305:DDT524308 DNP524305:DNP524308 DXL524305:DXL524308 EHH524305:EHH524308 ERD524305:ERD524308 FAZ524305:FAZ524308 FKV524305:FKV524308 FUR524305:FUR524308 GEN524305:GEN524308 GOJ524305:GOJ524308 GYF524305:GYF524308 HIB524305:HIB524308 HRX524305:HRX524308 IBT524305:IBT524308 ILP524305:ILP524308 IVL524305:IVL524308 JFH524305:JFH524308 JPD524305:JPD524308 JYZ524305:JYZ524308 KIV524305:KIV524308 KSR524305:KSR524308 LCN524305:LCN524308 LMJ524305:LMJ524308 LWF524305:LWF524308 MGB524305:MGB524308 MPX524305:MPX524308 MZT524305:MZT524308 NJP524305:NJP524308 NTL524305:NTL524308 ODH524305:ODH524308 OND524305:OND524308 OWZ524305:OWZ524308 PGV524305:PGV524308 PQR524305:PQR524308 QAN524305:QAN524308 QKJ524305:QKJ524308 QUF524305:QUF524308 REB524305:REB524308 RNX524305:RNX524308 RXT524305:RXT524308 SHP524305:SHP524308 SRL524305:SRL524308 TBH524305:TBH524308 TLD524305:TLD524308 TUZ524305:TUZ524308 UEV524305:UEV524308 UOR524305:UOR524308 UYN524305:UYN524308 VIJ524305:VIJ524308 VSF524305:VSF524308 WCB524305:WCB524308 WLX524305:WLX524308 WVT524305:WVT524308 L589841:L589844 JH589841:JH589844 TD589841:TD589844 ACZ589841:ACZ589844 AMV589841:AMV589844 AWR589841:AWR589844 BGN589841:BGN589844 BQJ589841:BQJ589844 CAF589841:CAF589844 CKB589841:CKB589844 CTX589841:CTX589844 DDT589841:DDT589844 DNP589841:DNP589844 DXL589841:DXL589844 EHH589841:EHH589844 ERD589841:ERD589844 FAZ589841:FAZ589844 FKV589841:FKV589844 FUR589841:FUR589844 GEN589841:GEN589844 GOJ589841:GOJ589844 GYF589841:GYF589844 HIB589841:HIB589844 HRX589841:HRX589844 IBT589841:IBT589844 ILP589841:ILP589844 IVL589841:IVL589844 JFH589841:JFH589844 JPD589841:JPD589844 JYZ589841:JYZ589844 KIV589841:KIV589844 KSR589841:KSR589844 LCN589841:LCN589844 LMJ589841:LMJ589844 LWF589841:LWF589844 MGB589841:MGB589844 MPX589841:MPX589844 MZT589841:MZT589844 NJP589841:NJP589844 NTL589841:NTL589844 ODH589841:ODH589844 OND589841:OND589844 OWZ589841:OWZ589844 PGV589841:PGV589844 PQR589841:PQR589844 QAN589841:QAN589844 QKJ589841:QKJ589844 QUF589841:QUF589844 REB589841:REB589844 RNX589841:RNX589844 RXT589841:RXT589844 SHP589841:SHP589844 SRL589841:SRL589844 TBH589841:TBH589844 TLD589841:TLD589844 TUZ589841:TUZ589844 UEV589841:UEV589844 UOR589841:UOR589844 UYN589841:UYN589844 VIJ589841:VIJ589844 VSF589841:VSF589844 WCB589841:WCB589844 WLX589841:WLX589844 WVT589841:WVT589844 L655377:L655380 JH655377:JH655380 TD655377:TD655380 ACZ655377:ACZ655380 AMV655377:AMV655380 AWR655377:AWR655380 BGN655377:BGN655380 BQJ655377:BQJ655380 CAF655377:CAF655380 CKB655377:CKB655380 CTX655377:CTX655380 DDT655377:DDT655380 DNP655377:DNP655380 DXL655377:DXL655380 EHH655377:EHH655380 ERD655377:ERD655380 FAZ655377:FAZ655380 FKV655377:FKV655380 FUR655377:FUR655380 GEN655377:GEN655380 GOJ655377:GOJ655380 GYF655377:GYF655380 HIB655377:HIB655380 HRX655377:HRX655380 IBT655377:IBT655380 ILP655377:ILP655380 IVL655377:IVL655380 JFH655377:JFH655380 JPD655377:JPD655380 JYZ655377:JYZ655380 KIV655377:KIV655380 KSR655377:KSR655380 LCN655377:LCN655380 LMJ655377:LMJ655380 LWF655377:LWF655380 MGB655377:MGB655380 MPX655377:MPX655380 MZT655377:MZT655380 NJP655377:NJP655380 NTL655377:NTL655380 ODH655377:ODH655380 OND655377:OND655380 OWZ655377:OWZ655380 PGV655377:PGV655380 PQR655377:PQR655380 QAN655377:QAN655380 QKJ655377:QKJ655380 QUF655377:QUF655380 REB655377:REB655380 RNX655377:RNX655380 RXT655377:RXT655380 SHP655377:SHP655380 SRL655377:SRL655380 TBH655377:TBH655380 TLD655377:TLD655380 TUZ655377:TUZ655380 UEV655377:UEV655380 UOR655377:UOR655380 UYN655377:UYN655380 VIJ655377:VIJ655380 VSF655377:VSF655380 WCB655377:WCB655380 WLX655377:WLX655380 WVT655377:WVT655380 L720913:L720916 JH720913:JH720916 TD720913:TD720916 ACZ720913:ACZ720916 AMV720913:AMV720916 AWR720913:AWR720916 BGN720913:BGN720916 BQJ720913:BQJ720916 CAF720913:CAF720916 CKB720913:CKB720916 CTX720913:CTX720916 DDT720913:DDT720916 DNP720913:DNP720916 DXL720913:DXL720916 EHH720913:EHH720916 ERD720913:ERD720916 FAZ720913:FAZ720916 FKV720913:FKV720916 FUR720913:FUR720916 GEN720913:GEN720916 GOJ720913:GOJ720916 GYF720913:GYF720916 HIB720913:HIB720916 HRX720913:HRX720916 IBT720913:IBT720916 ILP720913:ILP720916 IVL720913:IVL720916 JFH720913:JFH720916 JPD720913:JPD720916 JYZ720913:JYZ720916 KIV720913:KIV720916 KSR720913:KSR720916 LCN720913:LCN720916 LMJ720913:LMJ720916 LWF720913:LWF720916 MGB720913:MGB720916 MPX720913:MPX720916 MZT720913:MZT720916 NJP720913:NJP720916 NTL720913:NTL720916 ODH720913:ODH720916 OND720913:OND720916 OWZ720913:OWZ720916 PGV720913:PGV720916 PQR720913:PQR720916 QAN720913:QAN720916 QKJ720913:QKJ720916 QUF720913:QUF720916 REB720913:REB720916 RNX720913:RNX720916 RXT720913:RXT720916 SHP720913:SHP720916 SRL720913:SRL720916 TBH720913:TBH720916 TLD720913:TLD720916 TUZ720913:TUZ720916 UEV720913:UEV720916 UOR720913:UOR720916 UYN720913:UYN720916 VIJ720913:VIJ720916 VSF720913:VSF720916 WCB720913:WCB720916 WLX720913:WLX720916 WVT720913:WVT720916 L786449:L786452 JH786449:JH786452 TD786449:TD786452 ACZ786449:ACZ786452 AMV786449:AMV786452 AWR786449:AWR786452 BGN786449:BGN786452 BQJ786449:BQJ786452 CAF786449:CAF786452 CKB786449:CKB786452 CTX786449:CTX786452 DDT786449:DDT786452 DNP786449:DNP786452 DXL786449:DXL786452 EHH786449:EHH786452 ERD786449:ERD786452 FAZ786449:FAZ786452 FKV786449:FKV786452 FUR786449:FUR786452 GEN786449:GEN786452 GOJ786449:GOJ786452 GYF786449:GYF786452 HIB786449:HIB786452 HRX786449:HRX786452 IBT786449:IBT786452 ILP786449:ILP786452 IVL786449:IVL786452 JFH786449:JFH786452 JPD786449:JPD786452 JYZ786449:JYZ786452 KIV786449:KIV786452 KSR786449:KSR786452 LCN786449:LCN786452 LMJ786449:LMJ786452 LWF786449:LWF786452 MGB786449:MGB786452 MPX786449:MPX786452 MZT786449:MZT786452 NJP786449:NJP786452 NTL786449:NTL786452 ODH786449:ODH786452 OND786449:OND786452 OWZ786449:OWZ786452 PGV786449:PGV786452 PQR786449:PQR786452 QAN786449:QAN786452 QKJ786449:QKJ786452 QUF786449:QUF786452 REB786449:REB786452 RNX786449:RNX786452 RXT786449:RXT786452 SHP786449:SHP786452 SRL786449:SRL786452 TBH786449:TBH786452 TLD786449:TLD786452 TUZ786449:TUZ786452 UEV786449:UEV786452 UOR786449:UOR786452 UYN786449:UYN786452 VIJ786449:VIJ786452 VSF786449:VSF786452 WCB786449:WCB786452 WLX786449:WLX786452 WVT786449:WVT786452 L851985:L851988 JH851985:JH851988 TD851985:TD851988 ACZ851985:ACZ851988 AMV851985:AMV851988 AWR851985:AWR851988 BGN851985:BGN851988 BQJ851985:BQJ851988 CAF851985:CAF851988 CKB851985:CKB851988 CTX851985:CTX851988 DDT851985:DDT851988 DNP851985:DNP851988 DXL851985:DXL851988 EHH851985:EHH851988 ERD851985:ERD851988 FAZ851985:FAZ851988 FKV851985:FKV851988 FUR851985:FUR851988 GEN851985:GEN851988 GOJ851985:GOJ851988 GYF851985:GYF851988 HIB851985:HIB851988 HRX851985:HRX851988 IBT851985:IBT851988 ILP851985:ILP851988 IVL851985:IVL851988 JFH851985:JFH851988 JPD851985:JPD851988 JYZ851985:JYZ851988 KIV851985:KIV851988 KSR851985:KSR851988 LCN851985:LCN851988 LMJ851985:LMJ851988 LWF851985:LWF851988 MGB851985:MGB851988 MPX851985:MPX851988 MZT851985:MZT851988 NJP851985:NJP851988 NTL851985:NTL851988 ODH851985:ODH851988 OND851985:OND851988 OWZ851985:OWZ851988 PGV851985:PGV851988 PQR851985:PQR851988 QAN851985:QAN851988 QKJ851985:QKJ851988 QUF851985:QUF851988 REB851985:REB851988 RNX851985:RNX851988 RXT851985:RXT851988 SHP851985:SHP851988 SRL851985:SRL851988 TBH851985:TBH851988 TLD851985:TLD851988 TUZ851985:TUZ851988 UEV851985:UEV851988 UOR851985:UOR851988 UYN851985:UYN851988 VIJ851985:VIJ851988 VSF851985:VSF851988 WCB851985:WCB851988 WLX851985:WLX851988 WVT851985:WVT851988 L917521:L917524 JH917521:JH917524 TD917521:TD917524 ACZ917521:ACZ917524 AMV917521:AMV917524 AWR917521:AWR917524 BGN917521:BGN917524 BQJ917521:BQJ917524 CAF917521:CAF917524 CKB917521:CKB917524 CTX917521:CTX917524 DDT917521:DDT917524 DNP917521:DNP917524 DXL917521:DXL917524 EHH917521:EHH917524 ERD917521:ERD917524 FAZ917521:FAZ917524 FKV917521:FKV917524 FUR917521:FUR917524 GEN917521:GEN917524 GOJ917521:GOJ917524 GYF917521:GYF917524 HIB917521:HIB917524 HRX917521:HRX917524 IBT917521:IBT917524 ILP917521:ILP917524 IVL917521:IVL917524 JFH917521:JFH917524 JPD917521:JPD917524 JYZ917521:JYZ917524 KIV917521:KIV917524 KSR917521:KSR917524 LCN917521:LCN917524 LMJ917521:LMJ917524 LWF917521:LWF917524 MGB917521:MGB917524 MPX917521:MPX917524 MZT917521:MZT917524 NJP917521:NJP917524 NTL917521:NTL917524 ODH917521:ODH917524 OND917521:OND917524 OWZ917521:OWZ917524 PGV917521:PGV917524 PQR917521:PQR917524 QAN917521:QAN917524 QKJ917521:QKJ917524 QUF917521:QUF917524 REB917521:REB917524 RNX917521:RNX917524 RXT917521:RXT917524 SHP917521:SHP917524 SRL917521:SRL917524 TBH917521:TBH917524 TLD917521:TLD917524 TUZ917521:TUZ917524 UEV917521:UEV917524 UOR917521:UOR917524 UYN917521:UYN917524 VIJ917521:VIJ917524 VSF917521:VSF917524 WCB917521:WCB917524 WLX917521:WLX917524 WVT917521:WVT917524 L983057:L983060 JH983057:JH983060 TD983057:TD983060 ACZ983057:ACZ983060 AMV983057:AMV983060 AWR983057:AWR983060 BGN983057:BGN983060 BQJ983057:BQJ983060 CAF983057:CAF983060 CKB983057:CKB983060 CTX983057:CTX983060 DDT983057:DDT983060 DNP983057:DNP983060 DXL983057:DXL983060 EHH983057:EHH983060 ERD983057:ERD983060 FAZ983057:FAZ983060 FKV983057:FKV983060 FUR983057:FUR983060 GEN983057:GEN983060 GOJ983057:GOJ983060 GYF983057:GYF983060 HIB983057:HIB983060 HRX983057:HRX983060 IBT983057:IBT983060 ILP983057:ILP983060 IVL983057:IVL983060 JFH983057:JFH983060 JPD983057:JPD983060 JYZ983057:JYZ983060 KIV983057:KIV983060 KSR983057:KSR983060 LCN983057:LCN983060 LMJ983057:LMJ983060 LWF983057:LWF983060 MGB983057:MGB983060 MPX983057:MPX983060 MZT983057:MZT983060 NJP983057:NJP983060 NTL983057:NTL983060 ODH983057:ODH983060 OND983057:OND983060 OWZ983057:OWZ983060 PGV983057:PGV983060 PQR983057:PQR983060 QAN983057:QAN983060 QKJ983057:QKJ983060 QUF983057:QUF983060 REB983057:REB983060 RNX983057:RNX983060 RXT983057:RXT983060 SHP983057:SHP983060 SRL983057:SRL983060 TBH983057:TBH983060 TLD983057:TLD983060 TUZ983057:TUZ983060 UEV983057:UEV983060 UOR983057:UOR983060 UYN983057:UYN983060 VIJ983057:VIJ983060 VSF983057:VSF983060 WCB983057:WCB983060 WLX983057:WLX983060 WVT983057:WVT983060" xr:uid="{00000000-0002-0000-0000-000001000000}">
      <formula1>-100000</formula1>
      <formula2>100000</formula2>
    </dataValidation>
    <dataValidation type="whole" errorStyle="warning" allowBlank="1" showInputMessage="1" showErrorMessage="1" errorTitle="Please Check" error="Please confirm that the value you have entered is correct" promptTitle="Discards" prompt="Estimate of tonnage discarded " sqref="D17:D20 IZ17:IZ20 SV17:SV20 ACR17:ACR20 AMN17:AMN20 AWJ17:AWJ20 BGF17:BGF20 BQB17:BQB20 BZX17:BZX20 CJT17:CJT20 CTP17:CTP20 DDL17:DDL20 DNH17:DNH20 DXD17:DXD20 EGZ17:EGZ20 EQV17:EQV20 FAR17:FAR20 FKN17:FKN20 FUJ17:FUJ20 GEF17:GEF20 GOB17:GOB20 GXX17:GXX20 HHT17:HHT20 HRP17:HRP20 IBL17:IBL20 ILH17:ILH20 IVD17:IVD20 JEZ17:JEZ20 JOV17:JOV20 JYR17:JYR20 KIN17:KIN20 KSJ17:KSJ20 LCF17:LCF20 LMB17:LMB20 LVX17:LVX20 MFT17:MFT20 MPP17:MPP20 MZL17:MZL20 NJH17:NJH20 NTD17:NTD20 OCZ17:OCZ20 OMV17:OMV20 OWR17:OWR20 PGN17:PGN20 PQJ17:PQJ20 QAF17:QAF20 QKB17:QKB20 QTX17:QTX20 RDT17:RDT20 RNP17:RNP20 RXL17:RXL20 SHH17:SHH20 SRD17:SRD20 TAZ17:TAZ20 TKV17:TKV20 TUR17:TUR20 UEN17:UEN20 UOJ17:UOJ20 UYF17:UYF20 VIB17:VIB20 VRX17:VRX20 WBT17:WBT20 WLP17:WLP20 WVL17:WVL20 D65553:D65556 IZ65553:IZ65556 SV65553:SV65556 ACR65553:ACR65556 AMN65553:AMN65556 AWJ65553:AWJ65556 BGF65553:BGF65556 BQB65553:BQB65556 BZX65553:BZX65556 CJT65553:CJT65556 CTP65553:CTP65556 DDL65553:DDL65556 DNH65553:DNH65556 DXD65553:DXD65556 EGZ65553:EGZ65556 EQV65553:EQV65556 FAR65553:FAR65556 FKN65553:FKN65556 FUJ65553:FUJ65556 GEF65553:GEF65556 GOB65553:GOB65556 GXX65553:GXX65556 HHT65553:HHT65556 HRP65553:HRP65556 IBL65553:IBL65556 ILH65553:ILH65556 IVD65553:IVD65556 JEZ65553:JEZ65556 JOV65553:JOV65556 JYR65553:JYR65556 KIN65553:KIN65556 KSJ65553:KSJ65556 LCF65553:LCF65556 LMB65553:LMB65556 LVX65553:LVX65556 MFT65553:MFT65556 MPP65553:MPP65556 MZL65553:MZL65556 NJH65553:NJH65556 NTD65553:NTD65556 OCZ65553:OCZ65556 OMV65553:OMV65556 OWR65553:OWR65556 PGN65553:PGN65556 PQJ65553:PQJ65556 QAF65553:QAF65556 QKB65553:QKB65556 QTX65553:QTX65556 RDT65553:RDT65556 RNP65553:RNP65556 RXL65553:RXL65556 SHH65553:SHH65556 SRD65553:SRD65556 TAZ65553:TAZ65556 TKV65553:TKV65556 TUR65553:TUR65556 UEN65553:UEN65556 UOJ65553:UOJ65556 UYF65553:UYF65556 VIB65553:VIB65556 VRX65553:VRX65556 WBT65553:WBT65556 WLP65553:WLP65556 WVL65553:WVL65556 D131089:D131092 IZ131089:IZ131092 SV131089:SV131092 ACR131089:ACR131092 AMN131089:AMN131092 AWJ131089:AWJ131092 BGF131089:BGF131092 BQB131089:BQB131092 BZX131089:BZX131092 CJT131089:CJT131092 CTP131089:CTP131092 DDL131089:DDL131092 DNH131089:DNH131092 DXD131089:DXD131092 EGZ131089:EGZ131092 EQV131089:EQV131092 FAR131089:FAR131092 FKN131089:FKN131092 FUJ131089:FUJ131092 GEF131089:GEF131092 GOB131089:GOB131092 GXX131089:GXX131092 HHT131089:HHT131092 HRP131089:HRP131092 IBL131089:IBL131092 ILH131089:ILH131092 IVD131089:IVD131092 JEZ131089:JEZ131092 JOV131089:JOV131092 JYR131089:JYR131092 KIN131089:KIN131092 KSJ131089:KSJ131092 LCF131089:LCF131092 LMB131089:LMB131092 LVX131089:LVX131092 MFT131089:MFT131092 MPP131089:MPP131092 MZL131089:MZL131092 NJH131089:NJH131092 NTD131089:NTD131092 OCZ131089:OCZ131092 OMV131089:OMV131092 OWR131089:OWR131092 PGN131089:PGN131092 PQJ131089:PQJ131092 QAF131089:QAF131092 QKB131089:QKB131092 QTX131089:QTX131092 RDT131089:RDT131092 RNP131089:RNP131092 RXL131089:RXL131092 SHH131089:SHH131092 SRD131089:SRD131092 TAZ131089:TAZ131092 TKV131089:TKV131092 TUR131089:TUR131092 UEN131089:UEN131092 UOJ131089:UOJ131092 UYF131089:UYF131092 VIB131089:VIB131092 VRX131089:VRX131092 WBT131089:WBT131092 WLP131089:WLP131092 WVL131089:WVL131092 D196625:D196628 IZ196625:IZ196628 SV196625:SV196628 ACR196625:ACR196628 AMN196625:AMN196628 AWJ196625:AWJ196628 BGF196625:BGF196628 BQB196625:BQB196628 BZX196625:BZX196628 CJT196625:CJT196628 CTP196625:CTP196628 DDL196625:DDL196628 DNH196625:DNH196628 DXD196625:DXD196628 EGZ196625:EGZ196628 EQV196625:EQV196628 FAR196625:FAR196628 FKN196625:FKN196628 FUJ196625:FUJ196628 GEF196625:GEF196628 GOB196625:GOB196628 GXX196625:GXX196628 HHT196625:HHT196628 HRP196625:HRP196628 IBL196625:IBL196628 ILH196625:ILH196628 IVD196625:IVD196628 JEZ196625:JEZ196628 JOV196625:JOV196628 JYR196625:JYR196628 KIN196625:KIN196628 KSJ196625:KSJ196628 LCF196625:LCF196628 LMB196625:LMB196628 LVX196625:LVX196628 MFT196625:MFT196628 MPP196625:MPP196628 MZL196625:MZL196628 NJH196625:NJH196628 NTD196625:NTD196628 OCZ196625:OCZ196628 OMV196625:OMV196628 OWR196625:OWR196628 PGN196625:PGN196628 PQJ196625:PQJ196628 QAF196625:QAF196628 QKB196625:QKB196628 QTX196625:QTX196628 RDT196625:RDT196628 RNP196625:RNP196628 RXL196625:RXL196628 SHH196625:SHH196628 SRD196625:SRD196628 TAZ196625:TAZ196628 TKV196625:TKV196628 TUR196625:TUR196628 UEN196625:UEN196628 UOJ196625:UOJ196628 UYF196625:UYF196628 VIB196625:VIB196628 VRX196625:VRX196628 WBT196625:WBT196628 WLP196625:WLP196628 WVL196625:WVL196628 D262161:D262164 IZ262161:IZ262164 SV262161:SV262164 ACR262161:ACR262164 AMN262161:AMN262164 AWJ262161:AWJ262164 BGF262161:BGF262164 BQB262161:BQB262164 BZX262161:BZX262164 CJT262161:CJT262164 CTP262161:CTP262164 DDL262161:DDL262164 DNH262161:DNH262164 DXD262161:DXD262164 EGZ262161:EGZ262164 EQV262161:EQV262164 FAR262161:FAR262164 FKN262161:FKN262164 FUJ262161:FUJ262164 GEF262161:GEF262164 GOB262161:GOB262164 GXX262161:GXX262164 HHT262161:HHT262164 HRP262161:HRP262164 IBL262161:IBL262164 ILH262161:ILH262164 IVD262161:IVD262164 JEZ262161:JEZ262164 JOV262161:JOV262164 JYR262161:JYR262164 KIN262161:KIN262164 KSJ262161:KSJ262164 LCF262161:LCF262164 LMB262161:LMB262164 LVX262161:LVX262164 MFT262161:MFT262164 MPP262161:MPP262164 MZL262161:MZL262164 NJH262161:NJH262164 NTD262161:NTD262164 OCZ262161:OCZ262164 OMV262161:OMV262164 OWR262161:OWR262164 PGN262161:PGN262164 PQJ262161:PQJ262164 QAF262161:QAF262164 QKB262161:QKB262164 QTX262161:QTX262164 RDT262161:RDT262164 RNP262161:RNP262164 RXL262161:RXL262164 SHH262161:SHH262164 SRD262161:SRD262164 TAZ262161:TAZ262164 TKV262161:TKV262164 TUR262161:TUR262164 UEN262161:UEN262164 UOJ262161:UOJ262164 UYF262161:UYF262164 VIB262161:VIB262164 VRX262161:VRX262164 WBT262161:WBT262164 WLP262161:WLP262164 WVL262161:WVL262164 D327697:D327700 IZ327697:IZ327700 SV327697:SV327700 ACR327697:ACR327700 AMN327697:AMN327700 AWJ327697:AWJ327700 BGF327697:BGF327700 BQB327697:BQB327700 BZX327697:BZX327700 CJT327697:CJT327700 CTP327697:CTP327700 DDL327697:DDL327700 DNH327697:DNH327700 DXD327697:DXD327700 EGZ327697:EGZ327700 EQV327697:EQV327700 FAR327697:FAR327700 FKN327697:FKN327700 FUJ327697:FUJ327700 GEF327697:GEF327700 GOB327697:GOB327700 GXX327697:GXX327700 HHT327697:HHT327700 HRP327697:HRP327700 IBL327697:IBL327700 ILH327697:ILH327700 IVD327697:IVD327700 JEZ327697:JEZ327700 JOV327697:JOV327700 JYR327697:JYR327700 KIN327697:KIN327700 KSJ327697:KSJ327700 LCF327697:LCF327700 LMB327697:LMB327700 LVX327697:LVX327700 MFT327697:MFT327700 MPP327697:MPP327700 MZL327697:MZL327700 NJH327697:NJH327700 NTD327697:NTD327700 OCZ327697:OCZ327700 OMV327697:OMV327700 OWR327697:OWR327700 PGN327697:PGN327700 PQJ327697:PQJ327700 QAF327697:QAF327700 QKB327697:QKB327700 QTX327697:QTX327700 RDT327697:RDT327700 RNP327697:RNP327700 RXL327697:RXL327700 SHH327697:SHH327700 SRD327697:SRD327700 TAZ327697:TAZ327700 TKV327697:TKV327700 TUR327697:TUR327700 UEN327697:UEN327700 UOJ327697:UOJ327700 UYF327697:UYF327700 VIB327697:VIB327700 VRX327697:VRX327700 WBT327697:WBT327700 WLP327697:WLP327700 WVL327697:WVL327700 D393233:D393236 IZ393233:IZ393236 SV393233:SV393236 ACR393233:ACR393236 AMN393233:AMN393236 AWJ393233:AWJ393236 BGF393233:BGF393236 BQB393233:BQB393236 BZX393233:BZX393236 CJT393233:CJT393236 CTP393233:CTP393236 DDL393233:DDL393236 DNH393233:DNH393236 DXD393233:DXD393236 EGZ393233:EGZ393236 EQV393233:EQV393236 FAR393233:FAR393236 FKN393233:FKN393236 FUJ393233:FUJ393236 GEF393233:GEF393236 GOB393233:GOB393236 GXX393233:GXX393236 HHT393233:HHT393236 HRP393233:HRP393236 IBL393233:IBL393236 ILH393233:ILH393236 IVD393233:IVD393236 JEZ393233:JEZ393236 JOV393233:JOV393236 JYR393233:JYR393236 KIN393233:KIN393236 KSJ393233:KSJ393236 LCF393233:LCF393236 LMB393233:LMB393236 LVX393233:LVX393236 MFT393233:MFT393236 MPP393233:MPP393236 MZL393233:MZL393236 NJH393233:NJH393236 NTD393233:NTD393236 OCZ393233:OCZ393236 OMV393233:OMV393236 OWR393233:OWR393236 PGN393233:PGN393236 PQJ393233:PQJ393236 QAF393233:QAF393236 QKB393233:QKB393236 QTX393233:QTX393236 RDT393233:RDT393236 RNP393233:RNP393236 RXL393233:RXL393236 SHH393233:SHH393236 SRD393233:SRD393236 TAZ393233:TAZ393236 TKV393233:TKV393236 TUR393233:TUR393236 UEN393233:UEN393236 UOJ393233:UOJ393236 UYF393233:UYF393236 VIB393233:VIB393236 VRX393233:VRX393236 WBT393233:WBT393236 WLP393233:WLP393236 WVL393233:WVL393236 D458769:D458772 IZ458769:IZ458772 SV458769:SV458772 ACR458769:ACR458772 AMN458769:AMN458772 AWJ458769:AWJ458772 BGF458769:BGF458772 BQB458769:BQB458772 BZX458769:BZX458772 CJT458769:CJT458772 CTP458769:CTP458772 DDL458769:DDL458772 DNH458769:DNH458772 DXD458769:DXD458772 EGZ458769:EGZ458772 EQV458769:EQV458772 FAR458769:FAR458772 FKN458769:FKN458772 FUJ458769:FUJ458772 GEF458769:GEF458772 GOB458769:GOB458772 GXX458769:GXX458772 HHT458769:HHT458772 HRP458769:HRP458772 IBL458769:IBL458772 ILH458769:ILH458772 IVD458769:IVD458772 JEZ458769:JEZ458772 JOV458769:JOV458772 JYR458769:JYR458772 KIN458769:KIN458772 KSJ458769:KSJ458772 LCF458769:LCF458772 LMB458769:LMB458772 LVX458769:LVX458772 MFT458769:MFT458772 MPP458769:MPP458772 MZL458769:MZL458772 NJH458769:NJH458772 NTD458769:NTD458772 OCZ458769:OCZ458772 OMV458769:OMV458772 OWR458769:OWR458772 PGN458769:PGN458772 PQJ458769:PQJ458772 QAF458769:QAF458772 QKB458769:QKB458772 QTX458769:QTX458772 RDT458769:RDT458772 RNP458769:RNP458772 RXL458769:RXL458772 SHH458769:SHH458772 SRD458769:SRD458772 TAZ458769:TAZ458772 TKV458769:TKV458772 TUR458769:TUR458772 UEN458769:UEN458772 UOJ458769:UOJ458772 UYF458769:UYF458772 VIB458769:VIB458772 VRX458769:VRX458772 WBT458769:WBT458772 WLP458769:WLP458772 WVL458769:WVL458772 D524305:D524308 IZ524305:IZ524308 SV524305:SV524308 ACR524305:ACR524308 AMN524305:AMN524308 AWJ524305:AWJ524308 BGF524305:BGF524308 BQB524305:BQB524308 BZX524305:BZX524308 CJT524305:CJT524308 CTP524305:CTP524308 DDL524305:DDL524308 DNH524305:DNH524308 DXD524305:DXD524308 EGZ524305:EGZ524308 EQV524305:EQV524308 FAR524305:FAR524308 FKN524305:FKN524308 FUJ524305:FUJ524308 GEF524305:GEF524308 GOB524305:GOB524308 GXX524305:GXX524308 HHT524305:HHT524308 HRP524305:HRP524308 IBL524305:IBL524308 ILH524305:ILH524308 IVD524305:IVD524308 JEZ524305:JEZ524308 JOV524305:JOV524308 JYR524305:JYR524308 KIN524305:KIN524308 KSJ524305:KSJ524308 LCF524305:LCF524308 LMB524305:LMB524308 LVX524305:LVX524308 MFT524305:MFT524308 MPP524305:MPP524308 MZL524305:MZL524308 NJH524305:NJH524308 NTD524305:NTD524308 OCZ524305:OCZ524308 OMV524305:OMV524308 OWR524305:OWR524308 PGN524305:PGN524308 PQJ524305:PQJ524308 QAF524305:QAF524308 QKB524305:QKB524308 QTX524305:QTX524308 RDT524305:RDT524308 RNP524305:RNP524308 RXL524305:RXL524308 SHH524305:SHH524308 SRD524305:SRD524308 TAZ524305:TAZ524308 TKV524305:TKV524308 TUR524305:TUR524308 UEN524305:UEN524308 UOJ524305:UOJ524308 UYF524305:UYF524308 VIB524305:VIB524308 VRX524305:VRX524308 WBT524305:WBT524308 WLP524305:WLP524308 WVL524305:WVL524308 D589841:D589844 IZ589841:IZ589844 SV589841:SV589844 ACR589841:ACR589844 AMN589841:AMN589844 AWJ589841:AWJ589844 BGF589841:BGF589844 BQB589841:BQB589844 BZX589841:BZX589844 CJT589841:CJT589844 CTP589841:CTP589844 DDL589841:DDL589844 DNH589841:DNH589844 DXD589841:DXD589844 EGZ589841:EGZ589844 EQV589841:EQV589844 FAR589841:FAR589844 FKN589841:FKN589844 FUJ589841:FUJ589844 GEF589841:GEF589844 GOB589841:GOB589844 GXX589841:GXX589844 HHT589841:HHT589844 HRP589841:HRP589844 IBL589841:IBL589844 ILH589841:ILH589844 IVD589841:IVD589844 JEZ589841:JEZ589844 JOV589841:JOV589844 JYR589841:JYR589844 KIN589841:KIN589844 KSJ589841:KSJ589844 LCF589841:LCF589844 LMB589841:LMB589844 LVX589841:LVX589844 MFT589841:MFT589844 MPP589841:MPP589844 MZL589841:MZL589844 NJH589841:NJH589844 NTD589841:NTD589844 OCZ589841:OCZ589844 OMV589841:OMV589844 OWR589841:OWR589844 PGN589841:PGN589844 PQJ589841:PQJ589844 QAF589841:QAF589844 QKB589841:QKB589844 QTX589841:QTX589844 RDT589841:RDT589844 RNP589841:RNP589844 RXL589841:RXL589844 SHH589841:SHH589844 SRD589841:SRD589844 TAZ589841:TAZ589844 TKV589841:TKV589844 TUR589841:TUR589844 UEN589841:UEN589844 UOJ589841:UOJ589844 UYF589841:UYF589844 VIB589841:VIB589844 VRX589841:VRX589844 WBT589841:WBT589844 WLP589841:WLP589844 WVL589841:WVL589844 D655377:D655380 IZ655377:IZ655380 SV655377:SV655380 ACR655377:ACR655380 AMN655377:AMN655380 AWJ655377:AWJ655380 BGF655377:BGF655380 BQB655377:BQB655380 BZX655377:BZX655380 CJT655377:CJT655380 CTP655377:CTP655380 DDL655377:DDL655380 DNH655377:DNH655380 DXD655377:DXD655380 EGZ655377:EGZ655380 EQV655377:EQV655380 FAR655377:FAR655380 FKN655377:FKN655380 FUJ655377:FUJ655380 GEF655377:GEF655380 GOB655377:GOB655380 GXX655377:GXX655380 HHT655377:HHT655380 HRP655377:HRP655380 IBL655377:IBL655380 ILH655377:ILH655380 IVD655377:IVD655380 JEZ655377:JEZ655380 JOV655377:JOV655380 JYR655377:JYR655380 KIN655377:KIN655380 KSJ655377:KSJ655380 LCF655377:LCF655380 LMB655377:LMB655380 LVX655377:LVX655380 MFT655377:MFT655380 MPP655377:MPP655380 MZL655377:MZL655380 NJH655377:NJH655380 NTD655377:NTD655380 OCZ655377:OCZ655380 OMV655377:OMV655380 OWR655377:OWR655380 PGN655377:PGN655380 PQJ655377:PQJ655380 QAF655377:QAF655380 QKB655377:QKB655380 QTX655377:QTX655380 RDT655377:RDT655380 RNP655377:RNP655380 RXL655377:RXL655380 SHH655377:SHH655380 SRD655377:SRD655380 TAZ655377:TAZ655380 TKV655377:TKV655380 TUR655377:TUR655380 UEN655377:UEN655380 UOJ655377:UOJ655380 UYF655377:UYF655380 VIB655377:VIB655380 VRX655377:VRX655380 WBT655377:WBT655380 WLP655377:WLP655380 WVL655377:WVL655380 D720913:D720916 IZ720913:IZ720916 SV720913:SV720916 ACR720913:ACR720916 AMN720913:AMN720916 AWJ720913:AWJ720916 BGF720913:BGF720916 BQB720913:BQB720916 BZX720913:BZX720916 CJT720913:CJT720916 CTP720913:CTP720916 DDL720913:DDL720916 DNH720913:DNH720916 DXD720913:DXD720916 EGZ720913:EGZ720916 EQV720913:EQV720916 FAR720913:FAR720916 FKN720913:FKN720916 FUJ720913:FUJ720916 GEF720913:GEF720916 GOB720913:GOB720916 GXX720913:GXX720916 HHT720913:HHT720916 HRP720913:HRP720916 IBL720913:IBL720916 ILH720913:ILH720916 IVD720913:IVD720916 JEZ720913:JEZ720916 JOV720913:JOV720916 JYR720913:JYR720916 KIN720913:KIN720916 KSJ720913:KSJ720916 LCF720913:LCF720916 LMB720913:LMB720916 LVX720913:LVX720916 MFT720913:MFT720916 MPP720913:MPP720916 MZL720913:MZL720916 NJH720913:NJH720916 NTD720913:NTD720916 OCZ720913:OCZ720916 OMV720913:OMV720916 OWR720913:OWR720916 PGN720913:PGN720916 PQJ720913:PQJ720916 QAF720913:QAF720916 QKB720913:QKB720916 QTX720913:QTX720916 RDT720913:RDT720916 RNP720913:RNP720916 RXL720913:RXL720916 SHH720913:SHH720916 SRD720913:SRD720916 TAZ720913:TAZ720916 TKV720913:TKV720916 TUR720913:TUR720916 UEN720913:UEN720916 UOJ720913:UOJ720916 UYF720913:UYF720916 VIB720913:VIB720916 VRX720913:VRX720916 WBT720913:WBT720916 WLP720913:WLP720916 WVL720913:WVL720916 D786449:D786452 IZ786449:IZ786452 SV786449:SV786452 ACR786449:ACR786452 AMN786449:AMN786452 AWJ786449:AWJ786452 BGF786449:BGF786452 BQB786449:BQB786452 BZX786449:BZX786452 CJT786449:CJT786452 CTP786449:CTP786452 DDL786449:DDL786452 DNH786449:DNH786452 DXD786449:DXD786452 EGZ786449:EGZ786452 EQV786449:EQV786452 FAR786449:FAR786452 FKN786449:FKN786452 FUJ786449:FUJ786452 GEF786449:GEF786452 GOB786449:GOB786452 GXX786449:GXX786452 HHT786449:HHT786452 HRP786449:HRP786452 IBL786449:IBL786452 ILH786449:ILH786452 IVD786449:IVD786452 JEZ786449:JEZ786452 JOV786449:JOV786452 JYR786449:JYR786452 KIN786449:KIN786452 KSJ786449:KSJ786452 LCF786449:LCF786452 LMB786449:LMB786452 LVX786449:LVX786452 MFT786449:MFT786452 MPP786449:MPP786452 MZL786449:MZL786452 NJH786449:NJH786452 NTD786449:NTD786452 OCZ786449:OCZ786452 OMV786449:OMV786452 OWR786449:OWR786452 PGN786449:PGN786452 PQJ786449:PQJ786452 QAF786449:QAF786452 QKB786449:QKB786452 QTX786449:QTX786452 RDT786449:RDT786452 RNP786449:RNP786452 RXL786449:RXL786452 SHH786449:SHH786452 SRD786449:SRD786452 TAZ786449:TAZ786452 TKV786449:TKV786452 TUR786449:TUR786452 UEN786449:UEN786452 UOJ786449:UOJ786452 UYF786449:UYF786452 VIB786449:VIB786452 VRX786449:VRX786452 WBT786449:WBT786452 WLP786449:WLP786452 WVL786449:WVL786452 D851985:D851988 IZ851985:IZ851988 SV851985:SV851988 ACR851985:ACR851988 AMN851985:AMN851988 AWJ851985:AWJ851988 BGF851985:BGF851988 BQB851985:BQB851988 BZX851985:BZX851988 CJT851985:CJT851988 CTP851985:CTP851988 DDL851985:DDL851988 DNH851985:DNH851988 DXD851985:DXD851988 EGZ851985:EGZ851988 EQV851985:EQV851988 FAR851985:FAR851988 FKN851985:FKN851988 FUJ851985:FUJ851988 GEF851985:GEF851988 GOB851985:GOB851988 GXX851985:GXX851988 HHT851985:HHT851988 HRP851985:HRP851988 IBL851985:IBL851988 ILH851985:ILH851988 IVD851985:IVD851988 JEZ851985:JEZ851988 JOV851985:JOV851988 JYR851985:JYR851988 KIN851985:KIN851988 KSJ851985:KSJ851988 LCF851985:LCF851988 LMB851985:LMB851988 LVX851985:LVX851988 MFT851985:MFT851988 MPP851985:MPP851988 MZL851985:MZL851988 NJH851985:NJH851988 NTD851985:NTD851988 OCZ851985:OCZ851988 OMV851985:OMV851988 OWR851985:OWR851988 PGN851985:PGN851988 PQJ851985:PQJ851988 QAF851985:QAF851988 QKB851985:QKB851988 QTX851985:QTX851988 RDT851985:RDT851988 RNP851985:RNP851988 RXL851985:RXL851988 SHH851985:SHH851988 SRD851985:SRD851988 TAZ851985:TAZ851988 TKV851985:TKV851988 TUR851985:TUR851988 UEN851985:UEN851988 UOJ851985:UOJ851988 UYF851985:UYF851988 VIB851985:VIB851988 VRX851985:VRX851988 WBT851985:WBT851988 WLP851985:WLP851988 WVL851985:WVL851988 D917521:D917524 IZ917521:IZ917524 SV917521:SV917524 ACR917521:ACR917524 AMN917521:AMN917524 AWJ917521:AWJ917524 BGF917521:BGF917524 BQB917521:BQB917524 BZX917521:BZX917524 CJT917521:CJT917524 CTP917521:CTP917524 DDL917521:DDL917524 DNH917521:DNH917524 DXD917521:DXD917524 EGZ917521:EGZ917524 EQV917521:EQV917524 FAR917521:FAR917524 FKN917521:FKN917524 FUJ917521:FUJ917524 GEF917521:GEF917524 GOB917521:GOB917524 GXX917521:GXX917524 HHT917521:HHT917524 HRP917521:HRP917524 IBL917521:IBL917524 ILH917521:ILH917524 IVD917521:IVD917524 JEZ917521:JEZ917524 JOV917521:JOV917524 JYR917521:JYR917524 KIN917521:KIN917524 KSJ917521:KSJ917524 LCF917521:LCF917524 LMB917521:LMB917524 LVX917521:LVX917524 MFT917521:MFT917524 MPP917521:MPP917524 MZL917521:MZL917524 NJH917521:NJH917524 NTD917521:NTD917524 OCZ917521:OCZ917524 OMV917521:OMV917524 OWR917521:OWR917524 PGN917521:PGN917524 PQJ917521:PQJ917524 QAF917521:QAF917524 QKB917521:QKB917524 QTX917521:QTX917524 RDT917521:RDT917524 RNP917521:RNP917524 RXL917521:RXL917524 SHH917521:SHH917524 SRD917521:SRD917524 TAZ917521:TAZ917524 TKV917521:TKV917524 TUR917521:TUR917524 UEN917521:UEN917524 UOJ917521:UOJ917524 UYF917521:UYF917524 VIB917521:VIB917524 VRX917521:VRX917524 WBT917521:WBT917524 WLP917521:WLP917524 WVL917521:WVL917524 D983057:D983060 IZ983057:IZ983060 SV983057:SV983060 ACR983057:ACR983060 AMN983057:AMN983060 AWJ983057:AWJ983060 BGF983057:BGF983060 BQB983057:BQB983060 BZX983057:BZX983060 CJT983057:CJT983060 CTP983057:CTP983060 DDL983057:DDL983060 DNH983057:DNH983060 DXD983057:DXD983060 EGZ983057:EGZ983060 EQV983057:EQV983060 FAR983057:FAR983060 FKN983057:FKN983060 FUJ983057:FUJ983060 GEF983057:GEF983060 GOB983057:GOB983060 GXX983057:GXX983060 HHT983057:HHT983060 HRP983057:HRP983060 IBL983057:IBL983060 ILH983057:ILH983060 IVD983057:IVD983060 JEZ983057:JEZ983060 JOV983057:JOV983060 JYR983057:JYR983060 KIN983057:KIN983060 KSJ983057:KSJ983060 LCF983057:LCF983060 LMB983057:LMB983060 LVX983057:LVX983060 MFT983057:MFT983060 MPP983057:MPP983060 MZL983057:MZL983060 NJH983057:NJH983060 NTD983057:NTD983060 OCZ983057:OCZ983060 OMV983057:OMV983060 OWR983057:OWR983060 PGN983057:PGN983060 PQJ983057:PQJ983060 QAF983057:QAF983060 QKB983057:QKB983060 QTX983057:QTX983060 RDT983057:RDT983060 RNP983057:RNP983060 RXL983057:RXL983060 SHH983057:SHH983060 SRD983057:SRD983060 TAZ983057:TAZ983060 TKV983057:TKV983060 TUR983057:TUR983060 UEN983057:UEN983060 UOJ983057:UOJ983060 UYF983057:UYF983060 VIB983057:VIB983060 VRX983057:VRX983060 WBT983057:WBT983060 WLP983057:WLP983060 WVL983057:WVL983060 G17:G20 JC17:JC20 SY17:SY20 ACU17:ACU20 AMQ17:AMQ20 AWM17:AWM20 BGI17:BGI20 BQE17:BQE20 CAA17:CAA20 CJW17:CJW20 CTS17:CTS20 DDO17:DDO20 DNK17:DNK20 DXG17:DXG20 EHC17:EHC20 EQY17:EQY20 FAU17:FAU20 FKQ17:FKQ20 FUM17:FUM20 GEI17:GEI20 GOE17:GOE20 GYA17:GYA20 HHW17:HHW20 HRS17:HRS20 IBO17:IBO20 ILK17:ILK20 IVG17:IVG20 JFC17:JFC20 JOY17:JOY20 JYU17:JYU20 KIQ17:KIQ20 KSM17:KSM20 LCI17:LCI20 LME17:LME20 LWA17:LWA20 MFW17:MFW20 MPS17:MPS20 MZO17:MZO20 NJK17:NJK20 NTG17:NTG20 ODC17:ODC20 OMY17:OMY20 OWU17:OWU20 PGQ17:PGQ20 PQM17:PQM20 QAI17:QAI20 QKE17:QKE20 QUA17:QUA20 RDW17:RDW20 RNS17:RNS20 RXO17:RXO20 SHK17:SHK20 SRG17:SRG20 TBC17:TBC20 TKY17:TKY20 TUU17:TUU20 UEQ17:UEQ20 UOM17:UOM20 UYI17:UYI20 VIE17:VIE20 VSA17:VSA20 WBW17:WBW20 WLS17:WLS20 WVO17:WVO20 G65553:G65556 JC65553:JC65556 SY65553:SY65556 ACU65553:ACU65556 AMQ65553:AMQ65556 AWM65553:AWM65556 BGI65553:BGI65556 BQE65553:BQE65556 CAA65553:CAA65556 CJW65553:CJW65556 CTS65553:CTS65556 DDO65553:DDO65556 DNK65553:DNK65556 DXG65553:DXG65556 EHC65553:EHC65556 EQY65553:EQY65556 FAU65553:FAU65556 FKQ65553:FKQ65556 FUM65553:FUM65556 GEI65553:GEI65556 GOE65553:GOE65556 GYA65553:GYA65556 HHW65553:HHW65556 HRS65553:HRS65556 IBO65553:IBO65556 ILK65553:ILK65556 IVG65553:IVG65556 JFC65553:JFC65556 JOY65553:JOY65556 JYU65553:JYU65556 KIQ65553:KIQ65556 KSM65553:KSM65556 LCI65553:LCI65556 LME65553:LME65556 LWA65553:LWA65556 MFW65553:MFW65556 MPS65553:MPS65556 MZO65553:MZO65556 NJK65553:NJK65556 NTG65553:NTG65556 ODC65553:ODC65556 OMY65553:OMY65556 OWU65553:OWU65556 PGQ65553:PGQ65556 PQM65553:PQM65556 QAI65553:QAI65556 QKE65553:QKE65556 QUA65553:QUA65556 RDW65553:RDW65556 RNS65553:RNS65556 RXO65553:RXO65556 SHK65553:SHK65556 SRG65553:SRG65556 TBC65553:TBC65556 TKY65553:TKY65556 TUU65553:TUU65556 UEQ65553:UEQ65556 UOM65553:UOM65556 UYI65553:UYI65556 VIE65553:VIE65556 VSA65553:VSA65556 WBW65553:WBW65556 WLS65553:WLS65556 WVO65553:WVO65556 G131089:G131092 JC131089:JC131092 SY131089:SY131092 ACU131089:ACU131092 AMQ131089:AMQ131092 AWM131089:AWM131092 BGI131089:BGI131092 BQE131089:BQE131092 CAA131089:CAA131092 CJW131089:CJW131092 CTS131089:CTS131092 DDO131089:DDO131092 DNK131089:DNK131092 DXG131089:DXG131092 EHC131089:EHC131092 EQY131089:EQY131092 FAU131089:FAU131092 FKQ131089:FKQ131092 FUM131089:FUM131092 GEI131089:GEI131092 GOE131089:GOE131092 GYA131089:GYA131092 HHW131089:HHW131092 HRS131089:HRS131092 IBO131089:IBO131092 ILK131089:ILK131092 IVG131089:IVG131092 JFC131089:JFC131092 JOY131089:JOY131092 JYU131089:JYU131092 KIQ131089:KIQ131092 KSM131089:KSM131092 LCI131089:LCI131092 LME131089:LME131092 LWA131089:LWA131092 MFW131089:MFW131092 MPS131089:MPS131092 MZO131089:MZO131092 NJK131089:NJK131092 NTG131089:NTG131092 ODC131089:ODC131092 OMY131089:OMY131092 OWU131089:OWU131092 PGQ131089:PGQ131092 PQM131089:PQM131092 QAI131089:QAI131092 QKE131089:QKE131092 QUA131089:QUA131092 RDW131089:RDW131092 RNS131089:RNS131092 RXO131089:RXO131092 SHK131089:SHK131092 SRG131089:SRG131092 TBC131089:TBC131092 TKY131089:TKY131092 TUU131089:TUU131092 UEQ131089:UEQ131092 UOM131089:UOM131092 UYI131089:UYI131092 VIE131089:VIE131092 VSA131089:VSA131092 WBW131089:WBW131092 WLS131089:WLS131092 WVO131089:WVO131092 G196625:G196628 JC196625:JC196628 SY196625:SY196628 ACU196625:ACU196628 AMQ196625:AMQ196628 AWM196625:AWM196628 BGI196625:BGI196628 BQE196625:BQE196628 CAA196625:CAA196628 CJW196625:CJW196628 CTS196625:CTS196628 DDO196625:DDO196628 DNK196625:DNK196628 DXG196625:DXG196628 EHC196625:EHC196628 EQY196625:EQY196628 FAU196625:FAU196628 FKQ196625:FKQ196628 FUM196625:FUM196628 GEI196625:GEI196628 GOE196625:GOE196628 GYA196625:GYA196628 HHW196625:HHW196628 HRS196625:HRS196628 IBO196625:IBO196628 ILK196625:ILK196628 IVG196625:IVG196628 JFC196625:JFC196628 JOY196625:JOY196628 JYU196625:JYU196628 KIQ196625:KIQ196628 KSM196625:KSM196628 LCI196625:LCI196628 LME196625:LME196628 LWA196625:LWA196628 MFW196625:MFW196628 MPS196625:MPS196628 MZO196625:MZO196628 NJK196625:NJK196628 NTG196625:NTG196628 ODC196625:ODC196628 OMY196625:OMY196628 OWU196625:OWU196628 PGQ196625:PGQ196628 PQM196625:PQM196628 QAI196625:QAI196628 QKE196625:QKE196628 QUA196625:QUA196628 RDW196625:RDW196628 RNS196625:RNS196628 RXO196625:RXO196628 SHK196625:SHK196628 SRG196625:SRG196628 TBC196625:TBC196628 TKY196625:TKY196628 TUU196625:TUU196628 UEQ196625:UEQ196628 UOM196625:UOM196628 UYI196625:UYI196628 VIE196625:VIE196628 VSA196625:VSA196628 WBW196625:WBW196628 WLS196625:WLS196628 WVO196625:WVO196628 G262161:G262164 JC262161:JC262164 SY262161:SY262164 ACU262161:ACU262164 AMQ262161:AMQ262164 AWM262161:AWM262164 BGI262161:BGI262164 BQE262161:BQE262164 CAA262161:CAA262164 CJW262161:CJW262164 CTS262161:CTS262164 DDO262161:DDO262164 DNK262161:DNK262164 DXG262161:DXG262164 EHC262161:EHC262164 EQY262161:EQY262164 FAU262161:FAU262164 FKQ262161:FKQ262164 FUM262161:FUM262164 GEI262161:GEI262164 GOE262161:GOE262164 GYA262161:GYA262164 HHW262161:HHW262164 HRS262161:HRS262164 IBO262161:IBO262164 ILK262161:ILK262164 IVG262161:IVG262164 JFC262161:JFC262164 JOY262161:JOY262164 JYU262161:JYU262164 KIQ262161:KIQ262164 KSM262161:KSM262164 LCI262161:LCI262164 LME262161:LME262164 LWA262161:LWA262164 MFW262161:MFW262164 MPS262161:MPS262164 MZO262161:MZO262164 NJK262161:NJK262164 NTG262161:NTG262164 ODC262161:ODC262164 OMY262161:OMY262164 OWU262161:OWU262164 PGQ262161:PGQ262164 PQM262161:PQM262164 QAI262161:QAI262164 QKE262161:QKE262164 QUA262161:QUA262164 RDW262161:RDW262164 RNS262161:RNS262164 RXO262161:RXO262164 SHK262161:SHK262164 SRG262161:SRG262164 TBC262161:TBC262164 TKY262161:TKY262164 TUU262161:TUU262164 UEQ262161:UEQ262164 UOM262161:UOM262164 UYI262161:UYI262164 VIE262161:VIE262164 VSA262161:VSA262164 WBW262161:WBW262164 WLS262161:WLS262164 WVO262161:WVO262164 G327697:G327700 JC327697:JC327700 SY327697:SY327700 ACU327697:ACU327700 AMQ327697:AMQ327700 AWM327697:AWM327700 BGI327697:BGI327700 BQE327697:BQE327700 CAA327697:CAA327700 CJW327697:CJW327700 CTS327697:CTS327700 DDO327697:DDO327700 DNK327697:DNK327700 DXG327697:DXG327700 EHC327697:EHC327700 EQY327697:EQY327700 FAU327697:FAU327700 FKQ327697:FKQ327700 FUM327697:FUM327700 GEI327697:GEI327700 GOE327697:GOE327700 GYA327697:GYA327700 HHW327697:HHW327700 HRS327697:HRS327700 IBO327697:IBO327700 ILK327697:ILK327700 IVG327697:IVG327700 JFC327697:JFC327700 JOY327697:JOY327700 JYU327697:JYU327700 KIQ327697:KIQ327700 KSM327697:KSM327700 LCI327697:LCI327700 LME327697:LME327700 LWA327697:LWA327700 MFW327697:MFW327700 MPS327697:MPS327700 MZO327697:MZO327700 NJK327697:NJK327700 NTG327697:NTG327700 ODC327697:ODC327700 OMY327697:OMY327700 OWU327697:OWU327700 PGQ327697:PGQ327700 PQM327697:PQM327700 QAI327697:QAI327700 QKE327697:QKE327700 QUA327697:QUA327700 RDW327697:RDW327700 RNS327697:RNS327700 RXO327697:RXO327700 SHK327697:SHK327700 SRG327697:SRG327700 TBC327697:TBC327700 TKY327697:TKY327700 TUU327697:TUU327700 UEQ327697:UEQ327700 UOM327697:UOM327700 UYI327697:UYI327700 VIE327697:VIE327700 VSA327697:VSA327700 WBW327697:WBW327700 WLS327697:WLS327700 WVO327697:WVO327700 G393233:G393236 JC393233:JC393236 SY393233:SY393236 ACU393233:ACU393236 AMQ393233:AMQ393236 AWM393233:AWM393236 BGI393233:BGI393236 BQE393233:BQE393236 CAA393233:CAA393236 CJW393233:CJW393236 CTS393233:CTS393236 DDO393233:DDO393236 DNK393233:DNK393236 DXG393233:DXG393236 EHC393233:EHC393236 EQY393233:EQY393236 FAU393233:FAU393236 FKQ393233:FKQ393236 FUM393233:FUM393236 GEI393233:GEI393236 GOE393233:GOE393236 GYA393233:GYA393236 HHW393233:HHW393236 HRS393233:HRS393236 IBO393233:IBO393236 ILK393233:ILK393236 IVG393233:IVG393236 JFC393233:JFC393236 JOY393233:JOY393236 JYU393233:JYU393236 KIQ393233:KIQ393236 KSM393233:KSM393236 LCI393233:LCI393236 LME393233:LME393236 LWA393233:LWA393236 MFW393233:MFW393236 MPS393233:MPS393236 MZO393233:MZO393236 NJK393233:NJK393236 NTG393233:NTG393236 ODC393233:ODC393236 OMY393233:OMY393236 OWU393233:OWU393236 PGQ393233:PGQ393236 PQM393233:PQM393236 QAI393233:QAI393236 QKE393233:QKE393236 QUA393233:QUA393236 RDW393233:RDW393236 RNS393233:RNS393236 RXO393233:RXO393236 SHK393233:SHK393236 SRG393233:SRG393236 TBC393233:TBC393236 TKY393233:TKY393236 TUU393233:TUU393236 UEQ393233:UEQ393236 UOM393233:UOM393236 UYI393233:UYI393236 VIE393233:VIE393236 VSA393233:VSA393236 WBW393233:WBW393236 WLS393233:WLS393236 WVO393233:WVO393236 G458769:G458772 JC458769:JC458772 SY458769:SY458772 ACU458769:ACU458772 AMQ458769:AMQ458772 AWM458769:AWM458772 BGI458769:BGI458772 BQE458769:BQE458772 CAA458769:CAA458772 CJW458769:CJW458772 CTS458769:CTS458772 DDO458769:DDO458772 DNK458769:DNK458772 DXG458769:DXG458772 EHC458769:EHC458772 EQY458769:EQY458772 FAU458769:FAU458772 FKQ458769:FKQ458772 FUM458769:FUM458772 GEI458769:GEI458772 GOE458769:GOE458772 GYA458769:GYA458772 HHW458769:HHW458772 HRS458769:HRS458772 IBO458769:IBO458772 ILK458769:ILK458772 IVG458769:IVG458772 JFC458769:JFC458772 JOY458769:JOY458772 JYU458769:JYU458772 KIQ458769:KIQ458772 KSM458769:KSM458772 LCI458769:LCI458772 LME458769:LME458772 LWA458769:LWA458772 MFW458769:MFW458772 MPS458769:MPS458772 MZO458769:MZO458772 NJK458769:NJK458772 NTG458769:NTG458772 ODC458769:ODC458772 OMY458769:OMY458772 OWU458769:OWU458772 PGQ458769:PGQ458772 PQM458769:PQM458772 QAI458769:QAI458772 QKE458769:QKE458772 QUA458769:QUA458772 RDW458769:RDW458772 RNS458769:RNS458772 RXO458769:RXO458772 SHK458769:SHK458772 SRG458769:SRG458772 TBC458769:TBC458772 TKY458769:TKY458772 TUU458769:TUU458772 UEQ458769:UEQ458772 UOM458769:UOM458772 UYI458769:UYI458772 VIE458769:VIE458772 VSA458769:VSA458772 WBW458769:WBW458772 WLS458769:WLS458772 WVO458769:WVO458772 G524305:G524308 JC524305:JC524308 SY524305:SY524308 ACU524305:ACU524308 AMQ524305:AMQ524308 AWM524305:AWM524308 BGI524305:BGI524308 BQE524305:BQE524308 CAA524305:CAA524308 CJW524305:CJW524308 CTS524305:CTS524308 DDO524305:DDO524308 DNK524305:DNK524308 DXG524305:DXG524308 EHC524305:EHC524308 EQY524305:EQY524308 FAU524305:FAU524308 FKQ524305:FKQ524308 FUM524305:FUM524308 GEI524305:GEI524308 GOE524305:GOE524308 GYA524305:GYA524308 HHW524305:HHW524308 HRS524305:HRS524308 IBO524305:IBO524308 ILK524305:ILK524308 IVG524305:IVG524308 JFC524305:JFC524308 JOY524305:JOY524308 JYU524305:JYU524308 KIQ524305:KIQ524308 KSM524305:KSM524308 LCI524305:LCI524308 LME524305:LME524308 LWA524305:LWA524308 MFW524305:MFW524308 MPS524305:MPS524308 MZO524305:MZO524308 NJK524305:NJK524308 NTG524305:NTG524308 ODC524305:ODC524308 OMY524305:OMY524308 OWU524305:OWU524308 PGQ524305:PGQ524308 PQM524305:PQM524308 QAI524305:QAI524308 QKE524305:QKE524308 QUA524305:QUA524308 RDW524305:RDW524308 RNS524305:RNS524308 RXO524305:RXO524308 SHK524305:SHK524308 SRG524305:SRG524308 TBC524305:TBC524308 TKY524305:TKY524308 TUU524305:TUU524308 UEQ524305:UEQ524308 UOM524305:UOM524308 UYI524305:UYI524308 VIE524305:VIE524308 VSA524305:VSA524308 WBW524305:WBW524308 WLS524305:WLS524308 WVO524305:WVO524308 G589841:G589844 JC589841:JC589844 SY589841:SY589844 ACU589841:ACU589844 AMQ589841:AMQ589844 AWM589841:AWM589844 BGI589841:BGI589844 BQE589841:BQE589844 CAA589841:CAA589844 CJW589841:CJW589844 CTS589841:CTS589844 DDO589841:DDO589844 DNK589841:DNK589844 DXG589841:DXG589844 EHC589841:EHC589844 EQY589841:EQY589844 FAU589841:FAU589844 FKQ589841:FKQ589844 FUM589841:FUM589844 GEI589841:GEI589844 GOE589841:GOE589844 GYA589841:GYA589844 HHW589841:HHW589844 HRS589841:HRS589844 IBO589841:IBO589844 ILK589841:ILK589844 IVG589841:IVG589844 JFC589841:JFC589844 JOY589841:JOY589844 JYU589841:JYU589844 KIQ589841:KIQ589844 KSM589841:KSM589844 LCI589841:LCI589844 LME589841:LME589844 LWA589841:LWA589844 MFW589841:MFW589844 MPS589841:MPS589844 MZO589841:MZO589844 NJK589841:NJK589844 NTG589841:NTG589844 ODC589841:ODC589844 OMY589841:OMY589844 OWU589841:OWU589844 PGQ589841:PGQ589844 PQM589841:PQM589844 QAI589841:QAI589844 QKE589841:QKE589844 QUA589841:QUA589844 RDW589841:RDW589844 RNS589841:RNS589844 RXO589841:RXO589844 SHK589841:SHK589844 SRG589841:SRG589844 TBC589841:TBC589844 TKY589841:TKY589844 TUU589841:TUU589844 UEQ589841:UEQ589844 UOM589841:UOM589844 UYI589841:UYI589844 VIE589841:VIE589844 VSA589841:VSA589844 WBW589841:WBW589844 WLS589841:WLS589844 WVO589841:WVO589844 G655377:G655380 JC655377:JC655380 SY655377:SY655380 ACU655377:ACU655380 AMQ655377:AMQ655380 AWM655377:AWM655380 BGI655377:BGI655380 BQE655377:BQE655380 CAA655377:CAA655380 CJW655377:CJW655380 CTS655377:CTS655380 DDO655377:DDO655380 DNK655377:DNK655380 DXG655377:DXG655380 EHC655377:EHC655380 EQY655377:EQY655380 FAU655377:FAU655380 FKQ655377:FKQ655380 FUM655377:FUM655380 GEI655377:GEI655380 GOE655377:GOE655380 GYA655377:GYA655380 HHW655377:HHW655380 HRS655377:HRS655380 IBO655377:IBO655380 ILK655377:ILK655380 IVG655377:IVG655380 JFC655377:JFC655380 JOY655377:JOY655380 JYU655377:JYU655380 KIQ655377:KIQ655380 KSM655377:KSM655380 LCI655377:LCI655380 LME655377:LME655380 LWA655377:LWA655380 MFW655377:MFW655380 MPS655377:MPS655380 MZO655377:MZO655380 NJK655377:NJK655380 NTG655377:NTG655380 ODC655377:ODC655380 OMY655377:OMY655380 OWU655377:OWU655380 PGQ655377:PGQ655380 PQM655377:PQM655380 QAI655377:QAI655380 QKE655377:QKE655380 QUA655377:QUA655380 RDW655377:RDW655380 RNS655377:RNS655380 RXO655377:RXO655380 SHK655377:SHK655380 SRG655377:SRG655380 TBC655377:TBC655380 TKY655377:TKY655380 TUU655377:TUU655380 UEQ655377:UEQ655380 UOM655377:UOM655380 UYI655377:UYI655380 VIE655377:VIE655380 VSA655377:VSA655380 WBW655377:WBW655380 WLS655377:WLS655380 WVO655377:WVO655380 G720913:G720916 JC720913:JC720916 SY720913:SY720916 ACU720913:ACU720916 AMQ720913:AMQ720916 AWM720913:AWM720916 BGI720913:BGI720916 BQE720913:BQE720916 CAA720913:CAA720916 CJW720913:CJW720916 CTS720913:CTS720916 DDO720913:DDO720916 DNK720913:DNK720916 DXG720913:DXG720916 EHC720913:EHC720916 EQY720913:EQY720916 FAU720913:FAU720916 FKQ720913:FKQ720916 FUM720913:FUM720916 GEI720913:GEI720916 GOE720913:GOE720916 GYA720913:GYA720916 HHW720913:HHW720916 HRS720913:HRS720916 IBO720913:IBO720916 ILK720913:ILK720916 IVG720913:IVG720916 JFC720913:JFC720916 JOY720913:JOY720916 JYU720913:JYU720916 KIQ720913:KIQ720916 KSM720913:KSM720916 LCI720913:LCI720916 LME720913:LME720916 LWA720913:LWA720916 MFW720913:MFW720916 MPS720913:MPS720916 MZO720913:MZO720916 NJK720913:NJK720916 NTG720913:NTG720916 ODC720913:ODC720916 OMY720913:OMY720916 OWU720913:OWU720916 PGQ720913:PGQ720916 PQM720913:PQM720916 QAI720913:QAI720916 QKE720913:QKE720916 QUA720913:QUA720916 RDW720913:RDW720916 RNS720913:RNS720916 RXO720913:RXO720916 SHK720913:SHK720916 SRG720913:SRG720916 TBC720913:TBC720916 TKY720913:TKY720916 TUU720913:TUU720916 UEQ720913:UEQ720916 UOM720913:UOM720916 UYI720913:UYI720916 VIE720913:VIE720916 VSA720913:VSA720916 WBW720913:WBW720916 WLS720913:WLS720916 WVO720913:WVO720916 G786449:G786452 JC786449:JC786452 SY786449:SY786452 ACU786449:ACU786452 AMQ786449:AMQ786452 AWM786449:AWM786452 BGI786449:BGI786452 BQE786449:BQE786452 CAA786449:CAA786452 CJW786449:CJW786452 CTS786449:CTS786452 DDO786449:DDO786452 DNK786449:DNK786452 DXG786449:DXG786452 EHC786449:EHC786452 EQY786449:EQY786452 FAU786449:FAU786452 FKQ786449:FKQ786452 FUM786449:FUM786452 GEI786449:GEI786452 GOE786449:GOE786452 GYA786449:GYA786452 HHW786449:HHW786452 HRS786449:HRS786452 IBO786449:IBO786452 ILK786449:ILK786452 IVG786449:IVG786452 JFC786449:JFC786452 JOY786449:JOY786452 JYU786449:JYU786452 KIQ786449:KIQ786452 KSM786449:KSM786452 LCI786449:LCI786452 LME786449:LME786452 LWA786449:LWA786452 MFW786449:MFW786452 MPS786449:MPS786452 MZO786449:MZO786452 NJK786449:NJK786452 NTG786449:NTG786452 ODC786449:ODC786452 OMY786449:OMY786452 OWU786449:OWU786452 PGQ786449:PGQ786452 PQM786449:PQM786452 QAI786449:QAI786452 QKE786449:QKE786452 QUA786449:QUA786452 RDW786449:RDW786452 RNS786449:RNS786452 RXO786449:RXO786452 SHK786449:SHK786452 SRG786449:SRG786452 TBC786449:TBC786452 TKY786449:TKY786452 TUU786449:TUU786452 UEQ786449:UEQ786452 UOM786449:UOM786452 UYI786449:UYI786452 VIE786449:VIE786452 VSA786449:VSA786452 WBW786449:WBW786452 WLS786449:WLS786452 WVO786449:WVO786452 G851985:G851988 JC851985:JC851988 SY851985:SY851988 ACU851985:ACU851988 AMQ851985:AMQ851988 AWM851985:AWM851988 BGI851985:BGI851988 BQE851985:BQE851988 CAA851985:CAA851988 CJW851985:CJW851988 CTS851985:CTS851988 DDO851985:DDO851988 DNK851985:DNK851988 DXG851985:DXG851988 EHC851985:EHC851988 EQY851985:EQY851988 FAU851985:FAU851988 FKQ851985:FKQ851988 FUM851985:FUM851988 GEI851985:GEI851988 GOE851985:GOE851988 GYA851985:GYA851988 HHW851985:HHW851988 HRS851985:HRS851988 IBO851985:IBO851988 ILK851985:ILK851988 IVG851985:IVG851988 JFC851985:JFC851988 JOY851985:JOY851988 JYU851985:JYU851988 KIQ851985:KIQ851988 KSM851985:KSM851988 LCI851985:LCI851988 LME851985:LME851988 LWA851985:LWA851988 MFW851985:MFW851988 MPS851985:MPS851988 MZO851985:MZO851988 NJK851985:NJK851988 NTG851985:NTG851988 ODC851985:ODC851988 OMY851985:OMY851988 OWU851985:OWU851988 PGQ851985:PGQ851988 PQM851985:PQM851988 QAI851985:QAI851988 QKE851985:QKE851988 QUA851985:QUA851988 RDW851985:RDW851988 RNS851985:RNS851988 RXO851985:RXO851988 SHK851985:SHK851988 SRG851985:SRG851988 TBC851985:TBC851988 TKY851985:TKY851988 TUU851985:TUU851988 UEQ851985:UEQ851988 UOM851985:UOM851988 UYI851985:UYI851988 VIE851985:VIE851988 VSA851985:VSA851988 WBW851985:WBW851988 WLS851985:WLS851988 WVO851985:WVO851988 G917521:G917524 JC917521:JC917524 SY917521:SY917524 ACU917521:ACU917524 AMQ917521:AMQ917524 AWM917521:AWM917524 BGI917521:BGI917524 BQE917521:BQE917524 CAA917521:CAA917524 CJW917521:CJW917524 CTS917521:CTS917524 DDO917521:DDO917524 DNK917521:DNK917524 DXG917521:DXG917524 EHC917521:EHC917524 EQY917521:EQY917524 FAU917521:FAU917524 FKQ917521:FKQ917524 FUM917521:FUM917524 GEI917521:GEI917524 GOE917521:GOE917524 GYA917521:GYA917524 HHW917521:HHW917524 HRS917521:HRS917524 IBO917521:IBO917524 ILK917521:ILK917524 IVG917521:IVG917524 JFC917521:JFC917524 JOY917521:JOY917524 JYU917521:JYU917524 KIQ917521:KIQ917524 KSM917521:KSM917524 LCI917521:LCI917524 LME917521:LME917524 LWA917521:LWA917524 MFW917521:MFW917524 MPS917521:MPS917524 MZO917521:MZO917524 NJK917521:NJK917524 NTG917521:NTG917524 ODC917521:ODC917524 OMY917521:OMY917524 OWU917521:OWU917524 PGQ917521:PGQ917524 PQM917521:PQM917524 QAI917521:QAI917524 QKE917521:QKE917524 QUA917521:QUA917524 RDW917521:RDW917524 RNS917521:RNS917524 RXO917521:RXO917524 SHK917521:SHK917524 SRG917521:SRG917524 TBC917521:TBC917524 TKY917521:TKY917524 TUU917521:TUU917524 UEQ917521:UEQ917524 UOM917521:UOM917524 UYI917521:UYI917524 VIE917521:VIE917524 VSA917521:VSA917524 WBW917521:WBW917524 WLS917521:WLS917524 WVO917521:WVO917524 G983057:G983060 JC983057:JC983060 SY983057:SY983060 ACU983057:ACU983060 AMQ983057:AMQ983060 AWM983057:AWM983060 BGI983057:BGI983060 BQE983057:BQE983060 CAA983057:CAA983060 CJW983057:CJW983060 CTS983057:CTS983060 DDO983057:DDO983060 DNK983057:DNK983060 DXG983057:DXG983060 EHC983057:EHC983060 EQY983057:EQY983060 FAU983057:FAU983060 FKQ983057:FKQ983060 FUM983057:FUM983060 GEI983057:GEI983060 GOE983057:GOE983060 GYA983057:GYA983060 HHW983057:HHW983060 HRS983057:HRS983060 IBO983057:IBO983060 ILK983057:ILK983060 IVG983057:IVG983060 JFC983057:JFC983060 JOY983057:JOY983060 JYU983057:JYU983060 KIQ983057:KIQ983060 KSM983057:KSM983060 LCI983057:LCI983060 LME983057:LME983060 LWA983057:LWA983060 MFW983057:MFW983060 MPS983057:MPS983060 MZO983057:MZO983060 NJK983057:NJK983060 NTG983057:NTG983060 ODC983057:ODC983060 OMY983057:OMY983060 OWU983057:OWU983060 PGQ983057:PGQ983060 PQM983057:PQM983060 QAI983057:QAI983060 QKE983057:QKE983060 QUA983057:QUA983060 RDW983057:RDW983060 RNS983057:RNS983060 RXO983057:RXO983060 SHK983057:SHK983060 SRG983057:SRG983060 TBC983057:TBC983060 TKY983057:TKY983060 TUU983057:TUU983060 UEQ983057:UEQ983060 UOM983057:UOM983060 UYI983057:UYI983060 VIE983057:VIE983060 VSA983057:VSA983060 WBW983057:WBW983060 WLS983057:WLS983060 WVO983057:WVO983060 J17:J20 JF17:JF20 TB17:TB20 ACX17:ACX20 AMT17:AMT20 AWP17:AWP20 BGL17:BGL20 BQH17:BQH20 CAD17:CAD20 CJZ17:CJZ20 CTV17:CTV20 DDR17:DDR20 DNN17:DNN20 DXJ17:DXJ20 EHF17:EHF20 ERB17:ERB20 FAX17:FAX20 FKT17:FKT20 FUP17:FUP20 GEL17:GEL20 GOH17:GOH20 GYD17:GYD20 HHZ17:HHZ20 HRV17:HRV20 IBR17:IBR20 ILN17:ILN20 IVJ17:IVJ20 JFF17:JFF20 JPB17:JPB20 JYX17:JYX20 KIT17:KIT20 KSP17:KSP20 LCL17:LCL20 LMH17:LMH20 LWD17:LWD20 MFZ17:MFZ20 MPV17:MPV20 MZR17:MZR20 NJN17:NJN20 NTJ17:NTJ20 ODF17:ODF20 ONB17:ONB20 OWX17:OWX20 PGT17:PGT20 PQP17:PQP20 QAL17:QAL20 QKH17:QKH20 QUD17:QUD20 RDZ17:RDZ20 RNV17:RNV20 RXR17:RXR20 SHN17:SHN20 SRJ17:SRJ20 TBF17:TBF20 TLB17:TLB20 TUX17:TUX20 UET17:UET20 UOP17:UOP20 UYL17:UYL20 VIH17:VIH20 VSD17:VSD20 WBZ17:WBZ20 WLV17:WLV20 WVR17:WVR20 J65553:J65556 JF65553:JF65556 TB65553:TB65556 ACX65553:ACX65556 AMT65553:AMT65556 AWP65553:AWP65556 BGL65553:BGL65556 BQH65553:BQH65556 CAD65553:CAD65556 CJZ65553:CJZ65556 CTV65553:CTV65556 DDR65553:DDR65556 DNN65553:DNN65556 DXJ65553:DXJ65556 EHF65553:EHF65556 ERB65553:ERB65556 FAX65553:FAX65556 FKT65553:FKT65556 FUP65553:FUP65556 GEL65553:GEL65556 GOH65553:GOH65556 GYD65553:GYD65556 HHZ65553:HHZ65556 HRV65553:HRV65556 IBR65553:IBR65556 ILN65553:ILN65556 IVJ65553:IVJ65556 JFF65553:JFF65556 JPB65553:JPB65556 JYX65553:JYX65556 KIT65553:KIT65556 KSP65553:KSP65556 LCL65553:LCL65556 LMH65553:LMH65556 LWD65553:LWD65556 MFZ65553:MFZ65556 MPV65553:MPV65556 MZR65553:MZR65556 NJN65553:NJN65556 NTJ65553:NTJ65556 ODF65553:ODF65556 ONB65553:ONB65556 OWX65553:OWX65556 PGT65553:PGT65556 PQP65553:PQP65556 QAL65553:QAL65556 QKH65553:QKH65556 QUD65553:QUD65556 RDZ65553:RDZ65556 RNV65553:RNV65556 RXR65553:RXR65556 SHN65553:SHN65556 SRJ65553:SRJ65556 TBF65553:TBF65556 TLB65553:TLB65556 TUX65553:TUX65556 UET65553:UET65556 UOP65553:UOP65556 UYL65553:UYL65556 VIH65553:VIH65556 VSD65553:VSD65556 WBZ65553:WBZ65556 WLV65553:WLV65556 WVR65553:WVR65556 J131089:J131092 JF131089:JF131092 TB131089:TB131092 ACX131089:ACX131092 AMT131089:AMT131092 AWP131089:AWP131092 BGL131089:BGL131092 BQH131089:BQH131092 CAD131089:CAD131092 CJZ131089:CJZ131092 CTV131089:CTV131092 DDR131089:DDR131092 DNN131089:DNN131092 DXJ131089:DXJ131092 EHF131089:EHF131092 ERB131089:ERB131092 FAX131089:FAX131092 FKT131089:FKT131092 FUP131089:FUP131092 GEL131089:GEL131092 GOH131089:GOH131092 GYD131089:GYD131092 HHZ131089:HHZ131092 HRV131089:HRV131092 IBR131089:IBR131092 ILN131089:ILN131092 IVJ131089:IVJ131092 JFF131089:JFF131092 JPB131089:JPB131092 JYX131089:JYX131092 KIT131089:KIT131092 KSP131089:KSP131092 LCL131089:LCL131092 LMH131089:LMH131092 LWD131089:LWD131092 MFZ131089:MFZ131092 MPV131089:MPV131092 MZR131089:MZR131092 NJN131089:NJN131092 NTJ131089:NTJ131092 ODF131089:ODF131092 ONB131089:ONB131092 OWX131089:OWX131092 PGT131089:PGT131092 PQP131089:PQP131092 QAL131089:QAL131092 QKH131089:QKH131092 QUD131089:QUD131092 RDZ131089:RDZ131092 RNV131089:RNV131092 RXR131089:RXR131092 SHN131089:SHN131092 SRJ131089:SRJ131092 TBF131089:TBF131092 TLB131089:TLB131092 TUX131089:TUX131092 UET131089:UET131092 UOP131089:UOP131092 UYL131089:UYL131092 VIH131089:VIH131092 VSD131089:VSD131092 WBZ131089:WBZ131092 WLV131089:WLV131092 WVR131089:WVR131092 J196625:J196628 JF196625:JF196628 TB196625:TB196628 ACX196625:ACX196628 AMT196625:AMT196628 AWP196625:AWP196628 BGL196625:BGL196628 BQH196625:BQH196628 CAD196625:CAD196628 CJZ196625:CJZ196628 CTV196625:CTV196628 DDR196625:DDR196628 DNN196625:DNN196628 DXJ196625:DXJ196628 EHF196625:EHF196628 ERB196625:ERB196628 FAX196625:FAX196628 FKT196625:FKT196628 FUP196625:FUP196628 GEL196625:GEL196628 GOH196625:GOH196628 GYD196625:GYD196628 HHZ196625:HHZ196628 HRV196625:HRV196628 IBR196625:IBR196628 ILN196625:ILN196628 IVJ196625:IVJ196628 JFF196625:JFF196628 JPB196625:JPB196628 JYX196625:JYX196628 KIT196625:KIT196628 KSP196625:KSP196628 LCL196625:LCL196628 LMH196625:LMH196628 LWD196625:LWD196628 MFZ196625:MFZ196628 MPV196625:MPV196628 MZR196625:MZR196628 NJN196625:NJN196628 NTJ196625:NTJ196628 ODF196625:ODF196628 ONB196625:ONB196628 OWX196625:OWX196628 PGT196625:PGT196628 PQP196625:PQP196628 QAL196625:QAL196628 QKH196625:QKH196628 QUD196625:QUD196628 RDZ196625:RDZ196628 RNV196625:RNV196628 RXR196625:RXR196628 SHN196625:SHN196628 SRJ196625:SRJ196628 TBF196625:TBF196628 TLB196625:TLB196628 TUX196625:TUX196628 UET196625:UET196628 UOP196625:UOP196628 UYL196625:UYL196628 VIH196625:VIH196628 VSD196625:VSD196628 WBZ196625:WBZ196628 WLV196625:WLV196628 WVR196625:WVR196628 J262161:J262164 JF262161:JF262164 TB262161:TB262164 ACX262161:ACX262164 AMT262161:AMT262164 AWP262161:AWP262164 BGL262161:BGL262164 BQH262161:BQH262164 CAD262161:CAD262164 CJZ262161:CJZ262164 CTV262161:CTV262164 DDR262161:DDR262164 DNN262161:DNN262164 DXJ262161:DXJ262164 EHF262161:EHF262164 ERB262161:ERB262164 FAX262161:FAX262164 FKT262161:FKT262164 FUP262161:FUP262164 GEL262161:GEL262164 GOH262161:GOH262164 GYD262161:GYD262164 HHZ262161:HHZ262164 HRV262161:HRV262164 IBR262161:IBR262164 ILN262161:ILN262164 IVJ262161:IVJ262164 JFF262161:JFF262164 JPB262161:JPB262164 JYX262161:JYX262164 KIT262161:KIT262164 KSP262161:KSP262164 LCL262161:LCL262164 LMH262161:LMH262164 LWD262161:LWD262164 MFZ262161:MFZ262164 MPV262161:MPV262164 MZR262161:MZR262164 NJN262161:NJN262164 NTJ262161:NTJ262164 ODF262161:ODF262164 ONB262161:ONB262164 OWX262161:OWX262164 PGT262161:PGT262164 PQP262161:PQP262164 QAL262161:QAL262164 QKH262161:QKH262164 QUD262161:QUD262164 RDZ262161:RDZ262164 RNV262161:RNV262164 RXR262161:RXR262164 SHN262161:SHN262164 SRJ262161:SRJ262164 TBF262161:TBF262164 TLB262161:TLB262164 TUX262161:TUX262164 UET262161:UET262164 UOP262161:UOP262164 UYL262161:UYL262164 VIH262161:VIH262164 VSD262161:VSD262164 WBZ262161:WBZ262164 WLV262161:WLV262164 WVR262161:WVR262164 J327697:J327700 JF327697:JF327700 TB327697:TB327700 ACX327697:ACX327700 AMT327697:AMT327700 AWP327697:AWP327700 BGL327697:BGL327700 BQH327697:BQH327700 CAD327697:CAD327700 CJZ327697:CJZ327700 CTV327697:CTV327700 DDR327697:DDR327700 DNN327697:DNN327700 DXJ327697:DXJ327700 EHF327697:EHF327700 ERB327697:ERB327700 FAX327697:FAX327700 FKT327697:FKT327700 FUP327697:FUP327700 GEL327697:GEL327700 GOH327697:GOH327700 GYD327697:GYD327700 HHZ327697:HHZ327700 HRV327697:HRV327700 IBR327697:IBR327700 ILN327697:ILN327700 IVJ327697:IVJ327700 JFF327697:JFF327700 JPB327697:JPB327700 JYX327697:JYX327700 KIT327697:KIT327700 KSP327697:KSP327700 LCL327697:LCL327700 LMH327697:LMH327700 LWD327697:LWD327700 MFZ327697:MFZ327700 MPV327697:MPV327700 MZR327697:MZR327700 NJN327697:NJN327700 NTJ327697:NTJ327700 ODF327697:ODF327700 ONB327697:ONB327700 OWX327697:OWX327700 PGT327697:PGT327700 PQP327697:PQP327700 QAL327697:QAL327700 QKH327697:QKH327700 QUD327697:QUD327700 RDZ327697:RDZ327700 RNV327697:RNV327700 RXR327697:RXR327700 SHN327697:SHN327700 SRJ327697:SRJ327700 TBF327697:TBF327700 TLB327697:TLB327700 TUX327697:TUX327700 UET327697:UET327700 UOP327697:UOP327700 UYL327697:UYL327700 VIH327697:VIH327700 VSD327697:VSD327700 WBZ327697:WBZ327700 WLV327697:WLV327700 WVR327697:WVR327700 J393233:J393236 JF393233:JF393236 TB393233:TB393236 ACX393233:ACX393236 AMT393233:AMT393236 AWP393233:AWP393236 BGL393233:BGL393236 BQH393233:BQH393236 CAD393233:CAD393236 CJZ393233:CJZ393236 CTV393233:CTV393236 DDR393233:DDR393236 DNN393233:DNN393236 DXJ393233:DXJ393236 EHF393233:EHF393236 ERB393233:ERB393236 FAX393233:FAX393236 FKT393233:FKT393236 FUP393233:FUP393236 GEL393233:GEL393236 GOH393233:GOH393236 GYD393233:GYD393236 HHZ393233:HHZ393236 HRV393233:HRV393236 IBR393233:IBR393236 ILN393233:ILN393236 IVJ393233:IVJ393236 JFF393233:JFF393236 JPB393233:JPB393236 JYX393233:JYX393236 KIT393233:KIT393236 KSP393233:KSP393236 LCL393233:LCL393236 LMH393233:LMH393236 LWD393233:LWD393236 MFZ393233:MFZ393236 MPV393233:MPV393236 MZR393233:MZR393236 NJN393233:NJN393236 NTJ393233:NTJ393236 ODF393233:ODF393236 ONB393233:ONB393236 OWX393233:OWX393236 PGT393233:PGT393236 PQP393233:PQP393236 QAL393233:QAL393236 QKH393233:QKH393236 QUD393233:QUD393236 RDZ393233:RDZ393236 RNV393233:RNV393236 RXR393233:RXR393236 SHN393233:SHN393236 SRJ393233:SRJ393236 TBF393233:TBF393236 TLB393233:TLB393236 TUX393233:TUX393236 UET393233:UET393236 UOP393233:UOP393236 UYL393233:UYL393236 VIH393233:VIH393236 VSD393233:VSD393236 WBZ393233:WBZ393236 WLV393233:WLV393236 WVR393233:WVR393236 J458769:J458772 JF458769:JF458772 TB458769:TB458772 ACX458769:ACX458772 AMT458769:AMT458772 AWP458769:AWP458772 BGL458769:BGL458772 BQH458769:BQH458772 CAD458769:CAD458772 CJZ458769:CJZ458772 CTV458769:CTV458772 DDR458769:DDR458772 DNN458769:DNN458772 DXJ458769:DXJ458772 EHF458769:EHF458772 ERB458769:ERB458772 FAX458769:FAX458772 FKT458769:FKT458772 FUP458769:FUP458772 GEL458769:GEL458772 GOH458769:GOH458772 GYD458769:GYD458772 HHZ458769:HHZ458772 HRV458769:HRV458772 IBR458769:IBR458772 ILN458769:ILN458772 IVJ458769:IVJ458772 JFF458769:JFF458772 JPB458769:JPB458772 JYX458769:JYX458772 KIT458769:KIT458772 KSP458769:KSP458772 LCL458769:LCL458772 LMH458769:LMH458772 LWD458769:LWD458772 MFZ458769:MFZ458772 MPV458769:MPV458772 MZR458769:MZR458772 NJN458769:NJN458772 NTJ458769:NTJ458772 ODF458769:ODF458772 ONB458769:ONB458772 OWX458769:OWX458772 PGT458769:PGT458772 PQP458769:PQP458772 QAL458769:QAL458772 QKH458769:QKH458772 QUD458769:QUD458772 RDZ458769:RDZ458772 RNV458769:RNV458772 RXR458769:RXR458772 SHN458769:SHN458772 SRJ458769:SRJ458772 TBF458769:TBF458772 TLB458769:TLB458772 TUX458769:TUX458772 UET458769:UET458772 UOP458769:UOP458772 UYL458769:UYL458772 VIH458769:VIH458772 VSD458769:VSD458772 WBZ458769:WBZ458772 WLV458769:WLV458772 WVR458769:WVR458772 J524305:J524308 JF524305:JF524308 TB524305:TB524308 ACX524305:ACX524308 AMT524305:AMT524308 AWP524305:AWP524308 BGL524305:BGL524308 BQH524305:BQH524308 CAD524305:CAD524308 CJZ524305:CJZ524308 CTV524305:CTV524308 DDR524305:DDR524308 DNN524305:DNN524308 DXJ524305:DXJ524308 EHF524305:EHF524308 ERB524305:ERB524308 FAX524305:FAX524308 FKT524305:FKT524308 FUP524305:FUP524308 GEL524305:GEL524308 GOH524305:GOH524308 GYD524305:GYD524308 HHZ524305:HHZ524308 HRV524305:HRV524308 IBR524305:IBR524308 ILN524305:ILN524308 IVJ524305:IVJ524308 JFF524305:JFF524308 JPB524305:JPB524308 JYX524305:JYX524308 KIT524305:KIT524308 KSP524305:KSP524308 LCL524305:LCL524308 LMH524305:LMH524308 LWD524305:LWD524308 MFZ524305:MFZ524308 MPV524305:MPV524308 MZR524305:MZR524308 NJN524305:NJN524308 NTJ524305:NTJ524308 ODF524305:ODF524308 ONB524305:ONB524308 OWX524305:OWX524308 PGT524305:PGT524308 PQP524305:PQP524308 QAL524305:QAL524308 QKH524305:QKH524308 QUD524305:QUD524308 RDZ524305:RDZ524308 RNV524305:RNV524308 RXR524305:RXR524308 SHN524305:SHN524308 SRJ524305:SRJ524308 TBF524305:TBF524308 TLB524305:TLB524308 TUX524305:TUX524308 UET524305:UET524308 UOP524305:UOP524308 UYL524305:UYL524308 VIH524305:VIH524308 VSD524305:VSD524308 WBZ524305:WBZ524308 WLV524305:WLV524308 WVR524305:WVR524308 J589841:J589844 JF589841:JF589844 TB589841:TB589844 ACX589841:ACX589844 AMT589841:AMT589844 AWP589841:AWP589844 BGL589841:BGL589844 BQH589841:BQH589844 CAD589841:CAD589844 CJZ589841:CJZ589844 CTV589841:CTV589844 DDR589841:DDR589844 DNN589841:DNN589844 DXJ589841:DXJ589844 EHF589841:EHF589844 ERB589841:ERB589844 FAX589841:FAX589844 FKT589841:FKT589844 FUP589841:FUP589844 GEL589841:GEL589844 GOH589841:GOH589844 GYD589841:GYD589844 HHZ589841:HHZ589844 HRV589841:HRV589844 IBR589841:IBR589844 ILN589841:ILN589844 IVJ589841:IVJ589844 JFF589841:JFF589844 JPB589841:JPB589844 JYX589841:JYX589844 KIT589841:KIT589844 KSP589841:KSP589844 LCL589841:LCL589844 LMH589841:LMH589844 LWD589841:LWD589844 MFZ589841:MFZ589844 MPV589841:MPV589844 MZR589841:MZR589844 NJN589841:NJN589844 NTJ589841:NTJ589844 ODF589841:ODF589844 ONB589841:ONB589844 OWX589841:OWX589844 PGT589841:PGT589844 PQP589841:PQP589844 QAL589841:QAL589844 QKH589841:QKH589844 QUD589841:QUD589844 RDZ589841:RDZ589844 RNV589841:RNV589844 RXR589841:RXR589844 SHN589841:SHN589844 SRJ589841:SRJ589844 TBF589841:TBF589844 TLB589841:TLB589844 TUX589841:TUX589844 UET589841:UET589844 UOP589841:UOP589844 UYL589841:UYL589844 VIH589841:VIH589844 VSD589841:VSD589844 WBZ589841:WBZ589844 WLV589841:WLV589844 WVR589841:WVR589844 J655377:J655380 JF655377:JF655380 TB655377:TB655380 ACX655377:ACX655380 AMT655377:AMT655380 AWP655377:AWP655380 BGL655377:BGL655380 BQH655377:BQH655380 CAD655377:CAD655380 CJZ655377:CJZ655380 CTV655377:CTV655380 DDR655377:DDR655380 DNN655377:DNN655380 DXJ655377:DXJ655380 EHF655377:EHF655380 ERB655377:ERB655380 FAX655377:FAX655380 FKT655377:FKT655380 FUP655377:FUP655380 GEL655377:GEL655380 GOH655377:GOH655380 GYD655377:GYD655380 HHZ655377:HHZ655380 HRV655377:HRV655380 IBR655377:IBR655380 ILN655377:ILN655380 IVJ655377:IVJ655380 JFF655377:JFF655380 JPB655377:JPB655380 JYX655377:JYX655380 KIT655377:KIT655380 KSP655377:KSP655380 LCL655377:LCL655380 LMH655377:LMH655380 LWD655377:LWD655380 MFZ655377:MFZ655380 MPV655377:MPV655380 MZR655377:MZR655380 NJN655377:NJN655380 NTJ655377:NTJ655380 ODF655377:ODF655380 ONB655377:ONB655380 OWX655377:OWX655380 PGT655377:PGT655380 PQP655377:PQP655380 QAL655377:QAL655380 QKH655377:QKH655380 QUD655377:QUD655380 RDZ655377:RDZ655380 RNV655377:RNV655380 RXR655377:RXR655380 SHN655377:SHN655380 SRJ655377:SRJ655380 TBF655377:TBF655380 TLB655377:TLB655380 TUX655377:TUX655380 UET655377:UET655380 UOP655377:UOP655380 UYL655377:UYL655380 VIH655377:VIH655380 VSD655377:VSD655380 WBZ655377:WBZ655380 WLV655377:WLV655380 WVR655377:WVR655380 J720913:J720916 JF720913:JF720916 TB720913:TB720916 ACX720913:ACX720916 AMT720913:AMT720916 AWP720913:AWP720916 BGL720913:BGL720916 BQH720913:BQH720916 CAD720913:CAD720916 CJZ720913:CJZ720916 CTV720913:CTV720916 DDR720913:DDR720916 DNN720913:DNN720916 DXJ720913:DXJ720916 EHF720913:EHF720916 ERB720913:ERB720916 FAX720913:FAX720916 FKT720913:FKT720916 FUP720913:FUP720916 GEL720913:GEL720916 GOH720913:GOH720916 GYD720913:GYD720916 HHZ720913:HHZ720916 HRV720913:HRV720916 IBR720913:IBR720916 ILN720913:ILN720916 IVJ720913:IVJ720916 JFF720913:JFF720916 JPB720913:JPB720916 JYX720913:JYX720916 KIT720913:KIT720916 KSP720913:KSP720916 LCL720913:LCL720916 LMH720913:LMH720916 LWD720913:LWD720916 MFZ720913:MFZ720916 MPV720913:MPV720916 MZR720913:MZR720916 NJN720913:NJN720916 NTJ720913:NTJ720916 ODF720913:ODF720916 ONB720913:ONB720916 OWX720913:OWX720916 PGT720913:PGT720916 PQP720913:PQP720916 QAL720913:QAL720916 QKH720913:QKH720916 QUD720913:QUD720916 RDZ720913:RDZ720916 RNV720913:RNV720916 RXR720913:RXR720916 SHN720913:SHN720916 SRJ720913:SRJ720916 TBF720913:TBF720916 TLB720913:TLB720916 TUX720913:TUX720916 UET720913:UET720916 UOP720913:UOP720916 UYL720913:UYL720916 VIH720913:VIH720916 VSD720913:VSD720916 WBZ720913:WBZ720916 WLV720913:WLV720916 WVR720913:WVR720916 J786449:J786452 JF786449:JF786452 TB786449:TB786452 ACX786449:ACX786452 AMT786449:AMT786452 AWP786449:AWP786452 BGL786449:BGL786452 BQH786449:BQH786452 CAD786449:CAD786452 CJZ786449:CJZ786452 CTV786449:CTV786452 DDR786449:DDR786452 DNN786449:DNN786452 DXJ786449:DXJ786452 EHF786449:EHF786452 ERB786449:ERB786452 FAX786449:FAX786452 FKT786449:FKT786452 FUP786449:FUP786452 GEL786449:GEL786452 GOH786449:GOH786452 GYD786449:GYD786452 HHZ786449:HHZ786452 HRV786449:HRV786452 IBR786449:IBR786452 ILN786449:ILN786452 IVJ786449:IVJ786452 JFF786449:JFF786452 JPB786449:JPB786452 JYX786449:JYX786452 KIT786449:KIT786452 KSP786449:KSP786452 LCL786449:LCL786452 LMH786449:LMH786452 LWD786449:LWD786452 MFZ786449:MFZ786452 MPV786449:MPV786452 MZR786449:MZR786452 NJN786449:NJN786452 NTJ786449:NTJ786452 ODF786449:ODF786452 ONB786449:ONB786452 OWX786449:OWX786452 PGT786449:PGT786452 PQP786449:PQP786452 QAL786449:QAL786452 QKH786449:QKH786452 QUD786449:QUD786452 RDZ786449:RDZ786452 RNV786449:RNV786452 RXR786449:RXR786452 SHN786449:SHN786452 SRJ786449:SRJ786452 TBF786449:TBF786452 TLB786449:TLB786452 TUX786449:TUX786452 UET786449:UET786452 UOP786449:UOP786452 UYL786449:UYL786452 VIH786449:VIH786452 VSD786449:VSD786452 WBZ786449:WBZ786452 WLV786449:WLV786452 WVR786449:WVR786452 J851985:J851988 JF851985:JF851988 TB851985:TB851988 ACX851985:ACX851988 AMT851985:AMT851988 AWP851985:AWP851988 BGL851985:BGL851988 BQH851985:BQH851988 CAD851985:CAD851988 CJZ851985:CJZ851988 CTV851985:CTV851988 DDR851985:DDR851988 DNN851985:DNN851988 DXJ851985:DXJ851988 EHF851985:EHF851988 ERB851985:ERB851988 FAX851985:FAX851988 FKT851985:FKT851988 FUP851985:FUP851988 GEL851985:GEL851988 GOH851985:GOH851988 GYD851985:GYD851988 HHZ851985:HHZ851988 HRV851985:HRV851988 IBR851985:IBR851988 ILN851985:ILN851988 IVJ851985:IVJ851988 JFF851985:JFF851988 JPB851985:JPB851988 JYX851985:JYX851988 KIT851985:KIT851988 KSP851985:KSP851988 LCL851985:LCL851988 LMH851985:LMH851988 LWD851985:LWD851988 MFZ851985:MFZ851988 MPV851985:MPV851988 MZR851985:MZR851988 NJN851985:NJN851988 NTJ851985:NTJ851988 ODF851985:ODF851988 ONB851985:ONB851988 OWX851985:OWX851988 PGT851985:PGT851988 PQP851985:PQP851988 QAL851985:QAL851988 QKH851985:QKH851988 QUD851985:QUD851988 RDZ851985:RDZ851988 RNV851985:RNV851988 RXR851985:RXR851988 SHN851985:SHN851988 SRJ851985:SRJ851988 TBF851985:TBF851988 TLB851985:TLB851988 TUX851985:TUX851988 UET851985:UET851988 UOP851985:UOP851988 UYL851985:UYL851988 VIH851985:VIH851988 VSD851985:VSD851988 WBZ851985:WBZ851988 WLV851985:WLV851988 WVR851985:WVR851988 J917521:J917524 JF917521:JF917524 TB917521:TB917524 ACX917521:ACX917524 AMT917521:AMT917524 AWP917521:AWP917524 BGL917521:BGL917524 BQH917521:BQH917524 CAD917521:CAD917524 CJZ917521:CJZ917524 CTV917521:CTV917524 DDR917521:DDR917524 DNN917521:DNN917524 DXJ917521:DXJ917524 EHF917521:EHF917524 ERB917521:ERB917524 FAX917521:FAX917524 FKT917521:FKT917524 FUP917521:FUP917524 GEL917521:GEL917524 GOH917521:GOH917524 GYD917521:GYD917524 HHZ917521:HHZ917524 HRV917521:HRV917524 IBR917521:IBR917524 ILN917521:ILN917524 IVJ917521:IVJ917524 JFF917521:JFF917524 JPB917521:JPB917524 JYX917521:JYX917524 KIT917521:KIT917524 KSP917521:KSP917524 LCL917521:LCL917524 LMH917521:LMH917524 LWD917521:LWD917524 MFZ917521:MFZ917524 MPV917521:MPV917524 MZR917521:MZR917524 NJN917521:NJN917524 NTJ917521:NTJ917524 ODF917521:ODF917524 ONB917521:ONB917524 OWX917521:OWX917524 PGT917521:PGT917524 PQP917521:PQP917524 QAL917521:QAL917524 QKH917521:QKH917524 QUD917521:QUD917524 RDZ917521:RDZ917524 RNV917521:RNV917524 RXR917521:RXR917524 SHN917521:SHN917524 SRJ917521:SRJ917524 TBF917521:TBF917524 TLB917521:TLB917524 TUX917521:TUX917524 UET917521:UET917524 UOP917521:UOP917524 UYL917521:UYL917524 VIH917521:VIH917524 VSD917521:VSD917524 WBZ917521:WBZ917524 WLV917521:WLV917524 WVR917521:WVR917524 J983057:J983060 JF983057:JF983060 TB983057:TB983060 ACX983057:ACX983060 AMT983057:AMT983060 AWP983057:AWP983060 BGL983057:BGL983060 BQH983057:BQH983060 CAD983057:CAD983060 CJZ983057:CJZ983060 CTV983057:CTV983060 DDR983057:DDR983060 DNN983057:DNN983060 DXJ983057:DXJ983060 EHF983057:EHF983060 ERB983057:ERB983060 FAX983057:FAX983060 FKT983057:FKT983060 FUP983057:FUP983060 GEL983057:GEL983060 GOH983057:GOH983060 GYD983057:GYD983060 HHZ983057:HHZ983060 HRV983057:HRV983060 IBR983057:IBR983060 ILN983057:ILN983060 IVJ983057:IVJ983060 JFF983057:JFF983060 JPB983057:JPB983060 JYX983057:JYX983060 KIT983057:KIT983060 KSP983057:KSP983060 LCL983057:LCL983060 LMH983057:LMH983060 LWD983057:LWD983060 MFZ983057:MFZ983060 MPV983057:MPV983060 MZR983057:MZR983060 NJN983057:NJN983060 NTJ983057:NTJ983060 ODF983057:ODF983060 ONB983057:ONB983060 OWX983057:OWX983060 PGT983057:PGT983060 PQP983057:PQP983060 QAL983057:QAL983060 QKH983057:QKH983060 QUD983057:QUD983060 RDZ983057:RDZ983060 RNV983057:RNV983060 RXR983057:RXR983060 SHN983057:SHN983060 SRJ983057:SRJ983060 TBF983057:TBF983060 TLB983057:TLB983060 TUX983057:TUX983060 UET983057:UET983060 UOP983057:UOP983060 UYL983057:UYL983060 VIH983057:VIH983060 VSD983057:VSD983060 WBZ983057:WBZ983060 WLV983057:WLV983060 WVR983057:WVR983060 M17:M20 JI17:JI20 TE17:TE20 ADA17:ADA20 AMW17:AMW20 AWS17:AWS20 BGO17:BGO20 BQK17:BQK20 CAG17:CAG20 CKC17:CKC20 CTY17:CTY20 DDU17:DDU20 DNQ17:DNQ20 DXM17:DXM20 EHI17:EHI20 ERE17:ERE20 FBA17:FBA20 FKW17:FKW20 FUS17:FUS20 GEO17:GEO20 GOK17:GOK20 GYG17:GYG20 HIC17:HIC20 HRY17:HRY20 IBU17:IBU20 ILQ17:ILQ20 IVM17:IVM20 JFI17:JFI20 JPE17:JPE20 JZA17:JZA20 KIW17:KIW20 KSS17:KSS20 LCO17:LCO20 LMK17:LMK20 LWG17:LWG20 MGC17:MGC20 MPY17:MPY20 MZU17:MZU20 NJQ17:NJQ20 NTM17:NTM20 ODI17:ODI20 ONE17:ONE20 OXA17:OXA20 PGW17:PGW20 PQS17:PQS20 QAO17:QAO20 QKK17:QKK20 QUG17:QUG20 REC17:REC20 RNY17:RNY20 RXU17:RXU20 SHQ17:SHQ20 SRM17:SRM20 TBI17:TBI20 TLE17:TLE20 TVA17:TVA20 UEW17:UEW20 UOS17:UOS20 UYO17:UYO20 VIK17:VIK20 VSG17:VSG20 WCC17:WCC20 WLY17:WLY20 WVU17:WVU20 M65553:M65556 JI65553:JI65556 TE65553:TE65556 ADA65553:ADA65556 AMW65553:AMW65556 AWS65553:AWS65556 BGO65553:BGO65556 BQK65553:BQK65556 CAG65553:CAG65556 CKC65553:CKC65556 CTY65553:CTY65556 DDU65553:DDU65556 DNQ65553:DNQ65556 DXM65553:DXM65556 EHI65553:EHI65556 ERE65553:ERE65556 FBA65553:FBA65556 FKW65553:FKW65556 FUS65553:FUS65556 GEO65553:GEO65556 GOK65553:GOK65556 GYG65553:GYG65556 HIC65553:HIC65556 HRY65553:HRY65556 IBU65553:IBU65556 ILQ65553:ILQ65556 IVM65553:IVM65556 JFI65553:JFI65556 JPE65553:JPE65556 JZA65553:JZA65556 KIW65553:KIW65556 KSS65553:KSS65556 LCO65553:LCO65556 LMK65553:LMK65556 LWG65553:LWG65556 MGC65553:MGC65556 MPY65553:MPY65556 MZU65553:MZU65556 NJQ65553:NJQ65556 NTM65553:NTM65556 ODI65553:ODI65556 ONE65553:ONE65556 OXA65553:OXA65556 PGW65553:PGW65556 PQS65553:PQS65556 QAO65553:QAO65556 QKK65553:QKK65556 QUG65553:QUG65556 REC65553:REC65556 RNY65553:RNY65556 RXU65553:RXU65556 SHQ65553:SHQ65556 SRM65553:SRM65556 TBI65553:TBI65556 TLE65553:TLE65556 TVA65553:TVA65556 UEW65553:UEW65556 UOS65553:UOS65556 UYO65553:UYO65556 VIK65553:VIK65556 VSG65553:VSG65556 WCC65553:WCC65556 WLY65553:WLY65556 WVU65553:WVU65556 M131089:M131092 JI131089:JI131092 TE131089:TE131092 ADA131089:ADA131092 AMW131089:AMW131092 AWS131089:AWS131092 BGO131089:BGO131092 BQK131089:BQK131092 CAG131089:CAG131092 CKC131089:CKC131092 CTY131089:CTY131092 DDU131089:DDU131092 DNQ131089:DNQ131092 DXM131089:DXM131092 EHI131089:EHI131092 ERE131089:ERE131092 FBA131089:FBA131092 FKW131089:FKW131092 FUS131089:FUS131092 GEO131089:GEO131092 GOK131089:GOK131092 GYG131089:GYG131092 HIC131089:HIC131092 HRY131089:HRY131092 IBU131089:IBU131092 ILQ131089:ILQ131092 IVM131089:IVM131092 JFI131089:JFI131092 JPE131089:JPE131092 JZA131089:JZA131092 KIW131089:KIW131092 KSS131089:KSS131092 LCO131089:LCO131092 LMK131089:LMK131092 LWG131089:LWG131092 MGC131089:MGC131092 MPY131089:MPY131092 MZU131089:MZU131092 NJQ131089:NJQ131092 NTM131089:NTM131092 ODI131089:ODI131092 ONE131089:ONE131092 OXA131089:OXA131092 PGW131089:PGW131092 PQS131089:PQS131092 QAO131089:QAO131092 QKK131089:QKK131092 QUG131089:QUG131092 REC131089:REC131092 RNY131089:RNY131092 RXU131089:RXU131092 SHQ131089:SHQ131092 SRM131089:SRM131092 TBI131089:TBI131092 TLE131089:TLE131092 TVA131089:TVA131092 UEW131089:UEW131092 UOS131089:UOS131092 UYO131089:UYO131092 VIK131089:VIK131092 VSG131089:VSG131092 WCC131089:WCC131092 WLY131089:WLY131092 WVU131089:WVU131092 M196625:M196628 JI196625:JI196628 TE196625:TE196628 ADA196625:ADA196628 AMW196625:AMW196628 AWS196625:AWS196628 BGO196625:BGO196628 BQK196625:BQK196628 CAG196625:CAG196628 CKC196625:CKC196628 CTY196625:CTY196628 DDU196625:DDU196628 DNQ196625:DNQ196628 DXM196625:DXM196628 EHI196625:EHI196628 ERE196625:ERE196628 FBA196625:FBA196628 FKW196625:FKW196628 FUS196625:FUS196628 GEO196625:GEO196628 GOK196625:GOK196628 GYG196625:GYG196628 HIC196625:HIC196628 HRY196625:HRY196628 IBU196625:IBU196628 ILQ196625:ILQ196628 IVM196625:IVM196628 JFI196625:JFI196628 JPE196625:JPE196628 JZA196625:JZA196628 KIW196625:KIW196628 KSS196625:KSS196628 LCO196625:LCO196628 LMK196625:LMK196628 LWG196625:LWG196628 MGC196625:MGC196628 MPY196625:MPY196628 MZU196625:MZU196628 NJQ196625:NJQ196628 NTM196625:NTM196628 ODI196625:ODI196628 ONE196625:ONE196628 OXA196625:OXA196628 PGW196625:PGW196628 PQS196625:PQS196628 QAO196625:QAO196628 QKK196625:QKK196628 QUG196625:QUG196628 REC196625:REC196628 RNY196625:RNY196628 RXU196625:RXU196628 SHQ196625:SHQ196628 SRM196625:SRM196628 TBI196625:TBI196628 TLE196625:TLE196628 TVA196625:TVA196628 UEW196625:UEW196628 UOS196625:UOS196628 UYO196625:UYO196628 VIK196625:VIK196628 VSG196625:VSG196628 WCC196625:WCC196628 WLY196625:WLY196628 WVU196625:WVU196628 M262161:M262164 JI262161:JI262164 TE262161:TE262164 ADA262161:ADA262164 AMW262161:AMW262164 AWS262161:AWS262164 BGO262161:BGO262164 BQK262161:BQK262164 CAG262161:CAG262164 CKC262161:CKC262164 CTY262161:CTY262164 DDU262161:DDU262164 DNQ262161:DNQ262164 DXM262161:DXM262164 EHI262161:EHI262164 ERE262161:ERE262164 FBA262161:FBA262164 FKW262161:FKW262164 FUS262161:FUS262164 GEO262161:GEO262164 GOK262161:GOK262164 GYG262161:GYG262164 HIC262161:HIC262164 HRY262161:HRY262164 IBU262161:IBU262164 ILQ262161:ILQ262164 IVM262161:IVM262164 JFI262161:JFI262164 JPE262161:JPE262164 JZA262161:JZA262164 KIW262161:KIW262164 KSS262161:KSS262164 LCO262161:LCO262164 LMK262161:LMK262164 LWG262161:LWG262164 MGC262161:MGC262164 MPY262161:MPY262164 MZU262161:MZU262164 NJQ262161:NJQ262164 NTM262161:NTM262164 ODI262161:ODI262164 ONE262161:ONE262164 OXA262161:OXA262164 PGW262161:PGW262164 PQS262161:PQS262164 QAO262161:QAO262164 QKK262161:QKK262164 QUG262161:QUG262164 REC262161:REC262164 RNY262161:RNY262164 RXU262161:RXU262164 SHQ262161:SHQ262164 SRM262161:SRM262164 TBI262161:TBI262164 TLE262161:TLE262164 TVA262161:TVA262164 UEW262161:UEW262164 UOS262161:UOS262164 UYO262161:UYO262164 VIK262161:VIK262164 VSG262161:VSG262164 WCC262161:WCC262164 WLY262161:WLY262164 WVU262161:WVU262164 M327697:M327700 JI327697:JI327700 TE327697:TE327700 ADA327697:ADA327700 AMW327697:AMW327700 AWS327697:AWS327700 BGO327697:BGO327700 BQK327697:BQK327700 CAG327697:CAG327700 CKC327697:CKC327700 CTY327697:CTY327700 DDU327697:DDU327700 DNQ327697:DNQ327700 DXM327697:DXM327700 EHI327697:EHI327700 ERE327697:ERE327700 FBA327697:FBA327700 FKW327697:FKW327700 FUS327697:FUS327700 GEO327697:GEO327700 GOK327697:GOK327700 GYG327697:GYG327700 HIC327697:HIC327700 HRY327697:HRY327700 IBU327697:IBU327700 ILQ327697:ILQ327700 IVM327697:IVM327700 JFI327697:JFI327700 JPE327697:JPE327700 JZA327697:JZA327700 KIW327697:KIW327700 KSS327697:KSS327700 LCO327697:LCO327700 LMK327697:LMK327700 LWG327697:LWG327700 MGC327697:MGC327700 MPY327697:MPY327700 MZU327697:MZU327700 NJQ327697:NJQ327700 NTM327697:NTM327700 ODI327697:ODI327700 ONE327697:ONE327700 OXA327697:OXA327700 PGW327697:PGW327700 PQS327697:PQS327700 QAO327697:QAO327700 QKK327697:QKK327700 QUG327697:QUG327700 REC327697:REC327700 RNY327697:RNY327700 RXU327697:RXU327700 SHQ327697:SHQ327700 SRM327697:SRM327700 TBI327697:TBI327700 TLE327697:TLE327700 TVA327697:TVA327700 UEW327697:UEW327700 UOS327697:UOS327700 UYO327697:UYO327700 VIK327697:VIK327700 VSG327697:VSG327700 WCC327697:WCC327700 WLY327697:WLY327700 WVU327697:WVU327700 M393233:M393236 JI393233:JI393236 TE393233:TE393236 ADA393233:ADA393236 AMW393233:AMW393236 AWS393233:AWS393236 BGO393233:BGO393236 BQK393233:BQK393236 CAG393233:CAG393236 CKC393233:CKC393236 CTY393233:CTY393236 DDU393233:DDU393236 DNQ393233:DNQ393236 DXM393233:DXM393236 EHI393233:EHI393236 ERE393233:ERE393236 FBA393233:FBA393236 FKW393233:FKW393236 FUS393233:FUS393236 GEO393233:GEO393236 GOK393233:GOK393236 GYG393233:GYG393236 HIC393233:HIC393236 HRY393233:HRY393236 IBU393233:IBU393236 ILQ393233:ILQ393236 IVM393233:IVM393236 JFI393233:JFI393236 JPE393233:JPE393236 JZA393233:JZA393236 KIW393233:KIW393236 KSS393233:KSS393236 LCO393233:LCO393236 LMK393233:LMK393236 LWG393233:LWG393236 MGC393233:MGC393236 MPY393233:MPY393236 MZU393233:MZU393236 NJQ393233:NJQ393236 NTM393233:NTM393236 ODI393233:ODI393236 ONE393233:ONE393236 OXA393233:OXA393236 PGW393233:PGW393236 PQS393233:PQS393236 QAO393233:QAO393236 QKK393233:QKK393236 QUG393233:QUG393236 REC393233:REC393236 RNY393233:RNY393236 RXU393233:RXU393236 SHQ393233:SHQ393236 SRM393233:SRM393236 TBI393233:TBI393236 TLE393233:TLE393236 TVA393233:TVA393236 UEW393233:UEW393236 UOS393233:UOS393236 UYO393233:UYO393236 VIK393233:VIK393236 VSG393233:VSG393236 WCC393233:WCC393236 WLY393233:WLY393236 WVU393233:WVU393236 M458769:M458772 JI458769:JI458772 TE458769:TE458772 ADA458769:ADA458772 AMW458769:AMW458772 AWS458769:AWS458772 BGO458769:BGO458772 BQK458769:BQK458772 CAG458769:CAG458772 CKC458769:CKC458772 CTY458769:CTY458772 DDU458769:DDU458772 DNQ458769:DNQ458772 DXM458769:DXM458772 EHI458769:EHI458772 ERE458769:ERE458772 FBA458769:FBA458772 FKW458769:FKW458772 FUS458769:FUS458772 GEO458769:GEO458772 GOK458769:GOK458772 GYG458769:GYG458772 HIC458769:HIC458772 HRY458769:HRY458772 IBU458769:IBU458772 ILQ458769:ILQ458772 IVM458769:IVM458772 JFI458769:JFI458772 JPE458769:JPE458772 JZA458769:JZA458772 KIW458769:KIW458772 KSS458769:KSS458772 LCO458769:LCO458772 LMK458769:LMK458772 LWG458769:LWG458772 MGC458769:MGC458772 MPY458769:MPY458772 MZU458769:MZU458772 NJQ458769:NJQ458772 NTM458769:NTM458772 ODI458769:ODI458772 ONE458769:ONE458772 OXA458769:OXA458772 PGW458769:PGW458772 PQS458769:PQS458772 QAO458769:QAO458772 QKK458769:QKK458772 QUG458769:QUG458772 REC458769:REC458772 RNY458769:RNY458772 RXU458769:RXU458772 SHQ458769:SHQ458772 SRM458769:SRM458772 TBI458769:TBI458772 TLE458769:TLE458772 TVA458769:TVA458772 UEW458769:UEW458772 UOS458769:UOS458772 UYO458769:UYO458772 VIK458769:VIK458772 VSG458769:VSG458772 WCC458769:WCC458772 WLY458769:WLY458772 WVU458769:WVU458772 M524305:M524308 JI524305:JI524308 TE524305:TE524308 ADA524305:ADA524308 AMW524305:AMW524308 AWS524305:AWS524308 BGO524305:BGO524308 BQK524305:BQK524308 CAG524305:CAG524308 CKC524305:CKC524308 CTY524305:CTY524308 DDU524305:DDU524308 DNQ524305:DNQ524308 DXM524305:DXM524308 EHI524305:EHI524308 ERE524305:ERE524308 FBA524305:FBA524308 FKW524305:FKW524308 FUS524305:FUS524308 GEO524305:GEO524308 GOK524305:GOK524308 GYG524305:GYG524308 HIC524305:HIC524308 HRY524305:HRY524308 IBU524305:IBU524308 ILQ524305:ILQ524308 IVM524305:IVM524308 JFI524305:JFI524308 JPE524305:JPE524308 JZA524305:JZA524308 KIW524305:KIW524308 KSS524305:KSS524308 LCO524305:LCO524308 LMK524305:LMK524308 LWG524305:LWG524308 MGC524305:MGC524308 MPY524305:MPY524308 MZU524305:MZU524308 NJQ524305:NJQ524308 NTM524305:NTM524308 ODI524305:ODI524308 ONE524305:ONE524308 OXA524305:OXA524308 PGW524305:PGW524308 PQS524305:PQS524308 QAO524305:QAO524308 QKK524305:QKK524308 QUG524305:QUG524308 REC524305:REC524308 RNY524305:RNY524308 RXU524305:RXU524308 SHQ524305:SHQ524308 SRM524305:SRM524308 TBI524305:TBI524308 TLE524305:TLE524308 TVA524305:TVA524308 UEW524305:UEW524308 UOS524305:UOS524308 UYO524305:UYO524308 VIK524305:VIK524308 VSG524305:VSG524308 WCC524305:WCC524308 WLY524305:WLY524308 WVU524305:WVU524308 M589841:M589844 JI589841:JI589844 TE589841:TE589844 ADA589841:ADA589844 AMW589841:AMW589844 AWS589841:AWS589844 BGO589841:BGO589844 BQK589841:BQK589844 CAG589841:CAG589844 CKC589841:CKC589844 CTY589841:CTY589844 DDU589841:DDU589844 DNQ589841:DNQ589844 DXM589841:DXM589844 EHI589841:EHI589844 ERE589841:ERE589844 FBA589841:FBA589844 FKW589841:FKW589844 FUS589841:FUS589844 GEO589841:GEO589844 GOK589841:GOK589844 GYG589841:GYG589844 HIC589841:HIC589844 HRY589841:HRY589844 IBU589841:IBU589844 ILQ589841:ILQ589844 IVM589841:IVM589844 JFI589841:JFI589844 JPE589841:JPE589844 JZA589841:JZA589844 KIW589841:KIW589844 KSS589841:KSS589844 LCO589841:LCO589844 LMK589841:LMK589844 LWG589841:LWG589844 MGC589841:MGC589844 MPY589841:MPY589844 MZU589841:MZU589844 NJQ589841:NJQ589844 NTM589841:NTM589844 ODI589841:ODI589844 ONE589841:ONE589844 OXA589841:OXA589844 PGW589841:PGW589844 PQS589841:PQS589844 QAO589841:QAO589844 QKK589841:QKK589844 QUG589841:QUG589844 REC589841:REC589844 RNY589841:RNY589844 RXU589841:RXU589844 SHQ589841:SHQ589844 SRM589841:SRM589844 TBI589841:TBI589844 TLE589841:TLE589844 TVA589841:TVA589844 UEW589841:UEW589844 UOS589841:UOS589844 UYO589841:UYO589844 VIK589841:VIK589844 VSG589841:VSG589844 WCC589841:WCC589844 WLY589841:WLY589844 WVU589841:WVU589844 M655377:M655380 JI655377:JI655380 TE655377:TE655380 ADA655377:ADA655380 AMW655377:AMW655380 AWS655377:AWS655380 BGO655377:BGO655380 BQK655377:BQK655380 CAG655377:CAG655380 CKC655377:CKC655380 CTY655377:CTY655380 DDU655377:DDU655380 DNQ655377:DNQ655380 DXM655377:DXM655380 EHI655377:EHI655380 ERE655377:ERE655380 FBA655377:FBA655380 FKW655377:FKW655380 FUS655377:FUS655380 GEO655377:GEO655380 GOK655377:GOK655380 GYG655377:GYG655380 HIC655377:HIC655380 HRY655377:HRY655380 IBU655377:IBU655380 ILQ655377:ILQ655380 IVM655377:IVM655380 JFI655377:JFI655380 JPE655377:JPE655380 JZA655377:JZA655380 KIW655377:KIW655380 KSS655377:KSS655380 LCO655377:LCO655380 LMK655377:LMK655380 LWG655377:LWG655380 MGC655377:MGC655380 MPY655377:MPY655380 MZU655377:MZU655380 NJQ655377:NJQ655380 NTM655377:NTM655380 ODI655377:ODI655380 ONE655377:ONE655380 OXA655377:OXA655380 PGW655377:PGW655380 PQS655377:PQS655380 QAO655377:QAO655380 QKK655377:QKK655380 QUG655377:QUG655380 REC655377:REC655380 RNY655377:RNY655380 RXU655377:RXU655380 SHQ655377:SHQ655380 SRM655377:SRM655380 TBI655377:TBI655380 TLE655377:TLE655380 TVA655377:TVA655380 UEW655377:UEW655380 UOS655377:UOS655380 UYO655377:UYO655380 VIK655377:VIK655380 VSG655377:VSG655380 WCC655377:WCC655380 WLY655377:WLY655380 WVU655377:WVU655380 M720913:M720916 JI720913:JI720916 TE720913:TE720916 ADA720913:ADA720916 AMW720913:AMW720916 AWS720913:AWS720916 BGO720913:BGO720916 BQK720913:BQK720916 CAG720913:CAG720916 CKC720913:CKC720916 CTY720913:CTY720916 DDU720913:DDU720916 DNQ720913:DNQ720916 DXM720913:DXM720916 EHI720913:EHI720916 ERE720913:ERE720916 FBA720913:FBA720916 FKW720913:FKW720916 FUS720913:FUS720916 GEO720913:GEO720916 GOK720913:GOK720916 GYG720913:GYG720916 HIC720913:HIC720916 HRY720913:HRY720916 IBU720913:IBU720916 ILQ720913:ILQ720916 IVM720913:IVM720916 JFI720913:JFI720916 JPE720913:JPE720916 JZA720913:JZA720916 KIW720913:KIW720916 KSS720913:KSS720916 LCO720913:LCO720916 LMK720913:LMK720916 LWG720913:LWG720916 MGC720913:MGC720916 MPY720913:MPY720916 MZU720913:MZU720916 NJQ720913:NJQ720916 NTM720913:NTM720916 ODI720913:ODI720916 ONE720913:ONE720916 OXA720913:OXA720916 PGW720913:PGW720916 PQS720913:PQS720916 QAO720913:QAO720916 QKK720913:QKK720916 QUG720913:QUG720916 REC720913:REC720916 RNY720913:RNY720916 RXU720913:RXU720916 SHQ720913:SHQ720916 SRM720913:SRM720916 TBI720913:TBI720916 TLE720913:TLE720916 TVA720913:TVA720916 UEW720913:UEW720916 UOS720913:UOS720916 UYO720913:UYO720916 VIK720913:VIK720916 VSG720913:VSG720916 WCC720913:WCC720916 WLY720913:WLY720916 WVU720913:WVU720916 M786449:M786452 JI786449:JI786452 TE786449:TE786452 ADA786449:ADA786452 AMW786449:AMW786452 AWS786449:AWS786452 BGO786449:BGO786452 BQK786449:BQK786452 CAG786449:CAG786452 CKC786449:CKC786452 CTY786449:CTY786452 DDU786449:DDU786452 DNQ786449:DNQ786452 DXM786449:DXM786452 EHI786449:EHI786452 ERE786449:ERE786452 FBA786449:FBA786452 FKW786449:FKW786452 FUS786449:FUS786452 GEO786449:GEO786452 GOK786449:GOK786452 GYG786449:GYG786452 HIC786449:HIC786452 HRY786449:HRY786452 IBU786449:IBU786452 ILQ786449:ILQ786452 IVM786449:IVM786452 JFI786449:JFI786452 JPE786449:JPE786452 JZA786449:JZA786452 KIW786449:KIW786452 KSS786449:KSS786452 LCO786449:LCO786452 LMK786449:LMK786452 LWG786449:LWG786452 MGC786449:MGC786452 MPY786449:MPY786452 MZU786449:MZU786452 NJQ786449:NJQ786452 NTM786449:NTM786452 ODI786449:ODI786452 ONE786449:ONE786452 OXA786449:OXA786452 PGW786449:PGW786452 PQS786449:PQS786452 QAO786449:QAO786452 QKK786449:QKK786452 QUG786449:QUG786452 REC786449:REC786452 RNY786449:RNY786452 RXU786449:RXU786452 SHQ786449:SHQ786452 SRM786449:SRM786452 TBI786449:TBI786452 TLE786449:TLE786452 TVA786449:TVA786452 UEW786449:UEW786452 UOS786449:UOS786452 UYO786449:UYO786452 VIK786449:VIK786452 VSG786449:VSG786452 WCC786449:WCC786452 WLY786449:WLY786452 WVU786449:WVU786452 M851985:M851988 JI851985:JI851988 TE851985:TE851988 ADA851985:ADA851988 AMW851985:AMW851988 AWS851985:AWS851988 BGO851985:BGO851988 BQK851985:BQK851988 CAG851985:CAG851988 CKC851985:CKC851988 CTY851985:CTY851988 DDU851985:DDU851988 DNQ851985:DNQ851988 DXM851985:DXM851988 EHI851985:EHI851988 ERE851985:ERE851988 FBA851985:FBA851988 FKW851985:FKW851988 FUS851985:FUS851988 GEO851985:GEO851988 GOK851985:GOK851988 GYG851985:GYG851988 HIC851985:HIC851988 HRY851985:HRY851988 IBU851985:IBU851988 ILQ851985:ILQ851988 IVM851985:IVM851988 JFI851985:JFI851988 JPE851985:JPE851988 JZA851985:JZA851988 KIW851985:KIW851988 KSS851985:KSS851988 LCO851985:LCO851988 LMK851985:LMK851988 LWG851985:LWG851988 MGC851985:MGC851988 MPY851985:MPY851988 MZU851985:MZU851988 NJQ851985:NJQ851988 NTM851985:NTM851988 ODI851985:ODI851988 ONE851985:ONE851988 OXA851985:OXA851988 PGW851985:PGW851988 PQS851985:PQS851988 QAO851985:QAO851988 QKK851985:QKK851988 QUG851985:QUG851988 REC851985:REC851988 RNY851985:RNY851988 RXU851985:RXU851988 SHQ851985:SHQ851988 SRM851985:SRM851988 TBI851985:TBI851988 TLE851985:TLE851988 TVA851985:TVA851988 UEW851985:UEW851988 UOS851985:UOS851988 UYO851985:UYO851988 VIK851985:VIK851988 VSG851985:VSG851988 WCC851985:WCC851988 WLY851985:WLY851988 WVU851985:WVU851988 M917521:M917524 JI917521:JI917524 TE917521:TE917524 ADA917521:ADA917524 AMW917521:AMW917524 AWS917521:AWS917524 BGO917521:BGO917524 BQK917521:BQK917524 CAG917521:CAG917524 CKC917521:CKC917524 CTY917521:CTY917524 DDU917521:DDU917524 DNQ917521:DNQ917524 DXM917521:DXM917524 EHI917521:EHI917524 ERE917521:ERE917524 FBA917521:FBA917524 FKW917521:FKW917524 FUS917521:FUS917524 GEO917521:GEO917524 GOK917521:GOK917524 GYG917521:GYG917524 HIC917521:HIC917524 HRY917521:HRY917524 IBU917521:IBU917524 ILQ917521:ILQ917524 IVM917521:IVM917524 JFI917521:JFI917524 JPE917521:JPE917524 JZA917521:JZA917524 KIW917521:KIW917524 KSS917521:KSS917524 LCO917521:LCO917524 LMK917521:LMK917524 LWG917521:LWG917524 MGC917521:MGC917524 MPY917521:MPY917524 MZU917521:MZU917524 NJQ917521:NJQ917524 NTM917521:NTM917524 ODI917521:ODI917524 ONE917521:ONE917524 OXA917521:OXA917524 PGW917521:PGW917524 PQS917521:PQS917524 QAO917521:QAO917524 QKK917521:QKK917524 QUG917521:QUG917524 REC917521:REC917524 RNY917521:RNY917524 RXU917521:RXU917524 SHQ917521:SHQ917524 SRM917521:SRM917524 TBI917521:TBI917524 TLE917521:TLE917524 TVA917521:TVA917524 UEW917521:UEW917524 UOS917521:UOS917524 UYO917521:UYO917524 VIK917521:VIK917524 VSG917521:VSG917524 WCC917521:WCC917524 WLY917521:WLY917524 WVU917521:WVU917524 M983057:M983060 JI983057:JI983060 TE983057:TE983060 ADA983057:ADA983060 AMW983057:AMW983060 AWS983057:AWS983060 BGO983057:BGO983060 BQK983057:BQK983060 CAG983057:CAG983060 CKC983057:CKC983060 CTY983057:CTY983060 DDU983057:DDU983060 DNQ983057:DNQ983060 DXM983057:DXM983060 EHI983057:EHI983060 ERE983057:ERE983060 FBA983057:FBA983060 FKW983057:FKW983060 FUS983057:FUS983060 GEO983057:GEO983060 GOK983057:GOK983060 GYG983057:GYG983060 HIC983057:HIC983060 HRY983057:HRY983060 IBU983057:IBU983060 ILQ983057:ILQ983060 IVM983057:IVM983060 JFI983057:JFI983060 JPE983057:JPE983060 JZA983057:JZA983060 KIW983057:KIW983060 KSS983057:KSS983060 LCO983057:LCO983060 LMK983057:LMK983060 LWG983057:LWG983060 MGC983057:MGC983060 MPY983057:MPY983060 MZU983057:MZU983060 NJQ983057:NJQ983060 NTM983057:NTM983060 ODI983057:ODI983060 ONE983057:ONE983060 OXA983057:OXA983060 PGW983057:PGW983060 PQS983057:PQS983060 QAO983057:QAO983060 QKK983057:QKK983060 QUG983057:QUG983060 REC983057:REC983060 RNY983057:RNY983060 RXU983057:RXU983060 SHQ983057:SHQ983060 SRM983057:SRM983060 TBI983057:TBI983060 TLE983057:TLE983060 TVA983057:TVA983060 UEW983057:UEW983060 UOS983057:UOS983060 UYO983057:UYO983060 VIK983057:VIK983060 VSG983057:VSG983060 WCC983057:WCC983060 WLY983057:WLY983060 WVU983057:WVU983060" xr:uid="{00000000-0002-0000-0000-000002000000}">
      <formula1>0</formula1>
      <formula2>100000</formula2>
    </dataValidation>
    <dataValidation type="whole" errorStyle="warning" allowBlank="1" showInputMessage="1" showErrorMessage="1" errorTitle="Please Check" error="Confirm that the value you have entered is correct" promptTitle="Landings" prompt="Official landings " sqref="B17:B20 IX17:IX20 ST17:ST20 ACP17:ACP20 AML17:AML20 AWH17:AWH20 BGD17:BGD20 BPZ17:BPZ20 BZV17:BZV20 CJR17:CJR20 CTN17:CTN20 DDJ17:DDJ20 DNF17:DNF20 DXB17:DXB20 EGX17:EGX20 EQT17:EQT20 FAP17:FAP20 FKL17:FKL20 FUH17:FUH20 GED17:GED20 GNZ17:GNZ20 GXV17:GXV20 HHR17:HHR20 HRN17:HRN20 IBJ17:IBJ20 ILF17:ILF20 IVB17:IVB20 JEX17:JEX20 JOT17:JOT20 JYP17:JYP20 KIL17:KIL20 KSH17:KSH20 LCD17:LCD20 LLZ17:LLZ20 LVV17:LVV20 MFR17:MFR20 MPN17:MPN20 MZJ17:MZJ20 NJF17:NJF20 NTB17:NTB20 OCX17:OCX20 OMT17:OMT20 OWP17:OWP20 PGL17:PGL20 PQH17:PQH20 QAD17:QAD20 QJZ17:QJZ20 QTV17:QTV20 RDR17:RDR20 RNN17:RNN20 RXJ17:RXJ20 SHF17:SHF20 SRB17:SRB20 TAX17:TAX20 TKT17:TKT20 TUP17:TUP20 UEL17:UEL20 UOH17:UOH20 UYD17:UYD20 VHZ17:VHZ20 VRV17:VRV20 WBR17:WBR20 WLN17:WLN20 WVJ17:WVJ20 B65553:B65556 IX65553:IX65556 ST65553:ST65556 ACP65553:ACP65556 AML65553:AML65556 AWH65553:AWH65556 BGD65553:BGD65556 BPZ65553:BPZ65556 BZV65553:BZV65556 CJR65553:CJR65556 CTN65553:CTN65556 DDJ65553:DDJ65556 DNF65553:DNF65556 DXB65553:DXB65556 EGX65553:EGX65556 EQT65553:EQT65556 FAP65553:FAP65556 FKL65553:FKL65556 FUH65553:FUH65556 GED65553:GED65556 GNZ65553:GNZ65556 GXV65553:GXV65556 HHR65553:HHR65556 HRN65553:HRN65556 IBJ65553:IBJ65556 ILF65553:ILF65556 IVB65553:IVB65556 JEX65553:JEX65556 JOT65553:JOT65556 JYP65553:JYP65556 KIL65553:KIL65556 KSH65553:KSH65556 LCD65553:LCD65556 LLZ65553:LLZ65556 LVV65553:LVV65556 MFR65553:MFR65556 MPN65553:MPN65556 MZJ65553:MZJ65556 NJF65553:NJF65556 NTB65553:NTB65556 OCX65553:OCX65556 OMT65553:OMT65556 OWP65553:OWP65556 PGL65553:PGL65556 PQH65553:PQH65556 QAD65553:QAD65556 QJZ65553:QJZ65556 QTV65553:QTV65556 RDR65553:RDR65556 RNN65553:RNN65556 RXJ65553:RXJ65556 SHF65553:SHF65556 SRB65553:SRB65556 TAX65553:TAX65556 TKT65553:TKT65556 TUP65553:TUP65556 UEL65553:UEL65556 UOH65553:UOH65556 UYD65553:UYD65556 VHZ65553:VHZ65556 VRV65553:VRV65556 WBR65553:WBR65556 WLN65553:WLN65556 WVJ65553:WVJ65556 B131089:B131092 IX131089:IX131092 ST131089:ST131092 ACP131089:ACP131092 AML131089:AML131092 AWH131089:AWH131092 BGD131089:BGD131092 BPZ131089:BPZ131092 BZV131089:BZV131092 CJR131089:CJR131092 CTN131089:CTN131092 DDJ131089:DDJ131092 DNF131089:DNF131092 DXB131089:DXB131092 EGX131089:EGX131092 EQT131089:EQT131092 FAP131089:FAP131092 FKL131089:FKL131092 FUH131089:FUH131092 GED131089:GED131092 GNZ131089:GNZ131092 GXV131089:GXV131092 HHR131089:HHR131092 HRN131089:HRN131092 IBJ131089:IBJ131092 ILF131089:ILF131092 IVB131089:IVB131092 JEX131089:JEX131092 JOT131089:JOT131092 JYP131089:JYP131092 KIL131089:KIL131092 KSH131089:KSH131092 LCD131089:LCD131092 LLZ131089:LLZ131092 LVV131089:LVV131092 MFR131089:MFR131092 MPN131089:MPN131092 MZJ131089:MZJ131092 NJF131089:NJF131092 NTB131089:NTB131092 OCX131089:OCX131092 OMT131089:OMT131092 OWP131089:OWP131092 PGL131089:PGL131092 PQH131089:PQH131092 QAD131089:QAD131092 QJZ131089:QJZ131092 QTV131089:QTV131092 RDR131089:RDR131092 RNN131089:RNN131092 RXJ131089:RXJ131092 SHF131089:SHF131092 SRB131089:SRB131092 TAX131089:TAX131092 TKT131089:TKT131092 TUP131089:TUP131092 UEL131089:UEL131092 UOH131089:UOH131092 UYD131089:UYD131092 VHZ131089:VHZ131092 VRV131089:VRV131092 WBR131089:WBR131092 WLN131089:WLN131092 WVJ131089:WVJ131092 B196625:B196628 IX196625:IX196628 ST196625:ST196628 ACP196625:ACP196628 AML196625:AML196628 AWH196625:AWH196628 BGD196625:BGD196628 BPZ196625:BPZ196628 BZV196625:BZV196628 CJR196625:CJR196628 CTN196625:CTN196628 DDJ196625:DDJ196628 DNF196625:DNF196628 DXB196625:DXB196628 EGX196625:EGX196628 EQT196625:EQT196628 FAP196625:FAP196628 FKL196625:FKL196628 FUH196625:FUH196628 GED196625:GED196628 GNZ196625:GNZ196628 GXV196625:GXV196628 HHR196625:HHR196628 HRN196625:HRN196628 IBJ196625:IBJ196628 ILF196625:ILF196628 IVB196625:IVB196628 JEX196625:JEX196628 JOT196625:JOT196628 JYP196625:JYP196628 KIL196625:KIL196628 KSH196625:KSH196628 LCD196625:LCD196628 LLZ196625:LLZ196628 LVV196625:LVV196628 MFR196625:MFR196628 MPN196625:MPN196628 MZJ196625:MZJ196628 NJF196625:NJF196628 NTB196625:NTB196628 OCX196625:OCX196628 OMT196625:OMT196628 OWP196625:OWP196628 PGL196625:PGL196628 PQH196625:PQH196628 QAD196625:QAD196628 QJZ196625:QJZ196628 QTV196625:QTV196628 RDR196625:RDR196628 RNN196625:RNN196628 RXJ196625:RXJ196628 SHF196625:SHF196628 SRB196625:SRB196628 TAX196625:TAX196628 TKT196625:TKT196628 TUP196625:TUP196628 UEL196625:UEL196628 UOH196625:UOH196628 UYD196625:UYD196628 VHZ196625:VHZ196628 VRV196625:VRV196628 WBR196625:WBR196628 WLN196625:WLN196628 WVJ196625:WVJ196628 B262161:B262164 IX262161:IX262164 ST262161:ST262164 ACP262161:ACP262164 AML262161:AML262164 AWH262161:AWH262164 BGD262161:BGD262164 BPZ262161:BPZ262164 BZV262161:BZV262164 CJR262161:CJR262164 CTN262161:CTN262164 DDJ262161:DDJ262164 DNF262161:DNF262164 DXB262161:DXB262164 EGX262161:EGX262164 EQT262161:EQT262164 FAP262161:FAP262164 FKL262161:FKL262164 FUH262161:FUH262164 GED262161:GED262164 GNZ262161:GNZ262164 GXV262161:GXV262164 HHR262161:HHR262164 HRN262161:HRN262164 IBJ262161:IBJ262164 ILF262161:ILF262164 IVB262161:IVB262164 JEX262161:JEX262164 JOT262161:JOT262164 JYP262161:JYP262164 KIL262161:KIL262164 KSH262161:KSH262164 LCD262161:LCD262164 LLZ262161:LLZ262164 LVV262161:LVV262164 MFR262161:MFR262164 MPN262161:MPN262164 MZJ262161:MZJ262164 NJF262161:NJF262164 NTB262161:NTB262164 OCX262161:OCX262164 OMT262161:OMT262164 OWP262161:OWP262164 PGL262161:PGL262164 PQH262161:PQH262164 QAD262161:QAD262164 QJZ262161:QJZ262164 QTV262161:QTV262164 RDR262161:RDR262164 RNN262161:RNN262164 RXJ262161:RXJ262164 SHF262161:SHF262164 SRB262161:SRB262164 TAX262161:TAX262164 TKT262161:TKT262164 TUP262161:TUP262164 UEL262161:UEL262164 UOH262161:UOH262164 UYD262161:UYD262164 VHZ262161:VHZ262164 VRV262161:VRV262164 WBR262161:WBR262164 WLN262161:WLN262164 WVJ262161:WVJ262164 B327697:B327700 IX327697:IX327700 ST327697:ST327700 ACP327697:ACP327700 AML327697:AML327700 AWH327697:AWH327700 BGD327697:BGD327700 BPZ327697:BPZ327700 BZV327697:BZV327700 CJR327697:CJR327700 CTN327697:CTN327700 DDJ327697:DDJ327700 DNF327697:DNF327700 DXB327697:DXB327700 EGX327697:EGX327700 EQT327697:EQT327700 FAP327697:FAP327700 FKL327697:FKL327700 FUH327697:FUH327700 GED327697:GED327700 GNZ327697:GNZ327700 GXV327697:GXV327700 HHR327697:HHR327700 HRN327697:HRN327700 IBJ327697:IBJ327700 ILF327697:ILF327700 IVB327697:IVB327700 JEX327697:JEX327700 JOT327697:JOT327700 JYP327697:JYP327700 KIL327697:KIL327700 KSH327697:KSH327700 LCD327697:LCD327700 LLZ327697:LLZ327700 LVV327697:LVV327700 MFR327697:MFR327700 MPN327697:MPN327700 MZJ327697:MZJ327700 NJF327697:NJF327700 NTB327697:NTB327700 OCX327697:OCX327700 OMT327697:OMT327700 OWP327697:OWP327700 PGL327697:PGL327700 PQH327697:PQH327700 QAD327697:QAD327700 QJZ327697:QJZ327700 QTV327697:QTV327700 RDR327697:RDR327700 RNN327697:RNN327700 RXJ327697:RXJ327700 SHF327697:SHF327700 SRB327697:SRB327700 TAX327697:TAX327700 TKT327697:TKT327700 TUP327697:TUP327700 UEL327697:UEL327700 UOH327697:UOH327700 UYD327697:UYD327700 VHZ327697:VHZ327700 VRV327697:VRV327700 WBR327697:WBR327700 WLN327697:WLN327700 WVJ327697:WVJ327700 B393233:B393236 IX393233:IX393236 ST393233:ST393236 ACP393233:ACP393236 AML393233:AML393236 AWH393233:AWH393236 BGD393233:BGD393236 BPZ393233:BPZ393236 BZV393233:BZV393236 CJR393233:CJR393236 CTN393233:CTN393236 DDJ393233:DDJ393236 DNF393233:DNF393236 DXB393233:DXB393236 EGX393233:EGX393236 EQT393233:EQT393236 FAP393233:FAP393236 FKL393233:FKL393236 FUH393233:FUH393236 GED393233:GED393236 GNZ393233:GNZ393236 GXV393233:GXV393236 HHR393233:HHR393236 HRN393233:HRN393236 IBJ393233:IBJ393236 ILF393233:ILF393236 IVB393233:IVB393236 JEX393233:JEX393236 JOT393233:JOT393236 JYP393233:JYP393236 KIL393233:KIL393236 KSH393233:KSH393236 LCD393233:LCD393236 LLZ393233:LLZ393236 LVV393233:LVV393236 MFR393233:MFR393236 MPN393233:MPN393236 MZJ393233:MZJ393236 NJF393233:NJF393236 NTB393233:NTB393236 OCX393233:OCX393236 OMT393233:OMT393236 OWP393233:OWP393236 PGL393233:PGL393236 PQH393233:PQH393236 QAD393233:QAD393236 QJZ393233:QJZ393236 QTV393233:QTV393236 RDR393233:RDR393236 RNN393233:RNN393236 RXJ393233:RXJ393236 SHF393233:SHF393236 SRB393233:SRB393236 TAX393233:TAX393236 TKT393233:TKT393236 TUP393233:TUP393236 UEL393233:UEL393236 UOH393233:UOH393236 UYD393233:UYD393236 VHZ393233:VHZ393236 VRV393233:VRV393236 WBR393233:WBR393236 WLN393233:WLN393236 WVJ393233:WVJ393236 B458769:B458772 IX458769:IX458772 ST458769:ST458772 ACP458769:ACP458772 AML458769:AML458772 AWH458769:AWH458772 BGD458769:BGD458772 BPZ458769:BPZ458772 BZV458769:BZV458772 CJR458769:CJR458772 CTN458769:CTN458772 DDJ458769:DDJ458772 DNF458769:DNF458772 DXB458769:DXB458772 EGX458769:EGX458772 EQT458769:EQT458772 FAP458769:FAP458772 FKL458769:FKL458772 FUH458769:FUH458772 GED458769:GED458772 GNZ458769:GNZ458772 GXV458769:GXV458772 HHR458769:HHR458772 HRN458769:HRN458772 IBJ458769:IBJ458772 ILF458769:ILF458772 IVB458769:IVB458772 JEX458769:JEX458772 JOT458769:JOT458772 JYP458769:JYP458772 KIL458769:KIL458772 KSH458769:KSH458772 LCD458769:LCD458772 LLZ458769:LLZ458772 LVV458769:LVV458772 MFR458769:MFR458772 MPN458769:MPN458772 MZJ458769:MZJ458772 NJF458769:NJF458772 NTB458769:NTB458772 OCX458769:OCX458772 OMT458769:OMT458772 OWP458769:OWP458772 PGL458769:PGL458772 PQH458769:PQH458772 QAD458769:QAD458772 QJZ458769:QJZ458772 QTV458769:QTV458772 RDR458769:RDR458772 RNN458769:RNN458772 RXJ458769:RXJ458772 SHF458769:SHF458772 SRB458769:SRB458772 TAX458769:TAX458772 TKT458769:TKT458772 TUP458769:TUP458772 UEL458769:UEL458772 UOH458769:UOH458772 UYD458769:UYD458772 VHZ458769:VHZ458772 VRV458769:VRV458772 WBR458769:WBR458772 WLN458769:WLN458772 WVJ458769:WVJ458772 B524305:B524308 IX524305:IX524308 ST524305:ST524308 ACP524305:ACP524308 AML524305:AML524308 AWH524305:AWH524308 BGD524305:BGD524308 BPZ524305:BPZ524308 BZV524305:BZV524308 CJR524305:CJR524308 CTN524305:CTN524308 DDJ524305:DDJ524308 DNF524305:DNF524308 DXB524305:DXB524308 EGX524305:EGX524308 EQT524305:EQT524308 FAP524305:FAP524308 FKL524305:FKL524308 FUH524305:FUH524308 GED524305:GED524308 GNZ524305:GNZ524308 GXV524305:GXV524308 HHR524305:HHR524308 HRN524305:HRN524308 IBJ524305:IBJ524308 ILF524305:ILF524308 IVB524305:IVB524308 JEX524305:JEX524308 JOT524305:JOT524308 JYP524305:JYP524308 KIL524305:KIL524308 KSH524305:KSH524308 LCD524305:LCD524308 LLZ524305:LLZ524308 LVV524305:LVV524308 MFR524305:MFR524308 MPN524305:MPN524308 MZJ524305:MZJ524308 NJF524305:NJF524308 NTB524305:NTB524308 OCX524305:OCX524308 OMT524305:OMT524308 OWP524305:OWP524308 PGL524305:PGL524308 PQH524305:PQH524308 QAD524305:QAD524308 QJZ524305:QJZ524308 QTV524305:QTV524308 RDR524305:RDR524308 RNN524305:RNN524308 RXJ524305:RXJ524308 SHF524305:SHF524308 SRB524305:SRB524308 TAX524305:TAX524308 TKT524305:TKT524308 TUP524305:TUP524308 UEL524305:UEL524308 UOH524305:UOH524308 UYD524305:UYD524308 VHZ524305:VHZ524308 VRV524305:VRV524308 WBR524305:WBR524308 WLN524305:WLN524308 WVJ524305:WVJ524308 B589841:B589844 IX589841:IX589844 ST589841:ST589844 ACP589841:ACP589844 AML589841:AML589844 AWH589841:AWH589844 BGD589841:BGD589844 BPZ589841:BPZ589844 BZV589841:BZV589844 CJR589841:CJR589844 CTN589841:CTN589844 DDJ589841:DDJ589844 DNF589841:DNF589844 DXB589841:DXB589844 EGX589841:EGX589844 EQT589841:EQT589844 FAP589841:FAP589844 FKL589841:FKL589844 FUH589841:FUH589844 GED589841:GED589844 GNZ589841:GNZ589844 GXV589841:GXV589844 HHR589841:HHR589844 HRN589841:HRN589844 IBJ589841:IBJ589844 ILF589841:ILF589844 IVB589841:IVB589844 JEX589841:JEX589844 JOT589841:JOT589844 JYP589841:JYP589844 KIL589841:KIL589844 KSH589841:KSH589844 LCD589841:LCD589844 LLZ589841:LLZ589844 LVV589841:LVV589844 MFR589841:MFR589844 MPN589841:MPN589844 MZJ589841:MZJ589844 NJF589841:NJF589844 NTB589841:NTB589844 OCX589841:OCX589844 OMT589841:OMT589844 OWP589841:OWP589844 PGL589841:PGL589844 PQH589841:PQH589844 QAD589841:QAD589844 QJZ589841:QJZ589844 QTV589841:QTV589844 RDR589841:RDR589844 RNN589841:RNN589844 RXJ589841:RXJ589844 SHF589841:SHF589844 SRB589841:SRB589844 TAX589841:TAX589844 TKT589841:TKT589844 TUP589841:TUP589844 UEL589841:UEL589844 UOH589841:UOH589844 UYD589841:UYD589844 VHZ589841:VHZ589844 VRV589841:VRV589844 WBR589841:WBR589844 WLN589841:WLN589844 WVJ589841:WVJ589844 B655377:B655380 IX655377:IX655380 ST655377:ST655380 ACP655377:ACP655380 AML655377:AML655380 AWH655377:AWH655380 BGD655377:BGD655380 BPZ655377:BPZ655380 BZV655377:BZV655380 CJR655377:CJR655380 CTN655377:CTN655380 DDJ655377:DDJ655380 DNF655377:DNF655380 DXB655377:DXB655380 EGX655377:EGX655380 EQT655377:EQT655380 FAP655377:FAP655380 FKL655377:FKL655380 FUH655377:FUH655380 GED655377:GED655380 GNZ655377:GNZ655380 GXV655377:GXV655380 HHR655377:HHR655380 HRN655377:HRN655380 IBJ655377:IBJ655380 ILF655377:ILF655380 IVB655377:IVB655380 JEX655377:JEX655380 JOT655377:JOT655380 JYP655377:JYP655380 KIL655377:KIL655380 KSH655377:KSH655380 LCD655377:LCD655380 LLZ655377:LLZ655380 LVV655377:LVV655380 MFR655377:MFR655380 MPN655377:MPN655380 MZJ655377:MZJ655380 NJF655377:NJF655380 NTB655377:NTB655380 OCX655377:OCX655380 OMT655377:OMT655380 OWP655377:OWP655380 PGL655377:PGL655380 PQH655377:PQH655380 QAD655377:QAD655380 QJZ655377:QJZ655380 QTV655377:QTV655380 RDR655377:RDR655380 RNN655377:RNN655380 RXJ655377:RXJ655380 SHF655377:SHF655380 SRB655377:SRB655380 TAX655377:TAX655380 TKT655377:TKT655380 TUP655377:TUP655380 UEL655377:UEL655380 UOH655377:UOH655380 UYD655377:UYD655380 VHZ655377:VHZ655380 VRV655377:VRV655380 WBR655377:WBR655380 WLN655377:WLN655380 WVJ655377:WVJ655380 B720913:B720916 IX720913:IX720916 ST720913:ST720916 ACP720913:ACP720916 AML720913:AML720916 AWH720913:AWH720916 BGD720913:BGD720916 BPZ720913:BPZ720916 BZV720913:BZV720916 CJR720913:CJR720916 CTN720913:CTN720916 DDJ720913:DDJ720916 DNF720913:DNF720916 DXB720913:DXB720916 EGX720913:EGX720916 EQT720913:EQT720916 FAP720913:FAP720916 FKL720913:FKL720916 FUH720913:FUH720916 GED720913:GED720916 GNZ720913:GNZ720916 GXV720913:GXV720916 HHR720913:HHR720916 HRN720913:HRN720916 IBJ720913:IBJ720916 ILF720913:ILF720916 IVB720913:IVB720916 JEX720913:JEX720916 JOT720913:JOT720916 JYP720913:JYP720916 KIL720913:KIL720916 KSH720913:KSH720916 LCD720913:LCD720916 LLZ720913:LLZ720916 LVV720913:LVV720916 MFR720913:MFR720916 MPN720913:MPN720916 MZJ720913:MZJ720916 NJF720913:NJF720916 NTB720913:NTB720916 OCX720913:OCX720916 OMT720913:OMT720916 OWP720913:OWP720916 PGL720913:PGL720916 PQH720913:PQH720916 QAD720913:QAD720916 QJZ720913:QJZ720916 QTV720913:QTV720916 RDR720913:RDR720916 RNN720913:RNN720916 RXJ720913:RXJ720916 SHF720913:SHF720916 SRB720913:SRB720916 TAX720913:TAX720916 TKT720913:TKT720916 TUP720913:TUP720916 UEL720913:UEL720916 UOH720913:UOH720916 UYD720913:UYD720916 VHZ720913:VHZ720916 VRV720913:VRV720916 WBR720913:WBR720916 WLN720913:WLN720916 WVJ720913:WVJ720916 B786449:B786452 IX786449:IX786452 ST786449:ST786452 ACP786449:ACP786452 AML786449:AML786452 AWH786449:AWH786452 BGD786449:BGD786452 BPZ786449:BPZ786452 BZV786449:BZV786452 CJR786449:CJR786452 CTN786449:CTN786452 DDJ786449:DDJ786452 DNF786449:DNF786452 DXB786449:DXB786452 EGX786449:EGX786452 EQT786449:EQT786452 FAP786449:FAP786452 FKL786449:FKL786452 FUH786449:FUH786452 GED786449:GED786452 GNZ786449:GNZ786452 GXV786449:GXV786452 HHR786449:HHR786452 HRN786449:HRN786452 IBJ786449:IBJ786452 ILF786449:ILF786452 IVB786449:IVB786452 JEX786449:JEX786452 JOT786449:JOT786452 JYP786449:JYP786452 KIL786449:KIL786452 KSH786449:KSH786452 LCD786449:LCD786452 LLZ786449:LLZ786452 LVV786449:LVV786452 MFR786449:MFR786452 MPN786449:MPN786452 MZJ786449:MZJ786452 NJF786449:NJF786452 NTB786449:NTB786452 OCX786449:OCX786452 OMT786449:OMT786452 OWP786449:OWP786452 PGL786449:PGL786452 PQH786449:PQH786452 QAD786449:QAD786452 QJZ786449:QJZ786452 QTV786449:QTV786452 RDR786449:RDR786452 RNN786449:RNN786452 RXJ786449:RXJ786452 SHF786449:SHF786452 SRB786449:SRB786452 TAX786449:TAX786452 TKT786449:TKT786452 TUP786449:TUP786452 UEL786449:UEL786452 UOH786449:UOH786452 UYD786449:UYD786452 VHZ786449:VHZ786452 VRV786449:VRV786452 WBR786449:WBR786452 WLN786449:WLN786452 WVJ786449:WVJ786452 B851985:B851988 IX851985:IX851988 ST851985:ST851988 ACP851985:ACP851988 AML851985:AML851988 AWH851985:AWH851988 BGD851985:BGD851988 BPZ851985:BPZ851988 BZV851985:BZV851988 CJR851985:CJR851988 CTN851985:CTN851988 DDJ851985:DDJ851988 DNF851985:DNF851988 DXB851985:DXB851988 EGX851985:EGX851988 EQT851985:EQT851988 FAP851985:FAP851988 FKL851985:FKL851988 FUH851985:FUH851988 GED851985:GED851988 GNZ851985:GNZ851988 GXV851985:GXV851988 HHR851985:HHR851988 HRN851985:HRN851988 IBJ851985:IBJ851988 ILF851985:ILF851988 IVB851985:IVB851988 JEX851985:JEX851988 JOT851985:JOT851988 JYP851985:JYP851988 KIL851985:KIL851988 KSH851985:KSH851988 LCD851985:LCD851988 LLZ851985:LLZ851988 LVV851985:LVV851988 MFR851985:MFR851988 MPN851985:MPN851988 MZJ851985:MZJ851988 NJF851985:NJF851988 NTB851985:NTB851988 OCX851985:OCX851988 OMT851985:OMT851988 OWP851985:OWP851988 PGL851985:PGL851988 PQH851985:PQH851988 QAD851985:QAD851988 QJZ851985:QJZ851988 QTV851985:QTV851988 RDR851985:RDR851988 RNN851985:RNN851988 RXJ851985:RXJ851988 SHF851985:SHF851988 SRB851985:SRB851988 TAX851985:TAX851988 TKT851985:TKT851988 TUP851985:TUP851988 UEL851985:UEL851988 UOH851985:UOH851988 UYD851985:UYD851988 VHZ851985:VHZ851988 VRV851985:VRV851988 WBR851985:WBR851988 WLN851985:WLN851988 WVJ851985:WVJ851988 B917521:B917524 IX917521:IX917524 ST917521:ST917524 ACP917521:ACP917524 AML917521:AML917524 AWH917521:AWH917524 BGD917521:BGD917524 BPZ917521:BPZ917524 BZV917521:BZV917524 CJR917521:CJR917524 CTN917521:CTN917524 DDJ917521:DDJ917524 DNF917521:DNF917524 DXB917521:DXB917524 EGX917521:EGX917524 EQT917521:EQT917524 FAP917521:FAP917524 FKL917521:FKL917524 FUH917521:FUH917524 GED917521:GED917524 GNZ917521:GNZ917524 GXV917521:GXV917524 HHR917521:HHR917524 HRN917521:HRN917524 IBJ917521:IBJ917524 ILF917521:ILF917524 IVB917521:IVB917524 JEX917521:JEX917524 JOT917521:JOT917524 JYP917521:JYP917524 KIL917521:KIL917524 KSH917521:KSH917524 LCD917521:LCD917524 LLZ917521:LLZ917524 LVV917521:LVV917524 MFR917521:MFR917524 MPN917521:MPN917524 MZJ917521:MZJ917524 NJF917521:NJF917524 NTB917521:NTB917524 OCX917521:OCX917524 OMT917521:OMT917524 OWP917521:OWP917524 PGL917521:PGL917524 PQH917521:PQH917524 QAD917521:QAD917524 QJZ917521:QJZ917524 QTV917521:QTV917524 RDR917521:RDR917524 RNN917521:RNN917524 RXJ917521:RXJ917524 SHF917521:SHF917524 SRB917521:SRB917524 TAX917521:TAX917524 TKT917521:TKT917524 TUP917521:TUP917524 UEL917521:UEL917524 UOH917521:UOH917524 UYD917521:UYD917524 VHZ917521:VHZ917524 VRV917521:VRV917524 WBR917521:WBR917524 WLN917521:WLN917524 WVJ917521:WVJ917524 B983057:B983060 IX983057:IX983060 ST983057:ST983060 ACP983057:ACP983060 AML983057:AML983060 AWH983057:AWH983060 BGD983057:BGD983060 BPZ983057:BPZ983060 BZV983057:BZV983060 CJR983057:CJR983060 CTN983057:CTN983060 DDJ983057:DDJ983060 DNF983057:DNF983060 DXB983057:DXB983060 EGX983057:EGX983060 EQT983057:EQT983060 FAP983057:FAP983060 FKL983057:FKL983060 FUH983057:FUH983060 GED983057:GED983060 GNZ983057:GNZ983060 GXV983057:GXV983060 HHR983057:HHR983060 HRN983057:HRN983060 IBJ983057:IBJ983060 ILF983057:ILF983060 IVB983057:IVB983060 JEX983057:JEX983060 JOT983057:JOT983060 JYP983057:JYP983060 KIL983057:KIL983060 KSH983057:KSH983060 LCD983057:LCD983060 LLZ983057:LLZ983060 LVV983057:LVV983060 MFR983057:MFR983060 MPN983057:MPN983060 MZJ983057:MZJ983060 NJF983057:NJF983060 NTB983057:NTB983060 OCX983057:OCX983060 OMT983057:OMT983060 OWP983057:OWP983060 PGL983057:PGL983060 PQH983057:PQH983060 QAD983057:QAD983060 QJZ983057:QJZ983060 QTV983057:QTV983060 RDR983057:RDR983060 RNN983057:RNN983060 RXJ983057:RXJ983060 SHF983057:SHF983060 SRB983057:SRB983060 TAX983057:TAX983060 TKT983057:TKT983060 TUP983057:TUP983060 UEL983057:UEL983060 UOH983057:UOH983060 UYD983057:UYD983060 VHZ983057:VHZ983060 VRV983057:VRV983060 WBR983057:WBR983060 WLN983057:WLN983060 WVJ983057:WVJ983060 K17:K20 JG17:JG20 TC17:TC20 ACY17:ACY20 AMU17:AMU20 AWQ17:AWQ20 BGM17:BGM20 BQI17:BQI20 CAE17:CAE20 CKA17:CKA20 CTW17:CTW20 DDS17:DDS20 DNO17:DNO20 DXK17:DXK20 EHG17:EHG20 ERC17:ERC20 FAY17:FAY20 FKU17:FKU20 FUQ17:FUQ20 GEM17:GEM20 GOI17:GOI20 GYE17:GYE20 HIA17:HIA20 HRW17:HRW20 IBS17:IBS20 ILO17:ILO20 IVK17:IVK20 JFG17:JFG20 JPC17:JPC20 JYY17:JYY20 KIU17:KIU20 KSQ17:KSQ20 LCM17:LCM20 LMI17:LMI20 LWE17:LWE20 MGA17:MGA20 MPW17:MPW20 MZS17:MZS20 NJO17:NJO20 NTK17:NTK20 ODG17:ODG20 ONC17:ONC20 OWY17:OWY20 PGU17:PGU20 PQQ17:PQQ20 QAM17:QAM20 QKI17:QKI20 QUE17:QUE20 REA17:REA20 RNW17:RNW20 RXS17:RXS20 SHO17:SHO20 SRK17:SRK20 TBG17:TBG20 TLC17:TLC20 TUY17:TUY20 UEU17:UEU20 UOQ17:UOQ20 UYM17:UYM20 VII17:VII20 VSE17:VSE20 WCA17:WCA20 WLW17:WLW20 WVS17:WVS20 K65553:K65556 JG65553:JG65556 TC65553:TC65556 ACY65553:ACY65556 AMU65553:AMU65556 AWQ65553:AWQ65556 BGM65553:BGM65556 BQI65553:BQI65556 CAE65553:CAE65556 CKA65553:CKA65556 CTW65553:CTW65556 DDS65553:DDS65556 DNO65553:DNO65556 DXK65553:DXK65556 EHG65553:EHG65556 ERC65553:ERC65556 FAY65553:FAY65556 FKU65553:FKU65556 FUQ65553:FUQ65556 GEM65553:GEM65556 GOI65553:GOI65556 GYE65553:GYE65556 HIA65553:HIA65556 HRW65553:HRW65556 IBS65553:IBS65556 ILO65553:ILO65556 IVK65553:IVK65556 JFG65553:JFG65556 JPC65553:JPC65556 JYY65553:JYY65556 KIU65553:KIU65556 KSQ65553:KSQ65556 LCM65553:LCM65556 LMI65553:LMI65556 LWE65553:LWE65556 MGA65553:MGA65556 MPW65553:MPW65556 MZS65553:MZS65556 NJO65553:NJO65556 NTK65553:NTK65556 ODG65553:ODG65556 ONC65553:ONC65556 OWY65553:OWY65556 PGU65553:PGU65556 PQQ65553:PQQ65556 QAM65553:QAM65556 QKI65553:QKI65556 QUE65553:QUE65556 REA65553:REA65556 RNW65553:RNW65556 RXS65553:RXS65556 SHO65553:SHO65556 SRK65553:SRK65556 TBG65553:TBG65556 TLC65553:TLC65556 TUY65553:TUY65556 UEU65553:UEU65556 UOQ65553:UOQ65556 UYM65553:UYM65556 VII65553:VII65556 VSE65553:VSE65556 WCA65553:WCA65556 WLW65553:WLW65556 WVS65553:WVS65556 K131089:K131092 JG131089:JG131092 TC131089:TC131092 ACY131089:ACY131092 AMU131089:AMU131092 AWQ131089:AWQ131092 BGM131089:BGM131092 BQI131089:BQI131092 CAE131089:CAE131092 CKA131089:CKA131092 CTW131089:CTW131092 DDS131089:DDS131092 DNO131089:DNO131092 DXK131089:DXK131092 EHG131089:EHG131092 ERC131089:ERC131092 FAY131089:FAY131092 FKU131089:FKU131092 FUQ131089:FUQ131092 GEM131089:GEM131092 GOI131089:GOI131092 GYE131089:GYE131092 HIA131089:HIA131092 HRW131089:HRW131092 IBS131089:IBS131092 ILO131089:ILO131092 IVK131089:IVK131092 JFG131089:JFG131092 JPC131089:JPC131092 JYY131089:JYY131092 KIU131089:KIU131092 KSQ131089:KSQ131092 LCM131089:LCM131092 LMI131089:LMI131092 LWE131089:LWE131092 MGA131089:MGA131092 MPW131089:MPW131092 MZS131089:MZS131092 NJO131089:NJO131092 NTK131089:NTK131092 ODG131089:ODG131092 ONC131089:ONC131092 OWY131089:OWY131092 PGU131089:PGU131092 PQQ131089:PQQ131092 QAM131089:QAM131092 QKI131089:QKI131092 QUE131089:QUE131092 REA131089:REA131092 RNW131089:RNW131092 RXS131089:RXS131092 SHO131089:SHO131092 SRK131089:SRK131092 TBG131089:TBG131092 TLC131089:TLC131092 TUY131089:TUY131092 UEU131089:UEU131092 UOQ131089:UOQ131092 UYM131089:UYM131092 VII131089:VII131092 VSE131089:VSE131092 WCA131089:WCA131092 WLW131089:WLW131092 WVS131089:WVS131092 K196625:K196628 JG196625:JG196628 TC196625:TC196628 ACY196625:ACY196628 AMU196625:AMU196628 AWQ196625:AWQ196628 BGM196625:BGM196628 BQI196625:BQI196628 CAE196625:CAE196628 CKA196625:CKA196628 CTW196625:CTW196628 DDS196625:DDS196628 DNO196625:DNO196628 DXK196625:DXK196628 EHG196625:EHG196628 ERC196625:ERC196628 FAY196625:FAY196628 FKU196625:FKU196628 FUQ196625:FUQ196628 GEM196625:GEM196628 GOI196625:GOI196628 GYE196625:GYE196628 HIA196625:HIA196628 HRW196625:HRW196628 IBS196625:IBS196628 ILO196625:ILO196628 IVK196625:IVK196628 JFG196625:JFG196628 JPC196625:JPC196628 JYY196625:JYY196628 KIU196625:KIU196628 KSQ196625:KSQ196628 LCM196625:LCM196628 LMI196625:LMI196628 LWE196625:LWE196628 MGA196625:MGA196628 MPW196625:MPW196628 MZS196625:MZS196628 NJO196625:NJO196628 NTK196625:NTK196628 ODG196625:ODG196628 ONC196625:ONC196628 OWY196625:OWY196628 PGU196625:PGU196628 PQQ196625:PQQ196628 QAM196625:QAM196628 QKI196625:QKI196628 QUE196625:QUE196628 REA196625:REA196628 RNW196625:RNW196628 RXS196625:RXS196628 SHO196625:SHO196628 SRK196625:SRK196628 TBG196625:TBG196628 TLC196625:TLC196628 TUY196625:TUY196628 UEU196625:UEU196628 UOQ196625:UOQ196628 UYM196625:UYM196628 VII196625:VII196628 VSE196625:VSE196628 WCA196625:WCA196628 WLW196625:WLW196628 WVS196625:WVS196628 K262161:K262164 JG262161:JG262164 TC262161:TC262164 ACY262161:ACY262164 AMU262161:AMU262164 AWQ262161:AWQ262164 BGM262161:BGM262164 BQI262161:BQI262164 CAE262161:CAE262164 CKA262161:CKA262164 CTW262161:CTW262164 DDS262161:DDS262164 DNO262161:DNO262164 DXK262161:DXK262164 EHG262161:EHG262164 ERC262161:ERC262164 FAY262161:FAY262164 FKU262161:FKU262164 FUQ262161:FUQ262164 GEM262161:GEM262164 GOI262161:GOI262164 GYE262161:GYE262164 HIA262161:HIA262164 HRW262161:HRW262164 IBS262161:IBS262164 ILO262161:ILO262164 IVK262161:IVK262164 JFG262161:JFG262164 JPC262161:JPC262164 JYY262161:JYY262164 KIU262161:KIU262164 KSQ262161:KSQ262164 LCM262161:LCM262164 LMI262161:LMI262164 LWE262161:LWE262164 MGA262161:MGA262164 MPW262161:MPW262164 MZS262161:MZS262164 NJO262161:NJO262164 NTK262161:NTK262164 ODG262161:ODG262164 ONC262161:ONC262164 OWY262161:OWY262164 PGU262161:PGU262164 PQQ262161:PQQ262164 QAM262161:QAM262164 QKI262161:QKI262164 QUE262161:QUE262164 REA262161:REA262164 RNW262161:RNW262164 RXS262161:RXS262164 SHO262161:SHO262164 SRK262161:SRK262164 TBG262161:TBG262164 TLC262161:TLC262164 TUY262161:TUY262164 UEU262161:UEU262164 UOQ262161:UOQ262164 UYM262161:UYM262164 VII262161:VII262164 VSE262161:VSE262164 WCA262161:WCA262164 WLW262161:WLW262164 WVS262161:WVS262164 K327697:K327700 JG327697:JG327700 TC327697:TC327700 ACY327697:ACY327700 AMU327697:AMU327700 AWQ327697:AWQ327700 BGM327697:BGM327700 BQI327697:BQI327700 CAE327697:CAE327700 CKA327697:CKA327700 CTW327697:CTW327700 DDS327697:DDS327700 DNO327697:DNO327700 DXK327697:DXK327700 EHG327697:EHG327700 ERC327697:ERC327700 FAY327697:FAY327700 FKU327697:FKU327700 FUQ327697:FUQ327700 GEM327697:GEM327700 GOI327697:GOI327700 GYE327697:GYE327700 HIA327697:HIA327700 HRW327697:HRW327700 IBS327697:IBS327700 ILO327697:ILO327700 IVK327697:IVK327700 JFG327697:JFG327700 JPC327697:JPC327700 JYY327697:JYY327700 KIU327697:KIU327700 KSQ327697:KSQ327700 LCM327697:LCM327700 LMI327697:LMI327700 LWE327697:LWE327700 MGA327697:MGA327700 MPW327697:MPW327700 MZS327697:MZS327700 NJO327697:NJO327700 NTK327697:NTK327700 ODG327697:ODG327700 ONC327697:ONC327700 OWY327697:OWY327700 PGU327697:PGU327700 PQQ327697:PQQ327700 QAM327697:QAM327700 QKI327697:QKI327700 QUE327697:QUE327700 REA327697:REA327700 RNW327697:RNW327700 RXS327697:RXS327700 SHO327697:SHO327700 SRK327697:SRK327700 TBG327697:TBG327700 TLC327697:TLC327700 TUY327697:TUY327700 UEU327697:UEU327700 UOQ327697:UOQ327700 UYM327697:UYM327700 VII327697:VII327700 VSE327697:VSE327700 WCA327697:WCA327700 WLW327697:WLW327700 WVS327697:WVS327700 K393233:K393236 JG393233:JG393236 TC393233:TC393236 ACY393233:ACY393236 AMU393233:AMU393236 AWQ393233:AWQ393236 BGM393233:BGM393236 BQI393233:BQI393236 CAE393233:CAE393236 CKA393233:CKA393236 CTW393233:CTW393236 DDS393233:DDS393236 DNO393233:DNO393236 DXK393233:DXK393236 EHG393233:EHG393236 ERC393233:ERC393236 FAY393233:FAY393236 FKU393233:FKU393236 FUQ393233:FUQ393236 GEM393233:GEM393236 GOI393233:GOI393236 GYE393233:GYE393236 HIA393233:HIA393236 HRW393233:HRW393236 IBS393233:IBS393236 ILO393233:ILO393236 IVK393233:IVK393236 JFG393233:JFG393236 JPC393233:JPC393236 JYY393233:JYY393236 KIU393233:KIU393236 KSQ393233:KSQ393236 LCM393233:LCM393236 LMI393233:LMI393236 LWE393233:LWE393236 MGA393233:MGA393236 MPW393233:MPW393236 MZS393233:MZS393236 NJO393233:NJO393236 NTK393233:NTK393236 ODG393233:ODG393236 ONC393233:ONC393236 OWY393233:OWY393236 PGU393233:PGU393236 PQQ393233:PQQ393236 QAM393233:QAM393236 QKI393233:QKI393236 QUE393233:QUE393236 REA393233:REA393236 RNW393233:RNW393236 RXS393233:RXS393236 SHO393233:SHO393236 SRK393233:SRK393236 TBG393233:TBG393236 TLC393233:TLC393236 TUY393233:TUY393236 UEU393233:UEU393236 UOQ393233:UOQ393236 UYM393233:UYM393236 VII393233:VII393236 VSE393233:VSE393236 WCA393233:WCA393236 WLW393233:WLW393236 WVS393233:WVS393236 K458769:K458772 JG458769:JG458772 TC458769:TC458772 ACY458769:ACY458772 AMU458769:AMU458772 AWQ458769:AWQ458772 BGM458769:BGM458772 BQI458769:BQI458772 CAE458769:CAE458772 CKA458769:CKA458772 CTW458769:CTW458772 DDS458769:DDS458772 DNO458769:DNO458772 DXK458769:DXK458772 EHG458769:EHG458772 ERC458769:ERC458772 FAY458769:FAY458772 FKU458769:FKU458772 FUQ458769:FUQ458772 GEM458769:GEM458772 GOI458769:GOI458772 GYE458769:GYE458772 HIA458769:HIA458772 HRW458769:HRW458772 IBS458769:IBS458772 ILO458769:ILO458772 IVK458769:IVK458772 JFG458769:JFG458772 JPC458769:JPC458772 JYY458769:JYY458772 KIU458769:KIU458772 KSQ458769:KSQ458772 LCM458769:LCM458772 LMI458769:LMI458772 LWE458769:LWE458772 MGA458769:MGA458772 MPW458769:MPW458772 MZS458769:MZS458772 NJO458769:NJO458772 NTK458769:NTK458772 ODG458769:ODG458772 ONC458769:ONC458772 OWY458769:OWY458772 PGU458769:PGU458772 PQQ458769:PQQ458772 QAM458769:QAM458772 QKI458769:QKI458772 QUE458769:QUE458772 REA458769:REA458772 RNW458769:RNW458772 RXS458769:RXS458772 SHO458769:SHO458772 SRK458769:SRK458772 TBG458769:TBG458772 TLC458769:TLC458772 TUY458769:TUY458772 UEU458769:UEU458772 UOQ458769:UOQ458772 UYM458769:UYM458772 VII458769:VII458772 VSE458769:VSE458772 WCA458769:WCA458772 WLW458769:WLW458772 WVS458769:WVS458772 K524305:K524308 JG524305:JG524308 TC524305:TC524308 ACY524305:ACY524308 AMU524305:AMU524308 AWQ524305:AWQ524308 BGM524305:BGM524308 BQI524305:BQI524308 CAE524305:CAE524308 CKA524305:CKA524308 CTW524305:CTW524308 DDS524305:DDS524308 DNO524305:DNO524308 DXK524305:DXK524308 EHG524305:EHG524308 ERC524305:ERC524308 FAY524305:FAY524308 FKU524305:FKU524308 FUQ524305:FUQ524308 GEM524305:GEM524308 GOI524305:GOI524308 GYE524305:GYE524308 HIA524305:HIA524308 HRW524305:HRW524308 IBS524305:IBS524308 ILO524305:ILO524308 IVK524305:IVK524308 JFG524305:JFG524308 JPC524305:JPC524308 JYY524305:JYY524308 KIU524305:KIU524308 KSQ524305:KSQ524308 LCM524305:LCM524308 LMI524305:LMI524308 LWE524305:LWE524308 MGA524305:MGA524308 MPW524305:MPW524308 MZS524305:MZS524308 NJO524305:NJO524308 NTK524305:NTK524308 ODG524305:ODG524308 ONC524305:ONC524308 OWY524305:OWY524308 PGU524305:PGU524308 PQQ524305:PQQ524308 QAM524305:QAM524308 QKI524305:QKI524308 QUE524305:QUE524308 REA524305:REA524308 RNW524305:RNW524308 RXS524305:RXS524308 SHO524305:SHO524308 SRK524305:SRK524308 TBG524305:TBG524308 TLC524305:TLC524308 TUY524305:TUY524308 UEU524305:UEU524308 UOQ524305:UOQ524308 UYM524305:UYM524308 VII524305:VII524308 VSE524305:VSE524308 WCA524305:WCA524308 WLW524305:WLW524308 WVS524305:WVS524308 K589841:K589844 JG589841:JG589844 TC589841:TC589844 ACY589841:ACY589844 AMU589841:AMU589844 AWQ589841:AWQ589844 BGM589841:BGM589844 BQI589841:BQI589844 CAE589841:CAE589844 CKA589841:CKA589844 CTW589841:CTW589844 DDS589841:DDS589844 DNO589841:DNO589844 DXK589841:DXK589844 EHG589841:EHG589844 ERC589841:ERC589844 FAY589841:FAY589844 FKU589841:FKU589844 FUQ589841:FUQ589844 GEM589841:GEM589844 GOI589841:GOI589844 GYE589841:GYE589844 HIA589841:HIA589844 HRW589841:HRW589844 IBS589841:IBS589844 ILO589841:ILO589844 IVK589841:IVK589844 JFG589841:JFG589844 JPC589841:JPC589844 JYY589841:JYY589844 KIU589841:KIU589844 KSQ589841:KSQ589844 LCM589841:LCM589844 LMI589841:LMI589844 LWE589841:LWE589844 MGA589841:MGA589844 MPW589841:MPW589844 MZS589841:MZS589844 NJO589841:NJO589844 NTK589841:NTK589844 ODG589841:ODG589844 ONC589841:ONC589844 OWY589841:OWY589844 PGU589841:PGU589844 PQQ589841:PQQ589844 QAM589841:QAM589844 QKI589841:QKI589844 QUE589841:QUE589844 REA589841:REA589844 RNW589841:RNW589844 RXS589841:RXS589844 SHO589841:SHO589844 SRK589841:SRK589844 TBG589841:TBG589844 TLC589841:TLC589844 TUY589841:TUY589844 UEU589841:UEU589844 UOQ589841:UOQ589844 UYM589841:UYM589844 VII589841:VII589844 VSE589841:VSE589844 WCA589841:WCA589844 WLW589841:WLW589844 WVS589841:WVS589844 K655377:K655380 JG655377:JG655380 TC655377:TC655380 ACY655377:ACY655380 AMU655377:AMU655380 AWQ655377:AWQ655380 BGM655377:BGM655380 BQI655377:BQI655380 CAE655377:CAE655380 CKA655377:CKA655380 CTW655377:CTW655380 DDS655377:DDS655380 DNO655377:DNO655380 DXK655377:DXK655380 EHG655377:EHG655380 ERC655377:ERC655380 FAY655377:FAY655380 FKU655377:FKU655380 FUQ655377:FUQ655380 GEM655377:GEM655380 GOI655377:GOI655380 GYE655377:GYE655380 HIA655377:HIA655380 HRW655377:HRW655380 IBS655377:IBS655380 ILO655377:ILO655380 IVK655377:IVK655380 JFG655377:JFG655380 JPC655377:JPC655380 JYY655377:JYY655380 KIU655377:KIU655380 KSQ655377:KSQ655380 LCM655377:LCM655380 LMI655377:LMI655380 LWE655377:LWE655380 MGA655377:MGA655380 MPW655377:MPW655380 MZS655377:MZS655380 NJO655377:NJO655380 NTK655377:NTK655380 ODG655377:ODG655380 ONC655377:ONC655380 OWY655377:OWY655380 PGU655377:PGU655380 PQQ655377:PQQ655380 QAM655377:QAM655380 QKI655377:QKI655380 QUE655377:QUE655380 REA655377:REA655380 RNW655377:RNW655380 RXS655377:RXS655380 SHO655377:SHO655380 SRK655377:SRK655380 TBG655377:TBG655380 TLC655377:TLC655380 TUY655377:TUY655380 UEU655377:UEU655380 UOQ655377:UOQ655380 UYM655377:UYM655380 VII655377:VII655380 VSE655377:VSE655380 WCA655377:WCA655380 WLW655377:WLW655380 WVS655377:WVS655380 K720913:K720916 JG720913:JG720916 TC720913:TC720916 ACY720913:ACY720916 AMU720913:AMU720916 AWQ720913:AWQ720916 BGM720913:BGM720916 BQI720913:BQI720916 CAE720913:CAE720916 CKA720913:CKA720916 CTW720913:CTW720916 DDS720913:DDS720916 DNO720913:DNO720916 DXK720913:DXK720916 EHG720913:EHG720916 ERC720913:ERC720916 FAY720913:FAY720916 FKU720913:FKU720916 FUQ720913:FUQ720916 GEM720913:GEM720916 GOI720913:GOI720916 GYE720913:GYE720916 HIA720913:HIA720916 HRW720913:HRW720916 IBS720913:IBS720916 ILO720913:ILO720916 IVK720913:IVK720916 JFG720913:JFG720916 JPC720913:JPC720916 JYY720913:JYY720916 KIU720913:KIU720916 KSQ720913:KSQ720916 LCM720913:LCM720916 LMI720913:LMI720916 LWE720913:LWE720916 MGA720913:MGA720916 MPW720913:MPW720916 MZS720913:MZS720916 NJO720913:NJO720916 NTK720913:NTK720916 ODG720913:ODG720916 ONC720913:ONC720916 OWY720913:OWY720916 PGU720913:PGU720916 PQQ720913:PQQ720916 QAM720913:QAM720916 QKI720913:QKI720916 QUE720913:QUE720916 REA720913:REA720916 RNW720913:RNW720916 RXS720913:RXS720916 SHO720913:SHO720916 SRK720913:SRK720916 TBG720913:TBG720916 TLC720913:TLC720916 TUY720913:TUY720916 UEU720913:UEU720916 UOQ720913:UOQ720916 UYM720913:UYM720916 VII720913:VII720916 VSE720913:VSE720916 WCA720913:WCA720916 WLW720913:WLW720916 WVS720913:WVS720916 K786449:K786452 JG786449:JG786452 TC786449:TC786452 ACY786449:ACY786452 AMU786449:AMU786452 AWQ786449:AWQ786452 BGM786449:BGM786452 BQI786449:BQI786452 CAE786449:CAE786452 CKA786449:CKA786452 CTW786449:CTW786452 DDS786449:DDS786452 DNO786449:DNO786452 DXK786449:DXK786452 EHG786449:EHG786452 ERC786449:ERC786452 FAY786449:FAY786452 FKU786449:FKU786452 FUQ786449:FUQ786452 GEM786449:GEM786452 GOI786449:GOI786452 GYE786449:GYE786452 HIA786449:HIA786452 HRW786449:HRW786452 IBS786449:IBS786452 ILO786449:ILO786452 IVK786449:IVK786452 JFG786449:JFG786452 JPC786449:JPC786452 JYY786449:JYY786452 KIU786449:KIU786452 KSQ786449:KSQ786452 LCM786449:LCM786452 LMI786449:LMI786452 LWE786449:LWE786452 MGA786449:MGA786452 MPW786449:MPW786452 MZS786449:MZS786452 NJO786449:NJO786452 NTK786449:NTK786452 ODG786449:ODG786452 ONC786449:ONC786452 OWY786449:OWY786452 PGU786449:PGU786452 PQQ786449:PQQ786452 QAM786449:QAM786452 QKI786449:QKI786452 QUE786449:QUE786452 REA786449:REA786452 RNW786449:RNW786452 RXS786449:RXS786452 SHO786449:SHO786452 SRK786449:SRK786452 TBG786449:TBG786452 TLC786449:TLC786452 TUY786449:TUY786452 UEU786449:UEU786452 UOQ786449:UOQ786452 UYM786449:UYM786452 VII786449:VII786452 VSE786449:VSE786452 WCA786449:WCA786452 WLW786449:WLW786452 WVS786449:WVS786452 K851985:K851988 JG851985:JG851988 TC851985:TC851988 ACY851985:ACY851988 AMU851985:AMU851988 AWQ851985:AWQ851988 BGM851985:BGM851988 BQI851985:BQI851988 CAE851985:CAE851988 CKA851985:CKA851988 CTW851985:CTW851988 DDS851985:DDS851988 DNO851985:DNO851988 DXK851985:DXK851988 EHG851985:EHG851988 ERC851985:ERC851988 FAY851985:FAY851988 FKU851985:FKU851988 FUQ851985:FUQ851988 GEM851985:GEM851988 GOI851985:GOI851988 GYE851985:GYE851988 HIA851985:HIA851988 HRW851985:HRW851988 IBS851985:IBS851988 ILO851985:ILO851988 IVK851985:IVK851988 JFG851985:JFG851988 JPC851985:JPC851988 JYY851985:JYY851988 KIU851985:KIU851988 KSQ851985:KSQ851988 LCM851985:LCM851988 LMI851985:LMI851988 LWE851985:LWE851988 MGA851985:MGA851988 MPW851985:MPW851988 MZS851985:MZS851988 NJO851985:NJO851988 NTK851985:NTK851988 ODG851985:ODG851988 ONC851985:ONC851988 OWY851985:OWY851988 PGU851985:PGU851988 PQQ851985:PQQ851988 QAM851985:QAM851988 QKI851985:QKI851988 QUE851985:QUE851988 REA851985:REA851988 RNW851985:RNW851988 RXS851985:RXS851988 SHO851985:SHO851988 SRK851985:SRK851988 TBG851985:TBG851988 TLC851985:TLC851988 TUY851985:TUY851988 UEU851985:UEU851988 UOQ851985:UOQ851988 UYM851985:UYM851988 VII851985:VII851988 VSE851985:VSE851988 WCA851985:WCA851988 WLW851985:WLW851988 WVS851985:WVS851988 K917521:K917524 JG917521:JG917524 TC917521:TC917524 ACY917521:ACY917524 AMU917521:AMU917524 AWQ917521:AWQ917524 BGM917521:BGM917524 BQI917521:BQI917524 CAE917521:CAE917524 CKA917521:CKA917524 CTW917521:CTW917524 DDS917521:DDS917524 DNO917521:DNO917524 DXK917521:DXK917524 EHG917521:EHG917524 ERC917521:ERC917524 FAY917521:FAY917524 FKU917521:FKU917524 FUQ917521:FUQ917524 GEM917521:GEM917524 GOI917521:GOI917524 GYE917521:GYE917524 HIA917521:HIA917524 HRW917521:HRW917524 IBS917521:IBS917524 ILO917521:ILO917524 IVK917521:IVK917524 JFG917521:JFG917524 JPC917521:JPC917524 JYY917521:JYY917524 KIU917521:KIU917524 KSQ917521:KSQ917524 LCM917521:LCM917524 LMI917521:LMI917524 LWE917521:LWE917524 MGA917521:MGA917524 MPW917521:MPW917524 MZS917521:MZS917524 NJO917521:NJO917524 NTK917521:NTK917524 ODG917521:ODG917524 ONC917521:ONC917524 OWY917521:OWY917524 PGU917521:PGU917524 PQQ917521:PQQ917524 QAM917521:QAM917524 QKI917521:QKI917524 QUE917521:QUE917524 REA917521:REA917524 RNW917521:RNW917524 RXS917521:RXS917524 SHO917521:SHO917524 SRK917521:SRK917524 TBG917521:TBG917524 TLC917521:TLC917524 TUY917521:TUY917524 UEU917521:UEU917524 UOQ917521:UOQ917524 UYM917521:UYM917524 VII917521:VII917524 VSE917521:VSE917524 WCA917521:WCA917524 WLW917521:WLW917524 WVS917521:WVS917524 K983057:K983060 JG983057:JG983060 TC983057:TC983060 ACY983057:ACY983060 AMU983057:AMU983060 AWQ983057:AWQ983060 BGM983057:BGM983060 BQI983057:BQI983060 CAE983057:CAE983060 CKA983057:CKA983060 CTW983057:CTW983060 DDS983057:DDS983060 DNO983057:DNO983060 DXK983057:DXK983060 EHG983057:EHG983060 ERC983057:ERC983060 FAY983057:FAY983060 FKU983057:FKU983060 FUQ983057:FUQ983060 GEM983057:GEM983060 GOI983057:GOI983060 GYE983057:GYE983060 HIA983057:HIA983060 HRW983057:HRW983060 IBS983057:IBS983060 ILO983057:ILO983060 IVK983057:IVK983060 JFG983057:JFG983060 JPC983057:JPC983060 JYY983057:JYY983060 KIU983057:KIU983060 KSQ983057:KSQ983060 LCM983057:LCM983060 LMI983057:LMI983060 LWE983057:LWE983060 MGA983057:MGA983060 MPW983057:MPW983060 MZS983057:MZS983060 NJO983057:NJO983060 NTK983057:NTK983060 ODG983057:ODG983060 ONC983057:ONC983060 OWY983057:OWY983060 PGU983057:PGU983060 PQQ983057:PQQ983060 QAM983057:QAM983060 QKI983057:QKI983060 QUE983057:QUE983060 REA983057:REA983060 RNW983057:RNW983060 RXS983057:RXS983060 SHO983057:SHO983060 SRK983057:SRK983060 TBG983057:TBG983060 TLC983057:TLC983060 TUY983057:TUY983060 UEU983057:UEU983060 UOQ983057:UOQ983060 UYM983057:UYM983060 VII983057:VII983060 VSE983057:VSE983060 WCA983057:WCA983060 WLW983057:WLW983060 WVS983057:WVS983060 H17:H20 JD17:JD20 SZ17:SZ20 ACV17:ACV20 AMR17:AMR20 AWN17:AWN20 BGJ17:BGJ20 BQF17:BQF20 CAB17:CAB20 CJX17:CJX20 CTT17:CTT20 DDP17:DDP20 DNL17:DNL20 DXH17:DXH20 EHD17:EHD20 EQZ17:EQZ20 FAV17:FAV20 FKR17:FKR20 FUN17:FUN20 GEJ17:GEJ20 GOF17:GOF20 GYB17:GYB20 HHX17:HHX20 HRT17:HRT20 IBP17:IBP20 ILL17:ILL20 IVH17:IVH20 JFD17:JFD20 JOZ17:JOZ20 JYV17:JYV20 KIR17:KIR20 KSN17:KSN20 LCJ17:LCJ20 LMF17:LMF20 LWB17:LWB20 MFX17:MFX20 MPT17:MPT20 MZP17:MZP20 NJL17:NJL20 NTH17:NTH20 ODD17:ODD20 OMZ17:OMZ20 OWV17:OWV20 PGR17:PGR20 PQN17:PQN20 QAJ17:QAJ20 QKF17:QKF20 QUB17:QUB20 RDX17:RDX20 RNT17:RNT20 RXP17:RXP20 SHL17:SHL20 SRH17:SRH20 TBD17:TBD20 TKZ17:TKZ20 TUV17:TUV20 UER17:UER20 UON17:UON20 UYJ17:UYJ20 VIF17:VIF20 VSB17:VSB20 WBX17:WBX20 WLT17:WLT20 WVP17:WVP20 H65553:H65556 JD65553:JD65556 SZ65553:SZ65556 ACV65553:ACV65556 AMR65553:AMR65556 AWN65553:AWN65556 BGJ65553:BGJ65556 BQF65553:BQF65556 CAB65553:CAB65556 CJX65553:CJX65556 CTT65553:CTT65556 DDP65553:DDP65556 DNL65553:DNL65556 DXH65553:DXH65556 EHD65553:EHD65556 EQZ65553:EQZ65556 FAV65553:FAV65556 FKR65553:FKR65556 FUN65553:FUN65556 GEJ65553:GEJ65556 GOF65553:GOF65556 GYB65553:GYB65556 HHX65553:HHX65556 HRT65553:HRT65556 IBP65553:IBP65556 ILL65553:ILL65556 IVH65553:IVH65556 JFD65553:JFD65556 JOZ65553:JOZ65556 JYV65553:JYV65556 KIR65553:KIR65556 KSN65553:KSN65556 LCJ65553:LCJ65556 LMF65553:LMF65556 LWB65553:LWB65556 MFX65553:MFX65556 MPT65553:MPT65556 MZP65553:MZP65556 NJL65553:NJL65556 NTH65553:NTH65556 ODD65553:ODD65556 OMZ65553:OMZ65556 OWV65553:OWV65556 PGR65553:PGR65556 PQN65553:PQN65556 QAJ65553:QAJ65556 QKF65553:QKF65556 QUB65553:QUB65556 RDX65553:RDX65556 RNT65553:RNT65556 RXP65553:RXP65556 SHL65553:SHL65556 SRH65553:SRH65556 TBD65553:TBD65556 TKZ65553:TKZ65556 TUV65553:TUV65556 UER65553:UER65556 UON65553:UON65556 UYJ65553:UYJ65556 VIF65553:VIF65556 VSB65553:VSB65556 WBX65553:WBX65556 WLT65553:WLT65556 WVP65553:WVP65556 H131089:H131092 JD131089:JD131092 SZ131089:SZ131092 ACV131089:ACV131092 AMR131089:AMR131092 AWN131089:AWN131092 BGJ131089:BGJ131092 BQF131089:BQF131092 CAB131089:CAB131092 CJX131089:CJX131092 CTT131089:CTT131092 DDP131089:DDP131092 DNL131089:DNL131092 DXH131089:DXH131092 EHD131089:EHD131092 EQZ131089:EQZ131092 FAV131089:FAV131092 FKR131089:FKR131092 FUN131089:FUN131092 GEJ131089:GEJ131092 GOF131089:GOF131092 GYB131089:GYB131092 HHX131089:HHX131092 HRT131089:HRT131092 IBP131089:IBP131092 ILL131089:ILL131092 IVH131089:IVH131092 JFD131089:JFD131092 JOZ131089:JOZ131092 JYV131089:JYV131092 KIR131089:KIR131092 KSN131089:KSN131092 LCJ131089:LCJ131092 LMF131089:LMF131092 LWB131089:LWB131092 MFX131089:MFX131092 MPT131089:MPT131092 MZP131089:MZP131092 NJL131089:NJL131092 NTH131089:NTH131092 ODD131089:ODD131092 OMZ131089:OMZ131092 OWV131089:OWV131092 PGR131089:PGR131092 PQN131089:PQN131092 QAJ131089:QAJ131092 QKF131089:QKF131092 QUB131089:QUB131092 RDX131089:RDX131092 RNT131089:RNT131092 RXP131089:RXP131092 SHL131089:SHL131092 SRH131089:SRH131092 TBD131089:TBD131092 TKZ131089:TKZ131092 TUV131089:TUV131092 UER131089:UER131092 UON131089:UON131092 UYJ131089:UYJ131092 VIF131089:VIF131092 VSB131089:VSB131092 WBX131089:WBX131092 WLT131089:WLT131092 WVP131089:WVP131092 H196625:H196628 JD196625:JD196628 SZ196625:SZ196628 ACV196625:ACV196628 AMR196625:AMR196628 AWN196625:AWN196628 BGJ196625:BGJ196628 BQF196625:BQF196628 CAB196625:CAB196628 CJX196625:CJX196628 CTT196625:CTT196628 DDP196625:DDP196628 DNL196625:DNL196628 DXH196625:DXH196628 EHD196625:EHD196628 EQZ196625:EQZ196628 FAV196625:FAV196628 FKR196625:FKR196628 FUN196625:FUN196628 GEJ196625:GEJ196628 GOF196625:GOF196628 GYB196625:GYB196628 HHX196625:HHX196628 HRT196625:HRT196628 IBP196625:IBP196628 ILL196625:ILL196628 IVH196625:IVH196628 JFD196625:JFD196628 JOZ196625:JOZ196628 JYV196625:JYV196628 KIR196625:KIR196628 KSN196625:KSN196628 LCJ196625:LCJ196628 LMF196625:LMF196628 LWB196625:LWB196628 MFX196625:MFX196628 MPT196625:MPT196628 MZP196625:MZP196628 NJL196625:NJL196628 NTH196625:NTH196628 ODD196625:ODD196628 OMZ196625:OMZ196628 OWV196625:OWV196628 PGR196625:PGR196628 PQN196625:PQN196628 QAJ196625:QAJ196628 QKF196625:QKF196628 QUB196625:QUB196628 RDX196625:RDX196628 RNT196625:RNT196628 RXP196625:RXP196628 SHL196625:SHL196628 SRH196625:SRH196628 TBD196625:TBD196628 TKZ196625:TKZ196628 TUV196625:TUV196628 UER196625:UER196628 UON196625:UON196628 UYJ196625:UYJ196628 VIF196625:VIF196628 VSB196625:VSB196628 WBX196625:WBX196628 WLT196625:WLT196628 WVP196625:WVP196628 H262161:H262164 JD262161:JD262164 SZ262161:SZ262164 ACV262161:ACV262164 AMR262161:AMR262164 AWN262161:AWN262164 BGJ262161:BGJ262164 BQF262161:BQF262164 CAB262161:CAB262164 CJX262161:CJX262164 CTT262161:CTT262164 DDP262161:DDP262164 DNL262161:DNL262164 DXH262161:DXH262164 EHD262161:EHD262164 EQZ262161:EQZ262164 FAV262161:FAV262164 FKR262161:FKR262164 FUN262161:FUN262164 GEJ262161:GEJ262164 GOF262161:GOF262164 GYB262161:GYB262164 HHX262161:HHX262164 HRT262161:HRT262164 IBP262161:IBP262164 ILL262161:ILL262164 IVH262161:IVH262164 JFD262161:JFD262164 JOZ262161:JOZ262164 JYV262161:JYV262164 KIR262161:KIR262164 KSN262161:KSN262164 LCJ262161:LCJ262164 LMF262161:LMF262164 LWB262161:LWB262164 MFX262161:MFX262164 MPT262161:MPT262164 MZP262161:MZP262164 NJL262161:NJL262164 NTH262161:NTH262164 ODD262161:ODD262164 OMZ262161:OMZ262164 OWV262161:OWV262164 PGR262161:PGR262164 PQN262161:PQN262164 QAJ262161:QAJ262164 QKF262161:QKF262164 QUB262161:QUB262164 RDX262161:RDX262164 RNT262161:RNT262164 RXP262161:RXP262164 SHL262161:SHL262164 SRH262161:SRH262164 TBD262161:TBD262164 TKZ262161:TKZ262164 TUV262161:TUV262164 UER262161:UER262164 UON262161:UON262164 UYJ262161:UYJ262164 VIF262161:VIF262164 VSB262161:VSB262164 WBX262161:WBX262164 WLT262161:WLT262164 WVP262161:WVP262164 H327697:H327700 JD327697:JD327700 SZ327697:SZ327700 ACV327697:ACV327700 AMR327697:AMR327700 AWN327697:AWN327700 BGJ327697:BGJ327700 BQF327697:BQF327700 CAB327697:CAB327700 CJX327697:CJX327700 CTT327697:CTT327700 DDP327697:DDP327700 DNL327697:DNL327700 DXH327697:DXH327700 EHD327697:EHD327700 EQZ327697:EQZ327700 FAV327697:FAV327700 FKR327697:FKR327700 FUN327697:FUN327700 GEJ327697:GEJ327700 GOF327697:GOF327700 GYB327697:GYB327700 HHX327697:HHX327700 HRT327697:HRT327700 IBP327697:IBP327700 ILL327697:ILL327700 IVH327697:IVH327700 JFD327697:JFD327700 JOZ327697:JOZ327700 JYV327697:JYV327700 KIR327697:KIR327700 KSN327697:KSN327700 LCJ327697:LCJ327700 LMF327697:LMF327700 LWB327697:LWB327700 MFX327697:MFX327700 MPT327697:MPT327700 MZP327697:MZP327700 NJL327697:NJL327700 NTH327697:NTH327700 ODD327697:ODD327700 OMZ327697:OMZ327700 OWV327697:OWV327700 PGR327697:PGR327700 PQN327697:PQN327700 QAJ327697:QAJ327700 QKF327697:QKF327700 QUB327697:QUB327700 RDX327697:RDX327700 RNT327697:RNT327700 RXP327697:RXP327700 SHL327697:SHL327700 SRH327697:SRH327700 TBD327697:TBD327700 TKZ327697:TKZ327700 TUV327697:TUV327700 UER327697:UER327700 UON327697:UON327700 UYJ327697:UYJ327700 VIF327697:VIF327700 VSB327697:VSB327700 WBX327697:WBX327700 WLT327697:WLT327700 WVP327697:WVP327700 H393233:H393236 JD393233:JD393236 SZ393233:SZ393236 ACV393233:ACV393236 AMR393233:AMR393236 AWN393233:AWN393236 BGJ393233:BGJ393236 BQF393233:BQF393236 CAB393233:CAB393236 CJX393233:CJX393236 CTT393233:CTT393236 DDP393233:DDP393236 DNL393233:DNL393236 DXH393233:DXH393236 EHD393233:EHD393236 EQZ393233:EQZ393236 FAV393233:FAV393236 FKR393233:FKR393236 FUN393233:FUN393236 GEJ393233:GEJ393236 GOF393233:GOF393236 GYB393233:GYB393236 HHX393233:HHX393236 HRT393233:HRT393236 IBP393233:IBP393236 ILL393233:ILL393236 IVH393233:IVH393236 JFD393233:JFD393236 JOZ393233:JOZ393236 JYV393233:JYV393236 KIR393233:KIR393236 KSN393233:KSN393236 LCJ393233:LCJ393236 LMF393233:LMF393236 LWB393233:LWB393236 MFX393233:MFX393236 MPT393233:MPT393236 MZP393233:MZP393236 NJL393233:NJL393236 NTH393233:NTH393236 ODD393233:ODD393236 OMZ393233:OMZ393236 OWV393233:OWV393236 PGR393233:PGR393236 PQN393233:PQN393236 QAJ393233:QAJ393236 QKF393233:QKF393236 QUB393233:QUB393236 RDX393233:RDX393236 RNT393233:RNT393236 RXP393233:RXP393236 SHL393233:SHL393236 SRH393233:SRH393236 TBD393233:TBD393236 TKZ393233:TKZ393236 TUV393233:TUV393236 UER393233:UER393236 UON393233:UON393236 UYJ393233:UYJ393236 VIF393233:VIF393236 VSB393233:VSB393236 WBX393233:WBX393236 WLT393233:WLT393236 WVP393233:WVP393236 H458769:H458772 JD458769:JD458772 SZ458769:SZ458772 ACV458769:ACV458772 AMR458769:AMR458772 AWN458769:AWN458772 BGJ458769:BGJ458772 BQF458769:BQF458772 CAB458769:CAB458772 CJX458769:CJX458772 CTT458769:CTT458772 DDP458769:DDP458772 DNL458769:DNL458772 DXH458769:DXH458772 EHD458769:EHD458772 EQZ458769:EQZ458772 FAV458769:FAV458772 FKR458769:FKR458772 FUN458769:FUN458772 GEJ458769:GEJ458772 GOF458769:GOF458772 GYB458769:GYB458772 HHX458769:HHX458772 HRT458769:HRT458772 IBP458769:IBP458772 ILL458769:ILL458772 IVH458769:IVH458772 JFD458769:JFD458772 JOZ458769:JOZ458772 JYV458769:JYV458772 KIR458769:KIR458772 KSN458769:KSN458772 LCJ458769:LCJ458772 LMF458769:LMF458772 LWB458769:LWB458772 MFX458769:MFX458772 MPT458769:MPT458772 MZP458769:MZP458772 NJL458769:NJL458772 NTH458769:NTH458772 ODD458769:ODD458772 OMZ458769:OMZ458772 OWV458769:OWV458772 PGR458769:PGR458772 PQN458769:PQN458772 QAJ458769:QAJ458772 QKF458769:QKF458772 QUB458769:QUB458772 RDX458769:RDX458772 RNT458769:RNT458772 RXP458769:RXP458772 SHL458769:SHL458772 SRH458769:SRH458772 TBD458769:TBD458772 TKZ458769:TKZ458772 TUV458769:TUV458772 UER458769:UER458772 UON458769:UON458772 UYJ458769:UYJ458772 VIF458769:VIF458772 VSB458769:VSB458772 WBX458769:WBX458772 WLT458769:WLT458772 WVP458769:WVP458772 H524305:H524308 JD524305:JD524308 SZ524305:SZ524308 ACV524305:ACV524308 AMR524305:AMR524308 AWN524305:AWN524308 BGJ524305:BGJ524308 BQF524305:BQF524308 CAB524305:CAB524308 CJX524305:CJX524308 CTT524305:CTT524308 DDP524305:DDP524308 DNL524305:DNL524308 DXH524305:DXH524308 EHD524305:EHD524308 EQZ524305:EQZ524308 FAV524305:FAV524308 FKR524305:FKR524308 FUN524305:FUN524308 GEJ524305:GEJ524308 GOF524305:GOF524308 GYB524305:GYB524308 HHX524305:HHX524308 HRT524305:HRT524308 IBP524305:IBP524308 ILL524305:ILL524308 IVH524305:IVH524308 JFD524305:JFD524308 JOZ524305:JOZ524308 JYV524305:JYV524308 KIR524305:KIR524308 KSN524305:KSN524308 LCJ524305:LCJ524308 LMF524305:LMF524308 LWB524305:LWB524308 MFX524305:MFX524308 MPT524305:MPT524308 MZP524305:MZP524308 NJL524305:NJL524308 NTH524305:NTH524308 ODD524305:ODD524308 OMZ524305:OMZ524308 OWV524305:OWV524308 PGR524305:PGR524308 PQN524305:PQN524308 QAJ524305:QAJ524308 QKF524305:QKF524308 QUB524305:QUB524308 RDX524305:RDX524308 RNT524305:RNT524308 RXP524305:RXP524308 SHL524305:SHL524308 SRH524305:SRH524308 TBD524305:TBD524308 TKZ524305:TKZ524308 TUV524305:TUV524308 UER524305:UER524308 UON524305:UON524308 UYJ524305:UYJ524308 VIF524305:VIF524308 VSB524305:VSB524308 WBX524305:WBX524308 WLT524305:WLT524308 WVP524305:WVP524308 H589841:H589844 JD589841:JD589844 SZ589841:SZ589844 ACV589841:ACV589844 AMR589841:AMR589844 AWN589841:AWN589844 BGJ589841:BGJ589844 BQF589841:BQF589844 CAB589841:CAB589844 CJX589841:CJX589844 CTT589841:CTT589844 DDP589841:DDP589844 DNL589841:DNL589844 DXH589841:DXH589844 EHD589841:EHD589844 EQZ589841:EQZ589844 FAV589841:FAV589844 FKR589841:FKR589844 FUN589841:FUN589844 GEJ589841:GEJ589844 GOF589841:GOF589844 GYB589841:GYB589844 HHX589841:HHX589844 HRT589841:HRT589844 IBP589841:IBP589844 ILL589841:ILL589844 IVH589841:IVH589844 JFD589841:JFD589844 JOZ589841:JOZ589844 JYV589841:JYV589844 KIR589841:KIR589844 KSN589841:KSN589844 LCJ589841:LCJ589844 LMF589841:LMF589844 LWB589841:LWB589844 MFX589841:MFX589844 MPT589841:MPT589844 MZP589841:MZP589844 NJL589841:NJL589844 NTH589841:NTH589844 ODD589841:ODD589844 OMZ589841:OMZ589844 OWV589841:OWV589844 PGR589841:PGR589844 PQN589841:PQN589844 QAJ589841:QAJ589844 QKF589841:QKF589844 QUB589841:QUB589844 RDX589841:RDX589844 RNT589841:RNT589844 RXP589841:RXP589844 SHL589841:SHL589844 SRH589841:SRH589844 TBD589841:TBD589844 TKZ589841:TKZ589844 TUV589841:TUV589844 UER589841:UER589844 UON589841:UON589844 UYJ589841:UYJ589844 VIF589841:VIF589844 VSB589841:VSB589844 WBX589841:WBX589844 WLT589841:WLT589844 WVP589841:WVP589844 H655377:H655380 JD655377:JD655380 SZ655377:SZ655380 ACV655377:ACV655380 AMR655377:AMR655380 AWN655377:AWN655380 BGJ655377:BGJ655380 BQF655377:BQF655380 CAB655377:CAB655380 CJX655377:CJX655380 CTT655377:CTT655380 DDP655377:DDP655380 DNL655377:DNL655380 DXH655377:DXH655380 EHD655377:EHD655380 EQZ655377:EQZ655380 FAV655377:FAV655380 FKR655377:FKR655380 FUN655377:FUN655380 GEJ655377:GEJ655380 GOF655377:GOF655380 GYB655377:GYB655380 HHX655377:HHX655380 HRT655377:HRT655380 IBP655377:IBP655380 ILL655377:ILL655380 IVH655377:IVH655380 JFD655377:JFD655380 JOZ655377:JOZ655380 JYV655377:JYV655380 KIR655377:KIR655380 KSN655377:KSN655380 LCJ655377:LCJ655380 LMF655377:LMF655380 LWB655377:LWB655380 MFX655377:MFX655380 MPT655377:MPT655380 MZP655377:MZP655380 NJL655377:NJL655380 NTH655377:NTH655380 ODD655377:ODD655380 OMZ655377:OMZ655380 OWV655377:OWV655380 PGR655377:PGR655380 PQN655377:PQN655380 QAJ655377:QAJ655380 QKF655377:QKF655380 QUB655377:QUB655380 RDX655377:RDX655380 RNT655377:RNT655380 RXP655377:RXP655380 SHL655377:SHL655380 SRH655377:SRH655380 TBD655377:TBD655380 TKZ655377:TKZ655380 TUV655377:TUV655380 UER655377:UER655380 UON655377:UON655380 UYJ655377:UYJ655380 VIF655377:VIF655380 VSB655377:VSB655380 WBX655377:WBX655380 WLT655377:WLT655380 WVP655377:WVP655380 H720913:H720916 JD720913:JD720916 SZ720913:SZ720916 ACV720913:ACV720916 AMR720913:AMR720916 AWN720913:AWN720916 BGJ720913:BGJ720916 BQF720913:BQF720916 CAB720913:CAB720916 CJX720913:CJX720916 CTT720913:CTT720916 DDP720913:DDP720916 DNL720913:DNL720916 DXH720913:DXH720916 EHD720913:EHD720916 EQZ720913:EQZ720916 FAV720913:FAV720916 FKR720913:FKR720916 FUN720913:FUN720916 GEJ720913:GEJ720916 GOF720913:GOF720916 GYB720913:GYB720916 HHX720913:HHX720916 HRT720913:HRT720916 IBP720913:IBP720916 ILL720913:ILL720916 IVH720913:IVH720916 JFD720913:JFD720916 JOZ720913:JOZ720916 JYV720913:JYV720916 KIR720913:KIR720916 KSN720913:KSN720916 LCJ720913:LCJ720916 LMF720913:LMF720916 LWB720913:LWB720916 MFX720913:MFX720916 MPT720913:MPT720916 MZP720913:MZP720916 NJL720913:NJL720916 NTH720913:NTH720916 ODD720913:ODD720916 OMZ720913:OMZ720916 OWV720913:OWV720916 PGR720913:PGR720916 PQN720913:PQN720916 QAJ720913:QAJ720916 QKF720913:QKF720916 QUB720913:QUB720916 RDX720913:RDX720916 RNT720913:RNT720916 RXP720913:RXP720916 SHL720913:SHL720916 SRH720913:SRH720916 TBD720913:TBD720916 TKZ720913:TKZ720916 TUV720913:TUV720916 UER720913:UER720916 UON720913:UON720916 UYJ720913:UYJ720916 VIF720913:VIF720916 VSB720913:VSB720916 WBX720913:WBX720916 WLT720913:WLT720916 WVP720913:WVP720916 H786449:H786452 JD786449:JD786452 SZ786449:SZ786452 ACV786449:ACV786452 AMR786449:AMR786452 AWN786449:AWN786452 BGJ786449:BGJ786452 BQF786449:BQF786452 CAB786449:CAB786452 CJX786449:CJX786452 CTT786449:CTT786452 DDP786449:DDP786452 DNL786449:DNL786452 DXH786449:DXH786452 EHD786449:EHD786452 EQZ786449:EQZ786452 FAV786449:FAV786452 FKR786449:FKR786452 FUN786449:FUN786452 GEJ786449:GEJ786452 GOF786449:GOF786452 GYB786449:GYB786452 HHX786449:HHX786452 HRT786449:HRT786452 IBP786449:IBP786452 ILL786449:ILL786452 IVH786449:IVH786452 JFD786449:JFD786452 JOZ786449:JOZ786452 JYV786449:JYV786452 KIR786449:KIR786452 KSN786449:KSN786452 LCJ786449:LCJ786452 LMF786449:LMF786452 LWB786449:LWB786452 MFX786449:MFX786452 MPT786449:MPT786452 MZP786449:MZP786452 NJL786449:NJL786452 NTH786449:NTH786452 ODD786449:ODD786452 OMZ786449:OMZ786452 OWV786449:OWV786452 PGR786449:PGR786452 PQN786449:PQN786452 QAJ786449:QAJ786452 QKF786449:QKF786452 QUB786449:QUB786452 RDX786449:RDX786452 RNT786449:RNT786452 RXP786449:RXP786452 SHL786449:SHL786452 SRH786449:SRH786452 TBD786449:TBD786452 TKZ786449:TKZ786452 TUV786449:TUV786452 UER786449:UER786452 UON786449:UON786452 UYJ786449:UYJ786452 VIF786449:VIF786452 VSB786449:VSB786452 WBX786449:WBX786452 WLT786449:WLT786452 WVP786449:WVP786452 H851985:H851988 JD851985:JD851988 SZ851985:SZ851988 ACV851985:ACV851988 AMR851985:AMR851988 AWN851985:AWN851988 BGJ851985:BGJ851988 BQF851985:BQF851988 CAB851985:CAB851988 CJX851985:CJX851988 CTT851985:CTT851988 DDP851985:DDP851988 DNL851985:DNL851988 DXH851985:DXH851988 EHD851985:EHD851988 EQZ851985:EQZ851988 FAV851985:FAV851988 FKR851985:FKR851988 FUN851985:FUN851988 GEJ851985:GEJ851988 GOF851985:GOF851988 GYB851985:GYB851988 HHX851985:HHX851988 HRT851985:HRT851988 IBP851985:IBP851988 ILL851985:ILL851988 IVH851985:IVH851988 JFD851985:JFD851988 JOZ851985:JOZ851988 JYV851985:JYV851988 KIR851985:KIR851988 KSN851985:KSN851988 LCJ851985:LCJ851988 LMF851985:LMF851988 LWB851985:LWB851988 MFX851985:MFX851988 MPT851985:MPT851988 MZP851985:MZP851988 NJL851985:NJL851988 NTH851985:NTH851988 ODD851985:ODD851988 OMZ851985:OMZ851988 OWV851985:OWV851988 PGR851985:PGR851988 PQN851985:PQN851988 QAJ851985:QAJ851988 QKF851985:QKF851988 QUB851985:QUB851988 RDX851985:RDX851988 RNT851985:RNT851988 RXP851985:RXP851988 SHL851985:SHL851988 SRH851985:SRH851988 TBD851985:TBD851988 TKZ851985:TKZ851988 TUV851985:TUV851988 UER851985:UER851988 UON851985:UON851988 UYJ851985:UYJ851988 VIF851985:VIF851988 VSB851985:VSB851988 WBX851985:WBX851988 WLT851985:WLT851988 WVP851985:WVP851988 H917521:H917524 JD917521:JD917524 SZ917521:SZ917524 ACV917521:ACV917524 AMR917521:AMR917524 AWN917521:AWN917524 BGJ917521:BGJ917524 BQF917521:BQF917524 CAB917521:CAB917524 CJX917521:CJX917524 CTT917521:CTT917524 DDP917521:DDP917524 DNL917521:DNL917524 DXH917521:DXH917524 EHD917521:EHD917524 EQZ917521:EQZ917524 FAV917521:FAV917524 FKR917521:FKR917524 FUN917521:FUN917524 GEJ917521:GEJ917524 GOF917521:GOF917524 GYB917521:GYB917524 HHX917521:HHX917524 HRT917521:HRT917524 IBP917521:IBP917524 ILL917521:ILL917524 IVH917521:IVH917524 JFD917521:JFD917524 JOZ917521:JOZ917524 JYV917521:JYV917524 KIR917521:KIR917524 KSN917521:KSN917524 LCJ917521:LCJ917524 LMF917521:LMF917524 LWB917521:LWB917524 MFX917521:MFX917524 MPT917521:MPT917524 MZP917521:MZP917524 NJL917521:NJL917524 NTH917521:NTH917524 ODD917521:ODD917524 OMZ917521:OMZ917524 OWV917521:OWV917524 PGR917521:PGR917524 PQN917521:PQN917524 QAJ917521:QAJ917524 QKF917521:QKF917524 QUB917521:QUB917524 RDX917521:RDX917524 RNT917521:RNT917524 RXP917521:RXP917524 SHL917521:SHL917524 SRH917521:SRH917524 TBD917521:TBD917524 TKZ917521:TKZ917524 TUV917521:TUV917524 UER917521:UER917524 UON917521:UON917524 UYJ917521:UYJ917524 VIF917521:VIF917524 VSB917521:VSB917524 WBX917521:WBX917524 WLT917521:WLT917524 WVP917521:WVP917524 H983057:H983060 JD983057:JD983060 SZ983057:SZ983060 ACV983057:ACV983060 AMR983057:AMR983060 AWN983057:AWN983060 BGJ983057:BGJ983060 BQF983057:BQF983060 CAB983057:CAB983060 CJX983057:CJX983060 CTT983057:CTT983060 DDP983057:DDP983060 DNL983057:DNL983060 DXH983057:DXH983060 EHD983057:EHD983060 EQZ983057:EQZ983060 FAV983057:FAV983060 FKR983057:FKR983060 FUN983057:FUN983060 GEJ983057:GEJ983060 GOF983057:GOF983060 GYB983057:GYB983060 HHX983057:HHX983060 HRT983057:HRT983060 IBP983057:IBP983060 ILL983057:ILL983060 IVH983057:IVH983060 JFD983057:JFD983060 JOZ983057:JOZ983060 JYV983057:JYV983060 KIR983057:KIR983060 KSN983057:KSN983060 LCJ983057:LCJ983060 LMF983057:LMF983060 LWB983057:LWB983060 MFX983057:MFX983060 MPT983057:MPT983060 MZP983057:MZP983060 NJL983057:NJL983060 NTH983057:NTH983060 ODD983057:ODD983060 OMZ983057:OMZ983060 OWV983057:OWV983060 PGR983057:PGR983060 PQN983057:PQN983060 QAJ983057:QAJ983060 QKF983057:QKF983060 QUB983057:QUB983060 RDX983057:RDX983060 RNT983057:RNT983060 RXP983057:RXP983060 SHL983057:SHL983060 SRH983057:SRH983060 TBD983057:TBD983060 TKZ983057:TKZ983060 TUV983057:TUV983060 UER983057:UER983060 UON983057:UON983060 UYJ983057:UYJ983060 VIF983057:VIF983060 VSB983057:VSB983060 WBX983057:WBX983060 WLT983057:WLT983060 WVP983057:WVP983060 E17:E20 JA17:JA20 SW17:SW20 ACS17:ACS20 AMO17:AMO20 AWK17:AWK20 BGG17:BGG20 BQC17:BQC20 BZY17:BZY20 CJU17:CJU20 CTQ17:CTQ20 DDM17:DDM20 DNI17:DNI20 DXE17:DXE20 EHA17:EHA20 EQW17:EQW20 FAS17:FAS20 FKO17:FKO20 FUK17:FUK20 GEG17:GEG20 GOC17:GOC20 GXY17:GXY20 HHU17:HHU20 HRQ17:HRQ20 IBM17:IBM20 ILI17:ILI20 IVE17:IVE20 JFA17:JFA20 JOW17:JOW20 JYS17:JYS20 KIO17:KIO20 KSK17:KSK20 LCG17:LCG20 LMC17:LMC20 LVY17:LVY20 MFU17:MFU20 MPQ17:MPQ20 MZM17:MZM20 NJI17:NJI20 NTE17:NTE20 ODA17:ODA20 OMW17:OMW20 OWS17:OWS20 PGO17:PGO20 PQK17:PQK20 QAG17:QAG20 QKC17:QKC20 QTY17:QTY20 RDU17:RDU20 RNQ17:RNQ20 RXM17:RXM20 SHI17:SHI20 SRE17:SRE20 TBA17:TBA20 TKW17:TKW20 TUS17:TUS20 UEO17:UEO20 UOK17:UOK20 UYG17:UYG20 VIC17:VIC20 VRY17:VRY20 WBU17:WBU20 WLQ17:WLQ20 WVM17:WVM20 E65553:E65556 JA65553:JA65556 SW65553:SW65556 ACS65553:ACS65556 AMO65553:AMO65556 AWK65553:AWK65556 BGG65553:BGG65556 BQC65553:BQC65556 BZY65553:BZY65556 CJU65553:CJU65556 CTQ65553:CTQ65556 DDM65553:DDM65556 DNI65553:DNI65556 DXE65553:DXE65556 EHA65553:EHA65556 EQW65553:EQW65556 FAS65553:FAS65556 FKO65553:FKO65556 FUK65553:FUK65556 GEG65553:GEG65556 GOC65553:GOC65556 GXY65553:GXY65556 HHU65553:HHU65556 HRQ65553:HRQ65556 IBM65553:IBM65556 ILI65553:ILI65556 IVE65553:IVE65556 JFA65553:JFA65556 JOW65553:JOW65556 JYS65553:JYS65556 KIO65553:KIO65556 KSK65553:KSK65556 LCG65553:LCG65556 LMC65553:LMC65556 LVY65553:LVY65556 MFU65553:MFU65556 MPQ65553:MPQ65556 MZM65553:MZM65556 NJI65553:NJI65556 NTE65553:NTE65556 ODA65553:ODA65556 OMW65553:OMW65556 OWS65553:OWS65556 PGO65553:PGO65556 PQK65553:PQK65556 QAG65553:QAG65556 QKC65553:QKC65556 QTY65553:QTY65556 RDU65553:RDU65556 RNQ65553:RNQ65556 RXM65553:RXM65556 SHI65553:SHI65556 SRE65553:SRE65556 TBA65553:TBA65556 TKW65553:TKW65556 TUS65553:TUS65556 UEO65553:UEO65556 UOK65553:UOK65556 UYG65553:UYG65556 VIC65553:VIC65556 VRY65553:VRY65556 WBU65553:WBU65556 WLQ65553:WLQ65556 WVM65553:WVM65556 E131089:E131092 JA131089:JA131092 SW131089:SW131092 ACS131089:ACS131092 AMO131089:AMO131092 AWK131089:AWK131092 BGG131089:BGG131092 BQC131089:BQC131092 BZY131089:BZY131092 CJU131089:CJU131092 CTQ131089:CTQ131092 DDM131089:DDM131092 DNI131089:DNI131092 DXE131089:DXE131092 EHA131089:EHA131092 EQW131089:EQW131092 FAS131089:FAS131092 FKO131089:FKO131092 FUK131089:FUK131092 GEG131089:GEG131092 GOC131089:GOC131092 GXY131089:GXY131092 HHU131089:HHU131092 HRQ131089:HRQ131092 IBM131089:IBM131092 ILI131089:ILI131092 IVE131089:IVE131092 JFA131089:JFA131092 JOW131089:JOW131092 JYS131089:JYS131092 KIO131089:KIO131092 KSK131089:KSK131092 LCG131089:LCG131092 LMC131089:LMC131092 LVY131089:LVY131092 MFU131089:MFU131092 MPQ131089:MPQ131092 MZM131089:MZM131092 NJI131089:NJI131092 NTE131089:NTE131092 ODA131089:ODA131092 OMW131089:OMW131092 OWS131089:OWS131092 PGO131089:PGO131092 PQK131089:PQK131092 QAG131089:QAG131092 QKC131089:QKC131092 QTY131089:QTY131092 RDU131089:RDU131092 RNQ131089:RNQ131092 RXM131089:RXM131092 SHI131089:SHI131092 SRE131089:SRE131092 TBA131089:TBA131092 TKW131089:TKW131092 TUS131089:TUS131092 UEO131089:UEO131092 UOK131089:UOK131092 UYG131089:UYG131092 VIC131089:VIC131092 VRY131089:VRY131092 WBU131089:WBU131092 WLQ131089:WLQ131092 WVM131089:WVM131092 E196625:E196628 JA196625:JA196628 SW196625:SW196628 ACS196625:ACS196628 AMO196625:AMO196628 AWK196625:AWK196628 BGG196625:BGG196628 BQC196625:BQC196628 BZY196625:BZY196628 CJU196625:CJU196628 CTQ196625:CTQ196628 DDM196625:DDM196628 DNI196625:DNI196628 DXE196625:DXE196628 EHA196625:EHA196628 EQW196625:EQW196628 FAS196625:FAS196628 FKO196625:FKO196628 FUK196625:FUK196628 GEG196625:GEG196628 GOC196625:GOC196628 GXY196625:GXY196628 HHU196625:HHU196628 HRQ196625:HRQ196628 IBM196625:IBM196628 ILI196625:ILI196628 IVE196625:IVE196628 JFA196625:JFA196628 JOW196625:JOW196628 JYS196625:JYS196628 KIO196625:KIO196628 KSK196625:KSK196628 LCG196625:LCG196628 LMC196625:LMC196628 LVY196625:LVY196628 MFU196625:MFU196628 MPQ196625:MPQ196628 MZM196625:MZM196628 NJI196625:NJI196628 NTE196625:NTE196628 ODA196625:ODA196628 OMW196625:OMW196628 OWS196625:OWS196628 PGO196625:PGO196628 PQK196625:PQK196628 QAG196625:QAG196628 QKC196625:QKC196628 QTY196625:QTY196628 RDU196625:RDU196628 RNQ196625:RNQ196628 RXM196625:RXM196628 SHI196625:SHI196628 SRE196625:SRE196628 TBA196625:TBA196628 TKW196625:TKW196628 TUS196625:TUS196628 UEO196625:UEO196628 UOK196625:UOK196628 UYG196625:UYG196628 VIC196625:VIC196628 VRY196625:VRY196628 WBU196625:WBU196628 WLQ196625:WLQ196628 WVM196625:WVM196628 E262161:E262164 JA262161:JA262164 SW262161:SW262164 ACS262161:ACS262164 AMO262161:AMO262164 AWK262161:AWK262164 BGG262161:BGG262164 BQC262161:BQC262164 BZY262161:BZY262164 CJU262161:CJU262164 CTQ262161:CTQ262164 DDM262161:DDM262164 DNI262161:DNI262164 DXE262161:DXE262164 EHA262161:EHA262164 EQW262161:EQW262164 FAS262161:FAS262164 FKO262161:FKO262164 FUK262161:FUK262164 GEG262161:GEG262164 GOC262161:GOC262164 GXY262161:GXY262164 HHU262161:HHU262164 HRQ262161:HRQ262164 IBM262161:IBM262164 ILI262161:ILI262164 IVE262161:IVE262164 JFA262161:JFA262164 JOW262161:JOW262164 JYS262161:JYS262164 KIO262161:KIO262164 KSK262161:KSK262164 LCG262161:LCG262164 LMC262161:LMC262164 LVY262161:LVY262164 MFU262161:MFU262164 MPQ262161:MPQ262164 MZM262161:MZM262164 NJI262161:NJI262164 NTE262161:NTE262164 ODA262161:ODA262164 OMW262161:OMW262164 OWS262161:OWS262164 PGO262161:PGO262164 PQK262161:PQK262164 QAG262161:QAG262164 QKC262161:QKC262164 QTY262161:QTY262164 RDU262161:RDU262164 RNQ262161:RNQ262164 RXM262161:RXM262164 SHI262161:SHI262164 SRE262161:SRE262164 TBA262161:TBA262164 TKW262161:TKW262164 TUS262161:TUS262164 UEO262161:UEO262164 UOK262161:UOK262164 UYG262161:UYG262164 VIC262161:VIC262164 VRY262161:VRY262164 WBU262161:WBU262164 WLQ262161:WLQ262164 WVM262161:WVM262164 E327697:E327700 JA327697:JA327700 SW327697:SW327700 ACS327697:ACS327700 AMO327697:AMO327700 AWK327697:AWK327700 BGG327697:BGG327700 BQC327697:BQC327700 BZY327697:BZY327700 CJU327697:CJU327700 CTQ327697:CTQ327700 DDM327697:DDM327700 DNI327697:DNI327700 DXE327697:DXE327700 EHA327697:EHA327700 EQW327697:EQW327700 FAS327697:FAS327700 FKO327697:FKO327700 FUK327697:FUK327700 GEG327697:GEG327700 GOC327697:GOC327700 GXY327697:GXY327700 HHU327697:HHU327700 HRQ327697:HRQ327700 IBM327697:IBM327700 ILI327697:ILI327700 IVE327697:IVE327700 JFA327697:JFA327700 JOW327697:JOW327700 JYS327697:JYS327700 KIO327697:KIO327700 KSK327697:KSK327700 LCG327697:LCG327700 LMC327697:LMC327700 LVY327697:LVY327700 MFU327697:MFU327700 MPQ327697:MPQ327700 MZM327697:MZM327700 NJI327697:NJI327700 NTE327697:NTE327700 ODA327697:ODA327700 OMW327697:OMW327700 OWS327697:OWS327700 PGO327697:PGO327700 PQK327697:PQK327700 QAG327697:QAG327700 QKC327697:QKC327700 QTY327697:QTY327700 RDU327697:RDU327700 RNQ327697:RNQ327700 RXM327697:RXM327700 SHI327697:SHI327700 SRE327697:SRE327700 TBA327697:TBA327700 TKW327697:TKW327700 TUS327697:TUS327700 UEO327697:UEO327700 UOK327697:UOK327700 UYG327697:UYG327700 VIC327697:VIC327700 VRY327697:VRY327700 WBU327697:WBU327700 WLQ327697:WLQ327700 WVM327697:WVM327700 E393233:E393236 JA393233:JA393236 SW393233:SW393236 ACS393233:ACS393236 AMO393233:AMO393236 AWK393233:AWK393236 BGG393233:BGG393236 BQC393233:BQC393236 BZY393233:BZY393236 CJU393233:CJU393236 CTQ393233:CTQ393236 DDM393233:DDM393236 DNI393233:DNI393236 DXE393233:DXE393236 EHA393233:EHA393236 EQW393233:EQW393236 FAS393233:FAS393236 FKO393233:FKO393236 FUK393233:FUK393236 GEG393233:GEG393236 GOC393233:GOC393236 GXY393233:GXY393236 HHU393233:HHU393236 HRQ393233:HRQ393236 IBM393233:IBM393236 ILI393233:ILI393236 IVE393233:IVE393236 JFA393233:JFA393236 JOW393233:JOW393236 JYS393233:JYS393236 KIO393233:KIO393236 KSK393233:KSK393236 LCG393233:LCG393236 LMC393233:LMC393236 LVY393233:LVY393236 MFU393233:MFU393236 MPQ393233:MPQ393236 MZM393233:MZM393236 NJI393233:NJI393236 NTE393233:NTE393236 ODA393233:ODA393236 OMW393233:OMW393236 OWS393233:OWS393236 PGO393233:PGO393236 PQK393233:PQK393236 QAG393233:QAG393236 QKC393233:QKC393236 QTY393233:QTY393236 RDU393233:RDU393236 RNQ393233:RNQ393236 RXM393233:RXM393236 SHI393233:SHI393236 SRE393233:SRE393236 TBA393233:TBA393236 TKW393233:TKW393236 TUS393233:TUS393236 UEO393233:UEO393236 UOK393233:UOK393236 UYG393233:UYG393236 VIC393233:VIC393236 VRY393233:VRY393236 WBU393233:WBU393236 WLQ393233:WLQ393236 WVM393233:WVM393236 E458769:E458772 JA458769:JA458772 SW458769:SW458772 ACS458769:ACS458772 AMO458769:AMO458772 AWK458769:AWK458772 BGG458769:BGG458772 BQC458769:BQC458772 BZY458769:BZY458772 CJU458769:CJU458772 CTQ458769:CTQ458772 DDM458769:DDM458772 DNI458769:DNI458772 DXE458769:DXE458772 EHA458769:EHA458772 EQW458769:EQW458772 FAS458769:FAS458772 FKO458769:FKO458772 FUK458769:FUK458772 GEG458769:GEG458772 GOC458769:GOC458772 GXY458769:GXY458772 HHU458769:HHU458772 HRQ458769:HRQ458772 IBM458769:IBM458772 ILI458769:ILI458772 IVE458769:IVE458772 JFA458769:JFA458772 JOW458769:JOW458772 JYS458769:JYS458772 KIO458769:KIO458772 KSK458769:KSK458772 LCG458769:LCG458772 LMC458769:LMC458772 LVY458769:LVY458772 MFU458769:MFU458772 MPQ458769:MPQ458772 MZM458769:MZM458772 NJI458769:NJI458772 NTE458769:NTE458772 ODA458769:ODA458772 OMW458769:OMW458772 OWS458769:OWS458772 PGO458769:PGO458772 PQK458769:PQK458772 QAG458769:QAG458772 QKC458769:QKC458772 QTY458769:QTY458772 RDU458769:RDU458772 RNQ458769:RNQ458772 RXM458769:RXM458772 SHI458769:SHI458772 SRE458769:SRE458772 TBA458769:TBA458772 TKW458769:TKW458772 TUS458769:TUS458772 UEO458769:UEO458772 UOK458769:UOK458772 UYG458769:UYG458772 VIC458769:VIC458772 VRY458769:VRY458772 WBU458769:WBU458772 WLQ458769:WLQ458772 WVM458769:WVM458772 E524305:E524308 JA524305:JA524308 SW524305:SW524308 ACS524305:ACS524308 AMO524305:AMO524308 AWK524305:AWK524308 BGG524305:BGG524308 BQC524305:BQC524308 BZY524305:BZY524308 CJU524305:CJU524308 CTQ524305:CTQ524308 DDM524305:DDM524308 DNI524305:DNI524308 DXE524305:DXE524308 EHA524305:EHA524308 EQW524305:EQW524308 FAS524305:FAS524308 FKO524305:FKO524308 FUK524305:FUK524308 GEG524305:GEG524308 GOC524305:GOC524308 GXY524305:GXY524308 HHU524305:HHU524308 HRQ524305:HRQ524308 IBM524305:IBM524308 ILI524305:ILI524308 IVE524305:IVE524308 JFA524305:JFA524308 JOW524305:JOW524308 JYS524305:JYS524308 KIO524305:KIO524308 KSK524305:KSK524308 LCG524305:LCG524308 LMC524305:LMC524308 LVY524305:LVY524308 MFU524305:MFU524308 MPQ524305:MPQ524308 MZM524305:MZM524308 NJI524305:NJI524308 NTE524305:NTE524308 ODA524305:ODA524308 OMW524305:OMW524308 OWS524305:OWS524308 PGO524305:PGO524308 PQK524305:PQK524308 QAG524305:QAG524308 QKC524305:QKC524308 QTY524305:QTY524308 RDU524305:RDU524308 RNQ524305:RNQ524308 RXM524305:RXM524308 SHI524305:SHI524308 SRE524305:SRE524308 TBA524305:TBA524308 TKW524305:TKW524308 TUS524305:TUS524308 UEO524305:UEO524308 UOK524305:UOK524308 UYG524305:UYG524308 VIC524305:VIC524308 VRY524305:VRY524308 WBU524305:WBU524308 WLQ524305:WLQ524308 WVM524305:WVM524308 E589841:E589844 JA589841:JA589844 SW589841:SW589844 ACS589841:ACS589844 AMO589841:AMO589844 AWK589841:AWK589844 BGG589841:BGG589844 BQC589841:BQC589844 BZY589841:BZY589844 CJU589841:CJU589844 CTQ589841:CTQ589844 DDM589841:DDM589844 DNI589841:DNI589844 DXE589841:DXE589844 EHA589841:EHA589844 EQW589841:EQW589844 FAS589841:FAS589844 FKO589841:FKO589844 FUK589841:FUK589844 GEG589841:GEG589844 GOC589841:GOC589844 GXY589841:GXY589844 HHU589841:HHU589844 HRQ589841:HRQ589844 IBM589841:IBM589844 ILI589841:ILI589844 IVE589841:IVE589844 JFA589841:JFA589844 JOW589841:JOW589844 JYS589841:JYS589844 KIO589841:KIO589844 KSK589841:KSK589844 LCG589841:LCG589844 LMC589841:LMC589844 LVY589841:LVY589844 MFU589841:MFU589844 MPQ589841:MPQ589844 MZM589841:MZM589844 NJI589841:NJI589844 NTE589841:NTE589844 ODA589841:ODA589844 OMW589841:OMW589844 OWS589841:OWS589844 PGO589841:PGO589844 PQK589841:PQK589844 QAG589841:QAG589844 QKC589841:QKC589844 QTY589841:QTY589844 RDU589841:RDU589844 RNQ589841:RNQ589844 RXM589841:RXM589844 SHI589841:SHI589844 SRE589841:SRE589844 TBA589841:TBA589844 TKW589841:TKW589844 TUS589841:TUS589844 UEO589841:UEO589844 UOK589841:UOK589844 UYG589841:UYG589844 VIC589841:VIC589844 VRY589841:VRY589844 WBU589841:WBU589844 WLQ589841:WLQ589844 WVM589841:WVM589844 E655377:E655380 JA655377:JA655380 SW655377:SW655380 ACS655377:ACS655380 AMO655377:AMO655380 AWK655377:AWK655380 BGG655377:BGG655380 BQC655377:BQC655380 BZY655377:BZY655380 CJU655377:CJU655380 CTQ655377:CTQ655380 DDM655377:DDM655380 DNI655377:DNI655380 DXE655377:DXE655380 EHA655377:EHA655380 EQW655377:EQW655380 FAS655377:FAS655380 FKO655377:FKO655380 FUK655377:FUK655380 GEG655377:GEG655380 GOC655377:GOC655380 GXY655377:GXY655380 HHU655377:HHU655380 HRQ655377:HRQ655380 IBM655377:IBM655380 ILI655377:ILI655380 IVE655377:IVE655380 JFA655377:JFA655380 JOW655377:JOW655380 JYS655377:JYS655380 KIO655377:KIO655380 KSK655377:KSK655380 LCG655377:LCG655380 LMC655377:LMC655380 LVY655377:LVY655380 MFU655377:MFU655380 MPQ655377:MPQ655380 MZM655377:MZM655380 NJI655377:NJI655380 NTE655377:NTE655380 ODA655377:ODA655380 OMW655377:OMW655380 OWS655377:OWS655380 PGO655377:PGO655380 PQK655377:PQK655380 QAG655377:QAG655380 QKC655377:QKC655380 QTY655377:QTY655380 RDU655377:RDU655380 RNQ655377:RNQ655380 RXM655377:RXM655380 SHI655377:SHI655380 SRE655377:SRE655380 TBA655377:TBA655380 TKW655377:TKW655380 TUS655377:TUS655380 UEO655377:UEO655380 UOK655377:UOK655380 UYG655377:UYG655380 VIC655377:VIC655380 VRY655377:VRY655380 WBU655377:WBU655380 WLQ655377:WLQ655380 WVM655377:WVM655380 E720913:E720916 JA720913:JA720916 SW720913:SW720916 ACS720913:ACS720916 AMO720913:AMO720916 AWK720913:AWK720916 BGG720913:BGG720916 BQC720913:BQC720916 BZY720913:BZY720916 CJU720913:CJU720916 CTQ720913:CTQ720916 DDM720913:DDM720916 DNI720913:DNI720916 DXE720913:DXE720916 EHA720913:EHA720916 EQW720913:EQW720916 FAS720913:FAS720916 FKO720913:FKO720916 FUK720913:FUK720916 GEG720913:GEG720916 GOC720913:GOC720916 GXY720913:GXY720916 HHU720913:HHU720916 HRQ720913:HRQ720916 IBM720913:IBM720916 ILI720913:ILI720916 IVE720913:IVE720916 JFA720913:JFA720916 JOW720913:JOW720916 JYS720913:JYS720916 KIO720913:KIO720916 KSK720913:KSK720916 LCG720913:LCG720916 LMC720913:LMC720916 LVY720913:LVY720916 MFU720913:MFU720916 MPQ720913:MPQ720916 MZM720913:MZM720916 NJI720913:NJI720916 NTE720913:NTE720916 ODA720913:ODA720916 OMW720913:OMW720916 OWS720913:OWS720916 PGO720913:PGO720916 PQK720913:PQK720916 QAG720913:QAG720916 QKC720913:QKC720916 QTY720913:QTY720916 RDU720913:RDU720916 RNQ720913:RNQ720916 RXM720913:RXM720916 SHI720913:SHI720916 SRE720913:SRE720916 TBA720913:TBA720916 TKW720913:TKW720916 TUS720913:TUS720916 UEO720913:UEO720916 UOK720913:UOK720916 UYG720913:UYG720916 VIC720913:VIC720916 VRY720913:VRY720916 WBU720913:WBU720916 WLQ720913:WLQ720916 WVM720913:WVM720916 E786449:E786452 JA786449:JA786452 SW786449:SW786452 ACS786449:ACS786452 AMO786449:AMO786452 AWK786449:AWK786452 BGG786449:BGG786452 BQC786449:BQC786452 BZY786449:BZY786452 CJU786449:CJU786452 CTQ786449:CTQ786452 DDM786449:DDM786452 DNI786449:DNI786452 DXE786449:DXE786452 EHA786449:EHA786452 EQW786449:EQW786452 FAS786449:FAS786452 FKO786449:FKO786452 FUK786449:FUK786452 GEG786449:GEG786452 GOC786449:GOC786452 GXY786449:GXY786452 HHU786449:HHU786452 HRQ786449:HRQ786452 IBM786449:IBM786452 ILI786449:ILI786452 IVE786449:IVE786452 JFA786449:JFA786452 JOW786449:JOW786452 JYS786449:JYS786452 KIO786449:KIO786452 KSK786449:KSK786452 LCG786449:LCG786452 LMC786449:LMC786452 LVY786449:LVY786452 MFU786449:MFU786452 MPQ786449:MPQ786452 MZM786449:MZM786452 NJI786449:NJI786452 NTE786449:NTE786452 ODA786449:ODA786452 OMW786449:OMW786452 OWS786449:OWS786452 PGO786449:PGO786452 PQK786449:PQK786452 QAG786449:QAG786452 QKC786449:QKC786452 QTY786449:QTY786452 RDU786449:RDU786452 RNQ786449:RNQ786452 RXM786449:RXM786452 SHI786449:SHI786452 SRE786449:SRE786452 TBA786449:TBA786452 TKW786449:TKW786452 TUS786449:TUS786452 UEO786449:UEO786452 UOK786449:UOK786452 UYG786449:UYG786452 VIC786449:VIC786452 VRY786449:VRY786452 WBU786449:WBU786452 WLQ786449:WLQ786452 WVM786449:WVM786452 E851985:E851988 JA851985:JA851988 SW851985:SW851988 ACS851985:ACS851988 AMO851985:AMO851988 AWK851985:AWK851988 BGG851985:BGG851988 BQC851985:BQC851988 BZY851985:BZY851988 CJU851985:CJU851988 CTQ851985:CTQ851988 DDM851985:DDM851988 DNI851985:DNI851988 DXE851985:DXE851988 EHA851985:EHA851988 EQW851985:EQW851988 FAS851985:FAS851988 FKO851985:FKO851988 FUK851985:FUK851988 GEG851985:GEG851988 GOC851985:GOC851988 GXY851985:GXY851988 HHU851985:HHU851988 HRQ851985:HRQ851988 IBM851985:IBM851988 ILI851985:ILI851988 IVE851985:IVE851988 JFA851985:JFA851988 JOW851985:JOW851988 JYS851985:JYS851988 KIO851985:KIO851988 KSK851985:KSK851988 LCG851985:LCG851988 LMC851985:LMC851988 LVY851985:LVY851988 MFU851985:MFU851988 MPQ851985:MPQ851988 MZM851985:MZM851988 NJI851985:NJI851988 NTE851985:NTE851988 ODA851985:ODA851988 OMW851985:OMW851988 OWS851985:OWS851988 PGO851985:PGO851988 PQK851985:PQK851988 QAG851985:QAG851988 QKC851985:QKC851988 QTY851985:QTY851988 RDU851985:RDU851988 RNQ851985:RNQ851988 RXM851985:RXM851988 SHI851985:SHI851988 SRE851985:SRE851988 TBA851985:TBA851988 TKW851985:TKW851988 TUS851985:TUS851988 UEO851985:UEO851988 UOK851985:UOK851988 UYG851985:UYG851988 VIC851985:VIC851988 VRY851985:VRY851988 WBU851985:WBU851988 WLQ851985:WLQ851988 WVM851985:WVM851988 E917521:E917524 JA917521:JA917524 SW917521:SW917524 ACS917521:ACS917524 AMO917521:AMO917524 AWK917521:AWK917524 BGG917521:BGG917524 BQC917521:BQC917524 BZY917521:BZY917524 CJU917521:CJU917524 CTQ917521:CTQ917524 DDM917521:DDM917524 DNI917521:DNI917524 DXE917521:DXE917524 EHA917521:EHA917524 EQW917521:EQW917524 FAS917521:FAS917524 FKO917521:FKO917524 FUK917521:FUK917524 GEG917521:GEG917524 GOC917521:GOC917524 GXY917521:GXY917524 HHU917521:HHU917524 HRQ917521:HRQ917524 IBM917521:IBM917524 ILI917521:ILI917524 IVE917521:IVE917524 JFA917521:JFA917524 JOW917521:JOW917524 JYS917521:JYS917524 KIO917521:KIO917524 KSK917521:KSK917524 LCG917521:LCG917524 LMC917521:LMC917524 LVY917521:LVY917524 MFU917521:MFU917524 MPQ917521:MPQ917524 MZM917521:MZM917524 NJI917521:NJI917524 NTE917521:NTE917524 ODA917521:ODA917524 OMW917521:OMW917524 OWS917521:OWS917524 PGO917521:PGO917524 PQK917521:PQK917524 QAG917521:QAG917524 QKC917521:QKC917524 QTY917521:QTY917524 RDU917521:RDU917524 RNQ917521:RNQ917524 RXM917521:RXM917524 SHI917521:SHI917524 SRE917521:SRE917524 TBA917521:TBA917524 TKW917521:TKW917524 TUS917521:TUS917524 UEO917521:UEO917524 UOK917521:UOK917524 UYG917521:UYG917524 VIC917521:VIC917524 VRY917521:VRY917524 WBU917521:WBU917524 WLQ917521:WLQ917524 WVM917521:WVM917524 E983057:E983060 JA983057:JA983060 SW983057:SW983060 ACS983057:ACS983060 AMO983057:AMO983060 AWK983057:AWK983060 BGG983057:BGG983060 BQC983057:BQC983060 BZY983057:BZY983060 CJU983057:CJU983060 CTQ983057:CTQ983060 DDM983057:DDM983060 DNI983057:DNI983060 DXE983057:DXE983060 EHA983057:EHA983060 EQW983057:EQW983060 FAS983057:FAS983060 FKO983057:FKO983060 FUK983057:FUK983060 GEG983057:GEG983060 GOC983057:GOC983060 GXY983057:GXY983060 HHU983057:HHU983060 HRQ983057:HRQ983060 IBM983057:IBM983060 ILI983057:ILI983060 IVE983057:IVE983060 JFA983057:JFA983060 JOW983057:JOW983060 JYS983057:JYS983060 KIO983057:KIO983060 KSK983057:KSK983060 LCG983057:LCG983060 LMC983057:LMC983060 LVY983057:LVY983060 MFU983057:MFU983060 MPQ983057:MPQ983060 MZM983057:MZM983060 NJI983057:NJI983060 NTE983057:NTE983060 ODA983057:ODA983060 OMW983057:OMW983060 OWS983057:OWS983060 PGO983057:PGO983060 PQK983057:PQK983060 QAG983057:QAG983060 QKC983057:QKC983060 QTY983057:QTY983060 RDU983057:RDU983060 RNQ983057:RNQ983060 RXM983057:RXM983060 SHI983057:SHI983060 SRE983057:SRE983060 TBA983057:TBA983060 TKW983057:TKW983060 TUS983057:TUS983060 UEO983057:UEO983060 UOK983057:UOK983060 UYG983057:UYG983060 VIC983057:VIC983060 VRY983057:VRY983060 WBU983057:WBU983060 WLQ983057:WLQ983060 WVM983057:WVM983060" xr:uid="{00000000-0002-0000-0000-000003000000}">
      <formula1>0</formula1>
      <formula2>100000</formula2>
    </dataValidation>
  </dataValidations>
  <pageMargins left="0.63" right="0.78740157499999996" top="0.74" bottom="0.984251969" header="0.5" footer="0.5"/>
  <pageSetup paperSize="9" scale="13" orientation="portrait" horizontalDpi="300" verticalDpi="300"/>
  <headerFooter alignWithMargins="0">
    <oddFooter>&amp;C&amp;9&amp;D   &amp;T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8"/>
  <sheetViews>
    <sheetView topLeftCell="G13" workbookViewId="0">
      <selection activeCell="R28" sqref="R28"/>
    </sheetView>
  </sheetViews>
  <sheetFormatPr defaultColWidth="11.42578125" defaultRowHeight="14.45"/>
  <cols>
    <col min="1" max="1" width="9.140625" style="112" customWidth="1"/>
    <col min="2" max="2" width="7.28515625" style="111" customWidth="1"/>
    <col min="3" max="3" width="17.140625" bestFit="1" customWidth="1"/>
    <col min="4" max="5" width="9.42578125" customWidth="1"/>
    <col min="6" max="6" width="16" bestFit="1" customWidth="1"/>
    <col min="7" max="8" width="9.42578125" customWidth="1"/>
    <col min="9" max="9" width="17" customWidth="1"/>
    <col min="10" max="11" width="9.42578125" customWidth="1"/>
    <col min="12" max="12" width="16" bestFit="1" customWidth="1"/>
    <col min="13" max="17" width="9.42578125" customWidth="1"/>
    <col min="18" max="20" width="8.140625" customWidth="1"/>
  </cols>
  <sheetData>
    <row r="1" spans="1:22" s="114" customFormat="1" ht="17.45">
      <c r="A1" s="221" t="s">
        <v>41</v>
      </c>
      <c r="B1" s="118"/>
      <c r="C1" s="116"/>
      <c r="D1" s="116"/>
      <c r="E1" s="116"/>
      <c r="F1" s="116"/>
      <c r="G1" s="116"/>
      <c r="H1" s="220" t="s">
        <v>42</v>
      </c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5"/>
      <c r="U1" s="115"/>
      <c r="V1" s="115"/>
    </row>
    <row r="2" spans="1:22" s="114" customFormat="1" ht="14.45" customHeight="1">
      <c r="A2" s="219" t="s">
        <v>43</v>
      </c>
      <c r="B2" s="118"/>
      <c r="C2" s="116"/>
      <c r="D2" s="116"/>
      <c r="E2" s="116"/>
      <c r="F2" s="116"/>
      <c r="G2" s="116"/>
      <c r="H2" s="218" t="s">
        <v>44</v>
      </c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5"/>
      <c r="U2" s="115"/>
      <c r="V2" s="115"/>
    </row>
    <row r="3" spans="1:22" s="114" customFormat="1" ht="15" thickBot="1">
      <c r="A3" s="217"/>
      <c r="B3" s="118"/>
      <c r="C3" s="116"/>
      <c r="D3" s="116"/>
      <c r="E3" s="116"/>
      <c r="F3" s="116"/>
      <c r="G3" s="116"/>
      <c r="H3" s="216"/>
      <c r="I3" s="116"/>
      <c r="J3" s="116"/>
      <c r="K3" s="116"/>
      <c r="L3" s="116"/>
      <c r="M3" s="195"/>
      <c r="N3" s="195"/>
      <c r="O3" s="116"/>
      <c r="P3" s="195"/>
      <c r="Q3" s="195"/>
      <c r="R3" s="195"/>
      <c r="S3" s="195"/>
      <c r="T3" s="194"/>
      <c r="U3" s="115"/>
      <c r="V3" s="115"/>
    </row>
    <row r="4" spans="1:22" s="114" customFormat="1" ht="17.45">
      <c r="A4" s="130"/>
      <c r="B4" s="215" t="s">
        <v>45</v>
      </c>
      <c r="C4" s="214" t="s">
        <v>46</v>
      </c>
      <c r="D4" s="213"/>
      <c r="E4" s="212"/>
      <c r="F4" s="116"/>
      <c r="G4" s="116"/>
      <c r="H4" s="211" t="s">
        <v>47</v>
      </c>
      <c r="I4" s="210" t="s">
        <v>48</v>
      </c>
      <c r="J4" s="209"/>
      <c r="K4" s="208"/>
      <c r="L4" s="116"/>
      <c r="M4" s="195"/>
      <c r="N4" s="195"/>
      <c r="O4" s="116"/>
      <c r="P4" s="195"/>
      <c r="Q4" s="195"/>
      <c r="R4" s="195"/>
      <c r="S4" s="195"/>
      <c r="T4" s="194"/>
      <c r="U4" s="115"/>
      <c r="V4" s="115"/>
    </row>
    <row r="5" spans="1:22" s="114" customFormat="1" ht="15.6">
      <c r="A5" s="130"/>
      <c r="B5" s="197" t="s">
        <v>49</v>
      </c>
      <c r="C5" s="207" t="str">
        <f>'[2]START HERE'!F6</f>
        <v>Jack mackerel</v>
      </c>
      <c r="D5" s="206"/>
      <c r="E5" s="205"/>
      <c r="F5" s="204"/>
      <c r="G5" s="204"/>
      <c r="H5" s="197"/>
      <c r="I5" s="203"/>
      <c r="J5" s="202"/>
      <c r="K5" s="201"/>
      <c r="L5" s="116"/>
      <c r="M5" s="195"/>
      <c r="N5" s="195"/>
      <c r="O5" s="116"/>
      <c r="P5" s="195"/>
      <c r="Q5" s="195"/>
      <c r="R5" s="195"/>
      <c r="S5" s="195"/>
      <c r="T5" s="194"/>
      <c r="U5" s="115"/>
      <c r="V5" s="115"/>
    </row>
    <row r="6" spans="1:22" s="114" customFormat="1" ht="18" thickBot="1">
      <c r="A6" s="130"/>
      <c r="B6" s="197" t="s">
        <v>50</v>
      </c>
      <c r="C6" s="200">
        <f>'[2]START HERE'!$K$4</f>
        <v>2015</v>
      </c>
      <c r="D6" s="199"/>
      <c r="E6" s="198"/>
      <c r="F6" s="116"/>
      <c r="G6" s="116"/>
      <c r="H6" s="197" t="s">
        <v>11</v>
      </c>
      <c r="I6" s="314">
        <f>'[2]START HERE'!$F9</f>
        <v>41131</v>
      </c>
      <c r="J6" s="315"/>
      <c r="K6" s="196"/>
      <c r="L6" s="116"/>
      <c r="M6" s="195"/>
      <c r="N6" s="195"/>
      <c r="O6" s="116"/>
      <c r="P6" s="195"/>
      <c r="Q6" s="195"/>
      <c r="R6" s="195"/>
      <c r="S6" s="195"/>
      <c r="T6" s="194"/>
      <c r="U6" s="115"/>
      <c r="V6" s="115"/>
    </row>
    <row r="7" spans="1:22" s="114" customFormat="1" ht="15" thickBot="1">
      <c r="A7" s="130"/>
      <c r="B7" s="118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5"/>
      <c r="U7" s="115"/>
      <c r="V7" s="115"/>
    </row>
    <row r="8" spans="1:22" s="186" customFormat="1" ht="16.149999999999999" thickBot="1">
      <c r="A8" s="193"/>
      <c r="B8" s="192"/>
      <c r="C8" s="312" t="s">
        <v>51</v>
      </c>
      <c r="D8" s="313"/>
      <c r="E8" s="188"/>
      <c r="F8" s="191" t="s">
        <v>52</v>
      </c>
      <c r="G8" s="189"/>
      <c r="H8" s="188"/>
      <c r="I8" s="191" t="s">
        <v>53</v>
      </c>
      <c r="J8" s="189"/>
      <c r="K8" s="188"/>
      <c r="L8" s="191" t="s">
        <v>54</v>
      </c>
      <c r="M8" s="189"/>
      <c r="N8" s="188"/>
      <c r="O8" s="190" t="s">
        <v>55</v>
      </c>
      <c r="P8" s="189"/>
      <c r="Q8" s="188"/>
      <c r="R8" s="187"/>
      <c r="S8" s="187"/>
    </row>
    <row r="9" spans="1:22" s="114" customFormat="1" ht="15" thickBot="1">
      <c r="A9" s="185"/>
      <c r="B9" s="185"/>
      <c r="C9" s="183" t="s">
        <v>56</v>
      </c>
      <c r="D9" s="184" t="s">
        <v>57</v>
      </c>
      <c r="E9" s="181" t="s">
        <v>57</v>
      </c>
      <c r="F9" s="183" t="s">
        <v>56</v>
      </c>
      <c r="G9" s="182" t="s">
        <v>57</v>
      </c>
      <c r="H9" s="181" t="s">
        <v>57</v>
      </c>
      <c r="I9" s="183" t="s">
        <v>56</v>
      </c>
      <c r="J9" s="182" t="s">
        <v>57</v>
      </c>
      <c r="K9" s="181" t="s">
        <v>57</v>
      </c>
      <c r="L9" s="183" t="s">
        <v>56</v>
      </c>
      <c r="M9" s="182" t="s">
        <v>57</v>
      </c>
      <c r="N9" s="181" t="s">
        <v>57</v>
      </c>
      <c r="O9" s="183" t="s">
        <v>56</v>
      </c>
      <c r="P9" s="182" t="s">
        <v>57</v>
      </c>
      <c r="Q9" s="181" t="s">
        <v>57</v>
      </c>
      <c r="R9" s="116"/>
      <c r="S9" s="116"/>
    </row>
    <row r="10" spans="1:22" s="114" customFormat="1">
      <c r="A10" s="180"/>
      <c r="B10" s="179" t="s">
        <v>58</v>
      </c>
      <c r="C10" s="178" t="s">
        <v>59</v>
      </c>
      <c r="D10" s="177" t="s">
        <v>60</v>
      </c>
      <c r="E10" s="176" t="s">
        <v>61</v>
      </c>
      <c r="F10" s="178" t="s">
        <v>59</v>
      </c>
      <c r="G10" s="177" t="s">
        <v>60</v>
      </c>
      <c r="H10" s="176" t="s">
        <v>61</v>
      </c>
      <c r="I10" s="178" t="s">
        <v>59</v>
      </c>
      <c r="J10" s="177" t="s">
        <v>60</v>
      </c>
      <c r="K10" s="176" t="s">
        <v>61</v>
      </c>
      <c r="L10" s="178" t="s">
        <v>59</v>
      </c>
      <c r="M10" s="177" t="s">
        <v>60</v>
      </c>
      <c r="N10" s="176" t="s">
        <v>61</v>
      </c>
      <c r="O10" s="178" t="s">
        <v>59</v>
      </c>
      <c r="P10" s="177" t="s">
        <v>60</v>
      </c>
      <c r="Q10" s="176" t="s">
        <v>61</v>
      </c>
      <c r="R10" s="116"/>
      <c r="S10" s="116"/>
    </row>
    <row r="11" spans="1:22" s="114" customFormat="1" ht="15" thickBot="1">
      <c r="A11" s="175"/>
      <c r="B11" s="172"/>
      <c r="C11" s="174" t="s">
        <v>62</v>
      </c>
      <c r="D11" s="173" t="s">
        <v>63</v>
      </c>
      <c r="E11" s="172" t="s">
        <v>64</v>
      </c>
      <c r="F11" s="174" t="s">
        <v>62</v>
      </c>
      <c r="G11" s="173" t="s">
        <v>63</v>
      </c>
      <c r="H11" s="172" t="s">
        <v>64</v>
      </c>
      <c r="I11" s="174" t="s">
        <v>62</v>
      </c>
      <c r="J11" s="173" t="s">
        <v>63</v>
      </c>
      <c r="K11" s="172" t="s">
        <v>64</v>
      </c>
      <c r="L11" s="174" t="s">
        <v>62</v>
      </c>
      <c r="M11" s="173" t="s">
        <v>63</v>
      </c>
      <c r="N11" s="172" t="s">
        <v>64</v>
      </c>
      <c r="O11" s="174" t="s">
        <v>62</v>
      </c>
      <c r="P11" s="173" t="s">
        <v>63</v>
      </c>
      <c r="Q11" s="172" t="s">
        <v>65</v>
      </c>
      <c r="R11" s="116"/>
      <c r="S11" s="116"/>
    </row>
    <row r="12" spans="1:22" s="114" customFormat="1" ht="15.6">
      <c r="A12" s="168"/>
      <c r="B12" s="166" t="s">
        <v>66</v>
      </c>
      <c r="C12" s="171"/>
      <c r="D12" s="170"/>
      <c r="E12" s="169"/>
      <c r="F12" s="171"/>
      <c r="G12" s="170"/>
      <c r="H12" s="169"/>
      <c r="I12" s="171"/>
      <c r="J12" s="170"/>
      <c r="K12" s="169"/>
      <c r="L12" s="171"/>
      <c r="M12" s="170"/>
      <c r="N12" s="169"/>
      <c r="O12" s="162">
        <f>SUM(C12+F12+I12+L12)</f>
        <v>0</v>
      </c>
      <c r="P12" s="161" t="str">
        <f>IF(SUM(D12+G12+J12+M12)&gt;0,(C12*D12+F12*G12+I12*J12+L12*M12)/SUM(C12+F12+I12+L12),"")</f>
        <v/>
      </c>
      <c r="Q12" s="160" t="str">
        <f>IF(SUM(E12,H12,K12,N12)&gt;0,SUM(C12*E12+F12*H12+I12*K12+L12*N12)/SUM(C12+F12+I12+L12),"")</f>
        <v/>
      </c>
      <c r="R12" s="116"/>
      <c r="S12" s="116"/>
    </row>
    <row r="13" spans="1:22" s="114" customFormat="1" ht="15.6">
      <c r="A13" s="168"/>
      <c r="B13" s="166" t="s">
        <v>67</v>
      </c>
      <c r="C13" s="165">
        <v>15324.306619885576</v>
      </c>
      <c r="D13" s="164">
        <v>12.893867253062899</v>
      </c>
      <c r="E13" s="163">
        <v>2.7431554671209675E-2</v>
      </c>
      <c r="F13" s="165"/>
      <c r="G13" s="164"/>
      <c r="H13" s="163"/>
      <c r="I13" s="165"/>
      <c r="J13" s="164"/>
      <c r="K13" s="163"/>
      <c r="L13" s="165"/>
      <c r="M13" s="164"/>
      <c r="N13" s="163"/>
      <c r="O13" s="162">
        <f>SUM(C13+F13+I13+L13)</f>
        <v>15324.306619885576</v>
      </c>
      <c r="P13" s="161">
        <f>IF(SUM(D13+G13+J13+M13)&gt;0,(C13*D13+F13*G13+I13*J13+L13*M13)/SUM(C13+F13+I13+L13),"")</f>
        <v>12.893867253062899</v>
      </c>
      <c r="Q13" s="160">
        <f>IF(SUM(E13,H13,K13,N13)&gt;0,SUM(C13*E13+F13*H13+I13*K13+L13*N13)/SUM(C13+F13+I13+L13),"")</f>
        <v>2.7431554671209675E-2</v>
      </c>
      <c r="R13" s="116"/>
      <c r="S13" s="116"/>
    </row>
    <row r="14" spans="1:22" s="114" customFormat="1" ht="15.6">
      <c r="A14" s="168"/>
      <c r="B14" s="166" t="s">
        <v>68</v>
      </c>
      <c r="C14" s="165">
        <v>3799.0768206929852</v>
      </c>
      <c r="D14" s="164">
        <v>16.869702884815872</v>
      </c>
      <c r="E14" s="163">
        <v>5.8092504209891059E-2</v>
      </c>
      <c r="F14" s="165"/>
      <c r="G14" s="164"/>
      <c r="H14" s="163"/>
      <c r="I14" s="165"/>
      <c r="J14" s="164"/>
      <c r="K14" s="163"/>
      <c r="L14" s="165"/>
      <c r="M14" s="164"/>
      <c r="N14" s="163"/>
      <c r="O14" s="162">
        <f>SUM(C14+F14+I14+L14)</f>
        <v>3799.0768206929852</v>
      </c>
      <c r="P14" s="161">
        <f>IF(SUM(D14+G14+J14+M14)&gt;0,(C14*D14+F14*G14+I14*J14+L14*M14)/SUM(C14+F14+I14+L14),"")</f>
        <v>16.869702884815872</v>
      </c>
      <c r="Q14" s="160">
        <f>IF(SUM(E14,H14,K14,N14)&gt;0,SUM(C14*E14+F14*H14+I14*K14+L14*N14)/SUM(C14+F14+I14+L14),"")</f>
        <v>5.8092504209891059E-2</v>
      </c>
      <c r="R14" s="116"/>
      <c r="S14" s="116"/>
    </row>
    <row r="15" spans="1:22" s="114" customFormat="1" ht="15.6">
      <c r="A15" s="168"/>
      <c r="B15" s="166" t="s">
        <v>69</v>
      </c>
      <c r="C15" s="165">
        <v>15035.153770762217</v>
      </c>
      <c r="D15" s="164">
        <v>24.759089052964409</v>
      </c>
      <c r="E15" s="163">
        <v>0.17667167274489226</v>
      </c>
      <c r="F15" s="165"/>
      <c r="G15" s="164"/>
      <c r="H15" s="163"/>
      <c r="I15" s="165"/>
      <c r="J15" s="164"/>
      <c r="K15" s="163"/>
      <c r="L15" s="165"/>
      <c r="M15" s="164"/>
      <c r="N15" s="163"/>
      <c r="O15" s="162">
        <f>SUM(C15+F15+I15+L15)</f>
        <v>15035.153770762217</v>
      </c>
      <c r="P15" s="161">
        <f>IF(SUM(D15+G15+J15+M15)&gt;0,(C15*D15+F15*G15+I15*J15+L15*M15)/SUM(C15+F15+I15+L15),"")</f>
        <v>24.759089052964409</v>
      </c>
      <c r="Q15" s="160">
        <f>IF(SUM(E15,H15,K15,N15)&gt;0,SUM(C15*E15+F15*H15+I15*K15+L15*N15)/SUM(C15+F15+I15+L15),"")</f>
        <v>0.17667167274489226</v>
      </c>
      <c r="R15" s="116"/>
      <c r="S15" s="116"/>
    </row>
    <row r="16" spans="1:22" s="114" customFormat="1" ht="15.6">
      <c r="A16" s="168"/>
      <c r="B16" s="166" t="s">
        <v>70</v>
      </c>
      <c r="C16" s="165">
        <v>70015.29496738434</v>
      </c>
      <c r="D16" s="164">
        <v>25.103047820699583</v>
      </c>
      <c r="E16" s="163">
        <v>0.18306767517041728</v>
      </c>
      <c r="F16" s="165"/>
      <c r="G16" s="164"/>
      <c r="H16" s="163"/>
      <c r="I16" s="165"/>
      <c r="J16" s="164"/>
      <c r="K16" s="163"/>
      <c r="L16" s="165"/>
      <c r="M16" s="164"/>
      <c r="N16" s="163"/>
      <c r="O16" s="162">
        <f>SUM(C16+F16+I16+L16)</f>
        <v>70015.29496738434</v>
      </c>
      <c r="P16" s="161">
        <f>IF(SUM(D16+G16+J16+M16)&gt;0,(C16*D16+F16*G16+I16*J16+L16*M16)/SUM(C16+F16+I16+L16),"")</f>
        <v>25.103047820699583</v>
      </c>
      <c r="Q16" s="160">
        <f>IF(SUM(E16,H16,K16,N16)&gt;0,SUM(C16*E16+F16*H16+I16*K16+L16*N16)/SUM(C16+F16+I16+L16),"")</f>
        <v>0.18306767517041728</v>
      </c>
      <c r="R16" s="116"/>
      <c r="S16" s="116"/>
    </row>
    <row r="17" spans="1:33" s="114" customFormat="1" ht="15.6">
      <c r="A17" s="168"/>
      <c r="B17" s="166" t="s">
        <v>71</v>
      </c>
      <c r="C17" s="165">
        <v>28639.373431720196</v>
      </c>
      <c r="D17" s="164">
        <v>29.551628570981158</v>
      </c>
      <c r="E17" s="163">
        <v>0.29804259264072791</v>
      </c>
      <c r="F17" s="165"/>
      <c r="G17" s="164"/>
      <c r="H17" s="163"/>
      <c r="I17" s="165"/>
      <c r="J17" s="164"/>
      <c r="K17" s="163"/>
      <c r="L17" s="165"/>
      <c r="M17" s="164"/>
      <c r="N17" s="163"/>
      <c r="O17" s="162">
        <f>SUM(C17+F17+I17+L17)</f>
        <v>28639.373431720196</v>
      </c>
      <c r="P17" s="161">
        <f>IF(SUM(D17+G17+J17+M17)&gt;0,(C17*D17+F17*G17+I17*J17+L17*M17)/SUM(C17+F17+I17+L17),"")</f>
        <v>29.551628570981158</v>
      </c>
      <c r="Q17" s="160">
        <f>IF(SUM(E17,H17,K17,N17)&gt;0,SUM(C17*E17+F17*H17+I17*K17+L17*N17)/SUM(C17+F17+I17+L17),"")</f>
        <v>0.29804259264072791</v>
      </c>
      <c r="R17" s="116"/>
      <c r="S17" s="116"/>
    </row>
    <row r="18" spans="1:33" s="114" customFormat="1" ht="15.6">
      <c r="A18" s="168"/>
      <c r="B18" s="166" t="s">
        <v>72</v>
      </c>
      <c r="C18" s="165">
        <v>8079.9544978096819</v>
      </c>
      <c r="D18" s="164">
        <v>33.938589606687877</v>
      </c>
      <c r="E18" s="163">
        <v>0.44188470224920195</v>
      </c>
      <c r="F18" s="165"/>
      <c r="G18" s="164"/>
      <c r="H18" s="163"/>
      <c r="I18" s="165"/>
      <c r="J18" s="164"/>
      <c r="K18" s="163"/>
      <c r="L18" s="165"/>
      <c r="M18" s="164"/>
      <c r="N18" s="163"/>
      <c r="O18" s="162">
        <f>SUM(C18+F18+I18+L18)</f>
        <v>8079.9544978096819</v>
      </c>
      <c r="P18" s="161">
        <f>IF(SUM(D18+G18+J18+M18)&gt;0,(C18*D18+F18*G18+I18*J18+L18*M18)/SUM(C18+F18+I18+L18),"")</f>
        <v>33.938589606687877</v>
      </c>
      <c r="Q18" s="160">
        <f>IF(SUM(E18,H18,K18,N18)&gt;0,SUM(C18*E18+F18*H18+I18*K18+L18*N18)/SUM(C18+F18+I18+L18),"")</f>
        <v>0.44188470224920195</v>
      </c>
      <c r="R18" s="116"/>
      <c r="S18" s="116"/>
    </row>
    <row r="19" spans="1:33" s="114" customFormat="1" ht="15.6">
      <c r="A19" s="168"/>
      <c r="B19" s="166" t="s">
        <v>73</v>
      </c>
      <c r="C19" s="165">
        <v>1551.4230832428082</v>
      </c>
      <c r="D19" s="164">
        <v>38.258144081611007</v>
      </c>
      <c r="E19" s="163">
        <v>0.62101257709326174</v>
      </c>
      <c r="F19" s="165"/>
      <c r="G19" s="164"/>
      <c r="H19" s="163"/>
      <c r="I19" s="165"/>
      <c r="J19" s="164"/>
      <c r="K19" s="163"/>
      <c r="L19" s="165"/>
      <c r="M19" s="164"/>
      <c r="N19" s="163"/>
      <c r="O19" s="162">
        <f>SUM(C19+F19+I19+L19)</f>
        <v>1551.4230832428082</v>
      </c>
      <c r="P19" s="161">
        <f>IF(SUM(D19+G19+J19+M19)&gt;0,(C19*D19+F19*G19+I19*J19+L19*M19)/SUM(C19+F19+I19+L19),"")</f>
        <v>38.258144081611007</v>
      </c>
      <c r="Q19" s="160">
        <f>IF(SUM(E19,H19,K19,N19)&gt;0,SUM(C19*E19+F19*H19+I19*K19+L19*N19)/SUM(C19+F19+I19+L19),"")</f>
        <v>0.62101257709326174</v>
      </c>
      <c r="R19" s="116"/>
      <c r="S19" s="116"/>
    </row>
    <row r="20" spans="1:33" s="114" customFormat="1" ht="15.6">
      <c r="A20" s="168"/>
      <c r="B20" s="166" t="s">
        <v>74</v>
      </c>
      <c r="C20" s="165">
        <v>681.5189987364713</v>
      </c>
      <c r="D20" s="164">
        <v>36</v>
      </c>
      <c r="E20" s="163">
        <v>0.52015405758923772</v>
      </c>
      <c r="F20" s="165"/>
      <c r="G20" s="164"/>
      <c r="H20" s="163"/>
      <c r="I20" s="165"/>
      <c r="J20" s="164"/>
      <c r="K20" s="163"/>
      <c r="L20" s="165"/>
      <c r="M20" s="164"/>
      <c r="N20" s="163"/>
      <c r="O20" s="162">
        <f>SUM(C20+F20+I20+L20)</f>
        <v>681.5189987364713</v>
      </c>
      <c r="P20" s="161">
        <f>IF(SUM(D20+G20+J20+M20)&gt;0,(C20*D20+F20*G20+I20*J20+L20*M20)/SUM(C20+F20+I20+L20),"")</f>
        <v>36</v>
      </c>
      <c r="Q20" s="160">
        <f>IF(SUM(E20,H20,K20,N20)&gt;0,SUM(C20*E20+F20*H20+I20*K20+L20*N20)/SUM(C20+F20+I20+L20),"")</f>
        <v>0.52015405758923772</v>
      </c>
      <c r="R20" s="116"/>
      <c r="S20" s="116"/>
    </row>
    <row r="21" spans="1:33" s="114" customFormat="1" ht="15.6">
      <c r="A21" s="168"/>
      <c r="B21" s="166">
        <v>9</v>
      </c>
      <c r="C21" s="165"/>
      <c r="D21" s="164"/>
      <c r="E21" s="163"/>
      <c r="F21" s="165"/>
      <c r="G21" s="164"/>
      <c r="H21" s="163"/>
      <c r="I21" s="165"/>
      <c r="J21" s="164"/>
      <c r="K21" s="163"/>
      <c r="L21" s="165"/>
      <c r="M21" s="164"/>
      <c r="N21" s="163"/>
      <c r="O21" s="162"/>
      <c r="P21" s="161"/>
      <c r="Q21" s="160"/>
      <c r="R21" s="116"/>
      <c r="S21" s="116"/>
    </row>
    <row r="22" spans="1:33" s="114" customFormat="1" ht="15.6">
      <c r="A22" s="168"/>
      <c r="B22" s="166">
        <v>10</v>
      </c>
      <c r="C22" s="165"/>
      <c r="D22" s="164"/>
      <c r="E22" s="163"/>
      <c r="F22" s="165"/>
      <c r="G22" s="164"/>
      <c r="H22" s="163"/>
      <c r="I22" s="165"/>
      <c r="J22" s="164"/>
      <c r="K22" s="163"/>
      <c r="L22" s="165"/>
      <c r="M22" s="164"/>
      <c r="N22" s="163"/>
      <c r="O22" s="162"/>
      <c r="P22" s="161"/>
      <c r="Q22" s="160"/>
      <c r="R22" s="116"/>
      <c r="S22" s="116"/>
    </row>
    <row r="23" spans="1:33" s="114" customFormat="1" ht="15.6">
      <c r="A23" s="168"/>
      <c r="B23" s="166">
        <v>11</v>
      </c>
      <c r="C23" s="165"/>
      <c r="D23" s="164"/>
      <c r="E23" s="163"/>
      <c r="F23" s="165"/>
      <c r="G23" s="164"/>
      <c r="H23" s="163"/>
      <c r="I23" s="165"/>
      <c r="J23" s="164"/>
      <c r="K23" s="163"/>
      <c r="L23" s="165"/>
      <c r="M23" s="164"/>
      <c r="N23" s="163"/>
      <c r="O23" s="162"/>
      <c r="P23" s="161"/>
      <c r="Q23" s="160"/>
      <c r="R23" s="116"/>
      <c r="S23" s="116"/>
    </row>
    <row r="24" spans="1:33" s="114" customFormat="1" ht="16.149999999999999" thickBot="1">
      <c r="A24" s="167" t="s">
        <v>75</v>
      </c>
      <c r="B24" s="166" t="s">
        <v>76</v>
      </c>
      <c r="C24" s="165"/>
      <c r="D24" s="164"/>
      <c r="E24" s="163"/>
      <c r="F24" s="165"/>
      <c r="G24" s="164"/>
      <c r="H24" s="163"/>
      <c r="I24" s="165"/>
      <c r="J24" s="164"/>
      <c r="K24" s="163"/>
      <c r="L24" s="165"/>
      <c r="M24" s="164"/>
      <c r="N24" s="163"/>
      <c r="O24" s="162">
        <f>SUM(C24+F24+I24+L24)</f>
        <v>0</v>
      </c>
      <c r="P24" s="161" t="str">
        <f>IF(SUM(D24+G24+J24+M24)&gt;0,(C24*D24+F24*G24+I24*J24+L24*M24)/SUM(C24+F24+I24+L24),"")</f>
        <v/>
      </c>
      <c r="Q24" s="160" t="str">
        <f>IF(SUM(E24,H24,K24,N24)&gt;0,SUM(C24*E24+F24*H24+I24*K24+L24*N24)/SUM(C24+F24+I24+L24),"")</f>
        <v/>
      </c>
      <c r="R24" s="116"/>
      <c r="S24" s="116"/>
    </row>
    <row r="25" spans="1:33" s="114" customFormat="1" ht="15" thickBot="1">
      <c r="A25" s="159"/>
      <c r="B25" s="158" t="s">
        <v>77</v>
      </c>
      <c r="C25" s="155">
        <f>IF(SUM(C12:C24)&gt;0,SUM(C12:C24),"na")</f>
        <v>143126.10219023426</v>
      </c>
      <c r="D25" s="154">
        <f>IF(SUM(D12:D24)&gt;0,SUMPRODUCT(C12:C24,D12:D24)/C25,"na")</f>
        <v>25.124589184386242</v>
      </c>
      <c r="E25" s="157">
        <f>IF(SUM(E12:E24)&gt;0,SUMPRODUCT(C12:C24,E12:E24)/C25,"na")</f>
        <v>0.20638443685651839</v>
      </c>
      <c r="F25" s="155" t="str">
        <f>IF(SUM(F12:F24)&gt;0,SUM(F12:F24),"na")</f>
        <v>na</v>
      </c>
      <c r="G25" s="154" t="str">
        <f>IF(SUM(G12:G24)&gt;0,SUMPRODUCT(F12:F24,G12:G24)/F25,"na")</f>
        <v>na</v>
      </c>
      <c r="H25" s="156" t="str">
        <f>IF(SUM(H12:H24)&gt;0,SUMPRODUCT(F12:F24,H12:H24)/F25,"na")</f>
        <v>na</v>
      </c>
      <c r="I25" s="155" t="str">
        <f>IF(SUM(I12:I24)&gt;0,SUM(I12:I24),"na")</f>
        <v>na</v>
      </c>
      <c r="J25" s="154" t="str">
        <f>IF(SUM(J12:J24)&gt;0,SUMPRODUCT(I12:I24,J12:J24)/I25,"na")</f>
        <v>na</v>
      </c>
      <c r="K25" s="157" t="str">
        <f>IF(SUM(K12:K24)&gt;0,SUMPRODUCT(I12:I24,K12:K24)/I25,"na")</f>
        <v>na</v>
      </c>
      <c r="L25" s="155" t="str">
        <f>IF(SUM(L12:L24)&gt;0,SUM(L12:L24),"na")</f>
        <v>na</v>
      </c>
      <c r="M25" s="154" t="str">
        <f>IF(SUM(M12:M24)&gt;0,SUMPRODUCT(L12:L24,M12:M24)/L25,"na")</f>
        <v>na</v>
      </c>
      <c r="N25" s="156" t="str">
        <f>IF(SUM(N12:N24)&gt;0,SUMPRODUCT(L12:L24,N12:N24)/L25,"na")</f>
        <v>na</v>
      </c>
      <c r="O25" s="155">
        <f>IF(SUM(O12:O24)&gt;0,SUM(O12:O24),"na")</f>
        <v>143126.10219023426</v>
      </c>
      <c r="P25" s="154">
        <f>IF(SUM(P12:P24)&gt;0,SUMPRODUCT(O12:O24,P12:P24)/O25,"na")</f>
        <v>25.124589184386242</v>
      </c>
      <c r="Q25" s="153">
        <f>IF(SUM(Q12:Q24)&gt;0,SUMPRODUCT(O12:O24,Q12:Q24)/O25,"na")</f>
        <v>0.20638443685651839</v>
      </c>
      <c r="R25" s="116"/>
      <c r="S25" s="116"/>
    </row>
    <row r="26" spans="1:33" s="144" customFormat="1" ht="15" thickBot="1">
      <c r="A26" s="136"/>
      <c r="B26" s="136"/>
      <c r="C26" s="152"/>
      <c r="D26" s="151"/>
      <c r="E26" s="149"/>
      <c r="F26" s="148"/>
      <c r="G26" s="150"/>
      <c r="H26" s="149"/>
      <c r="I26" s="148"/>
      <c r="J26" s="150"/>
      <c r="K26" s="149"/>
      <c r="L26" s="148"/>
      <c r="M26" s="150"/>
      <c r="N26" s="149"/>
      <c r="O26" s="148"/>
      <c r="P26" s="147"/>
      <c r="Q26" s="146"/>
      <c r="R26" s="145"/>
      <c r="S26" s="145"/>
    </row>
    <row r="27" spans="1:33" s="114" customFormat="1">
      <c r="A27" s="136"/>
      <c r="B27" s="136"/>
      <c r="C27" s="133" t="s">
        <v>78</v>
      </c>
      <c r="D27" s="143">
        <f>+[2]sampling!B11</f>
        <v>22035.260000000006</v>
      </c>
      <c r="E27" s="140" t="s">
        <v>79</v>
      </c>
      <c r="F27" s="133" t="s">
        <v>78</v>
      </c>
      <c r="G27" s="143"/>
      <c r="H27" s="140" t="s">
        <v>79</v>
      </c>
      <c r="I27" s="133" t="s">
        <v>78</v>
      </c>
      <c r="J27" s="143"/>
      <c r="K27" s="140" t="s">
        <v>79</v>
      </c>
      <c r="L27" s="133" t="s">
        <v>78</v>
      </c>
      <c r="M27" s="143"/>
      <c r="N27" s="140" t="s">
        <v>79</v>
      </c>
      <c r="O27" s="133" t="s">
        <v>80</v>
      </c>
      <c r="P27" s="142">
        <f>SUM(M27,J27,G27,D27)</f>
        <v>22035.260000000006</v>
      </c>
      <c r="Q27" s="140" t="s">
        <v>79</v>
      </c>
      <c r="R27" s="116"/>
      <c r="S27" s="116"/>
    </row>
    <row r="28" spans="1:33" s="114" customFormat="1">
      <c r="A28" s="130"/>
      <c r="B28" s="136"/>
      <c r="C28" s="133" t="s">
        <v>81</v>
      </c>
      <c r="D28" s="141">
        <f>IF(SUM(E12:E24)&gt;0,(C25*E25),"na")</f>
        <v>29539</v>
      </c>
      <c r="E28" s="140" t="s">
        <v>79</v>
      </c>
      <c r="F28" s="133" t="s">
        <v>81</v>
      </c>
      <c r="G28" s="141" t="str">
        <f>IF(SUM(H12:H24)&gt;0,(F25*H25),"na")</f>
        <v>na</v>
      </c>
      <c r="H28" s="140" t="s">
        <v>79</v>
      </c>
      <c r="I28" s="133" t="s">
        <v>81</v>
      </c>
      <c r="J28" s="141" t="str">
        <f>IF(SUM(K12:K24)&gt;0,(I25*K25),"na")</f>
        <v>na</v>
      </c>
      <c r="K28" s="140" t="s">
        <v>79</v>
      </c>
      <c r="L28" s="133" t="s">
        <v>81</v>
      </c>
      <c r="M28" s="141" t="str">
        <f>IF(SUM(N12:N24)&gt;0,(L25*N25),"na")</f>
        <v>na</v>
      </c>
      <c r="N28" s="140" t="s">
        <v>79</v>
      </c>
      <c r="O28" s="133" t="s">
        <v>81</v>
      </c>
      <c r="P28" s="141">
        <f>IF(SUM(Q12:Q24)&gt;0,(O25*Q25),"na")</f>
        <v>29539</v>
      </c>
      <c r="Q28" s="140" t="s">
        <v>79</v>
      </c>
      <c r="R28" s="302" t="s">
        <v>82</v>
      </c>
      <c r="S28" s="116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</row>
    <row r="29" spans="1:33" s="114" customFormat="1" ht="15" thickBot="1">
      <c r="A29" s="130"/>
      <c r="B29" s="136"/>
      <c r="C29" s="133" t="s">
        <v>81</v>
      </c>
      <c r="D29" s="139">
        <f>IF(SUM(E12:E24)&gt;0,D28/D27,"na")</f>
        <v>1.3405333088876643</v>
      </c>
      <c r="E29" s="131" t="s">
        <v>83</v>
      </c>
      <c r="F29" s="133" t="s">
        <v>81</v>
      </c>
      <c r="G29" s="139" t="str">
        <f>IF(SUM(H12:H24)&gt;0,G28/G27,"na")</f>
        <v>na</v>
      </c>
      <c r="H29" s="131" t="s">
        <v>83</v>
      </c>
      <c r="I29" s="133" t="s">
        <v>81</v>
      </c>
      <c r="J29" s="139" t="str">
        <f>IF(SUM(K12:K24)&gt;0,J28/J27,"na")</f>
        <v>na</v>
      </c>
      <c r="K29" s="131" t="s">
        <v>83</v>
      </c>
      <c r="L29" s="133" t="s">
        <v>81</v>
      </c>
      <c r="M29" s="139" t="str">
        <f>IF(SUM(N12:N24)&gt;0,M28/M27,"na")</f>
        <v>na</v>
      </c>
      <c r="N29" s="131" t="s">
        <v>83</v>
      </c>
      <c r="O29" s="133" t="s">
        <v>81</v>
      </c>
      <c r="P29" s="139">
        <f>IF(SUM(Q12:Q24)&gt;0,P28/P27,"na")</f>
        <v>1.3405333088876643</v>
      </c>
      <c r="Q29" s="131" t="s">
        <v>83</v>
      </c>
      <c r="R29" s="116"/>
      <c r="S29" s="116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</row>
    <row r="30" spans="1:33" s="116" customFormat="1" ht="15" thickBot="1">
      <c r="A30" s="130"/>
      <c r="B30" s="136"/>
      <c r="C30" s="138"/>
      <c r="D30" s="137"/>
      <c r="E30" s="131"/>
      <c r="F30" s="138"/>
      <c r="G30" s="137"/>
      <c r="H30" s="131"/>
      <c r="I30" s="138"/>
      <c r="J30" s="137"/>
      <c r="K30" s="131"/>
      <c r="L30" s="138"/>
      <c r="M30" s="137"/>
      <c r="N30" s="131"/>
      <c r="O30" s="138"/>
      <c r="P30" s="137"/>
      <c r="Q30" s="131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</row>
    <row r="31" spans="1:33" s="116" customFormat="1" ht="15" thickBot="1">
      <c r="A31" s="130"/>
      <c r="B31" s="136"/>
      <c r="C31" s="133" t="s">
        <v>84</v>
      </c>
      <c r="D31" s="135"/>
      <c r="E31" s="131" t="s">
        <v>85</v>
      </c>
      <c r="F31" s="133" t="s">
        <v>84</v>
      </c>
      <c r="G31" s="135"/>
      <c r="H31" s="131" t="s">
        <v>85</v>
      </c>
      <c r="I31" s="133" t="s">
        <v>84</v>
      </c>
      <c r="J31" s="135"/>
      <c r="K31" s="131" t="s">
        <v>85</v>
      </c>
      <c r="L31" s="133" t="s">
        <v>84</v>
      </c>
      <c r="M31" s="134"/>
      <c r="N31" s="131" t="s">
        <v>85</v>
      </c>
      <c r="O31" s="133" t="s">
        <v>84</v>
      </c>
      <c r="P31" s="132"/>
      <c r="Q31" s="131" t="s">
        <v>85</v>
      </c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</row>
    <row r="32" spans="1:33" s="114" customFormat="1" ht="15" thickBot="1">
      <c r="A32" s="130"/>
      <c r="B32" s="118"/>
      <c r="C32" s="129"/>
      <c r="D32" s="122"/>
      <c r="E32" s="121"/>
      <c r="F32" s="129"/>
      <c r="G32" s="122"/>
      <c r="H32" s="121"/>
      <c r="I32" s="129"/>
      <c r="J32" s="122"/>
      <c r="K32" s="121"/>
      <c r="L32" s="129"/>
      <c r="M32" s="122"/>
      <c r="N32" s="121"/>
      <c r="O32" s="129"/>
      <c r="P32" s="122"/>
      <c r="Q32" s="121"/>
      <c r="R32" s="116"/>
      <c r="S32" s="116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</row>
    <row r="33" spans="1:33" s="114" customFormat="1" ht="15">
      <c r="A33" s="128" t="s">
        <v>86</v>
      </c>
      <c r="B33" s="127"/>
      <c r="C33" s="127"/>
      <c r="D33" s="127"/>
      <c r="E33" s="127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5"/>
      <c r="R33" s="116"/>
      <c r="S33" s="116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</row>
    <row r="34" spans="1:33" s="114" customFormat="1" ht="15.6" thickBot="1">
      <c r="A34" s="124" t="s">
        <v>87</v>
      </c>
      <c r="B34" s="123"/>
      <c r="C34" s="123"/>
      <c r="D34" s="123"/>
      <c r="E34" s="123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1"/>
      <c r="R34" s="116"/>
      <c r="S34" s="116"/>
      <c r="T34" s="115"/>
      <c r="U34" s="115"/>
      <c r="V34" s="115"/>
    </row>
    <row r="35" spans="1:33" s="114" customFormat="1">
      <c r="A35" s="120"/>
      <c r="B35" s="120"/>
      <c r="C35" s="120"/>
      <c r="D35" s="120"/>
      <c r="E35" s="120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5"/>
      <c r="U35" s="115"/>
      <c r="V35" s="115"/>
    </row>
    <row r="36" spans="1:33" s="114" customFormat="1">
      <c r="A36" s="119"/>
      <c r="B36" s="118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5"/>
      <c r="U36" s="115"/>
      <c r="V36" s="115"/>
    </row>
    <row r="37" spans="1:33" s="114" customFormat="1">
      <c r="A37" s="119"/>
      <c r="B37" s="118"/>
      <c r="C37" s="117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5"/>
      <c r="U37" s="115"/>
      <c r="V37" s="115"/>
    </row>
    <row r="38" spans="1:33">
      <c r="T38" s="113"/>
      <c r="U38" s="113"/>
      <c r="V38" s="113"/>
    </row>
  </sheetData>
  <mergeCells count="2">
    <mergeCell ref="C8:D8"/>
    <mergeCell ref="I6:J6"/>
  </mergeCells>
  <dataValidations disablePrompts="1" count="1">
    <dataValidation type="decimal" errorStyle="warning" allowBlank="1" showInputMessage="1" showErrorMessage="1" errorTitle="Please Check!" error="Confirm that the value you have entered is correct" sqref="N12:N24 JJ12:JJ24 TF12:TF24 ADB12:ADB24 AMX12:AMX24 AWT12:AWT24 BGP12:BGP24 BQL12:BQL24 CAH12:CAH24 CKD12:CKD24 CTZ12:CTZ24 DDV12:DDV24 DNR12:DNR24 DXN12:DXN24 EHJ12:EHJ24 ERF12:ERF24 FBB12:FBB24 FKX12:FKX24 FUT12:FUT24 GEP12:GEP24 GOL12:GOL24 GYH12:GYH24 HID12:HID24 HRZ12:HRZ24 IBV12:IBV24 ILR12:ILR24 IVN12:IVN24 JFJ12:JFJ24 JPF12:JPF24 JZB12:JZB24 KIX12:KIX24 KST12:KST24 LCP12:LCP24 LML12:LML24 LWH12:LWH24 MGD12:MGD24 MPZ12:MPZ24 MZV12:MZV24 NJR12:NJR24 NTN12:NTN24 ODJ12:ODJ24 ONF12:ONF24 OXB12:OXB24 PGX12:PGX24 PQT12:PQT24 QAP12:QAP24 QKL12:QKL24 QUH12:QUH24 RED12:RED24 RNZ12:RNZ24 RXV12:RXV24 SHR12:SHR24 SRN12:SRN24 TBJ12:TBJ24 TLF12:TLF24 TVB12:TVB24 UEX12:UEX24 UOT12:UOT24 UYP12:UYP24 VIL12:VIL24 VSH12:VSH24 WCD12:WCD24 WLZ12:WLZ24 WVV12:WVV24 N65548:N65560 JJ65548:JJ65560 TF65548:TF65560 ADB65548:ADB65560 AMX65548:AMX65560 AWT65548:AWT65560 BGP65548:BGP65560 BQL65548:BQL65560 CAH65548:CAH65560 CKD65548:CKD65560 CTZ65548:CTZ65560 DDV65548:DDV65560 DNR65548:DNR65560 DXN65548:DXN65560 EHJ65548:EHJ65560 ERF65548:ERF65560 FBB65548:FBB65560 FKX65548:FKX65560 FUT65548:FUT65560 GEP65548:GEP65560 GOL65548:GOL65560 GYH65548:GYH65560 HID65548:HID65560 HRZ65548:HRZ65560 IBV65548:IBV65560 ILR65548:ILR65560 IVN65548:IVN65560 JFJ65548:JFJ65560 JPF65548:JPF65560 JZB65548:JZB65560 KIX65548:KIX65560 KST65548:KST65560 LCP65548:LCP65560 LML65548:LML65560 LWH65548:LWH65560 MGD65548:MGD65560 MPZ65548:MPZ65560 MZV65548:MZV65560 NJR65548:NJR65560 NTN65548:NTN65560 ODJ65548:ODJ65560 ONF65548:ONF65560 OXB65548:OXB65560 PGX65548:PGX65560 PQT65548:PQT65560 QAP65548:QAP65560 QKL65548:QKL65560 QUH65548:QUH65560 RED65548:RED65560 RNZ65548:RNZ65560 RXV65548:RXV65560 SHR65548:SHR65560 SRN65548:SRN65560 TBJ65548:TBJ65560 TLF65548:TLF65560 TVB65548:TVB65560 UEX65548:UEX65560 UOT65548:UOT65560 UYP65548:UYP65560 VIL65548:VIL65560 VSH65548:VSH65560 WCD65548:WCD65560 WLZ65548:WLZ65560 WVV65548:WVV65560 N131084:N131096 JJ131084:JJ131096 TF131084:TF131096 ADB131084:ADB131096 AMX131084:AMX131096 AWT131084:AWT131096 BGP131084:BGP131096 BQL131084:BQL131096 CAH131084:CAH131096 CKD131084:CKD131096 CTZ131084:CTZ131096 DDV131084:DDV131096 DNR131084:DNR131096 DXN131084:DXN131096 EHJ131084:EHJ131096 ERF131084:ERF131096 FBB131084:FBB131096 FKX131084:FKX131096 FUT131084:FUT131096 GEP131084:GEP131096 GOL131084:GOL131096 GYH131084:GYH131096 HID131084:HID131096 HRZ131084:HRZ131096 IBV131084:IBV131096 ILR131084:ILR131096 IVN131084:IVN131096 JFJ131084:JFJ131096 JPF131084:JPF131096 JZB131084:JZB131096 KIX131084:KIX131096 KST131084:KST131096 LCP131084:LCP131096 LML131084:LML131096 LWH131084:LWH131096 MGD131084:MGD131096 MPZ131084:MPZ131096 MZV131084:MZV131096 NJR131084:NJR131096 NTN131084:NTN131096 ODJ131084:ODJ131096 ONF131084:ONF131096 OXB131084:OXB131096 PGX131084:PGX131096 PQT131084:PQT131096 QAP131084:QAP131096 QKL131084:QKL131096 QUH131084:QUH131096 RED131084:RED131096 RNZ131084:RNZ131096 RXV131084:RXV131096 SHR131084:SHR131096 SRN131084:SRN131096 TBJ131084:TBJ131096 TLF131084:TLF131096 TVB131084:TVB131096 UEX131084:UEX131096 UOT131084:UOT131096 UYP131084:UYP131096 VIL131084:VIL131096 VSH131084:VSH131096 WCD131084:WCD131096 WLZ131084:WLZ131096 WVV131084:WVV131096 N196620:N196632 JJ196620:JJ196632 TF196620:TF196632 ADB196620:ADB196632 AMX196620:AMX196632 AWT196620:AWT196632 BGP196620:BGP196632 BQL196620:BQL196632 CAH196620:CAH196632 CKD196620:CKD196632 CTZ196620:CTZ196632 DDV196620:DDV196632 DNR196620:DNR196632 DXN196620:DXN196632 EHJ196620:EHJ196632 ERF196620:ERF196632 FBB196620:FBB196632 FKX196620:FKX196632 FUT196620:FUT196632 GEP196620:GEP196632 GOL196620:GOL196632 GYH196620:GYH196632 HID196620:HID196632 HRZ196620:HRZ196632 IBV196620:IBV196632 ILR196620:ILR196632 IVN196620:IVN196632 JFJ196620:JFJ196632 JPF196620:JPF196632 JZB196620:JZB196632 KIX196620:KIX196632 KST196620:KST196632 LCP196620:LCP196632 LML196620:LML196632 LWH196620:LWH196632 MGD196620:MGD196632 MPZ196620:MPZ196632 MZV196620:MZV196632 NJR196620:NJR196632 NTN196620:NTN196632 ODJ196620:ODJ196632 ONF196620:ONF196632 OXB196620:OXB196632 PGX196620:PGX196632 PQT196620:PQT196632 QAP196620:QAP196632 QKL196620:QKL196632 QUH196620:QUH196632 RED196620:RED196632 RNZ196620:RNZ196632 RXV196620:RXV196632 SHR196620:SHR196632 SRN196620:SRN196632 TBJ196620:TBJ196632 TLF196620:TLF196632 TVB196620:TVB196632 UEX196620:UEX196632 UOT196620:UOT196632 UYP196620:UYP196632 VIL196620:VIL196632 VSH196620:VSH196632 WCD196620:WCD196632 WLZ196620:WLZ196632 WVV196620:WVV196632 N262156:N262168 JJ262156:JJ262168 TF262156:TF262168 ADB262156:ADB262168 AMX262156:AMX262168 AWT262156:AWT262168 BGP262156:BGP262168 BQL262156:BQL262168 CAH262156:CAH262168 CKD262156:CKD262168 CTZ262156:CTZ262168 DDV262156:DDV262168 DNR262156:DNR262168 DXN262156:DXN262168 EHJ262156:EHJ262168 ERF262156:ERF262168 FBB262156:FBB262168 FKX262156:FKX262168 FUT262156:FUT262168 GEP262156:GEP262168 GOL262156:GOL262168 GYH262156:GYH262168 HID262156:HID262168 HRZ262156:HRZ262168 IBV262156:IBV262168 ILR262156:ILR262168 IVN262156:IVN262168 JFJ262156:JFJ262168 JPF262156:JPF262168 JZB262156:JZB262168 KIX262156:KIX262168 KST262156:KST262168 LCP262156:LCP262168 LML262156:LML262168 LWH262156:LWH262168 MGD262156:MGD262168 MPZ262156:MPZ262168 MZV262156:MZV262168 NJR262156:NJR262168 NTN262156:NTN262168 ODJ262156:ODJ262168 ONF262156:ONF262168 OXB262156:OXB262168 PGX262156:PGX262168 PQT262156:PQT262168 QAP262156:QAP262168 QKL262156:QKL262168 QUH262156:QUH262168 RED262156:RED262168 RNZ262156:RNZ262168 RXV262156:RXV262168 SHR262156:SHR262168 SRN262156:SRN262168 TBJ262156:TBJ262168 TLF262156:TLF262168 TVB262156:TVB262168 UEX262156:UEX262168 UOT262156:UOT262168 UYP262156:UYP262168 VIL262156:VIL262168 VSH262156:VSH262168 WCD262156:WCD262168 WLZ262156:WLZ262168 WVV262156:WVV262168 N327692:N327704 JJ327692:JJ327704 TF327692:TF327704 ADB327692:ADB327704 AMX327692:AMX327704 AWT327692:AWT327704 BGP327692:BGP327704 BQL327692:BQL327704 CAH327692:CAH327704 CKD327692:CKD327704 CTZ327692:CTZ327704 DDV327692:DDV327704 DNR327692:DNR327704 DXN327692:DXN327704 EHJ327692:EHJ327704 ERF327692:ERF327704 FBB327692:FBB327704 FKX327692:FKX327704 FUT327692:FUT327704 GEP327692:GEP327704 GOL327692:GOL327704 GYH327692:GYH327704 HID327692:HID327704 HRZ327692:HRZ327704 IBV327692:IBV327704 ILR327692:ILR327704 IVN327692:IVN327704 JFJ327692:JFJ327704 JPF327692:JPF327704 JZB327692:JZB327704 KIX327692:KIX327704 KST327692:KST327704 LCP327692:LCP327704 LML327692:LML327704 LWH327692:LWH327704 MGD327692:MGD327704 MPZ327692:MPZ327704 MZV327692:MZV327704 NJR327692:NJR327704 NTN327692:NTN327704 ODJ327692:ODJ327704 ONF327692:ONF327704 OXB327692:OXB327704 PGX327692:PGX327704 PQT327692:PQT327704 QAP327692:QAP327704 QKL327692:QKL327704 QUH327692:QUH327704 RED327692:RED327704 RNZ327692:RNZ327704 RXV327692:RXV327704 SHR327692:SHR327704 SRN327692:SRN327704 TBJ327692:TBJ327704 TLF327692:TLF327704 TVB327692:TVB327704 UEX327692:UEX327704 UOT327692:UOT327704 UYP327692:UYP327704 VIL327692:VIL327704 VSH327692:VSH327704 WCD327692:WCD327704 WLZ327692:WLZ327704 WVV327692:WVV327704 N393228:N393240 JJ393228:JJ393240 TF393228:TF393240 ADB393228:ADB393240 AMX393228:AMX393240 AWT393228:AWT393240 BGP393228:BGP393240 BQL393228:BQL393240 CAH393228:CAH393240 CKD393228:CKD393240 CTZ393228:CTZ393240 DDV393228:DDV393240 DNR393228:DNR393240 DXN393228:DXN393240 EHJ393228:EHJ393240 ERF393228:ERF393240 FBB393228:FBB393240 FKX393228:FKX393240 FUT393228:FUT393240 GEP393228:GEP393240 GOL393228:GOL393240 GYH393228:GYH393240 HID393228:HID393240 HRZ393228:HRZ393240 IBV393228:IBV393240 ILR393228:ILR393240 IVN393228:IVN393240 JFJ393228:JFJ393240 JPF393228:JPF393240 JZB393228:JZB393240 KIX393228:KIX393240 KST393228:KST393240 LCP393228:LCP393240 LML393228:LML393240 LWH393228:LWH393240 MGD393228:MGD393240 MPZ393228:MPZ393240 MZV393228:MZV393240 NJR393228:NJR393240 NTN393228:NTN393240 ODJ393228:ODJ393240 ONF393228:ONF393240 OXB393228:OXB393240 PGX393228:PGX393240 PQT393228:PQT393240 QAP393228:QAP393240 QKL393228:QKL393240 QUH393228:QUH393240 RED393228:RED393240 RNZ393228:RNZ393240 RXV393228:RXV393240 SHR393228:SHR393240 SRN393228:SRN393240 TBJ393228:TBJ393240 TLF393228:TLF393240 TVB393228:TVB393240 UEX393228:UEX393240 UOT393228:UOT393240 UYP393228:UYP393240 VIL393228:VIL393240 VSH393228:VSH393240 WCD393228:WCD393240 WLZ393228:WLZ393240 WVV393228:WVV393240 N458764:N458776 JJ458764:JJ458776 TF458764:TF458776 ADB458764:ADB458776 AMX458764:AMX458776 AWT458764:AWT458776 BGP458764:BGP458776 BQL458764:BQL458776 CAH458764:CAH458776 CKD458764:CKD458776 CTZ458764:CTZ458776 DDV458764:DDV458776 DNR458764:DNR458776 DXN458764:DXN458776 EHJ458764:EHJ458776 ERF458764:ERF458776 FBB458764:FBB458776 FKX458764:FKX458776 FUT458764:FUT458776 GEP458764:GEP458776 GOL458764:GOL458776 GYH458764:GYH458776 HID458764:HID458776 HRZ458764:HRZ458776 IBV458764:IBV458776 ILR458764:ILR458776 IVN458764:IVN458776 JFJ458764:JFJ458776 JPF458764:JPF458776 JZB458764:JZB458776 KIX458764:KIX458776 KST458764:KST458776 LCP458764:LCP458776 LML458764:LML458776 LWH458764:LWH458776 MGD458764:MGD458776 MPZ458764:MPZ458776 MZV458764:MZV458776 NJR458764:NJR458776 NTN458764:NTN458776 ODJ458764:ODJ458776 ONF458764:ONF458776 OXB458764:OXB458776 PGX458764:PGX458776 PQT458764:PQT458776 QAP458764:QAP458776 QKL458764:QKL458776 QUH458764:QUH458776 RED458764:RED458776 RNZ458764:RNZ458776 RXV458764:RXV458776 SHR458764:SHR458776 SRN458764:SRN458776 TBJ458764:TBJ458776 TLF458764:TLF458776 TVB458764:TVB458776 UEX458764:UEX458776 UOT458764:UOT458776 UYP458764:UYP458776 VIL458764:VIL458776 VSH458764:VSH458776 WCD458764:WCD458776 WLZ458764:WLZ458776 WVV458764:WVV458776 N524300:N524312 JJ524300:JJ524312 TF524300:TF524312 ADB524300:ADB524312 AMX524300:AMX524312 AWT524300:AWT524312 BGP524300:BGP524312 BQL524300:BQL524312 CAH524300:CAH524312 CKD524300:CKD524312 CTZ524300:CTZ524312 DDV524300:DDV524312 DNR524300:DNR524312 DXN524300:DXN524312 EHJ524300:EHJ524312 ERF524300:ERF524312 FBB524300:FBB524312 FKX524300:FKX524312 FUT524300:FUT524312 GEP524300:GEP524312 GOL524300:GOL524312 GYH524300:GYH524312 HID524300:HID524312 HRZ524300:HRZ524312 IBV524300:IBV524312 ILR524300:ILR524312 IVN524300:IVN524312 JFJ524300:JFJ524312 JPF524300:JPF524312 JZB524300:JZB524312 KIX524300:KIX524312 KST524300:KST524312 LCP524300:LCP524312 LML524300:LML524312 LWH524300:LWH524312 MGD524300:MGD524312 MPZ524300:MPZ524312 MZV524300:MZV524312 NJR524300:NJR524312 NTN524300:NTN524312 ODJ524300:ODJ524312 ONF524300:ONF524312 OXB524300:OXB524312 PGX524300:PGX524312 PQT524300:PQT524312 QAP524300:QAP524312 QKL524300:QKL524312 QUH524300:QUH524312 RED524300:RED524312 RNZ524300:RNZ524312 RXV524300:RXV524312 SHR524300:SHR524312 SRN524300:SRN524312 TBJ524300:TBJ524312 TLF524300:TLF524312 TVB524300:TVB524312 UEX524300:UEX524312 UOT524300:UOT524312 UYP524300:UYP524312 VIL524300:VIL524312 VSH524300:VSH524312 WCD524300:WCD524312 WLZ524300:WLZ524312 WVV524300:WVV524312 N589836:N589848 JJ589836:JJ589848 TF589836:TF589848 ADB589836:ADB589848 AMX589836:AMX589848 AWT589836:AWT589848 BGP589836:BGP589848 BQL589836:BQL589848 CAH589836:CAH589848 CKD589836:CKD589848 CTZ589836:CTZ589848 DDV589836:DDV589848 DNR589836:DNR589848 DXN589836:DXN589848 EHJ589836:EHJ589848 ERF589836:ERF589848 FBB589836:FBB589848 FKX589836:FKX589848 FUT589836:FUT589848 GEP589836:GEP589848 GOL589836:GOL589848 GYH589836:GYH589848 HID589836:HID589848 HRZ589836:HRZ589848 IBV589836:IBV589848 ILR589836:ILR589848 IVN589836:IVN589848 JFJ589836:JFJ589848 JPF589836:JPF589848 JZB589836:JZB589848 KIX589836:KIX589848 KST589836:KST589848 LCP589836:LCP589848 LML589836:LML589848 LWH589836:LWH589848 MGD589836:MGD589848 MPZ589836:MPZ589848 MZV589836:MZV589848 NJR589836:NJR589848 NTN589836:NTN589848 ODJ589836:ODJ589848 ONF589836:ONF589848 OXB589836:OXB589848 PGX589836:PGX589848 PQT589836:PQT589848 QAP589836:QAP589848 QKL589836:QKL589848 QUH589836:QUH589848 RED589836:RED589848 RNZ589836:RNZ589848 RXV589836:RXV589848 SHR589836:SHR589848 SRN589836:SRN589848 TBJ589836:TBJ589848 TLF589836:TLF589848 TVB589836:TVB589848 UEX589836:UEX589848 UOT589836:UOT589848 UYP589836:UYP589848 VIL589836:VIL589848 VSH589836:VSH589848 WCD589836:WCD589848 WLZ589836:WLZ589848 WVV589836:WVV589848 N655372:N655384 JJ655372:JJ655384 TF655372:TF655384 ADB655372:ADB655384 AMX655372:AMX655384 AWT655372:AWT655384 BGP655372:BGP655384 BQL655372:BQL655384 CAH655372:CAH655384 CKD655372:CKD655384 CTZ655372:CTZ655384 DDV655372:DDV655384 DNR655372:DNR655384 DXN655372:DXN655384 EHJ655372:EHJ655384 ERF655372:ERF655384 FBB655372:FBB655384 FKX655372:FKX655384 FUT655372:FUT655384 GEP655372:GEP655384 GOL655372:GOL655384 GYH655372:GYH655384 HID655372:HID655384 HRZ655372:HRZ655384 IBV655372:IBV655384 ILR655372:ILR655384 IVN655372:IVN655384 JFJ655372:JFJ655384 JPF655372:JPF655384 JZB655372:JZB655384 KIX655372:KIX655384 KST655372:KST655384 LCP655372:LCP655384 LML655372:LML655384 LWH655372:LWH655384 MGD655372:MGD655384 MPZ655372:MPZ655384 MZV655372:MZV655384 NJR655372:NJR655384 NTN655372:NTN655384 ODJ655372:ODJ655384 ONF655372:ONF655384 OXB655372:OXB655384 PGX655372:PGX655384 PQT655372:PQT655384 QAP655372:QAP655384 QKL655372:QKL655384 QUH655372:QUH655384 RED655372:RED655384 RNZ655372:RNZ655384 RXV655372:RXV655384 SHR655372:SHR655384 SRN655372:SRN655384 TBJ655372:TBJ655384 TLF655372:TLF655384 TVB655372:TVB655384 UEX655372:UEX655384 UOT655372:UOT655384 UYP655372:UYP655384 VIL655372:VIL655384 VSH655372:VSH655384 WCD655372:WCD655384 WLZ655372:WLZ655384 WVV655372:WVV655384 N720908:N720920 JJ720908:JJ720920 TF720908:TF720920 ADB720908:ADB720920 AMX720908:AMX720920 AWT720908:AWT720920 BGP720908:BGP720920 BQL720908:BQL720920 CAH720908:CAH720920 CKD720908:CKD720920 CTZ720908:CTZ720920 DDV720908:DDV720920 DNR720908:DNR720920 DXN720908:DXN720920 EHJ720908:EHJ720920 ERF720908:ERF720920 FBB720908:FBB720920 FKX720908:FKX720920 FUT720908:FUT720920 GEP720908:GEP720920 GOL720908:GOL720920 GYH720908:GYH720920 HID720908:HID720920 HRZ720908:HRZ720920 IBV720908:IBV720920 ILR720908:ILR720920 IVN720908:IVN720920 JFJ720908:JFJ720920 JPF720908:JPF720920 JZB720908:JZB720920 KIX720908:KIX720920 KST720908:KST720920 LCP720908:LCP720920 LML720908:LML720920 LWH720908:LWH720920 MGD720908:MGD720920 MPZ720908:MPZ720920 MZV720908:MZV720920 NJR720908:NJR720920 NTN720908:NTN720920 ODJ720908:ODJ720920 ONF720908:ONF720920 OXB720908:OXB720920 PGX720908:PGX720920 PQT720908:PQT720920 QAP720908:QAP720920 QKL720908:QKL720920 QUH720908:QUH720920 RED720908:RED720920 RNZ720908:RNZ720920 RXV720908:RXV720920 SHR720908:SHR720920 SRN720908:SRN720920 TBJ720908:TBJ720920 TLF720908:TLF720920 TVB720908:TVB720920 UEX720908:UEX720920 UOT720908:UOT720920 UYP720908:UYP720920 VIL720908:VIL720920 VSH720908:VSH720920 WCD720908:WCD720920 WLZ720908:WLZ720920 WVV720908:WVV720920 N786444:N786456 JJ786444:JJ786456 TF786444:TF786456 ADB786444:ADB786456 AMX786444:AMX786456 AWT786444:AWT786456 BGP786444:BGP786456 BQL786444:BQL786456 CAH786444:CAH786456 CKD786444:CKD786456 CTZ786444:CTZ786456 DDV786444:DDV786456 DNR786444:DNR786456 DXN786444:DXN786456 EHJ786444:EHJ786456 ERF786444:ERF786456 FBB786444:FBB786456 FKX786444:FKX786456 FUT786444:FUT786456 GEP786444:GEP786456 GOL786444:GOL786456 GYH786444:GYH786456 HID786444:HID786456 HRZ786444:HRZ786456 IBV786444:IBV786456 ILR786444:ILR786456 IVN786444:IVN786456 JFJ786444:JFJ786456 JPF786444:JPF786456 JZB786444:JZB786456 KIX786444:KIX786456 KST786444:KST786456 LCP786444:LCP786456 LML786444:LML786456 LWH786444:LWH786456 MGD786444:MGD786456 MPZ786444:MPZ786456 MZV786444:MZV786456 NJR786444:NJR786456 NTN786444:NTN786456 ODJ786444:ODJ786456 ONF786444:ONF786456 OXB786444:OXB786456 PGX786444:PGX786456 PQT786444:PQT786456 QAP786444:QAP786456 QKL786444:QKL786456 QUH786444:QUH786456 RED786444:RED786456 RNZ786444:RNZ786456 RXV786444:RXV786456 SHR786444:SHR786456 SRN786444:SRN786456 TBJ786444:TBJ786456 TLF786444:TLF786456 TVB786444:TVB786456 UEX786444:UEX786456 UOT786444:UOT786456 UYP786444:UYP786456 VIL786444:VIL786456 VSH786444:VSH786456 WCD786444:WCD786456 WLZ786444:WLZ786456 WVV786444:WVV786456 N851980:N851992 JJ851980:JJ851992 TF851980:TF851992 ADB851980:ADB851992 AMX851980:AMX851992 AWT851980:AWT851992 BGP851980:BGP851992 BQL851980:BQL851992 CAH851980:CAH851992 CKD851980:CKD851992 CTZ851980:CTZ851992 DDV851980:DDV851992 DNR851980:DNR851992 DXN851980:DXN851992 EHJ851980:EHJ851992 ERF851980:ERF851992 FBB851980:FBB851992 FKX851980:FKX851992 FUT851980:FUT851992 GEP851980:GEP851992 GOL851980:GOL851992 GYH851980:GYH851992 HID851980:HID851992 HRZ851980:HRZ851992 IBV851980:IBV851992 ILR851980:ILR851992 IVN851980:IVN851992 JFJ851980:JFJ851992 JPF851980:JPF851992 JZB851980:JZB851992 KIX851980:KIX851992 KST851980:KST851992 LCP851980:LCP851992 LML851980:LML851992 LWH851980:LWH851992 MGD851980:MGD851992 MPZ851980:MPZ851992 MZV851980:MZV851992 NJR851980:NJR851992 NTN851980:NTN851992 ODJ851980:ODJ851992 ONF851980:ONF851992 OXB851980:OXB851992 PGX851980:PGX851992 PQT851980:PQT851992 QAP851980:QAP851992 QKL851980:QKL851992 QUH851980:QUH851992 RED851980:RED851992 RNZ851980:RNZ851992 RXV851980:RXV851992 SHR851980:SHR851992 SRN851980:SRN851992 TBJ851980:TBJ851992 TLF851980:TLF851992 TVB851980:TVB851992 UEX851980:UEX851992 UOT851980:UOT851992 UYP851980:UYP851992 VIL851980:VIL851992 VSH851980:VSH851992 WCD851980:WCD851992 WLZ851980:WLZ851992 WVV851980:WVV851992 N917516:N917528 JJ917516:JJ917528 TF917516:TF917528 ADB917516:ADB917528 AMX917516:AMX917528 AWT917516:AWT917528 BGP917516:BGP917528 BQL917516:BQL917528 CAH917516:CAH917528 CKD917516:CKD917528 CTZ917516:CTZ917528 DDV917516:DDV917528 DNR917516:DNR917528 DXN917516:DXN917528 EHJ917516:EHJ917528 ERF917516:ERF917528 FBB917516:FBB917528 FKX917516:FKX917528 FUT917516:FUT917528 GEP917516:GEP917528 GOL917516:GOL917528 GYH917516:GYH917528 HID917516:HID917528 HRZ917516:HRZ917528 IBV917516:IBV917528 ILR917516:ILR917528 IVN917516:IVN917528 JFJ917516:JFJ917528 JPF917516:JPF917528 JZB917516:JZB917528 KIX917516:KIX917528 KST917516:KST917528 LCP917516:LCP917528 LML917516:LML917528 LWH917516:LWH917528 MGD917516:MGD917528 MPZ917516:MPZ917528 MZV917516:MZV917528 NJR917516:NJR917528 NTN917516:NTN917528 ODJ917516:ODJ917528 ONF917516:ONF917528 OXB917516:OXB917528 PGX917516:PGX917528 PQT917516:PQT917528 QAP917516:QAP917528 QKL917516:QKL917528 QUH917516:QUH917528 RED917516:RED917528 RNZ917516:RNZ917528 RXV917516:RXV917528 SHR917516:SHR917528 SRN917516:SRN917528 TBJ917516:TBJ917528 TLF917516:TLF917528 TVB917516:TVB917528 UEX917516:UEX917528 UOT917516:UOT917528 UYP917516:UYP917528 VIL917516:VIL917528 VSH917516:VSH917528 WCD917516:WCD917528 WLZ917516:WLZ917528 WVV917516:WVV917528 N983052:N983064 JJ983052:JJ983064 TF983052:TF983064 ADB983052:ADB983064 AMX983052:AMX983064 AWT983052:AWT983064 BGP983052:BGP983064 BQL983052:BQL983064 CAH983052:CAH983064 CKD983052:CKD983064 CTZ983052:CTZ983064 DDV983052:DDV983064 DNR983052:DNR983064 DXN983052:DXN983064 EHJ983052:EHJ983064 ERF983052:ERF983064 FBB983052:FBB983064 FKX983052:FKX983064 FUT983052:FUT983064 GEP983052:GEP983064 GOL983052:GOL983064 GYH983052:GYH983064 HID983052:HID983064 HRZ983052:HRZ983064 IBV983052:IBV983064 ILR983052:ILR983064 IVN983052:IVN983064 JFJ983052:JFJ983064 JPF983052:JPF983064 JZB983052:JZB983064 KIX983052:KIX983064 KST983052:KST983064 LCP983052:LCP983064 LML983052:LML983064 LWH983052:LWH983064 MGD983052:MGD983064 MPZ983052:MPZ983064 MZV983052:MZV983064 NJR983052:NJR983064 NTN983052:NTN983064 ODJ983052:ODJ983064 ONF983052:ONF983064 OXB983052:OXB983064 PGX983052:PGX983064 PQT983052:PQT983064 QAP983052:QAP983064 QKL983052:QKL983064 QUH983052:QUH983064 RED983052:RED983064 RNZ983052:RNZ983064 RXV983052:RXV983064 SHR983052:SHR983064 SRN983052:SRN983064 TBJ983052:TBJ983064 TLF983052:TLF983064 TVB983052:TVB983064 UEX983052:UEX983064 UOT983052:UOT983064 UYP983052:UYP983064 VIL983052:VIL983064 VSH983052:VSH983064 WCD983052:WCD983064 WLZ983052:WLZ983064 WVV983052:WVV983064 H12:H24 JD12:JD24 SZ12:SZ24 ACV12:ACV24 AMR12:AMR24 AWN12:AWN24 BGJ12:BGJ24 BQF12:BQF24 CAB12:CAB24 CJX12:CJX24 CTT12:CTT24 DDP12:DDP24 DNL12:DNL24 DXH12:DXH24 EHD12:EHD24 EQZ12:EQZ24 FAV12:FAV24 FKR12:FKR24 FUN12:FUN24 GEJ12:GEJ24 GOF12:GOF24 GYB12:GYB24 HHX12:HHX24 HRT12:HRT24 IBP12:IBP24 ILL12:ILL24 IVH12:IVH24 JFD12:JFD24 JOZ12:JOZ24 JYV12:JYV24 KIR12:KIR24 KSN12:KSN24 LCJ12:LCJ24 LMF12:LMF24 LWB12:LWB24 MFX12:MFX24 MPT12:MPT24 MZP12:MZP24 NJL12:NJL24 NTH12:NTH24 ODD12:ODD24 OMZ12:OMZ24 OWV12:OWV24 PGR12:PGR24 PQN12:PQN24 QAJ12:QAJ24 QKF12:QKF24 QUB12:QUB24 RDX12:RDX24 RNT12:RNT24 RXP12:RXP24 SHL12:SHL24 SRH12:SRH24 TBD12:TBD24 TKZ12:TKZ24 TUV12:TUV24 UER12:UER24 UON12:UON24 UYJ12:UYJ24 VIF12:VIF24 VSB12:VSB24 WBX12:WBX24 WLT12:WLT24 WVP12:WVP24 H65548:H65560 JD65548:JD65560 SZ65548:SZ65560 ACV65548:ACV65560 AMR65548:AMR65560 AWN65548:AWN65560 BGJ65548:BGJ65560 BQF65548:BQF65560 CAB65548:CAB65560 CJX65548:CJX65560 CTT65548:CTT65560 DDP65548:DDP65560 DNL65548:DNL65560 DXH65548:DXH65560 EHD65548:EHD65560 EQZ65548:EQZ65560 FAV65548:FAV65560 FKR65548:FKR65560 FUN65548:FUN65560 GEJ65548:GEJ65560 GOF65548:GOF65560 GYB65548:GYB65560 HHX65548:HHX65560 HRT65548:HRT65560 IBP65548:IBP65560 ILL65548:ILL65560 IVH65548:IVH65560 JFD65548:JFD65560 JOZ65548:JOZ65560 JYV65548:JYV65560 KIR65548:KIR65560 KSN65548:KSN65560 LCJ65548:LCJ65560 LMF65548:LMF65560 LWB65548:LWB65560 MFX65548:MFX65560 MPT65548:MPT65560 MZP65548:MZP65560 NJL65548:NJL65560 NTH65548:NTH65560 ODD65548:ODD65560 OMZ65548:OMZ65560 OWV65548:OWV65560 PGR65548:PGR65560 PQN65548:PQN65560 QAJ65548:QAJ65560 QKF65548:QKF65560 QUB65548:QUB65560 RDX65548:RDX65560 RNT65548:RNT65560 RXP65548:RXP65560 SHL65548:SHL65560 SRH65548:SRH65560 TBD65548:TBD65560 TKZ65548:TKZ65560 TUV65548:TUV65560 UER65548:UER65560 UON65548:UON65560 UYJ65548:UYJ65560 VIF65548:VIF65560 VSB65548:VSB65560 WBX65548:WBX65560 WLT65548:WLT65560 WVP65548:WVP65560 H131084:H131096 JD131084:JD131096 SZ131084:SZ131096 ACV131084:ACV131096 AMR131084:AMR131096 AWN131084:AWN131096 BGJ131084:BGJ131096 BQF131084:BQF131096 CAB131084:CAB131096 CJX131084:CJX131096 CTT131084:CTT131096 DDP131084:DDP131096 DNL131084:DNL131096 DXH131084:DXH131096 EHD131084:EHD131096 EQZ131084:EQZ131096 FAV131084:FAV131096 FKR131084:FKR131096 FUN131084:FUN131096 GEJ131084:GEJ131096 GOF131084:GOF131096 GYB131084:GYB131096 HHX131084:HHX131096 HRT131084:HRT131096 IBP131084:IBP131096 ILL131084:ILL131096 IVH131084:IVH131096 JFD131084:JFD131096 JOZ131084:JOZ131096 JYV131084:JYV131096 KIR131084:KIR131096 KSN131084:KSN131096 LCJ131084:LCJ131096 LMF131084:LMF131096 LWB131084:LWB131096 MFX131084:MFX131096 MPT131084:MPT131096 MZP131084:MZP131096 NJL131084:NJL131096 NTH131084:NTH131096 ODD131084:ODD131096 OMZ131084:OMZ131096 OWV131084:OWV131096 PGR131084:PGR131096 PQN131084:PQN131096 QAJ131084:QAJ131096 QKF131084:QKF131096 QUB131084:QUB131096 RDX131084:RDX131096 RNT131084:RNT131096 RXP131084:RXP131096 SHL131084:SHL131096 SRH131084:SRH131096 TBD131084:TBD131096 TKZ131084:TKZ131096 TUV131084:TUV131096 UER131084:UER131096 UON131084:UON131096 UYJ131084:UYJ131096 VIF131084:VIF131096 VSB131084:VSB131096 WBX131084:WBX131096 WLT131084:WLT131096 WVP131084:WVP131096 H196620:H196632 JD196620:JD196632 SZ196620:SZ196632 ACV196620:ACV196632 AMR196620:AMR196632 AWN196620:AWN196632 BGJ196620:BGJ196632 BQF196620:BQF196632 CAB196620:CAB196632 CJX196620:CJX196632 CTT196620:CTT196632 DDP196620:DDP196632 DNL196620:DNL196632 DXH196620:DXH196632 EHD196620:EHD196632 EQZ196620:EQZ196632 FAV196620:FAV196632 FKR196620:FKR196632 FUN196620:FUN196632 GEJ196620:GEJ196632 GOF196620:GOF196632 GYB196620:GYB196632 HHX196620:HHX196632 HRT196620:HRT196632 IBP196620:IBP196632 ILL196620:ILL196632 IVH196620:IVH196632 JFD196620:JFD196632 JOZ196620:JOZ196632 JYV196620:JYV196632 KIR196620:KIR196632 KSN196620:KSN196632 LCJ196620:LCJ196632 LMF196620:LMF196632 LWB196620:LWB196632 MFX196620:MFX196632 MPT196620:MPT196632 MZP196620:MZP196632 NJL196620:NJL196632 NTH196620:NTH196632 ODD196620:ODD196632 OMZ196620:OMZ196632 OWV196620:OWV196632 PGR196620:PGR196632 PQN196620:PQN196632 QAJ196620:QAJ196632 QKF196620:QKF196632 QUB196620:QUB196632 RDX196620:RDX196632 RNT196620:RNT196632 RXP196620:RXP196632 SHL196620:SHL196632 SRH196620:SRH196632 TBD196620:TBD196632 TKZ196620:TKZ196632 TUV196620:TUV196632 UER196620:UER196632 UON196620:UON196632 UYJ196620:UYJ196632 VIF196620:VIF196632 VSB196620:VSB196632 WBX196620:WBX196632 WLT196620:WLT196632 WVP196620:WVP196632 H262156:H262168 JD262156:JD262168 SZ262156:SZ262168 ACV262156:ACV262168 AMR262156:AMR262168 AWN262156:AWN262168 BGJ262156:BGJ262168 BQF262156:BQF262168 CAB262156:CAB262168 CJX262156:CJX262168 CTT262156:CTT262168 DDP262156:DDP262168 DNL262156:DNL262168 DXH262156:DXH262168 EHD262156:EHD262168 EQZ262156:EQZ262168 FAV262156:FAV262168 FKR262156:FKR262168 FUN262156:FUN262168 GEJ262156:GEJ262168 GOF262156:GOF262168 GYB262156:GYB262168 HHX262156:HHX262168 HRT262156:HRT262168 IBP262156:IBP262168 ILL262156:ILL262168 IVH262156:IVH262168 JFD262156:JFD262168 JOZ262156:JOZ262168 JYV262156:JYV262168 KIR262156:KIR262168 KSN262156:KSN262168 LCJ262156:LCJ262168 LMF262156:LMF262168 LWB262156:LWB262168 MFX262156:MFX262168 MPT262156:MPT262168 MZP262156:MZP262168 NJL262156:NJL262168 NTH262156:NTH262168 ODD262156:ODD262168 OMZ262156:OMZ262168 OWV262156:OWV262168 PGR262156:PGR262168 PQN262156:PQN262168 QAJ262156:QAJ262168 QKF262156:QKF262168 QUB262156:QUB262168 RDX262156:RDX262168 RNT262156:RNT262168 RXP262156:RXP262168 SHL262156:SHL262168 SRH262156:SRH262168 TBD262156:TBD262168 TKZ262156:TKZ262168 TUV262156:TUV262168 UER262156:UER262168 UON262156:UON262168 UYJ262156:UYJ262168 VIF262156:VIF262168 VSB262156:VSB262168 WBX262156:WBX262168 WLT262156:WLT262168 WVP262156:WVP262168 H327692:H327704 JD327692:JD327704 SZ327692:SZ327704 ACV327692:ACV327704 AMR327692:AMR327704 AWN327692:AWN327704 BGJ327692:BGJ327704 BQF327692:BQF327704 CAB327692:CAB327704 CJX327692:CJX327704 CTT327692:CTT327704 DDP327692:DDP327704 DNL327692:DNL327704 DXH327692:DXH327704 EHD327692:EHD327704 EQZ327692:EQZ327704 FAV327692:FAV327704 FKR327692:FKR327704 FUN327692:FUN327704 GEJ327692:GEJ327704 GOF327692:GOF327704 GYB327692:GYB327704 HHX327692:HHX327704 HRT327692:HRT327704 IBP327692:IBP327704 ILL327692:ILL327704 IVH327692:IVH327704 JFD327692:JFD327704 JOZ327692:JOZ327704 JYV327692:JYV327704 KIR327692:KIR327704 KSN327692:KSN327704 LCJ327692:LCJ327704 LMF327692:LMF327704 LWB327692:LWB327704 MFX327692:MFX327704 MPT327692:MPT327704 MZP327692:MZP327704 NJL327692:NJL327704 NTH327692:NTH327704 ODD327692:ODD327704 OMZ327692:OMZ327704 OWV327692:OWV327704 PGR327692:PGR327704 PQN327692:PQN327704 QAJ327692:QAJ327704 QKF327692:QKF327704 QUB327692:QUB327704 RDX327692:RDX327704 RNT327692:RNT327704 RXP327692:RXP327704 SHL327692:SHL327704 SRH327692:SRH327704 TBD327692:TBD327704 TKZ327692:TKZ327704 TUV327692:TUV327704 UER327692:UER327704 UON327692:UON327704 UYJ327692:UYJ327704 VIF327692:VIF327704 VSB327692:VSB327704 WBX327692:WBX327704 WLT327692:WLT327704 WVP327692:WVP327704 H393228:H393240 JD393228:JD393240 SZ393228:SZ393240 ACV393228:ACV393240 AMR393228:AMR393240 AWN393228:AWN393240 BGJ393228:BGJ393240 BQF393228:BQF393240 CAB393228:CAB393240 CJX393228:CJX393240 CTT393228:CTT393240 DDP393228:DDP393240 DNL393228:DNL393240 DXH393228:DXH393240 EHD393228:EHD393240 EQZ393228:EQZ393240 FAV393228:FAV393240 FKR393228:FKR393240 FUN393228:FUN393240 GEJ393228:GEJ393240 GOF393228:GOF393240 GYB393228:GYB393240 HHX393228:HHX393240 HRT393228:HRT393240 IBP393228:IBP393240 ILL393228:ILL393240 IVH393228:IVH393240 JFD393228:JFD393240 JOZ393228:JOZ393240 JYV393228:JYV393240 KIR393228:KIR393240 KSN393228:KSN393240 LCJ393228:LCJ393240 LMF393228:LMF393240 LWB393228:LWB393240 MFX393228:MFX393240 MPT393228:MPT393240 MZP393228:MZP393240 NJL393228:NJL393240 NTH393228:NTH393240 ODD393228:ODD393240 OMZ393228:OMZ393240 OWV393228:OWV393240 PGR393228:PGR393240 PQN393228:PQN393240 QAJ393228:QAJ393240 QKF393228:QKF393240 QUB393228:QUB393240 RDX393228:RDX393240 RNT393228:RNT393240 RXP393228:RXP393240 SHL393228:SHL393240 SRH393228:SRH393240 TBD393228:TBD393240 TKZ393228:TKZ393240 TUV393228:TUV393240 UER393228:UER393240 UON393228:UON393240 UYJ393228:UYJ393240 VIF393228:VIF393240 VSB393228:VSB393240 WBX393228:WBX393240 WLT393228:WLT393240 WVP393228:WVP393240 H458764:H458776 JD458764:JD458776 SZ458764:SZ458776 ACV458764:ACV458776 AMR458764:AMR458776 AWN458764:AWN458776 BGJ458764:BGJ458776 BQF458764:BQF458776 CAB458764:CAB458776 CJX458764:CJX458776 CTT458764:CTT458776 DDP458764:DDP458776 DNL458764:DNL458776 DXH458764:DXH458776 EHD458764:EHD458776 EQZ458764:EQZ458776 FAV458764:FAV458776 FKR458764:FKR458776 FUN458764:FUN458776 GEJ458764:GEJ458776 GOF458764:GOF458776 GYB458764:GYB458776 HHX458764:HHX458776 HRT458764:HRT458776 IBP458764:IBP458776 ILL458764:ILL458776 IVH458764:IVH458776 JFD458764:JFD458776 JOZ458764:JOZ458776 JYV458764:JYV458776 KIR458764:KIR458776 KSN458764:KSN458776 LCJ458764:LCJ458776 LMF458764:LMF458776 LWB458764:LWB458776 MFX458764:MFX458776 MPT458764:MPT458776 MZP458764:MZP458776 NJL458764:NJL458776 NTH458764:NTH458776 ODD458764:ODD458776 OMZ458764:OMZ458776 OWV458764:OWV458776 PGR458764:PGR458776 PQN458764:PQN458776 QAJ458764:QAJ458776 QKF458764:QKF458776 QUB458764:QUB458776 RDX458764:RDX458776 RNT458764:RNT458776 RXP458764:RXP458776 SHL458764:SHL458776 SRH458764:SRH458776 TBD458764:TBD458776 TKZ458764:TKZ458776 TUV458764:TUV458776 UER458764:UER458776 UON458764:UON458776 UYJ458764:UYJ458776 VIF458764:VIF458776 VSB458764:VSB458776 WBX458764:WBX458776 WLT458764:WLT458776 WVP458764:WVP458776 H524300:H524312 JD524300:JD524312 SZ524300:SZ524312 ACV524300:ACV524312 AMR524300:AMR524312 AWN524300:AWN524312 BGJ524300:BGJ524312 BQF524300:BQF524312 CAB524300:CAB524312 CJX524300:CJX524312 CTT524300:CTT524312 DDP524300:DDP524312 DNL524300:DNL524312 DXH524300:DXH524312 EHD524300:EHD524312 EQZ524300:EQZ524312 FAV524300:FAV524312 FKR524300:FKR524312 FUN524300:FUN524312 GEJ524300:GEJ524312 GOF524300:GOF524312 GYB524300:GYB524312 HHX524300:HHX524312 HRT524300:HRT524312 IBP524300:IBP524312 ILL524300:ILL524312 IVH524300:IVH524312 JFD524300:JFD524312 JOZ524300:JOZ524312 JYV524300:JYV524312 KIR524300:KIR524312 KSN524300:KSN524312 LCJ524300:LCJ524312 LMF524300:LMF524312 LWB524300:LWB524312 MFX524300:MFX524312 MPT524300:MPT524312 MZP524300:MZP524312 NJL524300:NJL524312 NTH524300:NTH524312 ODD524300:ODD524312 OMZ524300:OMZ524312 OWV524300:OWV524312 PGR524300:PGR524312 PQN524300:PQN524312 QAJ524300:QAJ524312 QKF524300:QKF524312 QUB524300:QUB524312 RDX524300:RDX524312 RNT524300:RNT524312 RXP524300:RXP524312 SHL524300:SHL524312 SRH524300:SRH524312 TBD524300:TBD524312 TKZ524300:TKZ524312 TUV524300:TUV524312 UER524300:UER524312 UON524300:UON524312 UYJ524300:UYJ524312 VIF524300:VIF524312 VSB524300:VSB524312 WBX524300:WBX524312 WLT524300:WLT524312 WVP524300:WVP524312 H589836:H589848 JD589836:JD589848 SZ589836:SZ589848 ACV589836:ACV589848 AMR589836:AMR589848 AWN589836:AWN589848 BGJ589836:BGJ589848 BQF589836:BQF589848 CAB589836:CAB589848 CJX589836:CJX589848 CTT589836:CTT589848 DDP589836:DDP589848 DNL589836:DNL589848 DXH589836:DXH589848 EHD589836:EHD589848 EQZ589836:EQZ589848 FAV589836:FAV589848 FKR589836:FKR589848 FUN589836:FUN589848 GEJ589836:GEJ589848 GOF589836:GOF589848 GYB589836:GYB589848 HHX589836:HHX589848 HRT589836:HRT589848 IBP589836:IBP589848 ILL589836:ILL589848 IVH589836:IVH589848 JFD589836:JFD589848 JOZ589836:JOZ589848 JYV589836:JYV589848 KIR589836:KIR589848 KSN589836:KSN589848 LCJ589836:LCJ589848 LMF589836:LMF589848 LWB589836:LWB589848 MFX589836:MFX589848 MPT589836:MPT589848 MZP589836:MZP589848 NJL589836:NJL589848 NTH589836:NTH589848 ODD589836:ODD589848 OMZ589836:OMZ589848 OWV589836:OWV589848 PGR589836:PGR589848 PQN589836:PQN589848 QAJ589836:QAJ589848 QKF589836:QKF589848 QUB589836:QUB589848 RDX589836:RDX589848 RNT589836:RNT589848 RXP589836:RXP589848 SHL589836:SHL589848 SRH589836:SRH589848 TBD589836:TBD589848 TKZ589836:TKZ589848 TUV589836:TUV589848 UER589836:UER589848 UON589836:UON589848 UYJ589836:UYJ589848 VIF589836:VIF589848 VSB589836:VSB589848 WBX589836:WBX589848 WLT589836:WLT589848 WVP589836:WVP589848 H655372:H655384 JD655372:JD655384 SZ655372:SZ655384 ACV655372:ACV655384 AMR655372:AMR655384 AWN655372:AWN655384 BGJ655372:BGJ655384 BQF655372:BQF655384 CAB655372:CAB655384 CJX655372:CJX655384 CTT655372:CTT655384 DDP655372:DDP655384 DNL655372:DNL655384 DXH655372:DXH655384 EHD655372:EHD655384 EQZ655372:EQZ655384 FAV655372:FAV655384 FKR655372:FKR655384 FUN655372:FUN655384 GEJ655372:GEJ655384 GOF655372:GOF655384 GYB655372:GYB655384 HHX655372:HHX655384 HRT655372:HRT655384 IBP655372:IBP655384 ILL655372:ILL655384 IVH655372:IVH655384 JFD655372:JFD655384 JOZ655372:JOZ655384 JYV655372:JYV655384 KIR655372:KIR655384 KSN655372:KSN655384 LCJ655372:LCJ655384 LMF655372:LMF655384 LWB655372:LWB655384 MFX655372:MFX655384 MPT655372:MPT655384 MZP655372:MZP655384 NJL655372:NJL655384 NTH655372:NTH655384 ODD655372:ODD655384 OMZ655372:OMZ655384 OWV655372:OWV655384 PGR655372:PGR655384 PQN655372:PQN655384 QAJ655372:QAJ655384 QKF655372:QKF655384 QUB655372:QUB655384 RDX655372:RDX655384 RNT655372:RNT655384 RXP655372:RXP655384 SHL655372:SHL655384 SRH655372:SRH655384 TBD655372:TBD655384 TKZ655372:TKZ655384 TUV655372:TUV655384 UER655372:UER655384 UON655372:UON655384 UYJ655372:UYJ655384 VIF655372:VIF655384 VSB655372:VSB655384 WBX655372:WBX655384 WLT655372:WLT655384 WVP655372:WVP655384 H720908:H720920 JD720908:JD720920 SZ720908:SZ720920 ACV720908:ACV720920 AMR720908:AMR720920 AWN720908:AWN720920 BGJ720908:BGJ720920 BQF720908:BQF720920 CAB720908:CAB720920 CJX720908:CJX720920 CTT720908:CTT720920 DDP720908:DDP720920 DNL720908:DNL720920 DXH720908:DXH720920 EHD720908:EHD720920 EQZ720908:EQZ720920 FAV720908:FAV720920 FKR720908:FKR720920 FUN720908:FUN720920 GEJ720908:GEJ720920 GOF720908:GOF720920 GYB720908:GYB720920 HHX720908:HHX720920 HRT720908:HRT720920 IBP720908:IBP720920 ILL720908:ILL720920 IVH720908:IVH720920 JFD720908:JFD720920 JOZ720908:JOZ720920 JYV720908:JYV720920 KIR720908:KIR720920 KSN720908:KSN720920 LCJ720908:LCJ720920 LMF720908:LMF720920 LWB720908:LWB720920 MFX720908:MFX720920 MPT720908:MPT720920 MZP720908:MZP720920 NJL720908:NJL720920 NTH720908:NTH720920 ODD720908:ODD720920 OMZ720908:OMZ720920 OWV720908:OWV720920 PGR720908:PGR720920 PQN720908:PQN720920 QAJ720908:QAJ720920 QKF720908:QKF720920 QUB720908:QUB720920 RDX720908:RDX720920 RNT720908:RNT720920 RXP720908:RXP720920 SHL720908:SHL720920 SRH720908:SRH720920 TBD720908:TBD720920 TKZ720908:TKZ720920 TUV720908:TUV720920 UER720908:UER720920 UON720908:UON720920 UYJ720908:UYJ720920 VIF720908:VIF720920 VSB720908:VSB720920 WBX720908:WBX720920 WLT720908:WLT720920 WVP720908:WVP720920 H786444:H786456 JD786444:JD786456 SZ786444:SZ786456 ACV786444:ACV786456 AMR786444:AMR786456 AWN786444:AWN786456 BGJ786444:BGJ786456 BQF786444:BQF786456 CAB786444:CAB786456 CJX786444:CJX786456 CTT786444:CTT786456 DDP786444:DDP786456 DNL786444:DNL786456 DXH786444:DXH786456 EHD786444:EHD786456 EQZ786444:EQZ786456 FAV786444:FAV786456 FKR786444:FKR786456 FUN786444:FUN786456 GEJ786444:GEJ786456 GOF786444:GOF786456 GYB786444:GYB786456 HHX786444:HHX786456 HRT786444:HRT786456 IBP786444:IBP786456 ILL786444:ILL786456 IVH786444:IVH786456 JFD786444:JFD786456 JOZ786444:JOZ786456 JYV786444:JYV786456 KIR786444:KIR786456 KSN786444:KSN786456 LCJ786444:LCJ786456 LMF786444:LMF786456 LWB786444:LWB786456 MFX786444:MFX786456 MPT786444:MPT786456 MZP786444:MZP786456 NJL786444:NJL786456 NTH786444:NTH786456 ODD786444:ODD786456 OMZ786444:OMZ786456 OWV786444:OWV786456 PGR786444:PGR786456 PQN786444:PQN786456 QAJ786444:QAJ786456 QKF786444:QKF786456 QUB786444:QUB786456 RDX786444:RDX786456 RNT786444:RNT786456 RXP786444:RXP786456 SHL786444:SHL786456 SRH786444:SRH786456 TBD786444:TBD786456 TKZ786444:TKZ786456 TUV786444:TUV786456 UER786444:UER786456 UON786444:UON786456 UYJ786444:UYJ786456 VIF786444:VIF786456 VSB786444:VSB786456 WBX786444:WBX786456 WLT786444:WLT786456 WVP786444:WVP786456 H851980:H851992 JD851980:JD851992 SZ851980:SZ851992 ACV851980:ACV851992 AMR851980:AMR851992 AWN851980:AWN851992 BGJ851980:BGJ851992 BQF851980:BQF851992 CAB851980:CAB851992 CJX851980:CJX851992 CTT851980:CTT851992 DDP851980:DDP851992 DNL851980:DNL851992 DXH851980:DXH851992 EHD851980:EHD851992 EQZ851980:EQZ851992 FAV851980:FAV851992 FKR851980:FKR851992 FUN851980:FUN851992 GEJ851980:GEJ851992 GOF851980:GOF851992 GYB851980:GYB851992 HHX851980:HHX851992 HRT851980:HRT851992 IBP851980:IBP851992 ILL851980:ILL851992 IVH851980:IVH851992 JFD851980:JFD851992 JOZ851980:JOZ851992 JYV851980:JYV851992 KIR851980:KIR851992 KSN851980:KSN851992 LCJ851980:LCJ851992 LMF851980:LMF851992 LWB851980:LWB851992 MFX851980:MFX851992 MPT851980:MPT851992 MZP851980:MZP851992 NJL851980:NJL851992 NTH851980:NTH851992 ODD851980:ODD851992 OMZ851980:OMZ851992 OWV851980:OWV851992 PGR851980:PGR851992 PQN851980:PQN851992 QAJ851980:QAJ851992 QKF851980:QKF851992 QUB851980:QUB851992 RDX851980:RDX851992 RNT851980:RNT851992 RXP851980:RXP851992 SHL851980:SHL851992 SRH851980:SRH851992 TBD851980:TBD851992 TKZ851980:TKZ851992 TUV851980:TUV851992 UER851980:UER851992 UON851980:UON851992 UYJ851980:UYJ851992 VIF851980:VIF851992 VSB851980:VSB851992 WBX851980:WBX851992 WLT851980:WLT851992 WVP851980:WVP851992 H917516:H917528 JD917516:JD917528 SZ917516:SZ917528 ACV917516:ACV917528 AMR917516:AMR917528 AWN917516:AWN917528 BGJ917516:BGJ917528 BQF917516:BQF917528 CAB917516:CAB917528 CJX917516:CJX917528 CTT917516:CTT917528 DDP917516:DDP917528 DNL917516:DNL917528 DXH917516:DXH917528 EHD917516:EHD917528 EQZ917516:EQZ917528 FAV917516:FAV917528 FKR917516:FKR917528 FUN917516:FUN917528 GEJ917516:GEJ917528 GOF917516:GOF917528 GYB917516:GYB917528 HHX917516:HHX917528 HRT917516:HRT917528 IBP917516:IBP917528 ILL917516:ILL917528 IVH917516:IVH917528 JFD917516:JFD917528 JOZ917516:JOZ917528 JYV917516:JYV917528 KIR917516:KIR917528 KSN917516:KSN917528 LCJ917516:LCJ917528 LMF917516:LMF917528 LWB917516:LWB917528 MFX917516:MFX917528 MPT917516:MPT917528 MZP917516:MZP917528 NJL917516:NJL917528 NTH917516:NTH917528 ODD917516:ODD917528 OMZ917516:OMZ917528 OWV917516:OWV917528 PGR917516:PGR917528 PQN917516:PQN917528 QAJ917516:QAJ917528 QKF917516:QKF917528 QUB917516:QUB917528 RDX917516:RDX917528 RNT917516:RNT917528 RXP917516:RXP917528 SHL917516:SHL917528 SRH917516:SRH917528 TBD917516:TBD917528 TKZ917516:TKZ917528 TUV917516:TUV917528 UER917516:UER917528 UON917516:UON917528 UYJ917516:UYJ917528 VIF917516:VIF917528 VSB917516:VSB917528 WBX917516:WBX917528 WLT917516:WLT917528 WVP917516:WVP917528 H983052:H983064 JD983052:JD983064 SZ983052:SZ983064 ACV983052:ACV983064 AMR983052:AMR983064 AWN983052:AWN983064 BGJ983052:BGJ983064 BQF983052:BQF983064 CAB983052:CAB983064 CJX983052:CJX983064 CTT983052:CTT983064 DDP983052:DDP983064 DNL983052:DNL983064 DXH983052:DXH983064 EHD983052:EHD983064 EQZ983052:EQZ983064 FAV983052:FAV983064 FKR983052:FKR983064 FUN983052:FUN983064 GEJ983052:GEJ983064 GOF983052:GOF983064 GYB983052:GYB983064 HHX983052:HHX983064 HRT983052:HRT983064 IBP983052:IBP983064 ILL983052:ILL983064 IVH983052:IVH983064 JFD983052:JFD983064 JOZ983052:JOZ983064 JYV983052:JYV983064 KIR983052:KIR983064 KSN983052:KSN983064 LCJ983052:LCJ983064 LMF983052:LMF983064 LWB983052:LWB983064 MFX983052:MFX983064 MPT983052:MPT983064 MZP983052:MZP983064 NJL983052:NJL983064 NTH983052:NTH983064 ODD983052:ODD983064 OMZ983052:OMZ983064 OWV983052:OWV983064 PGR983052:PGR983064 PQN983052:PQN983064 QAJ983052:QAJ983064 QKF983052:QKF983064 QUB983052:QUB983064 RDX983052:RDX983064 RNT983052:RNT983064 RXP983052:RXP983064 SHL983052:SHL983064 SRH983052:SRH983064 TBD983052:TBD983064 TKZ983052:TKZ983064 TUV983052:TUV983064 UER983052:UER983064 UON983052:UON983064 UYJ983052:UYJ983064 VIF983052:VIF983064 VSB983052:VSB983064 WBX983052:WBX983064 WLT983052:WLT983064 WVP983052:WVP983064 K12:K24 JG12:JG24 TC12:TC24 ACY12:ACY24 AMU12:AMU24 AWQ12:AWQ24 BGM12:BGM24 BQI12:BQI24 CAE12:CAE24 CKA12:CKA24 CTW12:CTW24 DDS12:DDS24 DNO12:DNO24 DXK12:DXK24 EHG12:EHG24 ERC12:ERC24 FAY12:FAY24 FKU12:FKU24 FUQ12:FUQ24 GEM12:GEM24 GOI12:GOI24 GYE12:GYE24 HIA12:HIA24 HRW12:HRW24 IBS12:IBS24 ILO12:ILO24 IVK12:IVK24 JFG12:JFG24 JPC12:JPC24 JYY12:JYY24 KIU12:KIU24 KSQ12:KSQ24 LCM12:LCM24 LMI12:LMI24 LWE12:LWE24 MGA12:MGA24 MPW12:MPW24 MZS12:MZS24 NJO12:NJO24 NTK12:NTK24 ODG12:ODG24 ONC12:ONC24 OWY12:OWY24 PGU12:PGU24 PQQ12:PQQ24 QAM12:QAM24 QKI12:QKI24 QUE12:QUE24 REA12:REA24 RNW12:RNW24 RXS12:RXS24 SHO12:SHO24 SRK12:SRK24 TBG12:TBG24 TLC12:TLC24 TUY12:TUY24 UEU12:UEU24 UOQ12:UOQ24 UYM12:UYM24 VII12:VII24 VSE12:VSE24 WCA12:WCA24 WLW12:WLW24 WVS12:WVS24 K65548:K65560 JG65548:JG65560 TC65548:TC65560 ACY65548:ACY65560 AMU65548:AMU65560 AWQ65548:AWQ65560 BGM65548:BGM65560 BQI65548:BQI65560 CAE65548:CAE65560 CKA65548:CKA65560 CTW65548:CTW65560 DDS65548:DDS65560 DNO65548:DNO65560 DXK65548:DXK65560 EHG65548:EHG65560 ERC65548:ERC65560 FAY65548:FAY65560 FKU65548:FKU65560 FUQ65548:FUQ65560 GEM65548:GEM65560 GOI65548:GOI65560 GYE65548:GYE65560 HIA65548:HIA65560 HRW65548:HRW65560 IBS65548:IBS65560 ILO65548:ILO65560 IVK65548:IVK65560 JFG65548:JFG65560 JPC65548:JPC65560 JYY65548:JYY65560 KIU65548:KIU65560 KSQ65548:KSQ65560 LCM65548:LCM65560 LMI65548:LMI65560 LWE65548:LWE65560 MGA65548:MGA65560 MPW65548:MPW65560 MZS65548:MZS65560 NJO65548:NJO65560 NTK65548:NTK65560 ODG65548:ODG65560 ONC65548:ONC65560 OWY65548:OWY65560 PGU65548:PGU65560 PQQ65548:PQQ65560 QAM65548:QAM65560 QKI65548:QKI65560 QUE65548:QUE65560 REA65548:REA65560 RNW65548:RNW65560 RXS65548:RXS65560 SHO65548:SHO65560 SRK65548:SRK65560 TBG65548:TBG65560 TLC65548:TLC65560 TUY65548:TUY65560 UEU65548:UEU65560 UOQ65548:UOQ65560 UYM65548:UYM65560 VII65548:VII65560 VSE65548:VSE65560 WCA65548:WCA65560 WLW65548:WLW65560 WVS65548:WVS65560 K131084:K131096 JG131084:JG131096 TC131084:TC131096 ACY131084:ACY131096 AMU131084:AMU131096 AWQ131084:AWQ131096 BGM131084:BGM131096 BQI131084:BQI131096 CAE131084:CAE131096 CKA131084:CKA131096 CTW131084:CTW131096 DDS131084:DDS131096 DNO131084:DNO131096 DXK131084:DXK131096 EHG131084:EHG131096 ERC131084:ERC131096 FAY131084:FAY131096 FKU131084:FKU131096 FUQ131084:FUQ131096 GEM131084:GEM131096 GOI131084:GOI131096 GYE131084:GYE131096 HIA131084:HIA131096 HRW131084:HRW131096 IBS131084:IBS131096 ILO131084:ILO131096 IVK131084:IVK131096 JFG131084:JFG131096 JPC131084:JPC131096 JYY131084:JYY131096 KIU131084:KIU131096 KSQ131084:KSQ131096 LCM131084:LCM131096 LMI131084:LMI131096 LWE131084:LWE131096 MGA131084:MGA131096 MPW131084:MPW131096 MZS131084:MZS131096 NJO131084:NJO131096 NTK131084:NTK131096 ODG131084:ODG131096 ONC131084:ONC131096 OWY131084:OWY131096 PGU131084:PGU131096 PQQ131084:PQQ131096 QAM131084:QAM131096 QKI131084:QKI131096 QUE131084:QUE131096 REA131084:REA131096 RNW131084:RNW131096 RXS131084:RXS131096 SHO131084:SHO131096 SRK131084:SRK131096 TBG131084:TBG131096 TLC131084:TLC131096 TUY131084:TUY131096 UEU131084:UEU131096 UOQ131084:UOQ131096 UYM131084:UYM131096 VII131084:VII131096 VSE131084:VSE131096 WCA131084:WCA131096 WLW131084:WLW131096 WVS131084:WVS131096 K196620:K196632 JG196620:JG196632 TC196620:TC196632 ACY196620:ACY196632 AMU196620:AMU196632 AWQ196620:AWQ196632 BGM196620:BGM196632 BQI196620:BQI196632 CAE196620:CAE196632 CKA196620:CKA196632 CTW196620:CTW196632 DDS196620:DDS196632 DNO196620:DNO196632 DXK196620:DXK196632 EHG196620:EHG196632 ERC196620:ERC196632 FAY196620:FAY196632 FKU196620:FKU196632 FUQ196620:FUQ196632 GEM196620:GEM196632 GOI196620:GOI196632 GYE196620:GYE196632 HIA196620:HIA196632 HRW196620:HRW196632 IBS196620:IBS196632 ILO196620:ILO196632 IVK196620:IVK196632 JFG196620:JFG196632 JPC196620:JPC196632 JYY196620:JYY196632 KIU196620:KIU196632 KSQ196620:KSQ196632 LCM196620:LCM196632 LMI196620:LMI196632 LWE196620:LWE196632 MGA196620:MGA196632 MPW196620:MPW196632 MZS196620:MZS196632 NJO196620:NJO196632 NTK196620:NTK196632 ODG196620:ODG196632 ONC196620:ONC196632 OWY196620:OWY196632 PGU196620:PGU196632 PQQ196620:PQQ196632 QAM196620:QAM196632 QKI196620:QKI196632 QUE196620:QUE196632 REA196620:REA196632 RNW196620:RNW196632 RXS196620:RXS196632 SHO196620:SHO196632 SRK196620:SRK196632 TBG196620:TBG196632 TLC196620:TLC196632 TUY196620:TUY196632 UEU196620:UEU196632 UOQ196620:UOQ196632 UYM196620:UYM196632 VII196620:VII196632 VSE196620:VSE196632 WCA196620:WCA196632 WLW196620:WLW196632 WVS196620:WVS196632 K262156:K262168 JG262156:JG262168 TC262156:TC262168 ACY262156:ACY262168 AMU262156:AMU262168 AWQ262156:AWQ262168 BGM262156:BGM262168 BQI262156:BQI262168 CAE262156:CAE262168 CKA262156:CKA262168 CTW262156:CTW262168 DDS262156:DDS262168 DNO262156:DNO262168 DXK262156:DXK262168 EHG262156:EHG262168 ERC262156:ERC262168 FAY262156:FAY262168 FKU262156:FKU262168 FUQ262156:FUQ262168 GEM262156:GEM262168 GOI262156:GOI262168 GYE262156:GYE262168 HIA262156:HIA262168 HRW262156:HRW262168 IBS262156:IBS262168 ILO262156:ILO262168 IVK262156:IVK262168 JFG262156:JFG262168 JPC262156:JPC262168 JYY262156:JYY262168 KIU262156:KIU262168 KSQ262156:KSQ262168 LCM262156:LCM262168 LMI262156:LMI262168 LWE262156:LWE262168 MGA262156:MGA262168 MPW262156:MPW262168 MZS262156:MZS262168 NJO262156:NJO262168 NTK262156:NTK262168 ODG262156:ODG262168 ONC262156:ONC262168 OWY262156:OWY262168 PGU262156:PGU262168 PQQ262156:PQQ262168 QAM262156:QAM262168 QKI262156:QKI262168 QUE262156:QUE262168 REA262156:REA262168 RNW262156:RNW262168 RXS262156:RXS262168 SHO262156:SHO262168 SRK262156:SRK262168 TBG262156:TBG262168 TLC262156:TLC262168 TUY262156:TUY262168 UEU262156:UEU262168 UOQ262156:UOQ262168 UYM262156:UYM262168 VII262156:VII262168 VSE262156:VSE262168 WCA262156:WCA262168 WLW262156:WLW262168 WVS262156:WVS262168 K327692:K327704 JG327692:JG327704 TC327692:TC327704 ACY327692:ACY327704 AMU327692:AMU327704 AWQ327692:AWQ327704 BGM327692:BGM327704 BQI327692:BQI327704 CAE327692:CAE327704 CKA327692:CKA327704 CTW327692:CTW327704 DDS327692:DDS327704 DNO327692:DNO327704 DXK327692:DXK327704 EHG327692:EHG327704 ERC327692:ERC327704 FAY327692:FAY327704 FKU327692:FKU327704 FUQ327692:FUQ327704 GEM327692:GEM327704 GOI327692:GOI327704 GYE327692:GYE327704 HIA327692:HIA327704 HRW327692:HRW327704 IBS327692:IBS327704 ILO327692:ILO327704 IVK327692:IVK327704 JFG327692:JFG327704 JPC327692:JPC327704 JYY327692:JYY327704 KIU327692:KIU327704 KSQ327692:KSQ327704 LCM327692:LCM327704 LMI327692:LMI327704 LWE327692:LWE327704 MGA327692:MGA327704 MPW327692:MPW327704 MZS327692:MZS327704 NJO327692:NJO327704 NTK327692:NTK327704 ODG327692:ODG327704 ONC327692:ONC327704 OWY327692:OWY327704 PGU327692:PGU327704 PQQ327692:PQQ327704 QAM327692:QAM327704 QKI327692:QKI327704 QUE327692:QUE327704 REA327692:REA327704 RNW327692:RNW327704 RXS327692:RXS327704 SHO327692:SHO327704 SRK327692:SRK327704 TBG327692:TBG327704 TLC327692:TLC327704 TUY327692:TUY327704 UEU327692:UEU327704 UOQ327692:UOQ327704 UYM327692:UYM327704 VII327692:VII327704 VSE327692:VSE327704 WCA327692:WCA327704 WLW327692:WLW327704 WVS327692:WVS327704 K393228:K393240 JG393228:JG393240 TC393228:TC393240 ACY393228:ACY393240 AMU393228:AMU393240 AWQ393228:AWQ393240 BGM393228:BGM393240 BQI393228:BQI393240 CAE393228:CAE393240 CKA393228:CKA393240 CTW393228:CTW393240 DDS393228:DDS393240 DNO393228:DNO393240 DXK393228:DXK393240 EHG393228:EHG393240 ERC393228:ERC393240 FAY393228:FAY393240 FKU393228:FKU393240 FUQ393228:FUQ393240 GEM393228:GEM393240 GOI393228:GOI393240 GYE393228:GYE393240 HIA393228:HIA393240 HRW393228:HRW393240 IBS393228:IBS393240 ILO393228:ILO393240 IVK393228:IVK393240 JFG393228:JFG393240 JPC393228:JPC393240 JYY393228:JYY393240 KIU393228:KIU393240 KSQ393228:KSQ393240 LCM393228:LCM393240 LMI393228:LMI393240 LWE393228:LWE393240 MGA393228:MGA393240 MPW393228:MPW393240 MZS393228:MZS393240 NJO393228:NJO393240 NTK393228:NTK393240 ODG393228:ODG393240 ONC393228:ONC393240 OWY393228:OWY393240 PGU393228:PGU393240 PQQ393228:PQQ393240 QAM393228:QAM393240 QKI393228:QKI393240 QUE393228:QUE393240 REA393228:REA393240 RNW393228:RNW393240 RXS393228:RXS393240 SHO393228:SHO393240 SRK393228:SRK393240 TBG393228:TBG393240 TLC393228:TLC393240 TUY393228:TUY393240 UEU393228:UEU393240 UOQ393228:UOQ393240 UYM393228:UYM393240 VII393228:VII393240 VSE393228:VSE393240 WCA393228:WCA393240 WLW393228:WLW393240 WVS393228:WVS393240 K458764:K458776 JG458764:JG458776 TC458764:TC458776 ACY458764:ACY458776 AMU458764:AMU458776 AWQ458764:AWQ458776 BGM458764:BGM458776 BQI458764:BQI458776 CAE458764:CAE458776 CKA458764:CKA458776 CTW458764:CTW458776 DDS458764:DDS458776 DNO458764:DNO458776 DXK458764:DXK458776 EHG458764:EHG458776 ERC458764:ERC458776 FAY458764:FAY458776 FKU458764:FKU458776 FUQ458764:FUQ458776 GEM458764:GEM458776 GOI458764:GOI458776 GYE458764:GYE458776 HIA458764:HIA458776 HRW458764:HRW458776 IBS458764:IBS458776 ILO458764:ILO458776 IVK458764:IVK458776 JFG458764:JFG458776 JPC458764:JPC458776 JYY458764:JYY458776 KIU458764:KIU458776 KSQ458764:KSQ458776 LCM458764:LCM458776 LMI458764:LMI458776 LWE458764:LWE458776 MGA458764:MGA458776 MPW458764:MPW458776 MZS458764:MZS458776 NJO458764:NJO458776 NTK458764:NTK458776 ODG458764:ODG458776 ONC458764:ONC458776 OWY458764:OWY458776 PGU458764:PGU458776 PQQ458764:PQQ458776 QAM458764:QAM458776 QKI458764:QKI458776 QUE458764:QUE458776 REA458764:REA458776 RNW458764:RNW458776 RXS458764:RXS458776 SHO458764:SHO458776 SRK458764:SRK458776 TBG458764:TBG458776 TLC458764:TLC458776 TUY458764:TUY458776 UEU458764:UEU458776 UOQ458764:UOQ458776 UYM458764:UYM458776 VII458764:VII458776 VSE458764:VSE458776 WCA458764:WCA458776 WLW458764:WLW458776 WVS458764:WVS458776 K524300:K524312 JG524300:JG524312 TC524300:TC524312 ACY524300:ACY524312 AMU524300:AMU524312 AWQ524300:AWQ524312 BGM524300:BGM524312 BQI524300:BQI524312 CAE524300:CAE524312 CKA524300:CKA524312 CTW524300:CTW524312 DDS524300:DDS524312 DNO524300:DNO524312 DXK524300:DXK524312 EHG524300:EHG524312 ERC524300:ERC524312 FAY524300:FAY524312 FKU524300:FKU524312 FUQ524300:FUQ524312 GEM524300:GEM524312 GOI524300:GOI524312 GYE524300:GYE524312 HIA524300:HIA524312 HRW524300:HRW524312 IBS524300:IBS524312 ILO524300:ILO524312 IVK524300:IVK524312 JFG524300:JFG524312 JPC524300:JPC524312 JYY524300:JYY524312 KIU524300:KIU524312 KSQ524300:KSQ524312 LCM524300:LCM524312 LMI524300:LMI524312 LWE524300:LWE524312 MGA524300:MGA524312 MPW524300:MPW524312 MZS524300:MZS524312 NJO524300:NJO524312 NTK524300:NTK524312 ODG524300:ODG524312 ONC524300:ONC524312 OWY524300:OWY524312 PGU524300:PGU524312 PQQ524300:PQQ524312 QAM524300:QAM524312 QKI524300:QKI524312 QUE524300:QUE524312 REA524300:REA524312 RNW524300:RNW524312 RXS524300:RXS524312 SHO524300:SHO524312 SRK524300:SRK524312 TBG524300:TBG524312 TLC524300:TLC524312 TUY524300:TUY524312 UEU524300:UEU524312 UOQ524300:UOQ524312 UYM524300:UYM524312 VII524300:VII524312 VSE524300:VSE524312 WCA524300:WCA524312 WLW524300:WLW524312 WVS524300:WVS524312 K589836:K589848 JG589836:JG589848 TC589836:TC589848 ACY589836:ACY589848 AMU589836:AMU589848 AWQ589836:AWQ589848 BGM589836:BGM589848 BQI589836:BQI589848 CAE589836:CAE589848 CKA589836:CKA589848 CTW589836:CTW589848 DDS589836:DDS589848 DNO589836:DNO589848 DXK589836:DXK589848 EHG589836:EHG589848 ERC589836:ERC589848 FAY589836:FAY589848 FKU589836:FKU589848 FUQ589836:FUQ589848 GEM589836:GEM589848 GOI589836:GOI589848 GYE589836:GYE589848 HIA589836:HIA589848 HRW589836:HRW589848 IBS589836:IBS589848 ILO589836:ILO589848 IVK589836:IVK589848 JFG589836:JFG589848 JPC589836:JPC589848 JYY589836:JYY589848 KIU589836:KIU589848 KSQ589836:KSQ589848 LCM589836:LCM589848 LMI589836:LMI589848 LWE589836:LWE589848 MGA589836:MGA589848 MPW589836:MPW589848 MZS589836:MZS589848 NJO589836:NJO589848 NTK589836:NTK589848 ODG589836:ODG589848 ONC589836:ONC589848 OWY589836:OWY589848 PGU589836:PGU589848 PQQ589836:PQQ589848 QAM589836:QAM589848 QKI589836:QKI589848 QUE589836:QUE589848 REA589836:REA589848 RNW589836:RNW589848 RXS589836:RXS589848 SHO589836:SHO589848 SRK589836:SRK589848 TBG589836:TBG589848 TLC589836:TLC589848 TUY589836:TUY589848 UEU589836:UEU589848 UOQ589836:UOQ589848 UYM589836:UYM589848 VII589836:VII589848 VSE589836:VSE589848 WCA589836:WCA589848 WLW589836:WLW589848 WVS589836:WVS589848 K655372:K655384 JG655372:JG655384 TC655372:TC655384 ACY655372:ACY655384 AMU655372:AMU655384 AWQ655372:AWQ655384 BGM655372:BGM655384 BQI655372:BQI655384 CAE655372:CAE655384 CKA655372:CKA655384 CTW655372:CTW655384 DDS655372:DDS655384 DNO655372:DNO655384 DXK655372:DXK655384 EHG655372:EHG655384 ERC655372:ERC655384 FAY655372:FAY655384 FKU655372:FKU655384 FUQ655372:FUQ655384 GEM655372:GEM655384 GOI655372:GOI655384 GYE655372:GYE655384 HIA655372:HIA655384 HRW655372:HRW655384 IBS655372:IBS655384 ILO655372:ILO655384 IVK655372:IVK655384 JFG655372:JFG655384 JPC655372:JPC655384 JYY655372:JYY655384 KIU655372:KIU655384 KSQ655372:KSQ655384 LCM655372:LCM655384 LMI655372:LMI655384 LWE655372:LWE655384 MGA655372:MGA655384 MPW655372:MPW655384 MZS655372:MZS655384 NJO655372:NJO655384 NTK655372:NTK655384 ODG655372:ODG655384 ONC655372:ONC655384 OWY655372:OWY655384 PGU655372:PGU655384 PQQ655372:PQQ655384 QAM655372:QAM655384 QKI655372:QKI655384 QUE655372:QUE655384 REA655372:REA655384 RNW655372:RNW655384 RXS655372:RXS655384 SHO655372:SHO655384 SRK655372:SRK655384 TBG655372:TBG655384 TLC655372:TLC655384 TUY655372:TUY655384 UEU655372:UEU655384 UOQ655372:UOQ655384 UYM655372:UYM655384 VII655372:VII655384 VSE655372:VSE655384 WCA655372:WCA655384 WLW655372:WLW655384 WVS655372:WVS655384 K720908:K720920 JG720908:JG720920 TC720908:TC720920 ACY720908:ACY720920 AMU720908:AMU720920 AWQ720908:AWQ720920 BGM720908:BGM720920 BQI720908:BQI720920 CAE720908:CAE720920 CKA720908:CKA720920 CTW720908:CTW720920 DDS720908:DDS720920 DNO720908:DNO720920 DXK720908:DXK720920 EHG720908:EHG720920 ERC720908:ERC720920 FAY720908:FAY720920 FKU720908:FKU720920 FUQ720908:FUQ720920 GEM720908:GEM720920 GOI720908:GOI720920 GYE720908:GYE720920 HIA720908:HIA720920 HRW720908:HRW720920 IBS720908:IBS720920 ILO720908:ILO720920 IVK720908:IVK720920 JFG720908:JFG720920 JPC720908:JPC720920 JYY720908:JYY720920 KIU720908:KIU720920 KSQ720908:KSQ720920 LCM720908:LCM720920 LMI720908:LMI720920 LWE720908:LWE720920 MGA720908:MGA720920 MPW720908:MPW720920 MZS720908:MZS720920 NJO720908:NJO720920 NTK720908:NTK720920 ODG720908:ODG720920 ONC720908:ONC720920 OWY720908:OWY720920 PGU720908:PGU720920 PQQ720908:PQQ720920 QAM720908:QAM720920 QKI720908:QKI720920 QUE720908:QUE720920 REA720908:REA720920 RNW720908:RNW720920 RXS720908:RXS720920 SHO720908:SHO720920 SRK720908:SRK720920 TBG720908:TBG720920 TLC720908:TLC720920 TUY720908:TUY720920 UEU720908:UEU720920 UOQ720908:UOQ720920 UYM720908:UYM720920 VII720908:VII720920 VSE720908:VSE720920 WCA720908:WCA720920 WLW720908:WLW720920 WVS720908:WVS720920 K786444:K786456 JG786444:JG786456 TC786444:TC786456 ACY786444:ACY786456 AMU786444:AMU786456 AWQ786444:AWQ786456 BGM786444:BGM786456 BQI786444:BQI786456 CAE786444:CAE786456 CKA786444:CKA786456 CTW786444:CTW786456 DDS786444:DDS786456 DNO786444:DNO786456 DXK786444:DXK786456 EHG786444:EHG786456 ERC786444:ERC786456 FAY786444:FAY786456 FKU786444:FKU786456 FUQ786444:FUQ786456 GEM786444:GEM786456 GOI786444:GOI786456 GYE786444:GYE786456 HIA786444:HIA786456 HRW786444:HRW786456 IBS786444:IBS786456 ILO786444:ILO786456 IVK786444:IVK786456 JFG786444:JFG786456 JPC786444:JPC786456 JYY786444:JYY786456 KIU786444:KIU786456 KSQ786444:KSQ786456 LCM786444:LCM786456 LMI786444:LMI786456 LWE786444:LWE786456 MGA786444:MGA786456 MPW786444:MPW786456 MZS786444:MZS786456 NJO786444:NJO786456 NTK786444:NTK786456 ODG786444:ODG786456 ONC786444:ONC786456 OWY786444:OWY786456 PGU786444:PGU786456 PQQ786444:PQQ786456 QAM786444:QAM786456 QKI786444:QKI786456 QUE786444:QUE786456 REA786444:REA786456 RNW786444:RNW786456 RXS786444:RXS786456 SHO786444:SHO786456 SRK786444:SRK786456 TBG786444:TBG786456 TLC786444:TLC786456 TUY786444:TUY786456 UEU786444:UEU786456 UOQ786444:UOQ786456 UYM786444:UYM786456 VII786444:VII786456 VSE786444:VSE786456 WCA786444:WCA786456 WLW786444:WLW786456 WVS786444:WVS786456 K851980:K851992 JG851980:JG851992 TC851980:TC851992 ACY851980:ACY851992 AMU851980:AMU851992 AWQ851980:AWQ851992 BGM851980:BGM851992 BQI851980:BQI851992 CAE851980:CAE851992 CKA851980:CKA851992 CTW851980:CTW851992 DDS851980:DDS851992 DNO851980:DNO851992 DXK851980:DXK851992 EHG851980:EHG851992 ERC851980:ERC851992 FAY851980:FAY851992 FKU851980:FKU851992 FUQ851980:FUQ851992 GEM851980:GEM851992 GOI851980:GOI851992 GYE851980:GYE851992 HIA851980:HIA851992 HRW851980:HRW851992 IBS851980:IBS851992 ILO851980:ILO851992 IVK851980:IVK851992 JFG851980:JFG851992 JPC851980:JPC851992 JYY851980:JYY851992 KIU851980:KIU851992 KSQ851980:KSQ851992 LCM851980:LCM851992 LMI851980:LMI851992 LWE851980:LWE851992 MGA851980:MGA851992 MPW851980:MPW851992 MZS851980:MZS851992 NJO851980:NJO851992 NTK851980:NTK851992 ODG851980:ODG851992 ONC851980:ONC851992 OWY851980:OWY851992 PGU851980:PGU851992 PQQ851980:PQQ851992 QAM851980:QAM851992 QKI851980:QKI851992 QUE851980:QUE851992 REA851980:REA851992 RNW851980:RNW851992 RXS851980:RXS851992 SHO851980:SHO851992 SRK851980:SRK851992 TBG851980:TBG851992 TLC851980:TLC851992 TUY851980:TUY851992 UEU851980:UEU851992 UOQ851980:UOQ851992 UYM851980:UYM851992 VII851980:VII851992 VSE851980:VSE851992 WCA851980:WCA851992 WLW851980:WLW851992 WVS851980:WVS851992 K917516:K917528 JG917516:JG917528 TC917516:TC917528 ACY917516:ACY917528 AMU917516:AMU917528 AWQ917516:AWQ917528 BGM917516:BGM917528 BQI917516:BQI917528 CAE917516:CAE917528 CKA917516:CKA917528 CTW917516:CTW917528 DDS917516:DDS917528 DNO917516:DNO917528 DXK917516:DXK917528 EHG917516:EHG917528 ERC917516:ERC917528 FAY917516:FAY917528 FKU917516:FKU917528 FUQ917516:FUQ917528 GEM917516:GEM917528 GOI917516:GOI917528 GYE917516:GYE917528 HIA917516:HIA917528 HRW917516:HRW917528 IBS917516:IBS917528 ILO917516:ILO917528 IVK917516:IVK917528 JFG917516:JFG917528 JPC917516:JPC917528 JYY917516:JYY917528 KIU917516:KIU917528 KSQ917516:KSQ917528 LCM917516:LCM917528 LMI917516:LMI917528 LWE917516:LWE917528 MGA917516:MGA917528 MPW917516:MPW917528 MZS917516:MZS917528 NJO917516:NJO917528 NTK917516:NTK917528 ODG917516:ODG917528 ONC917516:ONC917528 OWY917516:OWY917528 PGU917516:PGU917528 PQQ917516:PQQ917528 QAM917516:QAM917528 QKI917516:QKI917528 QUE917516:QUE917528 REA917516:REA917528 RNW917516:RNW917528 RXS917516:RXS917528 SHO917516:SHO917528 SRK917516:SRK917528 TBG917516:TBG917528 TLC917516:TLC917528 TUY917516:TUY917528 UEU917516:UEU917528 UOQ917516:UOQ917528 UYM917516:UYM917528 VII917516:VII917528 VSE917516:VSE917528 WCA917516:WCA917528 WLW917516:WLW917528 WVS917516:WVS917528 K983052:K983064 JG983052:JG983064 TC983052:TC983064 ACY983052:ACY983064 AMU983052:AMU983064 AWQ983052:AWQ983064 BGM983052:BGM983064 BQI983052:BQI983064 CAE983052:CAE983064 CKA983052:CKA983064 CTW983052:CTW983064 DDS983052:DDS983064 DNO983052:DNO983064 DXK983052:DXK983064 EHG983052:EHG983064 ERC983052:ERC983064 FAY983052:FAY983064 FKU983052:FKU983064 FUQ983052:FUQ983064 GEM983052:GEM983064 GOI983052:GOI983064 GYE983052:GYE983064 HIA983052:HIA983064 HRW983052:HRW983064 IBS983052:IBS983064 ILO983052:ILO983064 IVK983052:IVK983064 JFG983052:JFG983064 JPC983052:JPC983064 JYY983052:JYY983064 KIU983052:KIU983064 KSQ983052:KSQ983064 LCM983052:LCM983064 LMI983052:LMI983064 LWE983052:LWE983064 MGA983052:MGA983064 MPW983052:MPW983064 MZS983052:MZS983064 NJO983052:NJO983064 NTK983052:NTK983064 ODG983052:ODG983064 ONC983052:ONC983064 OWY983052:OWY983064 PGU983052:PGU983064 PQQ983052:PQQ983064 QAM983052:QAM983064 QKI983052:QKI983064 QUE983052:QUE983064 REA983052:REA983064 RNW983052:RNW983064 RXS983052:RXS983064 SHO983052:SHO983064 SRK983052:SRK983064 TBG983052:TBG983064 TLC983052:TLC983064 TUY983052:TUY983064 UEU983052:UEU983064 UOQ983052:UOQ983064 UYM983052:UYM983064 VII983052:VII983064 VSE983052:VSE983064 WCA983052:WCA983064 WLW983052:WLW983064 WVS983052:WVS983064 E12:E24 JA12:JA24 SW12:SW24 ACS12:ACS24 AMO12:AMO24 AWK12:AWK24 BGG12:BGG24 BQC12:BQC24 BZY12:BZY24 CJU12:CJU24 CTQ12:CTQ24 DDM12:DDM24 DNI12:DNI24 DXE12:DXE24 EHA12:EHA24 EQW12:EQW24 FAS12:FAS24 FKO12:FKO24 FUK12:FUK24 GEG12:GEG24 GOC12:GOC24 GXY12:GXY24 HHU12:HHU24 HRQ12:HRQ24 IBM12:IBM24 ILI12:ILI24 IVE12:IVE24 JFA12:JFA24 JOW12:JOW24 JYS12:JYS24 KIO12:KIO24 KSK12:KSK24 LCG12:LCG24 LMC12:LMC24 LVY12:LVY24 MFU12:MFU24 MPQ12:MPQ24 MZM12:MZM24 NJI12:NJI24 NTE12:NTE24 ODA12:ODA24 OMW12:OMW24 OWS12:OWS24 PGO12:PGO24 PQK12:PQK24 QAG12:QAG24 QKC12:QKC24 QTY12:QTY24 RDU12:RDU24 RNQ12:RNQ24 RXM12:RXM24 SHI12:SHI24 SRE12:SRE24 TBA12:TBA24 TKW12:TKW24 TUS12:TUS24 UEO12:UEO24 UOK12:UOK24 UYG12:UYG24 VIC12:VIC24 VRY12:VRY24 WBU12:WBU24 WLQ12:WLQ24 WVM12:WVM24 E65548:E65560 JA65548:JA65560 SW65548:SW65560 ACS65548:ACS65560 AMO65548:AMO65560 AWK65548:AWK65560 BGG65548:BGG65560 BQC65548:BQC65560 BZY65548:BZY65560 CJU65548:CJU65560 CTQ65548:CTQ65560 DDM65548:DDM65560 DNI65548:DNI65560 DXE65548:DXE65560 EHA65548:EHA65560 EQW65548:EQW65560 FAS65548:FAS65560 FKO65548:FKO65560 FUK65548:FUK65560 GEG65548:GEG65560 GOC65548:GOC65560 GXY65548:GXY65560 HHU65548:HHU65560 HRQ65548:HRQ65560 IBM65548:IBM65560 ILI65548:ILI65560 IVE65548:IVE65560 JFA65548:JFA65560 JOW65548:JOW65560 JYS65548:JYS65560 KIO65548:KIO65560 KSK65548:KSK65560 LCG65548:LCG65560 LMC65548:LMC65560 LVY65548:LVY65560 MFU65548:MFU65560 MPQ65548:MPQ65560 MZM65548:MZM65560 NJI65548:NJI65560 NTE65548:NTE65560 ODA65548:ODA65560 OMW65548:OMW65560 OWS65548:OWS65560 PGO65548:PGO65560 PQK65548:PQK65560 QAG65548:QAG65560 QKC65548:QKC65560 QTY65548:QTY65560 RDU65548:RDU65560 RNQ65548:RNQ65560 RXM65548:RXM65560 SHI65548:SHI65560 SRE65548:SRE65560 TBA65548:TBA65560 TKW65548:TKW65560 TUS65548:TUS65560 UEO65548:UEO65560 UOK65548:UOK65560 UYG65548:UYG65560 VIC65548:VIC65560 VRY65548:VRY65560 WBU65548:WBU65560 WLQ65548:WLQ65560 WVM65548:WVM65560 E131084:E131096 JA131084:JA131096 SW131084:SW131096 ACS131084:ACS131096 AMO131084:AMO131096 AWK131084:AWK131096 BGG131084:BGG131096 BQC131084:BQC131096 BZY131084:BZY131096 CJU131084:CJU131096 CTQ131084:CTQ131096 DDM131084:DDM131096 DNI131084:DNI131096 DXE131084:DXE131096 EHA131084:EHA131096 EQW131084:EQW131096 FAS131084:FAS131096 FKO131084:FKO131096 FUK131084:FUK131096 GEG131084:GEG131096 GOC131084:GOC131096 GXY131084:GXY131096 HHU131084:HHU131096 HRQ131084:HRQ131096 IBM131084:IBM131096 ILI131084:ILI131096 IVE131084:IVE131096 JFA131084:JFA131096 JOW131084:JOW131096 JYS131084:JYS131096 KIO131084:KIO131096 KSK131084:KSK131096 LCG131084:LCG131096 LMC131084:LMC131096 LVY131084:LVY131096 MFU131084:MFU131096 MPQ131084:MPQ131096 MZM131084:MZM131096 NJI131084:NJI131096 NTE131084:NTE131096 ODA131084:ODA131096 OMW131084:OMW131096 OWS131084:OWS131096 PGO131084:PGO131096 PQK131084:PQK131096 QAG131084:QAG131096 QKC131084:QKC131096 QTY131084:QTY131096 RDU131084:RDU131096 RNQ131084:RNQ131096 RXM131084:RXM131096 SHI131084:SHI131096 SRE131084:SRE131096 TBA131084:TBA131096 TKW131084:TKW131096 TUS131084:TUS131096 UEO131084:UEO131096 UOK131084:UOK131096 UYG131084:UYG131096 VIC131084:VIC131096 VRY131084:VRY131096 WBU131084:WBU131096 WLQ131084:WLQ131096 WVM131084:WVM131096 E196620:E196632 JA196620:JA196632 SW196620:SW196632 ACS196620:ACS196632 AMO196620:AMO196632 AWK196620:AWK196632 BGG196620:BGG196632 BQC196620:BQC196632 BZY196620:BZY196632 CJU196620:CJU196632 CTQ196620:CTQ196632 DDM196620:DDM196632 DNI196620:DNI196632 DXE196620:DXE196632 EHA196620:EHA196632 EQW196620:EQW196632 FAS196620:FAS196632 FKO196620:FKO196632 FUK196620:FUK196632 GEG196620:GEG196632 GOC196620:GOC196632 GXY196620:GXY196632 HHU196620:HHU196632 HRQ196620:HRQ196632 IBM196620:IBM196632 ILI196620:ILI196632 IVE196620:IVE196632 JFA196620:JFA196632 JOW196620:JOW196632 JYS196620:JYS196632 KIO196620:KIO196632 KSK196620:KSK196632 LCG196620:LCG196632 LMC196620:LMC196632 LVY196620:LVY196632 MFU196620:MFU196632 MPQ196620:MPQ196632 MZM196620:MZM196632 NJI196620:NJI196632 NTE196620:NTE196632 ODA196620:ODA196632 OMW196620:OMW196632 OWS196620:OWS196632 PGO196620:PGO196632 PQK196620:PQK196632 QAG196620:QAG196632 QKC196620:QKC196632 QTY196620:QTY196632 RDU196620:RDU196632 RNQ196620:RNQ196632 RXM196620:RXM196632 SHI196620:SHI196632 SRE196620:SRE196632 TBA196620:TBA196632 TKW196620:TKW196632 TUS196620:TUS196632 UEO196620:UEO196632 UOK196620:UOK196632 UYG196620:UYG196632 VIC196620:VIC196632 VRY196620:VRY196632 WBU196620:WBU196632 WLQ196620:WLQ196632 WVM196620:WVM196632 E262156:E262168 JA262156:JA262168 SW262156:SW262168 ACS262156:ACS262168 AMO262156:AMO262168 AWK262156:AWK262168 BGG262156:BGG262168 BQC262156:BQC262168 BZY262156:BZY262168 CJU262156:CJU262168 CTQ262156:CTQ262168 DDM262156:DDM262168 DNI262156:DNI262168 DXE262156:DXE262168 EHA262156:EHA262168 EQW262156:EQW262168 FAS262156:FAS262168 FKO262156:FKO262168 FUK262156:FUK262168 GEG262156:GEG262168 GOC262156:GOC262168 GXY262156:GXY262168 HHU262156:HHU262168 HRQ262156:HRQ262168 IBM262156:IBM262168 ILI262156:ILI262168 IVE262156:IVE262168 JFA262156:JFA262168 JOW262156:JOW262168 JYS262156:JYS262168 KIO262156:KIO262168 KSK262156:KSK262168 LCG262156:LCG262168 LMC262156:LMC262168 LVY262156:LVY262168 MFU262156:MFU262168 MPQ262156:MPQ262168 MZM262156:MZM262168 NJI262156:NJI262168 NTE262156:NTE262168 ODA262156:ODA262168 OMW262156:OMW262168 OWS262156:OWS262168 PGO262156:PGO262168 PQK262156:PQK262168 QAG262156:QAG262168 QKC262156:QKC262168 QTY262156:QTY262168 RDU262156:RDU262168 RNQ262156:RNQ262168 RXM262156:RXM262168 SHI262156:SHI262168 SRE262156:SRE262168 TBA262156:TBA262168 TKW262156:TKW262168 TUS262156:TUS262168 UEO262156:UEO262168 UOK262156:UOK262168 UYG262156:UYG262168 VIC262156:VIC262168 VRY262156:VRY262168 WBU262156:WBU262168 WLQ262156:WLQ262168 WVM262156:WVM262168 E327692:E327704 JA327692:JA327704 SW327692:SW327704 ACS327692:ACS327704 AMO327692:AMO327704 AWK327692:AWK327704 BGG327692:BGG327704 BQC327692:BQC327704 BZY327692:BZY327704 CJU327692:CJU327704 CTQ327692:CTQ327704 DDM327692:DDM327704 DNI327692:DNI327704 DXE327692:DXE327704 EHA327692:EHA327704 EQW327692:EQW327704 FAS327692:FAS327704 FKO327692:FKO327704 FUK327692:FUK327704 GEG327692:GEG327704 GOC327692:GOC327704 GXY327692:GXY327704 HHU327692:HHU327704 HRQ327692:HRQ327704 IBM327692:IBM327704 ILI327692:ILI327704 IVE327692:IVE327704 JFA327692:JFA327704 JOW327692:JOW327704 JYS327692:JYS327704 KIO327692:KIO327704 KSK327692:KSK327704 LCG327692:LCG327704 LMC327692:LMC327704 LVY327692:LVY327704 MFU327692:MFU327704 MPQ327692:MPQ327704 MZM327692:MZM327704 NJI327692:NJI327704 NTE327692:NTE327704 ODA327692:ODA327704 OMW327692:OMW327704 OWS327692:OWS327704 PGO327692:PGO327704 PQK327692:PQK327704 QAG327692:QAG327704 QKC327692:QKC327704 QTY327692:QTY327704 RDU327692:RDU327704 RNQ327692:RNQ327704 RXM327692:RXM327704 SHI327692:SHI327704 SRE327692:SRE327704 TBA327692:TBA327704 TKW327692:TKW327704 TUS327692:TUS327704 UEO327692:UEO327704 UOK327692:UOK327704 UYG327692:UYG327704 VIC327692:VIC327704 VRY327692:VRY327704 WBU327692:WBU327704 WLQ327692:WLQ327704 WVM327692:WVM327704 E393228:E393240 JA393228:JA393240 SW393228:SW393240 ACS393228:ACS393240 AMO393228:AMO393240 AWK393228:AWK393240 BGG393228:BGG393240 BQC393228:BQC393240 BZY393228:BZY393240 CJU393228:CJU393240 CTQ393228:CTQ393240 DDM393228:DDM393240 DNI393228:DNI393240 DXE393228:DXE393240 EHA393228:EHA393240 EQW393228:EQW393240 FAS393228:FAS393240 FKO393228:FKO393240 FUK393228:FUK393240 GEG393228:GEG393240 GOC393228:GOC393240 GXY393228:GXY393240 HHU393228:HHU393240 HRQ393228:HRQ393240 IBM393228:IBM393240 ILI393228:ILI393240 IVE393228:IVE393240 JFA393228:JFA393240 JOW393228:JOW393240 JYS393228:JYS393240 KIO393228:KIO393240 KSK393228:KSK393240 LCG393228:LCG393240 LMC393228:LMC393240 LVY393228:LVY393240 MFU393228:MFU393240 MPQ393228:MPQ393240 MZM393228:MZM393240 NJI393228:NJI393240 NTE393228:NTE393240 ODA393228:ODA393240 OMW393228:OMW393240 OWS393228:OWS393240 PGO393228:PGO393240 PQK393228:PQK393240 QAG393228:QAG393240 QKC393228:QKC393240 QTY393228:QTY393240 RDU393228:RDU393240 RNQ393228:RNQ393240 RXM393228:RXM393240 SHI393228:SHI393240 SRE393228:SRE393240 TBA393228:TBA393240 TKW393228:TKW393240 TUS393228:TUS393240 UEO393228:UEO393240 UOK393228:UOK393240 UYG393228:UYG393240 VIC393228:VIC393240 VRY393228:VRY393240 WBU393228:WBU393240 WLQ393228:WLQ393240 WVM393228:WVM393240 E458764:E458776 JA458764:JA458776 SW458764:SW458776 ACS458764:ACS458776 AMO458764:AMO458776 AWK458764:AWK458776 BGG458764:BGG458776 BQC458764:BQC458776 BZY458764:BZY458776 CJU458764:CJU458776 CTQ458764:CTQ458776 DDM458764:DDM458776 DNI458764:DNI458776 DXE458764:DXE458776 EHA458764:EHA458776 EQW458764:EQW458776 FAS458764:FAS458776 FKO458764:FKO458776 FUK458764:FUK458776 GEG458764:GEG458776 GOC458764:GOC458776 GXY458764:GXY458776 HHU458764:HHU458776 HRQ458764:HRQ458776 IBM458764:IBM458776 ILI458764:ILI458776 IVE458764:IVE458776 JFA458764:JFA458776 JOW458764:JOW458776 JYS458764:JYS458776 KIO458764:KIO458776 KSK458764:KSK458776 LCG458764:LCG458776 LMC458764:LMC458776 LVY458764:LVY458776 MFU458764:MFU458776 MPQ458764:MPQ458776 MZM458764:MZM458776 NJI458764:NJI458776 NTE458764:NTE458776 ODA458764:ODA458776 OMW458764:OMW458776 OWS458764:OWS458776 PGO458764:PGO458776 PQK458764:PQK458776 QAG458764:QAG458776 QKC458764:QKC458776 QTY458764:QTY458776 RDU458764:RDU458776 RNQ458764:RNQ458776 RXM458764:RXM458776 SHI458764:SHI458776 SRE458764:SRE458776 TBA458764:TBA458776 TKW458764:TKW458776 TUS458764:TUS458776 UEO458764:UEO458776 UOK458764:UOK458776 UYG458764:UYG458776 VIC458764:VIC458776 VRY458764:VRY458776 WBU458764:WBU458776 WLQ458764:WLQ458776 WVM458764:WVM458776 E524300:E524312 JA524300:JA524312 SW524300:SW524312 ACS524300:ACS524312 AMO524300:AMO524312 AWK524300:AWK524312 BGG524300:BGG524312 BQC524300:BQC524312 BZY524300:BZY524312 CJU524300:CJU524312 CTQ524300:CTQ524312 DDM524300:DDM524312 DNI524300:DNI524312 DXE524300:DXE524312 EHA524300:EHA524312 EQW524300:EQW524312 FAS524300:FAS524312 FKO524300:FKO524312 FUK524300:FUK524312 GEG524300:GEG524312 GOC524300:GOC524312 GXY524300:GXY524312 HHU524300:HHU524312 HRQ524300:HRQ524312 IBM524300:IBM524312 ILI524300:ILI524312 IVE524300:IVE524312 JFA524300:JFA524312 JOW524300:JOW524312 JYS524300:JYS524312 KIO524300:KIO524312 KSK524300:KSK524312 LCG524300:LCG524312 LMC524300:LMC524312 LVY524300:LVY524312 MFU524300:MFU524312 MPQ524300:MPQ524312 MZM524300:MZM524312 NJI524300:NJI524312 NTE524300:NTE524312 ODA524300:ODA524312 OMW524300:OMW524312 OWS524300:OWS524312 PGO524300:PGO524312 PQK524300:PQK524312 QAG524300:QAG524312 QKC524300:QKC524312 QTY524300:QTY524312 RDU524300:RDU524312 RNQ524300:RNQ524312 RXM524300:RXM524312 SHI524300:SHI524312 SRE524300:SRE524312 TBA524300:TBA524312 TKW524300:TKW524312 TUS524300:TUS524312 UEO524300:UEO524312 UOK524300:UOK524312 UYG524300:UYG524312 VIC524300:VIC524312 VRY524300:VRY524312 WBU524300:WBU524312 WLQ524300:WLQ524312 WVM524300:WVM524312 E589836:E589848 JA589836:JA589848 SW589836:SW589848 ACS589836:ACS589848 AMO589836:AMO589848 AWK589836:AWK589848 BGG589836:BGG589848 BQC589836:BQC589848 BZY589836:BZY589848 CJU589836:CJU589848 CTQ589836:CTQ589848 DDM589836:DDM589848 DNI589836:DNI589848 DXE589836:DXE589848 EHA589836:EHA589848 EQW589836:EQW589848 FAS589836:FAS589848 FKO589836:FKO589848 FUK589836:FUK589848 GEG589836:GEG589848 GOC589836:GOC589848 GXY589836:GXY589848 HHU589836:HHU589848 HRQ589836:HRQ589848 IBM589836:IBM589848 ILI589836:ILI589848 IVE589836:IVE589848 JFA589836:JFA589848 JOW589836:JOW589848 JYS589836:JYS589848 KIO589836:KIO589848 KSK589836:KSK589848 LCG589836:LCG589848 LMC589836:LMC589848 LVY589836:LVY589848 MFU589836:MFU589848 MPQ589836:MPQ589848 MZM589836:MZM589848 NJI589836:NJI589848 NTE589836:NTE589848 ODA589836:ODA589848 OMW589836:OMW589848 OWS589836:OWS589848 PGO589836:PGO589848 PQK589836:PQK589848 QAG589836:QAG589848 QKC589836:QKC589848 QTY589836:QTY589848 RDU589836:RDU589848 RNQ589836:RNQ589848 RXM589836:RXM589848 SHI589836:SHI589848 SRE589836:SRE589848 TBA589836:TBA589848 TKW589836:TKW589848 TUS589836:TUS589848 UEO589836:UEO589848 UOK589836:UOK589848 UYG589836:UYG589848 VIC589836:VIC589848 VRY589836:VRY589848 WBU589836:WBU589848 WLQ589836:WLQ589848 WVM589836:WVM589848 E655372:E655384 JA655372:JA655384 SW655372:SW655384 ACS655372:ACS655384 AMO655372:AMO655384 AWK655372:AWK655384 BGG655372:BGG655384 BQC655372:BQC655384 BZY655372:BZY655384 CJU655372:CJU655384 CTQ655372:CTQ655384 DDM655372:DDM655384 DNI655372:DNI655384 DXE655372:DXE655384 EHA655372:EHA655384 EQW655372:EQW655384 FAS655372:FAS655384 FKO655372:FKO655384 FUK655372:FUK655384 GEG655372:GEG655384 GOC655372:GOC655384 GXY655372:GXY655384 HHU655372:HHU655384 HRQ655372:HRQ655384 IBM655372:IBM655384 ILI655372:ILI655384 IVE655372:IVE655384 JFA655372:JFA655384 JOW655372:JOW655384 JYS655372:JYS655384 KIO655372:KIO655384 KSK655372:KSK655384 LCG655372:LCG655384 LMC655372:LMC655384 LVY655372:LVY655384 MFU655372:MFU655384 MPQ655372:MPQ655384 MZM655372:MZM655384 NJI655372:NJI655384 NTE655372:NTE655384 ODA655372:ODA655384 OMW655372:OMW655384 OWS655372:OWS655384 PGO655372:PGO655384 PQK655372:PQK655384 QAG655372:QAG655384 QKC655372:QKC655384 QTY655372:QTY655384 RDU655372:RDU655384 RNQ655372:RNQ655384 RXM655372:RXM655384 SHI655372:SHI655384 SRE655372:SRE655384 TBA655372:TBA655384 TKW655372:TKW655384 TUS655372:TUS655384 UEO655372:UEO655384 UOK655372:UOK655384 UYG655372:UYG655384 VIC655372:VIC655384 VRY655372:VRY655384 WBU655372:WBU655384 WLQ655372:WLQ655384 WVM655372:WVM655384 E720908:E720920 JA720908:JA720920 SW720908:SW720920 ACS720908:ACS720920 AMO720908:AMO720920 AWK720908:AWK720920 BGG720908:BGG720920 BQC720908:BQC720920 BZY720908:BZY720920 CJU720908:CJU720920 CTQ720908:CTQ720920 DDM720908:DDM720920 DNI720908:DNI720920 DXE720908:DXE720920 EHA720908:EHA720920 EQW720908:EQW720920 FAS720908:FAS720920 FKO720908:FKO720920 FUK720908:FUK720920 GEG720908:GEG720920 GOC720908:GOC720920 GXY720908:GXY720920 HHU720908:HHU720920 HRQ720908:HRQ720920 IBM720908:IBM720920 ILI720908:ILI720920 IVE720908:IVE720920 JFA720908:JFA720920 JOW720908:JOW720920 JYS720908:JYS720920 KIO720908:KIO720920 KSK720908:KSK720920 LCG720908:LCG720920 LMC720908:LMC720920 LVY720908:LVY720920 MFU720908:MFU720920 MPQ720908:MPQ720920 MZM720908:MZM720920 NJI720908:NJI720920 NTE720908:NTE720920 ODA720908:ODA720920 OMW720908:OMW720920 OWS720908:OWS720920 PGO720908:PGO720920 PQK720908:PQK720920 QAG720908:QAG720920 QKC720908:QKC720920 QTY720908:QTY720920 RDU720908:RDU720920 RNQ720908:RNQ720920 RXM720908:RXM720920 SHI720908:SHI720920 SRE720908:SRE720920 TBA720908:TBA720920 TKW720908:TKW720920 TUS720908:TUS720920 UEO720908:UEO720920 UOK720908:UOK720920 UYG720908:UYG720920 VIC720908:VIC720920 VRY720908:VRY720920 WBU720908:WBU720920 WLQ720908:WLQ720920 WVM720908:WVM720920 E786444:E786456 JA786444:JA786456 SW786444:SW786456 ACS786444:ACS786456 AMO786444:AMO786456 AWK786444:AWK786456 BGG786444:BGG786456 BQC786444:BQC786456 BZY786444:BZY786456 CJU786444:CJU786456 CTQ786444:CTQ786456 DDM786444:DDM786456 DNI786444:DNI786456 DXE786444:DXE786456 EHA786444:EHA786456 EQW786444:EQW786456 FAS786444:FAS786456 FKO786444:FKO786456 FUK786444:FUK786456 GEG786444:GEG786456 GOC786444:GOC786456 GXY786444:GXY786456 HHU786444:HHU786456 HRQ786444:HRQ786456 IBM786444:IBM786456 ILI786444:ILI786456 IVE786444:IVE786456 JFA786444:JFA786456 JOW786444:JOW786456 JYS786444:JYS786456 KIO786444:KIO786456 KSK786444:KSK786456 LCG786444:LCG786456 LMC786444:LMC786456 LVY786444:LVY786456 MFU786444:MFU786456 MPQ786444:MPQ786456 MZM786444:MZM786456 NJI786444:NJI786456 NTE786444:NTE786456 ODA786444:ODA786456 OMW786444:OMW786456 OWS786444:OWS786456 PGO786444:PGO786456 PQK786444:PQK786456 QAG786444:QAG786456 QKC786444:QKC786456 QTY786444:QTY786456 RDU786444:RDU786456 RNQ786444:RNQ786456 RXM786444:RXM786456 SHI786444:SHI786456 SRE786444:SRE786456 TBA786444:TBA786456 TKW786444:TKW786456 TUS786444:TUS786456 UEO786444:UEO786456 UOK786444:UOK786456 UYG786444:UYG786456 VIC786444:VIC786456 VRY786444:VRY786456 WBU786444:WBU786456 WLQ786444:WLQ786456 WVM786444:WVM786456 E851980:E851992 JA851980:JA851992 SW851980:SW851992 ACS851980:ACS851992 AMO851980:AMO851992 AWK851980:AWK851992 BGG851980:BGG851992 BQC851980:BQC851992 BZY851980:BZY851992 CJU851980:CJU851992 CTQ851980:CTQ851992 DDM851980:DDM851992 DNI851980:DNI851992 DXE851980:DXE851992 EHA851980:EHA851992 EQW851980:EQW851992 FAS851980:FAS851992 FKO851980:FKO851992 FUK851980:FUK851992 GEG851980:GEG851992 GOC851980:GOC851992 GXY851980:GXY851992 HHU851980:HHU851992 HRQ851980:HRQ851992 IBM851980:IBM851992 ILI851980:ILI851992 IVE851980:IVE851992 JFA851980:JFA851992 JOW851980:JOW851992 JYS851980:JYS851992 KIO851980:KIO851992 KSK851980:KSK851992 LCG851980:LCG851992 LMC851980:LMC851992 LVY851980:LVY851992 MFU851980:MFU851992 MPQ851980:MPQ851992 MZM851980:MZM851992 NJI851980:NJI851992 NTE851980:NTE851992 ODA851980:ODA851992 OMW851980:OMW851992 OWS851980:OWS851992 PGO851980:PGO851992 PQK851980:PQK851992 QAG851980:QAG851992 QKC851980:QKC851992 QTY851980:QTY851992 RDU851980:RDU851992 RNQ851980:RNQ851992 RXM851980:RXM851992 SHI851980:SHI851992 SRE851980:SRE851992 TBA851980:TBA851992 TKW851980:TKW851992 TUS851980:TUS851992 UEO851980:UEO851992 UOK851980:UOK851992 UYG851980:UYG851992 VIC851980:VIC851992 VRY851980:VRY851992 WBU851980:WBU851992 WLQ851980:WLQ851992 WVM851980:WVM851992 E917516:E917528 JA917516:JA917528 SW917516:SW917528 ACS917516:ACS917528 AMO917516:AMO917528 AWK917516:AWK917528 BGG917516:BGG917528 BQC917516:BQC917528 BZY917516:BZY917528 CJU917516:CJU917528 CTQ917516:CTQ917528 DDM917516:DDM917528 DNI917516:DNI917528 DXE917516:DXE917528 EHA917516:EHA917528 EQW917516:EQW917528 FAS917516:FAS917528 FKO917516:FKO917528 FUK917516:FUK917528 GEG917516:GEG917528 GOC917516:GOC917528 GXY917516:GXY917528 HHU917516:HHU917528 HRQ917516:HRQ917528 IBM917516:IBM917528 ILI917516:ILI917528 IVE917516:IVE917528 JFA917516:JFA917528 JOW917516:JOW917528 JYS917516:JYS917528 KIO917516:KIO917528 KSK917516:KSK917528 LCG917516:LCG917528 LMC917516:LMC917528 LVY917516:LVY917528 MFU917516:MFU917528 MPQ917516:MPQ917528 MZM917516:MZM917528 NJI917516:NJI917528 NTE917516:NTE917528 ODA917516:ODA917528 OMW917516:OMW917528 OWS917516:OWS917528 PGO917516:PGO917528 PQK917516:PQK917528 QAG917516:QAG917528 QKC917516:QKC917528 QTY917516:QTY917528 RDU917516:RDU917528 RNQ917516:RNQ917528 RXM917516:RXM917528 SHI917516:SHI917528 SRE917516:SRE917528 TBA917516:TBA917528 TKW917516:TKW917528 TUS917516:TUS917528 UEO917516:UEO917528 UOK917516:UOK917528 UYG917516:UYG917528 VIC917516:VIC917528 VRY917516:VRY917528 WBU917516:WBU917528 WLQ917516:WLQ917528 WVM917516:WVM917528 E983052:E983064 JA983052:JA983064 SW983052:SW983064 ACS983052:ACS983064 AMO983052:AMO983064 AWK983052:AWK983064 BGG983052:BGG983064 BQC983052:BQC983064 BZY983052:BZY983064 CJU983052:CJU983064 CTQ983052:CTQ983064 DDM983052:DDM983064 DNI983052:DNI983064 DXE983052:DXE983064 EHA983052:EHA983064 EQW983052:EQW983064 FAS983052:FAS983064 FKO983052:FKO983064 FUK983052:FUK983064 GEG983052:GEG983064 GOC983052:GOC983064 GXY983052:GXY983064 HHU983052:HHU983064 HRQ983052:HRQ983064 IBM983052:IBM983064 ILI983052:ILI983064 IVE983052:IVE983064 JFA983052:JFA983064 JOW983052:JOW983064 JYS983052:JYS983064 KIO983052:KIO983064 KSK983052:KSK983064 LCG983052:LCG983064 LMC983052:LMC983064 LVY983052:LVY983064 MFU983052:MFU983064 MPQ983052:MPQ983064 MZM983052:MZM983064 NJI983052:NJI983064 NTE983052:NTE983064 ODA983052:ODA983064 OMW983052:OMW983064 OWS983052:OWS983064 PGO983052:PGO983064 PQK983052:PQK983064 QAG983052:QAG983064 QKC983052:QKC983064 QTY983052:QTY983064 RDU983052:RDU983064 RNQ983052:RNQ983064 RXM983052:RXM983064 SHI983052:SHI983064 SRE983052:SRE983064 TBA983052:TBA983064 TKW983052:TKW983064 TUS983052:TUS983064 UEO983052:UEO983064 UOK983052:UOK983064 UYG983052:UYG983064 VIC983052:VIC983064 VRY983052:VRY983064 WBU983052:WBU983064 WLQ983052:WLQ983064 WVM983052:WVM983064" xr:uid="{00000000-0002-0000-0100-000000000000}">
      <formula1>0.06</formula1>
      <formula2>1.5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V37"/>
  <sheetViews>
    <sheetView topLeftCell="A23" zoomScaleNormal="100" workbookViewId="0">
      <selection activeCell="B45" sqref="B45"/>
    </sheetView>
  </sheetViews>
  <sheetFormatPr defaultColWidth="11.5703125" defaultRowHeight="13.15"/>
  <cols>
    <col min="1" max="1" width="9.140625" style="3" customWidth="1"/>
    <col min="2" max="2" width="7.28515625" style="2" customWidth="1"/>
    <col min="3" max="3" width="17.140625" style="1" bestFit="1" customWidth="1"/>
    <col min="4" max="5" width="9.42578125" style="1" customWidth="1"/>
    <col min="6" max="6" width="16" style="1" bestFit="1" customWidth="1"/>
    <col min="7" max="8" width="9.42578125" style="1" customWidth="1"/>
    <col min="9" max="9" width="16.42578125" style="1" customWidth="1"/>
    <col min="10" max="10" width="9.42578125" style="1" customWidth="1"/>
    <col min="11" max="11" width="22.85546875" style="1" customWidth="1"/>
    <col min="12" max="12" width="7" style="1" customWidth="1"/>
    <col min="13" max="17" width="9.42578125" style="1" customWidth="1"/>
    <col min="18" max="20" width="8.140625" style="1" customWidth="1"/>
    <col min="21" max="16384" width="11.5703125" style="1"/>
  </cols>
  <sheetData>
    <row r="1" spans="1:22" s="4" customFormat="1" ht="19.5" customHeight="1">
      <c r="A1" s="110" t="s">
        <v>41</v>
      </c>
      <c r="B1" s="7"/>
      <c r="C1" s="5"/>
      <c r="D1" s="5"/>
      <c r="E1" s="5"/>
      <c r="F1" s="5"/>
      <c r="G1" s="5"/>
      <c r="H1" s="109" t="s">
        <v>42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4" customFormat="1" ht="19.5" customHeight="1">
      <c r="A2" s="108" t="s">
        <v>43</v>
      </c>
      <c r="B2" s="7"/>
      <c r="C2" s="5"/>
      <c r="D2" s="5"/>
      <c r="E2" s="5"/>
      <c r="F2" s="5"/>
      <c r="G2" s="5"/>
      <c r="H2" s="107" t="s">
        <v>44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s="4" customFormat="1" ht="13.5" customHeight="1" thickBot="1">
      <c r="A3" s="106"/>
      <c r="B3" s="7"/>
      <c r="C3" s="5"/>
      <c r="D3" s="5"/>
      <c r="E3" s="5"/>
      <c r="F3" s="5"/>
      <c r="G3" s="5"/>
      <c r="H3" s="105"/>
      <c r="I3" s="5"/>
      <c r="J3" s="5"/>
      <c r="K3" s="5"/>
      <c r="L3" s="5"/>
      <c r="M3" s="85"/>
      <c r="N3" s="85"/>
      <c r="O3" s="5"/>
      <c r="P3" s="85"/>
      <c r="Q3" s="85"/>
      <c r="R3" s="85"/>
      <c r="S3" s="85"/>
      <c r="T3" s="85"/>
      <c r="U3" s="5"/>
      <c r="V3" s="5"/>
    </row>
    <row r="4" spans="1:22" s="4" customFormat="1" ht="19.5" customHeight="1">
      <c r="A4" s="19"/>
      <c r="B4" s="104" t="s">
        <v>45</v>
      </c>
      <c r="C4" s="103" t="s">
        <v>46</v>
      </c>
      <c r="D4" s="102"/>
      <c r="E4" s="101"/>
      <c r="F4" s="5"/>
      <c r="G4" s="5"/>
      <c r="H4" s="94" t="s">
        <v>47</v>
      </c>
      <c r="I4" s="100" t="s">
        <v>88</v>
      </c>
      <c r="J4" s="99"/>
      <c r="K4" s="98"/>
      <c r="L4" s="5"/>
      <c r="M4" s="85"/>
      <c r="N4" s="85"/>
      <c r="O4" s="5"/>
      <c r="P4" s="85"/>
      <c r="Q4" s="85"/>
      <c r="R4" s="85"/>
      <c r="S4" s="85"/>
      <c r="T4" s="85"/>
      <c r="U4" s="5"/>
      <c r="V4" s="5"/>
    </row>
    <row r="5" spans="1:22" s="4" customFormat="1" ht="19.5" customHeight="1">
      <c r="A5" s="19"/>
      <c r="B5" s="87" t="s">
        <v>49</v>
      </c>
      <c r="C5" s="97" t="str">
        <f>'[2]START HERE'!F6</f>
        <v>Jack mackerel</v>
      </c>
      <c r="D5" s="96"/>
      <c r="E5" s="95"/>
      <c r="F5" s="94"/>
      <c r="G5" s="94"/>
      <c r="H5" s="87"/>
      <c r="I5" s="93"/>
      <c r="J5" s="92"/>
      <c r="K5" s="91"/>
      <c r="L5" s="5"/>
      <c r="M5" s="85"/>
      <c r="N5" s="85"/>
      <c r="O5" s="5"/>
      <c r="P5" s="85"/>
      <c r="Q5" s="85"/>
      <c r="R5" s="85"/>
      <c r="S5" s="85"/>
      <c r="T5" s="85"/>
      <c r="U5" s="5"/>
      <c r="V5" s="5"/>
    </row>
    <row r="6" spans="1:22" s="4" customFormat="1" ht="18.75" customHeight="1" thickBot="1">
      <c r="A6" s="19"/>
      <c r="B6" s="87" t="s">
        <v>50</v>
      </c>
      <c r="C6" s="90">
        <f>'[2]START HERE'!K4</f>
        <v>2015</v>
      </c>
      <c r="D6" s="89"/>
      <c r="E6" s="88"/>
      <c r="F6" s="5"/>
      <c r="G6" s="5"/>
      <c r="H6" s="87" t="s">
        <v>11</v>
      </c>
      <c r="I6" s="316">
        <f>'[2]START HERE'!$F9</f>
        <v>41131</v>
      </c>
      <c r="J6" s="317"/>
      <c r="K6" s="86"/>
      <c r="L6" s="5"/>
      <c r="M6" s="85"/>
      <c r="N6" s="85"/>
      <c r="O6" s="5"/>
      <c r="P6" s="85"/>
      <c r="Q6" s="85"/>
      <c r="R6" s="85"/>
      <c r="S6" s="85"/>
      <c r="T6" s="85"/>
      <c r="U6" s="5"/>
      <c r="V6" s="5"/>
    </row>
    <row r="7" spans="1:22" s="4" customFormat="1" ht="13.5" customHeight="1" thickBot="1">
      <c r="A7" s="19"/>
      <c r="B7" s="7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s="77" customFormat="1" ht="18" customHeight="1" thickBot="1">
      <c r="A8" s="84"/>
      <c r="B8" s="83"/>
      <c r="C8" s="318" t="s">
        <v>51</v>
      </c>
      <c r="D8" s="319"/>
      <c r="E8" s="79"/>
      <c r="F8" s="82" t="s">
        <v>52</v>
      </c>
      <c r="G8" s="80"/>
      <c r="H8" s="79"/>
      <c r="I8" s="82" t="s">
        <v>53</v>
      </c>
      <c r="J8" s="80"/>
      <c r="K8" s="79"/>
      <c r="L8" s="82" t="s">
        <v>54</v>
      </c>
      <c r="M8" s="80"/>
      <c r="N8" s="79"/>
      <c r="O8" s="81" t="s">
        <v>55</v>
      </c>
      <c r="P8" s="80"/>
      <c r="Q8" s="79"/>
      <c r="R8" s="78"/>
      <c r="S8" s="78"/>
    </row>
    <row r="9" spans="1:22" s="4" customFormat="1" ht="13.5" customHeight="1" thickBot="1">
      <c r="A9" s="76"/>
      <c r="B9" s="76"/>
      <c r="C9" s="74" t="s">
        <v>56</v>
      </c>
      <c r="D9" s="75" t="s">
        <v>57</v>
      </c>
      <c r="E9" s="72" t="s">
        <v>57</v>
      </c>
      <c r="F9" s="74" t="s">
        <v>56</v>
      </c>
      <c r="G9" s="73" t="s">
        <v>57</v>
      </c>
      <c r="H9" s="72" t="s">
        <v>57</v>
      </c>
      <c r="I9" s="74" t="s">
        <v>56</v>
      </c>
      <c r="J9" s="73" t="s">
        <v>57</v>
      </c>
      <c r="K9" s="72" t="s">
        <v>57</v>
      </c>
      <c r="L9" s="74" t="s">
        <v>56</v>
      </c>
      <c r="M9" s="73" t="s">
        <v>57</v>
      </c>
      <c r="N9" s="72" t="s">
        <v>57</v>
      </c>
      <c r="O9" s="74" t="s">
        <v>56</v>
      </c>
      <c r="P9" s="73" t="s">
        <v>57</v>
      </c>
      <c r="Q9" s="72" t="s">
        <v>57</v>
      </c>
      <c r="R9" s="5"/>
      <c r="S9" s="5"/>
    </row>
    <row r="10" spans="1:22" s="4" customFormat="1" ht="13.5" customHeight="1">
      <c r="A10" s="71"/>
      <c r="B10" s="70" t="s">
        <v>58</v>
      </c>
      <c r="C10" s="69" t="s">
        <v>59</v>
      </c>
      <c r="D10" s="68" t="s">
        <v>60</v>
      </c>
      <c r="E10" s="67" t="s">
        <v>61</v>
      </c>
      <c r="F10" s="69" t="s">
        <v>59</v>
      </c>
      <c r="G10" s="68" t="s">
        <v>60</v>
      </c>
      <c r="H10" s="67" t="s">
        <v>61</v>
      </c>
      <c r="I10" s="69" t="s">
        <v>59</v>
      </c>
      <c r="J10" s="68" t="s">
        <v>60</v>
      </c>
      <c r="K10" s="67" t="s">
        <v>61</v>
      </c>
      <c r="L10" s="69" t="s">
        <v>59</v>
      </c>
      <c r="M10" s="68" t="s">
        <v>60</v>
      </c>
      <c r="N10" s="67" t="s">
        <v>61</v>
      </c>
      <c r="O10" s="69" t="s">
        <v>59</v>
      </c>
      <c r="P10" s="68" t="s">
        <v>60</v>
      </c>
      <c r="Q10" s="67" t="s">
        <v>61</v>
      </c>
      <c r="R10" s="5"/>
      <c r="S10" s="5"/>
    </row>
    <row r="11" spans="1:22" s="4" customFormat="1" ht="15" customHeight="1" thickBot="1">
      <c r="A11" s="66"/>
      <c r="B11" s="63"/>
      <c r="C11" s="65" t="s">
        <v>62</v>
      </c>
      <c r="D11" s="64" t="s">
        <v>63</v>
      </c>
      <c r="E11" s="63" t="s">
        <v>64</v>
      </c>
      <c r="F11" s="65" t="s">
        <v>62</v>
      </c>
      <c r="G11" s="64" t="s">
        <v>63</v>
      </c>
      <c r="H11" s="63" t="s">
        <v>64</v>
      </c>
      <c r="I11" s="65" t="s">
        <v>62</v>
      </c>
      <c r="J11" s="64" t="s">
        <v>63</v>
      </c>
      <c r="K11" s="63" t="s">
        <v>64</v>
      </c>
      <c r="L11" s="65" t="s">
        <v>62</v>
      </c>
      <c r="M11" s="64" t="s">
        <v>63</v>
      </c>
      <c r="N11" s="63" t="s">
        <v>64</v>
      </c>
      <c r="O11" s="65" t="s">
        <v>62</v>
      </c>
      <c r="P11" s="64" t="s">
        <v>63</v>
      </c>
      <c r="Q11" s="63" t="s">
        <v>65</v>
      </c>
      <c r="R11" s="5"/>
      <c r="S11" s="5"/>
    </row>
    <row r="12" spans="1:22" s="4" customFormat="1" ht="15" customHeight="1">
      <c r="A12" s="58"/>
      <c r="B12" s="55" t="s">
        <v>66</v>
      </c>
      <c r="C12" s="62">
        <v>0</v>
      </c>
      <c r="D12" s="61"/>
      <c r="E12" s="60"/>
      <c r="F12" s="62">
        <v>0</v>
      </c>
      <c r="G12" s="61"/>
      <c r="H12" s="60"/>
      <c r="I12" s="62">
        <v>0</v>
      </c>
      <c r="J12" s="61"/>
      <c r="K12" s="60"/>
      <c r="L12" s="62">
        <v>0</v>
      </c>
      <c r="M12" s="61"/>
      <c r="N12" s="60"/>
      <c r="O12" s="51">
        <f>SUM(C12+F12+I12+L12)</f>
        <v>0</v>
      </c>
      <c r="P12" s="50" t="str">
        <f>IF(SUM(D12+G12+J12+M12)&gt;0,(C12*D12+F12*G12+I12*J12+L12*M12)/SUM(C12+F12+I12+L12),"")</f>
        <v/>
      </c>
      <c r="Q12" s="49" t="str">
        <f>IF(SUM(E12,H12,K12,N12)&gt;0,SUM(C12*E12+F12*H12+I12*K12+L12*N12)/SUM(C12+F12+I12+L12),"")</f>
        <v/>
      </c>
      <c r="R12" s="5"/>
      <c r="S12" s="5"/>
    </row>
    <row r="13" spans="1:22" s="4" customFormat="1" ht="15" customHeight="1">
      <c r="A13" s="58"/>
      <c r="B13" s="55" t="s">
        <v>67</v>
      </c>
      <c r="C13" s="54">
        <v>41.770040033684921</v>
      </c>
      <c r="D13" s="53">
        <v>12.09090909090909</v>
      </c>
      <c r="E13" s="52">
        <v>2.1813639963900375E-2</v>
      </c>
      <c r="F13" s="54">
        <v>6.1664175887992583</v>
      </c>
      <c r="G13" s="53">
        <v>15</v>
      </c>
      <c r="H13" s="52">
        <v>3.4930532548960808E-2</v>
      </c>
      <c r="I13" s="54">
        <v>61.870759822903835</v>
      </c>
      <c r="J13" s="53">
        <v>18.953250875467923</v>
      </c>
      <c r="K13" s="52">
        <v>7.108595264270319E-2</v>
      </c>
      <c r="L13" s="54">
        <v>0</v>
      </c>
      <c r="M13" s="53">
        <v>0</v>
      </c>
      <c r="N13" s="52">
        <v>0</v>
      </c>
      <c r="O13" s="51">
        <f>SUM(C13+F13+I13+L13)</f>
        <v>109.80721744538801</v>
      </c>
      <c r="P13" s="50">
        <f>IF(SUM(D13+G13+J13+M13)&gt;0,(C13*D13+F13*G13+I13*J13+L13*M13)/SUM(C13+F13+I13+L13),"")</f>
        <v>16.12085338800809</v>
      </c>
      <c r="Q13" s="49">
        <f>IF(SUM(E13,H13,K13,N13)&gt;0,SUM(C13*E13+F13*H13+I13*K13+L13*N13)/SUM(C13+F13+I13+L13),"")</f>
        <v>5.0312674304448392E-2</v>
      </c>
      <c r="R13" s="5"/>
      <c r="S13" s="5"/>
      <c r="T13" s="59"/>
    </row>
    <row r="14" spans="1:22" s="4" customFormat="1" ht="15" customHeight="1">
      <c r="A14" s="58"/>
      <c r="B14" s="55" t="s">
        <v>68</v>
      </c>
      <c r="C14" s="54">
        <v>0</v>
      </c>
      <c r="D14" s="53">
        <v>0</v>
      </c>
      <c r="E14" s="52">
        <v>0</v>
      </c>
      <c r="F14" s="54">
        <v>95.918198628223934</v>
      </c>
      <c r="G14" s="53">
        <v>34.139218320967458</v>
      </c>
      <c r="H14" s="52">
        <v>0.11026878512716144</v>
      </c>
      <c r="I14" s="54">
        <v>1028.710131936288</v>
      </c>
      <c r="J14" s="53">
        <v>49.465963858405402</v>
      </c>
      <c r="K14" s="52">
        <v>0.36194192497411815</v>
      </c>
      <c r="L14" s="54">
        <v>8.0106107140841214</v>
      </c>
      <c r="M14" s="53">
        <v>27</v>
      </c>
      <c r="N14" s="52">
        <v>0.22625524676793882</v>
      </c>
      <c r="O14" s="51">
        <f>SUM(C14+F14+I14+L14)</f>
        <v>1132.6389412785961</v>
      </c>
      <c r="P14" s="50">
        <f>IF(SUM(D14+G14+J14+M14)&gt;0,(C14*D14+F14*G14+I14*J14+L14*M14)/SUM(C14+F14+I14+L14),"")</f>
        <v>48.00911838591275</v>
      </c>
      <c r="Q14" s="49">
        <f>IF(SUM(E14,H14,K14,N14)&gt;0,SUM(C14*E14+F14*H14+I14*K14+L14*N14)/SUM(C14+F14+I14+L14),"")</f>
        <v>0.33966918963363252</v>
      </c>
      <c r="R14" s="5"/>
      <c r="S14" s="5"/>
    </row>
    <row r="15" spans="1:22" s="4" customFormat="1" ht="15" customHeight="1">
      <c r="A15" s="58"/>
      <c r="B15" s="55" t="s">
        <v>69</v>
      </c>
      <c r="C15" s="54">
        <v>10828.014820441127</v>
      </c>
      <c r="D15" s="53">
        <v>24.580525049781919</v>
      </c>
      <c r="E15" s="52">
        <v>0.18233862933000083</v>
      </c>
      <c r="F15" s="54">
        <v>19240.513115490387</v>
      </c>
      <c r="G15" s="53">
        <v>52.397778959087432</v>
      </c>
      <c r="H15" s="52">
        <v>0.406929185767263</v>
      </c>
      <c r="I15" s="54">
        <v>15209.887639702711</v>
      </c>
      <c r="J15" s="53">
        <v>52.972446582972161</v>
      </c>
      <c r="K15" s="52">
        <v>0.40697361660717102</v>
      </c>
      <c r="L15" s="54">
        <v>1140.5458197405799</v>
      </c>
      <c r="M15" s="53">
        <v>56.887535379634016</v>
      </c>
      <c r="N15" s="52">
        <v>0.54958657077238748</v>
      </c>
      <c r="O15" s="51">
        <f>SUM(C15+F15+I15+L15)</f>
        <v>46418.961395374805</v>
      </c>
      <c r="P15" s="50">
        <f>IF(SUM(D15+G15+J15+M15)&gt;0,(C15*D15+F15*G15+I15*J15+L15*M15)/SUM(C15+F15+I15+L15),"")</f>
        <v>46.207544924338094</v>
      </c>
      <c r="Q15" s="49">
        <f>IF(SUM(E15,H15,K15,N15)&gt;0,SUM(C15*E15+F15*H15+I15*K15+L15*N15)/SUM(C15+F15+I15+L15),"")</f>
        <v>0.35805935470606282</v>
      </c>
      <c r="R15" s="5"/>
      <c r="S15" s="5"/>
    </row>
    <row r="16" spans="1:22" s="4" customFormat="1" ht="15" customHeight="1">
      <c r="A16" s="58"/>
      <c r="B16" s="55" t="s">
        <v>70</v>
      </c>
      <c r="C16" s="54">
        <v>28674.072025235775</v>
      </c>
      <c r="D16" s="53">
        <v>25.873675025370879</v>
      </c>
      <c r="E16" s="52">
        <v>0.21548844729837574</v>
      </c>
      <c r="F16" s="54">
        <v>109786.16315283615</v>
      </c>
      <c r="G16" s="53">
        <v>52.983844876339774</v>
      </c>
      <c r="H16" s="52">
        <v>0.4200606476969323</v>
      </c>
      <c r="I16" s="54">
        <v>24782.510806377377</v>
      </c>
      <c r="J16" s="53">
        <v>54.278158691496031</v>
      </c>
      <c r="K16" s="52">
        <v>0.43798481887175361</v>
      </c>
      <c r="L16" s="54">
        <v>5009.0642717010969</v>
      </c>
      <c r="M16" s="53">
        <v>57.992234015079788</v>
      </c>
      <c r="N16" s="52">
        <v>0.58539981466724711</v>
      </c>
      <c r="O16" s="51">
        <f>SUM(C16+F16+I16+L16)</f>
        <v>168251.81025615038</v>
      </c>
      <c r="P16" s="50">
        <f>IF(SUM(D16+G16+J16+M16)&gt;0,(C16*D16+F16*G16+I16*J16+L16*M16)/SUM(C16+F16+I16+L16),"")</f>
        <v>48.703384103751219</v>
      </c>
      <c r="Q16" s="49">
        <f>IF(SUM(E16,H16,K16,N16)&gt;0,SUM(C16*E16+F16*H16+I16*K16+L16*N16)/SUM(C16+F16+I16+L16),"")</f>
        <v>0.39275920278661192</v>
      </c>
      <c r="R16" s="5"/>
      <c r="S16" s="5"/>
    </row>
    <row r="17" spans="1:21" s="4" customFormat="1" ht="15" customHeight="1">
      <c r="A17" s="58"/>
      <c r="B17" s="55" t="s">
        <v>71</v>
      </c>
      <c r="C17" s="54">
        <v>18510.032839092488</v>
      </c>
      <c r="D17" s="53">
        <v>31.117088083919651</v>
      </c>
      <c r="E17" s="52">
        <v>0.37283108617824362</v>
      </c>
      <c r="F17" s="54">
        <v>42659.446594080255</v>
      </c>
      <c r="G17" s="53">
        <v>56.171228896767261</v>
      </c>
      <c r="H17" s="52">
        <v>0.51101288665058953</v>
      </c>
      <c r="I17" s="54">
        <v>5782.3753636193578</v>
      </c>
      <c r="J17" s="53">
        <v>59.147080601983511</v>
      </c>
      <c r="K17" s="52">
        <v>0.57885493560223722</v>
      </c>
      <c r="L17" s="54">
        <v>3989.69731280427</v>
      </c>
      <c r="M17" s="53">
        <v>59.560045348397395</v>
      </c>
      <c r="N17" s="52">
        <v>0.63795932786278431</v>
      </c>
      <c r="O17" s="51">
        <f>SUM(C17+F17+I17+L17)</f>
        <v>70941.552109596378</v>
      </c>
      <c r="P17" s="50">
        <f>IF(SUM(D17+G17+J17+M17)&gt;0,(C17*D17+F17*G17+I17*J17+L17*M17)/SUM(C17+F17+I17+L17),"")</f>
        <v>50.067258616339778</v>
      </c>
      <c r="Q17" s="49">
        <f>IF(SUM(E17,H17,K17,N17)&gt;0,SUM(C17*E17+F17*H17+I17*K17+L17*N17)/SUM(C17+F17+I17+L17),"")</f>
        <v>0.48762766956236892</v>
      </c>
      <c r="R17" s="5"/>
      <c r="S17" s="5"/>
    </row>
    <row r="18" spans="1:21" s="4" customFormat="1" ht="15" customHeight="1">
      <c r="A18" s="58"/>
      <c r="B18" s="55" t="s">
        <v>72</v>
      </c>
      <c r="C18" s="54">
        <v>20675.660424707748</v>
      </c>
      <c r="D18" s="53">
        <v>33.796073066627521</v>
      </c>
      <c r="E18" s="52">
        <v>0.47736146655587158</v>
      </c>
      <c r="F18" s="54">
        <v>18607.618835856985</v>
      </c>
      <c r="G18" s="53">
        <v>68.692692199577579</v>
      </c>
      <c r="H18" s="52">
        <v>0.94834706259066015</v>
      </c>
      <c r="I18" s="54">
        <v>5962.0010034010393</v>
      </c>
      <c r="J18" s="53">
        <v>65.410150152160639</v>
      </c>
      <c r="K18" s="52">
        <v>0.77706945690127527</v>
      </c>
      <c r="L18" s="54">
        <v>1903.5039342856735</v>
      </c>
      <c r="M18" s="53">
        <v>63.101279206107492</v>
      </c>
      <c r="N18" s="52">
        <v>0.77678198427172229</v>
      </c>
      <c r="O18" s="51">
        <f>SUM(C18+F18+I18+L18)</f>
        <v>47148.784198251451</v>
      </c>
      <c r="P18" s="50">
        <f>IF(SUM(D18+G18+J18+M18)&gt;0,(C18*D18+F18*G18+I18*J18+L18*M18)/SUM(C18+F18+I18+L18),"")</f>
        <v>52.749026725319062</v>
      </c>
      <c r="Q18" s="49">
        <f>IF(SUM(E18,H18,K18,N18)&gt;0,SUM(C18*E18+F18*H18+I18*K18+L18*N18)/SUM(C18+F18+I18+L18),"")</f>
        <v>0.71322604100763998</v>
      </c>
      <c r="R18" s="5"/>
      <c r="S18" s="5"/>
      <c r="U18" s="1"/>
    </row>
    <row r="19" spans="1:21" s="4" customFormat="1" ht="15" customHeight="1">
      <c r="A19" s="58"/>
      <c r="B19" s="55" t="s">
        <v>73</v>
      </c>
      <c r="C19" s="54">
        <v>15758.836281183247</v>
      </c>
      <c r="D19" s="53">
        <v>36.328944680829878</v>
      </c>
      <c r="E19" s="52">
        <v>0.59135410758402207</v>
      </c>
      <c r="F19" s="54">
        <v>18130.688633324204</v>
      </c>
      <c r="G19" s="53">
        <v>73.2697853707474</v>
      </c>
      <c r="H19" s="52">
        <v>1.1543621453963007</v>
      </c>
      <c r="I19" s="54">
        <v>8531.5858018722629</v>
      </c>
      <c r="J19" s="53">
        <v>74.017069708409878</v>
      </c>
      <c r="K19" s="52">
        <v>1.1202955054596637</v>
      </c>
      <c r="L19" s="54">
        <v>1735.6211420834138</v>
      </c>
      <c r="M19" s="53">
        <v>38.172091115755471</v>
      </c>
      <c r="N19" s="52">
        <v>0.67741710004751465</v>
      </c>
      <c r="O19" s="51">
        <f>SUM(C19+F19+I19+L19)</f>
        <v>44156.731858463128</v>
      </c>
      <c r="P19" s="50">
        <f>IF(SUM(D19+G19+J19+M19)&gt;0,(C19*D19+F19*G19+I19*J19+L19*M19)/SUM(C19+F19+I19+L19),"")</f>
        <v>58.851022625699827</v>
      </c>
      <c r="Q19" s="49">
        <f>IF(SUM(E19,H19,K19,N19)&gt;0,SUM(C19*E19+F19*H19+I19*K19+L19*N19)/SUM(C19+F19+I19+L19),"")</f>
        <v>0.92810468841742155</v>
      </c>
      <c r="R19" s="5"/>
      <c r="S19" s="5"/>
    </row>
    <row r="20" spans="1:21" s="4" customFormat="1" ht="15" customHeight="1">
      <c r="A20" s="58"/>
      <c r="B20" s="55" t="s">
        <v>74</v>
      </c>
      <c r="C20" s="54">
        <v>4473.4549140303452</v>
      </c>
      <c r="D20" s="53">
        <v>38.241311334314751</v>
      </c>
      <c r="E20" s="52">
        <v>0.68776797121801991</v>
      </c>
      <c r="F20" s="54">
        <v>14023.597694056156</v>
      </c>
      <c r="G20" s="53">
        <v>80.432330670678411</v>
      </c>
      <c r="H20" s="52">
        <v>1.5339084170288761</v>
      </c>
      <c r="I20" s="54">
        <v>8600.6054629078553</v>
      </c>
      <c r="J20" s="53">
        <v>79.974508447377431</v>
      </c>
      <c r="K20" s="52">
        <v>1.3998816955487559</v>
      </c>
      <c r="L20" s="54">
        <v>905.90220975573379</v>
      </c>
      <c r="M20" s="53">
        <v>40.154930715313888</v>
      </c>
      <c r="N20" s="52">
        <v>0.79378504270385897</v>
      </c>
      <c r="O20" s="51">
        <f>SUM(C20+F20+I20+L20)</f>
        <v>28003.560280750095</v>
      </c>
      <c r="P20" s="50">
        <f>IF(SUM(D20+G20+J20+M20)&gt;0,(C20*D20+F20*G20+I20*J20+L20*M20)/SUM(C20+F20+I20+L20),"")</f>
        <v>72.248922760460701</v>
      </c>
      <c r="Q20" s="49">
        <f>IF(SUM(E20,H20,K20,N20)&gt;0,SUM(C20*E20+F20*H20+I20*K20+L20*N20)/SUM(C20+F20+I20+L20),"")</f>
        <v>1.3336352577492649</v>
      </c>
      <c r="R20" s="5"/>
      <c r="S20" s="5"/>
    </row>
    <row r="21" spans="1:21" s="4" customFormat="1" ht="15" customHeight="1">
      <c r="A21" s="58"/>
      <c r="B21" s="55">
        <v>9</v>
      </c>
      <c r="C21" s="54">
        <v>1397.6826301536028</v>
      </c>
      <c r="D21" s="53">
        <v>39.836820969548405</v>
      </c>
      <c r="E21" s="52">
        <v>0.7762762679678481</v>
      </c>
      <c r="F21" s="54">
        <v>4183.9336194384287</v>
      </c>
      <c r="G21" s="53">
        <v>42.197932464940727</v>
      </c>
      <c r="H21" s="52">
        <v>0.87638481467070295</v>
      </c>
      <c r="I21" s="54">
        <v>3503.1085848868111</v>
      </c>
      <c r="J21" s="53">
        <v>79.03740006554284</v>
      </c>
      <c r="K21" s="52">
        <v>1.3659290889605131</v>
      </c>
      <c r="L21" s="54">
        <v>703.86440147995006</v>
      </c>
      <c r="M21" s="53">
        <v>42.487232142307484</v>
      </c>
      <c r="N21" s="52">
        <v>0.92636246420231594</v>
      </c>
      <c r="O21" s="51">
        <f>SUM(C21+F21+I21+L21)</f>
        <v>9788.5892359587924</v>
      </c>
      <c r="P21" s="50">
        <f>IF(SUM(D21+G21+J21+M21)&gt;0,(C21*D21+F21*G21+I21*J21+L21*M21)/SUM(C21+F21+I21+L21),"")</f>
        <v>55.065588405688118</v>
      </c>
      <c r="Q21" s="49">
        <f>IF(SUM(E21,H21,K21,N21)&gt;0,SUM(C21*E21+F21*H21+I21*K21+L21*N21)/SUM(C21+F21+I21+L21),"")</f>
        <v>1.0408808643721432</v>
      </c>
      <c r="R21" s="5"/>
      <c r="S21" s="5"/>
    </row>
    <row r="22" spans="1:21" s="4" customFormat="1" ht="15" customHeight="1">
      <c r="A22" s="58"/>
      <c r="B22" s="55">
        <v>10</v>
      </c>
      <c r="C22" s="54">
        <v>536.21383105158372</v>
      </c>
      <c r="D22" s="53">
        <v>39.566123988003142</v>
      </c>
      <c r="E22" s="52">
        <v>0.75543194308569639</v>
      </c>
      <c r="F22" s="54">
        <v>2035.9950093771199</v>
      </c>
      <c r="G22" s="53">
        <v>79.556957932808245</v>
      </c>
      <c r="H22" s="52">
        <v>1.4957173561211661</v>
      </c>
      <c r="I22" s="54">
        <v>1451.4155489844577</v>
      </c>
      <c r="J22" s="53">
        <v>86.630905831669878</v>
      </c>
      <c r="K22" s="52">
        <v>1.7721433834440297</v>
      </c>
      <c r="L22" s="54">
        <v>7.1526077652547055</v>
      </c>
      <c r="M22" s="53">
        <v>48</v>
      </c>
      <c r="N22" s="52">
        <v>1.3304376603381751</v>
      </c>
      <c r="O22" s="51">
        <f>SUM(C22+F22+I22+L22)</f>
        <v>4030.776997178416</v>
      </c>
      <c r="P22" s="50">
        <f>IF(SUM(D22+G22+J22+M22)&gt;0,(C22*D22+F22*G22+I22*J22+L22*M22)/SUM(C22+F22+I22+L22),"")</f>
        <v>76.728194432937741</v>
      </c>
      <c r="Q22" s="49">
        <f>IF(SUM(E22,H22,K22,N22)&gt;0,SUM(C22*E22+F22*H22+I22*K22+L22*N22)/SUM(C22+F22+I22+L22),"")</f>
        <v>1.4964803792235879</v>
      </c>
      <c r="R22" s="5"/>
      <c r="S22" s="5"/>
    </row>
    <row r="23" spans="1:21" s="4" customFormat="1" ht="15" customHeight="1">
      <c r="A23" s="58"/>
      <c r="B23" s="55">
        <v>11</v>
      </c>
      <c r="C23" s="54">
        <v>8.5858452235234672</v>
      </c>
      <c r="D23" s="53">
        <v>49.884611092511996</v>
      </c>
      <c r="E23" s="52">
        <v>1.5104093950171407</v>
      </c>
      <c r="F23" s="54">
        <v>1178.3007645007281</v>
      </c>
      <c r="G23" s="53">
        <v>45.983388664889759</v>
      </c>
      <c r="H23" s="52">
        <v>1.1406352969079698</v>
      </c>
      <c r="I23" s="54">
        <v>457.17823342443603</v>
      </c>
      <c r="J23" s="53">
        <v>46.071620293046045</v>
      </c>
      <c r="K23" s="52">
        <v>1.098888813645335</v>
      </c>
      <c r="L23" s="54">
        <v>1.4309215311169416</v>
      </c>
      <c r="M23" s="53">
        <v>49</v>
      </c>
      <c r="N23" s="52">
        <v>1.4152825917506471</v>
      </c>
      <c r="O23" s="51">
        <f>SUM(C23+F23+I23+L23)</f>
        <v>1645.4957646798043</v>
      </c>
      <c r="P23" s="50">
        <f>IF(SUM(D23+G23+J23+M23)&gt;0,(C23*D23+F23*G23+I23*J23+L23*M23)/SUM(C23+F23+I23+L23),"")</f>
        <v>46.030881589287773</v>
      </c>
      <c r="Q23" s="49">
        <f>IF(SUM(E23,H23,K23,N23)&gt;0,SUM(C23*E23+F23*H23+I23*K23+L23*N23)/SUM(C23+F23+I23+L23),"")</f>
        <v>1.1312048493181963</v>
      </c>
      <c r="R23" s="5"/>
      <c r="S23" s="5"/>
      <c r="U23" s="57"/>
    </row>
    <row r="24" spans="1:21" s="4" customFormat="1" ht="15" customHeight="1" thickBot="1">
      <c r="A24" s="56" t="s">
        <v>75</v>
      </c>
      <c r="B24" s="55" t="s">
        <v>76</v>
      </c>
      <c r="C24" s="54">
        <v>31.869477047744393</v>
      </c>
      <c r="D24" s="53">
        <v>49.811797246106671</v>
      </c>
      <c r="E24" s="52">
        <v>1.5102959956454998</v>
      </c>
      <c r="F24" s="54">
        <v>1552.3711334246705</v>
      </c>
      <c r="G24" s="53">
        <v>47.294943484205241</v>
      </c>
      <c r="H24" s="52">
        <v>1.2403680128987014</v>
      </c>
      <c r="I24" s="54">
        <v>451.60216738009251</v>
      </c>
      <c r="J24" s="53">
        <v>48.915594706264315</v>
      </c>
      <c r="K24" s="52">
        <v>1.3166607135291102</v>
      </c>
      <c r="L24" s="54">
        <v>20.803859157853232</v>
      </c>
      <c r="M24" s="53">
        <v>51.275126171593364</v>
      </c>
      <c r="N24" s="52">
        <v>1.6235224461461077</v>
      </c>
      <c r="O24" s="51">
        <f>SUM(C24+F24+I24+L24)</f>
        <v>2056.6466370103608</v>
      </c>
      <c r="P24" s="50">
        <f>IF(SUM(D24+G24+J24+M24)&gt;0,(C24*D24+F24*G24+I24*J24+L24*M24)/SUM(C24+F24+I24+L24),"")</f>
        <v>47.730071017342546</v>
      </c>
      <c r="Q24" s="49">
        <f>IF(SUM(E24,H24,K24,N24)&gt;0,SUM(C24*E24+F24*H24+I24*K24+L24*N24)/SUM(C24+F24+I24+L24),"")</f>
        <v>1.2651790341783842</v>
      </c>
      <c r="R24" s="5"/>
      <c r="S24" s="5"/>
    </row>
    <row r="25" spans="1:21" s="4" customFormat="1" ht="15" customHeight="1" thickBot="1">
      <c r="A25" s="48"/>
      <c r="B25" s="47" t="s">
        <v>77</v>
      </c>
      <c r="C25" s="44">
        <f>IF(SUM(C12:C24)&gt;0,SUM(C12:C24),"na")</f>
        <v>100936.19312820087</v>
      </c>
      <c r="D25" s="43">
        <f>IF(SUM(D12:D24)&gt;0,SUMPRODUCT(C12:C24,D12:D24)/C25,"na")</f>
        <v>30.769785264218523</v>
      </c>
      <c r="E25" s="45">
        <f>IF(SUM(E12:E24)&gt;0,SUMPRODUCT(C12:C24,E12:E24)/C25,"na")</f>
        <v>0.38511458373140711</v>
      </c>
      <c r="F25" s="44">
        <f>IF(SUM(F12:F24)&gt;0,SUM(F12:F24),"na")</f>
        <v>231500.71316860212</v>
      </c>
      <c r="G25" s="43">
        <f>IF(SUM(G12:G24)&gt;0,SUMPRODUCT(F12:F24,G12:G24)/F25,"na")</f>
        <v>57.992806350575293</v>
      </c>
      <c r="H25" s="46">
        <f>IF(SUM(H12:H24)&gt;0,SUMPRODUCT(F12:F24,H12:H24)/F25,"na")</f>
        <v>0.62991166637916818</v>
      </c>
      <c r="I25" s="44">
        <f>IF(SUM(I12:I24)&gt;0,SUM(I12:I24),"na")</f>
        <v>75822.851504315578</v>
      </c>
      <c r="J25" s="43">
        <f>IF(SUM(J12:J24)&gt;0,SUMPRODUCT(I12:I24,J12:J24)/I25,"na")</f>
        <v>61.986304374729755</v>
      </c>
      <c r="K25" s="45">
        <f>IF(SUM(K12:K24)&gt;0,SUMPRODUCT(I12:I24,K12:K24)/I25,"na")</f>
        <v>0.73134944017297743</v>
      </c>
      <c r="L25" s="44">
        <f>IF(SUM(L12:L24)&gt;0,SUM(L12:L24),"na")</f>
        <v>15425.597091019024</v>
      </c>
      <c r="M25" s="43">
        <f>IF(SUM(M12:M24)&gt;0,SUMPRODUCT(L12:L24,M12:M24)/L25,"na")</f>
        <v>54.930786510656176</v>
      </c>
      <c r="N25" s="45">
        <f>IF(SUM(N12:N24)&gt;0,SUMPRODUCT(L12:L24,N12:N24)/L25,"na")</f>
        <v>0.65974755725502365</v>
      </c>
      <c r="O25" s="44">
        <f>IF(SUM(O12:O24)&gt;0,SUM(O12:O24),"na")</f>
        <v>423685.35489213764</v>
      </c>
      <c r="P25" s="43">
        <f>IF(SUM(P12:P24)&gt;0,SUMPRODUCT(O12:O24,P12:P24)/O25,"na")</f>
        <v>52.110556322822681</v>
      </c>
      <c r="Q25" s="42">
        <f>IF(SUM(Q12:Q24)&gt;0,SUMPRODUCT(O12:O24,Q12:Q24)/O25,"na")</f>
        <v>0.59083231721268381</v>
      </c>
      <c r="R25" s="5"/>
      <c r="S25" s="5"/>
    </row>
    <row r="26" spans="1:21" s="33" customFormat="1" ht="6.75" customHeight="1" thickBot="1">
      <c r="A26" s="25"/>
      <c r="B26" s="25"/>
      <c r="C26" s="41"/>
      <c r="D26" s="40"/>
      <c r="E26" s="38"/>
      <c r="F26" s="37"/>
      <c r="G26" s="39"/>
      <c r="H26" s="38"/>
      <c r="I26" s="37"/>
      <c r="J26" s="39"/>
      <c r="K26" s="38"/>
      <c r="L26" s="37"/>
      <c r="M26" s="39"/>
      <c r="N26" s="38"/>
      <c r="O26" s="37"/>
      <c r="P26" s="36"/>
      <c r="Q26" s="35"/>
      <c r="R26" s="34"/>
      <c r="S26" s="34"/>
    </row>
    <row r="27" spans="1:21" s="4" customFormat="1" ht="13.5" customHeight="1">
      <c r="A27" s="25"/>
      <c r="B27" s="25"/>
      <c r="C27" s="22" t="s">
        <v>78</v>
      </c>
      <c r="D27" s="32"/>
      <c r="E27" s="29" t="s">
        <v>79</v>
      </c>
      <c r="F27" s="22" t="s">
        <v>78</v>
      </c>
      <c r="G27" s="32"/>
      <c r="H27" s="29" t="s">
        <v>79</v>
      </c>
      <c r="I27" s="22" t="s">
        <v>78</v>
      </c>
      <c r="J27" s="32"/>
      <c r="K27" s="29" t="s">
        <v>79</v>
      </c>
      <c r="L27" s="22" t="s">
        <v>78</v>
      </c>
      <c r="M27" s="32"/>
      <c r="N27" s="29" t="s">
        <v>79</v>
      </c>
      <c r="O27" s="22" t="s">
        <v>80</v>
      </c>
      <c r="P27" s="31">
        <f>SUM(M27,J27,G27,D27)</f>
        <v>0</v>
      </c>
      <c r="Q27" s="29" t="s">
        <v>79</v>
      </c>
      <c r="R27" s="5"/>
      <c r="S27" s="5"/>
    </row>
    <row r="28" spans="1:21" s="4" customFormat="1" ht="13.5" customHeight="1">
      <c r="A28" s="19"/>
      <c r="B28" s="25"/>
      <c r="C28" s="22" t="s">
        <v>81</v>
      </c>
      <c r="D28" s="30">
        <f>IF(SUM(E12:E24)&gt;0,(C25*E25),"na")</f>
        <v>38871.999999999993</v>
      </c>
      <c r="E28" s="29" t="s">
        <v>79</v>
      </c>
      <c r="F28" s="22" t="s">
        <v>81</v>
      </c>
      <c r="G28" s="30">
        <f>IF(SUM(H12:H24)&gt;0,(F25*H25),"na")</f>
        <v>145825</v>
      </c>
      <c r="H28" s="29" t="s">
        <v>79</v>
      </c>
      <c r="I28" s="22" t="s">
        <v>81</v>
      </c>
      <c r="J28" s="30">
        <f>IF(SUM(K12:K24)&gt;0,(I25*K25),"na")</f>
        <v>55453</v>
      </c>
      <c r="K28" s="29" t="s">
        <v>79</v>
      </c>
      <c r="L28" s="22" t="s">
        <v>81</v>
      </c>
      <c r="M28" s="30">
        <f>IF(SUM(N12:N24)&gt;0,(L25*N25),"na")</f>
        <v>10177</v>
      </c>
      <c r="N28" s="29" t="s">
        <v>79</v>
      </c>
      <c r="O28" s="22" t="s">
        <v>81</v>
      </c>
      <c r="P28" s="30">
        <f>IF(SUM(Q12:Q24)&gt;0,(O25*Q25),"na")</f>
        <v>250326.99999999997</v>
      </c>
      <c r="Q28" s="29" t="s">
        <v>79</v>
      </c>
      <c r="R28" s="5"/>
      <c r="S28" s="5"/>
    </row>
    <row r="29" spans="1:21" s="4" customFormat="1" ht="13.5" customHeight="1" thickBot="1">
      <c r="A29" s="19"/>
      <c r="B29" s="25">
        <v>111</v>
      </c>
      <c r="C29" s="22" t="s">
        <v>81</v>
      </c>
      <c r="D29" s="28" t="e">
        <f>IF(SUM(E12:E24)&gt;0,D28/D27,"na")</f>
        <v>#DIV/0!</v>
      </c>
      <c r="E29" s="20" t="s">
        <v>83</v>
      </c>
      <c r="F29" s="22" t="s">
        <v>81</v>
      </c>
      <c r="G29" s="28" t="e">
        <f>IF(SUM(H12:H24)&gt;0,G28/G27,"na")</f>
        <v>#DIV/0!</v>
      </c>
      <c r="H29" s="20" t="s">
        <v>83</v>
      </c>
      <c r="I29" s="22" t="s">
        <v>81</v>
      </c>
      <c r="J29" s="28" t="e">
        <f>IF(SUM(K12:K24)&gt;0,J28/J27,"na")</f>
        <v>#DIV/0!</v>
      </c>
      <c r="K29" s="20" t="s">
        <v>83</v>
      </c>
      <c r="L29" s="22" t="s">
        <v>81</v>
      </c>
      <c r="M29" s="28" t="e">
        <f>IF(SUM(N12:N24)&gt;0,M28/M27,"na")</f>
        <v>#DIV/0!</v>
      </c>
      <c r="N29" s="20" t="s">
        <v>83</v>
      </c>
      <c r="O29" s="22" t="s">
        <v>81</v>
      </c>
      <c r="P29" s="28" t="e">
        <f>IF(SUM(Q12:Q24)&gt;0,P28/P27,"na")</f>
        <v>#DIV/0!</v>
      </c>
      <c r="Q29" s="20" t="s">
        <v>83</v>
      </c>
      <c r="R29" s="5"/>
      <c r="S29" s="5"/>
    </row>
    <row r="30" spans="1:21" s="5" customFormat="1" ht="6" customHeight="1" thickBot="1">
      <c r="A30" s="19"/>
      <c r="B30" s="25"/>
      <c r="C30" s="27"/>
      <c r="D30" s="26"/>
      <c r="E30" s="20"/>
      <c r="F30" s="27"/>
      <c r="G30" s="26"/>
      <c r="H30" s="20"/>
      <c r="I30" s="27"/>
      <c r="J30" s="26"/>
      <c r="K30" s="20"/>
      <c r="L30" s="27"/>
      <c r="M30" s="26"/>
      <c r="N30" s="20"/>
      <c r="O30" s="27"/>
      <c r="P30" s="26"/>
      <c r="Q30" s="20"/>
    </row>
    <row r="31" spans="1:21" s="5" customFormat="1" ht="13.5" customHeight="1" thickBot="1">
      <c r="A31" s="19"/>
      <c r="B31" s="25"/>
      <c r="C31" s="22" t="s">
        <v>84</v>
      </c>
      <c r="D31" s="24"/>
      <c r="E31" s="20" t="s">
        <v>85</v>
      </c>
      <c r="F31" s="22" t="s">
        <v>84</v>
      </c>
      <c r="G31" s="24"/>
      <c r="H31" s="20" t="s">
        <v>85</v>
      </c>
      <c r="I31" s="22" t="s">
        <v>84</v>
      </c>
      <c r="J31" s="24"/>
      <c r="K31" s="20" t="s">
        <v>85</v>
      </c>
      <c r="L31" s="22" t="s">
        <v>84</v>
      </c>
      <c r="M31" s="23"/>
      <c r="N31" s="20" t="s">
        <v>85</v>
      </c>
      <c r="O31" s="22" t="s">
        <v>84</v>
      </c>
      <c r="P31" s="21"/>
      <c r="Q31" s="20" t="s">
        <v>85</v>
      </c>
    </row>
    <row r="32" spans="1:21" s="4" customFormat="1" ht="6.75" customHeight="1" thickBot="1">
      <c r="A32" s="19"/>
      <c r="B32" s="7"/>
      <c r="C32" s="18"/>
      <c r="D32" s="11"/>
      <c r="E32" s="10"/>
      <c r="F32" s="18"/>
      <c r="G32" s="11"/>
      <c r="H32" s="10"/>
      <c r="I32" s="18"/>
      <c r="J32" s="11"/>
      <c r="K32" s="10"/>
      <c r="L32" s="18"/>
      <c r="M32" s="11"/>
      <c r="N32" s="10"/>
      <c r="O32" s="18"/>
      <c r="P32" s="11"/>
      <c r="Q32" s="10"/>
      <c r="R32" s="5"/>
      <c r="S32" s="5"/>
    </row>
    <row r="33" spans="1:22" s="4" customFormat="1" ht="15">
      <c r="A33" s="17" t="s">
        <v>86</v>
      </c>
      <c r="B33" s="16"/>
      <c r="C33" s="16"/>
      <c r="D33" s="16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4"/>
      <c r="R33" s="5"/>
      <c r="S33" s="5"/>
    </row>
    <row r="34" spans="1:22" s="4" customFormat="1" ht="15.6" thickBot="1">
      <c r="A34" s="13" t="s">
        <v>87</v>
      </c>
      <c r="B34" s="12"/>
      <c r="C34" s="12"/>
      <c r="D34" s="12"/>
      <c r="E34" s="12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0"/>
      <c r="R34" s="5"/>
      <c r="S34" s="5"/>
    </row>
    <row r="35" spans="1:22" s="4" customFormat="1">
      <c r="A35" s="9"/>
      <c r="B35" s="9"/>
      <c r="C35" s="9"/>
      <c r="D35" s="9"/>
      <c r="E35" s="9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s="4" customFormat="1">
      <c r="A36" s="8"/>
      <c r="B36" s="7"/>
      <c r="D36" s="5"/>
      <c r="E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s="4" customFormat="1">
      <c r="A37" s="8"/>
      <c r="B37" s="7"/>
      <c r="D37" s="6"/>
      <c r="E37" s="5"/>
      <c r="F37" s="5"/>
      <c r="G37" s="6"/>
      <c r="H37" s="5"/>
      <c r="I37" s="5"/>
      <c r="J37" s="6"/>
      <c r="K37" s="5"/>
      <c r="L37" s="5"/>
      <c r="M37" s="6"/>
      <c r="N37" s="5"/>
      <c r="O37" s="5"/>
      <c r="P37" s="6"/>
      <c r="Q37" s="5"/>
      <c r="R37" s="5"/>
      <c r="S37" s="5"/>
      <c r="T37" s="5"/>
      <c r="U37" s="5"/>
      <c r="V37" s="5"/>
    </row>
  </sheetData>
  <mergeCells count="2">
    <mergeCell ref="I6:J6"/>
    <mergeCell ref="C8:D8"/>
  </mergeCells>
  <dataValidations count="1">
    <dataValidation type="decimal" errorStyle="warning" allowBlank="1" showInputMessage="1" showErrorMessage="1" errorTitle="Please Check!" error="Confirm that the value you have entered is correct" sqref="N12:N24 JJ12:JJ24 TF12:TF24 ADB12:ADB24 AMX12:AMX24 AWT12:AWT24 BGP12:BGP24 BQL12:BQL24 CAH12:CAH24 CKD12:CKD24 CTZ12:CTZ24 DDV12:DDV24 DNR12:DNR24 DXN12:DXN24 EHJ12:EHJ24 ERF12:ERF24 FBB12:FBB24 FKX12:FKX24 FUT12:FUT24 GEP12:GEP24 GOL12:GOL24 GYH12:GYH24 HID12:HID24 HRZ12:HRZ24 IBV12:IBV24 ILR12:ILR24 IVN12:IVN24 JFJ12:JFJ24 JPF12:JPF24 JZB12:JZB24 KIX12:KIX24 KST12:KST24 LCP12:LCP24 LML12:LML24 LWH12:LWH24 MGD12:MGD24 MPZ12:MPZ24 MZV12:MZV24 NJR12:NJR24 NTN12:NTN24 ODJ12:ODJ24 ONF12:ONF24 OXB12:OXB24 PGX12:PGX24 PQT12:PQT24 QAP12:QAP24 QKL12:QKL24 QUH12:QUH24 RED12:RED24 RNZ12:RNZ24 RXV12:RXV24 SHR12:SHR24 SRN12:SRN24 TBJ12:TBJ24 TLF12:TLF24 TVB12:TVB24 UEX12:UEX24 UOT12:UOT24 UYP12:UYP24 VIL12:VIL24 VSH12:VSH24 WCD12:WCD24 WLZ12:WLZ24 WVV12:WVV24 N65548:N65560 JJ65548:JJ65560 TF65548:TF65560 ADB65548:ADB65560 AMX65548:AMX65560 AWT65548:AWT65560 BGP65548:BGP65560 BQL65548:BQL65560 CAH65548:CAH65560 CKD65548:CKD65560 CTZ65548:CTZ65560 DDV65548:DDV65560 DNR65548:DNR65560 DXN65548:DXN65560 EHJ65548:EHJ65560 ERF65548:ERF65560 FBB65548:FBB65560 FKX65548:FKX65560 FUT65548:FUT65560 GEP65548:GEP65560 GOL65548:GOL65560 GYH65548:GYH65560 HID65548:HID65560 HRZ65548:HRZ65560 IBV65548:IBV65560 ILR65548:ILR65560 IVN65548:IVN65560 JFJ65548:JFJ65560 JPF65548:JPF65560 JZB65548:JZB65560 KIX65548:KIX65560 KST65548:KST65560 LCP65548:LCP65560 LML65548:LML65560 LWH65548:LWH65560 MGD65548:MGD65560 MPZ65548:MPZ65560 MZV65548:MZV65560 NJR65548:NJR65560 NTN65548:NTN65560 ODJ65548:ODJ65560 ONF65548:ONF65560 OXB65548:OXB65560 PGX65548:PGX65560 PQT65548:PQT65560 QAP65548:QAP65560 QKL65548:QKL65560 QUH65548:QUH65560 RED65548:RED65560 RNZ65548:RNZ65560 RXV65548:RXV65560 SHR65548:SHR65560 SRN65548:SRN65560 TBJ65548:TBJ65560 TLF65548:TLF65560 TVB65548:TVB65560 UEX65548:UEX65560 UOT65548:UOT65560 UYP65548:UYP65560 VIL65548:VIL65560 VSH65548:VSH65560 WCD65548:WCD65560 WLZ65548:WLZ65560 WVV65548:WVV65560 N131084:N131096 JJ131084:JJ131096 TF131084:TF131096 ADB131084:ADB131096 AMX131084:AMX131096 AWT131084:AWT131096 BGP131084:BGP131096 BQL131084:BQL131096 CAH131084:CAH131096 CKD131084:CKD131096 CTZ131084:CTZ131096 DDV131084:DDV131096 DNR131084:DNR131096 DXN131084:DXN131096 EHJ131084:EHJ131096 ERF131084:ERF131096 FBB131084:FBB131096 FKX131084:FKX131096 FUT131084:FUT131096 GEP131084:GEP131096 GOL131084:GOL131096 GYH131084:GYH131096 HID131084:HID131096 HRZ131084:HRZ131096 IBV131084:IBV131096 ILR131084:ILR131096 IVN131084:IVN131096 JFJ131084:JFJ131096 JPF131084:JPF131096 JZB131084:JZB131096 KIX131084:KIX131096 KST131084:KST131096 LCP131084:LCP131096 LML131084:LML131096 LWH131084:LWH131096 MGD131084:MGD131096 MPZ131084:MPZ131096 MZV131084:MZV131096 NJR131084:NJR131096 NTN131084:NTN131096 ODJ131084:ODJ131096 ONF131084:ONF131096 OXB131084:OXB131096 PGX131084:PGX131096 PQT131084:PQT131096 QAP131084:QAP131096 QKL131084:QKL131096 QUH131084:QUH131096 RED131084:RED131096 RNZ131084:RNZ131096 RXV131084:RXV131096 SHR131084:SHR131096 SRN131084:SRN131096 TBJ131084:TBJ131096 TLF131084:TLF131096 TVB131084:TVB131096 UEX131084:UEX131096 UOT131084:UOT131096 UYP131084:UYP131096 VIL131084:VIL131096 VSH131084:VSH131096 WCD131084:WCD131096 WLZ131084:WLZ131096 WVV131084:WVV131096 N196620:N196632 JJ196620:JJ196632 TF196620:TF196632 ADB196620:ADB196632 AMX196620:AMX196632 AWT196620:AWT196632 BGP196620:BGP196632 BQL196620:BQL196632 CAH196620:CAH196632 CKD196620:CKD196632 CTZ196620:CTZ196632 DDV196620:DDV196632 DNR196620:DNR196632 DXN196620:DXN196632 EHJ196620:EHJ196632 ERF196620:ERF196632 FBB196620:FBB196632 FKX196620:FKX196632 FUT196620:FUT196632 GEP196620:GEP196632 GOL196620:GOL196632 GYH196620:GYH196632 HID196620:HID196632 HRZ196620:HRZ196632 IBV196620:IBV196632 ILR196620:ILR196632 IVN196620:IVN196632 JFJ196620:JFJ196632 JPF196620:JPF196632 JZB196620:JZB196632 KIX196620:KIX196632 KST196620:KST196632 LCP196620:LCP196632 LML196620:LML196632 LWH196620:LWH196632 MGD196620:MGD196632 MPZ196620:MPZ196632 MZV196620:MZV196632 NJR196620:NJR196632 NTN196620:NTN196632 ODJ196620:ODJ196632 ONF196620:ONF196632 OXB196620:OXB196632 PGX196620:PGX196632 PQT196620:PQT196632 QAP196620:QAP196632 QKL196620:QKL196632 QUH196620:QUH196632 RED196620:RED196632 RNZ196620:RNZ196632 RXV196620:RXV196632 SHR196620:SHR196632 SRN196620:SRN196632 TBJ196620:TBJ196632 TLF196620:TLF196632 TVB196620:TVB196632 UEX196620:UEX196632 UOT196620:UOT196632 UYP196620:UYP196632 VIL196620:VIL196632 VSH196620:VSH196632 WCD196620:WCD196632 WLZ196620:WLZ196632 WVV196620:WVV196632 N262156:N262168 JJ262156:JJ262168 TF262156:TF262168 ADB262156:ADB262168 AMX262156:AMX262168 AWT262156:AWT262168 BGP262156:BGP262168 BQL262156:BQL262168 CAH262156:CAH262168 CKD262156:CKD262168 CTZ262156:CTZ262168 DDV262156:DDV262168 DNR262156:DNR262168 DXN262156:DXN262168 EHJ262156:EHJ262168 ERF262156:ERF262168 FBB262156:FBB262168 FKX262156:FKX262168 FUT262156:FUT262168 GEP262156:GEP262168 GOL262156:GOL262168 GYH262156:GYH262168 HID262156:HID262168 HRZ262156:HRZ262168 IBV262156:IBV262168 ILR262156:ILR262168 IVN262156:IVN262168 JFJ262156:JFJ262168 JPF262156:JPF262168 JZB262156:JZB262168 KIX262156:KIX262168 KST262156:KST262168 LCP262156:LCP262168 LML262156:LML262168 LWH262156:LWH262168 MGD262156:MGD262168 MPZ262156:MPZ262168 MZV262156:MZV262168 NJR262156:NJR262168 NTN262156:NTN262168 ODJ262156:ODJ262168 ONF262156:ONF262168 OXB262156:OXB262168 PGX262156:PGX262168 PQT262156:PQT262168 QAP262156:QAP262168 QKL262156:QKL262168 QUH262156:QUH262168 RED262156:RED262168 RNZ262156:RNZ262168 RXV262156:RXV262168 SHR262156:SHR262168 SRN262156:SRN262168 TBJ262156:TBJ262168 TLF262156:TLF262168 TVB262156:TVB262168 UEX262156:UEX262168 UOT262156:UOT262168 UYP262156:UYP262168 VIL262156:VIL262168 VSH262156:VSH262168 WCD262156:WCD262168 WLZ262156:WLZ262168 WVV262156:WVV262168 N327692:N327704 JJ327692:JJ327704 TF327692:TF327704 ADB327692:ADB327704 AMX327692:AMX327704 AWT327692:AWT327704 BGP327692:BGP327704 BQL327692:BQL327704 CAH327692:CAH327704 CKD327692:CKD327704 CTZ327692:CTZ327704 DDV327692:DDV327704 DNR327692:DNR327704 DXN327692:DXN327704 EHJ327692:EHJ327704 ERF327692:ERF327704 FBB327692:FBB327704 FKX327692:FKX327704 FUT327692:FUT327704 GEP327692:GEP327704 GOL327692:GOL327704 GYH327692:GYH327704 HID327692:HID327704 HRZ327692:HRZ327704 IBV327692:IBV327704 ILR327692:ILR327704 IVN327692:IVN327704 JFJ327692:JFJ327704 JPF327692:JPF327704 JZB327692:JZB327704 KIX327692:KIX327704 KST327692:KST327704 LCP327692:LCP327704 LML327692:LML327704 LWH327692:LWH327704 MGD327692:MGD327704 MPZ327692:MPZ327704 MZV327692:MZV327704 NJR327692:NJR327704 NTN327692:NTN327704 ODJ327692:ODJ327704 ONF327692:ONF327704 OXB327692:OXB327704 PGX327692:PGX327704 PQT327692:PQT327704 QAP327692:QAP327704 QKL327692:QKL327704 QUH327692:QUH327704 RED327692:RED327704 RNZ327692:RNZ327704 RXV327692:RXV327704 SHR327692:SHR327704 SRN327692:SRN327704 TBJ327692:TBJ327704 TLF327692:TLF327704 TVB327692:TVB327704 UEX327692:UEX327704 UOT327692:UOT327704 UYP327692:UYP327704 VIL327692:VIL327704 VSH327692:VSH327704 WCD327692:WCD327704 WLZ327692:WLZ327704 WVV327692:WVV327704 N393228:N393240 JJ393228:JJ393240 TF393228:TF393240 ADB393228:ADB393240 AMX393228:AMX393240 AWT393228:AWT393240 BGP393228:BGP393240 BQL393228:BQL393240 CAH393228:CAH393240 CKD393228:CKD393240 CTZ393228:CTZ393240 DDV393228:DDV393240 DNR393228:DNR393240 DXN393228:DXN393240 EHJ393228:EHJ393240 ERF393228:ERF393240 FBB393228:FBB393240 FKX393228:FKX393240 FUT393228:FUT393240 GEP393228:GEP393240 GOL393228:GOL393240 GYH393228:GYH393240 HID393228:HID393240 HRZ393228:HRZ393240 IBV393228:IBV393240 ILR393228:ILR393240 IVN393228:IVN393240 JFJ393228:JFJ393240 JPF393228:JPF393240 JZB393228:JZB393240 KIX393228:KIX393240 KST393228:KST393240 LCP393228:LCP393240 LML393228:LML393240 LWH393228:LWH393240 MGD393228:MGD393240 MPZ393228:MPZ393240 MZV393228:MZV393240 NJR393228:NJR393240 NTN393228:NTN393240 ODJ393228:ODJ393240 ONF393228:ONF393240 OXB393228:OXB393240 PGX393228:PGX393240 PQT393228:PQT393240 QAP393228:QAP393240 QKL393228:QKL393240 QUH393228:QUH393240 RED393228:RED393240 RNZ393228:RNZ393240 RXV393228:RXV393240 SHR393228:SHR393240 SRN393228:SRN393240 TBJ393228:TBJ393240 TLF393228:TLF393240 TVB393228:TVB393240 UEX393228:UEX393240 UOT393228:UOT393240 UYP393228:UYP393240 VIL393228:VIL393240 VSH393228:VSH393240 WCD393228:WCD393240 WLZ393228:WLZ393240 WVV393228:WVV393240 N458764:N458776 JJ458764:JJ458776 TF458764:TF458776 ADB458764:ADB458776 AMX458764:AMX458776 AWT458764:AWT458776 BGP458764:BGP458776 BQL458764:BQL458776 CAH458764:CAH458776 CKD458764:CKD458776 CTZ458764:CTZ458776 DDV458764:DDV458776 DNR458764:DNR458776 DXN458764:DXN458776 EHJ458764:EHJ458776 ERF458764:ERF458776 FBB458764:FBB458776 FKX458764:FKX458776 FUT458764:FUT458776 GEP458764:GEP458776 GOL458764:GOL458776 GYH458764:GYH458776 HID458764:HID458776 HRZ458764:HRZ458776 IBV458764:IBV458776 ILR458764:ILR458776 IVN458764:IVN458776 JFJ458764:JFJ458776 JPF458764:JPF458776 JZB458764:JZB458776 KIX458764:KIX458776 KST458764:KST458776 LCP458764:LCP458776 LML458764:LML458776 LWH458764:LWH458776 MGD458764:MGD458776 MPZ458764:MPZ458776 MZV458764:MZV458776 NJR458764:NJR458776 NTN458764:NTN458776 ODJ458764:ODJ458776 ONF458764:ONF458776 OXB458764:OXB458776 PGX458764:PGX458776 PQT458764:PQT458776 QAP458764:QAP458776 QKL458764:QKL458776 QUH458764:QUH458776 RED458764:RED458776 RNZ458764:RNZ458776 RXV458764:RXV458776 SHR458764:SHR458776 SRN458764:SRN458776 TBJ458764:TBJ458776 TLF458764:TLF458776 TVB458764:TVB458776 UEX458764:UEX458776 UOT458764:UOT458776 UYP458764:UYP458776 VIL458764:VIL458776 VSH458764:VSH458776 WCD458764:WCD458776 WLZ458764:WLZ458776 WVV458764:WVV458776 N524300:N524312 JJ524300:JJ524312 TF524300:TF524312 ADB524300:ADB524312 AMX524300:AMX524312 AWT524300:AWT524312 BGP524300:BGP524312 BQL524300:BQL524312 CAH524300:CAH524312 CKD524300:CKD524312 CTZ524300:CTZ524312 DDV524300:DDV524312 DNR524300:DNR524312 DXN524300:DXN524312 EHJ524300:EHJ524312 ERF524300:ERF524312 FBB524300:FBB524312 FKX524300:FKX524312 FUT524300:FUT524312 GEP524300:GEP524312 GOL524300:GOL524312 GYH524300:GYH524312 HID524300:HID524312 HRZ524300:HRZ524312 IBV524300:IBV524312 ILR524300:ILR524312 IVN524300:IVN524312 JFJ524300:JFJ524312 JPF524300:JPF524312 JZB524300:JZB524312 KIX524300:KIX524312 KST524300:KST524312 LCP524300:LCP524312 LML524300:LML524312 LWH524300:LWH524312 MGD524300:MGD524312 MPZ524300:MPZ524312 MZV524300:MZV524312 NJR524300:NJR524312 NTN524300:NTN524312 ODJ524300:ODJ524312 ONF524300:ONF524312 OXB524300:OXB524312 PGX524300:PGX524312 PQT524300:PQT524312 QAP524300:QAP524312 QKL524300:QKL524312 QUH524300:QUH524312 RED524300:RED524312 RNZ524300:RNZ524312 RXV524300:RXV524312 SHR524300:SHR524312 SRN524300:SRN524312 TBJ524300:TBJ524312 TLF524300:TLF524312 TVB524300:TVB524312 UEX524300:UEX524312 UOT524300:UOT524312 UYP524300:UYP524312 VIL524300:VIL524312 VSH524300:VSH524312 WCD524300:WCD524312 WLZ524300:WLZ524312 WVV524300:WVV524312 N589836:N589848 JJ589836:JJ589848 TF589836:TF589848 ADB589836:ADB589848 AMX589836:AMX589848 AWT589836:AWT589848 BGP589836:BGP589848 BQL589836:BQL589848 CAH589836:CAH589848 CKD589836:CKD589848 CTZ589836:CTZ589848 DDV589836:DDV589848 DNR589836:DNR589848 DXN589836:DXN589848 EHJ589836:EHJ589848 ERF589836:ERF589848 FBB589836:FBB589848 FKX589836:FKX589848 FUT589836:FUT589848 GEP589836:GEP589848 GOL589836:GOL589848 GYH589836:GYH589848 HID589836:HID589848 HRZ589836:HRZ589848 IBV589836:IBV589848 ILR589836:ILR589848 IVN589836:IVN589848 JFJ589836:JFJ589848 JPF589836:JPF589848 JZB589836:JZB589848 KIX589836:KIX589848 KST589836:KST589848 LCP589836:LCP589848 LML589836:LML589848 LWH589836:LWH589848 MGD589836:MGD589848 MPZ589836:MPZ589848 MZV589836:MZV589848 NJR589836:NJR589848 NTN589836:NTN589848 ODJ589836:ODJ589848 ONF589836:ONF589848 OXB589836:OXB589848 PGX589836:PGX589848 PQT589836:PQT589848 QAP589836:QAP589848 QKL589836:QKL589848 QUH589836:QUH589848 RED589836:RED589848 RNZ589836:RNZ589848 RXV589836:RXV589848 SHR589836:SHR589848 SRN589836:SRN589848 TBJ589836:TBJ589848 TLF589836:TLF589848 TVB589836:TVB589848 UEX589836:UEX589848 UOT589836:UOT589848 UYP589836:UYP589848 VIL589836:VIL589848 VSH589836:VSH589848 WCD589836:WCD589848 WLZ589836:WLZ589848 WVV589836:WVV589848 N655372:N655384 JJ655372:JJ655384 TF655372:TF655384 ADB655372:ADB655384 AMX655372:AMX655384 AWT655372:AWT655384 BGP655372:BGP655384 BQL655372:BQL655384 CAH655372:CAH655384 CKD655372:CKD655384 CTZ655372:CTZ655384 DDV655372:DDV655384 DNR655372:DNR655384 DXN655372:DXN655384 EHJ655372:EHJ655384 ERF655372:ERF655384 FBB655372:FBB655384 FKX655372:FKX655384 FUT655372:FUT655384 GEP655372:GEP655384 GOL655372:GOL655384 GYH655372:GYH655384 HID655372:HID655384 HRZ655372:HRZ655384 IBV655372:IBV655384 ILR655372:ILR655384 IVN655372:IVN655384 JFJ655372:JFJ655384 JPF655372:JPF655384 JZB655372:JZB655384 KIX655372:KIX655384 KST655372:KST655384 LCP655372:LCP655384 LML655372:LML655384 LWH655372:LWH655384 MGD655372:MGD655384 MPZ655372:MPZ655384 MZV655372:MZV655384 NJR655372:NJR655384 NTN655372:NTN655384 ODJ655372:ODJ655384 ONF655372:ONF655384 OXB655372:OXB655384 PGX655372:PGX655384 PQT655372:PQT655384 QAP655372:QAP655384 QKL655372:QKL655384 QUH655372:QUH655384 RED655372:RED655384 RNZ655372:RNZ655384 RXV655372:RXV655384 SHR655372:SHR655384 SRN655372:SRN655384 TBJ655372:TBJ655384 TLF655372:TLF655384 TVB655372:TVB655384 UEX655372:UEX655384 UOT655372:UOT655384 UYP655372:UYP655384 VIL655372:VIL655384 VSH655372:VSH655384 WCD655372:WCD655384 WLZ655372:WLZ655384 WVV655372:WVV655384 N720908:N720920 JJ720908:JJ720920 TF720908:TF720920 ADB720908:ADB720920 AMX720908:AMX720920 AWT720908:AWT720920 BGP720908:BGP720920 BQL720908:BQL720920 CAH720908:CAH720920 CKD720908:CKD720920 CTZ720908:CTZ720920 DDV720908:DDV720920 DNR720908:DNR720920 DXN720908:DXN720920 EHJ720908:EHJ720920 ERF720908:ERF720920 FBB720908:FBB720920 FKX720908:FKX720920 FUT720908:FUT720920 GEP720908:GEP720920 GOL720908:GOL720920 GYH720908:GYH720920 HID720908:HID720920 HRZ720908:HRZ720920 IBV720908:IBV720920 ILR720908:ILR720920 IVN720908:IVN720920 JFJ720908:JFJ720920 JPF720908:JPF720920 JZB720908:JZB720920 KIX720908:KIX720920 KST720908:KST720920 LCP720908:LCP720920 LML720908:LML720920 LWH720908:LWH720920 MGD720908:MGD720920 MPZ720908:MPZ720920 MZV720908:MZV720920 NJR720908:NJR720920 NTN720908:NTN720920 ODJ720908:ODJ720920 ONF720908:ONF720920 OXB720908:OXB720920 PGX720908:PGX720920 PQT720908:PQT720920 QAP720908:QAP720920 QKL720908:QKL720920 QUH720908:QUH720920 RED720908:RED720920 RNZ720908:RNZ720920 RXV720908:RXV720920 SHR720908:SHR720920 SRN720908:SRN720920 TBJ720908:TBJ720920 TLF720908:TLF720920 TVB720908:TVB720920 UEX720908:UEX720920 UOT720908:UOT720920 UYP720908:UYP720920 VIL720908:VIL720920 VSH720908:VSH720920 WCD720908:WCD720920 WLZ720908:WLZ720920 WVV720908:WVV720920 N786444:N786456 JJ786444:JJ786456 TF786444:TF786456 ADB786444:ADB786456 AMX786444:AMX786456 AWT786444:AWT786456 BGP786444:BGP786456 BQL786444:BQL786456 CAH786444:CAH786456 CKD786444:CKD786456 CTZ786444:CTZ786456 DDV786444:DDV786456 DNR786444:DNR786456 DXN786444:DXN786456 EHJ786444:EHJ786456 ERF786444:ERF786456 FBB786444:FBB786456 FKX786444:FKX786456 FUT786444:FUT786456 GEP786444:GEP786456 GOL786444:GOL786456 GYH786444:GYH786456 HID786444:HID786456 HRZ786444:HRZ786456 IBV786444:IBV786456 ILR786444:ILR786456 IVN786444:IVN786456 JFJ786444:JFJ786456 JPF786444:JPF786456 JZB786444:JZB786456 KIX786444:KIX786456 KST786444:KST786456 LCP786444:LCP786456 LML786444:LML786456 LWH786444:LWH786456 MGD786444:MGD786456 MPZ786444:MPZ786456 MZV786444:MZV786456 NJR786444:NJR786456 NTN786444:NTN786456 ODJ786444:ODJ786456 ONF786444:ONF786456 OXB786444:OXB786456 PGX786444:PGX786456 PQT786444:PQT786456 QAP786444:QAP786456 QKL786444:QKL786456 QUH786444:QUH786456 RED786444:RED786456 RNZ786444:RNZ786456 RXV786444:RXV786456 SHR786444:SHR786456 SRN786444:SRN786456 TBJ786444:TBJ786456 TLF786444:TLF786456 TVB786444:TVB786456 UEX786444:UEX786456 UOT786444:UOT786456 UYP786444:UYP786456 VIL786444:VIL786456 VSH786444:VSH786456 WCD786444:WCD786456 WLZ786444:WLZ786456 WVV786444:WVV786456 N851980:N851992 JJ851980:JJ851992 TF851980:TF851992 ADB851980:ADB851992 AMX851980:AMX851992 AWT851980:AWT851992 BGP851980:BGP851992 BQL851980:BQL851992 CAH851980:CAH851992 CKD851980:CKD851992 CTZ851980:CTZ851992 DDV851980:DDV851992 DNR851980:DNR851992 DXN851980:DXN851992 EHJ851980:EHJ851992 ERF851980:ERF851992 FBB851980:FBB851992 FKX851980:FKX851992 FUT851980:FUT851992 GEP851980:GEP851992 GOL851980:GOL851992 GYH851980:GYH851992 HID851980:HID851992 HRZ851980:HRZ851992 IBV851980:IBV851992 ILR851980:ILR851992 IVN851980:IVN851992 JFJ851980:JFJ851992 JPF851980:JPF851992 JZB851980:JZB851992 KIX851980:KIX851992 KST851980:KST851992 LCP851980:LCP851992 LML851980:LML851992 LWH851980:LWH851992 MGD851980:MGD851992 MPZ851980:MPZ851992 MZV851980:MZV851992 NJR851980:NJR851992 NTN851980:NTN851992 ODJ851980:ODJ851992 ONF851980:ONF851992 OXB851980:OXB851992 PGX851980:PGX851992 PQT851980:PQT851992 QAP851980:QAP851992 QKL851980:QKL851992 QUH851980:QUH851992 RED851980:RED851992 RNZ851980:RNZ851992 RXV851980:RXV851992 SHR851980:SHR851992 SRN851980:SRN851992 TBJ851980:TBJ851992 TLF851980:TLF851992 TVB851980:TVB851992 UEX851980:UEX851992 UOT851980:UOT851992 UYP851980:UYP851992 VIL851980:VIL851992 VSH851980:VSH851992 WCD851980:WCD851992 WLZ851980:WLZ851992 WVV851980:WVV851992 N917516:N917528 JJ917516:JJ917528 TF917516:TF917528 ADB917516:ADB917528 AMX917516:AMX917528 AWT917516:AWT917528 BGP917516:BGP917528 BQL917516:BQL917528 CAH917516:CAH917528 CKD917516:CKD917528 CTZ917516:CTZ917528 DDV917516:DDV917528 DNR917516:DNR917528 DXN917516:DXN917528 EHJ917516:EHJ917528 ERF917516:ERF917528 FBB917516:FBB917528 FKX917516:FKX917528 FUT917516:FUT917528 GEP917516:GEP917528 GOL917516:GOL917528 GYH917516:GYH917528 HID917516:HID917528 HRZ917516:HRZ917528 IBV917516:IBV917528 ILR917516:ILR917528 IVN917516:IVN917528 JFJ917516:JFJ917528 JPF917516:JPF917528 JZB917516:JZB917528 KIX917516:KIX917528 KST917516:KST917528 LCP917516:LCP917528 LML917516:LML917528 LWH917516:LWH917528 MGD917516:MGD917528 MPZ917516:MPZ917528 MZV917516:MZV917528 NJR917516:NJR917528 NTN917516:NTN917528 ODJ917516:ODJ917528 ONF917516:ONF917528 OXB917516:OXB917528 PGX917516:PGX917528 PQT917516:PQT917528 QAP917516:QAP917528 QKL917516:QKL917528 QUH917516:QUH917528 RED917516:RED917528 RNZ917516:RNZ917528 RXV917516:RXV917528 SHR917516:SHR917528 SRN917516:SRN917528 TBJ917516:TBJ917528 TLF917516:TLF917528 TVB917516:TVB917528 UEX917516:UEX917528 UOT917516:UOT917528 UYP917516:UYP917528 VIL917516:VIL917528 VSH917516:VSH917528 WCD917516:WCD917528 WLZ917516:WLZ917528 WVV917516:WVV917528 N983052:N983064 JJ983052:JJ983064 TF983052:TF983064 ADB983052:ADB983064 AMX983052:AMX983064 AWT983052:AWT983064 BGP983052:BGP983064 BQL983052:BQL983064 CAH983052:CAH983064 CKD983052:CKD983064 CTZ983052:CTZ983064 DDV983052:DDV983064 DNR983052:DNR983064 DXN983052:DXN983064 EHJ983052:EHJ983064 ERF983052:ERF983064 FBB983052:FBB983064 FKX983052:FKX983064 FUT983052:FUT983064 GEP983052:GEP983064 GOL983052:GOL983064 GYH983052:GYH983064 HID983052:HID983064 HRZ983052:HRZ983064 IBV983052:IBV983064 ILR983052:ILR983064 IVN983052:IVN983064 JFJ983052:JFJ983064 JPF983052:JPF983064 JZB983052:JZB983064 KIX983052:KIX983064 KST983052:KST983064 LCP983052:LCP983064 LML983052:LML983064 LWH983052:LWH983064 MGD983052:MGD983064 MPZ983052:MPZ983064 MZV983052:MZV983064 NJR983052:NJR983064 NTN983052:NTN983064 ODJ983052:ODJ983064 ONF983052:ONF983064 OXB983052:OXB983064 PGX983052:PGX983064 PQT983052:PQT983064 QAP983052:QAP983064 QKL983052:QKL983064 QUH983052:QUH983064 RED983052:RED983064 RNZ983052:RNZ983064 RXV983052:RXV983064 SHR983052:SHR983064 SRN983052:SRN983064 TBJ983052:TBJ983064 TLF983052:TLF983064 TVB983052:TVB983064 UEX983052:UEX983064 UOT983052:UOT983064 UYP983052:UYP983064 VIL983052:VIL983064 VSH983052:VSH983064 WCD983052:WCD983064 WLZ983052:WLZ983064 WVV983052:WVV983064 H12:H24 JD12:JD24 SZ12:SZ24 ACV12:ACV24 AMR12:AMR24 AWN12:AWN24 BGJ12:BGJ24 BQF12:BQF24 CAB12:CAB24 CJX12:CJX24 CTT12:CTT24 DDP12:DDP24 DNL12:DNL24 DXH12:DXH24 EHD12:EHD24 EQZ12:EQZ24 FAV12:FAV24 FKR12:FKR24 FUN12:FUN24 GEJ12:GEJ24 GOF12:GOF24 GYB12:GYB24 HHX12:HHX24 HRT12:HRT24 IBP12:IBP24 ILL12:ILL24 IVH12:IVH24 JFD12:JFD24 JOZ12:JOZ24 JYV12:JYV24 KIR12:KIR24 KSN12:KSN24 LCJ12:LCJ24 LMF12:LMF24 LWB12:LWB24 MFX12:MFX24 MPT12:MPT24 MZP12:MZP24 NJL12:NJL24 NTH12:NTH24 ODD12:ODD24 OMZ12:OMZ24 OWV12:OWV24 PGR12:PGR24 PQN12:PQN24 QAJ12:QAJ24 QKF12:QKF24 QUB12:QUB24 RDX12:RDX24 RNT12:RNT24 RXP12:RXP24 SHL12:SHL24 SRH12:SRH24 TBD12:TBD24 TKZ12:TKZ24 TUV12:TUV24 UER12:UER24 UON12:UON24 UYJ12:UYJ24 VIF12:VIF24 VSB12:VSB24 WBX12:WBX24 WLT12:WLT24 WVP12:WVP24 H65548:H65560 JD65548:JD65560 SZ65548:SZ65560 ACV65548:ACV65560 AMR65548:AMR65560 AWN65548:AWN65560 BGJ65548:BGJ65560 BQF65548:BQF65560 CAB65548:CAB65560 CJX65548:CJX65560 CTT65548:CTT65560 DDP65548:DDP65560 DNL65548:DNL65560 DXH65548:DXH65560 EHD65548:EHD65560 EQZ65548:EQZ65560 FAV65548:FAV65560 FKR65548:FKR65560 FUN65548:FUN65560 GEJ65548:GEJ65560 GOF65548:GOF65560 GYB65548:GYB65560 HHX65548:HHX65560 HRT65548:HRT65560 IBP65548:IBP65560 ILL65548:ILL65560 IVH65548:IVH65560 JFD65548:JFD65560 JOZ65548:JOZ65560 JYV65548:JYV65560 KIR65548:KIR65560 KSN65548:KSN65560 LCJ65548:LCJ65560 LMF65548:LMF65560 LWB65548:LWB65560 MFX65548:MFX65560 MPT65548:MPT65560 MZP65548:MZP65560 NJL65548:NJL65560 NTH65548:NTH65560 ODD65548:ODD65560 OMZ65548:OMZ65560 OWV65548:OWV65560 PGR65548:PGR65560 PQN65548:PQN65560 QAJ65548:QAJ65560 QKF65548:QKF65560 QUB65548:QUB65560 RDX65548:RDX65560 RNT65548:RNT65560 RXP65548:RXP65560 SHL65548:SHL65560 SRH65548:SRH65560 TBD65548:TBD65560 TKZ65548:TKZ65560 TUV65548:TUV65560 UER65548:UER65560 UON65548:UON65560 UYJ65548:UYJ65560 VIF65548:VIF65560 VSB65548:VSB65560 WBX65548:WBX65560 WLT65548:WLT65560 WVP65548:WVP65560 H131084:H131096 JD131084:JD131096 SZ131084:SZ131096 ACV131084:ACV131096 AMR131084:AMR131096 AWN131084:AWN131096 BGJ131084:BGJ131096 BQF131084:BQF131096 CAB131084:CAB131096 CJX131084:CJX131096 CTT131084:CTT131096 DDP131084:DDP131096 DNL131084:DNL131096 DXH131084:DXH131096 EHD131084:EHD131096 EQZ131084:EQZ131096 FAV131084:FAV131096 FKR131084:FKR131096 FUN131084:FUN131096 GEJ131084:GEJ131096 GOF131084:GOF131096 GYB131084:GYB131096 HHX131084:HHX131096 HRT131084:HRT131096 IBP131084:IBP131096 ILL131084:ILL131096 IVH131084:IVH131096 JFD131084:JFD131096 JOZ131084:JOZ131096 JYV131084:JYV131096 KIR131084:KIR131096 KSN131084:KSN131096 LCJ131084:LCJ131096 LMF131084:LMF131096 LWB131084:LWB131096 MFX131084:MFX131096 MPT131084:MPT131096 MZP131084:MZP131096 NJL131084:NJL131096 NTH131084:NTH131096 ODD131084:ODD131096 OMZ131084:OMZ131096 OWV131084:OWV131096 PGR131084:PGR131096 PQN131084:PQN131096 QAJ131084:QAJ131096 QKF131084:QKF131096 QUB131084:QUB131096 RDX131084:RDX131096 RNT131084:RNT131096 RXP131084:RXP131096 SHL131084:SHL131096 SRH131084:SRH131096 TBD131084:TBD131096 TKZ131084:TKZ131096 TUV131084:TUV131096 UER131084:UER131096 UON131084:UON131096 UYJ131084:UYJ131096 VIF131084:VIF131096 VSB131084:VSB131096 WBX131084:WBX131096 WLT131084:WLT131096 WVP131084:WVP131096 H196620:H196632 JD196620:JD196632 SZ196620:SZ196632 ACV196620:ACV196632 AMR196620:AMR196632 AWN196620:AWN196632 BGJ196620:BGJ196632 BQF196620:BQF196632 CAB196620:CAB196632 CJX196620:CJX196632 CTT196620:CTT196632 DDP196620:DDP196632 DNL196620:DNL196632 DXH196620:DXH196632 EHD196620:EHD196632 EQZ196620:EQZ196632 FAV196620:FAV196632 FKR196620:FKR196632 FUN196620:FUN196632 GEJ196620:GEJ196632 GOF196620:GOF196632 GYB196620:GYB196632 HHX196620:HHX196632 HRT196620:HRT196632 IBP196620:IBP196632 ILL196620:ILL196632 IVH196620:IVH196632 JFD196620:JFD196632 JOZ196620:JOZ196632 JYV196620:JYV196632 KIR196620:KIR196632 KSN196620:KSN196632 LCJ196620:LCJ196632 LMF196620:LMF196632 LWB196620:LWB196632 MFX196620:MFX196632 MPT196620:MPT196632 MZP196620:MZP196632 NJL196620:NJL196632 NTH196620:NTH196632 ODD196620:ODD196632 OMZ196620:OMZ196632 OWV196620:OWV196632 PGR196620:PGR196632 PQN196620:PQN196632 QAJ196620:QAJ196632 QKF196620:QKF196632 QUB196620:QUB196632 RDX196620:RDX196632 RNT196620:RNT196632 RXP196620:RXP196632 SHL196620:SHL196632 SRH196620:SRH196632 TBD196620:TBD196632 TKZ196620:TKZ196632 TUV196620:TUV196632 UER196620:UER196632 UON196620:UON196632 UYJ196620:UYJ196632 VIF196620:VIF196632 VSB196620:VSB196632 WBX196620:WBX196632 WLT196620:WLT196632 WVP196620:WVP196632 H262156:H262168 JD262156:JD262168 SZ262156:SZ262168 ACV262156:ACV262168 AMR262156:AMR262168 AWN262156:AWN262168 BGJ262156:BGJ262168 BQF262156:BQF262168 CAB262156:CAB262168 CJX262156:CJX262168 CTT262156:CTT262168 DDP262156:DDP262168 DNL262156:DNL262168 DXH262156:DXH262168 EHD262156:EHD262168 EQZ262156:EQZ262168 FAV262156:FAV262168 FKR262156:FKR262168 FUN262156:FUN262168 GEJ262156:GEJ262168 GOF262156:GOF262168 GYB262156:GYB262168 HHX262156:HHX262168 HRT262156:HRT262168 IBP262156:IBP262168 ILL262156:ILL262168 IVH262156:IVH262168 JFD262156:JFD262168 JOZ262156:JOZ262168 JYV262156:JYV262168 KIR262156:KIR262168 KSN262156:KSN262168 LCJ262156:LCJ262168 LMF262156:LMF262168 LWB262156:LWB262168 MFX262156:MFX262168 MPT262156:MPT262168 MZP262156:MZP262168 NJL262156:NJL262168 NTH262156:NTH262168 ODD262156:ODD262168 OMZ262156:OMZ262168 OWV262156:OWV262168 PGR262156:PGR262168 PQN262156:PQN262168 QAJ262156:QAJ262168 QKF262156:QKF262168 QUB262156:QUB262168 RDX262156:RDX262168 RNT262156:RNT262168 RXP262156:RXP262168 SHL262156:SHL262168 SRH262156:SRH262168 TBD262156:TBD262168 TKZ262156:TKZ262168 TUV262156:TUV262168 UER262156:UER262168 UON262156:UON262168 UYJ262156:UYJ262168 VIF262156:VIF262168 VSB262156:VSB262168 WBX262156:WBX262168 WLT262156:WLT262168 WVP262156:WVP262168 H327692:H327704 JD327692:JD327704 SZ327692:SZ327704 ACV327692:ACV327704 AMR327692:AMR327704 AWN327692:AWN327704 BGJ327692:BGJ327704 BQF327692:BQF327704 CAB327692:CAB327704 CJX327692:CJX327704 CTT327692:CTT327704 DDP327692:DDP327704 DNL327692:DNL327704 DXH327692:DXH327704 EHD327692:EHD327704 EQZ327692:EQZ327704 FAV327692:FAV327704 FKR327692:FKR327704 FUN327692:FUN327704 GEJ327692:GEJ327704 GOF327692:GOF327704 GYB327692:GYB327704 HHX327692:HHX327704 HRT327692:HRT327704 IBP327692:IBP327704 ILL327692:ILL327704 IVH327692:IVH327704 JFD327692:JFD327704 JOZ327692:JOZ327704 JYV327692:JYV327704 KIR327692:KIR327704 KSN327692:KSN327704 LCJ327692:LCJ327704 LMF327692:LMF327704 LWB327692:LWB327704 MFX327692:MFX327704 MPT327692:MPT327704 MZP327692:MZP327704 NJL327692:NJL327704 NTH327692:NTH327704 ODD327692:ODD327704 OMZ327692:OMZ327704 OWV327692:OWV327704 PGR327692:PGR327704 PQN327692:PQN327704 QAJ327692:QAJ327704 QKF327692:QKF327704 QUB327692:QUB327704 RDX327692:RDX327704 RNT327692:RNT327704 RXP327692:RXP327704 SHL327692:SHL327704 SRH327692:SRH327704 TBD327692:TBD327704 TKZ327692:TKZ327704 TUV327692:TUV327704 UER327692:UER327704 UON327692:UON327704 UYJ327692:UYJ327704 VIF327692:VIF327704 VSB327692:VSB327704 WBX327692:WBX327704 WLT327692:WLT327704 WVP327692:WVP327704 H393228:H393240 JD393228:JD393240 SZ393228:SZ393240 ACV393228:ACV393240 AMR393228:AMR393240 AWN393228:AWN393240 BGJ393228:BGJ393240 BQF393228:BQF393240 CAB393228:CAB393240 CJX393228:CJX393240 CTT393228:CTT393240 DDP393228:DDP393240 DNL393228:DNL393240 DXH393228:DXH393240 EHD393228:EHD393240 EQZ393228:EQZ393240 FAV393228:FAV393240 FKR393228:FKR393240 FUN393228:FUN393240 GEJ393228:GEJ393240 GOF393228:GOF393240 GYB393228:GYB393240 HHX393228:HHX393240 HRT393228:HRT393240 IBP393228:IBP393240 ILL393228:ILL393240 IVH393228:IVH393240 JFD393228:JFD393240 JOZ393228:JOZ393240 JYV393228:JYV393240 KIR393228:KIR393240 KSN393228:KSN393240 LCJ393228:LCJ393240 LMF393228:LMF393240 LWB393228:LWB393240 MFX393228:MFX393240 MPT393228:MPT393240 MZP393228:MZP393240 NJL393228:NJL393240 NTH393228:NTH393240 ODD393228:ODD393240 OMZ393228:OMZ393240 OWV393228:OWV393240 PGR393228:PGR393240 PQN393228:PQN393240 QAJ393228:QAJ393240 QKF393228:QKF393240 QUB393228:QUB393240 RDX393228:RDX393240 RNT393228:RNT393240 RXP393228:RXP393240 SHL393228:SHL393240 SRH393228:SRH393240 TBD393228:TBD393240 TKZ393228:TKZ393240 TUV393228:TUV393240 UER393228:UER393240 UON393228:UON393240 UYJ393228:UYJ393240 VIF393228:VIF393240 VSB393228:VSB393240 WBX393228:WBX393240 WLT393228:WLT393240 WVP393228:WVP393240 H458764:H458776 JD458764:JD458776 SZ458764:SZ458776 ACV458764:ACV458776 AMR458764:AMR458776 AWN458764:AWN458776 BGJ458764:BGJ458776 BQF458764:BQF458776 CAB458764:CAB458776 CJX458764:CJX458776 CTT458764:CTT458776 DDP458764:DDP458776 DNL458764:DNL458776 DXH458764:DXH458776 EHD458764:EHD458776 EQZ458764:EQZ458776 FAV458764:FAV458776 FKR458764:FKR458776 FUN458764:FUN458776 GEJ458764:GEJ458776 GOF458764:GOF458776 GYB458764:GYB458776 HHX458764:HHX458776 HRT458764:HRT458776 IBP458764:IBP458776 ILL458764:ILL458776 IVH458764:IVH458776 JFD458764:JFD458776 JOZ458764:JOZ458776 JYV458764:JYV458776 KIR458764:KIR458776 KSN458764:KSN458776 LCJ458764:LCJ458776 LMF458764:LMF458776 LWB458764:LWB458776 MFX458764:MFX458776 MPT458764:MPT458776 MZP458764:MZP458776 NJL458764:NJL458776 NTH458764:NTH458776 ODD458764:ODD458776 OMZ458764:OMZ458776 OWV458764:OWV458776 PGR458764:PGR458776 PQN458764:PQN458776 QAJ458764:QAJ458776 QKF458764:QKF458776 QUB458764:QUB458776 RDX458764:RDX458776 RNT458764:RNT458776 RXP458764:RXP458776 SHL458764:SHL458776 SRH458764:SRH458776 TBD458764:TBD458776 TKZ458764:TKZ458776 TUV458764:TUV458776 UER458764:UER458776 UON458764:UON458776 UYJ458764:UYJ458776 VIF458764:VIF458776 VSB458764:VSB458776 WBX458764:WBX458776 WLT458764:WLT458776 WVP458764:WVP458776 H524300:H524312 JD524300:JD524312 SZ524300:SZ524312 ACV524300:ACV524312 AMR524300:AMR524312 AWN524300:AWN524312 BGJ524300:BGJ524312 BQF524300:BQF524312 CAB524300:CAB524312 CJX524300:CJX524312 CTT524300:CTT524312 DDP524300:DDP524312 DNL524300:DNL524312 DXH524300:DXH524312 EHD524300:EHD524312 EQZ524300:EQZ524312 FAV524300:FAV524312 FKR524300:FKR524312 FUN524300:FUN524312 GEJ524300:GEJ524312 GOF524300:GOF524312 GYB524300:GYB524312 HHX524300:HHX524312 HRT524300:HRT524312 IBP524300:IBP524312 ILL524300:ILL524312 IVH524300:IVH524312 JFD524300:JFD524312 JOZ524300:JOZ524312 JYV524300:JYV524312 KIR524300:KIR524312 KSN524300:KSN524312 LCJ524300:LCJ524312 LMF524300:LMF524312 LWB524300:LWB524312 MFX524300:MFX524312 MPT524300:MPT524312 MZP524300:MZP524312 NJL524300:NJL524312 NTH524300:NTH524312 ODD524300:ODD524312 OMZ524300:OMZ524312 OWV524300:OWV524312 PGR524300:PGR524312 PQN524300:PQN524312 QAJ524300:QAJ524312 QKF524300:QKF524312 QUB524300:QUB524312 RDX524300:RDX524312 RNT524300:RNT524312 RXP524300:RXP524312 SHL524300:SHL524312 SRH524300:SRH524312 TBD524300:TBD524312 TKZ524300:TKZ524312 TUV524300:TUV524312 UER524300:UER524312 UON524300:UON524312 UYJ524300:UYJ524312 VIF524300:VIF524312 VSB524300:VSB524312 WBX524300:WBX524312 WLT524300:WLT524312 WVP524300:WVP524312 H589836:H589848 JD589836:JD589848 SZ589836:SZ589848 ACV589836:ACV589848 AMR589836:AMR589848 AWN589836:AWN589848 BGJ589836:BGJ589848 BQF589836:BQF589848 CAB589836:CAB589848 CJX589836:CJX589848 CTT589836:CTT589848 DDP589836:DDP589848 DNL589836:DNL589848 DXH589836:DXH589848 EHD589836:EHD589848 EQZ589836:EQZ589848 FAV589836:FAV589848 FKR589836:FKR589848 FUN589836:FUN589848 GEJ589836:GEJ589848 GOF589836:GOF589848 GYB589836:GYB589848 HHX589836:HHX589848 HRT589836:HRT589848 IBP589836:IBP589848 ILL589836:ILL589848 IVH589836:IVH589848 JFD589836:JFD589848 JOZ589836:JOZ589848 JYV589836:JYV589848 KIR589836:KIR589848 KSN589836:KSN589848 LCJ589836:LCJ589848 LMF589836:LMF589848 LWB589836:LWB589848 MFX589836:MFX589848 MPT589836:MPT589848 MZP589836:MZP589848 NJL589836:NJL589848 NTH589836:NTH589848 ODD589836:ODD589848 OMZ589836:OMZ589848 OWV589836:OWV589848 PGR589836:PGR589848 PQN589836:PQN589848 QAJ589836:QAJ589848 QKF589836:QKF589848 QUB589836:QUB589848 RDX589836:RDX589848 RNT589836:RNT589848 RXP589836:RXP589848 SHL589836:SHL589848 SRH589836:SRH589848 TBD589836:TBD589848 TKZ589836:TKZ589848 TUV589836:TUV589848 UER589836:UER589848 UON589836:UON589848 UYJ589836:UYJ589848 VIF589836:VIF589848 VSB589836:VSB589848 WBX589836:WBX589848 WLT589836:WLT589848 WVP589836:WVP589848 H655372:H655384 JD655372:JD655384 SZ655372:SZ655384 ACV655372:ACV655384 AMR655372:AMR655384 AWN655372:AWN655384 BGJ655372:BGJ655384 BQF655372:BQF655384 CAB655372:CAB655384 CJX655372:CJX655384 CTT655372:CTT655384 DDP655372:DDP655384 DNL655372:DNL655384 DXH655372:DXH655384 EHD655372:EHD655384 EQZ655372:EQZ655384 FAV655372:FAV655384 FKR655372:FKR655384 FUN655372:FUN655384 GEJ655372:GEJ655384 GOF655372:GOF655384 GYB655372:GYB655384 HHX655372:HHX655384 HRT655372:HRT655384 IBP655372:IBP655384 ILL655372:ILL655384 IVH655372:IVH655384 JFD655372:JFD655384 JOZ655372:JOZ655384 JYV655372:JYV655384 KIR655372:KIR655384 KSN655372:KSN655384 LCJ655372:LCJ655384 LMF655372:LMF655384 LWB655372:LWB655384 MFX655372:MFX655384 MPT655372:MPT655384 MZP655372:MZP655384 NJL655372:NJL655384 NTH655372:NTH655384 ODD655372:ODD655384 OMZ655372:OMZ655384 OWV655372:OWV655384 PGR655372:PGR655384 PQN655372:PQN655384 QAJ655372:QAJ655384 QKF655372:QKF655384 QUB655372:QUB655384 RDX655372:RDX655384 RNT655372:RNT655384 RXP655372:RXP655384 SHL655372:SHL655384 SRH655372:SRH655384 TBD655372:TBD655384 TKZ655372:TKZ655384 TUV655372:TUV655384 UER655372:UER655384 UON655372:UON655384 UYJ655372:UYJ655384 VIF655372:VIF655384 VSB655372:VSB655384 WBX655372:WBX655384 WLT655372:WLT655384 WVP655372:WVP655384 H720908:H720920 JD720908:JD720920 SZ720908:SZ720920 ACV720908:ACV720920 AMR720908:AMR720920 AWN720908:AWN720920 BGJ720908:BGJ720920 BQF720908:BQF720920 CAB720908:CAB720920 CJX720908:CJX720920 CTT720908:CTT720920 DDP720908:DDP720920 DNL720908:DNL720920 DXH720908:DXH720920 EHD720908:EHD720920 EQZ720908:EQZ720920 FAV720908:FAV720920 FKR720908:FKR720920 FUN720908:FUN720920 GEJ720908:GEJ720920 GOF720908:GOF720920 GYB720908:GYB720920 HHX720908:HHX720920 HRT720908:HRT720920 IBP720908:IBP720920 ILL720908:ILL720920 IVH720908:IVH720920 JFD720908:JFD720920 JOZ720908:JOZ720920 JYV720908:JYV720920 KIR720908:KIR720920 KSN720908:KSN720920 LCJ720908:LCJ720920 LMF720908:LMF720920 LWB720908:LWB720920 MFX720908:MFX720920 MPT720908:MPT720920 MZP720908:MZP720920 NJL720908:NJL720920 NTH720908:NTH720920 ODD720908:ODD720920 OMZ720908:OMZ720920 OWV720908:OWV720920 PGR720908:PGR720920 PQN720908:PQN720920 QAJ720908:QAJ720920 QKF720908:QKF720920 QUB720908:QUB720920 RDX720908:RDX720920 RNT720908:RNT720920 RXP720908:RXP720920 SHL720908:SHL720920 SRH720908:SRH720920 TBD720908:TBD720920 TKZ720908:TKZ720920 TUV720908:TUV720920 UER720908:UER720920 UON720908:UON720920 UYJ720908:UYJ720920 VIF720908:VIF720920 VSB720908:VSB720920 WBX720908:WBX720920 WLT720908:WLT720920 WVP720908:WVP720920 H786444:H786456 JD786444:JD786456 SZ786444:SZ786456 ACV786444:ACV786456 AMR786444:AMR786456 AWN786444:AWN786456 BGJ786444:BGJ786456 BQF786444:BQF786456 CAB786444:CAB786456 CJX786444:CJX786456 CTT786444:CTT786456 DDP786444:DDP786456 DNL786444:DNL786456 DXH786444:DXH786456 EHD786444:EHD786456 EQZ786444:EQZ786456 FAV786444:FAV786456 FKR786444:FKR786456 FUN786444:FUN786456 GEJ786444:GEJ786456 GOF786444:GOF786456 GYB786444:GYB786456 HHX786444:HHX786456 HRT786444:HRT786456 IBP786444:IBP786456 ILL786444:ILL786456 IVH786444:IVH786456 JFD786444:JFD786456 JOZ786444:JOZ786456 JYV786444:JYV786456 KIR786444:KIR786456 KSN786444:KSN786456 LCJ786444:LCJ786456 LMF786444:LMF786456 LWB786444:LWB786456 MFX786444:MFX786456 MPT786444:MPT786456 MZP786444:MZP786456 NJL786444:NJL786456 NTH786444:NTH786456 ODD786444:ODD786456 OMZ786444:OMZ786456 OWV786444:OWV786456 PGR786444:PGR786456 PQN786444:PQN786456 QAJ786444:QAJ786456 QKF786444:QKF786456 QUB786444:QUB786456 RDX786444:RDX786456 RNT786444:RNT786456 RXP786444:RXP786456 SHL786444:SHL786456 SRH786444:SRH786456 TBD786444:TBD786456 TKZ786444:TKZ786456 TUV786444:TUV786456 UER786444:UER786456 UON786444:UON786456 UYJ786444:UYJ786456 VIF786444:VIF786456 VSB786444:VSB786456 WBX786444:WBX786456 WLT786444:WLT786456 WVP786444:WVP786456 H851980:H851992 JD851980:JD851992 SZ851980:SZ851992 ACV851980:ACV851992 AMR851980:AMR851992 AWN851980:AWN851992 BGJ851980:BGJ851992 BQF851980:BQF851992 CAB851980:CAB851992 CJX851980:CJX851992 CTT851980:CTT851992 DDP851980:DDP851992 DNL851980:DNL851992 DXH851980:DXH851992 EHD851980:EHD851992 EQZ851980:EQZ851992 FAV851980:FAV851992 FKR851980:FKR851992 FUN851980:FUN851992 GEJ851980:GEJ851992 GOF851980:GOF851992 GYB851980:GYB851992 HHX851980:HHX851992 HRT851980:HRT851992 IBP851980:IBP851992 ILL851980:ILL851992 IVH851980:IVH851992 JFD851980:JFD851992 JOZ851980:JOZ851992 JYV851980:JYV851992 KIR851980:KIR851992 KSN851980:KSN851992 LCJ851980:LCJ851992 LMF851980:LMF851992 LWB851980:LWB851992 MFX851980:MFX851992 MPT851980:MPT851992 MZP851980:MZP851992 NJL851980:NJL851992 NTH851980:NTH851992 ODD851980:ODD851992 OMZ851980:OMZ851992 OWV851980:OWV851992 PGR851980:PGR851992 PQN851980:PQN851992 QAJ851980:QAJ851992 QKF851980:QKF851992 QUB851980:QUB851992 RDX851980:RDX851992 RNT851980:RNT851992 RXP851980:RXP851992 SHL851980:SHL851992 SRH851980:SRH851992 TBD851980:TBD851992 TKZ851980:TKZ851992 TUV851980:TUV851992 UER851980:UER851992 UON851980:UON851992 UYJ851980:UYJ851992 VIF851980:VIF851992 VSB851980:VSB851992 WBX851980:WBX851992 WLT851980:WLT851992 WVP851980:WVP851992 H917516:H917528 JD917516:JD917528 SZ917516:SZ917528 ACV917516:ACV917528 AMR917516:AMR917528 AWN917516:AWN917528 BGJ917516:BGJ917528 BQF917516:BQF917528 CAB917516:CAB917528 CJX917516:CJX917528 CTT917516:CTT917528 DDP917516:DDP917528 DNL917516:DNL917528 DXH917516:DXH917528 EHD917516:EHD917528 EQZ917516:EQZ917528 FAV917516:FAV917528 FKR917516:FKR917528 FUN917516:FUN917528 GEJ917516:GEJ917528 GOF917516:GOF917528 GYB917516:GYB917528 HHX917516:HHX917528 HRT917516:HRT917528 IBP917516:IBP917528 ILL917516:ILL917528 IVH917516:IVH917528 JFD917516:JFD917528 JOZ917516:JOZ917528 JYV917516:JYV917528 KIR917516:KIR917528 KSN917516:KSN917528 LCJ917516:LCJ917528 LMF917516:LMF917528 LWB917516:LWB917528 MFX917516:MFX917528 MPT917516:MPT917528 MZP917516:MZP917528 NJL917516:NJL917528 NTH917516:NTH917528 ODD917516:ODD917528 OMZ917516:OMZ917528 OWV917516:OWV917528 PGR917516:PGR917528 PQN917516:PQN917528 QAJ917516:QAJ917528 QKF917516:QKF917528 QUB917516:QUB917528 RDX917516:RDX917528 RNT917516:RNT917528 RXP917516:RXP917528 SHL917516:SHL917528 SRH917516:SRH917528 TBD917516:TBD917528 TKZ917516:TKZ917528 TUV917516:TUV917528 UER917516:UER917528 UON917516:UON917528 UYJ917516:UYJ917528 VIF917516:VIF917528 VSB917516:VSB917528 WBX917516:WBX917528 WLT917516:WLT917528 WVP917516:WVP917528 H983052:H983064 JD983052:JD983064 SZ983052:SZ983064 ACV983052:ACV983064 AMR983052:AMR983064 AWN983052:AWN983064 BGJ983052:BGJ983064 BQF983052:BQF983064 CAB983052:CAB983064 CJX983052:CJX983064 CTT983052:CTT983064 DDP983052:DDP983064 DNL983052:DNL983064 DXH983052:DXH983064 EHD983052:EHD983064 EQZ983052:EQZ983064 FAV983052:FAV983064 FKR983052:FKR983064 FUN983052:FUN983064 GEJ983052:GEJ983064 GOF983052:GOF983064 GYB983052:GYB983064 HHX983052:HHX983064 HRT983052:HRT983064 IBP983052:IBP983064 ILL983052:ILL983064 IVH983052:IVH983064 JFD983052:JFD983064 JOZ983052:JOZ983064 JYV983052:JYV983064 KIR983052:KIR983064 KSN983052:KSN983064 LCJ983052:LCJ983064 LMF983052:LMF983064 LWB983052:LWB983064 MFX983052:MFX983064 MPT983052:MPT983064 MZP983052:MZP983064 NJL983052:NJL983064 NTH983052:NTH983064 ODD983052:ODD983064 OMZ983052:OMZ983064 OWV983052:OWV983064 PGR983052:PGR983064 PQN983052:PQN983064 QAJ983052:QAJ983064 QKF983052:QKF983064 QUB983052:QUB983064 RDX983052:RDX983064 RNT983052:RNT983064 RXP983052:RXP983064 SHL983052:SHL983064 SRH983052:SRH983064 TBD983052:TBD983064 TKZ983052:TKZ983064 TUV983052:TUV983064 UER983052:UER983064 UON983052:UON983064 UYJ983052:UYJ983064 VIF983052:VIF983064 VSB983052:VSB983064 WBX983052:WBX983064 WLT983052:WLT983064 WVP983052:WVP983064 K12:K24 JG12:JG24 TC12:TC24 ACY12:ACY24 AMU12:AMU24 AWQ12:AWQ24 BGM12:BGM24 BQI12:BQI24 CAE12:CAE24 CKA12:CKA24 CTW12:CTW24 DDS12:DDS24 DNO12:DNO24 DXK12:DXK24 EHG12:EHG24 ERC12:ERC24 FAY12:FAY24 FKU12:FKU24 FUQ12:FUQ24 GEM12:GEM24 GOI12:GOI24 GYE12:GYE24 HIA12:HIA24 HRW12:HRW24 IBS12:IBS24 ILO12:ILO24 IVK12:IVK24 JFG12:JFG24 JPC12:JPC24 JYY12:JYY24 KIU12:KIU24 KSQ12:KSQ24 LCM12:LCM24 LMI12:LMI24 LWE12:LWE24 MGA12:MGA24 MPW12:MPW24 MZS12:MZS24 NJO12:NJO24 NTK12:NTK24 ODG12:ODG24 ONC12:ONC24 OWY12:OWY24 PGU12:PGU24 PQQ12:PQQ24 QAM12:QAM24 QKI12:QKI24 QUE12:QUE24 REA12:REA24 RNW12:RNW24 RXS12:RXS24 SHO12:SHO24 SRK12:SRK24 TBG12:TBG24 TLC12:TLC24 TUY12:TUY24 UEU12:UEU24 UOQ12:UOQ24 UYM12:UYM24 VII12:VII24 VSE12:VSE24 WCA12:WCA24 WLW12:WLW24 WVS12:WVS24 K65548:K65560 JG65548:JG65560 TC65548:TC65560 ACY65548:ACY65560 AMU65548:AMU65560 AWQ65548:AWQ65560 BGM65548:BGM65560 BQI65548:BQI65560 CAE65548:CAE65560 CKA65548:CKA65560 CTW65548:CTW65560 DDS65548:DDS65560 DNO65548:DNO65560 DXK65548:DXK65560 EHG65548:EHG65560 ERC65548:ERC65560 FAY65548:FAY65560 FKU65548:FKU65560 FUQ65548:FUQ65560 GEM65548:GEM65560 GOI65548:GOI65560 GYE65548:GYE65560 HIA65548:HIA65560 HRW65548:HRW65560 IBS65548:IBS65560 ILO65548:ILO65560 IVK65548:IVK65560 JFG65548:JFG65560 JPC65548:JPC65560 JYY65548:JYY65560 KIU65548:KIU65560 KSQ65548:KSQ65560 LCM65548:LCM65560 LMI65548:LMI65560 LWE65548:LWE65560 MGA65548:MGA65560 MPW65548:MPW65560 MZS65548:MZS65560 NJO65548:NJO65560 NTK65548:NTK65560 ODG65548:ODG65560 ONC65548:ONC65560 OWY65548:OWY65560 PGU65548:PGU65560 PQQ65548:PQQ65560 QAM65548:QAM65560 QKI65548:QKI65560 QUE65548:QUE65560 REA65548:REA65560 RNW65548:RNW65560 RXS65548:RXS65560 SHO65548:SHO65560 SRK65548:SRK65560 TBG65548:TBG65560 TLC65548:TLC65560 TUY65548:TUY65560 UEU65548:UEU65560 UOQ65548:UOQ65560 UYM65548:UYM65560 VII65548:VII65560 VSE65548:VSE65560 WCA65548:WCA65560 WLW65548:WLW65560 WVS65548:WVS65560 K131084:K131096 JG131084:JG131096 TC131084:TC131096 ACY131084:ACY131096 AMU131084:AMU131096 AWQ131084:AWQ131096 BGM131084:BGM131096 BQI131084:BQI131096 CAE131084:CAE131096 CKA131084:CKA131096 CTW131084:CTW131096 DDS131084:DDS131096 DNO131084:DNO131096 DXK131084:DXK131096 EHG131084:EHG131096 ERC131084:ERC131096 FAY131084:FAY131096 FKU131084:FKU131096 FUQ131084:FUQ131096 GEM131084:GEM131096 GOI131084:GOI131096 GYE131084:GYE131096 HIA131084:HIA131096 HRW131084:HRW131096 IBS131084:IBS131096 ILO131084:ILO131096 IVK131084:IVK131096 JFG131084:JFG131096 JPC131084:JPC131096 JYY131084:JYY131096 KIU131084:KIU131096 KSQ131084:KSQ131096 LCM131084:LCM131096 LMI131084:LMI131096 LWE131084:LWE131096 MGA131084:MGA131096 MPW131084:MPW131096 MZS131084:MZS131096 NJO131084:NJO131096 NTK131084:NTK131096 ODG131084:ODG131096 ONC131084:ONC131096 OWY131084:OWY131096 PGU131084:PGU131096 PQQ131084:PQQ131096 QAM131084:QAM131096 QKI131084:QKI131096 QUE131084:QUE131096 REA131084:REA131096 RNW131084:RNW131096 RXS131084:RXS131096 SHO131084:SHO131096 SRK131084:SRK131096 TBG131084:TBG131096 TLC131084:TLC131096 TUY131084:TUY131096 UEU131084:UEU131096 UOQ131084:UOQ131096 UYM131084:UYM131096 VII131084:VII131096 VSE131084:VSE131096 WCA131084:WCA131096 WLW131084:WLW131096 WVS131084:WVS131096 K196620:K196632 JG196620:JG196632 TC196620:TC196632 ACY196620:ACY196632 AMU196620:AMU196632 AWQ196620:AWQ196632 BGM196620:BGM196632 BQI196620:BQI196632 CAE196620:CAE196632 CKA196620:CKA196632 CTW196620:CTW196632 DDS196620:DDS196632 DNO196620:DNO196632 DXK196620:DXK196632 EHG196620:EHG196632 ERC196620:ERC196632 FAY196620:FAY196632 FKU196620:FKU196632 FUQ196620:FUQ196632 GEM196620:GEM196632 GOI196620:GOI196632 GYE196620:GYE196632 HIA196620:HIA196632 HRW196620:HRW196632 IBS196620:IBS196632 ILO196620:ILO196632 IVK196620:IVK196632 JFG196620:JFG196632 JPC196620:JPC196632 JYY196620:JYY196632 KIU196620:KIU196632 KSQ196620:KSQ196632 LCM196620:LCM196632 LMI196620:LMI196632 LWE196620:LWE196632 MGA196620:MGA196632 MPW196620:MPW196632 MZS196620:MZS196632 NJO196620:NJO196632 NTK196620:NTK196632 ODG196620:ODG196632 ONC196620:ONC196632 OWY196620:OWY196632 PGU196620:PGU196632 PQQ196620:PQQ196632 QAM196620:QAM196632 QKI196620:QKI196632 QUE196620:QUE196632 REA196620:REA196632 RNW196620:RNW196632 RXS196620:RXS196632 SHO196620:SHO196632 SRK196620:SRK196632 TBG196620:TBG196632 TLC196620:TLC196632 TUY196620:TUY196632 UEU196620:UEU196632 UOQ196620:UOQ196632 UYM196620:UYM196632 VII196620:VII196632 VSE196620:VSE196632 WCA196620:WCA196632 WLW196620:WLW196632 WVS196620:WVS196632 K262156:K262168 JG262156:JG262168 TC262156:TC262168 ACY262156:ACY262168 AMU262156:AMU262168 AWQ262156:AWQ262168 BGM262156:BGM262168 BQI262156:BQI262168 CAE262156:CAE262168 CKA262156:CKA262168 CTW262156:CTW262168 DDS262156:DDS262168 DNO262156:DNO262168 DXK262156:DXK262168 EHG262156:EHG262168 ERC262156:ERC262168 FAY262156:FAY262168 FKU262156:FKU262168 FUQ262156:FUQ262168 GEM262156:GEM262168 GOI262156:GOI262168 GYE262156:GYE262168 HIA262156:HIA262168 HRW262156:HRW262168 IBS262156:IBS262168 ILO262156:ILO262168 IVK262156:IVK262168 JFG262156:JFG262168 JPC262156:JPC262168 JYY262156:JYY262168 KIU262156:KIU262168 KSQ262156:KSQ262168 LCM262156:LCM262168 LMI262156:LMI262168 LWE262156:LWE262168 MGA262156:MGA262168 MPW262156:MPW262168 MZS262156:MZS262168 NJO262156:NJO262168 NTK262156:NTK262168 ODG262156:ODG262168 ONC262156:ONC262168 OWY262156:OWY262168 PGU262156:PGU262168 PQQ262156:PQQ262168 QAM262156:QAM262168 QKI262156:QKI262168 QUE262156:QUE262168 REA262156:REA262168 RNW262156:RNW262168 RXS262156:RXS262168 SHO262156:SHO262168 SRK262156:SRK262168 TBG262156:TBG262168 TLC262156:TLC262168 TUY262156:TUY262168 UEU262156:UEU262168 UOQ262156:UOQ262168 UYM262156:UYM262168 VII262156:VII262168 VSE262156:VSE262168 WCA262156:WCA262168 WLW262156:WLW262168 WVS262156:WVS262168 K327692:K327704 JG327692:JG327704 TC327692:TC327704 ACY327692:ACY327704 AMU327692:AMU327704 AWQ327692:AWQ327704 BGM327692:BGM327704 BQI327692:BQI327704 CAE327692:CAE327704 CKA327692:CKA327704 CTW327692:CTW327704 DDS327692:DDS327704 DNO327692:DNO327704 DXK327692:DXK327704 EHG327692:EHG327704 ERC327692:ERC327704 FAY327692:FAY327704 FKU327692:FKU327704 FUQ327692:FUQ327704 GEM327692:GEM327704 GOI327692:GOI327704 GYE327692:GYE327704 HIA327692:HIA327704 HRW327692:HRW327704 IBS327692:IBS327704 ILO327692:ILO327704 IVK327692:IVK327704 JFG327692:JFG327704 JPC327692:JPC327704 JYY327692:JYY327704 KIU327692:KIU327704 KSQ327692:KSQ327704 LCM327692:LCM327704 LMI327692:LMI327704 LWE327692:LWE327704 MGA327692:MGA327704 MPW327692:MPW327704 MZS327692:MZS327704 NJO327692:NJO327704 NTK327692:NTK327704 ODG327692:ODG327704 ONC327692:ONC327704 OWY327692:OWY327704 PGU327692:PGU327704 PQQ327692:PQQ327704 QAM327692:QAM327704 QKI327692:QKI327704 QUE327692:QUE327704 REA327692:REA327704 RNW327692:RNW327704 RXS327692:RXS327704 SHO327692:SHO327704 SRK327692:SRK327704 TBG327692:TBG327704 TLC327692:TLC327704 TUY327692:TUY327704 UEU327692:UEU327704 UOQ327692:UOQ327704 UYM327692:UYM327704 VII327692:VII327704 VSE327692:VSE327704 WCA327692:WCA327704 WLW327692:WLW327704 WVS327692:WVS327704 K393228:K393240 JG393228:JG393240 TC393228:TC393240 ACY393228:ACY393240 AMU393228:AMU393240 AWQ393228:AWQ393240 BGM393228:BGM393240 BQI393228:BQI393240 CAE393228:CAE393240 CKA393228:CKA393240 CTW393228:CTW393240 DDS393228:DDS393240 DNO393228:DNO393240 DXK393228:DXK393240 EHG393228:EHG393240 ERC393228:ERC393240 FAY393228:FAY393240 FKU393228:FKU393240 FUQ393228:FUQ393240 GEM393228:GEM393240 GOI393228:GOI393240 GYE393228:GYE393240 HIA393228:HIA393240 HRW393228:HRW393240 IBS393228:IBS393240 ILO393228:ILO393240 IVK393228:IVK393240 JFG393228:JFG393240 JPC393228:JPC393240 JYY393228:JYY393240 KIU393228:KIU393240 KSQ393228:KSQ393240 LCM393228:LCM393240 LMI393228:LMI393240 LWE393228:LWE393240 MGA393228:MGA393240 MPW393228:MPW393240 MZS393228:MZS393240 NJO393228:NJO393240 NTK393228:NTK393240 ODG393228:ODG393240 ONC393228:ONC393240 OWY393228:OWY393240 PGU393228:PGU393240 PQQ393228:PQQ393240 QAM393228:QAM393240 QKI393228:QKI393240 QUE393228:QUE393240 REA393228:REA393240 RNW393228:RNW393240 RXS393228:RXS393240 SHO393228:SHO393240 SRK393228:SRK393240 TBG393228:TBG393240 TLC393228:TLC393240 TUY393228:TUY393240 UEU393228:UEU393240 UOQ393228:UOQ393240 UYM393228:UYM393240 VII393228:VII393240 VSE393228:VSE393240 WCA393228:WCA393240 WLW393228:WLW393240 WVS393228:WVS393240 K458764:K458776 JG458764:JG458776 TC458764:TC458776 ACY458764:ACY458776 AMU458764:AMU458776 AWQ458764:AWQ458776 BGM458764:BGM458776 BQI458764:BQI458776 CAE458764:CAE458776 CKA458764:CKA458776 CTW458764:CTW458776 DDS458764:DDS458776 DNO458764:DNO458776 DXK458764:DXK458776 EHG458764:EHG458776 ERC458764:ERC458776 FAY458764:FAY458776 FKU458764:FKU458776 FUQ458764:FUQ458776 GEM458764:GEM458776 GOI458764:GOI458776 GYE458764:GYE458776 HIA458764:HIA458776 HRW458764:HRW458776 IBS458764:IBS458776 ILO458764:ILO458776 IVK458764:IVK458776 JFG458764:JFG458776 JPC458764:JPC458776 JYY458764:JYY458776 KIU458764:KIU458776 KSQ458764:KSQ458776 LCM458764:LCM458776 LMI458764:LMI458776 LWE458764:LWE458776 MGA458764:MGA458776 MPW458764:MPW458776 MZS458764:MZS458776 NJO458764:NJO458776 NTK458764:NTK458776 ODG458764:ODG458776 ONC458764:ONC458776 OWY458764:OWY458776 PGU458764:PGU458776 PQQ458764:PQQ458776 QAM458764:QAM458776 QKI458764:QKI458776 QUE458764:QUE458776 REA458764:REA458776 RNW458764:RNW458776 RXS458764:RXS458776 SHO458764:SHO458776 SRK458764:SRK458776 TBG458764:TBG458776 TLC458764:TLC458776 TUY458764:TUY458776 UEU458764:UEU458776 UOQ458764:UOQ458776 UYM458764:UYM458776 VII458764:VII458776 VSE458764:VSE458776 WCA458764:WCA458776 WLW458764:WLW458776 WVS458764:WVS458776 K524300:K524312 JG524300:JG524312 TC524300:TC524312 ACY524300:ACY524312 AMU524300:AMU524312 AWQ524300:AWQ524312 BGM524300:BGM524312 BQI524300:BQI524312 CAE524300:CAE524312 CKA524300:CKA524312 CTW524300:CTW524312 DDS524300:DDS524312 DNO524300:DNO524312 DXK524300:DXK524312 EHG524300:EHG524312 ERC524300:ERC524312 FAY524300:FAY524312 FKU524300:FKU524312 FUQ524300:FUQ524312 GEM524300:GEM524312 GOI524300:GOI524312 GYE524300:GYE524312 HIA524300:HIA524312 HRW524300:HRW524312 IBS524300:IBS524312 ILO524300:ILO524312 IVK524300:IVK524312 JFG524300:JFG524312 JPC524300:JPC524312 JYY524300:JYY524312 KIU524300:KIU524312 KSQ524300:KSQ524312 LCM524300:LCM524312 LMI524300:LMI524312 LWE524300:LWE524312 MGA524300:MGA524312 MPW524300:MPW524312 MZS524300:MZS524312 NJO524300:NJO524312 NTK524300:NTK524312 ODG524300:ODG524312 ONC524300:ONC524312 OWY524300:OWY524312 PGU524300:PGU524312 PQQ524300:PQQ524312 QAM524300:QAM524312 QKI524300:QKI524312 QUE524300:QUE524312 REA524300:REA524312 RNW524300:RNW524312 RXS524300:RXS524312 SHO524300:SHO524312 SRK524300:SRK524312 TBG524300:TBG524312 TLC524300:TLC524312 TUY524300:TUY524312 UEU524300:UEU524312 UOQ524300:UOQ524312 UYM524300:UYM524312 VII524300:VII524312 VSE524300:VSE524312 WCA524300:WCA524312 WLW524300:WLW524312 WVS524300:WVS524312 K589836:K589848 JG589836:JG589848 TC589836:TC589848 ACY589836:ACY589848 AMU589836:AMU589848 AWQ589836:AWQ589848 BGM589836:BGM589848 BQI589836:BQI589848 CAE589836:CAE589848 CKA589836:CKA589848 CTW589836:CTW589848 DDS589836:DDS589848 DNO589836:DNO589848 DXK589836:DXK589848 EHG589836:EHG589848 ERC589836:ERC589848 FAY589836:FAY589848 FKU589836:FKU589848 FUQ589836:FUQ589848 GEM589836:GEM589848 GOI589836:GOI589848 GYE589836:GYE589848 HIA589836:HIA589848 HRW589836:HRW589848 IBS589836:IBS589848 ILO589836:ILO589848 IVK589836:IVK589848 JFG589836:JFG589848 JPC589836:JPC589848 JYY589836:JYY589848 KIU589836:KIU589848 KSQ589836:KSQ589848 LCM589836:LCM589848 LMI589836:LMI589848 LWE589836:LWE589848 MGA589836:MGA589848 MPW589836:MPW589848 MZS589836:MZS589848 NJO589836:NJO589848 NTK589836:NTK589848 ODG589836:ODG589848 ONC589836:ONC589848 OWY589836:OWY589848 PGU589836:PGU589848 PQQ589836:PQQ589848 QAM589836:QAM589848 QKI589836:QKI589848 QUE589836:QUE589848 REA589836:REA589848 RNW589836:RNW589848 RXS589836:RXS589848 SHO589836:SHO589848 SRK589836:SRK589848 TBG589836:TBG589848 TLC589836:TLC589848 TUY589836:TUY589848 UEU589836:UEU589848 UOQ589836:UOQ589848 UYM589836:UYM589848 VII589836:VII589848 VSE589836:VSE589848 WCA589836:WCA589848 WLW589836:WLW589848 WVS589836:WVS589848 K655372:K655384 JG655372:JG655384 TC655372:TC655384 ACY655372:ACY655384 AMU655372:AMU655384 AWQ655372:AWQ655384 BGM655372:BGM655384 BQI655372:BQI655384 CAE655372:CAE655384 CKA655372:CKA655384 CTW655372:CTW655384 DDS655372:DDS655384 DNO655372:DNO655384 DXK655372:DXK655384 EHG655372:EHG655384 ERC655372:ERC655384 FAY655372:FAY655384 FKU655372:FKU655384 FUQ655372:FUQ655384 GEM655372:GEM655384 GOI655372:GOI655384 GYE655372:GYE655384 HIA655372:HIA655384 HRW655372:HRW655384 IBS655372:IBS655384 ILO655372:ILO655384 IVK655372:IVK655384 JFG655372:JFG655384 JPC655372:JPC655384 JYY655372:JYY655384 KIU655372:KIU655384 KSQ655372:KSQ655384 LCM655372:LCM655384 LMI655372:LMI655384 LWE655372:LWE655384 MGA655372:MGA655384 MPW655372:MPW655384 MZS655372:MZS655384 NJO655372:NJO655384 NTK655372:NTK655384 ODG655372:ODG655384 ONC655372:ONC655384 OWY655372:OWY655384 PGU655372:PGU655384 PQQ655372:PQQ655384 QAM655372:QAM655384 QKI655372:QKI655384 QUE655372:QUE655384 REA655372:REA655384 RNW655372:RNW655384 RXS655372:RXS655384 SHO655372:SHO655384 SRK655372:SRK655384 TBG655372:TBG655384 TLC655372:TLC655384 TUY655372:TUY655384 UEU655372:UEU655384 UOQ655372:UOQ655384 UYM655372:UYM655384 VII655372:VII655384 VSE655372:VSE655384 WCA655372:WCA655384 WLW655372:WLW655384 WVS655372:WVS655384 K720908:K720920 JG720908:JG720920 TC720908:TC720920 ACY720908:ACY720920 AMU720908:AMU720920 AWQ720908:AWQ720920 BGM720908:BGM720920 BQI720908:BQI720920 CAE720908:CAE720920 CKA720908:CKA720920 CTW720908:CTW720920 DDS720908:DDS720920 DNO720908:DNO720920 DXK720908:DXK720920 EHG720908:EHG720920 ERC720908:ERC720920 FAY720908:FAY720920 FKU720908:FKU720920 FUQ720908:FUQ720920 GEM720908:GEM720920 GOI720908:GOI720920 GYE720908:GYE720920 HIA720908:HIA720920 HRW720908:HRW720920 IBS720908:IBS720920 ILO720908:ILO720920 IVK720908:IVK720920 JFG720908:JFG720920 JPC720908:JPC720920 JYY720908:JYY720920 KIU720908:KIU720920 KSQ720908:KSQ720920 LCM720908:LCM720920 LMI720908:LMI720920 LWE720908:LWE720920 MGA720908:MGA720920 MPW720908:MPW720920 MZS720908:MZS720920 NJO720908:NJO720920 NTK720908:NTK720920 ODG720908:ODG720920 ONC720908:ONC720920 OWY720908:OWY720920 PGU720908:PGU720920 PQQ720908:PQQ720920 QAM720908:QAM720920 QKI720908:QKI720920 QUE720908:QUE720920 REA720908:REA720920 RNW720908:RNW720920 RXS720908:RXS720920 SHO720908:SHO720920 SRK720908:SRK720920 TBG720908:TBG720920 TLC720908:TLC720920 TUY720908:TUY720920 UEU720908:UEU720920 UOQ720908:UOQ720920 UYM720908:UYM720920 VII720908:VII720920 VSE720908:VSE720920 WCA720908:WCA720920 WLW720908:WLW720920 WVS720908:WVS720920 K786444:K786456 JG786444:JG786456 TC786444:TC786456 ACY786444:ACY786456 AMU786444:AMU786456 AWQ786444:AWQ786456 BGM786444:BGM786456 BQI786444:BQI786456 CAE786444:CAE786456 CKA786444:CKA786456 CTW786444:CTW786456 DDS786444:DDS786456 DNO786444:DNO786456 DXK786444:DXK786456 EHG786444:EHG786456 ERC786444:ERC786456 FAY786444:FAY786456 FKU786444:FKU786456 FUQ786444:FUQ786456 GEM786444:GEM786456 GOI786444:GOI786456 GYE786444:GYE786456 HIA786444:HIA786456 HRW786444:HRW786456 IBS786444:IBS786456 ILO786444:ILO786456 IVK786444:IVK786456 JFG786444:JFG786456 JPC786444:JPC786456 JYY786444:JYY786456 KIU786444:KIU786456 KSQ786444:KSQ786456 LCM786444:LCM786456 LMI786444:LMI786456 LWE786444:LWE786456 MGA786444:MGA786456 MPW786444:MPW786456 MZS786444:MZS786456 NJO786444:NJO786456 NTK786444:NTK786456 ODG786444:ODG786456 ONC786444:ONC786456 OWY786444:OWY786456 PGU786444:PGU786456 PQQ786444:PQQ786456 QAM786444:QAM786456 QKI786444:QKI786456 QUE786444:QUE786456 REA786444:REA786456 RNW786444:RNW786456 RXS786444:RXS786456 SHO786444:SHO786456 SRK786444:SRK786456 TBG786444:TBG786456 TLC786444:TLC786456 TUY786444:TUY786456 UEU786444:UEU786456 UOQ786444:UOQ786456 UYM786444:UYM786456 VII786444:VII786456 VSE786444:VSE786456 WCA786444:WCA786456 WLW786444:WLW786456 WVS786444:WVS786456 K851980:K851992 JG851980:JG851992 TC851980:TC851992 ACY851980:ACY851992 AMU851980:AMU851992 AWQ851980:AWQ851992 BGM851980:BGM851992 BQI851980:BQI851992 CAE851980:CAE851992 CKA851980:CKA851992 CTW851980:CTW851992 DDS851980:DDS851992 DNO851980:DNO851992 DXK851980:DXK851992 EHG851980:EHG851992 ERC851980:ERC851992 FAY851980:FAY851992 FKU851980:FKU851992 FUQ851980:FUQ851992 GEM851980:GEM851992 GOI851980:GOI851992 GYE851980:GYE851992 HIA851980:HIA851992 HRW851980:HRW851992 IBS851980:IBS851992 ILO851980:ILO851992 IVK851980:IVK851992 JFG851980:JFG851992 JPC851980:JPC851992 JYY851980:JYY851992 KIU851980:KIU851992 KSQ851980:KSQ851992 LCM851980:LCM851992 LMI851980:LMI851992 LWE851980:LWE851992 MGA851980:MGA851992 MPW851980:MPW851992 MZS851980:MZS851992 NJO851980:NJO851992 NTK851980:NTK851992 ODG851980:ODG851992 ONC851980:ONC851992 OWY851980:OWY851992 PGU851980:PGU851992 PQQ851980:PQQ851992 QAM851980:QAM851992 QKI851980:QKI851992 QUE851980:QUE851992 REA851980:REA851992 RNW851980:RNW851992 RXS851980:RXS851992 SHO851980:SHO851992 SRK851980:SRK851992 TBG851980:TBG851992 TLC851980:TLC851992 TUY851980:TUY851992 UEU851980:UEU851992 UOQ851980:UOQ851992 UYM851980:UYM851992 VII851980:VII851992 VSE851980:VSE851992 WCA851980:WCA851992 WLW851980:WLW851992 WVS851980:WVS851992 K917516:K917528 JG917516:JG917528 TC917516:TC917528 ACY917516:ACY917528 AMU917516:AMU917528 AWQ917516:AWQ917528 BGM917516:BGM917528 BQI917516:BQI917528 CAE917516:CAE917528 CKA917516:CKA917528 CTW917516:CTW917528 DDS917516:DDS917528 DNO917516:DNO917528 DXK917516:DXK917528 EHG917516:EHG917528 ERC917516:ERC917528 FAY917516:FAY917528 FKU917516:FKU917528 FUQ917516:FUQ917528 GEM917516:GEM917528 GOI917516:GOI917528 GYE917516:GYE917528 HIA917516:HIA917528 HRW917516:HRW917528 IBS917516:IBS917528 ILO917516:ILO917528 IVK917516:IVK917528 JFG917516:JFG917528 JPC917516:JPC917528 JYY917516:JYY917528 KIU917516:KIU917528 KSQ917516:KSQ917528 LCM917516:LCM917528 LMI917516:LMI917528 LWE917516:LWE917528 MGA917516:MGA917528 MPW917516:MPW917528 MZS917516:MZS917528 NJO917516:NJO917528 NTK917516:NTK917528 ODG917516:ODG917528 ONC917516:ONC917528 OWY917516:OWY917528 PGU917516:PGU917528 PQQ917516:PQQ917528 QAM917516:QAM917528 QKI917516:QKI917528 QUE917516:QUE917528 REA917516:REA917528 RNW917516:RNW917528 RXS917516:RXS917528 SHO917516:SHO917528 SRK917516:SRK917528 TBG917516:TBG917528 TLC917516:TLC917528 TUY917516:TUY917528 UEU917516:UEU917528 UOQ917516:UOQ917528 UYM917516:UYM917528 VII917516:VII917528 VSE917516:VSE917528 WCA917516:WCA917528 WLW917516:WLW917528 WVS917516:WVS917528 K983052:K983064 JG983052:JG983064 TC983052:TC983064 ACY983052:ACY983064 AMU983052:AMU983064 AWQ983052:AWQ983064 BGM983052:BGM983064 BQI983052:BQI983064 CAE983052:CAE983064 CKA983052:CKA983064 CTW983052:CTW983064 DDS983052:DDS983064 DNO983052:DNO983064 DXK983052:DXK983064 EHG983052:EHG983064 ERC983052:ERC983064 FAY983052:FAY983064 FKU983052:FKU983064 FUQ983052:FUQ983064 GEM983052:GEM983064 GOI983052:GOI983064 GYE983052:GYE983064 HIA983052:HIA983064 HRW983052:HRW983064 IBS983052:IBS983064 ILO983052:ILO983064 IVK983052:IVK983064 JFG983052:JFG983064 JPC983052:JPC983064 JYY983052:JYY983064 KIU983052:KIU983064 KSQ983052:KSQ983064 LCM983052:LCM983064 LMI983052:LMI983064 LWE983052:LWE983064 MGA983052:MGA983064 MPW983052:MPW983064 MZS983052:MZS983064 NJO983052:NJO983064 NTK983052:NTK983064 ODG983052:ODG983064 ONC983052:ONC983064 OWY983052:OWY983064 PGU983052:PGU983064 PQQ983052:PQQ983064 QAM983052:QAM983064 QKI983052:QKI983064 QUE983052:QUE983064 REA983052:REA983064 RNW983052:RNW983064 RXS983052:RXS983064 SHO983052:SHO983064 SRK983052:SRK983064 TBG983052:TBG983064 TLC983052:TLC983064 TUY983052:TUY983064 UEU983052:UEU983064 UOQ983052:UOQ983064 UYM983052:UYM983064 VII983052:VII983064 VSE983052:VSE983064 WCA983052:WCA983064 WLW983052:WLW983064 WVS983052:WVS983064 E12:E24 JA12:JA24 SW12:SW24 ACS12:ACS24 AMO12:AMO24 AWK12:AWK24 BGG12:BGG24 BQC12:BQC24 BZY12:BZY24 CJU12:CJU24 CTQ12:CTQ24 DDM12:DDM24 DNI12:DNI24 DXE12:DXE24 EHA12:EHA24 EQW12:EQW24 FAS12:FAS24 FKO12:FKO24 FUK12:FUK24 GEG12:GEG24 GOC12:GOC24 GXY12:GXY24 HHU12:HHU24 HRQ12:HRQ24 IBM12:IBM24 ILI12:ILI24 IVE12:IVE24 JFA12:JFA24 JOW12:JOW24 JYS12:JYS24 KIO12:KIO24 KSK12:KSK24 LCG12:LCG24 LMC12:LMC24 LVY12:LVY24 MFU12:MFU24 MPQ12:MPQ24 MZM12:MZM24 NJI12:NJI24 NTE12:NTE24 ODA12:ODA24 OMW12:OMW24 OWS12:OWS24 PGO12:PGO24 PQK12:PQK24 QAG12:QAG24 QKC12:QKC24 QTY12:QTY24 RDU12:RDU24 RNQ12:RNQ24 RXM12:RXM24 SHI12:SHI24 SRE12:SRE24 TBA12:TBA24 TKW12:TKW24 TUS12:TUS24 UEO12:UEO24 UOK12:UOK24 UYG12:UYG24 VIC12:VIC24 VRY12:VRY24 WBU12:WBU24 WLQ12:WLQ24 WVM12:WVM24 E65548:E65560 JA65548:JA65560 SW65548:SW65560 ACS65548:ACS65560 AMO65548:AMO65560 AWK65548:AWK65560 BGG65548:BGG65560 BQC65548:BQC65560 BZY65548:BZY65560 CJU65548:CJU65560 CTQ65548:CTQ65560 DDM65548:DDM65560 DNI65548:DNI65560 DXE65548:DXE65560 EHA65548:EHA65560 EQW65548:EQW65560 FAS65548:FAS65560 FKO65548:FKO65560 FUK65548:FUK65560 GEG65548:GEG65560 GOC65548:GOC65560 GXY65548:GXY65560 HHU65548:HHU65560 HRQ65548:HRQ65560 IBM65548:IBM65560 ILI65548:ILI65560 IVE65548:IVE65560 JFA65548:JFA65560 JOW65548:JOW65560 JYS65548:JYS65560 KIO65548:KIO65560 KSK65548:KSK65560 LCG65548:LCG65560 LMC65548:LMC65560 LVY65548:LVY65560 MFU65548:MFU65560 MPQ65548:MPQ65560 MZM65548:MZM65560 NJI65548:NJI65560 NTE65548:NTE65560 ODA65548:ODA65560 OMW65548:OMW65560 OWS65548:OWS65560 PGO65548:PGO65560 PQK65548:PQK65560 QAG65548:QAG65560 QKC65548:QKC65560 QTY65548:QTY65560 RDU65548:RDU65560 RNQ65548:RNQ65560 RXM65548:RXM65560 SHI65548:SHI65560 SRE65548:SRE65560 TBA65548:TBA65560 TKW65548:TKW65560 TUS65548:TUS65560 UEO65548:UEO65560 UOK65548:UOK65560 UYG65548:UYG65560 VIC65548:VIC65560 VRY65548:VRY65560 WBU65548:WBU65560 WLQ65548:WLQ65560 WVM65548:WVM65560 E131084:E131096 JA131084:JA131096 SW131084:SW131096 ACS131084:ACS131096 AMO131084:AMO131096 AWK131084:AWK131096 BGG131084:BGG131096 BQC131084:BQC131096 BZY131084:BZY131096 CJU131084:CJU131096 CTQ131084:CTQ131096 DDM131084:DDM131096 DNI131084:DNI131096 DXE131084:DXE131096 EHA131084:EHA131096 EQW131084:EQW131096 FAS131084:FAS131096 FKO131084:FKO131096 FUK131084:FUK131096 GEG131084:GEG131096 GOC131084:GOC131096 GXY131084:GXY131096 HHU131084:HHU131096 HRQ131084:HRQ131096 IBM131084:IBM131096 ILI131084:ILI131096 IVE131084:IVE131096 JFA131084:JFA131096 JOW131084:JOW131096 JYS131084:JYS131096 KIO131084:KIO131096 KSK131084:KSK131096 LCG131084:LCG131096 LMC131084:LMC131096 LVY131084:LVY131096 MFU131084:MFU131096 MPQ131084:MPQ131096 MZM131084:MZM131096 NJI131084:NJI131096 NTE131084:NTE131096 ODA131084:ODA131096 OMW131084:OMW131096 OWS131084:OWS131096 PGO131084:PGO131096 PQK131084:PQK131096 QAG131084:QAG131096 QKC131084:QKC131096 QTY131084:QTY131096 RDU131084:RDU131096 RNQ131084:RNQ131096 RXM131084:RXM131096 SHI131084:SHI131096 SRE131084:SRE131096 TBA131084:TBA131096 TKW131084:TKW131096 TUS131084:TUS131096 UEO131084:UEO131096 UOK131084:UOK131096 UYG131084:UYG131096 VIC131084:VIC131096 VRY131084:VRY131096 WBU131084:WBU131096 WLQ131084:WLQ131096 WVM131084:WVM131096 E196620:E196632 JA196620:JA196632 SW196620:SW196632 ACS196620:ACS196632 AMO196620:AMO196632 AWK196620:AWK196632 BGG196620:BGG196632 BQC196620:BQC196632 BZY196620:BZY196632 CJU196620:CJU196632 CTQ196620:CTQ196632 DDM196620:DDM196632 DNI196620:DNI196632 DXE196620:DXE196632 EHA196620:EHA196632 EQW196620:EQW196632 FAS196620:FAS196632 FKO196620:FKO196632 FUK196620:FUK196632 GEG196620:GEG196632 GOC196620:GOC196632 GXY196620:GXY196632 HHU196620:HHU196632 HRQ196620:HRQ196632 IBM196620:IBM196632 ILI196620:ILI196632 IVE196620:IVE196632 JFA196620:JFA196632 JOW196620:JOW196632 JYS196620:JYS196632 KIO196620:KIO196632 KSK196620:KSK196632 LCG196620:LCG196632 LMC196620:LMC196632 LVY196620:LVY196632 MFU196620:MFU196632 MPQ196620:MPQ196632 MZM196620:MZM196632 NJI196620:NJI196632 NTE196620:NTE196632 ODA196620:ODA196632 OMW196620:OMW196632 OWS196620:OWS196632 PGO196620:PGO196632 PQK196620:PQK196632 QAG196620:QAG196632 QKC196620:QKC196632 QTY196620:QTY196632 RDU196620:RDU196632 RNQ196620:RNQ196632 RXM196620:RXM196632 SHI196620:SHI196632 SRE196620:SRE196632 TBA196620:TBA196632 TKW196620:TKW196632 TUS196620:TUS196632 UEO196620:UEO196632 UOK196620:UOK196632 UYG196620:UYG196632 VIC196620:VIC196632 VRY196620:VRY196632 WBU196620:WBU196632 WLQ196620:WLQ196632 WVM196620:WVM196632 E262156:E262168 JA262156:JA262168 SW262156:SW262168 ACS262156:ACS262168 AMO262156:AMO262168 AWK262156:AWK262168 BGG262156:BGG262168 BQC262156:BQC262168 BZY262156:BZY262168 CJU262156:CJU262168 CTQ262156:CTQ262168 DDM262156:DDM262168 DNI262156:DNI262168 DXE262156:DXE262168 EHA262156:EHA262168 EQW262156:EQW262168 FAS262156:FAS262168 FKO262156:FKO262168 FUK262156:FUK262168 GEG262156:GEG262168 GOC262156:GOC262168 GXY262156:GXY262168 HHU262156:HHU262168 HRQ262156:HRQ262168 IBM262156:IBM262168 ILI262156:ILI262168 IVE262156:IVE262168 JFA262156:JFA262168 JOW262156:JOW262168 JYS262156:JYS262168 KIO262156:KIO262168 KSK262156:KSK262168 LCG262156:LCG262168 LMC262156:LMC262168 LVY262156:LVY262168 MFU262156:MFU262168 MPQ262156:MPQ262168 MZM262156:MZM262168 NJI262156:NJI262168 NTE262156:NTE262168 ODA262156:ODA262168 OMW262156:OMW262168 OWS262156:OWS262168 PGO262156:PGO262168 PQK262156:PQK262168 QAG262156:QAG262168 QKC262156:QKC262168 QTY262156:QTY262168 RDU262156:RDU262168 RNQ262156:RNQ262168 RXM262156:RXM262168 SHI262156:SHI262168 SRE262156:SRE262168 TBA262156:TBA262168 TKW262156:TKW262168 TUS262156:TUS262168 UEO262156:UEO262168 UOK262156:UOK262168 UYG262156:UYG262168 VIC262156:VIC262168 VRY262156:VRY262168 WBU262156:WBU262168 WLQ262156:WLQ262168 WVM262156:WVM262168 E327692:E327704 JA327692:JA327704 SW327692:SW327704 ACS327692:ACS327704 AMO327692:AMO327704 AWK327692:AWK327704 BGG327692:BGG327704 BQC327692:BQC327704 BZY327692:BZY327704 CJU327692:CJU327704 CTQ327692:CTQ327704 DDM327692:DDM327704 DNI327692:DNI327704 DXE327692:DXE327704 EHA327692:EHA327704 EQW327692:EQW327704 FAS327692:FAS327704 FKO327692:FKO327704 FUK327692:FUK327704 GEG327692:GEG327704 GOC327692:GOC327704 GXY327692:GXY327704 HHU327692:HHU327704 HRQ327692:HRQ327704 IBM327692:IBM327704 ILI327692:ILI327704 IVE327692:IVE327704 JFA327692:JFA327704 JOW327692:JOW327704 JYS327692:JYS327704 KIO327692:KIO327704 KSK327692:KSK327704 LCG327692:LCG327704 LMC327692:LMC327704 LVY327692:LVY327704 MFU327692:MFU327704 MPQ327692:MPQ327704 MZM327692:MZM327704 NJI327692:NJI327704 NTE327692:NTE327704 ODA327692:ODA327704 OMW327692:OMW327704 OWS327692:OWS327704 PGO327692:PGO327704 PQK327692:PQK327704 QAG327692:QAG327704 QKC327692:QKC327704 QTY327692:QTY327704 RDU327692:RDU327704 RNQ327692:RNQ327704 RXM327692:RXM327704 SHI327692:SHI327704 SRE327692:SRE327704 TBA327692:TBA327704 TKW327692:TKW327704 TUS327692:TUS327704 UEO327692:UEO327704 UOK327692:UOK327704 UYG327692:UYG327704 VIC327692:VIC327704 VRY327692:VRY327704 WBU327692:WBU327704 WLQ327692:WLQ327704 WVM327692:WVM327704 E393228:E393240 JA393228:JA393240 SW393228:SW393240 ACS393228:ACS393240 AMO393228:AMO393240 AWK393228:AWK393240 BGG393228:BGG393240 BQC393228:BQC393240 BZY393228:BZY393240 CJU393228:CJU393240 CTQ393228:CTQ393240 DDM393228:DDM393240 DNI393228:DNI393240 DXE393228:DXE393240 EHA393228:EHA393240 EQW393228:EQW393240 FAS393228:FAS393240 FKO393228:FKO393240 FUK393228:FUK393240 GEG393228:GEG393240 GOC393228:GOC393240 GXY393228:GXY393240 HHU393228:HHU393240 HRQ393228:HRQ393240 IBM393228:IBM393240 ILI393228:ILI393240 IVE393228:IVE393240 JFA393228:JFA393240 JOW393228:JOW393240 JYS393228:JYS393240 KIO393228:KIO393240 KSK393228:KSK393240 LCG393228:LCG393240 LMC393228:LMC393240 LVY393228:LVY393240 MFU393228:MFU393240 MPQ393228:MPQ393240 MZM393228:MZM393240 NJI393228:NJI393240 NTE393228:NTE393240 ODA393228:ODA393240 OMW393228:OMW393240 OWS393228:OWS393240 PGO393228:PGO393240 PQK393228:PQK393240 QAG393228:QAG393240 QKC393228:QKC393240 QTY393228:QTY393240 RDU393228:RDU393240 RNQ393228:RNQ393240 RXM393228:RXM393240 SHI393228:SHI393240 SRE393228:SRE393240 TBA393228:TBA393240 TKW393228:TKW393240 TUS393228:TUS393240 UEO393228:UEO393240 UOK393228:UOK393240 UYG393228:UYG393240 VIC393228:VIC393240 VRY393228:VRY393240 WBU393228:WBU393240 WLQ393228:WLQ393240 WVM393228:WVM393240 E458764:E458776 JA458764:JA458776 SW458764:SW458776 ACS458764:ACS458776 AMO458764:AMO458776 AWK458764:AWK458776 BGG458764:BGG458776 BQC458764:BQC458776 BZY458764:BZY458776 CJU458764:CJU458776 CTQ458764:CTQ458776 DDM458764:DDM458776 DNI458764:DNI458776 DXE458764:DXE458776 EHA458764:EHA458776 EQW458764:EQW458776 FAS458764:FAS458776 FKO458764:FKO458776 FUK458764:FUK458776 GEG458764:GEG458776 GOC458764:GOC458776 GXY458764:GXY458776 HHU458764:HHU458776 HRQ458764:HRQ458776 IBM458764:IBM458776 ILI458764:ILI458776 IVE458764:IVE458776 JFA458764:JFA458776 JOW458764:JOW458776 JYS458764:JYS458776 KIO458764:KIO458776 KSK458764:KSK458776 LCG458764:LCG458776 LMC458764:LMC458776 LVY458764:LVY458776 MFU458764:MFU458776 MPQ458764:MPQ458776 MZM458764:MZM458776 NJI458764:NJI458776 NTE458764:NTE458776 ODA458764:ODA458776 OMW458764:OMW458776 OWS458764:OWS458776 PGO458764:PGO458776 PQK458764:PQK458776 QAG458764:QAG458776 QKC458764:QKC458776 QTY458764:QTY458776 RDU458764:RDU458776 RNQ458764:RNQ458776 RXM458764:RXM458776 SHI458764:SHI458776 SRE458764:SRE458776 TBA458764:TBA458776 TKW458764:TKW458776 TUS458764:TUS458776 UEO458764:UEO458776 UOK458764:UOK458776 UYG458764:UYG458776 VIC458764:VIC458776 VRY458764:VRY458776 WBU458764:WBU458776 WLQ458764:WLQ458776 WVM458764:WVM458776 E524300:E524312 JA524300:JA524312 SW524300:SW524312 ACS524300:ACS524312 AMO524300:AMO524312 AWK524300:AWK524312 BGG524300:BGG524312 BQC524300:BQC524312 BZY524300:BZY524312 CJU524300:CJU524312 CTQ524300:CTQ524312 DDM524300:DDM524312 DNI524300:DNI524312 DXE524300:DXE524312 EHA524300:EHA524312 EQW524300:EQW524312 FAS524300:FAS524312 FKO524300:FKO524312 FUK524300:FUK524312 GEG524300:GEG524312 GOC524300:GOC524312 GXY524300:GXY524312 HHU524300:HHU524312 HRQ524300:HRQ524312 IBM524300:IBM524312 ILI524300:ILI524312 IVE524300:IVE524312 JFA524300:JFA524312 JOW524300:JOW524312 JYS524300:JYS524312 KIO524300:KIO524312 KSK524300:KSK524312 LCG524300:LCG524312 LMC524300:LMC524312 LVY524300:LVY524312 MFU524300:MFU524312 MPQ524300:MPQ524312 MZM524300:MZM524312 NJI524300:NJI524312 NTE524300:NTE524312 ODA524300:ODA524312 OMW524300:OMW524312 OWS524300:OWS524312 PGO524300:PGO524312 PQK524300:PQK524312 QAG524300:QAG524312 QKC524300:QKC524312 QTY524300:QTY524312 RDU524300:RDU524312 RNQ524300:RNQ524312 RXM524300:RXM524312 SHI524300:SHI524312 SRE524300:SRE524312 TBA524300:TBA524312 TKW524300:TKW524312 TUS524300:TUS524312 UEO524300:UEO524312 UOK524300:UOK524312 UYG524300:UYG524312 VIC524300:VIC524312 VRY524300:VRY524312 WBU524300:WBU524312 WLQ524300:WLQ524312 WVM524300:WVM524312 E589836:E589848 JA589836:JA589848 SW589836:SW589848 ACS589836:ACS589848 AMO589836:AMO589848 AWK589836:AWK589848 BGG589836:BGG589848 BQC589836:BQC589848 BZY589836:BZY589848 CJU589836:CJU589848 CTQ589836:CTQ589848 DDM589836:DDM589848 DNI589836:DNI589848 DXE589836:DXE589848 EHA589836:EHA589848 EQW589836:EQW589848 FAS589836:FAS589848 FKO589836:FKO589848 FUK589836:FUK589848 GEG589836:GEG589848 GOC589836:GOC589848 GXY589836:GXY589848 HHU589836:HHU589848 HRQ589836:HRQ589848 IBM589836:IBM589848 ILI589836:ILI589848 IVE589836:IVE589848 JFA589836:JFA589848 JOW589836:JOW589848 JYS589836:JYS589848 KIO589836:KIO589848 KSK589836:KSK589848 LCG589836:LCG589848 LMC589836:LMC589848 LVY589836:LVY589848 MFU589836:MFU589848 MPQ589836:MPQ589848 MZM589836:MZM589848 NJI589836:NJI589848 NTE589836:NTE589848 ODA589836:ODA589848 OMW589836:OMW589848 OWS589836:OWS589848 PGO589836:PGO589848 PQK589836:PQK589848 QAG589836:QAG589848 QKC589836:QKC589848 QTY589836:QTY589848 RDU589836:RDU589848 RNQ589836:RNQ589848 RXM589836:RXM589848 SHI589836:SHI589848 SRE589836:SRE589848 TBA589836:TBA589848 TKW589836:TKW589848 TUS589836:TUS589848 UEO589836:UEO589848 UOK589836:UOK589848 UYG589836:UYG589848 VIC589836:VIC589848 VRY589836:VRY589848 WBU589836:WBU589848 WLQ589836:WLQ589848 WVM589836:WVM589848 E655372:E655384 JA655372:JA655384 SW655372:SW655384 ACS655372:ACS655384 AMO655372:AMO655384 AWK655372:AWK655384 BGG655372:BGG655384 BQC655372:BQC655384 BZY655372:BZY655384 CJU655372:CJU655384 CTQ655372:CTQ655384 DDM655372:DDM655384 DNI655372:DNI655384 DXE655372:DXE655384 EHA655372:EHA655384 EQW655372:EQW655384 FAS655372:FAS655384 FKO655372:FKO655384 FUK655372:FUK655384 GEG655372:GEG655384 GOC655372:GOC655384 GXY655372:GXY655384 HHU655372:HHU655384 HRQ655372:HRQ655384 IBM655372:IBM655384 ILI655372:ILI655384 IVE655372:IVE655384 JFA655372:JFA655384 JOW655372:JOW655384 JYS655372:JYS655384 KIO655372:KIO655384 KSK655372:KSK655384 LCG655372:LCG655384 LMC655372:LMC655384 LVY655372:LVY655384 MFU655372:MFU655384 MPQ655372:MPQ655384 MZM655372:MZM655384 NJI655372:NJI655384 NTE655372:NTE655384 ODA655372:ODA655384 OMW655372:OMW655384 OWS655372:OWS655384 PGO655372:PGO655384 PQK655372:PQK655384 QAG655372:QAG655384 QKC655372:QKC655384 QTY655372:QTY655384 RDU655372:RDU655384 RNQ655372:RNQ655384 RXM655372:RXM655384 SHI655372:SHI655384 SRE655372:SRE655384 TBA655372:TBA655384 TKW655372:TKW655384 TUS655372:TUS655384 UEO655372:UEO655384 UOK655372:UOK655384 UYG655372:UYG655384 VIC655372:VIC655384 VRY655372:VRY655384 WBU655372:WBU655384 WLQ655372:WLQ655384 WVM655372:WVM655384 E720908:E720920 JA720908:JA720920 SW720908:SW720920 ACS720908:ACS720920 AMO720908:AMO720920 AWK720908:AWK720920 BGG720908:BGG720920 BQC720908:BQC720920 BZY720908:BZY720920 CJU720908:CJU720920 CTQ720908:CTQ720920 DDM720908:DDM720920 DNI720908:DNI720920 DXE720908:DXE720920 EHA720908:EHA720920 EQW720908:EQW720920 FAS720908:FAS720920 FKO720908:FKO720920 FUK720908:FUK720920 GEG720908:GEG720920 GOC720908:GOC720920 GXY720908:GXY720920 HHU720908:HHU720920 HRQ720908:HRQ720920 IBM720908:IBM720920 ILI720908:ILI720920 IVE720908:IVE720920 JFA720908:JFA720920 JOW720908:JOW720920 JYS720908:JYS720920 KIO720908:KIO720920 KSK720908:KSK720920 LCG720908:LCG720920 LMC720908:LMC720920 LVY720908:LVY720920 MFU720908:MFU720920 MPQ720908:MPQ720920 MZM720908:MZM720920 NJI720908:NJI720920 NTE720908:NTE720920 ODA720908:ODA720920 OMW720908:OMW720920 OWS720908:OWS720920 PGO720908:PGO720920 PQK720908:PQK720920 QAG720908:QAG720920 QKC720908:QKC720920 QTY720908:QTY720920 RDU720908:RDU720920 RNQ720908:RNQ720920 RXM720908:RXM720920 SHI720908:SHI720920 SRE720908:SRE720920 TBA720908:TBA720920 TKW720908:TKW720920 TUS720908:TUS720920 UEO720908:UEO720920 UOK720908:UOK720920 UYG720908:UYG720920 VIC720908:VIC720920 VRY720908:VRY720920 WBU720908:WBU720920 WLQ720908:WLQ720920 WVM720908:WVM720920 E786444:E786456 JA786444:JA786456 SW786444:SW786456 ACS786444:ACS786456 AMO786444:AMO786456 AWK786444:AWK786456 BGG786444:BGG786456 BQC786444:BQC786456 BZY786444:BZY786456 CJU786444:CJU786456 CTQ786444:CTQ786456 DDM786444:DDM786456 DNI786444:DNI786456 DXE786444:DXE786456 EHA786444:EHA786456 EQW786444:EQW786456 FAS786444:FAS786456 FKO786444:FKO786456 FUK786444:FUK786456 GEG786444:GEG786456 GOC786444:GOC786456 GXY786444:GXY786456 HHU786444:HHU786456 HRQ786444:HRQ786456 IBM786444:IBM786456 ILI786444:ILI786456 IVE786444:IVE786456 JFA786444:JFA786456 JOW786444:JOW786456 JYS786444:JYS786456 KIO786444:KIO786456 KSK786444:KSK786456 LCG786444:LCG786456 LMC786444:LMC786456 LVY786444:LVY786456 MFU786444:MFU786456 MPQ786444:MPQ786456 MZM786444:MZM786456 NJI786444:NJI786456 NTE786444:NTE786456 ODA786444:ODA786456 OMW786444:OMW786456 OWS786444:OWS786456 PGO786444:PGO786456 PQK786444:PQK786456 QAG786444:QAG786456 QKC786444:QKC786456 QTY786444:QTY786456 RDU786444:RDU786456 RNQ786444:RNQ786456 RXM786444:RXM786456 SHI786444:SHI786456 SRE786444:SRE786456 TBA786444:TBA786456 TKW786444:TKW786456 TUS786444:TUS786456 UEO786444:UEO786456 UOK786444:UOK786456 UYG786444:UYG786456 VIC786444:VIC786456 VRY786444:VRY786456 WBU786444:WBU786456 WLQ786444:WLQ786456 WVM786444:WVM786456 E851980:E851992 JA851980:JA851992 SW851980:SW851992 ACS851980:ACS851992 AMO851980:AMO851992 AWK851980:AWK851992 BGG851980:BGG851992 BQC851980:BQC851992 BZY851980:BZY851992 CJU851980:CJU851992 CTQ851980:CTQ851992 DDM851980:DDM851992 DNI851980:DNI851992 DXE851980:DXE851992 EHA851980:EHA851992 EQW851980:EQW851992 FAS851980:FAS851992 FKO851980:FKO851992 FUK851980:FUK851992 GEG851980:GEG851992 GOC851980:GOC851992 GXY851980:GXY851992 HHU851980:HHU851992 HRQ851980:HRQ851992 IBM851980:IBM851992 ILI851980:ILI851992 IVE851980:IVE851992 JFA851980:JFA851992 JOW851980:JOW851992 JYS851980:JYS851992 KIO851980:KIO851992 KSK851980:KSK851992 LCG851980:LCG851992 LMC851980:LMC851992 LVY851980:LVY851992 MFU851980:MFU851992 MPQ851980:MPQ851992 MZM851980:MZM851992 NJI851980:NJI851992 NTE851980:NTE851992 ODA851980:ODA851992 OMW851980:OMW851992 OWS851980:OWS851992 PGO851980:PGO851992 PQK851980:PQK851992 QAG851980:QAG851992 QKC851980:QKC851992 QTY851980:QTY851992 RDU851980:RDU851992 RNQ851980:RNQ851992 RXM851980:RXM851992 SHI851980:SHI851992 SRE851980:SRE851992 TBA851980:TBA851992 TKW851980:TKW851992 TUS851980:TUS851992 UEO851980:UEO851992 UOK851980:UOK851992 UYG851980:UYG851992 VIC851980:VIC851992 VRY851980:VRY851992 WBU851980:WBU851992 WLQ851980:WLQ851992 WVM851980:WVM851992 E917516:E917528 JA917516:JA917528 SW917516:SW917528 ACS917516:ACS917528 AMO917516:AMO917528 AWK917516:AWK917528 BGG917516:BGG917528 BQC917516:BQC917528 BZY917516:BZY917528 CJU917516:CJU917528 CTQ917516:CTQ917528 DDM917516:DDM917528 DNI917516:DNI917528 DXE917516:DXE917528 EHA917516:EHA917528 EQW917516:EQW917528 FAS917516:FAS917528 FKO917516:FKO917528 FUK917516:FUK917528 GEG917516:GEG917528 GOC917516:GOC917528 GXY917516:GXY917528 HHU917516:HHU917528 HRQ917516:HRQ917528 IBM917516:IBM917528 ILI917516:ILI917528 IVE917516:IVE917528 JFA917516:JFA917528 JOW917516:JOW917528 JYS917516:JYS917528 KIO917516:KIO917528 KSK917516:KSK917528 LCG917516:LCG917528 LMC917516:LMC917528 LVY917516:LVY917528 MFU917516:MFU917528 MPQ917516:MPQ917528 MZM917516:MZM917528 NJI917516:NJI917528 NTE917516:NTE917528 ODA917516:ODA917528 OMW917516:OMW917528 OWS917516:OWS917528 PGO917516:PGO917528 PQK917516:PQK917528 QAG917516:QAG917528 QKC917516:QKC917528 QTY917516:QTY917528 RDU917516:RDU917528 RNQ917516:RNQ917528 RXM917516:RXM917528 SHI917516:SHI917528 SRE917516:SRE917528 TBA917516:TBA917528 TKW917516:TKW917528 TUS917516:TUS917528 UEO917516:UEO917528 UOK917516:UOK917528 UYG917516:UYG917528 VIC917516:VIC917528 VRY917516:VRY917528 WBU917516:WBU917528 WLQ917516:WLQ917528 WVM917516:WVM917528 E983052:E983064 JA983052:JA983064 SW983052:SW983064 ACS983052:ACS983064 AMO983052:AMO983064 AWK983052:AWK983064 BGG983052:BGG983064 BQC983052:BQC983064 BZY983052:BZY983064 CJU983052:CJU983064 CTQ983052:CTQ983064 DDM983052:DDM983064 DNI983052:DNI983064 DXE983052:DXE983064 EHA983052:EHA983064 EQW983052:EQW983064 FAS983052:FAS983064 FKO983052:FKO983064 FUK983052:FUK983064 GEG983052:GEG983064 GOC983052:GOC983064 GXY983052:GXY983064 HHU983052:HHU983064 HRQ983052:HRQ983064 IBM983052:IBM983064 ILI983052:ILI983064 IVE983052:IVE983064 JFA983052:JFA983064 JOW983052:JOW983064 JYS983052:JYS983064 KIO983052:KIO983064 KSK983052:KSK983064 LCG983052:LCG983064 LMC983052:LMC983064 LVY983052:LVY983064 MFU983052:MFU983064 MPQ983052:MPQ983064 MZM983052:MZM983064 NJI983052:NJI983064 NTE983052:NTE983064 ODA983052:ODA983064 OMW983052:OMW983064 OWS983052:OWS983064 PGO983052:PGO983064 PQK983052:PQK983064 QAG983052:QAG983064 QKC983052:QKC983064 QTY983052:QTY983064 RDU983052:RDU983064 RNQ983052:RNQ983064 RXM983052:RXM983064 SHI983052:SHI983064 SRE983052:SRE983064 TBA983052:TBA983064 TKW983052:TKW983064 TUS983052:TUS983064 UEO983052:UEO983064 UOK983052:UOK983064 UYG983052:UYG983064 VIC983052:VIC983064 VRY983052:VRY983064 WBU983052:WBU983064 WLQ983052:WLQ983064 WVM983052:WVM983064" xr:uid="{00000000-0002-0000-0200-000000000000}">
      <formula1>0.06</formula1>
      <formula2>1.5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D0B056278C642B7C89719D0EEC9C4" ma:contentTypeVersion="4" ma:contentTypeDescription="Create a new document." ma:contentTypeScope="" ma:versionID="459ccd4a2f4db444801dd1c587af921d">
  <xsd:schema xmlns:xsd="http://www.w3.org/2001/XMLSchema" xmlns:xs="http://www.w3.org/2001/XMLSchema" xmlns:p="http://schemas.microsoft.com/office/2006/metadata/properties" xmlns:ns2="f419981a-ca0a-4e56-9512-575f16b7ea2d" targetNamespace="http://schemas.microsoft.com/office/2006/metadata/properties" ma:root="true" ma:fieldsID="e76f6978cc275c7466d741305d3dbcb0" ns2:_="">
    <xsd:import namespace="f419981a-ca0a-4e56-9512-575f16b7e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9981a-ca0a-4e56-9512-575f16b7e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69FA02-93C9-475A-915E-7D169F1EB4DD}"/>
</file>

<file path=customXml/itemProps2.xml><?xml version="1.0" encoding="utf-8"?>
<ds:datastoreItem xmlns:ds="http://schemas.openxmlformats.org/officeDocument/2006/customXml" ds:itemID="{92DB910B-85D3-4C87-9AD1-34F3B51A1083}"/>
</file>

<file path=customXml/itemProps3.xml><?xml version="1.0" encoding="utf-8"?>
<ds:datastoreItem xmlns:ds="http://schemas.openxmlformats.org/officeDocument/2006/customXml" ds:itemID="{26B3DF76-7E02-497D-8298-9E3F5B5C55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Canales R</dc:creator>
  <cp:keywords/>
  <dc:description/>
  <cp:lastModifiedBy>Lee Qi</cp:lastModifiedBy>
  <cp:revision/>
  <dcterms:created xsi:type="dcterms:W3CDTF">2016-10-07T10:16:07Z</dcterms:created>
  <dcterms:modified xsi:type="dcterms:W3CDTF">2021-08-10T21:21:27Z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0x010100812D0B056278C642B7C89719D0EEC9C4</vt:lpwstr>
  </property>
</Properties>
</file>