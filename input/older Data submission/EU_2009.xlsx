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0" documentId="8_{A4F45F12-2707-4D8F-AB46-02C083A54CE5}" xr6:coauthVersionLast="46" xr6:coauthVersionMax="46" xr10:uidLastSave="{00000000-0000-0000-0000-000000000000}"/>
  <bookViews>
    <workbookView xWindow="39915" yWindow="1515"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landings_by_quarter" guid="{30CB6B41-EBE9-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Summary" guid="{F7B13B60-EB30-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36" l="1"/>
  <c r="G3" i="105"/>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<sst xmlns="http://schemas.openxmlformats.org/spreadsheetml/2006/main" count="843" uniqueCount="146">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</sst>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2011 annual age comp EU fleet IFOP data</a:t>
          </a:r>
        </a:p>
        <a:p>
          <a:pPr algn="l" rtl="0">
            <a:defRPr sz="1000"/>
          </a:pPr>
          <a:r>
            <a:rPr lang="de-DE" sz="1000" b="0" i="0" u="none" strike="noStrike" baseline="0">
              <a:solidFill>
                <a:srgbClr val="000000"/>
              </a:solidFill>
              <a:latin typeface="Geneva"/>
            </a:rPr>
            <a:t>.xlsx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topLeftCell="B1"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2009</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topLeftCell="A4" workbookViewId="0">
      <selection activeCell="C6" sqref="C6"/>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2009</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E20" sqref="E20"/>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2009</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2009</v>
      </c>
      <c r="C13" s="365"/>
      <c r="D13" s="366"/>
      <c r="E13" s="364">
        <f>'START HERE'!$K$3</f>
        <v>2009</v>
      </c>
      <c r="F13" s="365"/>
      <c r="G13" s="366"/>
      <c r="H13" s="364">
        <f>'START HERE'!$K$3</f>
        <v>2009</v>
      </c>
      <c r="I13" s="365"/>
      <c r="J13" s="366"/>
      <c r="K13" s="364">
        <f>'START HERE'!$K$3</f>
        <v>2009</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111921</v>
      </c>
      <c r="F20" s="238"/>
      <c r="G20" s="239"/>
      <c r="H20" s="232"/>
      <c r="I20" s="238"/>
      <c r="J20" s="239"/>
      <c r="K20" s="232"/>
      <c r="L20" s="238"/>
      <c r="M20" s="240"/>
      <c r="N20" s="290">
        <f t="shared" si="0"/>
        <v>111921</v>
      </c>
      <c r="O20" s="291">
        <f t="shared" si="0"/>
        <v>0</v>
      </c>
      <c r="P20" s="292">
        <f t="shared" si="0"/>
        <v>0</v>
      </c>
      <c r="Q20" s="241">
        <f t="shared" si="1"/>
        <v>111921</v>
      </c>
      <c r="R20" s="285"/>
      <c r="S20" s="162" t="s">
        <v>85</v>
      </c>
    </row>
    <row r="21" spans="1:19" ht="24.75" customHeight="1" thickBot="1">
      <c r="A21" s="264" t="s">
        <v>49</v>
      </c>
      <c r="B21" s="242">
        <f t="shared" ref="B21:M21" si="2">SUM(B17:B20)</f>
        <v>0</v>
      </c>
      <c r="C21" s="243">
        <f t="shared" si="2"/>
        <v>0</v>
      </c>
      <c r="D21" s="244">
        <f t="shared" si="2"/>
        <v>0</v>
      </c>
      <c r="E21" s="242">
        <f t="shared" si="2"/>
        <v>111921</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111921</v>
      </c>
      <c r="O21" s="294">
        <f t="shared" si="0"/>
        <v>0</v>
      </c>
      <c r="P21" s="295">
        <f t="shared" si="0"/>
        <v>0</v>
      </c>
      <c r="Q21" s="249">
        <f>SUM(Q17:Q20)</f>
        <v>111921</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111921)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I14" sqref="I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2009</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2009</v>
      </c>
      <c r="F8" s="370" t="s">
        <v>30</v>
      </c>
      <c r="G8" s="371"/>
      <c r="H8" s="371"/>
      <c r="I8" s="188">
        <f>'START HERE'!K3</f>
        <v>2009</v>
      </c>
      <c r="J8" s="370" t="s">
        <v>31</v>
      </c>
      <c r="K8" s="371"/>
      <c r="L8" s="371"/>
      <c r="M8" s="188">
        <f>'START HERE'!K3</f>
        <v>2009</v>
      </c>
      <c r="N8" s="186" t="s">
        <v>32</v>
      </c>
      <c r="O8" s="187"/>
      <c r="P8" s="187"/>
      <c r="Q8" s="188">
        <f>'START HERE'!K3</f>
        <v>2009</v>
      </c>
      <c r="R8" s="370" t="s">
        <v>33</v>
      </c>
      <c r="S8" s="371"/>
      <c r="T8" s="371"/>
      <c r="U8" s="188">
        <f>'START HERE'!K3</f>
        <v>2009</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f t="shared" si="0"/>
        <v>0</v>
      </c>
      <c r="T14" s="62">
        <f t="shared" si="0"/>
        <v>0</v>
      </c>
      <c r="U14" s="63">
        <f t="shared" si="0"/>
        <v>0</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0</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2009</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2009</v>
      </c>
      <c r="C9" s="181">
        <f>'START HERE'!$K$3</f>
        <v>2009</v>
      </c>
      <c r="D9" s="181">
        <f>'START HERE'!$K$3</f>
        <v>2009</v>
      </c>
      <c r="E9" s="181">
        <f>'START HERE'!$K$3</f>
        <v>2009</v>
      </c>
      <c r="F9" s="180">
        <f>'START HERE'!$K$3</f>
        <v>2009</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2009</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2009</v>
      </c>
      <c r="C9" s="181">
        <f>'START HERE'!$K$3</f>
        <v>2009</v>
      </c>
      <c r="D9" s="181">
        <f>'START HERE'!$K$3</f>
        <v>2009</v>
      </c>
      <c r="E9" s="181">
        <f>'START HERE'!$K$3</f>
        <v>2009</v>
      </c>
      <c r="F9" s="180">
        <f>'START HERE'!$K$3</f>
        <v>2009</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2009</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2009</v>
      </c>
      <c r="C9" s="181">
        <f>'START HERE'!$K$3</f>
        <v>2009</v>
      </c>
      <c r="D9" s="181">
        <f>'START HERE'!$K$3</f>
        <v>2009</v>
      </c>
      <c r="E9" s="181">
        <f>'START HERE'!$K$3</f>
        <v>2009</v>
      </c>
      <c r="F9" s="180">
        <f>'START HERE'!$K$3</f>
        <v>2009</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27" activePane="bottomLeft" state="frozen"/>
      <selection activeCell="G5" sqref="G5:J5"/>
      <selection pane="bottomLeft" activeCell="C34" sqref="C34:C64"/>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2009</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2009</v>
      </c>
      <c r="C9" s="181">
        <f>'START HERE'!$K$3</f>
        <v>2009</v>
      </c>
      <c r="D9" s="181">
        <f>'START HERE'!$K$3</f>
        <v>2009</v>
      </c>
      <c r="E9" s="181">
        <f>'START HERE'!$K$3</f>
        <v>2009</v>
      </c>
      <c r="F9" s="180">
        <f>'START HERE'!$K$3</f>
        <v>2009</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c r="D26" s="306"/>
      <c r="E26" s="306"/>
      <c r="F26" s="36"/>
      <c r="G26" s="4"/>
      <c r="H26" s="177"/>
      <c r="I26" s="177"/>
    </row>
    <row r="27" spans="1:9">
      <c r="A27" s="154">
        <v>18</v>
      </c>
      <c r="B27" s="305"/>
      <c r="C27" s="306"/>
      <c r="D27" s="306"/>
      <c r="E27" s="306"/>
      <c r="F27" s="36"/>
      <c r="G27" s="4"/>
      <c r="H27" s="177"/>
      <c r="I27" s="177"/>
    </row>
    <row r="28" spans="1:9">
      <c r="A28" s="154">
        <v>19</v>
      </c>
      <c r="B28" s="305"/>
      <c r="C28" s="306"/>
      <c r="D28" s="306"/>
      <c r="E28" s="306"/>
      <c r="F28" s="36"/>
      <c r="G28" s="4"/>
      <c r="H28" s="177"/>
      <c r="I28" s="177"/>
    </row>
    <row r="29" spans="1:9">
      <c r="A29" s="154">
        <v>20</v>
      </c>
      <c r="B29" s="305"/>
      <c r="C29" s="306"/>
      <c r="D29" s="306"/>
      <c r="E29" s="306"/>
      <c r="F29" s="36"/>
      <c r="G29" s="4"/>
      <c r="H29" s="177"/>
      <c r="I29" s="177"/>
    </row>
    <row r="30" spans="1:9">
      <c r="A30" s="154">
        <v>21</v>
      </c>
      <c r="B30" s="305"/>
      <c r="C30" s="306"/>
      <c r="D30" s="306"/>
      <c r="E30" s="306"/>
      <c r="F30" s="36"/>
      <c r="G30" s="4"/>
      <c r="H30" s="177"/>
      <c r="I30" s="177"/>
    </row>
    <row r="31" spans="1:9">
      <c r="A31" s="154">
        <v>22</v>
      </c>
      <c r="B31" s="305"/>
      <c r="C31" s="306"/>
      <c r="D31" s="306"/>
      <c r="E31" s="306"/>
      <c r="F31" s="36"/>
      <c r="G31" s="4"/>
      <c r="H31" s="177"/>
      <c r="I31" s="177"/>
    </row>
    <row r="32" spans="1:9">
      <c r="A32" s="154">
        <v>23</v>
      </c>
      <c r="B32" s="305"/>
      <c r="C32" s="306"/>
      <c r="D32" s="306"/>
      <c r="E32" s="306"/>
      <c r="F32" s="36"/>
      <c r="G32" s="4"/>
      <c r="H32" s="177"/>
      <c r="I32" s="177"/>
    </row>
    <row r="33" spans="1:9">
      <c r="A33" s="154">
        <v>24</v>
      </c>
      <c r="B33" s="305"/>
      <c r="C33" s="306"/>
      <c r="D33" s="306"/>
      <c r="E33" s="306"/>
      <c r="F33" s="36"/>
      <c r="G33" s="4"/>
      <c r="H33" s="177"/>
      <c r="I33" s="177"/>
    </row>
    <row r="34" spans="1:9">
      <c r="A34" s="154">
        <v>25</v>
      </c>
      <c r="B34" s="305"/>
      <c r="C34" s="306">
        <v>0</v>
      </c>
      <c r="D34" s="306"/>
      <c r="E34" s="306"/>
      <c r="F34" s="36"/>
      <c r="G34" s="4"/>
      <c r="H34" s="177"/>
      <c r="I34" s="177"/>
    </row>
    <row r="35" spans="1:9">
      <c r="A35" s="154">
        <v>26</v>
      </c>
      <c r="B35" s="305"/>
      <c r="C35" s="306">
        <v>64.336809671424348</v>
      </c>
      <c r="D35" s="306"/>
      <c r="E35" s="306"/>
      <c r="F35" s="36"/>
      <c r="G35" s="4"/>
      <c r="H35" s="177"/>
      <c r="I35" s="177"/>
    </row>
    <row r="36" spans="1:9">
      <c r="A36" s="154">
        <v>27</v>
      </c>
      <c r="B36" s="305"/>
      <c r="C36" s="306">
        <v>0</v>
      </c>
      <c r="D36" s="306"/>
      <c r="E36" s="306"/>
      <c r="F36" s="36"/>
      <c r="G36" s="4"/>
      <c r="H36" s="177"/>
      <c r="I36" s="177"/>
    </row>
    <row r="37" spans="1:9">
      <c r="A37" s="154">
        <v>28</v>
      </c>
      <c r="B37" s="305"/>
      <c r="C37" s="306">
        <v>0</v>
      </c>
      <c r="D37" s="306"/>
      <c r="E37" s="306"/>
      <c r="F37" s="36"/>
      <c r="G37" s="4"/>
      <c r="H37" s="177"/>
      <c r="I37" s="177"/>
    </row>
    <row r="38" spans="1:9">
      <c r="A38" s="154">
        <v>29</v>
      </c>
      <c r="B38" s="305"/>
      <c r="C38" s="306">
        <v>0</v>
      </c>
      <c r="D38" s="306"/>
      <c r="E38" s="306"/>
      <c r="F38" s="36"/>
      <c r="G38" s="4"/>
      <c r="H38" s="177"/>
      <c r="I38" s="177"/>
    </row>
    <row r="39" spans="1:9">
      <c r="A39" s="154">
        <v>30</v>
      </c>
      <c r="B39" s="305"/>
      <c r="C39" s="306">
        <v>0</v>
      </c>
      <c r="D39" s="306"/>
      <c r="E39" s="306"/>
      <c r="F39" s="36"/>
      <c r="G39" s="4"/>
      <c r="H39" s="177"/>
      <c r="I39" s="177"/>
    </row>
    <row r="40" spans="1:9">
      <c r="A40" s="154">
        <v>31</v>
      </c>
      <c r="B40" s="305"/>
      <c r="C40" s="306">
        <v>0</v>
      </c>
      <c r="D40" s="306"/>
      <c r="E40" s="306"/>
      <c r="F40" s="36"/>
      <c r="G40" s="4"/>
      <c r="H40" s="177"/>
      <c r="I40" s="177"/>
    </row>
    <row r="41" spans="1:9">
      <c r="A41" s="154">
        <v>32</v>
      </c>
      <c r="B41" s="305"/>
      <c r="C41" s="306">
        <v>32.168404835712174</v>
      </c>
      <c r="D41" s="306"/>
      <c r="E41" s="306"/>
      <c r="F41" s="36"/>
      <c r="G41" s="4"/>
      <c r="H41" s="177"/>
      <c r="I41" s="177"/>
    </row>
    <row r="42" spans="1:9">
      <c r="A42" s="154">
        <v>33</v>
      </c>
      <c r="B42" s="305"/>
      <c r="C42" s="306">
        <v>3281.177293242642</v>
      </c>
      <c r="D42" s="306"/>
      <c r="E42" s="306"/>
      <c r="F42" s="36"/>
      <c r="G42" s="4"/>
      <c r="H42" s="177"/>
      <c r="I42" s="177"/>
    </row>
    <row r="43" spans="1:9">
      <c r="A43" s="154">
        <v>34</v>
      </c>
      <c r="B43" s="305"/>
      <c r="C43" s="306">
        <v>34002.003911347769</v>
      </c>
      <c r="D43" s="306"/>
      <c r="E43" s="306"/>
      <c r="F43" s="36"/>
      <c r="G43" s="4"/>
      <c r="H43" s="177"/>
      <c r="I43" s="177"/>
    </row>
    <row r="44" spans="1:9">
      <c r="A44" s="154">
        <v>35</v>
      </c>
      <c r="B44" s="305"/>
      <c r="C44" s="306">
        <v>78909.097062001951</v>
      </c>
      <c r="D44" s="306"/>
      <c r="E44" s="306"/>
      <c r="F44" s="36"/>
      <c r="G44" s="4"/>
      <c r="H44" s="177"/>
      <c r="I44" s="177"/>
    </row>
    <row r="45" spans="1:9">
      <c r="A45" s="154">
        <v>36</v>
      </c>
      <c r="B45" s="305"/>
      <c r="C45" s="306">
        <v>79488.128349044782</v>
      </c>
      <c r="D45" s="306"/>
      <c r="E45" s="306"/>
      <c r="F45" s="36"/>
      <c r="G45" s="4"/>
      <c r="H45" s="177"/>
      <c r="I45" s="177"/>
    </row>
    <row r="46" spans="1:9">
      <c r="A46" s="154">
        <v>37</v>
      </c>
      <c r="B46" s="305"/>
      <c r="C46" s="306">
        <v>63661.273169874388</v>
      </c>
      <c r="D46" s="306"/>
      <c r="E46" s="306"/>
      <c r="F46" s="36"/>
      <c r="G46" s="4"/>
      <c r="H46" s="177"/>
      <c r="I46" s="177"/>
    </row>
    <row r="47" spans="1:9">
      <c r="A47" s="154">
        <v>38</v>
      </c>
      <c r="B47" s="305"/>
      <c r="C47" s="306">
        <v>54042.920123996453</v>
      </c>
      <c r="D47" s="306"/>
      <c r="E47" s="306"/>
      <c r="F47" s="36"/>
      <c r="G47" s="4"/>
      <c r="H47" s="177"/>
      <c r="I47" s="177"/>
    </row>
    <row r="48" spans="1:9">
      <c r="A48" s="154">
        <v>39</v>
      </c>
      <c r="B48" s="305"/>
      <c r="C48" s="306">
        <v>42526.631192811496</v>
      </c>
      <c r="D48" s="306"/>
      <c r="E48" s="306"/>
      <c r="F48" s="36"/>
      <c r="G48" s="4"/>
      <c r="H48" s="177"/>
      <c r="I48" s="177"/>
    </row>
    <row r="49" spans="1:9">
      <c r="A49" s="154">
        <v>40</v>
      </c>
      <c r="B49" s="305"/>
      <c r="C49" s="306">
        <v>35288.740104776254</v>
      </c>
      <c r="D49" s="306"/>
      <c r="E49" s="306"/>
      <c r="F49" s="36"/>
      <c r="G49" s="4"/>
      <c r="H49" s="177"/>
      <c r="I49" s="177"/>
    </row>
    <row r="50" spans="1:9">
      <c r="A50" s="154">
        <v>41</v>
      </c>
      <c r="B50" s="305"/>
      <c r="C50" s="306">
        <v>28276.027850590999</v>
      </c>
      <c r="D50" s="306"/>
      <c r="E50" s="306"/>
      <c r="F50" s="36"/>
      <c r="G50" s="4"/>
      <c r="H50" s="177"/>
      <c r="I50" s="177"/>
    </row>
    <row r="51" spans="1:9">
      <c r="A51" s="154">
        <v>42</v>
      </c>
      <c r="B51" s="305"/>
      <c r="C51" s="306">
        <v>20491.273880348654</v>
      </c>
      <c r="D51" s="306"/>
      <c r="E51" s="306"/>
      <c r="F51" s="36"/>
      <c r="G51" s="4"/>
      <c r="H51" s="177"/>
      <c r="I51" s="177"/>
    </row>
    <row r="52" spans="1:9">
      <c r="A52" s="154">
        <v>43</v>
      </c>
      <c r="B52" s="305"/>
      <c r="C52" s="306">
        <v>17113.591372598876</v>
      </c>
      <c r="D52" s="306"/>
      <c r="E52" s="306"/>
      <c r="F52" s="36"/>
      <c r="G52" s="4"/>
      <c r="H52" s="177"/>
      <c r="I52" s="177"/>
    </row>
    <row r="53" spans="1:9">
      <c r="A53" s="154">
        <v>44</v>
      </c>
      <c r="B53" s="305"/>
      <c r="C53" s="306">
        <v>14154.098127713358</v>
      </c>
      <c r="D53" s="306"/>
      <c r="E53" s="306"/>
      <c r="F53" s="36"/>
      <c r="G53" s="4"/>
      <c r="H53" s="177"/>
      <c r="I53" s="177"/>
    </row>
    <row r="54" spans="1:9">
      <c r="A54" s="154">
        <v>45</v>
      </c>
      <c r="B54" s="305"/>
      <c r="C54" s="306">
        <v>10937.257644142139</v>
      </c>
      <c r="D54" s="306"/>
      <c r="E54" s="306"/>
      <c r="F54" s="36"/>
      <c r="G54" s="4"/>
      <c r="H54" s="177"/>
      <c r="I54" s="177"/>
    </row>
    <row r="55" spans="1:9">
      <c r="A55" s="154">
        <v>46</v>
      </c>
      <c r="B55" s="305"/>
      <c r="C55" s="306">
        <v>6626.6913961567079</v>
      </c>
      <c r="D55" s="306"/>
      <c r="E55" s="306"/>
      <c r="F55" s="36"/>
      <c r="G55" s="4"/>
      <c r="H55" s="177"/>
      <c r="I55" s="177"/>
    </row>
    <row r="56" spans="1:9">
      <c r="A56" s="154">
        <v>47</v>
      </c>
      <c r="B56" s="305"/>
      <c r="C56" s="306">
        <v>7044.880659020966</v>
      </c>
      <c r="D56" s="306"/>
      <c r="E56" s="306"/>
      <c r="F56" s="36"/>
      <c r="G56" s="4"/>
      <c r="H56" s="177"/>
      <c r="I56" s="177"/>
    </row>
    <row r="57" spans="1:9">
      <c r="A57" s="154">
        <v>48</v>
      </c>
      <c r="B57" s="305"/>
      <c r="C57" s="306">
        <v>4535.7450818354164</v>
      </c>
      <c r="D57" s="306"/>
      <c r="E57" s="306"/>
      <c r="F57" s="36"/>
      <c r="G57" s="4"/>
      <c r="H57" s="177"/>
      <c r="I57" s="177"/>
    </row>
    <row r="58" spans="1:9">
      <c r="A58" s="154">
        <v>49</v>
      </c>
      <c r="B58" s="305"/>
      <c r="C58" s="306">
        <v>2830.8196255426715</v>
      </c>
      <c r="D58" s="306"/>
      <c r="E58" s="306"/>
      <c r="F58" s="36"/>
      <c r="G58" s="4"/>
      <c r="H58" s="177"/>
      <c r="I58" s="177"/>
    </row>
    <row r="59" spans="1:9">
      <c r="A59" s="154">
        <v>50</v>
      </c>
      <c r="B59" s="305"/>
      <c r="C59" s="306">
        <v>1640.588646621321</v>
      </c>
      <c r="D59" s="306"/>
      <c r="E59" s="306"/>
      <c r="F59" s="36"/>
      <c r="G59" s="4"/>
      <c r="H59" s="177"/>
      <c r="I59" s="177"/>
    </row>
    <row r="60" spans="1:9">
      <c r="A60" s="154">
        <v>51</v>
      </c>
      <c r="B60" s="305"/>
      <c r="C60" s="306">
        <v>611.19969187853133</v>
      </c>
      <c r="D60" s="306"/>
      <c r="E60" s="306"/>
      <c r="F60" s="36"/>
      <c r="G60" s="4"/>
      <c r="H60" s="177"/>
      <c r="I60" s="177"/>
    </row>
    <row r="61" spans="1:9">
      <c r="A61" s="154">
        <v>52</v>
      </c>
      <c r="B61" s="305"/>
      <c r="C61" s="306">
        <v>321.68404835712175</v>
      </c>
      <c r="D61" s="306"/>
      <c r="E61" s="306"/>
      <c r="F61" s="36"/>
      <c r="G61" s="4"/>
      <c r="H61" s="177"/>
      <c r="I61" s="177"/>
    </row>
    <row r="62" spans="1:9">
      <c r="A62" s="154">
        <v>53</v>
      </c>
      <c r="B62" s="305"/>
      <c r="C62" s="306">
        <v>160.84202417856088</v>
      </c>
      <c r="D62" s="306"/>
      <c r="E62" s="306"/>
      <c r="F62" s="36"/>
      <c r="G62" s="4"/>
      <c r="H62" s="177"/>
      <c r="I62" s="177"/>
    </row>
    <row r="63" spans="1:9">
      <c r="A63" s="154">
        <v>54</v>
      </c>
      <c r="B63" s="305"/>
      <c r="C63" s="306">
        <v>0</v>
      </c>
      <c r="D63" s="306"/>
      <c r="E63" s="306"/>
      <c r="F63" s="36"/>
      <c r="G63" s="4"/>
      <c r="H63" s="177"/>
      <c r="I63" s="177"/>
    </row>
    <row r="64" spans="1:9">
      <c r="A64" s="154">
        <v>55</v>
      </c>
      <c r="B64" s="305"/>
      <c r="C64" s="306">
        <v>0</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506041.17647058825</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2009</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2009</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2009</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V22" sqref="V22"/>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2009</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2009</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2009</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2009</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2009</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2009</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2009</v>
      </c>
      <c r="C10" s="181">
        <f>'START HERE'!$K$3</f>
        <v>2009</v>
      </c>
      <c r="D10" s="181">
        <f>'START HERE'!$K$3</f>
        <v>2009</v>
      </c>
      <c r="E10" s="180">
        <f>'START HERE'!$K$3</f>
        <v>2009</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2009</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2009</v>
      </c>
      <c r="C10" s="181">
        <f>'START HERE'!$K$3</f>
        <v>2009</v>
      </c>
      <c r="D10" s="181">
        <f>'START HERE'!$K$3</f>
        <v>2009</v>
      </c>
      <c r="E10" s="180">
        <f>'START HERE'!$K$3</f>
        <v>2009</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2009</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2009</v>
      </c>
      <c r="C10" s="181">
        <f>'START HERE'!$K$3</f>
        <v>2009</v>
      </c>
      <c r="D10" s="181">
        <f>'START HERE'!$K$3</f>
        <v>2009</v>
      </c>
      <c r="E10" s="180">
        <f>'START HERE'!$K$3</f>
        <v>2009</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2009</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2009</v>
      </c>
      <c r="C10" s="181">
        <f>'START HERE'!$K$3</f>
        <v>2009</v>
      </c>
      <c r="D10" s="181">
        <f>'START HERE'!$K$3</f>
        <v>2009</v>
      </c>
      <c r="E10" s="180">
        <f>'START HERE'!$K$3</f>
        <v>2009</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