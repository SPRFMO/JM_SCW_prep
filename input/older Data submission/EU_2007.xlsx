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showInkAnnotation="0" codeName="ThisWorkbook" checkCompatibility="1"/>
  <mc:AlternateContent xmlns:mc="http://schemas.openxmlformats.org/markup-compatibility/2006">
    <mc:Choice Requires="x15">
      <x15ac:absPath xmlns:x15ac="http://schemas.microsoft.com/office/spreadsheetml/2010/11/ac" url="https://wageningenur4-my.sharepoint.com/personal/niels_hintzen_wur_nl/Documents/SPRFMOdata/input/older Data submission/"/>
    </mc:Choice>
  </mc:AlternateContent>
  <xr:revisionPtr revIDLastSave="21" documentId="8_{CF0D835D-3AC7-42CE-A079-8188B719DF0C}" xr6:coauthVersionLast="46" xr6:coauthVersionMax="47" xr10:uidLastSave="{121B177F-7404-496E-9403-53D5FD137172}"/>
  <bookViews>
    <workbookView xWindow="39915" yWindow="1515" windowWidth="28800" windowHeight="15885" tabRatio="892" xr2:uid="{00000000-000D-0000-FFFF-FFFF00000000}"/>
  </bookViews>
  <sheets>
    <sheet name="START HERE" sheetId="16" r:id="rId1"/>
    <sheet name="Comments" sheetId="36" r:id="rId2"/>
    <sheet name="catch data" sheetId="91" r:id="rId3"/>
    <sheet name="sampling" sheetId="2" r:id="rId4"/>
    <sheet name="LEN F1" sheetId="80" r:id="rId5"/>
    <sheet name="LEN F2" sheetId="92" r:id="rId6"/>
    <sheet name="LEN F3" sheetId="93" r:id="rId7"/>
    <sheet name="LEN F4" sheetId="94" r:id="rId8"/>
    <sheet name="ALK F1" sheetId="81" r:id="rId9"/>
    <sheet name="ALK F2" sheetId="95" r:id="rId10"/>
    <sheet name="ALK F3" sheetId="96" r:id="rId11"/>
    <sheet name="ALK F4" sheetId="97" r:id="rId12"/>
    <sheet name="CN F1" sheetId="74" r:id="rId13"/>
    <sheet name="CN F2" sheetId="99" r:id="rId14"/>
    <sheet name="CN F3" sheetId="100" r:id="rId15"/>
    <sheet name="CN F4" sheetId="101" r:id="rId16"/>
    <sheet name="WLK F1" sheetId="102" r:id="rId17"/>
    <sheet name="WLK F2" sheetId="103" r:id="rId18"/>
    <sheet name="WLK F3" sheetId="104" r:id="rId19"/>
    <sheet name="WLK F4" sheetId="105" r:id="rId20"/>
    <sheet name="lists" sheetId="98" r:id="rId21"/>
  </sheets>
  <definedNames>
    <definedName name="_xlnm._FilterDatabase" localSheetId="3" hidden="1">sampling!$A$8:$Q$15</definedName>
    <definedName name="Countries">OFFSET(lists!$B$2,0,0,COUNTA(lists!$B$2:$B$20),1)</definedName>
    <definedName name="length_measures">OFFSET(lists!$D$2,0,0,COUNTA(lists!$D$2:$D$20),1)</definedName>
    <definedName name="_xlnm.Print_Area" localSheetId="3">sampling!$A$8:$Q$15</definedName>
    <definedName name="Species">OFFSET(lists!$C$2,0,0,COUNTA(lists!$C$2:$C$20),1)</definedName>
    <definedName name="Units">OFFSET(lists!$A$2,0,0,COUNTA(lists!$A$2:$A$20),1)</definedName>
    <definedName name="Z_30CB6B41_EBE9_11D1_AB37_006097D68CB6_.wvu.Cols" localSheetId="3" hidden="1">sampling!$AB:$AB</definedName>
    <definedName name="Z_F7B13B60_EB30_11D1_AB37_006097D68CB6_.wvu.Cols" localSheetId="3" hidden="1">sampling!$AB:$AB</definedName>
  </definedNames>
  <calcPr calcId="191029"/>
  <customWorkbookViews>
    <customWorkbookView name="Summary" guid="{F7B13B60-EB30-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landings_by_quarter" guid="{30CB6B41-EBE9-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105" l="1"/>
  <c r="E10" i="105"/>
  <c r="D10" i="105"/>
  <c r="C10" i="105"/>
  <c r="B10" i="105"/>
  <c r="A9" i="105"/>
  <c r="G6" i="105"/>
  <c r="B5" i="105"/>
  <c r="B4" i="105"/>
  <c r="B3" i="105"/>
  <c r="G3" i="104"/>
  <c r="E10" i="104"/>
  <c r="D10" i="104"/>
  <c r="C10" i="104"/>
  <c r="B10" i="104"/>
  <c r="A9" i="104"/>
  <c r="G6" i="104"/>
  <c r="B5" i="104"/>
  <c r="B4" i="104"/>
  <c r="B3" i="104"/>
  <c r="G3" i="103"/>
  <c r="E10" i="103"/>
  <c r="D10" i="103"/>
  <c r="C10" i="103"/>
  <c r="B10" i="103"/>
  <c r="A9" i="103"/>
  <c r="G6" i="103"/>
  <c r="B5" i="103"/>
  <c r="B4" i="103"/>
  <c r="B3" i="103"/>
  <c r="A9" i="102"/>
  <c r="A10" i="97"/>
  <c r="AT10" i="97" s="1"/>
  <c r="A10" i="96"/>
  <c r="AT10" i="96" s="1"/>
  <c r="A10" i="95"/>
  <c r="AT10" i="95" s="1"/>
  <c r="AT10" i="81"/>
  <c r="AE10" i="81"/>
  <c r="P10" i="81"/>
  <c r="A10" i="81"/>
  <c r="A8" i="94"/>
  <c r="A8" i="93"/>
  <c r="A8" i="92"/>
  <c r="A8" i="80"/>
  <c r="E10" i="102"/>
  <c r="D10" i="102"/>
  <c r="C10" i="102"/>
  <c r="B10" i="102"/>
  <c r="B5" i="102"/>
  <c r="G6" i="102"/>
  <c r="G3" i="102"/>
  <c r="B4" i="102"/>
  <c r="B3" i="102"/>
  <c r="P10" i="97" l="1"/>
  <c r="AE10" i="97"/>
  <c r="P10" i="96"/>
  <c r="AE10" i="96"/>
  <c r="P10" i="95"/>
  <c r="AE10" i="95"/>
  <c r="I4" i="101"/>
  <c r="M29" i="101"/>
  <c r="J29" i="101"/>
  <c r="G29" i="101"/>
  <c r="D29" i="101"/>
  <c r="M28" i="101"/>
  <c r="J28" i="101"/>
  <c r="G28" i="101"/>
  <c r="D28" i="101"/>
  <c r="P27" i="101"/>
  <c r="N25" i="101"/>
  <c r="M25" i="101"/>
  <c r="L25" i="101"/>
  <c r="K25" i="101"/>
  <c r="J25" i="101"/>
  <c r="I25" i="101"/>
  <c r="H25" i="101"/>
  <c r="G25" i="101"/>
  <c r="F25" i="101"/>
  <c r="E25" i="101"/>
  <c r="D25" i="101"/>
  <c r="C25" i="101"/>
  <c r="Q24" i="101"/>
  <c r="P24" i="101"/>
  <c r="O24" i="101"/>
  <c r="Q20" i="101"/>
  <c r="P20" i="101"/>
  <c r="O20" i="101"/>
  <c r="Q19" i="101"/>
  <c r="P19" i="101"/>
  <c r="O19" i="101"/>
  <c r="Q18" i="101"/>
  <c r="P18" i="101"/>
  <c r="O18" i="101"/>
  <c r="Q17" i="101"/>
  <c r="P17" i="101"/>
  <c r="O17" i="101"/>
  <c r="Q16" i="101"/>
  <c r="P16" i="101"/>
  <c r="O16" i="101"/>
  <c r="Q15" i="101"/>
  <c r="P15" i="101"/>
  <c r="O15" i="101"/>
  <c r="Q14" i="101"/>
  <c r="Q25" i="101" s="1"/>
  <c r="P14" i="101"/>
  <c r="O14" i="101"/>
  <c r="Q13" i="101"/>
  <c r="P13" i="101"/>
  <c r="O13" i="101"/>
  <c r="Q12" i="101"/>
  <c r="P29" i="101" s="1"/>
  <c r="P12" i="101"/>
  <c r="P25" i="101" s="1"/>
  <c r="O12" i="101"/>
  <c r="O25" i="101" s="1"/>
  <c r="I6" i="101"/>
  <c r="C6" i="101"/>
  <c r="C5" i="101"/>
  <c r="C4" i="101"/>
  <c r="I4" i="100"/>
  <c r="M29" i="100"/>
  <c r="J29" i="100"/>
  <c r="G29" i="100"/>
  <c r="D29" i="100"/>
  <c r="M28" i="100"/>
  <c r="J28" i="100"/>
  <c r="G28" i="100"/>
  <c r="D28" i="100"/>
  <c r="P27" i="100"/>
  <c r="N25" i="100"/>
  <c r="M25" i="100"/>
  <c r="L25" i="100"/>
  <c r="K25" i="100"/>
  <c r="J25" i="100"/>
  <c r="I25" i="100"/>
  <c r="H25" i="100"/>
  <c r="G25" i="100"/>
  <c r="F25" i="100"/>
  <c r="E25" i="100"/>
  <c r="D25" i="100"/>
  <c r="C25" i="100"/>
  <c r="Q24" i="100"/>
  <c r="P24" i="100"/>
  <c r="O24" i="100"/>
  <c r="Q20" i="100"/>
  <c r="P20" i="100"/>
  <c r="O20" i="100"/>
  <c r="Q19" i="100"/>
  <c r="P19" i="100"/>
  <c r="O19" i="100"/>
  <c r="Q18" i="100"/>
  <c r="P18" i="100"/>
  <c r="O18" i="100"/>
  <c r="Q17" i="100"/>
  <c r="P17" i="100"/>
  <c r="O17" i="100"/>
  <c r="Q16" i="100"/>
  <c r="P16" i="100"/>
  <c r="O16" i="100"/>
  <c r="Q15" i="100"/>
  <c r="P15" i="100"/>
  <c r="O15" i="100"/>
  <c r="Q14" i="100"/>
  <c r="Q25" i="100" s="1"/>
  <c r="P14" i="100"/>
  <c r="O14" i="100"/>
  <c r="Q13" i="100"/>
  <c r="P13" i="100"/>
  <c r="O13" i="100"/>
  <c r="Q12" i="100"/>
  <c r="P29" i="100" s="1"/>
  <c r="P12" i="100"/>
  <c r="P25" i="100" s="1"/>
  <c r="O12" i="100"/>
  <c r="O25" i="100" s="1"/>
  <c r="I6" i="100"/>
  <c r="C6" i="100"/>
  <c r="C5" i="100"/>
  <c r="C4" i="100"/>
  <c r="I4" i="99"/>
  <c r="M29" i="99"/>
  <c r="J29" i="99"/>
  <c r="G29" i="99"/>
  <c r="D29" i="99"/>
  <c r="M28" i="99"/>
  <c r="J28" i="99"/>
  <c r="G28" i="99"/>
  <c r="D28" i="99"/>
  <c r="P27" i="99"/>
  <c r="N25" i="99"/>
  <c r="M25" i="99"/>
  <c r="L25" i="99"/>
  <c r="K25" i="99"/>
  <c r="J25" i="99"/>
  <c r="I25" i="99"/>
  <c r="H25" i="99"/>
  <c r="G25" i="99"/>
  <c r="F25" i="99"/>
  <c r="E25" i="99"/>
  <c r="D25" i="99"/>
  <c r="C25" i="99"/>
  <c r="Q24" i="99"/>
  <c r="P24" i="99"/>
  <c r="O24" i="99"/>
  <c r="Q20" i="99"/>
  <c r="P20" i="99"/>
  <c r="O20" i="99"/>
  <c r="Q19" i="99"/>
  <c r="P19" i="99"/>
  <c r="O19" i="99"/>
  <c r="Q18" i="99"/>
  <c r="P18" i="99"/>
  <c r="O18" i="99"/>
  <c r="Q17" i="99"/>
  <c r="P17" i="99"/>
  <c r="O17" i="99"/>
  <c r="Q16" i="99"/>
  <c r="P16" i="99"/>
  <c r="O16" i="99"/>
  <c r="Q15" i="99"/>
  <c r="P15" i="99"/>
  <c r="O15" i="99"/>
  <c r="Q14" i="99"/>
  <c r="Q25" i="99" s="1"/>
  <c r="P14" i="99"/>
  <c r="O14" i="99"/>
  <c r="Q13" i="99"/>
  <c r="P13" i="99"/>
  <c r="O13" i="99"/>
  <c r="Q12" i="99"/>
  <c r="P29" i="99" s="1"/>
  <c r="P12" i="99"/>
  <c r="P25" i="99" s="1"/>
  <c r="O12" i="99"/>
  <c r="O25" i="99" s="1"/>
  <c r="I6" i="99"/>
  <c r="C6" i="99"/>
  <c r="C5" i="99"/>
  <c r="C4" i="99"/>
  <c r="P28" i="101" l="1"/>
  <c r="P28" i="100"/>
  <c r="P28" i="99"/>
  <c r="I4" i="74"/>
  <c r="J28" i="74"/>
  <c r="G3" i="97"/>
  <c r="BG112" i="97"/>
  <c r="BF112" i="97"/>
  <c r="BE112" i="97"/>
  <c r="BD112" i="97"/>
  <c r="BC112" i="97"/>
  <c r="BB112" i="97"/>
  <c r="BA112" i="97"/>
  <c r="AZ112" i="97"/>
  <c r="AY112" i="97"/>
  <c r="AX112" i="97"/>
  <c r="AW112" i="97"/>
  <c r="AV112" i="97"/>
  <c r="AU112" i="97"/>
  <c r="AR112" i="97"/>
  <c r="AQ112" i="97"/>
  <c r="AP112" i="97"/>
  <c r="AO112" i="97"/>
  <c r="AN112" i="97"/>
  <c r="AM112" i="97"/>
  <c r="AL112" i="97"/>
  <c r="AK112" i="97"/>
  <c r="AJ112" i="97"/>
  <c r="AI112" i="97"/>
  <c r="AH112" i="97"/>
  <c r="AG112" i="97"/>
  <c r="AF112" i="97"/>
  <c r="AC112" i="97"/>
  <c r="AB112" i="97"/>
  <c r="AA112" i="97"/>
  <c r="Z112" i="97"/>
  <c r="Y112" i="97"/>
  <c r="X112" i="97"/>
  <c r="W112" i="97"/>
  <c r="V112" i="97"/>
  <c r="U112" i="97"/>
  <c r="T112" i="97"/>
  <c r="S112" i="97"/>
  <c r="R112" i="97"/>
  <c r="Q112" i="97"/>
  <c r="N112" i="97"/>
  <c r="M112" i="97"/>
  <c r="L112" i="97"/>
  <c r="K112" i="97"/>
  <c r="J112" i="97"/>
  <c r="I112" i="97"/>
  <c r="H112" i="97"/>
  <c r="G112" i="97"/>
  <c r="F112" i="97"/>
  <c r="E112" i="97"/>
  <c r="D112" i="97"/>
  <c r="C112" i="97"/>
  <c r="B112" i="97"/>
  <c r="G6" i="97"/>
  <c r="B5" i="97"/>
  <c r="B4" i="97"/>
  <c r="B3" i="97"/>
  <c r="G3" i="96"/>
  <c r="BG112" i="96"/>
  <c r="BF112" i="96"/>
  <c r="BE112" i="96"/>
  <c r="BD112" i="96"/>
  <c r="BC112" i="96"/>
  <c r="BB112" i="96"/>
  <c r="BA112" i="96"/>
  <c r="AZ112" i="96"/>
  <c r="AY112" i="96"/>
  <c r="AX112" i="96"/>
  <c r="AW112" i="96"/>
  <c r="AV112" i="96"/>
  <c r="AU112" i="96"/>
  <c r="AR112" i="96"/>
  <c r="AQ112" i="96"/>
  <c r="AP112" i="96"/>
  <c r="AO112" i="96"/>
  <c r="AN112" i="96"/>
  <c r="AM112" i="96"/>
  <c r="AL112" i="96"/>
  <c r="AK112" i="96"/>
  <c r="AJ112" i="96"/>
  <c r="AI112" i="96"/>
  <c r="AH112" i="96"/>
  <c r="AG112" i="96"/>
  <c r="AF112" i="96"/>
  <c r="AC112" i="96"/>
  <c r="AB112" i="96"/>
  <c r="AA112" i="96"/>
  <c r="Z112" i="96"/>
  <c r="Y112" i="96"/>
  <c r="X112" i="96"/>
  <c r="W112" i="96"/>
  <c r="V112" i="96"/>
  <c r="U112" i="96"/>
  <c r="T112" i="96"/>
  <c r="S112" i="96"/>
  <c r="R112" i="96"/>
  <c r="Q112" i="96"/>
  <c r="N112" i="96"/>
  <c r="M112" i="96"/>
  <c r="L112" i="96"/>
  <c r="K112" i="96"/>
  <c r="J112" i="96"/>
  <c r="I112" i="96"/>
  <c r="H112" i="96"/>
  <c r="G112" i="96"/>
  <c r="F112" i="96"/>
  <c r="E112" i="96"/>
  <c r="D112" i="96"/>
  <c r="C112" i="96"/>
  <c r="B112" i="96"/>
  <c r="G6" i="96"/>
  <c r="B5" i="96"/>
  <c r="B4" i="96"/>
  <c r="B3" i="96"/>
  <c r="G3" i="95"/>
  <c r="BG112" i="95"/>
  <c r="BF112" i="95"/>
  <c r="BE112" i="95"/>
  <c r="BD112" i="95"/>
  <c r="BC112" i="95"/>
  <c r="BB112" i="95"/>
  <c r="BA112" i="95"/>
  <c r="AZ112" i="95"/>
  <c r="AY112" i="95"/>
  <c r="AX112" i="95"/>
  <c r="AW112" i="95"/>
  <c r="AV112" i="95"/>
  <c r="AU112" i="95"/>
  <c r="AR112" i="95"/>
  <c r="AQ112" i="95"/>
  <c r="AP112" i="95"/>
  <c r="AO112" i="95"/>
  <c r="AN112" i="95"/>
  <c r="AM112" i="95"/>
  <c r="AL112" i="95"/>
  <c r="AK112" i="95"/>
  <c r="AJ112" i="95"/>
  <c r="AI112" i="95"/>
  <c r="AH112" i="95"/>
  <c r="AG112" i="95"/>
  <c r="AF112" i="95"/>
  <c r="AC112" i="95"/>
  <c r="AB112" i="95"/>
  <c r="AA112" i="95"/>
  <c r="Z112" i="95"/>
  <c r="Y112" i="95"/>
  <c r="X112" i="95"/>
  <c r="W112" i="95"/>
  <c r="V112" i="95"/>
  <c r="U112" i="95"/>
  <c r="T112" i="95"/>
  <c r="S112" i="95"/>
  <c r="R112" i="95"/>
  <c r="Q112" i="95"/>
  <c r="N112" i="95"/>
  <c r="M112" i="95"/>
  <c r="L112" i="95"/>
  <c r="K112" i="95"/>
  <c r="J112" i="95"/>
  <c r="I112" i="95"/>
  <c r="H112" i="95"/>
  <c r="G112" i="95"/>
  <c r="F112" i="95"/>
  <c r="E112" i="95"/>
  <c r="D112" i="95"/>
  <c r="C112" i="95"/>
  <c r="B112" i="95"/>
  <c r="G6" i="95"/>
  <c r="B5" i="95"/>
  <c r="B4" i="95"/>
  <c r="B3" i="95"/>
  <c r="G3" i="81"/>
  <c r="E110" i="94"/>
  <c r="D110" i="94"/>
  <c r="C110" i="94"/>
  <c r="B110" i="94"/>
  <c r="F23" i="94"/>
  <c r="F22" i="94"/>
  <c r="F21" i="94"/>
  <c r="F20" i="94"/>
  <c r="F19" i="94"/>
  <c r="F18" i="94"/>
  <c r="F17" i="94"/>
  <c r="F16" i="94"/>
  <c r="F15" i="94"/>
  <c r="F14" i="94"/>
  <c r="F13" i="94"/>
  <c r="F12" i="94"/>
  <c r="F11" i="94"/>
  <c r="F10" i="94"/>
  <c r="F9" i="94"/>
  <c r="E9" i="94"/>
  <c r="D9" i="94"/>
  <c r="C9" i="94"/>
  <c r="B9" i="94"/>
  <c r="F6" i="94"/>
  <c r="B5" i="94"/>
  <c r="B4" i="94"/>
  <c r="B3" i="94"/>
  <c r="E110" i="93"/>
  <c r="D110" i="93"/>
  <c r="C110" i="93"/>
  <c r="B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F80" i="93"/>
  <c r="F79" i="93"/>
  <c r="F78" i="93"/>
  <c r="F77" i="93"/>
  <c r="F76" i="93"/>
  <c r="F75" i="93"/>
  <c r="F74" i="93"/>
  <c r="F73" i="93"/>
  <c r="F72" i="93"/>
  <c r="F71" i="93"/>
  <c r="F70" i="93"/>
  <c r="F69" i="93"/>
  <c r="F68" i="93"/>
  <c r="F67" i="93"/>
  <c r="F66" i="93"/>
  <c r="F65" i="93"/>
  <c r="F64" i="93"/>
  <c r="F63" i="93"/>
  <c r="F62" i="93"/>
  <c r="F61" i="93"/>
  <c r="F60" i="93"/>
  <c r="F59" i="93"/>
  <c r="F58" i="93"/>
  <c r="F57" i="93"/>
  <c r="F56" i="93"/>
  <c r="F55" i="93"/>
  <c r="F54" i="93"/>
  <c r="F53" i="93"/>
  <c r="F52" i="93"/>
  <c r="F51" i="93"/>
  <c r="F50" i="93"/>
  <c r="F49" i="93"/>
  <c r="F48" i="93"/>
  <c r="F47" i="93"/>
  <c r="F46" i="93"/>
  <c r="F45" i="93"/>
  <c r="F44" i="93"/>
  <c r="F43" i="93"/>
  <c r="F42" i="93"/>
  <c r="F41" i="93"/>
  <c r="F40" i="93"/>
  <c r="F39" i="93"/>
  <c r="F38" i="93"/>
  <c r="F37" i="93"/>
  <c r="F36" i="93"/>
  <c r="F35" i="93"/>
  <c r="F34" i="93"/>
  <c r="F33" i="93"/>
  <c r="F32" i="93"/>
  <c r="F31" i="93"/>
  <c r="F30" i="93"/>
  <c r="F29" i="93"/>
  <c r="F28" i="93"/>
  <c r="F27" i="93"/>
  <c r="F26" i="93"/>
  <c r="F25" i="93"/>
  <c r="F24" i="93"/>
  <c r="F23" i="93"/>
  <c r="F22" i="93"/>
  <c r="F21" i="93"/>
  <c r="F20" i="93"/>
  <c r="F19" i="93"/>
  <c r="F18" i="93"/>
  <c r="F17" i="93"/>
  <c r="F16" i="93"/>
  <c r="F15" i="93"/>
  <c r="F14" i="93"/>
  <c r="F13" i="93"/>
  <c r="F12" i="93"/>
  <c r="F11" i="93"/>
  <c r="F10" i="93"/>
  <c r="F9" i="93"/>
  <c r="E9" i="93"/>
  <c r="D9" i="93"/>
  <c r="C9" i="93"/>
  <c r="B9" i="93"/>
  <c r="F6" i="93"/>
  <c r="B5" i="93"/>
  <c r="B4" i="93"/>
  <c r="B3" i="93"/>
  <c r="E110" i="92"/>
  <c r="D110" i="92"/>
  <c r="C110" i="92"/>
  <c r="B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F80" i="92"/>
  <c r="F79" i="92"/>
  <c r="F78" i="92"/>
  <c r="F77" i="92"/>
  <c r="F76" i="92"/>
  <c r="F75" i="92"/>
  <c r="F74" i="92"/>
  <c r="F73" i="92"/>
  <c r="F72" i="92"/>
  <c r="F71" i="92"/>
  <c r="F70" i="92"/>
  <c r="F69" i="92"/>
  <c r="F68" i="92"/>
  <c r="F67" i="92"/>
  <c r="F66" i="92"/>
  <c r="F65" i="92"/>
  <c r="F64" i="92"/>
  <c r="F63" i="92"/>
  <c r="F62" i="92"/>
  <c r="F61" i="92"/>
  <c r="F60" i="92"/>
  <c r="F59" i="92"/>
  <c r="F58" i="92"/>
  <c r="F57" i="92"/>
  <c r="F56" i="92"/>
  <c r="F55" i="92"/>
  <c r="F54" i="92"/>
  <c r="F53" i="92"/>
  <c r="F52" i="92"/>
  <c r="F51" i="92"/>
  <c r="F50" i="92"/>
  <c r="F49" i="92"/>
  <c r="F48" i="92"/>
  <c r="F47" i="92"/>
  <c r="F46" i="92"/>
  <c r="F45" i="92"/>
  <c r="F44" i="92"/>
  <c r="F43" i="92"/>
  <c r="F42" i="92"/>
  <c r="F41" i="92"/>
  <c r="F40" i="92"/>
  <c r="F39" i="92"/>
  <c r="F38" i="92"/>
  <c r="F37" i="92"/>
  <c r="F36" i="92"/>
  <c r="F35" i="92"/>
  <c r="F34" i="92"/>
  <c r="F33" i="92"/>
  <c r="F32" i="92"/>
  <c r="F31" i="92"/>
  <c r="F30" i="92"/>
  <c r="F29" i="92"/>
  <c r="F28" i="92"/>
  <c r="F27" i="92"/>
  <c r="F26" i="92"/>
  <c r="F25" i="92"/>
  <c r="F24" i="92"/>
  <c r="F23" i="92"/>
  <c r="F22" i="92"/>
  <c r="F21" i="92"/>
  <c r="F20" i="92"/>
  <c r="F19" i="92"/>
  <c r="F18" i="92"/>
  <c r="F17" i="92"/>
  <c r="F16" i="92"/>
  <c r="F15" i="92"/>
  <c r="F14" i="92"/>
  <c r="F13" i="92"/>
  <c r="F12" i="92"/>
  <c r="F11" i="92"/>
  <c r="F10" i="92"/>
  <c r="F110" i="92" s="1"/>
  <c r="F9" i="92"/>
  <c r="E9" i="92"/>
  <c r="D9" i="92"/>
  <c r="C9" i="92"/>
  <c r="B9" i="92"/>
  <c r="F6" i="92"/>
  <c r="B5" i="92"/>
  <c r="B4" i="92"/>
  <c r="B3" i="92"/>
  <c r="N20" i="91"/>
  <c r="N19" i="91"/>
  <c r="N18" i="91"/>
  <c r="F110" i="93" l="1"/>
  <c r="B4" i="91"/>
  <c r="A1" i="91"/>
  <c r="B6" i="91"/>
  <c r="B5" i="91"/>
  <c r="M29" i="74"/>
  <c r="J29" i="74"/>
  <c r="G29" i="74"/>
  <c r="P17" i="91"/>
  <c r="O17" i="91"/>
  <c r="N17" i="91"/>
  <c r="H13" i="91"/>
  <c r="E13" i="91"/>
  <c r="B13" i="91"/>
  <c r="K13" i="91"/>
  <c r="P18" i="91"/>
  <c r="P19" i="91"/>
  <c r="P20" i="91"/>
  <c r="O18" i="91"/>
  <c r="Q18" i="91" s="1"/>
  <c r="O19" i="91"/>
  <c r="O20" i="91"/>
  <c r="B4" i="80"/>
  <c r="B5" i="80"/>
  <c r="B3" i="80"/>
  <c r="C6" i="74"/>
  <c r="M21" i="91"/>
  <c r="L21" i="91"/>
  <c r="K21" i="91"/>
  <c r="J21" i="91"/>
  <c r="I21" i="91"/>
  <c r="H21" i="91"/>
  <c r="G21" i="91"/>
  <c r="F21" i="91"/>
  <c r="E21" i="91"/>
  <c r="D21" i="91"/>
  <c r="P21" i="91" s="1"/>
  <c r="C21" i="91"/>
  <c r="B21" i="91"/>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I6" i="74"/>
  <c r="F6" i="80"/>
  <c r="G6" i="81"/>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G28" i="74"/>
  <c r="N25" i="74"/>
  <c r="M25" i="74"/>
  <c r="L25" i="74"/>
  <c r="K25" i="74"/>
  <c r="J25" i="74"/>
  <c r="I25" i="74"/>
  <c r="H25" i="74"/>
  <c r="G25" i="74"/>
  <c r="F25" i="74"/>
  <c r="E25" i="74"/>
  <c r="D28" i="74" s="1"/>
  <c r="D29" i="74" s="1"/>
  <c r="D25" i="74"/>
  <c r="C25"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3" i="36"/>
  <c r="C4" i="36"/>
  <c r="C5" i="36"/>
  <c r="R14" i="2"/>
  <c r="R11" i="2"/>
  <c r="S11" i="2"/>
  <c r="T11" i="2"/>
  <c r="U11" i="2"/>
  <c r="R12" i="2"/>
  <c r="S12" i="2"/>
  <c r="T12" i="2"/>
  <c r="U12" i="2"/>
  <c r="R13" i="2"/>
  <c r="S13" i="2"/>
  <c r="T13" i="2"/>
  <c r="U13" i="2"/>
  <c r="S14" i="2"/>
  <c r="T14" i="2"/>
  <c r="T15" i="2" s="1"/>
  <c r="U14" i="2"/>
  <c r="C15" i="2"/>
  <c r="D15" i="2"/>
  <c r="E15" i="2"/>
  <c r="F15" i="2"/>
  <c r="G15" i="2"/>
  <c r="H15" i="2"/>
  <c r="I15" i="2"/>
  <c r="J15" i="2"/>
  <c r="K15" i="2"/>
  <c r="L15" i="2"/>
  <c r="M15" i="2"/>
  <c r="N15" i="2"/>
  <c r="R15" i="2" s="1"/>
  <c r="O15" i="2"/>
  <c r="P15" i="2"/>
  <c r="Q15" i="2"/>
  <c r="Q17" i="91" l="1"/>
  <c r="U15" i="2"/>
  <c r="P25" i="74"/>
  <c r="Q20" i="91"/>
  <c r="S15" i="2"/>
  <c r="F110" i="80"/>
  <c r="N21" i="91"/>
  <c r="Q19" i="91"/>
  <c r="O25" i="74"/>
  <c r="Q25" i="74" s="1"/>
  <c r="P28" i="74" s="1"/>
  <c r="P29" i="74" s="1"/>
  <c r="O21" i="91"/>
  <c r="Q21" i="91" l="1"/>
  <c r="A23" i="91" s="1"/>
</calcChain>
</file>

<file path=xl/sharedStrings.xml><?xml version="1.0" encoding="utf-8"?>
<sst xmlns="http://schemas.openxmlformats.org/spreadsheetml/2006/main" count="843" uniqueCount="146">
  <si>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</si>
  <si>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</si>
  <si>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</si>
  <si>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</si>
  <si>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</si>
  <si>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</si>
  <si>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</si>
  <si>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</si>
  <si>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</si>
  <si>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</si>
  <si>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</si>
  <si>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</si>
  <si>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</si>
  <si>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</si>
  <si>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</si>
  <si>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</si>
  <si>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</si>
  <si>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t>General comments</t>
  </si>
  <si>
    <t xml:space="preserve">Species : </t>
  </si>
  <si>
    <t>Total/Mean --&gt;</t>
  </si>
  <si>
    <t xml:space="preserve"> (t)</t>
  </si>
  <si>
    <t xml:space="preserve">SoP </t>
  </si>
  <si>
    <t xml:space="preserve"> (%)</t>
  </si>
  <si>
    <t xml:space="preserve">No. aged </t>
  </si>
  <si>
    <t xml:space="preserve"> (n)</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</si>
  <si>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</si>
  <si>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</si>
  <si>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</si>
  <si>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</si>
  <si>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</si>
  <si>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</si>
  <si>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</si>
  <si>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</si>
  <si>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</si>
  <si>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</si>
  <si>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</si>
  <si>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</si>
  <si>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</si>
  <si>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</si>
  <si>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</si>
  <si>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</si>
  <si>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</si>
  <si>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</si>
  <si>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</si>
  <si>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</si>
  <si>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</si>
  <si>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</si>
  <si>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</si>
  <si>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If this workbook is an alteration to a previous submission, enter the date of the previous submission</t>
  </si>
  <si>
    <t>Total</t>
  </si>
  <si>
    <t>(kg)</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</si>
  <si>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</si>
  <si>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</si>
  <si>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</si>
  <si>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</si>
  <si>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</si>
  <si>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</si>
  <si>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</si>
  <si>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</si>
  <si>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</si>
  <si>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</si>
  <si>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</si>
  <si>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</si>
  <si>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</si>
  <si>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</si>
  <si>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</si>
  <si>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</si>
  <si>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</si>
  <si>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</si>
  <si>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</si>
  <si>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</si>
  <si>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</si>
  <si>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Jack mackerel</t>
  </si>
  <si>
    <t>TEL</t>
  </si>
  <si>
    <t xml:space="preserve">discussion and agreement within the Scientific Committee meeting </t>
  </si>
  <si>
    <t>Fleet 1: Northern Chile (inside EEZ)</t>
  </si>
  <si>
    <t>Fleet 3: Peru &amp; Equador (inside EEZ)</t>
  </si>
  <si>
    <t>Fleet 4: Offshore (outside EEZ)</t>
  </si>
  <si>
    <t>Age</t>
  </si>
  <si>
    <t>12+</t>
  </si>
  <si>
    <t>Fleet 1</t>
  </si>
  <si>
    <t>Fleet 1 Northern Chile</t>
  </si>
  <si>
    <t>Fleet 2 South-Central Chile</t>
  </si>
  <si>
    <t>Fleet 3 Peru &amp; Equador</t>
  </si>
  <si>
    <t>Fleet 4 Offshore</t>
  </si>
  <si>
    <t>Fleet 4</t>
  </si>
  <si>
    <t>Fleet 3</t>
  </si>
  <si>
    <t>Fleet 2</t>
  </si>
  <si>
    <t>CATCH DATA</t>
  </si>
  <si>
    <t>Only fill in yellow cells!</t>
  </si>
  <si>
    <t xml:space="preserve"> </t>
  </si>
  <si>
    <t>1st Quarter</t>
  </si>
  <si>
    <t>2nd Quarter</t>
  </si>
  <si>
    <t>3rd Quarter</t>
  </si>
  <si>
    <t>4th Quarter</t>
  </si>
  <si>
    <t>all quarters</t>
  </si>
  <si>
    <t>TOTAL CATCH</t>
  </si>
  <si>
    <t>REMARKS</t>
  </si>
  <si>
    <t>OFFICIAL LANDINGS</t>
  </si>
  <si>
    <t>DISCARDS</t>
  </si>
  <si>
    <t>WG estimate</t>
  </si>
  <si>
    <t xml:space="preserve">PLEASE CHECK: </t>
  </si>
  <si>
    <t>total of sample</t>
  </si>
  <si>
    <t>(thousands)</t>
  </si>
  <si>
    <t>thousands</t>
  </si>
  <si>
    <t>MEMBER</t>
  </si>
  <si>
    <t>Member:</t>
  </si>
  <si>
    <r>
      <t xml:space="preserve">Please specify </t>
    </r>
    <r>
      <rPr>
        <b/>
        <sz val="10"/>
        <rFont val="Geneva"/>
      </rPr>
      <t>any problem</t>
    </r>
    <r>
      <rPr>
        <sz val="10"/>
        <rFont val="Geneva"/>
      </rPr>
      <t xml:space="preserve"> to be discussed within the SC HERE:</t>
    </r>
  </si>
  <si>
    <t>Fleet</t>
  </si>
  <si>
    <t>RETAINED</t>
  </si>
  <si>
    <t>FLEET</t>
  </si>
  <si>
    <t>Length measurements in total length (TL) or fork length (FL). Supply conversion factor</t>
  </si>
  <si>
    <t>Of the sample(s) taken, raised to the total catch of the sample(s)</t>
  </si>
  <si>
    <t>LENGTH DISTRIBUTIONS BY FLEET AND QUARTER</t>
  </si>
  <si>
    <t>Raised to the total catch by quarter</t>
  </si>
  <si>
    <t>AGE-LENGTH DISTRIBUTIONS BY FLEET AND QUARTER</t>
  </si>
  <si>
    <t>Thousands</t>
  </si>
  <si>
    <t>Fleet 2: South-Central Chile (EEZ/HS)</t>
  </si>
  <si>
    <t xml:space="preserve">Member : </t>
  </si>
  <si>
    <r>
      <t xml:space="preserve">Fleet data: </t>
    </r>
    <r>
      <rPr>
        <sz val="10"/>
        <rFont val="Geneva"/>
      </rPr>
      <t xml:space="preserve"> please provide a very brief fleet description for your member state in the input fields below</t>
    </r>
  </si>
  <si>
    <t>Numbers at age should include discards</t>
  </si>
  <si>
    <t>Units</t>
  </si>
  <si>
    <t>millions</t>
  </si>
  <si>
    <t>Countries</t>
  </si>
  <si>
    <t>Peru</t>
  </si>
  <si>
    <t>Chile</t>
  </si>
  <si>
    <t>China</t>
  </si>
  <si>
    <t>EU</t>
  </si>
  <si>
    <t>Korea</t>
  </si>
  <si>
    <t>Ecuador</t>
  </si>
  <si>
    <t>Russia</t>
  </si>
  <si>
    <t>Vanuatu</t>
  </si>
  <si>
    <t>Taiwan</t>
  </si>
  <si>
    <t>Species</t>
  </si>
  <si>
    <t>Total catch</t>
  </si>
  <si>
    <t>WEIGHT-LENGTH DISTRIBUTIONS BY FLEET AND QUARTER</t>
  </si>
  <si>
    <t>Weight of an individual at length</t>
  </si>
  <si>
    <t>Kg</t>
  </si>
  <si>
    <t>Length measures</t>
  </si>
  <si>
    <t>fork length</t>
  </si>
  <si>
    <t>total length</t>
  </si>
  <si>
    <t>LENGTH MEASURE</t>
  </si>
  <si>
    <t>individuals</t>
  </si>
  <si>
    <t>Data Submission Work Book (v3.2, Aug. 2021)</t>
  </si>
  <si>
    <t>SUMMARY OF SAMPLING FROM COMMERCIAL FISHERY</t>
  </si>
  <si>
    <t>13/6/2022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</si>
</sst>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 ###"/>
    <numFmt numFmtId="167" formatCode="###\ ###\ ###"/>
    <numFmt numFmtId="168" formatCode="d\-mmm\-yyyy"/>
  </numFmts>
  <fonts count="41">
    <font>
      <sz val="10"/>
      <name val="Geneva"/>
    </font>
    <font>
      <b/>
      <sz val="10"/>
      <name val="Geneva"/>
    </font>
    <font>
      <sz val="10"/>
      <name val="Geneva"/>
    </font>
    <font>
      <b/>
      <sz val="12"/>
      <name val="Geneva"/>
    </font>
    <font>
      <b/>
      <sz val="11"/>
      <name val="Geneva"/>
    </font>
    <font>
      <b/>
      <sz val="10"/>
      <color indexed="8"/>
      <name val="Geneva"/>
    </font>
    <font>
      <sz val="10"/>
      <color indexed="18"/>
      <name val="Geneva"/>
    </font>
    <font>
      <b/>
      <sz val="10"/>
      <color indexed="18"/>
      <name val="Geneva"/>
    </font>
    <font>
      <sz val="10"/>
      <color indexed="12"/>
      <name val="Geneva"/>
    </font>
    <font>
      <b/>
      <sz val="14"/>
      <name val="Geneva"/>
    </font>
    <font>
      <sz val="10"/>
      <color indexed="8"/>
      <name val="Geneva"/>
    </font>
    <font>
      <b/>
      <sz val="12"/>
      <color indexed="18"/>
      <name val="Geneva"/>
    </font>
    <font>
      <sz val="12"/>
      <name val="Geneva"/>
    </font>
    <font>
      <sz val="9"/>
      <name val="Geneva"/>
    </font>
    <font>
      <u/>
      <sz val="10"/>
      <color indexed="10"/>
      <name val="Geneva"/>
    </font>
    <font>
      <sz val="10"/>
      <color indexed="10"/>
      <name val="Geneva"/>
    </font>
    <font>
      <b/>
      <sz val="10"/>
      <color indexed="10"/>
      <name val="Geneva"/>
    </font>
    <font>
      <sz val="12"/>
      <color indexed="10"/>
      <name val="Geneva"/>
    </font>
    <font>
      <b/>
      <u/>
      <sz val="12"/>
      <color indexed="10"/>
      <name val="Geneva"/>
    </font>
    <font>
      <b/>
      <sz val="14"/>
      <color indexed="18"/>
      <name val="Geneva"/>
    </font>
    <font>
      <sz val="14"/>
      <name val="Geneva"/>
    </font>
    <font>
      <b/>
      <sz val="12"/>
      <color indexed="10"/>
      <name val="Geneva"/>
    </font>
    <font>
      <b/>
      <sz val="8"/>
      <name val="Geneva"/>
    </font>
    <font>
      <sz val="16"/>
      <name val="Geneva"/>
    </font>
    <font>
      <b/>
      <i/>
      <sz val="18"/>
      <name val="Arial"/>
      <family val="2"/>
    </font>
    <font>
      <b/>
      <sz val="9"/>
      <name val="Geneva"/>
    </font>
    <font>
      <b/>
      <i/>
      <sz val="12"/>
      <name val="Geneva"/>
    </font>
    <font>
      <u/>
      <sz val="10"/>
      <color indexed="12"/>
      <name val="Geneva"/>
    </font>
    <font>
      <b/>
      <sz val="12"/>
      <color indexed="9"/>
      <name val="Geneva"/>
    </font>
    <font>
      <b/>
      <sz val="16"/>
      <name val="Geneva"/>
    </font>
    <font>
      <sz val="12"/>
      <color indexed="18"/>
      <name val="Geneva"/>
    </font>
    <font>
      <b/>
      <sz val="18"/>
      <color indexed="10"/>
      <name val="Geneva"/>
    </font>
    <font>
      <sz val="14"/>
      <color indexed="10"/>
      <name val="Geneva"/>
    </font>
    <font>
      <b/>
      <sz val="11"/>
      <color indexed="8"/>
      <name val="Geneva"/>
    </font>
    <font>
      <sz val="10"/>
      <color rgb="FF000000"/>
      <name val="Arial"/>
      <family val="2"/>
    </font>
    <font>
      <sz val="10"/>
      <color rgb="FF000000"/>
      <name val="Geneva"/>
    </font>
    <font>
      <b/>
      <sz val="18"/>
      <color theme="0"/>
      <name val="Calibri Light"/>
      <family val="2"/>
    </font>
    <font>
      <b/>
      <sz val="11"/>
      <color theme="0"/>
      <name val="Calibri Light"/>
      <family val="2"/>
    </font>
    <font>
      <sz val="18"/>
      <color theme="0"/>
      <name val="Calibri Light"/>
      <family val="2"/>
    </font>
    <font>
      <sz val="14"/>
      <color theme="0"/>
      <name val="Calibri Light"/>
      <family val="2"/>
    </font>
    <font>
      <b/>
      <sz val="14"/>
      <color theme="0"/>
      <name val="Calibri Light"/>
      <family val="2"/>
    </font>
  </fonts>
  <fills count="10">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
      <patternFill patternType="solid">
        <fgColor theme="3" tint="-0.499984740745262"/>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27" fillId="0" borderId="0" applyNumberFormat="0" applyFill="0" applyBorder="0" applyAlignment="0" applyProtection="0">
      <alignment vertical="top"/>
      <protection locked="0"/>
    </xf>
    <xf numFmtId="9" fontId="2" fillId="0" borderId="0" applyFont="0" applyFill="0" applyBorder="0" applyAlignment="0" applyProtection="0"/>
  </cellStyleXfs>
  <cellXfs count="404">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0" fontId="0" fillId="2" borderId="0" xfId="0" applyFill="1" applyAlignment="1">
      <alignment horizontal="left" vertical="top"/>
    </xf>
    <xf numFmtId="0" fontId="0" fillId="2" borderId="0" xfId="0" applyFill="1" applyAlignment="1"/>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0" fillId="2" borderId="59" xfId="0" applyFont="1" applyFill="1" applyBorder="1" applyAlignment="1">
      <alignment vertical="center"/>
    </xf>
    <xf numFmtId="0" fontId="20"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1"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2"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3" fillId="0" borderId="0" xfId="0" applyFont="1"/>
    <xf numFmtId="0" fontId="1" fillId="0" borderId="63" xfId="0" applyFont="1" applyBorder="1"/>
    <xf numFmtId="0" fontId="1" fillId="0" borderId="64" xfId="0" applyFont="1" applyBorder="1"/>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1" fillId="0" borderId="0" xfId="0" applyFont="1"/>
    <xf numFmtId="166" fontId="1" fillId="0" borderId="71" xfId="0" applyNumberFormat="1" applyFont="1" applyFill="1" applyBorder="1" applyAlignment="1">
      <alignment vertical="center"/>
    </xf>
    <xf numFmtId="2" fontId="21" fillId="2" borderId="0" xfId="0" applyNumberFormat="1" applyFont="1" applyFill="1" applyAlignment="1" applyProtection="1">
      <alignment horizontal="center"/>
      <protection locked="0"/>
    </xf>
    <xf numFmtId="0" fontId="24" fillId="0" borderId="0" xfId="0" applyFont="1"/>
    <xf numFmtId="0" fontId="1" fillId="0" borderId="0" xfId="0" applyFont="1" applyAlignment="1">
      <alignment horizontal="right"/>
    </xf>
    <xf numFmtId="0" fontId="0" fillId="2" borderId="72" xfId="0" applyFill="1" applyBorder="1" applyAlignment="1">
      <alignment horizont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5" fillId="2" borderId="62" xfId="0" applyFont="1" applyFill="1" applyBorder="1" applyAlignment="1">
      <alignment horizontal="center" vertical="center"/>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6"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0" fillId="0" borderId="0" xfId="0" applyFill="1" applyBorder="1"/>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15" fillId="8" borderId="0" xfId="0" applyFont="1" applyFill="1" applyBorder="1" applyAlignment="1">
      <alignment horizontal="lef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1" fillId="0" borderId="82" xfId="0" applyFont="1" applyBorder="1"/>
    <xf numFmtId="0" fontId="1" fillId="0" borderId="83" xfId="0" applyFont="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2" borderId="90" xfId="0" applyFill="1" applyBorder="1" applyAlignment="1">
      <alignment horizontal="center"/>
    </xf>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168" fontId="28"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0" fillId="3" borderId="54" xfId="0" applyNumberFormat="1" applyFont="1" applyFill="1" applyBorder="1" applyAlignment="1" applyProtection="1">
      <alignment horizontal="center" vertical="center"/>
      <protection locked="0"/>
    </xf>
    <xf numFmtId="167" fontId="30" fillId="3" borderId="106" xfId="0" applyNumberFormat="1" applyFont="1" applyFill="1" applyBorder="1" applyAlignment="1" applyProtection="1">
      <alignment horizontal="center" vertical="center"/>
      <protection locked="0"/>
    </xf>
    <xf numFmtId="167" fontId="30" fillId="3" borderId="107" xfId="0" applyNumberFormat="1" applyFont="1" applyFill="1" applyBorder="1" applyAlignment="1" applyProtection="1">
      <alignment horizontal="center" vertical="center"/>
      <protection locked="0"/>
    </xf>
    <xf numFmtId="167" fontId="30" fillId="3" borderId="108" xfId="0" applyNumberFormat="1" applyFont="1" applyFill="1" applyBorder="1" applyAlignment="1" applyProtection="1">
      <alignment horizontal="center" vertical="center"/>
      <protection locked="0"/>
    </xf>
    <xf numFmtId="167" fontId="30" fillId="3" borderId="109" xfId="0" applyNumberFormat="1" applyFont="1" applyFill="1" applyBorder="1" applyAlignment="1" applyProtection="1">
      <alignment horizontal="center" vertical="center"/>
      <protection locked="0"/>
    </xf>
    <xf numFmtId="167" fontId="3" fillId="6" borderId="53" xfId="2" applyNumberFormat="1" applyFont="1" applyFill="1" applyBorder="1" applyAlignment="1">
      <alignment horizontal="center" vertical="center"/>
    </xf>
    <xf numFmtId="167" fontId="30" fillId="3" borderId="112" xfId="0" applyNumberFormat="1" applyFont="1" applyFill="1" applyBorder="1" applyAlignment="1" applyProtection="1">
      <alignment horizontal="center" vertical="center"/>
      <protection locked="0"/>
    </xf>
    <xf numFmtId="167" fontId="30" fillId="3" borderId="113" xfId="0" applyNumberFormat="1" applyFont="1" applyFill="1" applyBorder="1" applyAlignment="1" applyProtection="1">
      <alignment horizontal="center" vertical="center"/>
      <protection locked="0"/>
    </xf>
    <xf numFmtId="167" fontId="30" fillId="3" borderId="36" xfId="0" applyNumberFormat="1" applyFont="1" applyFill="1" applyBorder="1" applyAlignment="1" applyProtection="1">
      <alignment horizontal="center" vertical="center"/>
      <protection locked="0"/>
    </xf>
    <xf numFmtId="167" fontId="3" fillId="6" borderId="54" xfId="2" applyNumberFormat="1"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2" applyNumberFormat="1" applyFont="1" applyFill="1" applyBorder="1" applyAlignment="1">
      <alignment horizontal="center" vertical="center"/>
    </xf>
    <xf numFmtId="0" fontId="3" fillId="0" borderId="56" xfId="0" applyFont="1" applyBorder="1" applyAlignment="1">
      <alignment horizontal="center" vertical="center"/>
    </xf>
    <xf numFmtId="0" fontId="31" fillId="0" borderId="2" xfId="0" applyFont="1" applyBorder="1" applyAlignment="1">
      <alignment vertical="center"/>
    </xf>
    <xf numFmtId="0" fontId="12" fillId="0" borderId="57" xfId="0" applyFont="1" applyBorder="1" applyAlignment="1">
      <alignment vertical="center"/>
    </xf>
    <xf numFmtId="0" fontId="32" fillId="0" borderId="47" xfId="0" applyFont="1" applyBorder="1" applyAlignment="1">
      <alignment vertical="center"/>
    </xf>
    <xf numFmtId="0" fontId="12" fillId="0" borderId="58" xfId="0" applyFont="1"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0" fillId="0" borderId="69" xfId="0" applyBorder="1" applyAlignment="1">
      <alignment horizontal="left" vertical="center"/>
    </xf>
    <xf numFmtId="0" fontId="0" fillId="0" borderId="0" xfId="0" applyFont="1" applyFill="1" applyBorder="1" applyAlignment="1">
      <alignment horizontal="right" vertical="center"/>
    </xf>
    <xf numFmtId="0" fontId="0" fillId="0" borderId="118" xfId="0" applyBorder="1" applyAlignment="1">
      <alignment vertical="center" wrapText="1"/>
    </xf>
    <xf numFmtId="0" fontId="33" fillId="2" borderId="0" xfId="0" applyFont="1" applyFill="1" applyAlignment="1">
      <alignment horizontal="left" vertical="center"/>
    </xf>
    <xf numFmtId="0" fontId="3" fillId="2" borderId="1" xfId="0" applyFont="1" applyFill="1" applyBorder="1" applyAlignment="1">
      <alignment horizontal="left" vertical="center"/>
    </xf>
    <xf numFmtId="0" fontId="12" fillId="0" borderId="54" xfId="0" applyFont="1" applyFill="1" applyBorder="1" applyAlignment="1">
      <alignment horizontal="left" vertical="center"/>
    </xf>
    <xf numFmtId="0" fontId="12" fillId="0" borderId="95" xfId="0" applyFont="1" applyFill="1" applyBorder="1" applyAlignment="1">
      <alignment horizontal="left" vertical="center"/>
    </xf>
    <xf numFmtId="0" fontId="15" fillId="0" borderId="0" xfId="0" applyFont="1" applyFill="1" applyBorder="1" applyAlignment="1">
      <alignment horizontal="left" vertical="center"/>
    </xf>
    <xf numFmtId="0" fontId="10" fillId="0" borderId="0" xfId="0" applyFont="1" applyFill="1" applyBorder="1" applyAlignment="1">
      <alignment horizontal="left" vertical="center"/>
    </xf>
    <xf numFmtId="0" fontId="0" fillId="0" borderId="0" xfId="0" applyFill="1" applyAlignment="1">
      <alignment horizontal="left" vertical="center" wrapText="1"/>
    </xf>
    <xf numFmtId="0" fontId="15" fillId="0" borderId="0" xfId="0" applyFont="1" applyFill="1" applyBorder="1" applyAlignment="1">
      <alignment vertical="center"/>
    </xf>
    <xf numFmtId="0" fontId="15" fillId="0" borderId="0" xfId="0" applyFont="1" applyFill="1" applyAlignment="1">
      <alignment horizontal="left" vertical="center"/>
    </xf>
    <xf numFmtId="0" fontId="0" fillId="0" borderId="58" xfId="0" applyFill="1" applyBorder="1" applyAlignment="1">
      <alignment vertical="center"/>
    </xf>
    <xf numFmtId="0" fontId="12" fillId="0" borderId="58" xfId="0" applyFont="1" applyFill="1" applyBorder="1" applyAlignment="1">
      <alignment vertical="center"/>
    </xf>
    <xf numFmtId="0" fontId="11" fillId="0" borderId="15" xfId="0" applyFont="1" applyFill="1" applyBorder="1" applyAlignment="1" applyProtection="1">
      <alignment vertical="center"/>
    </xf>
    <xf numFmtId="0" fontId="19" fillId="0" borderId="15" xfId="0" applyFont="1" applyFill="1" applyBorder="1" applyAlignment="1" applyProtection="1">
      <alignment horizontal="left" vertical="center"/>
    </xf>
    <xf numFmtId="0" fontId="2"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0" fontId="0" fillId="0" borderId="0" xfId="0" applyFill="1" applyAlignment="1">
      <alignment horizontal="left"/>
    </xf>
    <xf numFmtId="0" fontId="0" fillId="0" borderId="0" xfId="0" applyFill="1" applyAlignment="1">
      <alignment vertical="center" wrapText="1"/>
    </xf>
    <xf numFmtId="167" fontId="0" fillId="0" borderId="0" xfId="0" applyNumberFormat="1" applyFill="1" applyAlignment="1">
      <alignment vertical="center"/>
    </xf>
    <xf numFmtId="0" fontId="0" fillId="0" borderId="0" xfId="0" applyFill="1" applyBorder="1" applyAlignment="1">
      <alignment wrapText="1"/>
    </xf>
    <xf numFmtId="0" fontId="16" fillId="0" borderId="0" xfId="0" applyFont="1" applyFill="1" applyBorder="1" applyAlignment="1">
      <alignment vertical="center" wrapText="1"/>
    </xf>
    <xf numFmtId="167" fontId="3" fillId="4" borderId="53" xfId="2" applyNumberFormat="1" applyFont="1" applyFill="1" applyBorder="1" applyAlignment="1" applyProtection="1">
      <alignment horizontal="center" vertical="center"/>
      <protection locked="0"/>
    </xf>
    <xf numFmtId="167" fontId="3" fillId="4" borderId="54" xfId="2" applyNumberFormat="1" applyFont="1" applyFill="1" applyBorder="1" applyAlignment="1" applyProtection="1">
      <alignment horizontal="center" vertical="center"/>
      <protection locked="0"/>
    </xf>
    <xf numFmtId="168" fontId="11" fillId="7" borderId="15" xfId="0" quotePrefix="1" applyNumberFormat="1" applyFont="1" applyFill="1" applyBorder="1" applyAlignment="1" applyProtection="1">
      <alignment horizontal="left" vertical="center"/>
      <protection locked="0"/>
    </xf>
    <xf numFmtId="167" fontId="30" fillId="5" borderId="108" xfId="0" applyNumberFormat="1" applyFont="1" applyFill="1" applyBorder="1" applyAlignment="1" applyProtection="1">
      <alignment horizontal="center" vertical="center"/>
    </xf>
    <xf numFmtId="167" fontId="30" fillId="0" borderId="110" xfId="0" applyNumberFormat="1" applyFont="1" applyFill="1" applyBorder="1" applyAlignment="1" applyProtection="1">
      <alignment horizontal="center" vertical="center"/>
    </xf>
    <xf numFmtId="167" fontId="30" fillId="0" borderId="111" xfId="0" applyNumberFormat="1" applyFont="1" applyFill="1" applyBorder="1" applyAlignment="1" applyProtection="1">
      <alignment horizontal="center" vertical="center"/>
    </xf>
    <xf numFmtId="167" fontId="30" fillId="5" borderId="100" xfId="0" applyNumberFormat="1" applyFont="1" applyFill="1" applyBorder="1" applyAlignment="1" applyProtection="1">
      <alignment horizontal="center" vertical="center"/>
    </xf>
    <xf numFmtId="167" fontId="30" fillId="0" borderId="116" xfId="0" applyNumberFormat="1" applyFont="1" applyFill="1" applyBorder="1" applyAlignment="1" applyProtection="1">
      <alignment horizontal="center" vertical="center"/>
    </xf>
    <xf numFmtId="167" fontId="30" fillId="0" borderId="6" xfId="0" applyNumberFormat="1" applyFont="1" applyFill="1" applyBorder="1" applyAlignment="1" applyProtection="1">
      <alignment horizontal="center" vertical="center"/>
    </xf>
    <xf numFmtId="167" fontId="30" fillId="5" borderId="56" xfId="0" applyNumberFormat="1" applyFont="1" applyFill="1" applyBorder="1" applyAlignment="1" applyProtection="1">
      <alignment horizontal="center" vertical="center"/>
    </xf>
    <xf numFmtId="167" fontId="30" fillId="0" borderId="117" xfId="0" applyNumberFormat="1" applyFont="1" applyFill="1" applyBorder="1" applyAlignment="1" applyProtection="1">
      <alignment horizontal="center" vertical="center"/>
    </xf>
    <xf numFmtId="167" fontId="30" fillId="0" borderId="12" xfId="0" applyNumberFormat="1" applyFont="1" applyFill="1" applyBorder="1" applyAlignment="1" applyProtection="1">
      <alignment horizontal="center" vertical="center"/>
    </xf>
    <xf numFmtId="0" fontId="0" fillId="3" borderId="25" xfId="0" applyFill="1" applyBorder="1" applyAlignment="1" applyProtection="1">
      <alignment horizontal="center" vertical="center" wrapText="1"/>
      <protection locked="0"/>
    </xf>
    <xf numFmtId="0" fontId="0" fillId="3" borderId="19" xfId="0" applyFill="1" applyBorder="1" applyAlignment="1" applyProtection="1">
      <alignment horizontal="left" vertical="center" wrapText="1"/>
      <protection locked="0"/>
    </xf>
    <xf numFmtId="0" fontId="0" fillId="3" borderId="26" xfId="0" applyFill="1" applyBorder="1" applyAlignment="1" applyProtection="1">
      <alignment horizontal="center" vertical="center" wrapText="1"/>
      <protection locked="0"/>
    </xf>
    <xf numFmtId="0" fontId="0" fillId="3" borderId="20" xfId="0" applyFill="1" applyBorder="1" applyAlignment="1" applyProtection="1">
      <alignment horizontal="left" vertical="center" wrapText="1"/>
      <protection locked="0"/>
    </xf>
    <xf numFmtId="0" fontId="0" fillId="3" borderId="28" xfId="0" applyFill="1" applyBorder="1" applyAlignment="1" applyProtection="1">
      <alignment horizontal="center" vertical="center" wrapText="1"/>
      <protection locked="0"/>
    </xf>
    <xf numFmtId="0" fontId="0" fillId="3" borderId="29" xfId="0" applyFill="1" applyBorder="1" applyAlignment="1" applyProtection="1">
      <alignment horizontal="left" vertical="center" wrapText="1"/>
      <protection locked="0"/>
    </xf>
    <xf numFmtId="0" fontId="0" fillId="3" borderId="27" xfId="0" applyFill="1" applyBorder="1" applyAlignment="1" applyProtection="1">
      <alignment horizontal="center" vertical="center" wrapText="1"/>
      <protection locked="0"/>
    </xf>
    <xf numFmtId="0" fontId="0" fillId="3" borderId="21" xfId="0" applyFill="1" applyBorder="1" applyAlignment="1" applyProtection="1">
      <alignment horizontal="left" vertical="center" wrapText="1"/>
      <protection locked="0"/>
    </xf>
    <xf numFmtId="168" fontId="12" fillId="3" borderId="46" xfId="0" applyNumberFormat="1" applyFont="1" applyFill="1" applyBorder="1" applyAlignment="1" applyProtection="1">
      <alignment horizontal="centerContinuous" vertical="center"/>
      <protection locked="0"/>
    </xf>
    <xf numFmtId="166" fontId="8" fillId="3" borderId="17" xfId="0" applyNumberFormat="1" applyFont="1" applyFill="1" applyBorder="1" applyAlignment="1" applyProtection="1">
      <alignment horizontal="center"/>
      <protection locked="0"/>
    </xf>
    <xf numFmtId="166" fontId="8" fillId="3" borderId="16" xfId="0" applyNumberFormat="1" applyFont="1" applyFill="1" applyBorder="1" applyAlignment="1" applyProtection="1">
      <alignment horizontal="center"/>
      <protection locked="0"/>
    </xf>
    <xf numFmtId="0" fontId="12" fillId="0" borderId="77" xfId="0" applyFont="1" applyFill="1" applyBorder="1" applyAlignment="1">
      <alignment horizontal="left" vertical="center"/>
    </xf>
    <xf numFmtId="0" fontId="0" fillId="7" borderId="80" xfId="0" applyFill="1" applyBorder="1" applyProtection="1">
      <protection locked="0"/>
    </xf>
    <xf numFmtId="0" fontId="0" fillId="7" borderId="81" xfId="0" applyFill="1" applyBorder="1" applyProtection="1">
      <protection locked="0"/>
    </xf>
    <xf numFmtId="0" fontId="0" fillId="7" borderId="88" xfId="0" applyFill="1" applyBorder="1" applyProtection="1">
      <protection locked="0"/>
    </xf>
    <xf numFmtId="0" fontId="0" fillId="7" borderId="78" xfId="0" applyFill="1" applyBorder="1" applyProtection="1">
      <protection locked="0"/>
    </xf>
    <xf numFmtId="0" fontId="0" fillId="7" borderId="79" xfId="0" applyFill="1" applyBorder="1" applyProtection="1">
      <protection locked="0"/>
    </xf>
    <xf numFmtId="0" fontId="0" fillId="7" borderId="89" xfId="0" applyFill="1" applyBorder="1" applyProtection="1">
      <protection locked="0"/>
    </xf>
    <xf numFmtId="0" fontId="0" fillId="7" borderId="84" xfId="0" applyFill="1" applyBorder="1" applyProtection="1">
      <protection locked="0"/>
    </xf>
    <xf numFmtId="0" fontId="0" fillId="7" borderId="85" xfId="0" applyFill="1" applyBorder="1" applyProtection="1">
      <protection locked="0"/>
    </xf>
    <xf numFmtId="0" fontId="0" fillId="7" borderId="91" xfId="0" applyFill="1" applyBorder="1" applyProtection="1">
      <protection locked="0"/>
    </xf>
    <xf numFmtId="0" fontId="11" fillId="8" borderId="2" xfId="0" applyFont="1" applyFill="1" applyBorder="1" applyAlignment="1" applyProtection="1">
      <alignment horizontal="left" vertical="center"/>
    </xf>
    <xf numFmtId="0" fontId="11" fillId="8" borderId="57" xfId="0" applyFont="1" applyFill="1" applyBorder="1" applyAlignment="1" applyProtection="1">
      <alignment horizontal="left" vertical="center"/>
    </xf>
    <xf numFmtId="0" fontId="0" fillId="8" borderId="57" xfId="0" applyFill="1" applyBorder="1" applyAlignment="1" applyProtection="1">
      <alignment vertical="center"/>
    </xf>
    <xf numFmtId="0" fontId="0" fillId="8" borderId="4" xfId="0" applyFill="1" applyBorder="1" applyProtection="1"/>
    <xf numFmtId="0" fontId="11" fillId="8" borderId="23" xfId="0" quotePrefix="1" applyFont="1" applyFill="1" applyBorder="1" applyAlignment="1" applyProtection="1">
      <alignment horizontal="left" vertical="center"/>
    </xf>
    <xf numFmtId="0" fontId="0" fillId="8" borderId="44" xfId="0" applyFill="1" applyBorder="1" applyAlignment="1" applyProtection="1">
      <alignment horizontal="centerContinuous" vertical="center"/>
    </xf>
    <xf numFmtId="0" fontId="0" fillId="8" borderId="9" xfId="0" applyFill="1" applyBorder="1" applyAlignment="1" applyProtection="1">
      <alignment horizontal="centerContinuous" vertical="center"/>
    </xf>
    <xf numFmtId="0" fontId="11" fillId="3" borderId="7" xfId="0" quotePrefix="1" applyFont="1" applyFill="1" applyBorder="1" applyAlignment="1" applyProtection="1">
      <alignment horizontal="left" vertical="center"/>
      <protection locked="0"/>
    </xf>
    <xf numFmtId="0" fontId="0" fillId="0" borderId="0" xfId="0" applyAlignment="1">
      <alignment horizontal="right" vertical="center"/>
    </xf>
    <xf numFmtId="0" fontId="2" fillId="2" borderId="0" xfId="0" applyFont="1" applyFill="1" applyAlignment="1">
      <alignment horizontal="right" vertical="center"/>
    </xf>
    <xf numFmtId="0" fontId="9" fillId="0" borderId="0" xfId="0" applyFont="1" applyAlignment="1">
      <alignment horizontal="center" vertical="center"/>
    </xf>
    <xf numFmtId="0" fontId="0" fillId="2" borderId="121" xfId="0" applyFill="1" applyBorder="1" applyAlignment="1">
      <alignment horizontal="center"/>
    </xf>
    <xf numFmtId="0" fontId="0" fillId="7" borderId="119" xfId="0" applyFill="1" applyBorder="1" applyProtection="1">
      <protection locked="0"/>
    </xf>
    <xf numFmtId="0" fontId="0" fillId="7" borderId="120" xfId="0" applyFill="1" applyBorder="1" applyProtection="1">
      <protection locked="0"/>
    </xf>
    <xf numFmtId="0" fontId="0" fillId="7" borderId="122" xfId="0" applyFill="1" applyBorder="1" applyProtection="1">
      <protection locked="0"/>
    </xf>
    <xf numFmtId="0" fontId="0" fillId="7" borderId="123" xfId="0" applyFill="1" applyBorder="1" applyProtection="1">
      <protection locked="0"/>
    </xf>
    <xf numFmtId="0" fontId="0" fillId="7" borderId="124" xfId="0" applyFill="1" applyBorder="1" applyProtection="1">
      <protection locked="0"/>
    </xf>
    <xf numFmtId="0" fontId="11" fillId="3" borderId="0" xfId="0" quotePrefix="1" applyFont="1" applyFill="1" applyAlignment="1" applyProtection="1">
      <alignment horizontal="left" vertical="center"/>
      <protection locked="0"/>
    </xf>
    <xf numFmtId="0" fontId="0" fillId="3" borderId="6" xfId="0" applyFill="1" applyBorder="1" applyAlignment="1" applyProtection="1">
      <alignment vertical="center"/>
      <protection locked="0"/>
    </xf>
    <xf numFmtId="0" fontId="0" fillId="8" borderId="4" xfId="0" applyFill="1" applyBorder="1" applyAlignment="1" applyProtection="1">
      <alignment vertical="center"/>
    </xf>
    <xf numFmtId="0" fontId="1" fillId="0" borderId="0" xfId="0" applyFont="1" applyFill="1"/>
    <xf numFmtId="0" fontId="1" fillId="0" borderId="15" xfId="0" applyFont="1" applyFill="1" applyBorder="1" applyAlignment="1" applyProtection="1">
      <alignment horizontal="center"/>
    </xf>
    <xf numFmtId="0" fontId="36" fillId="9" borderId="0" xfId="0" applyFont="1" applyFill="1"/>
    <xf numFmtId="0" fontId="37" fillId="9" borderId="0" xfId="0" applyFont="1" applyFill="1"/>
    <xf numFmtId="0" fontId="38" fillId="9" borderId="0" xfId="0" applyFont="1" applyFill="1"/>
    <xf numFmtId="0" fontId="39" fillId="9" borderId="0" xfId="0" applyFont="1" applyFill="1"/>
    <xf numFmtId="0" fontId="40" fillId="9" borderId="0" xfId="0" applyFont="1" applyFill="1"/>
    <xf numFmtId="0" fontId="0" fillId="4" borderId="18" xfId="0" applyFill="1" applyBorder="1" applyAlignment="1" applyProtection="1">
      <alignment horizontal="left"/>
      <protection locked="0"/>
    </xf>
    <xf numFmtId="0" fontId="0" fillId="4" borderId="44" xfId="0" applyFill="1" applyBorder="1" applyAlignment="1" applyProtection="1">
      <alignment horizontal="left"/>
      <protection locked="0"/>
    </xf>
    <xf numFmtId="0" fontId="0" fillId="4" borderId="69" xfId="0" applyFill="1" applyBorder="1" applyAlignment="1" applyProtection="1">
      <alignment horizontal="left"/>
      <protection locked="0"/>
    </xf>
    <xf numFmtId="0" fontId="0" fillId="0" borderId="18" xfId="0" applyBorder="1" applyAlignment="1">
      <alignment horizontal="left" vertical="top" wrapText="1"/>
    </xf>
    <xf numFmtId="0" fontId="0" fillId="0" borderId="44" xfId="0" applyBorder="1" applyAlignment="1">
      <alignment horizontal="left" vertical="top" wrapText="1"/>
    </xf>
    <xf numFmtId="14" fontId="0" fillId="4" borderId="18" xfId="0" applyNumberFormat="1" applyFill="1" applyBorder="1" applyAlignment="1" applyProtection="1">
      <alignment horizontal="left"/>
      <protection locked="0"/>
    </xf>
    <xf numFmtId="14" fontId="0" fillId="4" borderId="44" xfId="0" applyNumberFormat="1" applyFill="1" applyBorder="1" applyAlignment="1" applyProtection="1">
      <alignment horizontal="left"/>
      <protection locked="0"/>
    </xf>
    <xf numFmtId="14" fontId="0" fillId="4" borderId="69" xfId="0" applyNumberFormat="1" applyFill="1" applyBorder="1" applyAlignment="1" applyProtection="1">
      <alignment horizontal="left"/>
      <protection locked="0"/>
    </xf>
    <xf numFmtId="0" fontId="27" fillId="4" borderId="18" xfId="1" applyFill="1" applyBorder="1" applyAlignment="1" applyProtection="1">
      <alignment horizontal="left"/>
      <protection locked="0"/>
    </xf>
    <xf numFmtId="0" fontId="27" fillId="4" borderId="44" xfId="1" applyFill="1" applyBorder="1" applyAlignment="1" applyProtection="1">
      <alignment horizontal="left"/>
      <protection locked="0"/>
    </xf>
    <xf numFmtId="0" fontId="27" fillId="4" borderId="69" xfId="1" applyFill="1" applyBorder="1" applyAlignment="1" applyProtection="1">
      <alignment horizontal="left"/>
      <protection locked="0"/>
    </xf>
    <xf numFmtId="0" fontId="0" fillId="4" borderId="18" xfId="0" quotePrefix="1" applyFill="1" applyBorder="1" applyAlignment="1" applyProtection="1">
      <alignment horizontal="left"/>
      <protection locked="0"/>
    </xf>
    <xf numFmtId="0" fontId="0" fillId="4" borderId="44" xfId="0" quotePrefix="1" applyFill="1" applyBorder="1" applyAlignment="1" applyProtection="1">
      <alignment horizontal="left"/>
      <protection locked="0"/>
    </xf>
    <xf numFmtId="0" fontId="0" fillId="4" borderId="69" xfId="0" quotePrefix="1" applyFill="1" applyBorder="1" applyAlignment="1" applyProtection="1">
      <alignment horizontal="left"/>
      <protection locked="0"/>
    </xf>
    <xf numFmtId="0" fontId="29" fillId="2" borderId="2" xfId="0" applyFont="1" applyFill="1" applyBorder="1" applyAlignment="1">
      <alignment horizontal="center" vertical="center"/>
    </xf>
    <xf numFmtId="0" fontId="29" fillId="2" borderId="57"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47"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46" xfId="0" applyFont="1" applyFill="1" applyBorder="1" applyAlignment="1">
      <alignment horizontal="center" vertical="center"/>
    </xf>
    <xf numFmtId="0" fontId="23" fillId="2" borderId="47" xfId="0" applyFont="1" applyFill="1" applyBorder="1" applyAlignment="1">
      <alignment horizontal="center" vertical="center"/>
    </xf>
    <xf numFmtId="0" fontId="23" fillId="2" borderId="58" xfId="0" applyFont="1" applyFill="1" applyBorder="1" applyAlignment="1">
      <alignment horizontal="center" vertical="center"/>
    </xf>
    <xf numFmtId="0" fontId="23"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pplyProtection="1">
      <alignment horizontal="left" vertical="center"/>
      <protection locked="0"/>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11" fillId="8" borderId="1" xfId="0" applyFont="1" applyFill="1" applyBorder="1" applyAlignment="1" applyProtection="1">
      <alignment horizontal="left" vertical="center"/>
    </xf>
    <xf numFmtId="0" fontId="11" fillId="8" borderId="11" xfId="0" applyFont="1" applyFill="1" applyBorder="1" applyAlignment="1" applyProtection="1">
      <alignment horizontal="left" vertical="center"/>
    </xf>
    <xf numFmtId="0" fontId="11" fillId="8" borderId="12" xfId="0" applyFont="1" applyFill="1" applyBorder="1" applyAlignment="1" applyProtection="1">
      <alignment horizontal="left" vertical="center"/>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0" fontId="11" fillId="3" borderId="7" xfId="0" quotePrefix="1" applyFont="1" applyFill="1" applyBorder="1" applyAlignment="1" applyProtection="1">
      <alignment horizontal="left" vertical="center"/>
      <protection locked="0"/>
    </xf>
    <xf numFmtId="0" fontId="11" fillId="3" borderId="0" xfId="0" quotePrefix="1" applyFont="1" applyFill="1" applyBorder="1" applyAlignment="1" applyProtection="1">
      <alignment horizontal="left" vertical="center"/>
      <protection locked="0"/>
    </xf>
    <xf numFmtId="0" fontId="11" fillId="3" borderId="6" xfId="0" quotePrefix="1" applyFont="1" applyFill="1" applyBorder="1" applyAlignment="1" applyProtection="1">
      <alignment horizontal="left" vertical="center"/>
      <protection locked="0"/>
    </xf>
    <xf numFmtId="168" fontId="11" fillId="3" borderId="47" xfId="0" quotePrefix="1" applyNumberFormat="1" applyFont="1" applyFill="1" applyBorder="1" applyAlignment="1" applyProtection="1">
      <alignment horizontal="left" vertical="center"/>
      <protection locked="0"/>
    </xf>
    <xf numFmtId="168" fontId="11" fillId="3" borderId="58" xfId="0" quotePrefix="1" applyNumberFormat="1" applyFont="1" applyFill="1" applyBorder="1" applyAlignment="1" applyProtection="1">
      <alignment horizontal="left" vertical="center"/>
      <protection locked="0"/>
    </xf>
    <xf numFmtId="168" fontId="11" fillId="3" borderId="46" xfId="0" quotePrefix="1" applyNumberFormat="1" applyFont="1" applyFill="1" applyBorder="1" applyAlignment="1" applyProtection="1">
      <alignment horizontal="left" vertical="center"/>
      <protection locked="0"/>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4" xfId="0" applyFont="1" applyFill="1" applyBorder="1" applyAlignment="1">
      <alignment horizontal="left" vertical="center"/>
    </xf>
    <xf numFmtId="0" fontId="9" fillId="2" borderId="18" xfId="0" applyFont="1" applyFill="1" applyBorder="1" applyAlignment="1">
      <alignment horizontal="left" vertical="center"/>
    </xf>
    <xf numFmtId="0" fontId="9" fillId="2" borderId="44" xfId="0" applyFont="1" applyFill="1" applyBorder="1" applyAlignment="1">
      <alignment horizontal="left" vertical="center"/>
    </xf>
    <xf numFmtId="0" fontId="9" fillId="2" borderId="69" xfId="0" applyFont="1" applyFill="1" applyBorder="1" applyAlignment="1">
      <alignment horizontal="left"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11" fillId="8" borderId="1" xfId="0" applyFont="1" applyFill="1" applyBorder="1" applyAlignment="1" applyProtection="1">
      <alignment horizontal="center" vertical="center"/>
    </xf>
    <xf numFmtId="0" fontId="11" fillId="8" borderId="11" xfId="0" applyFont="1" applyFill="1" applyBorder="1" applyAlignment="1" applyProtection="1">
      <alignment horizontal="center" vertical="center"/>
    </xf>
    <xf numFmtId="0" fontId="11" fillId="8" borderId="12" xfId="0" applyFont="1" applyFill="1" applyBorder="1" applyAlignment="1" applyProtection="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xf numFmtId="0" fontId="19" fillId="8" borderId="22" xfId="0" applyFont="1" applyFill="1" applyBorder="1" applyAlignment="1" applyProtection="1">
      <alignment horizontal="left" vertical="center"/>
    </xf>
    <xf numFmtId="0" fontId="19" fillId="8" borderId="43" xfId="0" applyFont="1" applyFill="1" applyBorder="1" applyAlignment="1" applyProtection="1">
      <alignment horizontal="left" vertical="center"/>
    </xf>
    <xf numFmtId="0" fontId="19" fillId="8" borderId="8" xfId="0" applyFont="1" applyFill="1" applyBorder="1" applyAlignment="1" applyProtection="1">
      <alignment horizontal="left" vertical="center"/>
    </xf>
    <xf numFmtId="168" fontId="11" fillId="3" borderId="24" xfId="0" quotePrefix="1" applyNumberFormat="1" applyFont="1" applyFill="1" applyBorder="1" applyAlignment="1" applyProtection="1">
      <alignment horizontal="left" vertical="center"/>
      <protection locked="0"/>
    </xf>
    <xf numFmtId="168" fontId="11" fillId="3" borderId="59" xfId="0" quotePrefix="1" applyNumberFormat="1" applyFont="1" applyFill="1" applyBorder="1" applyAlignment="1" applyProtection="1">
      <alignment horizontal="left" vertical="center"/>
      <protection locked="0"/>
    </xf>
    <xf numFmtId="168" fontId="11" fillId="3" borderId="60" xfId="0" quotePrefix="1" applyNumberFormat="1" applyFont="1" applyFill="1" applyBorder="1" applyAlignment="1" applyProtection="1">
      <alignment horizontal="left" vertical="center"/>
      <protection locked="0"/>
    </xf>
    <xf numFmtId="0" fontId="1" fillId="0" borderId="0" xfId="0" applyFont="1" applyAlignment="1">
      <alignment horizontal="center"/>
    </xf>
  </cellXfs>
  <cellStyles count="3">
    <cellStyle name="Hyperlink" xfId="1" builtinId="8"/>
    <cellStyle name="Normal" xfId="0" builtinId="0"/>
    <cellStyle name="Percent" xfId="2" builtinId="5"/>
  </cellStyles>
  <dxfs count="20">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14996795556505021"/>
        </patternFill>
      </fill>
    </dxf>
    <dxf>
      <fill>
        <patternFill patternType="gray0625">
          <fgColor theme="0" tint="-0.14996795556505021"/>
        </patternFill>
      </fill>
    </dxf>
    <dxf>
      <fill>
        <patternFill patternType="gray0625">
          <fgColor theme="0" tint="-0.24994659260841701"/>
        </patternFill>
      </fill>
    </dxf>
    <dxf>
      <fill>
        <patternFill patternType="gray0625">
          <fgColor theme="0" tint="-0.2499465926084170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348615</xdr:colOff>
      <xdr:row>19</xdr:row>
      <xdr:rowOff>148590</xdr:rowOff>
    </xdr:from>
    <xdr:to>
      <xdr:col>11</xdr:col>
      <xdr:colOff>209570</xdr:colOff>
      <xdr:row>84</xdr:row>
      <xdr:rowOff>5</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99"/>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104775</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9525</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YES (no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19050</xdr:colOff>
          <xdr:row>4</xdr:row>
          <xdr:rowOff>152400</xdr:rowOff>
        </xdr:from>
        <xdr:to>
          <xdr:col>16</xdr:col>
          <xdr:colOff>276225</xdr:colOff>
          <xdr:row>6</xdr:row>
          <xdr:rowOff>85725</xdr:rowOff>
        </xdr:to>
        <xdr:sp macro="" textlink="">
          <xdr:nvSpPr>
            <xdr:cNvPr id="4206" name="Button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Unprotect Worksheets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19050</xdr:colOff>
          <xdr:row>7</xdr:row>
          <xdr:rowOff>123825</xdr:rowOff>
        </xdr:from>
        <xdr:to>
          <xdr:col>16</xdr:col>
          <xdr:colOff>276225</xdr:colOff>
          <xdr:row>9</xdr:row>
          <xdr:rowOff>57150</xdr:rowOff>
        </xdr:to>
        <xdr:sp macro="" textlink="">
          <xdr:nvSpPr>
            <xdr:cNvPr id="4207" name="Button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Protect Worksheets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59</xdr:row>
      <xdr:rowOff>1</xdr:rowOff>
    </xdr:from>
    <xdr:to>
      <xdr:col>4</xdr:col>
      <xdr:colOff>0</xdr:colOff>
      <xdr:row>77</xdr:row>
      <xdr:rowOff>1</xdr:rowOff>
    </xdr:to>
    <xdr:sp macro="" textlink="">
      <xdr:nvSpPr>
        <xdr:cNvPr id="7626" name="Text Box 2">
          <a:extLst>
            <a:ext uri="{FF2B5EF4-FFF2-40B4-BE49-F238E27FC236}">
              <a16:creationId xmlns:a16="http://schemas.microsoft.com/office/drawing/2014/main" id="{00000000-0008-0000-0100-0000CA1D0000}"/>
            </a:ext>
          </a:extLst>
        </xdr:cNvPr>
        <xdr:cNvSpPr txBox="1">
          <a:spLocks noChangeArrowheads="1"/>
        </xdr:cNvSpPr>
      </xdr:nvSpPr>
      <xdr:spPr bwMode="auto">
        <a:xfrm>
          <a:off x="771525" y="11077576"/>
          <a:ext cx="6276975" cy="2914650"/>
        </a:xfrm>
        <a:prstGeom prst="rect">
          <a:avLst/>
        </a:prstGeom>
        <a:solidFill>
          <a:srgbClr val="FFFF99"/>
        </a:solidFill>
        <a:ln w="9525">
          <a:solidFill>
            <a:srgbClr val="000000"/>
          </a:solidFill>
          <a:miter lim="800000"/>
          <a:headEnd/>
          <a:tailEnd/>
        </a:ln>
      </xdr:spPr>
    </xdr:sp>
    <xdr:clientData/>
  </xdr:twoCellAnchor>
  <xdr:twoCellAnchor>
    <xdr:from>
      <xdr:col>1</xdr:col>
      <xdr:colOff>0</xdr:colOff>
      <xdr:row>8</xdr:row>
      <xdr:rowOff>0</xdr:rowOff>
    </xdr:from>
    <xdr:to>
      <xdr:col>4</xdr:col>
      <xdr:colOff>0</xdr:colOff>
      <xdr:row>40</xdr:row>
      <xdr:rowOff>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771525" y="2143125"/>
          <a:ext cx="6276975" cy="518160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r>
            <a:rPr lang="de-DE" sz="1000" b="0" i="0" u="none" strike="noStrike" baseline="0">
              <a:solidFill>
                <a:srgbClr val="000000"/>
              </a:solidFill>
              <a:latin typeface="Geneva"/>
            </a:rPr>
            <a:t>Historical data, imported into TEMPLATE in June 2022 by WMR, NL</a:t>
          </a:r>
        </a:p>
        <a:p>
          <a:pPr algn="l" rtl="0">
            <a:defRPr sz="1000"/>
          </a:pPr>
          <a:r>
            <a:rPr lang="de-DE" sz="1000" b="0" i="0" u="none" strike="noStrike" baseline="0">
              <a:solidFill>
                <a:srgbClr val="000000"/>
              </a:solidFill>
              <a:latin typeface="Geneva"/>
            </a:rPr>
            <a:t>Catch data from SC9-JM01-Annex1-rev1-CJM-catch-history-data.xls</a:t>
          </a:r>
        </a:p>
        <a:p>
          <a:pPr algn="l" rtl="0">
            <a:defRPr sz="1000"/>
          </a:pPr>
          <a:r>
            <a:rPr lang="de-DE" sz="1000" b="0" i="0" u="none" strike="noStrike" baseline="0">
              <a:solidFill>
                <a:srgbClr val="000000"/>
              </a:solidFill>
              <a:latin typeface="Geneva"/>
            </a:rPr>
            <a:t>LEN F4 from 2011 annual age comp EU fleet IFOP data.xlsx</a:t>
          </a:r>
        </a:p>
        <a:p>
          <a:pPr algn="l" rtl="0">
            <a:defRPr sz="1000"/>
          </a:pPr>
          <a:r>
            <a:rPr lang="de-DE" sz="1000" b="0" i="0" u="none" strike="noStrike" baseline="0">
              <a:solidFill>
                <a:srgbClr val="000000"/>
              </a:solidFill>
              <a:latin typeface="Geneva"/>
            </a:rPr>
            <a:t>Assumption (as for all pre2015 EU data): all catches and sampling in Q2</a:t>
          </a:r>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L17"/>
  <sheetViews>
    <sheetView showGridLines="0" tabSelected="1" workbookViewId="0">
      <selection activeCell="K4" sqref="K4"/>
    </sheetView>
  </sheetViews>
  <sheetFormatPr defaultColWidth="8.7109375" defaultRowHeight="12.75"/>
  <cols>
    <col min="1" max="5" width="8.7109375" customWidth="1"/>
    <col min="6" max="6" width="11.7109375" customWidth="1"/>
  </cols>
  <sheetData>
    <row r="1" spans="1:12" ht="23.25">
      <c r="A1" s="341" t="s">
        <v>71</v>
      </c>
      <c r="B1" s="341"/>
      <c r="C1" s="341"/>
      <c r="D1" s="341"/>
      <c r="E1" s="341"/>
      <c r="F1" s="341"/>
      <c r="G1" s="341"/>
      <c r="H1" s="341"/>
      <c r="I1" s="341"/>
      <c r="J1" s="341"/>
      <c r="K1" s="341"/>
      <c r="L1" s="341"/>
    </row>
    <row r="2" spans="1:12" ht="13.5" thickBot="1"/>
    <row r="3" spans="1:12" ht="21" thickBot="1">
      <c r="B3" s="142" t="s">
        <v>143</v>
      </c>
      <c r="J3" s="153" t="s">
        <v>60</v>
      </c>
      <c r="K3" s="158">
        <v>2007</v>
      </c>
    </row>
    <row r="5" spans="1:12">
      <c r="B5" s="143" t="s">
        <v>66</v>
      </c>
      <c r="C5" s="144"/>
      <c r="D5" s="144"/>
      <c r="E5" s="144"/>
      <c r="F5" s="344" t="s">
        <v>72</v>
      </c>
      <c r="G5" s="345"/>
      <c r="H5" s="345"/>
      <c r="I5" s="345"/>
      <c r="J5" s="345"/>
      <c r="K5" s="346"/>
    </row>
    <row r="6" spans="1:12">
      <c r="B6" s="145" t="s">
        <v>105</v>
      </c>
      <c r="C6" s="146"/>
      <c r="D6" s="146"/>
      <c r="E6" s="146"/>
      <c r="F6" s="344" t="s">
        <v>127</v>
      </c>
      <c r="G6" s="345"/>
      <c r="H6" s="345"/>
      <c r="I6" s="345"/>
      <c r="J6" s="345"/>
      <c r="K6" s="346"/>
    </row>
    <row r="7" spans="1:12">
      <c r="B7" s="145" t="s">
        <v>67</v>
      </c>
      <c r="C7" s="146"/>
      <c r="D7" s="146"/>
      <c r="E7" s="146"/>
      <c r="F7" s="344"/>
      <c r="G7" s="345"/>
      <c r="H7" s="345"/>
      <c r="I7" s="345"/>
      <c r="J7" s="345"/>
      <c r="K7" s="346"/>
    </row>
    <row r="8" spans="1:12">
      <c r="B8" s="145" t="s">
        <v>68</v>
      </c>
      <c r="C8" s="146"/>
      <c r="D8" s="146"/>
      <c r="E8" s="146"/>
      <c r="F8" s="349" t="s">
        <v>145</v>
      </c>
      <c r="G8" s="350"/>
      <c r="H8" s="350"/>
      <c r="I8" s="350"/>
      <c r="J8" s="350"/>
      <c r="K8" s="351"/>
    </row>
    <row r="9" spans="1:12">
      <c r="B9" s="145" t="s">
        <v>69</v>
      </c>
      <c r="C9" s="146"/>
      <c r="D9" s="146"/>
      <c r="E9" s="146"/>
      <c r="F9" s="352"/>
      <c r="G9" s="353"/>
      <c r="H9" s="353"/>
      <c r="I9" s="353"/>
      <c r="J9" s="353"/>
      <c r="K9" s="354"/>
    </row>
    <row r="10" spans="1:12">
      <c r="B10" s="145" t="s">
        <v>73</v>
      </c>
      <c r="C10" s="146"/>
      <c r="D10" s="146"/>
      <c r="E10" s="146"/>
      <c r="F10" s="355"/>
      <c r="G10" s="356"/>
      <c r="H10" s="356"/>
      <c r="I10" s="356"/>
      <c r="J10" s="356"/>
      <c r="K10" s="357"/>
    </row>
    <row r="11" spans="1:12">
      <c r="B11" s="147" t="s">
        <v>70</v>
      </c>
      <c r="C11" s="148"/>
      <c r="D11" s="148"/>
      <c r="E11" s="148"/>
      <c r="F11" s="344"/>
      <c r="G11" s="345"/>
      <c r="H11" s="345"/>
      <c r="I11" s="345"/>
      <c r="J11" s="345"/>
      <c r="K11" s="346"/>
    </row>
    <row r="12" spans="1:12" ht="42.75" customHeight="1">
      <c r="B12" s="347" t="s">
        <v>48</v>
      </c>
      <c r="C12" s="348"/>
      <c r="D12" s="348"/>
      <c r="E12" s="348"/>
      <c r="F12" s="344"/>
      <c r="G12" s="345"/>
      <c r="H12" s="345"/>
      <c r="I12" s="345"/>
      <c r="J12" s="345"/>
      <c r="K12" s="346"/>
    </row>
    <row r="13" spans="1:12">
      <c r="B13" s="147" t="s">
        <v>141</v>
      </c>
      <c r="C13" s="148"/>
      <c r="D13" s="148"/>
      <c r="E13" s="148"/>
      <c r="F13" s="344" t="s">
        <v>139</v>
      </c>
      <c r="G13" s="345"/>
      <c r="H13" s="345"/>
      <c r="I13" s="345"/>
      <c r="J13" s="345"/>
      <c r="K13" s="346"/>
    </row>
    <row r="14" spans="1:12">
      <c r="B14" s="149" t="s">
        <v>47</v>
      </c>
    </row>
    <row r="15" spans="1:12">
      <c r="B15" s="149" t="s">
        <v>74</v>
      </c>
    </row>
    <row r="16" spans="1:12">
      <c r="B16" s="149"/>
    </row>
    <row r="17" spans="2:2">
      <c r="B17" t="s">
        <v>59</v>
      </c>
    </row>
  </sheetData>
  <sheetProtection scenarios="1"/>
  <mergeCells count="10">
    <mergeCell ref="F13:K13"/>
    <mergeCell ref="B12:E12"/>
    <mergeCell ref="F12:K12"/>
    <mergeCell ref="F5:K5"/>
    <mergeCell ref="F6:K6"/>
    <mergeCell ref="F7:K7"/>
    <mergeCell ref="F8:K8"/>
    <mergeCell ref="F9:K9"/>
    <mergeCell ref="F10:K10"/>
    <mergeCell ref="F11:K11"/>
  </mergeCells>
  <phoneticPr fontId="0" type="noConversion"/>
  <conditionalFormatting sqref="A2:L85">
    <cfRule type="expression" dxfId="19" priority="1" stopIfTrue="1">
      <formula>CELL("Protect",A2)=1</formula>
    </cfRule>
  </conditionalFormatting>
  <dataValidations count="3">
    <dataValidation type="list" allowBlank="1" showInputMessage="1" showErrorMessage="1" sqref="F6:K6" xr:uid="{00000000-0002-0000-0000-000000000000}">
      <formula1>Countries</formula1>
    </dataValidation>
    <dataValidation type="list" allowBlank="1" showInputMessage="1" showErrorMessage="1" sqref="F5:K5" xr:uid="{00000000-0002-0000-0000-000001000000}">
      <formula1>Species</formula1>
    </dataValidation>
    <dataValidation type="list" allowBlank="1" showInputMessage="1" showErrorMessage="1" sqref="F13:K13" xr:uid="{B7707A5E-BE36-4051-BDDC-6C520E93FD15}">
      <formula1>length_measures</formula1>
    </dataValidation>
  </dataValidations>
  <pageMargins left="0.78740157499999996" right="0.78740157499999996" top="0.984251969" bottom="0.984251969" header="0.5" footer="0.5"/>
  <pageSetup paperSize="9" scale="5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1" r:id="rId4" name="Option Button 5">
              <controlPr defaultSize="0" autoFill="0" autoLine="0" autoPict="0">
                <anchor moveWithCells="1">
                  <from>
                    <xdr:col>8</xdr:col>
                    <xdr:colOff>152400</xdr:colOff>
                    <xdr:row>15</xdr:row>
                    <xdr:rowOff>95250</xdr:rowOff>
                  </from>
                  <to>
                    <xdr:col>11</xdr:col>
                    <xdr:colOff>104775</xdr:colOff>
                    <xdr:row>16</xdr:row>
                    <xdr:rowOff>152400</xdr:rowOff>
                  </to>
                </anchor>
              </controlPr>
            </control>
          </mc:Choice>
        </mc:AlternateContent>
        <mc:AlternateContent xmlns:mc="http://schemas.openxmlformats.org/markup-compatibility/2006">
          <mc:Choice Requires="x14">
            <control shapeId="4102" r:id="rId5" name="Option Button 6">
              <controlPr defaultSize="0" autoFill="0" autoLine="0" autoPict="0">
                <anchor moveWithCells="1">
                  <from>
                    <xdr:col>8</xdr:col>
                    <xdr:colOff>152400</xdr:colOff>
                    <xdr:row>14</xdr:row>
                    <xdr:rowOff>9525</xdr:rowOff>
                  </from>
                  <to>
                    <xdr:col>11</xdr:col>
                    <xdr:colOff>114300</xdr:colOff>
                    <xdr:row>15</xdr:row>
                    <xdr:rowOff>95250</xdr:rowOff>
                  </to>
                </anchor>
              </controlPr>
            </control>
          </mc:Choice>
        </mc:AlternateContent>
        <mc:AlternateContent xmlns:mc="http://schemas.openxmlformats.org/markup-compatibility/2006">
          <mc:Choice Requires="x14">
            <control shapeId="4206" r:id="rId6" name="Button 110">
              <controlPr defaultSize="0" print="0" autoFill="0" autoPict="0" macro="[0]!UnProtectWorksheets">
                <anchor moveWithCells="1" sizeWithCells="1">
                  <from>
                    <xdr:col>14</xdr:col>
                    <xdr:colOff>19050</xdr:colOff>
                    <xdr:row>4</xdr:row>
                    <xdr:rowOff>152400</xdr:rowOff>
                  </from>
                  <to>
                    <xdr:col>16</xdr:col>
                    <xdr:colOff>276225</xdr:colOff>
                    <xdr:row>6</xdr:row>
                    <xdr:rowOff>85725</xdr:rowOff>
                  </to>
                </anchor>
              </controlPr>
            </control>
          </mc:Choice>
        </mc:AlternateContent>
        <mc:AlternateContent xmlns:mc="http://schemas.openxmlformats.org/markup-compatibility/2006">
          <mc:Choice Requires="x14">
            <control shapeId="4207" r:id="rId7" name="Button 111">
              <controlPr defaultSize="0" print="0" autoFill="0" autoPict="0" macro="[0]!ProtectWorksheets">
                <anchor moveWithCells="1" sizeWithCells="1">
                  <from>
                    <xdr:col>14</xdr:col>
                    <xdr:colOff>19050</xdr:colOff>
                    <xdr:row>7</xdr:row>
                    <xdr:rowOff>123825</xdr:rowOff>
                  </from>
                  <to>
                    <xdr:col>16</xdr:col>
                    <xdr:colOff>276225</xdr:colOff>
                    <xdr:row>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E59"/>
  <sheetViews>
    <sheetView workbookViewId="0">
      <selection activeCell="G7" sqref="G7"/>
    </sheetView>
  </sheetViews>
  <sheetFormatPr defaultColWidth="11.5703125" defaultRowHeight="12.75"/>
  <cols>
    <col min="1" max="1" width="11.5703125" customWidth="1"/>
    <col min="2" max="2" width="22.140625" customWidth="1"/>
    <col min="3" max="3" width="26" customWidth="1"/>
    <col min="4" max="4" width="46" customWidth="1"/>
    <col min="5" max="10" width="11.5703125" customWidth="1"/>
    <col min="11" max="11" width="24.85546875" customWidth="1"/>
  </cols>
  <sheetData>
    <row r="1" spans="1:5" ht="23.25">
      <c r="A1" s="339" t="s">
        <v>71</v>
      </c>
      <c r="B1" s="341"/>
      <c r="C1" s="341"/>
      <c r="D1" s="341"/>
      <c r="E1" s="341"/>
    </row>
    <row r="2" spans="1:5" ht="24" thickBot="1">
      <c r="A2" s="152"/>
      <c r="D2" s="178"/>
      <c r="E2" s="178"/>
    </row>
    <row r="3" spans="1:5" ht="23.25">
      <c r="A3" s="152"/>
      <c r="B3" s="259" t="s">
        <v>106</v>
      </c>
      <c r="C3" s="155" t="str">
        <f>'START HERE'!F6</f>
        <v>EU</v>
      </c>
      <c r="D3" s="274"/>
      <c r="E3" s="275"/>
    </row>
    <row r="4" spans="1:5" ht="23.25">
      <c r="A4" s="152"/>
      <c r="B4" s="170" t="s">
        <v>0</v>
      </c>
      <c r="C4" s="156" t="str">
        <f>'START HERE'!F5</f>
        <v>Jack mackerel</v>
      </c>
      <c r="D4" s="276"/>
      <c r="E4" s="275"/>
    </row>
    <row r="5" spans="1:5" ht="24" thickBot="1">
      <c r="A5" s="152"/>
      <c r="B5" s="170" t="s">
        <v>1</v>
      </c>
      <c r="C5" s="157">
        <f>'START HERE'!K3</f>
        <v>2007</v>
      </c>
      <c r="D5" s="277"/>
      <c r="E5" s="277"/>
    </row>
    <row r="6" spans="1:5">
      <c r="D6" s="178"/>
      <c r="E6" s="178"/>
    </row>
    <row r="8" spans="1:5">
      <c r="B8" t="s">
        <v>107</v>
      </c>
    </row>
    <row r="42" spans="2:4">
      <c r="B42" s="149" t="s">
        <v>119</v>
      </c>
    </row>
    <row r="44" spans="2:4" ht="13.5" thickBot="1"/>
    <row r="45" spans="2:4" ht="13.5" thickBot="1">
      <c r="B45" s="4"/>
      <c r="C45" s="31"/>
      <c r="D45" s="135" t="s">
        <v>62</v>
      </c>
    </row>
    <row r="46" spans="2:4">
      <c r="B46" s="39" t="s">
        <v>63</v>
      </c>
      <c r="C46" s="296"/>
      <c r="D46" s="297"/>
    </row>
    <row r="47" spans="2:4">
      <c r="B47" s="40" t="s">
        <v>64</v>
      </c>
      <c r="C47" s="298"/>
      <c r="D47" s="299"/>
    </row>
    <row r="48" spans="2:4">
      <c r="B48" s="40" t="s">
        <v>65</v>
      </c>
      <c r="C48" s="298"/>
      <c r="D48" s="299"/>
    </row>
    <row r="49" spans="2:4">
      <c r="B49" s="40" t="s">
        <v>54</v>
      </c>
      <c r="C49" s="298"/>
      <c r="D49" s="299"/>
    </row>
    <row r="50" spans="2:4">
      <c r="B50" s="40" t="s">
        <v>55</v>
      </c>
      <c r="C50" s="298"/>
      <c r="D50" s="299"/>
    </row>
    <row r="51" spans="2:4">
      <c r="B51" s="40" t="s">
        <v>56</v>
      </c>
      <c r="C51" s="298"/>
      <c r="D51" s="299"/>
    </row>
    <row r="52" spans="2:4">
      <c r="B52" s="40" t="s">
        <v>25</v>
      </c>
      <c r="C52" s="298"/>
      <c r="D52" s="299"/>
    </row>
    <row r="53" spans="2:4">
      <c r="B53" s="40" t="s">
        <v>26</v>
      </c>
      <c r="C53" s="298"/>
      <c r="D53" s="299"/>
    </row>
    <row r="54" spans="2:4">
      <c r="B54" s="40" t="s">
        <v>27</v>
      </c>
      <c r="C54" s="298"/>
      <c r="D54" s="299"/>
    </row>
    <row r="55" spans="2:4" ht="25.5">
      <c r="B55" s="40" t="s">
        <v>57</v>
      </c>
      <c r="C55" s="298"/>
      <c r="D55" s="299"/>
    </row>
    <row r="56" spans="2:4" ht="51">
      <c r="B56" s="260" t="s">
        <v>111</v>
      </c>
      <c r="C56" s="300"/>
      <c r="D56" s="301"/>
    </row>
    <row r="57" spans="2:4" ht="26.25" thickBot="1">
      <c r="B57" s="41" t="s">
        <v>58</v>
      </c>
      <c r="C57" s="302"/>
      <c r="D57" s="303"/>
    </row>
    <row r="59" spans="2:4">
      <c r="B59" t="s">
        <v>17</v>
      </c>
    </row>
  </sheetData>
  <sheetProtection scenarios="1"/>
  <phoneticPr fontId="0" type="noConversion"/>
  <conditionalFormatting sqref="A2:E78">
    <cfRule type="expression" dxfId="18" priority="1" stopIfTrue="1">
      <formula>CELL("Protect",A2)=1</formula>
    </cfRule>
  </conditionalFormatting>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S24"/>
  <sheetViews>
    <sheetView showGridLines="0" topLeftCell="A12" zoomScale="75" zoomScaleNormal="75" workbookViewId="0">
      <selection activeCell="F20" sqref="F20"/>
    </sheetView>
  </sheetViews>
  <sheetFormatPr defaultColWidth="8.7109375" defaultRowHeight="24.75" customHeight="1"/>
  <cols>
    <col min="1" max="1" width="41.5703125" customWidth="1"/>
    <col min="2" max="17" width="18" customWidth="1"/>
    <col min="18" max="18" width="51.140625" customWidth="1"/>
    <col min="19" max="19" width="18" customWidth="1"/>
    <col min="20" max="20" width="13.85546875" customWidth="1"/>
    <col min="21" max="21" width="12.7109375" customWidth="1"/>
    <col min="22" max="22" width="12.5703125" bestFit="1" customWidth="1"/>
    <col min="23" max="23" width="10.5703125" customWidth="1"/>
    <col min="24" max="24" width="13.85546875" customWidth="1"/>
    <col min="25" max="25" width="12.7109375" customWidth="1"/>
    <col min="26" max="26" width="12.5703125" customWidth="1"/>
    <col min="27" max="27" width="22.42578125" bestFit="1" customWidth="1"/>
    <col min="28" max="28" width="19" bestFit="1" customWidth="1"/>
    <col min="29" max="29" width="15.5703125" bestFit="1" customWidth="1"/>
    <col min="30" max="30" width="20.7109375" bestFit="1" customWidth="1"/>
    <col min="31" max="31" width="51.5703125" bestFit="1" customWidth="1"/>
  </cols>
  <sheetData>
    <row r="1" spans="1:19" ht="24.75" customHeight="1">
      <c r="A1" s="343" t="str">
        <f>Comments!$A$1</f>
        <v>South Pacific Regional Fisheries Management Organisation</v>
      </c>
      <c r="B1" s="341"/>
      <c r="C1" s="341"/>
      <c r="D1" s="341"/>
      <c r="E1" s="341"/>
      <c r="F1" s="341"/>
      <c r="G1" s="341"/>
      <c r="H1" s="341"/>
      <c r="I1" s="341"/>
      <c r="J1" s="341"/>
      <c r="K1" s="341"/>
      <c r="L1" s="341"/>
      <c r="M1" s="341"/>
      <c r="N1" s="341"/>
      <c r="O1" s="341"/>
      <c r="P1" s="341"/>
      <c r="Q1" s="341"/>
      <c r="R1" s="341"/>
      <c r="S1" s="341"/>
    </row>
    <row r="2" spans="1:19" s="7" customFormat="1" ht="19.5" customHeight="1">
      <c r="A2" s="33" t="s">
        <v>88</v>
      </c>
      <c r="B2" s="201" t="s">
        <v>89</v>
      </c>
      <c r="C2" s="265"/>
      <c r="D2" s="178"/>
      <c r="E2" s="255"/>
    </row>
    <row r="3" spans="1:19" s="7" customFormat="1" ht="19.5" customHeight="1">
      <c r="A3" s="152"/>
      <c r="B3" s="4"/>
      <c r="C3" s="266"/>
      <c r="D3" s="178"/>
      <c r="E3" s="267"/>
    </row>
    <row r="4" spans="1:19" s="7" customFormat="1" ht="19.5" customHeight="1">
      <c r="A4" s="12" t="s">
        <v>118</v>
      </c>
      <c r="B4" s="272" t="str">
        <f>'START HERE'!F6</f>
        <v>EU</v>
      </c>
      <c r="C4" s="266"/>
      <c r="D4" s="178"/>
      <c r="E4" s="267"/>
    </row>
    <row r="5" spans="1:19" s="7" customFormat="1" ht="19.5" customHeight="1">
      <c r="A5" s="12" t="s">
        <v>18</v>
      </c>
      <c r="B5" s="272" t="str">
        <f>'START HERE'!F5</f>
        <v>Jack mackerel</v>
      </c>
      <c r="C5" s="268"/>
      <c r="D5" s="178"/>
      <c r="E5" s="267"/>
    </row>
    <row r="6" spans="1:19" s="7" customFormat="1" ht="19.5" customHeight="1">
      <c r="A6" s="12" t="s">
        <v>13</v>
      </c>
      <c r="B6" s="273">
        <f>'START HERE'!K3</f>
        <v>2007</v>
      </c>
      <c r="C6" s="266"/>
      <c r="D6" s="178"/>
      <c r="E6" s="267"/>
    </row>
    <row r="7" spans="1:19" s="7" customFormat="1" ht="19.5" customHeight="1">
      <c r="A7" s="34" t="s">
        <v>14</v>
      </c>
      <c r="B7" s="286">
        <v>42585</v>
      </c>
      <c r="C7" s="269"/>
      <c r="D7" s="178"/>
      <c r="E7" s="255"/>
    </row>
    <row r="8" spans="1:19" s="7" customFormat="1" ht="19.5" customHeight="1">
      <c r="A8" s="34"/>
      <c r="B8" s="202"/>
      <c r="C8" s="266"/>
      <c r="D8" s="178"/>
      <c r="E8" s="255"/>
    </row>
    <row r="9" spans="1:19" s="7" customFormat="1" ht="19.5" customHeight="1">
      <c r="A9" s="34"/>
      <c r="B9" s="203" t="s">
        <v>90</v>
      </c>
      <c r="C9" s="266"/>
      <c r="D9" s="178"/>
      <c r="E9" s="255"/>
    </row>
    <row r="10" spans="1:19" ht="24.75" customHeight="1">
      <c r="A10" s="7"/>
      <c r="B10" s="7"/>
      <c r="C10" s="255"/>
      <c r="D10" s="255"/>
      <c r="E10" s="255"/>
      <c r="F10" s="7"/>
      <c r="G10" s="7"/>
      <c r="H10" s="7"/>
      <c r="I10" s="7"/>
      <c r="J10" s="7"/>
      <c r="K10" s="7"/>
      <c r="L10" s="7"/>
      <c r="M10" s="7"/>
      <c r="N10" s="7"/>
      <c r="O10" s="7"/>
      <c r="P10" s="7"/>
      <c r="Q10" s="7"/>
    </row>
    <row r="11" spans="1:19" ht="24.75" customHeight="1" thickBot="1">
      <c r="A11" s="7"/>
      <c r="N11" s="7"/>
      <c r="O11" s="7"/>
      <c r="P11" s="7"/>
      <c r="Q11" s="7"/>
    </row>
    <row r="12" spans="1:19" ht="24.75" customHeight="1">
      <c r="A12" s="204"/>
      <c r="B12" s="358" t="s">
        <v>91</v>
      </c>
      <c r="C12" s="359"/>
      <c r="D12" s="360"/>
      <c r="E12" s="358" t="s">
        <v>92</v>
      </c>
      <c r="F12" s="359"/>
      <c r="G12" s="360"/>
      <c r="H12" s="358" t="s">
        <v>93</v>
      </c>
      <c r="I12" s="359"/>
      <c r="J12" s="360"/>
      <c r="K12" s="358" t="s">
        <v>94</v>
      </c>
      <c r="L12" s="359"/>
      <c r="M12" s="360"/>
      <c r="N12" s="358" t="s">
        <v>95</v>
      </c>
      <c r="O12" s="359"/>
      <c r="P12" s="359"/>
      <c r="Q12" s="360"/>
    </row>
    <row r="13" spans="1:19" ht="24.75" customHeight="1" thickBot="1">
      <c r="A13" s="7"/>
      <c r="B13" s="364">
        <f>'START HERE'!$K$3</f>
        <v>2007</v>
      </c>
      <c r="C13" s="365"/>
      <c r="D13" s="366"/>
      <c r="E13" s="364">
        <f>'START HERE'!$K$3</f>
        <v>2007</v>
      </c>
      <c r="F13" s="365"/>
      <c r="G13" s="366"/>
      <c r="H13" s="364">
        <f>'START HERE'!$K$3</f>
        <v>2007</v>
      </c>
      <c r="I13" s="365"/>
      <c r="J13" s="366"/>
      <c r="K13" s="364">
        <f>'START HERE'!$K$3</f>
        <v>2007</v>
      </c>
      <c r="L13" s="365"/>
      <c r="M13" s="366"/>
      <c r="N13" s="361"/>
      <c r="O13" s="362"/>
      <c r="P13" s="362"/>
      <c r="Q13" s="363"/>
    </row>
    <row r="14" spans="1:19" ht="24.75" customHeight="1">
      <c r="A14" s="205"/>
      <c r="B14" s="206"/>
      <c r="D14" s="208"/>
      <c r="E14" s="206"/>
      <c r="F14" s="207"/>
      <c r="G14" s="208"/>
      <c r="H14" s="206"/>
      <c r="I14" s="207"/>
      <c r="J14" s="208"/>
      <c r="K14" s="206"/>
      <c r="L14" s="207"/>
      <c r="M14" s="209"/>
      <c r="N14" s="210"/>
      <c r="O14" s="211"/>
      <c r="P14" s="212"/>
      <c r="Q14" s="213" t="s">
        <v>96</v>
      </c>
      <c r="R14" s="212" t="s">
        <v>97</v>
      </c>
      <c r="S14" s="205"/>
    </row>
    <row r="15" spans="1:19" ht="24.75" customHeight="1">
      <c r="A15" s="214"/>
      <c r="B15" s="215" t="s">
        <v>98</v>
      </c>
      <c r="C15" s="216" t="s">
        <v>109</v>
      </c>
      <c r="D15" s="216" t="s">
        <v>99</v>
      </c>
      <c r="E15" s="215" t="s">
        <v>98</v>
      </c>
      <c r="F15" s="216" t="s">
        <v>109</v>
      </c>
      <c r="G15" s="217" t="s">
        <v>99</v>
      </c>
      <c r="H15" s="215" t="s">
        <v>98</v>
      </c>
      <c r="I15" s="216" t="s">
        <v>109</v>
      </c>
      <c r="J15" s="217" t="s">
        <v>99</v>
      </c>
      <c r="K15" s="215" t="s">
        <v>98</v>
      </c>
      <c r="L15" s="216" t="s">
        <v>109</v>
      </c>
      <c r="M15" s="218" t="s">
        <v>99</v>
      </c>
      <c r="N15" s="219" t="s">
        <v>98</v>
      </c>
      <c r="O15" s="216" t="s">
        <v>109</v>
      </c>
      <c r="P15" s="220" t="s">
        <v>99</v>
      </c>
      <c r="Q15" s="221" t="s">
        <v>100</v>
      </c>
      <c r="R15" s="220"/>
      <c r="S15" s="222" t="s">
        <v>110</v>
      </c>
    </row>
    <row r="16" spans="1:19" ht="24.75" customHeight="1" thickBot="1">
      <c r="A16" s="78" t="s">
        <v>108</v>
      </c>
      <c r="B16" s="223" t="s">
        <v>16</v>
      </c>
      <c r="C16" s="224" t="s">
        <v>16</v>
      </c>
      <c r="D16" s="225" t="s">
        <v>16</v>
      </c>
      <c r="E16" s="223" t="s">
        <v>16</v>
      </c>
      <c r="F16" s="224" t="s">
        <v>16</v>
      </c>
      <c r="G16" s="225" t="s">
        <v>16</v>
      </c>
      <c r="H16" s="223" t="s">
        <v>16</v>
      </c>
      <c r="I16" s="224" t="s">
        <v>16</v>
      </c>
      <c r="J16" s="225" t="s">
        <v>16</v>
      </c>
      <c r="K16" s="223" t="s">
        <v>16</v>
      </c>
      <c r="L16" s="224" t="s">
        <v>16</v>
      </c>
      <c r="M16" s="226" t="s">
        <v>16</v>
      </c>
      <c r="N16" s="227" t="s">
        <v>16</v>
      </c>
      <c r="O16" s="228" t="s">
        <v>16</v>
      </c>
      <c r="P16" s="229" t="s">
        <v>16</v>
      </c>
      <c r="Q16" s="230" t="s">
        <v>16</v>
      </c>
      <c r="R16" s="231"/>
      <c r="S16" s="78"/>
    </row>
    <row r="17" spans="1:19" ht="24.75" customHeight="1">
      <c r="A17" s="263" t="s">
        <v>75</v>
      </c>
      <c r="B17" s="232"/>
      <c r="C17" s="233"/>
      <c r="D17" s="234"/>
      <c r="E17" s="235"/>
      <c r="F17" s="233"/>
      <c r="G17" s="234"/>
      <c r="H17" s="235"/>
      <c r="I17" s="233"/>
      <c r="J17" s="234"/>
      <c r="K17" s="235"/>
      <c r="L17" s="233"/>
      <c r="M17" s="236"/>
      <c r="N17" s="287">
        <f t="shared" ref="N17:P21" si="0">SUM(B17+E17+H17+K17)</f>
        <v>0</v>
      </c>
      <c r="O17" s="288">
        <f t="shared" si="0"/>
        <v>0</v>
      </c>
      <c r="P17" s="289">
        <f t="shared" si="0"/>
        <v>0</v>
      </c>
      <c r="Q17" s="237">
        <f>IF(SUM(O17:P17)&gt;0,SUM(O17:P17),N17)</f>
        <v>0</v>
      </c>
      <c r="R17" s="284"/>
      <c r="S17" s="162" t="s">
        <v>80</v>
      </c>
    </row>
    <row r="18" spans="1:19" ht="24.75" customHeight="1">
      <c r="A18" s="263" t="s">
        <v>117</v>
      </c>
      <c r="B18" s="232"/>
      <c r="C18" s="238"/>
      <c r="D18" s="239"/>
      <c r="E18" s="232"/>
      <c r="F18" s="238"/>
      <c r="G18" s="239"/>
      <c r="H18" s="232"/>
      <c r="I18" s="238"/>
      <c r="J18" s="239"/>
      <c r="K18" s="232"/>
      <c r="L18" s="238"/>
      <c r="M18" s="240"/>
      <c r="N18" s="287">
        <f t="shared" si="0"/>
        <v>0</v>
      </c>
      <c r="O18" s="288">
        <f t="shared" si="0"/>
        <v>0</v>
      </c>
      <c r="P18" s="289">
        <f t="shared" si="0"/>
        <v>0</v>
      </c>
      <c r="Q18" s="241">
        <f t="shared" ref="Q18:Q20" si="1">IF(SUM(O18:P18)&gt;0,SUM(O18:P18),N18)</f>
        <v>0</v>
      </c>
      <c r="R18" s="285"/>
      <c r="S18" s="162" t="s">
        <v>87</v>
      </c>
    </row>
    <row r="19" spans="1:19" ht="24.75" customHeight="1">
      <c r="A19" s="263" t="s">
        <v>76</v>
      </c>
      <c r="B19" s="232"/>
      <c r="C19" s="238"/>
      <c r="D19" s="239"/>
      <c r="E19" s="232"/>
      <c r="F19" s="238"/>
      <c r="G19" s="239"/>
      <c r="H19" s="232"/>
      <c r="I19" s="238"/>
      <c r="J19" s="239"/>
      <c r="K19" s="232"/>
      <c r="L19" s="238"/>
      <c r="M19" s="240"/>
      <c r="N19" s="287">
        <f t="shared" si="0"/>
        <v>0</v>
      </c>
      <c r="O19" s="288">
        <f t="shared" si="0"/>
        <v>0</v>
      </c>
      <c r="P19" s="289">
        <f t="shared" si="0"/>
        <v>0</v>
      </c>
      <c r="Q19" s="241">
        <f t="shared" si="1"/>
        <v>0</v>
      </c>
      <c r="R19" s="285"/>
      <c r="S19" s="162" t="s">
        <v>86</v>
      </c>
    </row>
    <row r="20" spans="1:19" ht="24.75" customHeight="1" thickBot="1">
      <c r="A20" s="263" t="s">
        <v>77</v>
      </c>
      <c r="B20" s="232"/>
      <c r="C20" s="238"/>
      <c r="D20" s="239"/>
      <c r="E20" s="232">
        <v>123523</v>
      </c>
      <c r="F20" s="238"/>
      <c r="G20" s="239"/>
      <c r="H20" s="232"/>
      <c r="I20" s="238"/>
      <c r="J20" s="239"/>
      <c r="K20" s="232"/>
      <c r="L20" s="238"/>
      <c r="M20" s="240"/>
      <c r="N20" s="290">
        <f t="shared" si="0"/>
        <v>123523</v>
      </c>
      <c r="O20" s="291">
        <f t="shared" si="0"/>
        <v>0</v>
      </c>
      <c r="P20" s="292">
        <f t="shared" si="0"/>
        <v>0</v>
      </c>
      <c r="Q20" s="241">
        <f t="shared" si="1"/>
        <v>123523</v>
      </c>
      <c r="R20" s="285"/>
      <c r="S20" s="162" t="s">
        <v>85</v>
      </c>
    </row>
    <row r="21" spans="1:19" ht="24.75" customHeight="1" thickBot="1">
      <c r="A21" s="264" t="s">
        <v>49</v>
      </c>
      <c r="B21" s="242">
        <f t="shared" ref="B21:M21" si="2">SUM(B17:B20)</f>
        <v>0</v>
      </c>
      <c r="C21" s="243">
        <f t="shared" si="2"/>
        <v>0</v>
      </c>
      <c r="D21" s="244">
        <f t="shared" si="2"/>
        <v>0</v>
      </c>
      <c r="E21" s="242">
        <f t="shared" si="2"/>
        <v>123523</v>
      </c>
      <c r="F21" s="243">
        <f t="shared" si="2"/>
        <v>0</v>
      </c>
      <c r="G21" s="245">
        <f t="shared" si="2"/>
        <v>0</v>
      </c>
      <c r="H21" s="246">
        <f t="shared" si="2"/>
        <v>0</v>
      </c>
      <c r="I21" s="247">
        <f t="shared" si="2"/>
        <v>0</v>
      </c>
      <c r="J21" s="245">
        <f t="shared" si="2"/>
        <v>0</v>
      </c>
      <c r="K21" s="246">
        <f t="shared" si="2"/>
        <v>0</v>
      </c>
      <c r="L21" s="247">
        <f t="shared" si="2"/>
        <v>0</v>
      </c>
      <c r="M21" s="248">
        <f t="shared" si="2"/>
        <v>0</v>
      </c>
      <c r="N21" s="293">
        <f t="shared" si="0"/>
        <v>123523</v>
      </c>
      <c r="O21" s="294">
        <f t="shared" si="0"/>
        <v>0</v>
      </c>
      <c r="P21" s="295">
        <f t="shared" si="0"/>
        <v>0</v>
      </c>
      <c r="Q21" s="249">
        <f>SUM(Q17:Q20)</f>
        <v>123523</v>
      </c>
      <c r="S21" s="250" t="s">
        <v>29</v>
      </c>
    </row>
    <row r="22" spans="1:19" ht="24.75" customHeight="1">
      <c r="A22" s="251" t="s">
        <v>101</v>
      </c>
      <c r="B22" s="252"/>
      <c r="C22" s="252"/>
      <c r="D22" s="252"/>
      <c r="E22" s="252"/>
      <c r="F22" s="252"/>
      <c r="G22" s="77"/>
      <c r="H22" s="77"/>
      <c r="I22" s="77"/>
      <c r="J22" s="77"/>
      <c r="K22" s="77"/>
      <c r="L22" s="77"/>
      <c r="M22" s="77"/>
      <c r="N22" s="77"/>
      <c r="O22" s="77"/>
      <c r="P22" s="77"/>
      <c r="Q22" s="77"/>
    </row>
    <row r="23" spans="1:19" ht="24.75" customHeight="1" thickBot="1">
      <c r="A23" s="253" t="str">
        <f>"Final total catch (WG estimate = "&amp; Q21 &amp;") should be the same as the sum of the catch totals of all CANUM (CN) sheets (= "&amp; SUM('CN F1:CN F4'!P27) &amp;")!"</f>
        <v>Final total catch (WG estimate = 123523) should be the same as the sum of the catch totals of all CANUM (CN) sheets (= 0)!</v>
      </c>
      <c r="B23" s="254"/>
      <c r="C23" s="254"/>
      <c r="D23" s="254"/>
      <c r="E23" s="270"/>
      <c r="F23" s="271"/>
      <c r="G23" s="257"/>
      <c r="H23" s="257"/>
      <c r="I23" s="257"/>
      <c r="J23" s="257"/>
      <c r="K23" s="257"/>
      <c r="L23" s="257"/>
      <c r="M23" s="257"/>
      <c r="N23" s="255"/>
      <c r="O23" s="255"/>
      <c r="P23" s="255"/>
      <c r="Q23" s="255"/>
      <c r="R23" s="178"/>
      <c r="S23" s="178"/>
    </row>
    <row r="24" spans="1:19" ht="24.75" customHeight="1">
      <c r="A24" s="7"/>
      <c r="B24" s="7"/>
      <c r="C24" s="7"/>
      <c r="D24" s="7"/>
      <c r="E24" s="7"/>
      <c r="F24" s="7"/>
      <c r="G24" s="7"/>
      <c r="H24" s="7"/>
      <c r="I24" s="7"/>
      <c r="J24" s="7"/>
      <c r="K24" s="7"/>
      <c r="L24" s="7"/>
      <c r="M24" s="7"/>
    </row>
  </sheetData>
  <sheetProtection scenarios="1"/>
  <mergeCells count="9">
    <mergeCell ref="N12:Q13"/>
    <mergeCell ref="B13:D13"/>
    <mergeCell ref="E13:G13"/>
    <mergeCell ref="H13:J13"/>
    <mergeCell ref="K13:M13"/>
    <mergeCell ref="B12:D12"/>
    <mergeCell ref="E12:G12"/>
    <mergeCell ref="H12:J12"/>
    <mergeCell ref="K12:M12"/>
  </mergeCells>
  <conditionalFormatting sqref="A2:S23">
    <cfRule type="expression" dxfId="17" priority="1" stopIfTrue="1">
      <formula>CELL("Protect",A2)=1</formula>
    </cfRule>
  </conditionalFormatting>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B17"/>
  <sheetViews>
    <sheetView topLeftCell="A2" zoomScale="75" workbookViewId="0">
      <selection activeCell="I14" sqref="I14"/>
    </sheetView>
  </sheetViews>
  <sheetFormatPr defaultColWidth="8.7109375" defaultRowHeight="24.75" customHeight="1"/>
  <cols>
    <col min="1" max="1" width="43.85546875" customWidth="1"/>
    <col min="2" max="21" width="9.28515625" customWidth="1"/>
    <col min="22" max="22" width="11.7109375" customWidth="1"/>
    <col min="23" max="23" width="6.7109375" customWidth="1"/>
    <col min="24" max="24" width="8.7109375" customWidth="1"/>
    <col min="25" max="25" width="6.7109375" customWidth="1"/>
    <col min="26" max="26" width="8.7109375" customWidth="1"/>
    <col min="27" max="27" width="12.28515625" customWidth="1"/>
    <col min="28" max="29" width="8.7109375" customWidth="1"/>
  </cols>
  <sheetData>
    <row r="1" spans="1:28" s="341" customFormat="1" ht="19.5" customHeight="1">
      <c r="A1" s="339" t="s">
        <v>144</v>
      </c>
    </row>
    <row r="2" spans="1:28" s="7" customFormat="1" ht="19.5" customHeight="1">
      <c r="A2" s="163"/>
      <c r="B2" s="6"/>
      <c r="C2" s="6"/>
      <c r="D2" s="6"/>
      <c r="E2" s="176"/>
      <c r="F2" s="6"/>
      <c r="G2" s="6"/>
      <c r="H2" s="6"/>
      <c r="I2" s="6"/>
      <c r="J2" s="6"/>
      <c r="K2" s="6"/>
      <c r="L2" s="6"/>
      <c r="M2" s="6"/>
      <c r="N2" s="6"/>
      <c r="O2" s="6"/>
      <c r="P2" s="6"/>
      <c r="Q2" s="6"/>
      <c r="R2" s="6"/>
      <c r="S2" s="6"/>
      <c r="T2" s="6"/>
      <c r="U2" s="6"/>
      <c r="V2" s="255"/>
      <c r="W2" s="255"/>
      <c r="X2" s="255"/>
      <c r="Y2" s="255"/>
      <c r="Z2" s="255"/>
    </row>
    <row r="3" spans="1:28" s="7" customFormat="1" ht="19.5" customHeight="1">
      <c r="A3" s="259" t="s">
        <v>106</v>
      </c>
      <c r="B3" s="367" t="str">
        <f>'START HERE'!F6</f>
        <v>EU</v>
      </c>
      <c r="C3" s="367"/>
      <c r="D3" s="367"/>
      <c r="E3" s="176"/>
      <c r="F3" s="128" t="s">
        <v>28</v>
      </c>
      <c r="G3" s="129"/>
      <c r="H3" s="130"/>
      <c r="I3" s="130"/>
      <c r="J3" s="130"/>
      <c r="K3" s="130"/>
      <c r="L3" s="130"/>
      <c r="M3" s="130"/>
      <c r="N3" s="130"/>
      <c r="O3" s="130"/>
      <c r="P3" s="130"/>
      <c r="Q3" s="130"/>
      <c r="R3" s="130"/>
      <c r="S3" s="131"/>
      <c r="T3" s="176"/>
      <c r="U3" s="182"/>
      <c r="V3" s="278"/>
      <c r="W3" s="255"/>
      <c r="X3" s="268"/>
      <c r="Y3" s="268"/>
      <c r="Z3" s="268"/>
    </row>
    <row r="4" spans="1:28" s="7" customFormat="1" ht="19.5" customHeight="1">
      <c r="A4" s="12" t="s">
        <v>18</v>
      </c>
      <c r="B4" s="367" t="str">
        <f>'START HERE'!F5</f>
        <v>Jack mackerel</v>
      </c>
      <c r="C4" s="367"/>
      <c r="D4" s="367"/>
      <c r="E4" s="176"/>
      <c r="F4" s="140" t="s">
        <v>15</v>
      </c>
      <c r="G4" s="132"/>
      <c r="H4" s="133"/>
      <c r="I4" s="133"/>
      <c r="J4" s="133"/>
      <c r="K4" s="133"/>
      <c r="L4" s="133"/>
      <c r="M4" s="133"/>
      <c r="N4" s="133"/>
      <c r="O4" s="133"/>
      <c r="P4" s="133"/>
      <c r="Q4" s="133"/>
      <c r="R4" s="133"/>
      <c r="S4" s="134"/>
      <c r="T4" s="176"/>
      <c r="U4" s="182"/>
      <c r="V4" s="278"/>
      <c r="W4" s="255"/>
      <c r="X4" s="268"/>
      <c r="Y4" s="268"/>
      <c r="Z4" s="268"/>
    </row>
    <row r="5" spans="1:28" s="7" customFormat="1" ht="19.5" customHeight="1">
      <c r="A5" s="12" t="s">
        <v>13</v>
      </c>
      <c r="B5" s="368">
        <f>'START HERE'!K3</f>
        <v>2007</v>
      </c>
      <c r="C5" s="368"/>
      <c r="D5" s="368"/>
      <c r="E5" s="79"/>
      <c r="F5" s="37"/>
      <c r="G5" s="37"/>
      <c r="H5" s="37"/>
      <c r="I5" s="37"/>
      <c r="J5" s="37"/>
      <c r="K5" s="37"/>
      <c r="L5" s="37"/>
      <c r="M5" s="37"/>
      <c r="N5" s="37"/>
      <c r="O5" s="37"/>
      <c r="P5" s="37"/>
      <c r="Q5" s="37"/>
      <c r="R5" s="37"/>
      <c r="S5" s="37"/>
      <c r="T5" s="37"/>
      <c r="U5" s="37"/>
      <c r="V5" s="255"/>
      <c r="W5" s="255"/>
      <c r="X5" s="255"/>
      <c r="Y5" s="255"/>
      <c r="Z5" s="255"/>
    </row>
    <row r="6" spans="1:28" s="7" customFormat="1" ht="19.5" customHeight="1">
      <c r="A6" s="34" t="s">
        <v>14</v>
      </c>
      <c r="B6" s="369" t="str">
        <f>'START HERE'!F8</f>
        <v>13/6/2022</v>
      </c>
      <c r="C6" s="369"/>
      <c r="D6" s="369"/>
      <c r="E6" s="79"/>
      <c r="F6" s="37"/>
      <c r="G6" s="37"/>
      <c r="H6" s="37"/>
      <c r="I6" s="37"/>
      <c r="J6" s="37"/>
      <c r="K6" s="37"/>
      <c r="L6" s="37"/>
      <c r="M6" s="37"/>
      <c r="N6" s="37"/>
      <c r="O6" s="37"/>
      <c r="P6" s="37"/>
      <c r="Q6" s="37"/>
      <c r="R6" s="37"/>
      <c r="S6" s="37"/>
      <c r="T6" s="37"/>
      <c r="U6" s="37"/>
      <c r="V6" s="255"/>
      <c r="W6" s="255"/>
      <c r="X6" s="255"/>
      <c r="Y6" s="255"/>
      <c r="Z6" s="255"/>
    </row>
    <row r="7" spans="1:28" ht="24" customHeight="1" thickBot="1">
      <c r="A7" s="4"/>
      <c r="B7" s="4"/>
      <c r="C7" s="4"/>
      <c r="D7" s="4"/>
      <c r="E7" s="4"/>
      <c r="F7" s="4"/>
      <c r="G7" s="4"/>
      <c r="H7" s="4"/>
      <c r="I7" s="4"/>
      <c r="J7" s="4"/>
      <c r="K7" s="4"/>
      <c r="L7" s="4"/>
      <c r="M7" s="4"/>
      <c r="N7" s="4"/>
      <c r="O7" s="4"/>
      <c r="P7" s="4"/>
      <c r="Q7" s="4"/>
      <c r="R7" s="4"/>
      <c r="S7" s="4"/>
      <c r="T7" s="4"/>
      <c r="U7" s="4"/>
      <c r="V7" s="178"/>
      <c r="W7" s="178"/>
      <c r="X7" s="178"/>
      <c r="Y7" s="178"/>
      <c r="Z7" s="178"/>
    </row>
    <row r="8" spans="1:28" s="10" customFormat="1" ht="24.75" customHeight="1" thickBot="1">
      <c r="A8" s="151"/>
      <c r="B8" s="370" t="s">
        <v>52</v>
      </c>
      <c r="C8" s="371"/>
      <c r="D8" s="371"/>
      <c r="E8" s="188">
        <f>'START HERE'!K3</f>
        <v>2007</v>
      </c>
      <c r="F8" s="370" t="s">
        <v>30</v>
      </c>
      <c r="G8" s="371"/>
      <c r="H8" s="371"/>
      <c r="I8" s="188">
        <f>'START HERE'!K3</f>
        <v>2007</v>
      </c>
      <c r="J8" s="370" t="s">
        <v>31</v>
      </c>
      <c r="K8" s="371"/>
      <c r="L8" s="371"/>
      <c r="M8" s="188">
        <f>'START HERE'!K3</f>
        <v>2007</v>
      </c>
      <c r="N8" s="186" t="s">
        <v>32</v>
      </c>
      <c r="O8" s="187"/>
      <c r="P8" s="187"/>
      <c r="Q8" s="188">
        <f>'START HERE'!K3</f>
        <v>2007</v>
      </c>
      <c r="R8" s="370" t="s">
        <v>33</v>
      </c>
      <c r="S8" s="371"/>
      <c r="T8" s="371"/>
      <c r="U8" s="188">
        <f>'START HERE'!K3</f>
        <v>2007</v>
      </c>
      <c r="V8" s="279"/>
      <c r="W8" s="282"/>
      <c r="X8" s="282"/>
      <c r="Y8" s="282"/>
      <c r="Z8" s="279"/>
    </row>
    <row r="9" spans="1:28" s="45" customFormat="1" ht="24">
      <c r="A9" s="183"/>
      <c r="B9" s="42" t="s">
        <v>102</v>
      </c>
      <c r="C9" s="43" t="s">
        <v>34</v>
      </c>
      <c r="D9" s="43" t="s">
        <v>35</v>
      </c>
      <c r="E9" s="44" t="s">
        <v>36</v>
      </c>
      <c r="F9" s="42" t="s">
        <v>102</v>
      </c>
      <c r="G9" s="43" t="s">
        <v>34</v>
      </c>
      <c r="H9" s="43" t="s">
        <v>35</v>
      </c>
      <c r="I9" s="44" t="s">
        <v>36</v>
      </c>
      <c r="J9" s="42" t="s">
        <v>102</v>
      </c>
      <c r="K9" s="43" t="s">
        <v>34</v>
      </c>
      <c r="L9" s="43" t="s">
        <v>35</v>
      </c>
      <c r="M9" s="44" t="s">
        <v>36</v>
      </c>
      <c r="N9" s="42" t="s">
        <v>102</v>
      </c>
      <c r="O9" s="43" t="s">
        <v>34</v>
      </c>
      <c r="P9" s="43" t="s">
        <v>35</v>
      </c>
      <c r="Q9" s="44" t="s">
        <v>36</v>
      </c>
      <c r="R9" s="42" t="s">
        <v>102</v>
      </c>
      <c r="S9" s="43" t="s">
        <v>34</v>
      </c>
      <c r="T9" s="43" t="s">
        <v>35</v>
      </c>
      <c r="U9" s="44" t="s">
        <v>36</v>
      </c>
      <c r="V9" s="280"/>
      <c r="W9" s="283"/>
      <c r="X9" s="283"/>
      <c r="Y9" s="283"/>
      <c r="Z9" s="281"/>
    </row>
    <row r="10" spans="1:28" s="7" customFormat="1" ht="18" customHeight="1" thickBot="1">
      <c r="A10" s="184" t="s">
        <v>108</v>
      </c>
      <c r="B10" s="46" t="s">
        <v>16</v>
      </c>
      <c r="C10" s="47" t="s">
        <v>37</v>
      </c>
      <c r="D10" s="47" t="s">
        <v>37</v>
      </c>
      <c r="E10" s="48" t="s">
        <v>37</v>
      </c>
      <c r="F10" s="46" t="s">
        <v>16</v>
      </c>
      <c r="G10" s="47" t="s">
        <v>37</v>
      </c>
      <c r="H10" s="47" t="s">
        <v>37</v>
      </c>
      <c r="I10" s="48" t="s">
        <v>37</v>
      </c>
      <c r="J10" s="46" t="s">
        <v>16</v>
      </c>
      <c r="K10" s="47" t="s">
        <v>37</v>
      </c>
      <c r="L10" s="47" t="s">
        <v>37</v>
      </c>
      <c r="M10" s="48" t="s">
        <v>37</v>
      </c>
      <c r="N10" s="46" t="s">
        <v>16</v>
      </c>
      <c r="O10" s="47" t="s">
        <v>37</v>
      </c>
      <c r="P10" s="47" t="s">
        <v>37</v>
      </c>
      <c r="Q10" s="48" t="s">
        <v>37</v>
      </c>
      <c r="R10" s="49" t="s">
        <v>16</v>
      </c>
      <c r="S10" s="50" t="s">
        <v>37</v>
      </c>
      <c r="T10" s="50" t="s">
        <v>37</v>
      </c>
      <c r="U10" s="51" t="s">
        <v>37</v>
      </c>
      <c r="V10" s="255"/>
      <c r="W10" s="255"/>
      <c r="X10" s="255"/>
      <c r="Y10" s="255"/>
      <c r="Z10" s="255"/>
    </row>
    <row r="11" spans="1:28" s="7" customFormat="1" ht="24.75" customHeight="1">
      <c r="A11" s="307" t="s">
        <v>75</v>
      </c>
      <c r="B11" s="56"/>
      <c r="C11" s="66"/>
      <c r="D11" s="66"/>
      <c r="E11" s="67"/>
      <c r="F11" s="56"/>
      <c r="G11" s="66"/>
      <c r="H11" s="66"/>
      <c r="I11" s="67"/>
      <c r="J11" s="56"/>
      <c r="K11" s="52"/>
      <c r="L11" s="52"/>
      <c r="M11" s="53"/>
      <c r="N11" s="56"/>
      <c r="O11" s="66"/>
      <c r="P11" s="66"/>
      <c r="Q11" s="67"/>
      <c r="R11" s="59">
        <f t="shared" ref="R11:U14" si="0">SUM(N11,J11,F11,B11)</f>
        <v>0</v>
      </c>
      <c r="S11" s="60">
        <f t="shared" si="0"/>
        <v>0</v>
      </c>
      <c r="T11" s="60">
        <f t="shared" si="0"/>
        <v>0</v>
      </c>
      <c r="U11" s="61">
        <f t="shared" si="0"/>
        <v>0</v>
      </c>
      <c r="V11" s="256"/>
      <c r="W11" s="255"/>
      <c r="X11" s="255"/>
      <c r="Y11" s="255"/>
      <c r="Z11" s="255"/>
    </row>
    <row r="12" spans="1:28" s="7" customFormat="1" ht="24.75" customHeight="1">
      <c r="A12" s="307" t="s">
        <v>117</v>
      </c>
      <c r="B12" s="57">
        <v>0</v>
      </c>
      <c r="C12" s="68"/>
      <c r="D12" s="68"/>
      <c r="E12" s="69"/>
      <c r="F12" s="57"/>
      <c r="G12" s="68"/>
      <c r="H12" s="68"/>
      <c r="I12" s="69"/>
      <c r="J12" s="57"/>
      <c r="K12" s="54"/>
      <c r="L12" s="54"/>
      <c r="M12" s="55"/>
      <c r="N12" s="57"/>
      <c r="O12" s="68"/>
      <c r="P12" s="68"/>
      <c r="Q12" s="69"/>
      <c r="R12" s="59">
        <f t="shared" si="0"/>
        <v>0</v>
      </c>
      <c r="S12" s="62">
        <f t="shared" si="0"/>
        <v>0</v>
      </c>
      <c r="T12" s="62">
        <f t="shared" si="0"/>
        <v>0</v>
      </c>
      <c r="U12" s="63">
        <f t="shared" si="0"/>
        <v>0</v>
      </c>
      <c r="V12" s="256"/>
      <c r="W12" s="255"/>
      <c r="X12" s="255"/>
      <c r="Y12" s="255"/>
      <c r="Z12" s="255"/>
      <c r="AA12" s="141"/>
      <c r="AB12" s="141"/>
    </row>
    <row r="13" spans="1:28" s="7" customFormat="1" ht="24.75" customHeight="1">
      <c r="A13" s="307" t="s">
        <v>76</v>
      </c>
      <c r="B13" s="57"/>
      <c r="C13" s="68"/>
      <c r="D13" s="68"/>
      <c r="E13" s="69"/>
      <c r="F13" s="57"/>
      <c r="G13" s="68"/>
      <c r="H13" s="68"/>
      <c r="I13" s="69"/>
      <c r="J13" s="57"/>
      <c r="K13" s="54"/>
      <c r="L13" s="54"/>
      <c r="M13" s="55"/>
      <c r="N13" s="57"/>
      <c r="O13" s="68"/>
      <c r="P13" s="68"/>
      <c r="Q13" s="69"/>
      <c r="R13" s="59">
        <f t="shared" si="0"/>
        <v>0</v>
      </c>
      <c r="S13" s="62">
        <f t="shared" si="0"/>
        <v>0</v>
      </c>
      <c r="T13" s="62">
        <f t="shared" si="0"/>
        <v>0</v>
      </c>
      <c r="U13" s="63">
        <f t="shared" si="0"/>
        <v>0</v>
      </c>
      <c r="V13" s="256"/>
      <c r="W13" s="255"/>
      <c r="X13" s="255"/>
      <c r="Y13" s="255"/>
      <c r="Z13" s="255"/>
    </row>
    <row r="14" spans="1:28" s="7" customFormat="1" ht="24.75" customHeight="1" thickBot="1">
      <c r="A14" s="307" t="s">
        <v>77</v>
      </c>
      <c r="B14" s="57"/>
      <c r="C14" s="68"/>
      <c r="D14" s="68"/>
      <c r="E14" s="69"/>
      <c r="F14" s="57"/>
      <c r="G14" s="68"/>
      <c r="H14" s="68"/>
      <c r="I14" s="69"/>
      <c r="J14" s="57"/>
      <c r="K14" s="54"/>
      <c r="L14" s="54"/>
      <c r="M14" s="55"/>
      <c r="N14" s="57"/>
      <c r="O14" s="68"/>
      <c r="P14" s="68"/>
      <c r="Q14" s="69"/>
      <c r="R14" s="59">
        <f t="shared" si="0"/>
        <v>0</v>
      </c>
      <c r="S14" s="62">
        <f t="shared" si="0"/>
        <v>0</v>
      </c>
      <c r="T14" s="62">
        <f t="shared" si="0"/>
        <v>0</v>
      </c>
      <c r="U14" s="63">
        <f t="shared" si="0"/>
        <v>0</v>
      </c>
      <c r="V14" s="256"/>
      <c r="W14" s="255"/>
      <c r="X14" s="255"/>
      <c r="Y14" s="255"/>
      <c r="Z14" s="255"/>
    </row>
    <row r="15" spans="1:28" s="7" customFormat="1" ht="24.75" customHeight="1" thickBot="1">
      <c r="A15" s="185" t="s">
        <v>49</v>
      </c>
      <c r="B15" s="58">
        <f t="shared" ref="B15:Q15" si="1">SUM(B11:B14)</f>
        <v>0</v>
      </c>
      <c r="C15" s="64">
        <f t="shared" si="1"/>
        <v>0</v>
      </c>
      <c r="D15" s="64">
        <f t="shared" si="1"/>
        <v>0</v>
      </c>
      <c r="E15" s="65">
        <f t="shared" si="1"/>
        <v>0</v>
      </c>
      <c r="F15" s="58">
        <f t="shared" si="1"/>
        <v>0</v>
      </c>
      <c r="G15" s="64">
        <f t="shared" si="1"/>
        <v>0</v>
      </c>
      <c r="H15" s="64">
        <f t="shared" si="1"/>
        <v>0</v>
      </c>
      <c r="I15" s="65">
        <f t="shared" si="1"/>
        <v>0</v>
      </c>
      <c r="J15" s="58">
        <f t="shared" si="1"/>
        <v>0</v>
      </c>
      <c r="K15" s="64">
        <f t="shared" si="1"/>
        <v>0</v>
      </c>
      <c r="L15" s="64">
        <f t="shared" si="1"/>
        <v>0</v>
      </c>
      <c r="M15" s="65">
        <f t="shared" si="1"/>
        <v>0</v>
      </c>
      <c r="N15" s="58">
        <f t="shared" si="1"/>
        <v>0</v>
      </c>
      <c r="O15" s="64">
        <f t="shared" si="1"/>
        <v>0</v>
      </c>
      <c r="P15" s="64">
        <f t="shared" si="1"/>
        <v>0</v>
      </c>
      <c r="Q15" s="65">
        <f t="shared" si="1"/>
        <v>0</v>
      </c>
      <c r="R15" s="58">
        <f>SUM(N15,J15,F15,B15)</f>
        <v>0</v>
      </c>
      <c r="S15" s="150">
        <f>SUM(S11:S14)</f>
        <v>0</v>
      </c>
      <c r="T15" s="64">
        <f>SUM(T11:T14)</f>
        <v>0</v>
      </c>
      <c r="U15" s="65">
        <f>SUM(U11:U14)</f>
        <v>0</v>
      </c>
      <c r="V15" s="255"/>
      <c r="W15" s="255"/>
      <c r="X15" s="255"/>
      <c r="Y15" s="255"/>
      <c r="Z15" s="255"/>
    </row>
    <row r="16" spans="1:28" ht="24.75" customHeight="1">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1:25" ht="24.75" customHeight="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row>
  </sheetData>
  <sheetProtection scenarios="1"/>
  <customSheetViews>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8">
    <mergeCell ref="B3:D3"/>
    <mergeCell ref="B4:D4"/>
    <mergeCell ref="B5:D5"/>
    <mergeCell ref="B6:D6"/>
    <mergeCell ref="R8:T8"/>
    <mergeCell ref="B8:D8"/>
    <mergeCell ref="F8:H8"/>
    <mergeCell ref="J8:L8"/>
  </mergeCells>
  <phoneticPr fontId="0" type="noConversion"/>
  <conditionalFormatting sqref="A2:U15">
    <cfRule type="expression" dxfId="16" priority="1" stopIfTrue="1">
      <formula>CELL("Protect",A2)=1</formula>
    </cfRule>
  </conditionalFormatting>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tabColor theme="6" tint="0.59999389629810485"/>
  </sheetPr>
  <dimension ref="A1:I114"/>
  <sheetViews>
    <sheetView workbookViewId="0">
      <pane ySplit="9" topLeftCell="A80"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81</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2007</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82"/>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2007</v>
      </c>
      <c r="C9" s="181">
        <f>'START HERE'!$K$3</f>
        <v>2007</v>
      </c>
      <c r="D9" s="181">
        <f>'START HERE'!$K$3</f>
        <v>2007</v>
      </c>
      <c r="E9" s="181">
        <f>'START HERE'!$K$3</f>
        <v>2007</v>
      </c>
      <c r="F9" s="180">
        <f>'START HERE'!$K$3</f>
        <v>2007</v>
      </c>
      <c r="G9" s="4"/>
      <c r="H9" s="177"/>
      <c r="I9" s="177"/>
    </row>
    <row r="10" spans="1:9">
      <c r="A10" s="154">
        <v>1</v>
      </c>
      <c r="B10" s="305"/>
      <c r="C10" s="306"/>
      <c r="D10" s="306"/>
      <c r="E10" s="306"/>
      <c r="F10" s="36">
        <f t="shared" ref="F10:F15"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ref="F16:F47" si="1">SUM(B16:E16)</f>
        <v>0</v>
      </c>
      <c r="G16" s="4"/>
      <c r="H16" s="177"/>
      <c r="I16" s="177"/>
    </row>
    <row r="17" spans="1:9">
      <c r="A17" s="154">
        <v>8</v>
      </c>
      <c r="B17" s="305"/>
      <c r="C17" s="306"/>
      <c r="D17" s="306"/>
      <c r="E17" s="306"/>
      <c r="F17" s="36">
        <f t="shared" si="1"/>
        <v>0</v>
      </c>
      <c r="G17" s="4"/>
      <c r="H17" s="177"/>
      <c r="I17" s="177"/>
    </row>
    <row r="18" spans="1:9">
      <c r="A18" s="154">
        <v>9</v>
      </c>
      <c r="B18" s="305"/>
      <c r="C18" s="306"/>
      <c r="D18" s="306"/>
      <c r="E18" s="306"/>
      <c r="F18" s="36">
        <f t="shared" si="1"/>
        <v>0</v>
      </c>
      <c r="G18" s="4"/>
      <c r="H18" s="177"/>
      <c r="I18" s="177"/>
    </row>
    <row r="19" spans="1:9">
      <c r="A19" s="154">
        <v>10</v>
      </c>
      <c r="B19" s="305"/>
      <c r="C19" s="306"/>
      <c r="D19" s="306"/>
      <c r="E19" s="306"/>
      <c r="F19" s="36">
        <f t="shared" si="1"/>
        <v>0</v>
      </c>
      <c r="G19" s="4"/>
      <c r="H19" s="177"/>
      <c r="I19" s="177"/>
    </row>
    <row r="20" spans="1:9">
      <c r="A20" s="154">
        <v>11</v>
      </c>
      <c r="B20" s="305"/>
      <c r="C20" s="306"/>
      <c r="D20" s="306"/>
      <c r="E20" s="306"/>
      <c r="F20" s="36">
        <f t="shared" si="1"/>
        <v>0</v>
      </c>
      <c r="G20" s="4"/>
      <c r="H20" s="177"/>
      <c r="I20" s="177"/>
    </row>
    <row r="21" spans="1:9">
      <c r="A21" s="154">
        <v>12</v>
      </c>
      <c r="B21" s="305"/>
      <c r="C21" s="306"/>
      <c r="D21" s="306"/>
      <c r="E21" s="306"/>
      <c r="F21" s="36">
        <f t="shared" si="1"/>
        <v>0</v>
      </c>
      <c r="G21" s="4"/>
      <c r="H21" s="177"/>
      <c r="I21" s="177"/>
    </row>
    <row r="22" spans="1:9">
      <c r="A22" s="154">
        <v>13</v>
      </c>
      <c r="B22" s="305"/>
      <c r="C22" s="306"/>
      <c r="D22" s="306"/>
      <c r="E22" s="306"/>
      <c r="F22" s="36">
        <f t="shared" si="1"/>
        <v>0</v>
      </c>
      <c r="G22" s="4"/>
      <c r="H22" s="177"/>
      <c r="I22" s="177"/>
    </row>
    <row r="23" spans="1:9">
      <c r="A23" s="154">
        <v>14</v>
      </c>
      <c r="B23" s="305"/>
      <c r="C23" s="306"/>
      <c r="D23" s="306"/>
      <c r="E23" s="306"/>
      <c r="F23" s="36">
        <f t="shared" si="1"/>
        <v>0</v>
      </c>
      <c r="G23" s="4"/>
      <c r="H23" s="177"/>
      <c r="I23" s="177"/>
    </row>
    <row r="24" spans="1:9">
      <c r="A24" s="154">
        <v>15</v>
      </c>
      <c r="B24" s="305"/>
      <c r="C24" s="306"/>
      <c r="D24" s="306"/>
      <c r="E24" s="306"/>
      <c r="F24" s="36">
        <f t="shared" si="1"/>
        <v>0</v>
      </c>
      <c r="G24" s="29"/>
      <c r="H24" s="177"/>
      <c r="I24" s="177"/>
    </row>
    <row r="25" spans="1:9">
      <c r="A25" s="154">
        <v>16</v>
      </c>
      <c r="B25" s="305"/>
      <c r="C25" s="306"/>
      <c r="D25" s="306"/>
      <c r="E25" s="306"/>
      <c r="F25" s="36">
        <f t="shared" si="1"/>
        <v>0</v>
      </c>
      <c r="G25" s="4"/>
      <c r="H25" s="177"/>
      <c r="I25" s="177"/>
    </row>
    <row r="26" spans="1:9">
      <c r="A26" s="154">
        <v>17</v>
      </c>
      <c r="B26" s="305"/>
      <c r="C26" s="306"/>
      <c r="D26" s="306"/>
      <c r="E26" s="306"/>
      <c r="F26" s="36">
        <f t="shared" si="1"/>
        <v>0</v>
      </c>
      <c r="G26" s="4"/>
      <c r="H26" s="177"/>
      <c r="I26" s="177"/>
    </row>
    <row r="27" spans="1:9">
      <c r="A27" s="154">
        <v>18</v>
      </c>
      <c r="B27" s="305"/>
      <c r="C27" s="306"/>
      <c r="D27" s="306"/>
      <c r="E27" s="306"/>
      <c r="F27" s="36">
        <f t="shared" si="1"/>
        <v>0</v>
      </c>
      <c r="G27" s="4"/>
      <c r="H27" s="177"/>
      <c r="I27" s="177"/>
    </row>
    <row r="28" spans="1:9">
      <c r="A28" s="154">
        <v>19</v>
      </c>
      <c r="B28" s="305"/>
      <c r="C28" s="306"/>
      <c r="D28" s="306"/>
      <c r="E28" s="306"/>
      <c r="F28" s="36">
        <f t="shared" si="1"/>
        <v>0</v>
      </c>
      <c r="G28" s="4"/>
      <c r="H28" s="177"/>
      <c r="I28" s="177"/>
    </row>
    <row r="29" spans="1:9">
      <c r="A29" s="154">
        <v>20</v>
      </c>
      <c r="B29" s="305"/>
      <c r="C29" s="306"/>
      <c r="D29" s="306"/>
      <c r="E29" s="306"/>
      <c r="F29" s="36">
        <f t="shared" si="1"/>
        <v>0</v>
      </c>
      <c r="G29" s="4"/>
      <c r="H29" s="177"/>
      <c r="I29" s="177"/>
    </row>
    <row r="30" spans="1:9">
      <c r="A30" s="154">
        <v>21</v>
      </c>
      <c r="B30" s="305"/>
      <c r="C30" s="306"/>
      <c r="D30" s="306"/>
      <c r="E30" s="306"/>
      <c r="F30" s="36">
        <f t="shared" si="1"/>
        <v>0</v>
      </c>
      <c r="G30" s="4"/>
      <c r="H30" s="177"/>
      <c r="I30" s="177"/>
    </row>
    <row r="31" spans="1:9">
      <c r="A31" s="154">
        <v>22</v>
      </c>
      <c r="B31" s="305"/>
      <c r="C31" s="306"/>
      <c r="D31" s="306"/>
      <c r="E31" s="306"/>
      <c r="F31" s="36">
        <f t="shared" si="1"/>
        <v>0</v>
      </c>
      <c r="G31" s="4"/>
      <c r="H31" s="177"/>
      <c r="I31" s="177"/>
    </row>
    <row r="32" spans="1:9">
      <c r="A32" s="154">
        <v>23</v>
      </c>
      <c r="B32" s="305"/>
      <c r="C32" s="306"/>
      <c r="D32" s="306"/>
      <c r="E32" s="306"/>
      <c r="F32" s="36">
        <f t="shared" si="1"/>
        <v>0</v>
      </c>
      <c r="G32" s="4"/>
      <c r="H32" s="177"/>
      <c r="I32" s="177"/>
    </row>
    <row r="33" spans="1:9">
      <c r="A33" s="154">
        <v>24</v>
      </c>
      <c r="B33" s="305"/>
      <c r="C33" s="306"/>
      <c r="D33" s="306"/>
      <c r="E33" s="306"/>
      <c r="F33" s="36">
        <f t="shared" si="1"/>
        <v>0</v>
      </c>
      <c r="G33" s="4"/>
      <c r="H33" s="177"/>
      <c r="I33" s="177"/>
    </row>
    <row r="34" spans="1:9">
      <c r="A34" s="154">
        <v>25</v>
      </c>
      <c r="B34" s="305"/>
      <c r="C34" s="306"/>
      <c r="D34" s="306"/>
      <c r="E34" s="306"/>
      <c r="F34" s="36">
        <f t="shared" si="1"/>
        <v>0</v>
      </c>
      <c r="G34" s="4"/>
      <c r="H34" s="177"/>
      <c r="I34" s="177"/>
    </row>
    <row r="35" spans="1:9">
      <c r="A35" s="154">
        <v>26</v>
      </c>
      <c r="B35" s="305"/>
      <c r="C35" s="306"/>
      <c r="D35" s="306"/>
      <c r="E35" s="306"/>
      <c r="F35" s="36">
        <f t="shared" si="1"/>
        <v>0</v>
      </c>
      <c r="G35" s="4"/>
      <c r="H35" s="177"/>
      <c r="I35" s="177"/>
    </row>
    <row r="36" spans="1:9">
      <c r="A36" s="154">
        <v>27</v>
      </c>
      <c r="B36" s="305"/>
      <c r="C36" s="306"/>
      <c r="D36" s="306"/>
      <c r="E36" s="306"/>
      <c r="F36" s="36">
        <f t="shared" si="1"/>
        <v>0</v>
      </c>
      <c r="G36" s="4"/>
      <c r="H36" s="177"/>
      <c r="I36" s="177"/>
    </row>
    <row r="37" spans="1:9">
      <c r="A37" s="154">
        <v>28</v>
      </c>
      <c r="B37" s="305"/>
      <c r="C37" s="306"/>
      <c r="D37" s="306"/>
      <c r="E37" s="306"/>
      <c r="F37" s="36">
        <f t="shared" si="1"/>
        <v>0</v>
      </c>
      <c r="G37" s="4"/>
      <c r="H37" s="177"/>
      <c r="I37" s="177"/>
    </row>
    <row r="38" spans="1:9">
      <c r="A38" s="154">
        <v>29</v>
      </c>
      <c r="B38" s="305"/>
      <c r="C38" s="306"/>
      <c r="D38" s="306"/>
      <c r="E38" s="306"/>
      <c r="F38" s="36">
        <f t="shared" si="1"/>
        <v>0</v>
      </c>
      <c r="G38" s="4"/>
      <c r="H38" s="177"/>
      <c r="I38" s="177"/>
    </row>
    <row r="39" spans="1:9">
      <c r="A39" s="154">
        <v>30</v>
      </c>
      <c r="B39" s="305"/>
      <c r="C39" s="306"/>
      <c r="D39" s="306"/>
      <c r="E39" s="306"/>
      <c r="F39" s="36">
        <f t="shared" si="1"/>
        <v>0</v>
      </c>
      <c r="G39" s="4"/>
      <c r="H39" s="177"/>
      <c r="I39" s="177"/>
    </row>
    <row r="40" spans="1:9">
      <c r="A40" s="154">
        <v>31</v>
      </c>
      <c r="B40" s="305"/>
      <c r="C40" s="306"/>
      <c r="D40" s="306"/>
      <c r="E40" s="306"/>
      <c r="F40" s="36">
        <f t="shared" si="1"/>
        <v>0</v>
      </c>
      <c r="G40" s="4"/>
      <c r="H40" s="177"/>
      <c r="I40" s="177"/>
    </row>
    <row r="41" spans="1:9">
      <c r="A41" s="154">
        <v>32</v>
      </c>
      <c r="B41" s="305"/>
      <c r="C41" s="306"/>
      <c r="D41" s="306"/>
      <c r="E41" s="306"/>
      <c r="F41" s="36">
        <f t="shared" si="1"/>
        <v>0</v>
      </c>
      <c r="G41" s="4"/>
      <c r="H41" s="177"/>
      <c r="I41" s="177"/>
    </row>
    <row r="42" spans="1:9">
      <c r="A42" s="154">
        <v>33</v>
      </c>
      <c r="B42" s="305"/>
      <c r="C42" s="306"/>
      <c r="D42" s="306"/>
      <c r="E42" s="306"/>
      <c r="F42" s="36">
        <f t="shared" si="1"/>
        <v>0</v>
      </c>
      <c r="G42" s="4"/>
      <c r="H42" s="177"/>
      <c r="I42" s="177"/>
    </row>
    <row r="43" spans="1:9">
      <c r="A43" s="154">
        <v>34</v>
      </c>
      <c r="B43" s="305"/>
      <c r="C43" s="306"/>
      <c r="D43" s="306"/>
      <c r="E43" s="306"/>
      <c r="F43" s="36">
        <f t="shared" si="1"/>
        <v>0</v>
      </c>
      <c r="G43" s="4"/>
      <c r="H43" s="177"/>
      <c r="I43" s="177"/>
    </row>
    <row r="44" spans="1:9">
      <c r="A44" s="154">
        <v>35</v>
      </c>
      <c r="B44" s="305"/>
      <c r="C44" s="306"/>
      <c r="D44" s="306"/>
      <c r="E44" s="306"/>
      <c r="F44" s="36">
        <f t="shared" si="1"/>
        <v>0</v>
      </c>
      <c r="G44" s="4"/>
      <c r="H44" s="177"/>
      <c r="I44" s="177"/>
    </row>
    <row r="45" spans="1:9">
      <c r="A45" s="154">
        <v>36</v>
      </c>
      <c r="B45" s="305"/>
      <c r="C45" s="306"/>
      <c r="D45" s="306"/>
      <c r="E45" s="306"/>
      <c r="F45" s="36">
        <f t="shared" si="1"/>
        <v>0</v>
      </c>
      <c r="G45" s="4"/>
      <c r="H45" s="177"/>
      <c r="I45" s="177"/>
    </row>
    <row r="46" spans="1:9">
      <c r="A46" s="154">
        <v>37</v>
      </c>
      <c r="B46" s="305"/>
      <c r="C46" s="306"/>
      <c r="D46" s="306"/>
      <c r="E46" s="306"/>
      <c r="F46" s="36">
        <f t="shared" si="1"/>
        <v>0</v>
      </c>
      <c r="G46" s="4"/>
      <c r="H46" s="177"/>
      <c r="I46" s="177"/>
    </row>
    <row r="47" spans="1:9">
      <c r="A47" s="154">
        <v>38</v>
      </c>
      <c r="B47" s="305"/>
      <c r="C47" s="306"/>
      <c r="D47" s="306"/>
      <c r="E47" s="306"/>
      <c r="F47" s="36">
        <f t="shared" si="1"/>
        <v>0</v>
      </c>
      <c r="G47" s="4"/>
      <c r="H47" s="177"/>
      <c r="I47" s="177"/>
    </row>
    <row r="48" spans="1:9">
      <c r="A48" s="154">
        <v>39</v>
      </c>
      <c r="B48" s="305"/>
      <c r="C48" s="306"/>
      <c r="D48" s="306"/>
      <c r="E48" s="306"/>
      <c r="F48" s="36">
        <f t="shared" ref="F48:F79" si="2">SUM(B48:E48)</f>
        <v>0</v>
      </c>
      <c r="G48" s="4"/>
      <c r="H48" s="177"/>
      <c r="I48" s="177"/>
    </row>
    <row r="49" spans="1:9">
      <c r="A49" s="154">
        <v>40</v>
      </c>
      <c r="B49" s="305"/>
      <c r="C49" s="306"/>
      <c r="D49" s="306"/>
      <c r="E49" s="306"/>
      <c r="F49" s="36">
        <f t="shared" si="2"/>
        <v>0</v>
      </c>
      <c r="G49" s="4"/>
      <c r="H49" s="177"/>
      <c r="I49" s="177"/>
    </row>
    <row r="50" spans="1:9">
      <c r="A50" s="154">
        <v>41</v>
      </c>
      <c r="B50" s="305"/>
      <c r="C50" s="306"/>
      <c r="D50" s="306"/>
      <c r="E50" s="306"/>
      <c r="F50" s="36">
        <f t="shared" si="2"/>
        <v>0</v>
      </c>
      <c r="G50" s="4"/>
      <c r="H50" s="177"/>
      <c r="I50" s="177"/>
    </row>
    <row r="51" spans="1:9">
      <c r="A51" s="154">
        <v>42</v>
      </c>
      <c r="B51" s="305"/>
      <c r="C51" s="306"/>
      <c r="D51" s="306"/>
      <c r="E51" s="306"/>
      <c r="F51" s="36">
        <f t="shared" si="2"/>
        <v>0</v>
      </c>
      <c r="G51" s="4"/>
      <c r="H51" s="177"/>
      <c r="I51" s="177"/>
    </row>
    <row r="52" spans="1:9">
      <c r="A52" s="154">
        <v>43</v>
      </c>
      <c r="B52" s="305"/>
      <c r="C52" s="306"/>
      <c r="D52" s="306"/>
      <c r="E52" s="306"/>
      <c r="F52" s="36">
        <f t="shared" si="2"/>
        <v>0</v>
      </c>
      <c r="G52" s="4"/>
      <c r="H52" s="177"/>
      <c r="I52" s="177"/>
    </row>
    <row r="53" spans="1:9">
      <c r="A53" s="154">
        <v>44</v>
      </c>
      <c r="B53" s="305"/>
      <c r="C53" s="306"/>
      <c r="D53" s="306"/>
      <c r="E53" s="306"/>
      <c r="F53" s="36">
        <f t="shared" si="2"/>
        <v>0</v>
      </c>
      <c r="G53" s="4"/>
      <c r="H53" s="177"/>
      <c r="I53" s="177"/>
    </row>
    <row r="54" spans="1:9">
      <c r="A54" s="154">
        <v>45</v>
      </c>
      <c r="B54" s="305"/>
      <c r="C54" s="306"/>
      <c r="D54" s="306"/>
      <c r="E54" s="306"/>
      <c r="F54" s="36">
        <f t="shared" si="2"/>
        <v>0</v>
      </c>
      <c r="G54" s="4"/>
      <c r="H54" s="177"/>
      <c r="I54" s="177"/>
    </row>
    <row r="55" spans="1:9">
      <c r="A55" s="154">
        <v>46</v>
      </c>
      <c r="B55" s="305"/>
      <c r="C55" s="306"/>
      <c r="D55" s="306"/>
      <c r="E55" s="306"/>
      <c r="F55" s="36">
        <f t="shared" si="2"/>
        <v>0</v>
      </c>
      <c r="G55" s="4"/>
      <c r="H55" s="177"/>
      <c r="I55" s="177"/>
    </row>
    <row r="56" spans="1:9">
      <c r="A56" s="154">
        <v>47</v>
      </c>
      <c r="B56" s="305"/>
      <c r="C56" s="306"/>
      <c r="D56" s="306"/>
      <c r="E56" s="306"/>
      <c r="F56" s="36">
        <f t="shared" si="2"/>
        <v>0</v>
      </c>
      <c r="G56" s="4"/>
      <c r="H56" s="177"/>
      <c r="I56" s="177"/>
    </row>
    <row r="57" spans="1:9">
      <c r="A57" s="154">
        <v>48</v>
      </c>
      <c r="B57" s="305"/>
      <c r="C57" s="306"/>
      <c r="D57" s="306"/>
      <c r="E57" s="306"/>
      <c r="F57" s="36">
        <f t="shared" si="2"/>
        <v>0</v>
      </c>
      <c r="G57" s="4"/>
      <c r="H57" s="177"/>
      <c r="I57" s="177"/>
    </row>
    <row r="58" spans="1:9">
      <c r="A58" s="154">
        <v>49</v>
      </c>
      <c r="B58" s="305"/>
      <c r="C58" s="306"/>
      <c r="D58" s="306"/>
      <c r="E58" s="306"/>
      <c r="F58" s="36">
        <f t="shared" si="2"/>
        <v>0</v>
      </c>
      <c r="G58" s="4"/>
      <c r="H58" s="177"/>
      <c r="I58" s="177"/>
    </row>
    <row r="59" spans="1:9">
      <c r="A59" s="154">
        <v>50</v>
      </c>
      <c r="B59" s="305"/>
      <c r="C59" s="306"/>
      <c r="D59" s="306"/>
      <c r="E59" s="306"/>
      <c r="F59" s="36">
        <f t="shared" si="2"/>
        <v>0</v>
      </c>
      <c r="G59" s="4"/>
      <c r="H59" s="177"/>
      <c r="I59" s="177"/>
    </row>
    <row r="60" spans="1:9">
      <c r="A60" s="154">
        <v>51</v>
      </c>
      <c r="B60" s="305"/>
      <c r="C60" s="306"/>
      <c r="D60" s="306"/>
      <c r="E60" s="306"/>
      <c r="F60" s="36">
        <f t="shared" si="2"/>
        <v>0</v>
      </c>
      <c r="G60" s="4"/>
      <c r="H60" s="177"/>
      <c r="I60" s="177"/>
    </row>
    <row r="61" spans="1:9">
      <c r="A61" s="154">
        <v>52</v>
      </c>
      <c r="B61" s="305"/>
      <c r="C61" s="306"/>
      <c r="D61" s="306"/>
      <c r="E61" s="306"/>
      <c r="F61" s="36">
        <f t="shared" si="2"/>
        <v>0</v>
      </c>
      <c r="G61" s="4"/>
      <c r="H61" s="177"/>
      <c r="I61" s="177"/>
    </row>
    <row r="62" spans="1:9">
      <c r="A62" s="154">
        <v>53</v>
      </c>
      <c r="B62" s="305"/>
      <c r="C62" s="306"/>
      <c r="D62" s="306"/>
      <c r="E62" s="306"/>
      <c r="F62" s="36">
        <f t="shared" si="2"/>
        <v>0</v>
      </c>
      <c r="G62" s="4"/>
      <c r="H62" s="177"/>
      <c r="I62" s="177"/>
    </row>
    <row r="63" spans="1:9">
      <c r="A63" s="154">
        <v>54</v>
      </c>
      <c r="B63" s="305"/>
      <c r="C63" s="306"/>
      <c r="D63" s="306"/>
      <c r="E63" s="306"/>
      <c r="F63" s="36">
        <f t="shared" si="2"/>
        <v>0</v>
      </c>
      <c r="G63" s="4"/>
      <c r="H63" s="177"/>
      <c r="I63" s="177"/>
    </row>
    <row r="64" spans="1:9">
      <c r="A64" s="154">
        <v>55</v>
      </c>
      <c r="B64" s="305"/>
      <c r="C64" s="306"/>
      <c r="D64" s="306"/>
      <c r="E64" s="306"/>
      <c r="F64" s="36">
        <f t="shared" si="2"/>
        <v>0</v>
      </c>
      <c r="G64" s="4"/>
      <c r="H64" s="177"/>
      <c r="I64" s="177"/>
    </row>
    <row r="65" spans="1:9">
      <c r="A65" s="154">
        <v>56</v>
      </c>
      <c r="B65" s="305"/>
      <c r="C65" s="306"/>
      <c r="D65" s="306"/>
      <c r="E65" s="306"/>
      <c r="F65" s="36">
        <f t="shared" si="2"/>
        <v>0</v>
      </c>
      <c r="G65" s="4"/>
      <c r="H65" s="177"/>
      <c r="I65" s="177"/>
    </row>
    <row r="66" spans="1:9">
      <c r="A66" s="154">
        <v>57</v>
      </c>
      <c r="B66" s="305"/>
      <c r="C66" s="306"/>
      <c r="D66" s="306"/>
      <c r="E66" s="306"/>
      <c r="F66" s="36">
        <f t="shared" si="2"/>
        <v>0</v>
      </c>
      <c r="G66" s="4"/>
      <c r="H66" s="177"/>
      <c r="I66" s="177"/>
    </row>
    <row r="67" spans="1:9">
      <c r="A67" s="154">
        <v>58</v>
      </c>
      <c r="B67" s="305"/>
      <c r="C67" s="306"/>
      <c r="D67" s="306"/>
      <c r="E67" s="306"/>
      <c r="F67" s="36">
        <f t="shared" si="2"/>
        <v>0</v>
      </c>
      <c r="G67" s="4"/>
      <c r="H67" s="177"/>
      <c r="I67" s="177"/>
    </row>
    <row r="68" spans="1:9">
      <c r="A68" s="154">
        <v>59</v>
      </c>
      <c r="B68" s="305"/>
      <c r="C68" s="306"/>
      <c r="D68" s="306"/>
      <c r="E68" s="306"/>
      <c r="F68" s="36">
        <f t="shared" si="2"/>
        <v>0</v>
      </c>
      <c r="G68" s="4"/>
      <c r="H68" s="177"/>
      <c r="I68" s="177"/>
    </row>
    <row r="69" spans="1:9">
      <c r="A69" s="154">
        <v>60</v>
      </c>
      <c r="B69" s="305"/>
      <c r="C69" s="306"/>
      <c r="D69" s="306"/>
      <c r="E69" s="306"/>
      <c r="F69" s="36">
        <f t="shared" si="2"/>
        <v>0</v>
      </c>
      <c r="G69" s="4"/>
      <c r="H69" s="177"/>
      <c r="I69" s="177"/>
    </row>
    <row r="70" spans="1:9">
      <c r="A70" s="154">
        <v>61</v>
      </c>
      <c r="B70" s="305"/>
      <c r="C70" s="306"/>
      <c r="D70" s="306"/>
      <c r="E70" s="306"/>
      <c r="F70" s="36">
        <f t="shared" si="2"/>
        <v>0</v>
      </c>
      <c r="G70" s="4"/>
      <c r="H70" s="177"/>
      <c r="I70" s="177"/>
    </row>
    <row r="71" spans="1:9">
      <c r="A71" s="154">
        <v>62</v>
      </c>
      <c r="B71" s="305"/>
      <c r="C71" s="306"/>
      <c r="D71" s="306"/>
      <c r="E71" s="306"/>
      <c r="F71" s="36">
        <f t="shared" si="2"/>
        <v>0</v>
      </c>
      <c r="G71" s="4"/>
      <c r="H71" s="177"/>
      <c r="I71" s="177"/>
    </row>
    <row r="72" spans="1:9">
      <c r="A72" s="154">
        <v>63</v>
      </c>
      <c r="B72" s="305"/>
      <c r="C72" s="306"/>
      <c r="D72" s="306"/>
      <c r="E72" s="306"/>
      <c r="F72" s="36">
        <f t="shared" si="2"/>
        <v>0</v>
      </c>
      <c r="G72" s="4"/>
      <c r="H72" s="177"/>
      <c r="I72" s="177"/>
    </row>
    <row r="73" spans="1:9">
      <c r="A73" s="154">
        <v>64</v>
      </c>
      <c r="B73" s="305"/>
      <c r="C73" s="306"/>
      <c r="D73" s="306"/>
      <c r="E73" s="306"/>
      <c r="F73" s="36">
        <f t="shared" si="2"/>
        <v>0</v>
      </c>
      <c r="G73" s="4"/>
      <c r="H73" s="177"/>
      <c r="I73" s="177"/>
    </row>
    <row r="74" spans="1:9">
      <c r="A74" s="154">
        <v>65</v>
      </c>
      <c r="B74" s="305"/>
      <c r="C74" s="306"/>
      <c r="D74" s="306"/>
      <c r="E74" s="306"/>
      <c r="F74" s="36">
        <f t="shared" si="2"/>
        <v>0</v>
      </c>
      <c r="G74" s="4"/>
      <c r="H74" s="177"/>
      <c r="I74" s="177"/>
    </row>
    <row r="75" spans="1:9">
      <c r="A75" s="154">
        <v>66</v>
      </c>
      <c r="B75" s="305"/>
      <c r="C75" s="306"/>
      <c r="D75" s="306"/>
      <c r="E75" s="306"/>
      <c r="F75" s="36">
        <f t="shared" si="2"/>
        <v>0</v>
      </c>
      <c r="G75" s="4"/>
      <c r="H75" s="177"/>
      <c r="I75" s="177"/>
    </row>
    <row r="76" spans="1:9">
      <c r="A76" s="154">
        <v>67</v>
      </c>
      <c r="B76" s="305"/>
      <c r="C76" s="306"/>
      <c r="D76" s="306"/>
      <c r="E76" s="306"/>
      <c r="F76" s="36">
        <f t="shared" si="2"/>
        <v>0</v>
      </c>
      <c r="G76" s="4"/>
      <c r="H76" s="177"/>
      <c r="I76" s="177"/>
    </row>
    <row r="77" spans="1:9">
      <c r="A77" s="154">
        <v>68</v>
      </c>
      <c r="B77" s="305"/>
      <c r="C77" s="306"/>
      <c r="D77" s="306"/>
      <c r="E77" s="306"/>
      <c r="F77" s="36">
        <f t="shared" si="2"/>
        <v>0</v>
      </c>
      <c r="G77" s="4"/>
      <c r="H77" s="177"/>
      <c r="I77" s="177"/>
    </row>
    <row r="78" spans="1:9">
      <c r="A78" s="154">
        <v>69</v>
      </c>
      <c r="B78" s="305"/>
      <c r="C78" s="306"/>
      <c r="D78" s="306"/>
      <c r="E78" s="306"/>
      <c r="F78" s="36">
        <f t="shared" si="2"/>
        <v>0</v>
      </c>
      <c r="G78" s="4"/>
      <c r="H78" s="177"/>
      <c r="I78" s="177"/>
    </row>
    <row r="79" spans="1:9">
      <c r="A79" s="154">
        <v>70</v>
      </c>
      <c r="B79" s="305"/>
      <c r="C79" s="306"/>
      <c r="D79" s="306"/>
      <c r="E79" s="306"/>
      <c r="F79" s="36">
        <f t="shared" si="2"/>
        <v>0</v>
      </c>
      <c r="G79" s="4"/>
      <c r="H79" s="177"/>
      <c r="I79" s="177"/>
    </row>
    <row r="80" spans="1:9">
      <c r="A80" s="154">
        <v>71</v>
      </c>
      <c r="B80" s="305"/>
      <c r="C80" s="306"/>
      <c r="D80" s="306"/>
      <c r="E80" s="306"/>
      <c r="F80" s="36">
        <f t="shared" ref="F80:F109" si="3">SUM(B80:E80)</f>
        <v>0</v>
      </c>
      <c r="G80" s="4"/>
      <c r="H80" s="177"/>
      <c r="I80" s="177"/>
    </row>
    <row r="81" spans="1:9">
      <c r="A81" s="154">
        <v>72</v>
      </c>
      <c r="B81" s="305"/>
      <c r="C81" s="306"/>
      <c r="D81" s="306"/>
      <c r="E81" s="306"/>
      <c r="F81" s="36">
        <f t="shared" si="3"/>
        <v>0</v>
      </c>
      <c r="G81" s="4"/>
      <c r="H81" s="177"/>
      <c r="I81" s="177"/>
    </row>
    <row r="82" spans="1:9">
      <c r="A82" s="154">
        <v>73</v>
      </c>
      <c r="B82" s="305"/>
      <c r="C82" s="306"/>
      <c r="D82" s="306"/>
      <c r="E82" s="306"/>
      <c r="F82" s="36">
        <f t="shared" si="3"/>
        <v>0</v>
      </c>
      <c r="G82" s="4"/>
      <c r="H82" s="177"/>
      <c r="I82" s="177"/>
    </row>
    <row r="83" spans="1:9">
      <c r="A83" s="154">
        <v>74</v>
      </c>
      <c r="B83" s="305"/>
      <c r="C83" s="306"/>
      <c r="D83" s="306"/>
      <c r="E83" s="306"/>
      <c r="F83" s="36">
        <f t="shared" si="3"/>
        <v>0</v>
      </c>
      <c r="G83" s="4"/>
      <c r="H83" s="177"/>
      <c r="I83" s="177"/>
    </row>
    <row r="84" spans="1:9">
      <c r="A84" s="154">
        <v>75</v>
      </c>
      <c r="B84" s="305"/>
      <c r="C84" s="306"/>
      <c r="D84" s="306"/>
      <c r="E84" s="306"/>
      <c r="F84" s="36">
        <f t="shared" si="3"/>
        <v>0</v>
      </c>
      <c r="G84" s="4"/>
      <c r="H84" s="177"/>
      <c r="I84" s="177"/>
    </row>
    <row r="85" spans="1:9">
      <c r="A85" s="154">
        <v>76</v>
      </c>
      <c r="B85" s="305"/>
      <c r="C85" s="306"/>
      <c r="D85" s="306"/>
      <c r="E85" s="306"/>
      <c r="F85" s="36">
        <f t="shared" si="3"/>
        <v>0</v>
      </c>
      <c r="G85" s="4"/>
      <c r="H85" s="177"/>
      <c r="I85" s="177"/>
    </row>
    <row r="86" spans="1:9">
      <c r="A86" s="154">
        <v>77</v>
      </c>
      <c r="B86" s="305"/>
      <c r="C86" s="306"/>
      <c r="D86" s="306"/>
      <c r="E86" s="306"/>
      <c r="F86" s="36">
        <f t="shared" si="3"/>
        <v>0</v>
      </c>
      <c r="G86" s="4"/>
      <c r="H86" s="177"/>
      <c r="I86" s="177"/>
    </row>
    <row r="87" spans="1:9">
      <c r="A87" s="154">
        <v>78</v>
      </c>
      <c r="B87" s="305"/>
      <c r="C87" s="306"/>
      <c r="D87" s="306"/>
      <c r="E87" s="306"/>
      <c r="F87" s="36">
        <f t="shared" si="3"/>
        <v>0</v>
      </c>
      <c r="G87" s="4"/>
      <c r="H87" s="177"/>
      <c r="I87" s="177"/>
    </row>
    <row r="88" spans="1:9">
      <c r="A88" s="154">
        <v>79</v>
      </c>
      <c r="B88" s="305"/>
      <c r="C88" s="306"/>
      <c r="D88" s="306"/>
      <c r="E88" s="306"/>
      <c r="F88" s="36">
        <f t="shared" si="3"/>
        <v>0</v>
      </c>
      <c r="G88" s="4"/>
      <c r="H88" s="177"/>
      <c r="I88" s="177"/>
    </row>
    <row r="89" spans="1:9">
      <c r="A89" s="154">
        <v>80</v>
      </c>
      <c r="B89" s="305"/>
      <c r="C89" s="306"/>
      <c r="D89" s="306"/>
      <c r="E89" s="306"/>
      <c r="F89" s="36">
        <f t="shared" si="3"/>
        <v>0</v>
      </c>
      <c r="G89" s="4"/>
      <c r="H89" s="177"/>
      <c r="I89" s="177"/>
    </row>
    <row r="90" spans="1:9">
      <c r="A90" s="154">
        <v>81</v>
      </c>
      <c r="B90" s="305"/>
      <c r="C90" s="306"/>
      <c r="D90" s="306"/>
      <c r="E90" s="306"/>
      <c r="F90" s="36">
        <f t="shared" si="3"/>
        <v>0</v>
      </c>
      <c r="G90" s="4"/>
      <c r="H90" s="177"/>
      <c r="I90" s="177"/>
    </row>
    <row r="91" spans="1:9">
      <c r="A91" s="154">
        <v>82</v>
      </c>
      <c r="B91" s="305"/>
      <c r="C91" s="306"/>
      <c r="D91" s="306"/>
      <c r="E91" s="306"/>
      <c r="F91" s="36">
        <f t="shared" si="3"/>
        <v>0</v>
      </c>
      <c r="G91" s="4"/>
      <c r="H91" s="177"/>
      <c r="I91" s="177"/>
    </row>
    <row r="92" spans="1:9">
      <c r="A92" s="154">
        <v>83</v>
      </c>
      <c r="B92" s="305"/>
      <c r="C92" s="306"/>
      <c r="D92" s="306"/>
      <c r="E92" s="306"/>
      <c r="F92" s="36">
        <f t="shared" si="3"/>
        <v>0</v>
      </c>
      <c r="G92" s="4"/>
      <c r="H92" s="177"/>
      <c r="I92" s="177"/>
    </row>
    <row r="93" spans="1:9">
      <c r="A93" s="154">
        <v>84</v>
      </c>
      <c r="B93" s="305"/>
      <c r="C93" s="306"/>
      <c r="D93" s="306"/>
      <c r="E93" s="306"/>
      <c r="F93" s="36">
        <f t="shared" si="3"/>
        <v>0</v>
      </c>
      <c r="G93" s="4"/>
      <c r="H93" s="177"/>
      <c r="I93" s="177"/>
    </row>
    <row r="94" spans="1:9">
      <c r="A94" s="154">
        <v>85</v>
      </c>
      <c r="B94" s="305"/>
      <c r="C94" s="306"/>
      <c r="D94" s="306"/>
      <c r="E94" s="306"/>
      <c r="F94" s="36">
        <f t="shared" si="3"/>
        <v>0</v>
      </c>
      <c r="G94" s="4"/>
      <c r="H94" s="177"/>
      <c r="I94" s="177"/>
    </row>
    <row r="95" spans="1:9">
      <c r="A95" s="154">
        <v>86</v>
      </c>
      <c r="B95" s="305"/>
      <c r="C95" s="306"/>
      <c r="D95" s="306"/>
      <c r="E95" s="306"/>
      <c r="F95" s="36">
        <f t="shared" si="3"/>
        <v>0</v>
      </c>
      <c r="G95" s="4"/>
      <c r="H95" s="177"/>
      <c r="I95" s="177"/>
    </row>
    <row r="96" spans="1:9">
      <c r="A96" s="154">
        <v>87</v>
      </c>
      <c r="B96" s="305"/>
      <c r="C96" s="306"/>
      <c r="D96" s="306"/>
      <c r="E96" s="306"/>
      <c r="F96" s="36">
        <f t="shared" si="3"/>
        <v>0</v>
      </c>
      <c r="G96" s="4"/>
      <c r="H96" s="177"/>
      <c r="I96" s="177"/>
    </row>
    <row r="97" spans="1:9">
      <c r="A97" s="154">
        <v>88</v>
      </c>
      <c r="B97" s="305"/>
      <c r="C97" s="306"/>
      <c r="D97" s="306"/>
      <c r="E97" s="306"/>
      <c r="F97" s="36">
        <f t="shared" si="3"/>
        <v>0</v>
      </c>
      <c r="G97" s="4"/>
      <c r="H97" s="177"/>
      <c r="I97" s="177"/>
    </row>
    <row r="98" spans="1:9">
      <c r="A98" s="154">
        <v>89</v>
      </c>
      <c r="B98" s="305"/>
      <c r="C98" s="306"/>
      <c r="D98" s="306"/>
      <c r="E98" s="306"/>
      <c r="F98" s="36">
        <f t="shared" si="3"/>
        <v>0</v>
      </c>
      <c r="G98" s="4"/>
      <c r="H98" s="177"/>
      <c r="I98" s="177"/>
    </row>
    <row r="99" spans="1:9">
      <c r="A99" s="154">
        <v>90</v>
      </c>
      <c r="B99" s="305"/>
      <c r="C99" s="306"/>
      <c r="D99" s="306"/>
      <c r="E99" s="306"/>
      <c r="F99" s="36">
        <f t="shared" si="3"/>
        <v>0</v>
      </c>
      <c r="G99" s="4"/>
      <c r="H99" s="177"/>
      <c r="I99" s="177"/>
    </row>
    <row r="100" spans="1:9">
      <c r="A100" s="154">
        <v>91</v>
      </c>
      <c r="B100" s="305"/>
      <c r="C100" s="306"/>
      <c r="D100" s="306"/>
      <c r="E100" s="306"/>
      <c r="F100" s="36">
        <f t="shared" si="3"/>
        <v>0</v>
      </c>
      <c r="G100" s="4"/>
      <c r="H100" s="177"/>
      <c r="I100" s="177"/>
    </row>
    <row r="101" spans="1:9">
      <c r="A101" s="154">
        <v>92</v>
      </c>
      <c r="B101" s="305"/>
      <c r="C101" s="306"/>
      <c r="D101" s="306"/>
      <c r="E101" s="306"/>
      <c r="F101" s="36">
        <f t="shared" si="3"/>
        <v>0</v>
      </c>
      <c r="G101" s="4"/>
      <c r="H101" s="177"/>
      <c r="I101" s="177"/>
    </row>
    <row r="102" spans="1:9">
      <c r="A102" s="154">
        <v>93</v>
      </c>
      <c r="B102" s="305"/>
      <c r="C102" s="306"/>
      <c r="D102" s="306"/>
      <c r="E102" s="306"/>
      <c r="F102" s="36">
        <f t="shared" si="3"/>
        <v>0</v>
      </c>
      <c r="G102" s="4"/>
      <c r="H102" s="177"/>
      <c r="I102" s="177"/>
    </row>
    <row r="103" spans="1:9">
      <c r="A103" s="154">
        <v>94</v>
      </c>
      <c r="B103" s="305"/>
      <c r="C103" s="306"/>
      <c r="D103" s="306"/>
      <c r="E103" s="306"/>
      <c r="F103" s="36">
        <f t="shared" si="3"/>
        <v>0</v>
      </c>
      <c r="G103" s="4"/>
      <c r="H103" s="177"/>
      <c r="I103" s="177"/>
    </row>
    <row r="104" spans="1:9">
      <c r="A104" s="154">
        <v>95</v>
      </c>
      <c r="B104" s="305"/>
      <c r="C104" s="306"/>
      <c r="D104" s="306"/>
      <c r="E104" s="306"/>
      <c r="F104" s="36">
        <f t="shared" si="3"/>
        <v>0</v>
      </c>
      <c r="G104" s="4"/>
      <c r="H104" s="177"/>
      <c r="I104" s="177"/>
    </row>
    <row r="105" spans="1:9">
      <c r="A105" s="154">
        <v>96</v>
      </c>
      <c r="B105" s="305"/>
      <c r="C105" s="306"/>
      <c r="D105" s="306"/>
      <c r="E105" s="306"/>
      <c r="F105" s="36">
        <f t="shared" si="3"/>
        <v>0</v>
      </c>
      <c r="G105" s="4"/>
      <c r="H105" s="177"/>
      <c r="I105" s="177"/>
    </row>
    <row r="106" spans="1:9">
      <c r="A106" s="154">
        <v>97</v>
      </c>
      <c r="B106" s="305"/>
      <c r="C106" s="306"/>
      <c r="D106" s="306"/>
      <c r="E106" s="306"/>
      <c r="F106" s="36">
        <f t="shared" si="3"/>
        <v>0</v>
      </c>
      <c r="G106" s="4"/>
      <c r="H106" s="177"/>
      <c r="I106" s="177"/>
    </row>
    <row r="107" spans="1:9">
      <c r="A107" s="154">
        <v>98</v>
      </c>
      <c r="B107" s="305"/>
      <c r="C107" s="306"/>
      <c r="D107" s="306"/>
      <c r="E107" s="306"/>
      <c r="F107" s="36">
        <f t="shared" si="3"/>
        <v>0</v>
      </c>
      <c r="G107" s="4"/>
      <c r="H107" s="177"/>
      <c r="I107" s="177"/>
    </row>
    <row r="108" spans="1:9">
      <c r="A108" s="154">
        <v>99</v>
      </c>
      <c r="B108" s="305"/>
      <c r="C108" s="306"/>
      <c r="D108" s="306"/>
      <c r="E108" s="306"/>
      <c r="F108" s="36">
        <f t="shared" si="3"/>
        <v>0</v>
      </c>
      <c r="G108" s="4"/>
      <c r="H108" s="177"/>
      <c r="I108" s="177"/>
    </row>
    <row r="109" spans="1:9">
      <c r="A109" s="154">
        <v>100</v>
      </c>
      <c r="B109" s="305"/>
      <c r="C109" s="306"/>
      <c r="D109" s="306"/>
      <c r="E109" s="306"/>
      <c r="F109" s="36">
        <f t="shared" si="3"/>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F3:H3"/>
    <mergeCell ref="B4:C4"/>
    <mergeCell ref="B3:C3"/>
    <mergeCell ref="F5:H5"/>
    <mergeCell ref="F6:H6"/>
  </mergeCells>
  <conditionalFormatting sqref="A2:I4 A7:I114 A5:F6 I5:I6">
    <cfRule type="expression" dxfId="15" priority="1" stopIfTrue="1">
      <formula>CELL("Protect",A2)=1</formula>
    </cfRule>
  </conditionalFormatting>
  <dataValidations count="1">
    <dataValidation type="list" allowBlank="1" showInputMessage="1" showErrorMessage="1" sqref="F5:H5" xr:uid="{00000000-0002-0000-0400-000000000000}">
      <formula1>Units</formula1>
    </dataValidation>
  </dataValidation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tabColor theme="6" tint="0.59999389629810485"/>
  </sheetPr>
  <dimension ref="A1:I114"/>
  <sheetViews>
    <sheetView workbookViewId="0">
      <pane ySplit="9" topLeftCell="A92"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82</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2007</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2007</v>
      </c>
      <c r="C9" s="181">
        <f>'START HERE'!$K$3</f>
        <v>2007</v>
      </c>
      <c r="D9" s="181">
        <f>'START HERE'!$K$3</f>
        <v>2007</v>
      </c>
      <c r="E9" s="181">
        <f>'START HERE'!$K$3</f>
        <v>2007</v>
      </c>
      <c r="F9" s="180">
        <f>'START HERE'!$K$3</f>
        <v>2007</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4" priority="1" stopIfTrue="1">
      <formula>CELL("Protect",A2)=1</formula>
    </cfRule>
  </conditionalFormatting>
  <dataValidations count="1">
    <dataValidation type="list" allowBlank="1" showInputMessage="1" showErrorMessage="1" sqref="F5:H5" xr:uid="{00000000-0002-0000-0500-000000000000}">
      <formula1>Units</formula1>
    </dataValidation>
  </dataValidation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tabColor theme="6" tint="0.59999389629810485"/>
  </sheetPr>
  <dimension ref="A1:I114"/>
  <sheetViews>
    <sheetView workbookViewId="0">
      <pane ySplit="9" topLeftCell="A79"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83</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2007</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2007</v>
      </c>
      <c r="C9" s="181">
        <f>'START HERE'!$K$3</f>
        <v>2007</v>
      </c>
      <c r="D9" s="181">
        <f>'START HERE'!$K$3</f>
        <v>2007</v>
      </c>
      <c r="E9" s="181">
        <f>'START HERE'!$K$3</f>
        <v>2007</v>
      </c>
      <c r="F9" s="180">
        <f>'START HERE'!$K$3</f>
        <v>2007</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3" priority="1" stopIfTrue="1">
      <formula>CELL("Protect",A2)=1</formula>
    </cfRule>
  </conditionalFormatting>
  <dataValidations count="1">
    <dataValidation type="list" allowBlank="1" showInputMessage="1" showErrorMessage="1" sqref="F5:H5" xr:uid="{00000000-0002-0000-0600-000000000000}">
      <formula1>Units</formula1>
    </dataValidation>
  </dataValidation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theme="6" tint="0.59999389629810485"/>
  </sheetPr>
  <dimension ref="A1:I114"/>
  <sheetViews>
    <sheetView workbookViewId="0">
      <pane ySplit="9" topLeftCell="A30" activePane="bottomLeft" state="frozen"/>
      <selection activeCell="G5" sqref="G5:J5"/>
      <selection pane="bottomLeft" activeCell="C34" sqref="C34:C64"/>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84</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2007</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2007</v>
      </c>
      <c r="C9" s="181">
        <f>'START HERE'!$K$3</f>
        <v>2007</v>
      </c>
      <c r="D9" s="181">
        <f>'START HERE'!$K$3</f>
        <v>2007</v>
      </c>
      <c r="E9" s="181">
        <f>'START HERE'!$K$3</f>
        <v>2007</v>
      </c>
      <c r="F9" s="180">
        <f>'START HERE'!$K$3</f>
        <v>2007</v>
      </c>
      <c r="G9" s="4"/>
      <c r="H9" s="177"/>
      <c r="I9" s="177"/>
    </row>
    <row r="10" spans="1:9">
      <c r="A10" s="154">
        <v>1</v>
      </c>
      <c r="B10" s="305"/>
      <c r="C10" s="306"/>
      <c r="D10" s="306"/>
      <c r="E10" s="306"/>
      <c r="F10" s="36">
        <f t="shared" ref="F10:F2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v>0</v>
      </c>
      <c r="D24" s="306"/>
      <c r="E24" s="306"/>
      <c r="F24" s="36"/>
      <c r="G24" s="29"/>
      <c r="H24" s="177"/>
      <c r="I24" s="177"/>
    </row>
    <row r="25" spans="1:9">
      <c r="A25" s="154">
        <v>16</v>
      </c>
      <c r="B25" s="305"/>
      <c r="C25" s="306">
        <v>0</v>
      </c>
      <c r="D25" s="306"/>
      <c r="E25" s="306"/>
      <c r="F25" s="36"/>
      <c r="G25" s="4"/>
      <c r="H25" s="177"/>
      <c r="I25" s="177"/>
    </row>
    <row r="26" spans="1:9">
      <c r="A26" s="154">
        <v>17</v>
      </c>
      <c r="B26" s="305"/>
      <c r="C26" s="306"/>
      <c r="D26" s="306"/>
      <c r="E26" s="306"/>
      <c r="F26" s="36"/>
      <c r="G26" s="4"/>
      <c r="H26" s="177"/>
      <c r="I26" s="177"/>
    </row>
    <row r="27" spans="1:9">
      <c r="A27" s="154">
        <v>18</v>
      </c>
      <c r="B27" s="305"/>
      <c r="C27" s="306"/>
      <c r="D27" s="306"/>
      <c r="E27" s="306"/>
      <c r="F27" s="36"/>
      <c r="G27" s="4"/>
      <c r="H27" s="177"/>
      <c r="I27" s="177"/>
    </row>
    <row r="28" spans="1:9">
      <c r="A28" s="154">
        <v>19</v>
      </c>
      <c r="B28" s="305"/>
      <c r="C28" s="306"/>
      <c r="D28" s="306"/>
      <c r="E28" s="306"/>
      <c r="F28" s="36"/>
      <c r="G28" s="4"/>
      <c r="H28" s="177"/>
      <c r="I28" s="177"/>
    </row>
    <row r="29" spans="1:9">
      <c r="A29" s="154">
        <v>20</v>
      </c>
      <c r="B29" s="305"/>
      <c r="C29" s="306"/>
      <c r="D29" s="306"/>
      <c r="E29" s="306"/>
      <c r="F29" s="36"/>
      <c r="G29" s="4"/>
      <c r="H29" s="177"/>
      <c r="I29" s="177"/>
    </row>
    <row r="30" spans="1:9">
      <c r="A30" s="154">
        <v>21</v>
      </c>
      <c r="B30" s="305"/>
      <c r="C30" s="306"/>
      <c r="D30" s="306"/>
      <c r="E30" s="306"/>
      <c r="F30" s="36"/>
      <c r="G30" s="4"/>
      <c r="H30" s="177"/>
      <c r="I30" s="177"/>
    </row>
    <row r="31" spans="1:9">
      <c r="A31" s="154">
        <v>22</v>
      </c>
      <c r="B31" s="305"/>
      <c r="C31" s="306"/>
      <c r="D31" s="306"/>
      <c r="E31" s="306"/>
      <c r="F31" s="36"/>
      <c r="G31" s="4"/>
      <c r="H31" s="177"/>
      <c r="I31" s="177"/>
    </row>
    <row r="32" spans="1:9">
      <c r="A32" s="154">
        <v>23</v>
      </c>
      <c r="B32" s="305"/>
      <c r="C32" s="306"/>
      <c r="D32" s="306"/>
      <c r="E32" s="306"/>
      <c r="F32" s="36"/>
      <c r="G32" s="4"/>
      <c r="H32" s="177"/>
      <c r="I32" s="177"/>
    </row>
    <row r="33" spans="1:9">
      <c r="A33" s="154">
        <v>24</v>
      </c>
      <c r="B33" s="305"/>
      <c r="C33" s="306"/>
      <c r="D33" s="306"/>
      <c r="E33" s="306"/>
      <c r="F33" s="36"/>
      <c r="G33" s="4"/>
      <c r="H33" s="177"/>
      <c r="I33" s="177"/>
    </row>
    <row r="34" spans="1:9">
      <c r="A34" s="154">
        <v>25</v>
      </c>
      <c r="B34" s="305"/>
      <c r="C34" s="306">
        <v>0</v>
      </c>
      <c r="D34" s="306"/>
      <c r="E34" s="306"/>
      <c r="F34" s="36"/>
      <c r="G34" s="4"/>
      <c r="H34" s="177"/>
      <c r="I34" s="177"/>
    </row>
    <row r="35" spans="1:9">
      <c r="A35" s="154">
        <v>26</v>
      </c>
      <c r="B35" s="305"/>
      <c r="C35" s="306">
        <v>170.16109688251998</v>
      </c>
      <c r="D35" s="306"/>
      <c r="E35" s="306"/>
      <c r="F35" s="36"/>
      <c r="G35" s="4"/>
      <c r="H35" s="177"/>
      <c r="I35" s="177"/>
    </row>
    <row r="36" spans="1:9">
      <c r="A36" s="154">
        <v>27</v>
      </c>
      <c r="B36" s="305"/>
      <c r="C36" s="306">
        <v>4254.0274220629999</v>
      </c>
      <c r="D36" s="306"/>
      <c r="E36" s="306"/>
      <c r="F36" s="36"/>
      <c r="G36" s="4"/>
      <c r="H36" s="177"/>
      <c r="I36" s="177"/>
    </row>
    <row r="37" spans="1:9">
      <c r="A37" s="154">
        <v>28</v>
      </c>
      <c r="B37" s="305"/>
      <c r="C37" s="306">
        <v>21440.29820719752</v>
      </c>
      <c r="D37" s="306"/>
      <c r="E37" s="306"/>
      <c r="F37" s="36"/>
      <c r="G37" s="4"/>
      <c r="H37" s="177"/>
      <c r="I37" s="177"/>
    </row>
    <row r="38" spans="1:9">
      <c r="A38" s="154">
        <v>29</v>
      </c>
      <c r="B38" s="305"/>
      <c r="C38" s="306">
        <v>47730.187675546855</v>
      </c>
      <c r="D38" s="306"/>
      <c r="E38" s="306"/>
      <c r="F38" s="36"/>
      <c r="G38" s="4"/>
      <c r="H38" s="177"/>
      <c r="I38" s="177"/>
    </row>
    <row r="39" spans="1:9">
      <c r="A39" s="154">
        <v>30</v>
      </c>
      <c r="B39" s="305"/>
      <c r="C39" s="306">
        <v>100990.6109997756</v>
      </c>
      <c r="D39" s="306"/>
      <c r="E39" s="306"/>
      <c r="F39" s="36"/>
      <c r="G39" s="4"/>
      <c r="H39" s="177"/>
      <c r="I39" s="177"/>
    </row>
    <row r="40" spans="1:9">
      <c r="A40" s="154">
        <v>31</v>
      </c>
      <c r="B40" s="305"/>
      <c r="C40" s="306">
        <v>140723.22712184404</v>
      </c>
      <c r="D40" s="306"/>
      <c r="E40" s="306"/>
      <c r="F40" s="36"/>
      <c r="G40" s="4"/>
      <c r="H40" s="177"/>
      <c r="I40" s="177"/>
    </row>
    <row r="41" spans="1:9">
      <c r="A41" s="154">
        <v>32</v>
      </c>
      <c r="B41" s="305"/>
      <c r="C41" s="306">
        <v>138851.4550561363</v>
      </c>
      <c r="D41" s="306"/>
      <c r="E41" s="306"/>
      <c r="F41" s="36"/>
      <c r="G41" s="4"/>
      <c r="H41" s="177"/>
      <c r="I41" s="177"/>
    </row>
    <row r="42" spans="1:9">
      <c r="A42" s="154">
        <v>33</v>
      </c>
      <c r="B42" s="305"/>
      <c r="C42" s="306">
        <v>118432.12343023391</v>
      </c>
      <c r="D42" s="306"/>
      <c r="E42" s="306"/>
      <c r="F42" s="36"/>
      <c r="G42" s="4"/>
      <c r="H42" s="177"/>
      <c r="I42" s="177"/>
    </row>
    <row r="43" spans="1:9">
      <c r="A43" s="154">
        <v>34</v>
      </c>
      <c r="B43" s="305"/>
      <c r="C43" s="306">
        <v>107371.65213287011</v>
      </c>
      <c r="D43" s="306"/>
      <c r="E43" s="306"/>
      <c r="F43" s="36"/>
      <c r="G43" s="4"/>
      <c r="H43" s="177"/>
      <c r="I43" s="177"/>
    </row>
    <row r="44" spans="1:9">
      <c r="A44" s="154">
        <v>35</v>
      </c>
      <c r="B44" s="305"/>
      <c r="C44" s="306">
        <v>89504.736960205526</v>
      </c>
      <c r="D44" s="306"/>
      <c r="E44" s="306"/>
      <c r="F44" s="36"/>
      <c r="G44" s="4"/>
      <c r="H44" s="177"/>
      <c r="I44" s="177"/>
    </row>
    <row r="45" spans="1:9">
      <c r="A45" s="154">
        <v>36</v>
      </c>
      <c r="B45" s="305"/>
      <c r="C45" s="306">
        <v>51303.570710079774</v>
      </c>
      <c r="D45" s="306"/>
      <c r="E45" s="306"/>
      <c r="F45" s="36"/>
      <c r="G45" s="4"/>
      <c r="H45" s="177"/>
      <c r="I45" s="177"/>
    </row>
    <row r="46" spans="1:9">
      <c r="A46" s="154">
        <v>37</v>
      </c>
      <c r="B46" s="305"/>
      <c r="C46" s="306">
        <v>40838.663251804792</v>
      </c>
      <c r="D46" s="306"/>
      <c r="E46" s="306"/>
      <c r="F46" s="36"/>
      <c r="G46" s="4"/>
      <c r="H46" s="177"/>
      <c r="I46" s="177"/>
    </row>
    <row r="47" spans="1:9">
      <c r="A47" s="154">
        <v>38</v>
      </c>
      <c r="B47" s="305"/>
      <c r="C47" s="306">
        <v>32585.850053002578</v>
      </c>
      <c r="D47" s="306"/>
      <c r="E47" s="306"/>
      <c r="F47" s="36"/>
      <c r="G47" s="4"/>
      <c r="H47" s="177"/>
      <c r="I47" s="177"/>
    </row>
    <row r="48" spans="1:9">
      <c r="A48" s="154">
        <v>39</v>
      </c>
      <c r="B48" s="305"/>
      <c r="C48" s="306">
        <v>23822.553563552796</v>
      </c>
      <c r="D48" s="306"/>
      <c r="E48" s="306"/>
      <c r="F48" s="36"/>
      <c r="G48" s="4"/>
      <c r="H48" s="177"/>
      <c r="I48" s="177"/>
    </row>
    <row r="49" spans="1:9">
      <c r="A49" s="154">
        <v>40</v>
      </c>
      <c r="B49" s="305"/>
      <c r="C49" s="306">
        <v>19228.20394772476</v>
      </c>
      <c r="D49" s="306"/>
      <c r="E49" s="306"/>
      <c r="F49" s="36"/>
      <c r="G49" s="4"/>
      <c r="H49" s="177"/>
      <c r="I49" s="177"/>
    </row>
    <row r="50" spans="1:9">
      <c r="A50" s="154">
        <v>41</v>
      </c>
      <c r="B50" s="305"/>
      <c r="C50" s="306">
        <v>13272.565556836558</v>
      </c>
      <c r="D50" s="306"/>
      <c r="E50" s="306"/>
      <c r="F50" s="36"/>
      <c r="G50" s="4"/>
      <c r="H50" s="177"/>
      <c r="I50" s="177"/>
    </row>
    <row r="51" spans="1:9">
      <c r="A51" s="154">
        <v>42</v>
      </c>
      <c r="B51" s="305"/>
      <c r="C51" s="306">
        <v>14123.371041249158</v>
      </c>
      <c r="D51" s="306"/>
      <c r="E51" s="306"/>
      <c r="F51" s="36"/>
      <c r="G51" s="4"/>
      <c r="H51" s="177"/>
      <c r="I51" s="177"/>
    </row>
    <row r="52" spans="1:9">
      <c r="A52" s="154">
        <v>43</v>
      </c>
      <c r="B52" s="305"/>
      <c r="C52" s="306">
        <v>9954.4241676274178</v>
      </c>
      <c r="D52" s="306"/>
      <c r="E52" s="306"/>
      <c r="F52" s="36"/>
      <c r="G52" s="4"/>
      <c r="H52" s="177"/>
      <c r="I52" s="177"/>
    </row>
    <row r="53" spans="1:9">
      <c r="A53" s="154">
        <v>44</v>
      </c>
      <c r="B53" s="305"/>
      <c r="C53" s="306">
        <v>11230.632394246319</v>
      </c>
      <c r="D53" s="306"/>
      <c r="E53" s="306"/>
      <c r="F53" s="36"/>
      <c r="G53" s="4"/>
      <c r="H53" s="177"/>
      <c r="I53" s="177"/>
    </row>
    <row r="54" spans="1:9">
      <c r="A54" s="154">
        <v>45</v>
      </c>
      <c r="B54" s="305"/>
      <c r="C54" s="306">
        <v>5530.2356486818999</v>
      </c>
      <c r="D54" s="306"/>
      <c r="E54" s="306"/>
      <c r="F54" s="36"/>
      <c r="G54" s="4"/>
      <c r="H54" s="177"/>
      <c r="I54" s="177"/>
    </row>
    <row r="55" spans="1:9">
      <c r="A55" s="154">
        <v>46</v>
      </c>
      <c r="B55" s="305"/>
      <c r="C55" s="306">
        <v>2722.5775501203198</v>
      </c>
      <c r="D55" s="306"/>
      <c r="E55" s="306"/>
      <c r="F55" s="36"/>
      <c r="G55" s="4"/>
      <c r="H55" s="177"/>
      <c r="I55" s="177"/>
    </row>
    <row r="56" spans="1:9">
      <c r="A56" s="154">
        <v>47</v>
      </c>
      <c r="B56" s="305"/>
      <c r="C56" s="306">
        <v>3658.4635829741801</v>
      </c>
      <c r="D56" s="306"/>
      <c r="E56" s="306"/>
      <c r="F56" s="36"/>
      <c r="G56" s="4"/>
      <c r="H56" s="177"/>
      <c r="I56" s="177"/>
    </row>
    <row r="57" spans="1:9">
      <c r="A57" s="154">
        <v>48</v>
      </c>
      <c r="B57" s="305"/>
      <c r="C57" s="306">
        <v>1106.0471297363799</v>
      </c>
      <c r="D57" s="306"/>
      <c r="E57" s="306"/>
      <c r="F57" s="36"/>
      <c r="G57" s="4"/>
      <c r="H57" s="177"/>
      <c r="I57" s="177"/>
    </row>
    <row r="58" spans="1:9">
      <c r="A58" s="154">
        <v>49</v>
      </c>
      <c r="B58" s="305"/>
      <c r="C58" s="306">
        <v>425.40274220629993</v>
      </c>
      <c r="D58" s="306"/>
      <c r="E58" s="306"/>
      <c r="F58" s="36"/>
      <c r="G58" s="4"/>
      <c r="H58" s="177"/>
      <c r="I58" s="177"/>
    </row>
    <row r="59" spans="1:9">
      <c r="A59" s="154">
        <v>50</v>
      </c>
      <c r="B59" s="305"/>
      <c r="C59" s="306">
        <v>255.24164532378001</v>
      </c>
      <c r="D59" s="306"/>
      <c r="E59" s="306"/>
      <c r="F59" s="36"/>
      <c r="G59" s="4"/>
      <c r="H59" s="177"/>
      <c r="I59" s="177"/>
    </row>
    <row r="60" spans="1:9">
      <c r="A60" s="154">
        <v>51</v>
      </c>
      <c r="B60" s="305"/>
      <c r="C60" s="306">
        <v>0</v>
      </c>
      <c r="D60" s="306"/>
      <c r="E60" s="306"/>
      <c r="F60" s="36"/>
      <c r="G60" s="4"/>
      <c r="H60" s="177"/>
      <c r="I60" s="177"/>
    </row>
    <row r="61" spans="1:9">
      <c r="A61" s="154">
        <v>52</v>
      </c>
      <c r="B61" s="305"/>
      <c r="C61" s="306">
        <v>0</v>
      </c>
      <c r="D61" s="306"/>
      <c r="E61" s="306"/>
      <c r="F61" s="36"/>
      <c r="G61" s="4"/>
      <c r="H61" s="177"/>
      <c r="I61" s="177"/>
    </row>
    <row r="62" spans="1:9">
      <c r="A62" s="154">
        <v>53</v>
      </c>
      <c r="B62" s="305"/>
      <c r="C62" s="306">
        <v>0</v>
      </c>
      <c r="D62" s="306"/>
      <c r="E62" s="306"/>
      <c r="F62" s="36"/>
      <c r="G62" s="4"/>
      <c r="H62" s="177"/>
      <c r="I62" s="177"/>
    </row>
    <row r="63" spans="1:9">
      <c r="A63" s="154">
        <v>54</v>
      </c>
      <c r="B63" s="305"/>
      <c r="C63" s="306">
        <v>85.080548441259992</v>
      </c>
      <c r="D63" s="306"/>
      <c r="E63" s="306"/>
      <c r="F63" s="36"/>
      <c r="G63" s="4"/>
      <c r="H63" s="177"/>
      <c r="I63" s="177"/>
    </row>
    <row r="64" spans="1:9">
      <c r="A64" s="154">
        <v>55</v>
      </c>
      <c r="B64" s="305"/>
      <c r="C64" s="306">
        <v>0</v>
      </c>
      <c r="D64" s="306"/>
      <c r="E64" s="306"/>
      <c r="F64" s="36"/>
      <c r="G64" s="4"/>
      <c r="H64" s="177"/>
      <c r="I64" s="177"/>
    </row>
    <row r="65" spans="1:9">
      <c r="A65" s="154">
        <v>56</v>
      </c>
      <c r="B65" s="305"/>
      <c r="C65" s="306"/>
      <c r="D65" s="306"/>
      <c r="E65" s="306"/>
      <c r="F65" s="36"/>
      <c r="G65" s="4"/>
      <c r="H65" s="177"/>
      <c r="I65" s="177"/>
    </row>
    <row r="66" spans="1:9">
      <c r="A66" s="154">
        <v>57</v>
      </c>
      <c r="B66" s="305"/>
      <c r="C66" s="306"/>
      <c r="D66" s="306"/>
      <c r="E66" s="306"/>
      <c r="F66" s="36"/>
      <c r="G66" s="4"/>
      <c r="H66" s="177"/>
      <c r="I66" s="177"/>
    </row>
    <row r="67" spans="1:9">
      <c r="A67" s="154">
        <v>58</v>
      </c>
      <c r="B67" s="305"/>
      <c r="C67" s="306"/>
      <c r="D67" s="306"/>
      <c r="E67" s="306"/>
      <c r="F67" s="36"/>
      <c r="G67" s="4"/>
      <c r="H67" s="177"/>
      <c r="I67" s="177"/>
    </row>
    <row r="68" spans="1:9">
      <c r="A68" s="154">
        <v>59</v>
      </c>
      <c r="B68" s="305"/>
      <c r="C68" s="306"/>
      <c r="D68" s="306"/>
      <c r="E68" s="306"/>
      <c r="F68" s="36"/>
      <c r="G68" s="4"/>
      <c r="H68" s="177"/>
      <c r="I68" s="177"/>
    </row>
    <row r="69" spans="1:9">
      <c r="A69" s="154">
        <v>60</v>
      </c>
      <c r="B69" s="305"/>
      <c r="C69" s="306"/>
      <c r="D69" s="306"/>
      <c r="E69" s="306"/>
      <c r="F69" s="36"/>
      <c r="G69" s="4"/>
      <c r="H69" s="177"/>
      <c r="I69" s="177"/>
    </row>
    <row r="70" spans="1:9">
      <c r="A70" s="154">
        <v>61</v>
      </c>
      <c r="B70" s="305"/>
      <c r="C70" s="306"/>
      <c r="D70" s="306"/>
      <c r="E70" s="306"/>
      <c r="F70" s="36"/>
      <c r="G70" s="4"/>
      <c r="H70" s="177"/>
      <c r="I70" s="177"/>
    </row>
    <row r="71" spans="1:9">
      <c r="A71" s="154">
        <v>62</v>
      </c>
      <c r="B71" s="305"/>
      <c r="C71" s="306"/>
      <c r="D71" s="306"/>
      <c r="E71" s="306"/>
      <c r="F71" s="36"/>
      <c r="G71" s="4"/>
      <c r="H71" s="177"/>
      <c r="I71" s="177"/>
    </row>
    <row r="72" spans="1:9">
      <c r="A72" s="154">
        <v>63</v>
      </c>
      <c r="B72" s="305"/>
      <c r="C72" s="306"/>
      <c r="D72" s="306"/>
      <c r="E72" s="306"/>
      <c r="F72" s="36"/>
      <c r="G72" s="4"/>
      <c r="H72" s="177"/>
      <c r="I72" s="177"/>
    </row>
    <row r="73" spans="1:9">
      <c r="A73" s="154">
        <v>64</v>
      </c>
      <c r="B73" s="305"/>
      <c r="C73" s="306"/>
      <c r="D73" s="306"/>
      <c r="E73" s="306"/>
      <c r="F73" s="36"/>
      <c r="G73" s="4"/>
      <c r="H73" s="177"/>
      <c r="I73" s="177"/>
    </row>
    <row r="74" spans="1:9">
      <c r="A74" s="154">
        <v>65</v>
      </c>
      <c r="B74" s="305"/>
      <c r="C74" s="306"/>
      <c r="D74" s="306"/>
      <c r="E74" s="306"/>
      <c r="F74" s="36"/>
      <c r="G74" s="4"/>
      <c r="H74" s="177"/>
      <c r="I74" s="177"/>
    </row>
    <row r="75" spans="1:9">
      <c r="A75" s="154">
        <v>66</v>
      </c>
      <c r="B75" s="305"/>
      <c r="C75" s="306"/>
      <c r="D75" s="306"/>
      <c r="E75" s="306"/>
      <c r="F75" s="36"/>
      <c r="G75" s="4"/>
      <c r="H75" s="177"/>
      <c r="I75" s="177"/>
    </row>
    <row r="76" spans="1:9">
      <c r="A76" s="154">
        <v>67</v>
      </c>
      <c r="B76" s="305"/>
      <c r="C76" s="306"/>
      <c r="D76" s="306"/>
      <c r="E76" s="306"/>
      <c r="F76" s="36"/>
      <c r="G76" s="4"/>
      <c r="H76" s="177"/>
      <c r="I76" s="177"/>
    </row>
    <row r="77" spans="1:9">
      <c r="A77" s="154">
        <v>68</v>
      </c>
      <c r="B77" s="305"/>
      <c r="C77" s="306"/>
      <c r="D77" s="306"/>
      <c r="E77" s="306"/>
      <c r="F77" s="36"/>
      <c r="G77" s="4"/>
      <c r="H77" s="177"/>
      <c r="I77" s="177"/>
    </row>
    <row r="78" spans="1:9">
      <c r="A78" s="154">
        <v>69</v>
      </c>
      <c r="B78" s="305"/>
      <c r="C78" s="306"/>
      <c r="D78" s="306"/>
      <c r="E78" s="306"/>
      <c r="F78" s="36"/>
      <c r="G78" s="4"/>
      <c r="H78" s="177"/>
      <c r="I78" s="177"/>
    </row>
    <row r="79" spans="1:9">
      <c r="A79" s="154">
        <v>70</v>
      </c>
      <c r="B79" s="305"/>
      <c r="C79" s="306"/>
      <c r="D79" s="306"/>
      <c r="E79" s="306"/>
      <c r="F79" s="36"/>
      <c r="G79" s="4"/>
      <c r="H79" s="177"/>
      <c r="I79" s="177"/>
    </row>
    <row r="80" spans="1:9">
      <c r="A80" s="154">
        <v>71</v>
      </c>
      <c r="B80" s="305"/>
      <c r="C80" s="306"/>
      <c r="D80" s="306"/>
      <c r="E80" s="306"/>
      <c r="F80" s="36"/>
      <c r="G80" s="4"/>
      <c r="H80" s="177"/>
      <c r="I80" s="177"/>
    </row>
    <row r="81" spans="1:9">
      <c r="A81" s="154">
        <v>72</v>
      </c>
      <c r="B81" s="305"/>
      <c r="C81" s="306"/>
      <c r="D81" s="306"/>
      <c r="E81" s="306"/>
      <c r="F81" s="36"/>
      <c r="G81" s="4"/>
      <c r="H81" s="177"/>
      <c r="I81" s="177"/>
    </row>
    <row r="82" spans="1:9">
      <c r="A82" s="154">
        <v>73</v>
      </c>
      <c r="B82" s="305"/>
      <c r="C82" s="306"/>
      <c r="D82" s="306"/>
      <c r="E82" s="306"/>
      <c r="F82" s="36"/>
      <c r="G82" s="4"/>
      <c r="H82" s="177"/>
      <c r="I82" s="177"/>
    </row>
    <row r="83" spans="1:9">
      <c r="A83" s="154">
        <v>74</v>
      </c>
      <c r="B83" s="305"/>
      <c r="C83" s="306"/>
      <c r="D83" s="306"/>
      <c r="E83" s="306"/>
      <c r="F83" s="36"/>
      <c r="G83" s="4"/>
      <c r="H83" s="177"/>
      <c r="I83" s="177"/>
    </row>
    <row r="84" spans="1:9">
      <c r="A84" s="154">
        <v>75</v>
      </c>
      <c r="B84" s="305"/>
      <c r="C84" s="306"/>
      <c r="D84" s="306"/>
      <c r="E84" s="306"/>
      <c r="F84" s="36"/>
      <c r="G84" s="4"/>
      <c r="H84" s="177"/>
      <c r="I84" s="177"/>
    </row>
    <row r="85" spans="1:9">
      <c r="A85" s="154">
        <v>76</v>
      </c>
      <c r="B85" s="305"/>
      <c r="C85" s="306"/>
      <c r="D85" s="306"/>
      <c r="E85" s="306"/>
      <c r="F85" s="36"/>
      <c r="G85" s="4"/>
      <c r="H85" s="177"/>
      <c r="I85" s="177"/>
    </row>
    <row r="86" spans="1:9">
      <c r="A86" s="154">
        <v>77</v>
      </c>
      <c r="B86" s="305"/>
      <c r="C86" s="306"/>
      <c r="D86" s="306"/>
      <c r="E86" s="306"/>
      <c r="F86" s="36"/>
      <c r="G86" s="4"/>
      <c r="H86" s="177"/>
      <c r="I86" s="177"/>
    </row>
    <row r="87" spans="1:9">
      <c r="A87" s="154">
        <v>78</v>
      </c>
      <c r="B87" s="305"/>
      <c r="C87" s="306"/>
      <c r="D87" s="306"/>
      <c r="E87" s="306"/>
      <c r="F87" s="36"/>
      <c r="G87" s="4"/>
      <c r="H87" s="177"/>
      <c r="I87" s="177"/>
    </row>
    <row r="88" spans="1:9">
      <c r="A88" s="154">
        <v>79</v>
      </c>
      <c r="B88" s="305"/>
      <c r="C88" s="306"/>
      <c r="D88" s="306"/>
      <c r="E88" s="306"/>
      <c r="F88" s="36"/>
      <c r="G88" s="4"/>
      <c r="H88" s="177"/>
      <c r="I88" s="177"/>
    </row>
    <row r="89" spans="1:9">
      <c r="A89" s="154">
        <v>80</v>
      </c>
      <c r="B89" s="305"/>
      <c r="C89" s="306"/>
      <c r="D89" s="306"/>
      <c r="E89" s="306"/>
      <c r="F89" s="36"/>
      <c r="G89" s="4"/>
      <c r="H89" s="177"/>
      <c r="I89" s="177"/>
    </row>
    <row r="90" spans="1:9">
      <c r="A90" s="154">
        <v>81</v>
      </c>
      <c r="B90" s="305"/>
      <c r="C90" s="306"/>
      <c r="D90" s="306"/>
      <c r="E90" s="306"/>
      <c r="F90" s="36"/>
      <c r="G90" s="4"/>
      <c r="H90" s="177"/>
      <c r="I90" s="177"/>
    </row>
    <row r="91" spans="1:9">
      <c r="A91" s="154">
        <v>82</v>
      </c>
      <c r="B91" s="305"/>
      <c r="C91" s="306"/>
      <c r="D91" s="306"/>
      <c r="E91" s="306"/>
      <c r="F91" s="36"/>
      <c r="G91" s="4"/>
      <c r="H91" s="177"/>
      <c r="I91" s="177"/>
    </row>
    <row r="92" spans="1:9">
      <c r="A92" s="154">
        <v>83</v>
      </c>
      <c r="B92" s="305"/>
      <c r="C92" s="306"/>
      <c r="D92" s="306"/>
      <c r="E92" s="306"/>
      <c r="F92" s="36"/>
      <c r="G92" s="4"/>
      <c r="H92" s="177"/>
      <c r="I92" s="177"/>
    </row>
    <row r="93" spans="1:9">
      <c r="A93" s="154">
        <v>84</v>
      </c>
      <c r="B93" s="305"/>
      <c r="C93" s="306"/>
      <c r="D93" s="306"/>
      <c r="E93" s="306"/>
      <c r="F93" s="36"/>
      <c r="G93" s="4"/>
      <c r="H93" s="177"/>
      <c r="I93" s="177"/>
    </row>
    <row r="94" spans="1:9">
      <c r="A94" s="154">
        <v>85</v>
      </c>
      <c r="B94" s="305"/>
      <c r="C94" s="306"/>
      <c r="D94" s="306"/>
      <c r="E94" s="306"/>
      <c r="F94" s="36"/>
      <c r="G94" s="4"/>
      <c r="H94" s="177"/>
      <c r="I94" s="177"/>
    </row>
    <row r="95" spans="1:9">
      <c r="A95" s="154">
        <v>86</v>
      </c>
      <c r="B95" s="305"/>
      <c r="C95" s="306"/>
      <c r="D95" s="306"/>
      <c r="E95" s="306"/>
      <c r="F95" s="36"/>
      <c r="G95" s="4"/>
      <c r="H95" s="177"/>
      <c r="I95" s="177"/>
    </row>
    <row r="96" spans="1:9">
      <c r="A96" s="154">
        <v>87</v>
      </c>
      <c r="B96" s="305"/>
      <c r="C96" s="306"/>
      <c r="D96" s="306"/>
      <c r="E96" s="306"/>
      <c r="F96" s="36"/>
      <c r="G96" s="4"/>
      <c r="H96" s="177"/>
      <c r="I96" s="177"/>
    </row>
    <row r="97" spans="1:9">
      <c r="A97" s="154">
        <v>88</v>
      </c>
      <c r="B97" s="305"/>
      <c r="C97" s="306"/>
      <c r="D97" s="306"/>
      <c r="E97" s="306"/>
      <c r="F97" s="36"/>
      <c r="G97" s="4"/>
      <c r="H97" s="177"/>
      <c r="I97" s="177"/>
    </row>
    <row r="98" spans="1:9">
      <c r="A98" s="154">
        <v>89</v>
      </c>
      <c r="B98" s="305"/>
      <c r="C98" s="306"/>
      <c r="D98" s="306"/>
      <c r="E98" s="306"/>
      <c r="F98" s="36"/>
      <c r="G98" s="4"/>
      <c r="H98" s="177"/>
      <c r="I98" s="177"/>
    </row>
    <row r="99" spans="1:9">
      <c r="A99" s="154">
        <v>90</v>
      </c>
      <c r="B99" s="305"/>
      <c r="C99" s="306"/>
      <c r="D99" s="306"/>
      <c r="E99" s="306"/>
      <c r="F99" s="36"/>
      <c r="G99" s="4"/>
      <c r="H99" s="177"/>
      <c r="I99" s="177"/>
    </row>
    <row r="100" spans="1:9">
      <c r="A100" s="154">
        <v>91</v>
      </c>
      <c r="B100" s="305"/>
      <c r="C100" s="306"/>
      <c r="D100" s="306"/>
      <c r="E100" s="306"/>
      <c r="F100" s="36"/>
      <c r="G100" s="4"/>
      <c r="H100" s="177"/>
      <c r="I100" s="177"/>
    </row>
    <row r="101" spans="1:9">
      <c r="A101" s="154">
        <v>92</v>
      </c>
      <c r="B101" s="305"/>
      <c r="C101" s="306"/>
      <c r="D101" s="306"/>
      <c r="E101" s="306"/>
      <c r="F101" s="36"/>
      <c r="G101" s="4"/>
      <c r="H101" s="177"/>
      <c r="I101" s="177"/>
    </row>
    <row r="102" spans="1:9">
      <c r="A102" s="154">
        <v>93</v>
      </c>
      <c r="B102" s="305"/>
      <c r="C102" s="306"/>
      <c r="D102" s="306"/>
      <c r="E102" s="306"/>
      <c r="F102" s="36"/>
      <c r="G102" s="4"/>
      <c r="H102" s="177"/>
      <c r="I102" s="177"/>
    </row>
    <row r="103" spans="1:9">
      <c r="A103" s="154">
        <v>94</v>
      </c>
      <c r="B103" s="305"/>
      <c r="C103" s="306"/>
      <c r="D103" s="306"/>
      <c r="E103" s="306"/>
      <c r="F103" s="36"/>
      <c r="G103" s="4"/>
      <c r="H103" s="177"/>
      <c r="I103" s="177"/>
    </row>
    <row r="104" spans="1:9">
      <c r="A104" s="154">
        <v>95</v>
      </c>
      <c r="B104" s="305"/>
      <c r="C104" s="306"/>
      <c r="D104" s="306"/>
      <c r="E104" s="306"/>
      <c r="F104" s="36"/>
      <c r="G104" s="4"/>
      <c r="H104" s="177"/>
      <c r="I104" s="177"/>
    </row>
    <row r="105" spans="1:9">
      <c r="A105" s="154">
        <v>96</v>
      </c>
      <c r="B105" s="305"/>
      <c r="C105" s="306"/>
      <c r="D105" s="306"/>
      <c r="E105" s="306"/>
      <c r="F105" s="36"/>
      <c r="G105" s="4"/>
      <c r="H105" s="177"/>
      <c r="I105" s="177"/>
    </row>
    <row r="106" spans="1:9">
      <c r="A106" s="154">
        <v>97</v>
      </c>
      <c r="B106" s="305"/>
      <c r="C106" s="306"/>
      <c r="D106" s="306"/>
      <c r="E106" s="306"/>
      <c r="F106" s="36"/>
      <c r="G106" s="4"/>
      <c r="H106" s="177"/>
      <c r="I106" s="177"/>
    </row>
    <row r="107" spans="1:9">
      <c r="A107" s="154">
        <v>98</v>
      </c>
      <c r="B107" s="305"/>
      <c r="C107" s="306"/>
      <c r="D107" s="306"/>
      <c r="E107" s="306"/>
      <c r="F107" s="36"/>
      <c r="G107" s="4"/>
      <c r="H107" s="177"/>
      <c r="I107" s="177"/>
    </row>
    <row r="108" spans="1:9">
      <c r="A108" s="154">
        <v>99</v>
      </c>
      <c r="B108" s="305"/>
      <c r="C108" s="306"/>
      <c r="D108" s="306"/>
      <c r="E108" s="306"/>
      <c r="F108" s="36"/>
      <c r="G108" s="4"/>
      <c r="H108" s="177"/>
      <c r="I108" s="177"/>
    </row>
    <row r="109" spans="1:9">
      <c r="A109" s="154">
        <v>100</v>
      </c>
      <c r="B109" s="305"/>
      <c r="C109" s="306"/>
      <c r="D109" s="306"/>
      <c r="E109" s="306"/>
      <c r="F109" s="36"/>
      <c r="G109" s="4"/>
      <c r="H109" s="177"/>
      <c r="I109" s="177"/>
    </row>
    <row r="110" spans="1:9">
      <c r="A110" s="179" t="s">
        <v>61</v>
      </c>
      <c r="B110" s="175">
        <f>SUM(B10:B109)</f>
        <v>0</v>
      </c>
      <c r="C110" s="175">
        <f>SUM(C10:C109)</f>
        <v>999611.36363636365</v>
      </c>
      <c r="D110" s="175">
        <f>SUM(D10:D109)</f>
        <v>0</v>
      </c>
      <c r="E110" s="175">
        <f>SUM(E10:E109)</f>
        <v>0</v>
      </c>
      <c r="F110" s="175"/>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2" priority="1" stopIfTrue="1">
      <formula>CELL("Protect",A2)=1</formula>
    </cfRule>
  </conditionalFormatting>
  <dataValidations count="1">
    <dataValidation type="list" allowBlank="1" showInputMessage="1" showErrorMessage="1" sqref="F5:H5" xr:uid="{00000000-0002-0000-0700-000000000000}">
      <formula1>Units</formula1>
    </dataValidation>
  </dataValidation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92" t="str">
        <f>'LEN F1'!F3</f>
        <v>Fleet 1 Northern Chile</v>
      </c>
      <c r="H3" s="393"/>
      <c r="I3" s="393"/>
      <c r="J3" s="39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2007</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AU10:BG10"/>
    <mergeCell ref="B10:N10"/>
    <mergeCell ref="Q10:AC10"/>
    <mergeCell ref="AF10:AR10"/>
    <mergeCell ref="B3:D3"/>
    <mergeCell ref="B4:D4"/>
    <mergeCell ref="B5:D5"/>
    <mergeCell ref="AU9:BG9"/>
    <mergeCell ref="AF9:AR9"/>
    <mergeCell ref="G5:J5"/>
    <mergeCell ref="G6:J6"/>
    <mergeCell ref="G3:J3"/>
    <mergeCell ref="Q9:AC9"/>
    <mergeCell ref="B9:N9"/>
  </mergeCells>
  <conditionalFormatting sqref="A2:BH2 A7:BH113 A5:G6 K5:BH6 A4:BH4 A3:G3 K3:BH3">
    <cfRule type="expression" dxfId="11" priority="1" stopIfTrue="1">
      <formula>CELL("Protect",A2)=1</formula>
    </cfRule>
  </conditionalFormatting>
  <dataValidations count="1">
    <dataValidation type="list" allowBlank="1" showInputMessage="1" showErrorMessage="1" sqref="G5:J5" xr:uid="{00000000-0002-0000-0800-000000000000}">
      <formula1>Units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8" tint="0.59999389629810485"/>
  </sheetPr>
  <dimension ref="A1:BH112"/>
  <sheetViews>
    <sheetView topLeftCell="H17" workbookViewId="0">
      <selection activeCell="S26" sqref="S26:AC6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F2'!F3</f>
        <v>Fleet 2 South-Central Chile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2007</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10" priority="1" stopIfTrue="1">
      <formula>CELL("Protect",A2)=1</formula>
    </cfRule>
  </conditionalFormatting>
  <dataValidations count="1">
    <dataValidation type="list" allowBlank="1" showInputMessage="1" showErrorMessage="1" sqref="G5:J5" xr:uid="{00000000-0002-0000-0900-000000000000}">
      <formula1>Units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F3'!F3</f>
        <v>Fleet 3 Peru &amp; Equador</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2007</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9" priority="1" stopIfTrue="1">
      <formula>CELL("Protect",A2)=1</formula>
    </cfRule>
  </conditionalFormatting>
  <dataValidations count="1">
    <dataValidation type="list" allowBlank="1" showInputMessage="1" showErrorMessage="1" sqref="G5:J5" xr:uid="{00000000-0002-0000-0A00-000000000000}">
      <formula1>Units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sheetPr>
  <dimension ref="A1:BH112"/>
  <sheetViews>
    <sheetView topLeftCell="G1" workbookViewId="0">
      <selection activeCell="V22" sqref="V22"/>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s="149" customFormat="1"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F4'!F3</f>
        <v>Fleet 4 Offshore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2007</v>
      </c>
      <c r="C5" s="388"/>
      <c r="D5" s="389"/>
      <c r="E5" s="177"/>
      <c r="F5" s="34" t="s">
        <v>39</v>
      </c>
      <c r="G5" s="377" t="s">
        <v>142</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8" priority="1" stopIfTrue="1">
      <formula>CELL("Protect",A2)=1</formula>
    </cfRule>
  </conditionalFormatting>
  <dataValidations count="1">
    <dataValidation type="list" allowBlank="1" showInputMessage="1" showErrorMessage="1" sqref="G5:J5" xr:uid="{00000000-0002-0000-0B00-000000000000}">
      <formula1>Units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F1'!F3</f>
        <v>Fleet 1 Northern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2007</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159" t="s">
        <v>30</v>
      </c>
      <c r="G8" s="98"/>
      <c r="H8" s="99"/>
      <c r="I8" s="159" t="s">
        <v>31</v>
      </c>
      <c r="J8" s="98"/>
      <c r="K8" s="99"/>
      <c r="L8" s="159"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C8:D8"/>
    <mergeCell ref="I4:K4"/>
    <mergeCell ref="I6:K6"/>
  </mergeCells>
  <conditionalFormatting sqref="A2:R3 A5:R5 A4:I4 L4:R4 A6:I6 L6:R6 A7:R34 H1:R1">
    <cfRule type="expression" dxfId="7"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00000000-0002-0000-0C00-000000000000}">
      <formula1>0.06</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3BFA-C862-4283-BBAE-1E526F47D2E9}">
  <sheetPr codeName="Sheet13">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F2'!F3</f>
        <v>Fleet 2 South-Central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2007</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6"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DA8F2A94-2A0F-4506-A7B9-EAAAF35123B8}">
      <formula1>0.06</formula1>
      <formula2>1.5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5300-7BA1-40CD-8A2F-BAA5A5378BCE}">
  <sheetPr codeName="Sheet14">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F3'!F3</f>
        <v>Fleet 3 Peru &amp; Equador</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2007</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5"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F6C7906B-B640-4CB5-B13B-F27F2E5F2DBF}">
      <formula1>0.06</formula1>
      <formula2>1.5</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1EF0-CD48-4EFD-B599-A6863CD07004}">
  <sheetPr codeName="Sheet15">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F4'!F3</f>
        <v>Fleet 4 Offshore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2007</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4"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882E2901-BCFE-4402-853F-8B7986731891}">
      <formula1>0.06</formula1>
      <formula2>1.5</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D543-F6D8-4FE3-8B78-788515BE8A27}">
  <sheetPr codeName="Hoja1">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F1'!F3</f>
        <v>Fleet 1 Northern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2007</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2007</v>
      </c>
      <c r="C10" s="181">
        <f>'START HERE'!$K$3</f>
        <v>2007</v>
      </c>
      <c r="D10" s="181">
        <f>'START HERE'!$K$3</f>
        <v>2007</v>
      </c>
      <c r="E10" s="180">
        <f>'START HERE'!$K$3</f>
        <v>2007</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U9:BG9"/>
    <mergeCell ref="G3:I3"/>
    <mergeCell ref="B3:D3"/>
    <mergeCell ref="B4:D4"/>
    <mergeCell ref="B5:D5"/>
    <mergeCell ref="G6:I6"/>
    <mergeCell ref="Q9:AC9"/>
    <mergeCell ref="AF9:AR9"/>
  </mergeCells>
  <conditionalFormatting sqref="A2:J111">
    <cfRule type="expression" dxfId="3" priority="1">
      <formula>CELL("Protect",A2)=1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3900-5DD3-4CDF-93F2-55A098EA670A}">
  <sheetPr codeName="Hoja2">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F2'!F3</f>
        <v>Fleet 2 South-Central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2007</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2007</v>
      </c>
      <c r="C10" s="181">
        <f>'START HERE'!$K$3</f>
        <v>2007</v>
      </c>
      <c r="D10" s="181">
        <f>'START HERE'!$K$3</f>
        <v>2007</v>
      </c>
      <c r="E10" s="180">
        <f>'START HERE'!$K$3</f>
        <v>2007</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2" priority="1">
      <formula>CELL("Protect",A2)=1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0CF4-9103-44A1-828B-766DD2BE40DA}">
  <sheetPr codeName="Hoja3">
    <tabColor rgb="FFFFFFCC"/>
  </sheetPr>
  <dimension ref="A1:BG110"/>
  <sheetViews>
    <sheetView workbookViewId="0">
      <selection activeCell="N27" sqref="N27"/>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F3'!F3</f>
        <v>Fleet 3 Peru &amp; Equador</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2007</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2007</v>
      </c>
      <c r="C10" s="181">
        <f>'START HERE'!$K$3</f>
        <v>2007</v>
      </c>
      <c r="D10" s="181">
        <f>'START HERE'!$K$3</f>
        <v>2007</v>
      </c>
      <c r="E10" s="180">
        <f>'START HERE'!$K$3</f>
        <v>2007</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1" priority="1">
      <formula>CELL("Protect",A2)=1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00F4-FE2B-4F98-896D-F642026B9016}">
  <sheetPr codeName="Hoja4">
    <tabColor rgb="FFFFFFCC"/>
  </sheetPr>
  <dimension ref="A1:BG110"/>
  <sheetViews>
    <sheetView workbookViewId="0"/>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F4'!F3</f>
        <v>Fleet 4 Offshore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2007</v>
      </c>
      <c r="C5" s="388"/>
      <c r="D5" s="389"/>
      <c r="E5" s="177"/>
      <c r="F5" s="12" t="s">
        <v>39</v>
      </c>
      <c r="G5" s="324" t="s">
        <v>137</v>
      </c>
      <c r="H5" s="334"/>
      <c r="I5" s="335"/>
      <c r="J5" s="177"/>
      <c r="K5" s="178"/>
      <c r="L5" s="149"/>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2007</v>
      </c>
      <c r="C10" s="181">
        <f>'START HERE'!$K$3</f>
        <v>2007</v>
      </c>
      <c r="D10" s="181">
        <f>'START HERE'!$K$3</f>
        <v>2007</v>
      </c>
      <c r="E10" s="180">
        <f>'START HERE'!$K$3</f>
        <v>2007</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0" priority="1">
      <formula>CELL("Protect",A2)=1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D10"/>
  <sheetViews>
    <sheetView workbookViewId="0">
      <selection activeCell="A8" sqref="A8"/>
    </sheetView>
  </sheetViews>
  <sheetFormatPr defaultRowHeight="12.75"/>
  <cols>
    <col min="1" max="1" width="10.85546875" customWidth="1"/>
    <col min="2" max="2" width="11.140625" customWidth="1"/>
    <col min="3" max="3" width="14.28515625" customWidth="1"/>
  </cols>
  <sheetData>
    <row r="1" spans="1:4">
      <c r="A1" s="149" t="s">
        <v>121</v>
      </c>
      <c r="B1" s="149" t="s">
        <v>123</v>
      </c>
      <c r="C1" s="149" t="s">
        <v>133</v>
      </c>
      <c r="D1" s="149" t="s">
        <v>138</v>
      </c>
    </row>
    <row r="2" spans="1:4">
      <c r="A2" t="s">
        <v>142</v>
      </c>
      <c r="B2" t="s">
        <v>125</v>
      </c>
      <c r="C2" t="s">
        <v>72</v>
      </c>
      <c r="D2" t="s">
        <v>139</v>
      </c>
    </row>
    <row r="3" spans="1:4">
      <c r="A3" t="s">
        <v>104</v>
      </c>
      <c r="B3" t="s">
        <v>126</v>
      </c>
      <c r="D3" t="s">
        <v>140</v>
      </c>
    </row>
    <row r="4" spans="1:4">
      <c r="A4" t="s">
        <v>122</v>
      </c>
      <c r="B4" t="s">
        <v>129</v>
      </c>
    </row>
    <row r="5" spans="1:4">
      <c r="B5" t="s">
        <v>127</v>
      </c>
    </row>
    <row r="6" spans="1:4">
      <c r="B6" t="s">
        <v>128</v>
      </c>
    </row>
    <row r="7" spans="1:4">
      <c r="B7" t="s">
        <v>124</v>
      </c>
    </row>
    <row r="8" spans="1:4">
      <c r="B8" t="s">
        <v>130</v>
      </c>
    </row>
    <row r="9" spans="1:4">
      <c r="B9" t="s">
        <v>132</v>
      </c>
    </row>
    <row r="10" spans="1:4">
      <c r="B10" t="s">
        <v>131</v>
      </c>
    </row>
  </sheetData>
  <sheetProtection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716590-82CA-410C-B118-E787241F3D8D}">
  <ds:schemaRefs>
    <ds:schemaRef ds:uri="http://schemas.microsoft.com/sharepoint/v3/contenttype/forms"/>
  </ds:schemaRefs>
</ds:datastoreItem>
</file>

<file path=customXml/itemProps2.xml><?xml version="1.0" encoding="utf-8"?>
<ds:datastoreItem xmlns:ds="http://schemas.openxmlformats.org/officeDocument/2006/customXml" ds:itemID="{2B953EBD-4DA9-4568-AC7D-08DBC262796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CA6250E-9C79-4192-9E66-BA34F7AF0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START HERE</vt:lpstr>
      <vt:lpstr>Comments</vt:lpstr>
      <vt:lpstr>catch data</vt:lpstr>
      <vt:lpstr>sampling</vt:lpstr>
      <vt:lpstr>LEN F1</vt:lpstr>
      <vt:lpstr>LEN F2</vt:lpstr>
      <vt:lpstr>LEN F3</vt:lpstr>
      <vt:lpstr>LEN F4</vt:lpstr>
      <vt:lpstr>ALK F1</vt:lpstr>
      <vt:lpstr>ALK F2</vt:lpstr>
      <vt:lpstr>ALK F3</vt:lpstr>
      <vt:lpstr>ALK F4</vt:lpstr>
      <vt:lpstr>CN F1</vt:lpstr>
      <vt:lpstr>CN F2</vt:lpstr>
      <vt:lpstr>CN F3</vt:lpstr>
      <vt:lpstr>CN F4</vt:lpstr>
      <vt:lpstr>WLK F1</vt:lpstr>
      <vt:lpstr>WLK F2</vt:lpstr>
      <vt:lpstr>WLK F3</vt:lpstr>
      <vt:lpstr>WLK F4</vt:lpstr>
      <vt:lpstr>lists</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SPRFMO ALK Template</dc:title>
  <dc:creator>SPRFMO</dc:creator>
  <cp:lastModifiedBy>Hintzen, Niels</cp:lastModifiedBy>
  <cp:lastPrinted>2005-03-01T15:40:24Z</cp:lastPrinted>
  <dcterms:created xsi:type="dcterms:W3CDTF">1998-05-02T10:10:47Z</dcterms:created>
  <dcterms:modified xsi:type="dcterms:W3CDTF">2022-06-27T12:38:24Z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