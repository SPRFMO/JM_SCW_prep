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date1904="1" showInkAnnotation="0" codeName="ThisWorkbook" checkCompatibility="1"/>
  <mc:AlternateContent xmlns:mc="http://schemas.openxmlformats.org/markup-compatibility/2006">
    <mc:Choice Requires="x15">
      <x15ac:absPath xmlns:x15ac="http://schemas.microsoft.com/office/spreadsheetml/2010/11/ac" url="https://wageningenur4-my.sharepoint.com/personal/niels_hintzen_wur_nl/Documents/SPRFMOdata/input/older Data submission/"/>
    </mc:Choice>
  </mc:AlternateContent>
  <xr:revisionPtr revIDLastSave="6" documentId="8_{B34B4851-8580-452F-8439-FE192CD5A4CD}" xr6:coauthVersionLast="46" xr6:coauthVersionMax="47" xr10:uidLastSave="{BF16C8F7-2D4B-4674-9E87-B0BE91DEB112}"/>
  <bookViews>
    <workbookView xWindow="-120" yWindow="-120" windowWidth="29040" windowHeight="15840" tabRatio="892" activeTab="7" xr2:uid="{00000000-000D-0000-FFFF-FFFF00000000}"/>
  </bookViews>
  <sheets>
    <sheet name="START HERE" sheetId="16" r:id="rId1"/>
    <sheet name="Comments" sheetId="36" r:id="rId2"/>
    <sheet name="catch data" sheetId="91" r:id="rId3"/>
    <sheet name="sampling" sheetId="2" r:id="rId4"/>
    <sheet name="LEN F1" sheetId="80" r:id="rId5"/>
    <sheet name="LEN F2" sheetId="92" r:id="rId6"/>
    <sheet name="LEN F3" sheetId="93" r:id="rId7"/>
    <sheet name="LEN F4" sheetId="94" r:id="rId8"/>
    <sheet name="ALK F1" sheetId="81" r:id="rId9"/>
    <sheet name="ALK F2" sheetId="95" r:id="rId10"/>
    <sheet name="ALK F3" sheetId="96" r:id="rId11"/>
    <sheet name="ALK F4" sheetId="97" r:id="rId12"/>
    <sheet name="CN F1" sheetId="74" r:id="rId13"/>
    <sheet name="CN F2" sheetId="99" r:id="rId14"/>
    <sheet name="CN F3" sheetId="100" r:id="rId15"/>
    <sheet name="CN F4" sheetId="101" r:id="rId16"/>
    <sheet name="WLK F1" sheetId="102" r:id="rId17"/>
    <sheet name="WLK F2" sheetId="103" r:id="rId18"/>
    <sheet name="WLK F3" sheetId="104" r:id="rId19"/>
    <sheet name="WLK F4" sheetId="105" r:id="rId20"/>
    <sheet name="lists" sheetId="98" r:id="rId21"/>
  </sheets>
  <definedNames>
    <definedName name="_xlnm._FilterDatabase" localSheetId="3" hidden="1">sampling!$A$8:$Q$15</definedName>
    <definedName name="Countries">OFFSET(lists!$B$2,0,0,COUNTA(lists!$B$2:$B$20),1)</definedName>
    <definedName name="length_measures">OFFSET(lists!$D$2,0,0,COUNTA(lists!$D$2:$D$20),1)</definedName>
    <definedName name="_xlnm.Print_Area" localSheetId="3">sampling!$A$8:$Q$15</definedName>
    <definedName name="Species">OFFSET(lists!$C$2,0,0,COUNTA(lists!$C$2:$C$20),1)</definedName>
    <definedName name="Units">OFFSET(lists!$A$2,0,0,COUNTA(lists!$A$2:$A$20),1)</definedName>
    <definedName name="Z_30CB6B41_EBE9_11D1_AB37_006097D68CB6_.wvu.Cols" localSheetId="3" hidden="1">sampling!$AB:$AB</definedName>
    <definedName name="Z_F7B13B60_EB30_11D1_AB37_006097D68CB6_.wvu.Cols" localSheetId="3" hidden="1">sampling!$AB:$AB</definedName>
  </definedNames>
  <calcPr calcId="191029"/>
  <customWorkbookViews>
    <customWorkbookView name="Summary" guid="{F7B13B60-EB30-11D1-AB37-006097D68CB6}" maximized="1" windowWidth="796" windowHeight="466" tabRatio="707" activeSheetId="1"/>
    <customWorkbookView name="Fisheries Research Centre - Personal View" guid="{8D6CC890-E1B2-11D1-AFFF-0080C7F9B91E}" mergeInterval="0" personalView="1" maximized="1" windowWidth="796" windowHeight="439" tabRatio="707" activeSheetId="1"/>
    <customWorkbookView name="landings_by_quarter" guid="{30CB6B41-EBE9-11D1-AB37-006097D68CB6}" maximized="1" windowWidth="796" windowHeight="466" tabRatio="707" activeSheetId="1"/>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5" i="36" l="1"/>
  <c r="G3" i="105"/>
  <c r="E10" i="105"/>
  <c r="D10" i="105"/>
  <c r="C10" i="105"/>
  <c r="B10" i="105"/>
  <c r="A9" i="105"/>
  <c r="G6" i="105"/>
  <c r="B5" i="105"/>
  <c r="B4" i="105"/>
  <c r="B3" i="105"/>
  <c r="G3" i="104"/>
  <c r="E10" i="104"/>
  <c r="D10" i="104"/>
  <c r="C10" i="104"/>
  <c r="B10" i="104"/>
  <c r="A9" i="104"/>
  <c r="G6" i="104"/>
  <c r="B5" i="104"/>
  <c r="B4" i="104"/>
  <c r="B3" i="104"/>
  <c r="G3" i="103"/>
  <c r="E10" i="103"/>
  <c r="D10" i="103"/>
  <c r="C10" i="103"/>
  <c r="B10" i="103"/>
  <c r="A9" i="103"/>
  <c r="G6" i="103"/>
  <c r="B5" i="103"/>
  <c r="B4" i="103"/>
  <c r="B3" i="103"/>
  <c r="A9" i="102"/>
  <c r="A10" i="97"/>
  <c r="AT10" i="97" s="1"/>
  <c r="A10" i="96"/>
  <c r="AT10" i="96" s="1"/>
  <c r="A10" i="95"/>
  <c r="AT10" i="95" s="1"/>
  <c r="AT10" i="81"/>
  <c r="AE10" i="81"/>
  <c r="P10" i="81"/>
  <c r="A10" i="81"/>
  <c r="A8" i="94"/>
  <c r="A8" i="93"/>
  <c r="A8" i="92"/>
  <c r="A8" i="80"/>
  <c r="E10" i="102"/>
  <c r="D10" i="102"/>
  <c r="C10" i="102"/>
  <c r="B10" i="102"/>
  <c r="B5" i="102"/>
  <c r="G6" i="102"/>
  <c r="G3" i="102"/>
  <c r="B4" i="102"/>
  <c r="B3" i="102"/>
  <c r="P10" i="97" l="1"/>
  <c r="AE10" i="97"/>
  <c r="P10" i="96"/>
  <c r="AE10" i="96"/>
  <c r="P10" i="95"/>
  <c r="AE10" i="95"/>
  <c r="I4" i="101"/>
  <c r="M29" i="101"/>
  <c r="J29" i="101"/>
  <c r="G29" i="101"/>
  <c r="D29" i="101"/>
  <c r="M28" i="101"/>
  <c r="J28" i="101"/>
  <c r="G28" i="101"/>
  <c r="D28" i="101"/>
  <c r="P27" i="101"/>
  <c r="N25" i="101"/>
  <c r="M25" i="101"/>
  <c r="L25" i="101"/>
  <c r="K25" i="101"/>
  <c r="J25" i="101"/>
  <c r="I25" i="101"/>
  <c r="H25" i="101"/>
  <c r="G25" i="101"/>
  <c r="F25" i="101"/>
  <c r="E25" i="101"/>
  <c r="D25" i="101"/>
  <c r="C25" i="101"/>
  <c r="Q24" i="101"/>
  <c r="P24" i="101"/>
  <c r="O24" i="101"/>
  <c r="Q20" i="101"/>
  <c r="P20" i="101"/>
  <c r="O20" i="101"/>
  <c r="Q19" i="101"/>
  <c r="P19" i="101"/>
  <c r="O19" i="101"/>
  <c r="Q18" i="101"/>
  <c r="P18" i="101"/>
  <c r="O18" i="101"/>
  <c r="Q17" i="101"/>
  <c r="P17" i="101"/>
  <c r="O17" i="101"/>
  <c r="Q16" i="101"/>
  <c r="P16" i="101"/>
  <c r="O16" i="101"/>
  <c r="Q15" i="101"/>
  <c r="P15" i="101"/>
  <c r="O15" i="101"/>
  <c r="Q14" i="101"/>
  <c r="Q25" i="101" s="1"/>
  <c r="P14" i="101"/>
  <c r="O14" i="101"/>
  <c r="Q13" i="101"/>
  <c r="P13" i="101"/>
  <c r="O13" i="101"/>
  <c r="Q12" i="101"/>
  <c r="P29" i="101" s="1"/>
  <c r="P12" i="101"/>
  <c r="P25" i="101" s="1"/>
  <c r="O12" i="101"/>
  <c r="O25" i="101" s="1"/>
  <c r="I6" i="101"/>
  <c r="C6" i="101"/>
  <c r="C5" i="101"/>
  <c r="C4" i="101"/>
  <c r="I4" i="100"/>
  <c r="M29" i="100"/>
  <c r="J29" i="100"/>
  <c r="G29" i="100"/>
  <c r="D29" i="100"/>
  <c r="M28" i="100"/>
  <c r="J28" i="100"/>
  <c r="G28" i="100"/>
  <c r="D28" i="100"/>
  <c r="P27" i="100"/>
  <c r="N25" i="100"/>
  <c r="M25" i="100"/>
  <c r="L25" i="100"/>
  <c r="K25" i="100"/>
  <c r="J25" i="100"/>
  <c r="I25" i="100"/>
  <c r="H25" i="100"/>
  <c r="G25" i="100"/>
  <c r="F25" i="100"/>
  <c r="E25" i="100"/>
  <c r="D25" i="100"/>
  <c r="C25" i="100"/>
  <c r="Q24" i="100"/>
  <c r="P24" i="100"/>
  <c r="O24" i="100"/>
  <c r="Q20" i="100"/>
  <c r="P20" i="100"/>
  <c r="O20" i="100"/>
  <c r="Q19" i="100"/>
  <c r="P19" i="100"/>
  <c r="O19" i="100"/>
  <c r="Q18" i="100"/>
  <c r="P18" i="100"/>
  <c r="O18" i="100"/>
  <c r="Q17" i="100"/>
  <c r="P17" i="100"/>
  <c r="O17" i="100"/>
  <c r="Q16" i="100"/>
  <c r="P16" i="100"/>
  <c r="O16" i="100"/>
  <c r="Q15" i="100"/>
  <c r="P15" i="100"/>
  <c r="O15" i="100"/>
  <c r="Q14" i="100"/>
  <c r="Q25" i="100" s="1"/>
  <c r="P14" i="100"/>
  <c r="O14" i="100"/>
  <c r="Q13" i="100"/>
  <c r="P13" i="100"/>
  <c r="O13" i="100"/>
  <c r="Q12" i="100"/>
  <c r="P29" i="100" s="1"/>
  <c r="P12" i="100"/>
  <c r="P25" i="100" s="1"/>
  <c r="O12" i="100"/>
  <c r="O25" i="100" s="1"/>
  <c r="I6" i="100"/>
  <c r="C6" i="100"/>
  <c r="C5" i="100"/>
  <c r="C4" i="100"/>
  <c r="I4" i="99"/>
  <c r="M29" i="99"/>
  <c r="J29" i="99"/>
  <c r="G29" i="99"/>
  <c r="D29" i="99"/>
  <c r="M28" i="99"/>
  <c r="J28" i="99"/>
  <c r="G28" i="99"/>
  <c r="D28" i="99"/>
  <c r="P27" i="99"/>
  <c r="N25" i="99"/>
  <c r="M25" i="99"/>
  <c r="L25" i="99"/>
  <c r="K25" i="99"/>
  <c r="J25" i="99"/>
  <c r="I25" i="99"/>
  <c r="H25" i="99"/>
  <c r="G25" i="99"/>
  <c r="F25" i="99"/>
  <c r="E25" i="99"/>
  <c r="D25" i="99"/>
  <c r="C25" i="99"/>
  <c r="Q24" i="99"/>
  <c r="P24" i="99"/>
  <c r="O24" i="99"/>
  <c r="Q20" i="99"/>
  <c r="P20" i="99"/>
  <c r="O20" i="99"/>
  <c r="Q19" i="99"/>
  <c r="P19" i="99"/>
  <c r="O19" i="99"/>
  <c r="Q18" i="99"/>
  <c r="P18" i="99"/>
  <c r="O18" i="99"/>
  <c r="Q17" i="99"/>
  <c r="P17" i="99"/>
  <c r="O17" i="99"/>
  <c r="Q16" i="99"/>
  <c r="P16" i="99"/>
  <c r="O16" i="99"/>
  <c r="Q15" i="99"/>
  <c r="P15" i="99"/>
  <c r="O15" i="99"/>
  <c r="Q14" i="99"/>
  <c r="Q25" i="99" s="1"/>
  <c r="P14" i="99"/>
  <c r="O14" i="99"/>
  <c r="Q13" i="99"/>
  <c r="P13" i="99"/>
  <c r="O13" i="99"/>
  <c r="Q12" i="99"/>
  <c r="P29" i="99" s="1"/>
  <c r="P12" i="99"/>
  <c r="P25" i="99" s="1"/>
  <c r="O12" i="99"/>
  <c r="O25" i="99" s="1"/>
  <c r="I6" i="99"/>
  <c r="C6" i="99"/>
  <c r="C5" i="99"/>
  <c r="C4" i="99"/>
  <c r="P28" i="101" l="1"/>
  <c r="P28" i="100"/>
  <c r="P28" i="99"/>
  <c r="I4" i="74"/>
  <c r="J28" i="74"/>
  <c r="G3" i="97"/>
  <c r="BG112" i="97"/>
  <c r="BF112" i="97"/>
  <c r="BE112" i="97"/>
  <c r="BD112" i="97"/>
  <c r="BC112" i="97"/>
  <c r="BB112" i="97"/>
  <c r="BA112" i="97"/>
  <c r="AZ112" i="97"/>
  <c r="AY112" i="97"/>
  <c r="AX112" i="97"/>
  <c r="AW112" i="97"/>
  <c r="AV112" i="97"/>
  <c r="AU112" i="97"/>
  <c r="AR112" i="97"/>
  <c r="AQ112" i="97"/>
  <c r="AP112" i="97"/>
  <c r="AO112" i="97"/>
  <c r="AN112" i="97"/>
  <c r="AM112" i="97"/>
  <c r="AL112" i="97"/>
  <c r="AK112" i="97"/>
  <c r="AJ112" i="97"/>
  <c r="AI112" i="97"/>
  <c r="AH112" i="97"/>
  <c r="AG112" i="97"/>
  <c r="AF112" i="97"/>
  <c r="AC112" i="97"/>
  <c r="AB112" i="97"/>
  <c r="AA112" i="97"/>
  <c r="Z112" i="97"/>
  <c r="Y112" i="97"/>
  <c r="X112" i="97"/>
  <c r="W112" i="97"/>
  <c r="V112" i="97"/>
  <c r="U112" i="97"/>
  <c r="T112" i="97"/>
  <c r="S112" i="97"/>
  <c r="R112" i="97"/>
  <c r="Q112" i="97"/>
  <c r="N112" i="97"/>
  <c r="M112" i="97"/>
  <c r="L112" i="97"/>
  <c r="K112" i="97"/>
  <c r="J112" i="97"/>
  <c r="I112" i="97"/>
  <c r="H112" i="97"/>
  <c r="G112" i="97"/>
  <c r="F112" i="97"/>
  <c r="E112" i="97"/>
  <c r="D112" i="97"/>
  <c r="C112" i="97"/>
  <c r="B112" i="97"/>
  <c r="G6" i="97"/>
  <c r="B5" i="97"/>
  <c r="B4" i="97"/>
  <c r="B3" i="97"/>
  <c r="G3" i="96"/>
  <c r="BG112" i="96"/>
  <c r="BF112" i="96"/>
  <c r="BE112" i="96"/>
  <c r="BD112" i="96"/>
  <c r="BC112" i="96"/>
  <c r="BB112" i="96"/>
  <c r="BA112" i="96"/>
  <c r="AZ112" i="96"/>
  <c r="AY112" i="96"/>
  <c r="AX112" i="96"/>
  <c r="AW112" i="96"/>
  <c r="AV112" i="96"/>
  <c r="AU112" i="96"/>
  <c r="AR112" i="96"/>
  <c r="AQ112" i="96"/>
  <c r="AP112" i="96"/>
  <c r="AO112" i="96"/>
  <c r="AN112" i="96"/>
  <c r="AM112" i="96"/>
  <c r="AL112" i="96"/>
  <c r="AK112" i="96"/>
  <c r="AJ112" i="96"/>
  <c r="AI112" i="96"/>
  <c r="AH112" i="96"/>
  <c r="AG112" i="96"/>
  <c r="AF112" i="96"/>
  <c r="AC112" i="96"/>
  <c r="AB112" i="96"/>
  <c r="AA112" i="96"/>
  <c r="Z112" i="96"/>
  <c r="Y112" i="96"/>
  <c r="X112" i="96"/>
  <c r="W112" i="96"/>
  <c r="V112" i="96"/>
  <c r="U112" i="96"/>
  <c r="T112" i="96"/>
  <c r="S112" i="96"/>
  <c r="R112" i="96"/>
  <c r="Q112" i="96"/>
  <c r="N112" i="96"/>
  <c r="M112" i="96"/>
  <c r="L112" i="96"/>
  <c r="K112" i="96"/>
  <c r="J112" i="96"/>
  <c r="I112" i="96"/>
  <c r="H112" i="96"/>
  <c r="G112" i="96"/>
  <c r="F112" i="96"/>
  <c r="E112" i="96"/>
  <c r="D112" i="96"/>
  <c r="C112" i="96"/>
  <c r="B112" i="96"/>
  <c r="G6" i="96"/>
  <c r="B5" i="96"/>
  <c r="B4" i="96"/>
  <c r="B3" i="96"/>
  <c r="G3" i="95"/>
  <c r="BG112" i="95"/>
  <c r="BF112" i="95"/>
  <c r="BE112" i="95"/>
  <c r="BD112" i="95"/>
  <c r="BC112" i="95"/>
  <c r="BB112" i="95"/>
  <c r="BA112" i="95"/>
  <c r="AZ112" i="95"/>
  <c r="AY112" i="95"/>
  <c r="AX112" i="95"/>
  <c r="AW112" i="95"/>
  <c r="AV112" i="95"/>
  <c r="AU112" i="95"/>
  <c r="AR112" i="95"/>
  <c r="AQ112" i="95"/>
  <c r="AP112" i="95"/>
  <c r="AO112" i="95"/>
  <c r="AN112" i="95"/>
  <c r="AM112" i="95"/>
  <c r="AL112" i="95"/>
  <c r="AK112" i="95"/>
  <c r="AJ112" i="95"/>
  <c r="AI112" i="95"/>
  <c r="AH112" i="95"/>
  <c r="AG112" i="95"/>
  <c r="AF112" i="95"/>
  <c r="AC112" i="95"/>
  <c r="AB112" i="95"/>
  <c r="AA112" i="95"/>
  <c r="Z112" i="95"/>
  <c r="Y112" i="95"/>
  <c r="X112" i="95"/>
  <c r="W112" i="95"/>
  <c r="V112" i="95"/>
  <c r="U112" i="95"/>
  <c r="T112" i="95"/>
  <c r="S112" i="95"/>
  <c r="R112" i="95"/>
  <c r="Q112" i="95"/>
  <c r="N112" i="95"/>
  <c r="M112" i="95"/>
  <c r="L112" i="95"/>
  <c r="K112" i="95"/>
  <c r="J112" i="95"/>
  <c r="I112" i="95"/>
  <c r="H112" i="95"/>
  <c r="G112" i="95"/>
  <c r="F112" i="95"/>
  <c r="E112" i="95"/>
  <c r="D112" i="95"/>
  <c r="C112" i="95"/>
  <c r="B112" i="95"/>
  <c r="G6" i="95"/>
  <c r="B5" i="95"/>
  <c r="B4" i="95"/>
  <c r="B3" i="95"/>
  <c r="G3" i="81"/>
  <c r="E110" i="94"/>
  <c r="D110" i="94"/>
  <c r="C110" i="94"/>
  <c r="B110" i="94"/>
  <c r="F23" i="94"/>
  <c r="F22" i="94"/>
  <c r="F21" i="94"/>
  <c r="F20" i="94"/>
  <c r="F19" i="94"/>
  <c r="F18" i="94"/>
  <c r="F17" i="94"/>
  <c r="F16" i="94"/>
  <c r="F15" i="94"/>
  <c r="F14" i="94"/>
  <c r="F13" i="94"/>
  <c r="F12" i="94"/>
  <c r="F11" i="94"/>
  <c r="F10" i="94"/>
  <c r="F9" i="94"/>
  <c r="E9" i="94"/>
  <c r="D9" i="94"/>
  <c r="C9" i="94"/>
  <c r="B9" i="94"/>
  <c r="F6" i="94"/>
  <c r="B5" i="94"/>
  <c r="B4" i="94"/>
  <c r="B3" i="94"/>
  <c r="E110" i="93"/>
  <c r="D110" i="93"/>
  <c r="C110" i="93"/>
  <c r="B110" i="93"/>
  <c r="F109" i="93"/>
  <c r="F108" i="93"/>
  <c r="F107" i="93"/>
  <c r="F106" i="93"/>
  <c r="F105" i="93"/>
  <c r="F104" i="93"/>
  <c r="F103" i="93"/>
  <c r="F102" i="93"/>
  <c r="F101" i="93"/>
  <c r="F100" i="93"/>
  <c r="F99" i="93"/>
  <c r="F98" i="93"/>
  <c r="F97" i="93"/>
  <c r="F96" i="93"/>
  <c r="F95" i="93"/>
  <c r="F94" i="93"/>
  <c r="F93" i="93"/>
  <c r="F92" i="93"/>
  <c r="F91" i="93"/>
  <c r="F90" i="93"/>
  <c r="F89" i="93"/>
  <c r="F88" i="93"/>
  <c r="F87" i="93"/>
  <c r="F86" i="93"/>
  <c r="F85" i="93"/>
  <c r="F84" i="93"/>
  <c r="F83" i="93"/>
  <c r="F82" i="93"/>
  <c r="F81" i="93"/>
  <c r="F80" i="93"/>
  <c r="F79" i="93"/>
  <c r="F78" i="93"/>
  <c r="F77" i="93"/>
  <c r="F76" i="93"/>
  <c r="F75" i="93"/>
  <c r="F74" i="93"/>
  <c r="F73" i="93"/>
  <c r="F72" i="93"/>
  <c r="F71" i="93"/>
  <c r="F70" i="93"/>
  <c r="F69" i="93"/>
  <c r="F68" i="93"/>
  <c r="F67" i="93"/>
  <c r="F66" i="93"/>
  <c r="F65" i="93"/>
  <c r="F64" i="93"/>
  <c r="F63" i="93"/>
  <c r="F62" i="93"/>
  <c r="F61" i="93"/>
  <c r="F60" i="93"/>
  <c r="F59" i="93"/>
  <c r="F58" i="93"/>
  <c r="F57" i="93"/>
  <c r="F56" i="93"/>
  <c r="F55" i="93"/>
  <c r="F54" i="93"/>
  <c r="F53" i="93"/>
  <c r="F52" i="93"/>
  <c r="F51" i="93"/>
  <c r="F50" i="93"/>
  <c r="F49" i="93"/>
  <c r="F48" i="93"/>
  <c r="F47" i="93"/>
  <c r="F46" i="93"/>
  <c r="F45" i="93"/>
  <c r="F44" i="93"/>
  <c r="F43" i="93"/>
  <c r="F42" i="93"/>
  <c r="F41" i="93"/>
  <c r="F40" i="93"/>
  <c r="F39" i="93"/>
  <c r="F38" i="93"/>
  <c r="F37" i="93"/>
  <c r="F36" i="93"/>
  <c r="F35" i="93"/>
  <c r="F34" i="93"/>
  <c r="F33" i="93"/>
  <c r="F32" i="93"/>
  <c r="F31" i="93"/>
  <c r="F30" i="93"/>
  <c r="F29" i="93"/>
  <c r="F28" i="93"/>
  <c r="F27" i="93"/>
  <c r="F26" i="93"/>
  <c r="F25" i="93"/>
  <c r="F24" i="93"/>
  <c r="F23" i="93"/>
  <c r="F22" i="93"/>
  <c r="F21" i="93"/>
  <c r="F20" i="93"/>
  <c r="F19" i="93"/>
  <c r="F18" i="93"/>
  <c r="F17" i="93"/>
  <c r="F16" i="93"/>
  <c r="F15" i="93"/>
  <c r="F14" i="93"/>
  <c r="F13" i="93"/>
  <c r="F12" i="93"/>
  <c r="F11" i="93"/>
  <c r="F10" i="93"/>
  <c r="F9" i="93"/>
  <c r="E9" i="93"/>
  <c r="D9" i="93"/>
  <c r="C9" i="93"/>
  <c r="B9" i="93"/>
  <c r="F6" i="93"/>
  <c r="B5" i="93"/>
  <c r="B4" i="93"/>
  <c r="B3" i="93"/>
  <c r="E110" i="92"/>
  <c r="D110" i="92"/>
  <c r="C110" i="92"/>
  <c r="B110" i="92"/>
  <c r="F109" i="92"/>
  <c r="F108" i="92"/>
  <c r="F107" i="92"/>
  <c r="F106" i="92"/>
  <c r="F105" i="92"/>
  <c r="F104" i="92"/>
  <c r="F103" i="92"/>
  <c r="F102" i="92"/>
  <c r="F101" i="92"/>
  <c r="F100" i="92"/>
  <c r="F99" i="92"/>
  <c r="F98" i="92"/>
  <c r="F97" i="92"/>
  <c r="F96" i="92"/>
  <c r="F95" i="92"/>
  <c r="F94" i="92"/>
  <c r="F93" i="92"/>
  <c r="F92" i="92"/>
  <c r="F91" i="92"/>
  <c r="F90" i="92"/>
  <c r="F89" i="92"/>
  <c r="F88" i="92"/>
  <c r="F87" i="92"/>
  <c r="F86" i="92"/>
  <c r="F85" i="92"/>
  <c r="F84" i="92"/>
  <c r="F83" i="92"/>
  <c r="F82" i="92"/>
  <c r="F81" i="92"/>
  <c r="F80" i="92"/>
  <c r="F79" i="92"/>
  <c r="F78" i="92"/>
  <c r="F77" i="92"/>
  <c r="F76" i="92"/>
  <c r="F75" i="92"/>
  <c r="F74" i="92"/>
  <c r="F73" i="92"/>
  <c r="F72" i="92"/>
  <c r="F71" i="92"/>
  <c r="F70" i="92"/>
  <c r="F69" i="92"/>
  <c r="F68" i="92"/>
  <c r="F67" i="92"/>
  <c r="F66" i="92"/>
  <c r="F65" i="92"/>
  <c r="F64" i="92"/>
  <c r="F63" i="92"/>
  <c r="F62" i="92"/>
  <c r="F61" i="92"/>
  <c r="F60" i="92"/>
  <c r="F59" i="92"/>
  <c r="F58" i="92"/>
  <c r="F57" i="92"/>
  <c r="F56" i="92"/>
  <c r="F55" i="92"/>
  <c r="F54" i="92"/>
  <c r="F53" i="92"/>
  <c r="F52" i="92"/>
  <c r="F51" i="92"/>
  <c r="F50" i="92"/>
  <c r="F49" i="92"/>
  <c r="F48" i="92"/>
  <c r="F47" i="92"/>
  <c r="F46" i="92"/>
  <c r="F45" i="92"/>
  <c r="F44" i="92"/>
  <c r="F43" i="92"/>
  <c r="F42" i="92"/>
  <c r="F41" i="92"/>
  <c r="F40" i="92"/>
  <c r="F39" i="92"/>
  <c r="F38" i="92"/>
  <c r="F37" i="92"/>
  <c r="F36" i="92"/>
  <c r="F35" i="92"/>
  <c r="F34" i="92"/>
  <c r="F33" i="92"/>
  <c r="F32" i="92"/>
  <c r="F31" i="92"/>
  <c r="F30" i="92"/>
  <c r="F29" i="92"/>
  <c r="F28" i="92"/>
  <c r="F27" i="92"/>
  <c r="F26" i="92"/>
  <c r="F25" i="92"/>
  <c r="F24" i="92"/>
  <c r="F23" i="92"/>
  <c r="F22" i="92"/>
  <c r="F21" i="92"/>
  <c r="F20" i="92"/>
  <c r="F19" i="92"/>
  <c r="F18" i="92"/>
  <c r="F17" i="92"/>
  <c r="F16" i="92"/>
  <c r="F15" i="92"/>
  <c r="F14" i="92"/>
  <c r="F13" i="92"/>
  <c r="F12" i="92"/>
  <c r="F11" i="92"/>
  <c r="F10" i="92"/>
  <c r="F110" i="92" s="1"/>
  <c r="F9" i="92"/>
  <c r="E9" i="92"/>
  <c r="D9" i="92"/>
  <c r="C9" i="92"/>
  <c r="B9" i="92"/>
  <c r="F6" i="92"/>
  <c r="B5" i="92"/>
  <c r="B4" i="92"/>
  <c r="B3" i="92"/>
  <c r="N20" i="91"/>
  <c r="N19" i="91"/>
  <c r="N18" i="91"/>
  <c r="F110" i="93" l="1"/>
  <c r="B4" i="91"/>
  <c r="A1" i="91"/>
  <c r="B6" i="91"/>
  <c r="B5" i="91"/>
  <c r="M29" i="74"/>
  <c r="J29" i="74"/>
  <c r="G29" i="74"/>
  <c r="P17" i="91"/>
  <c r="O17" i="91"/>
  <c r="N17" i="91"/>
  <c r="H13" i="91"/>
  <c r="E13" i="91"/>
  <c r="B13" i="91"/>
  <c r="K13" i="91"/>
  <c r="P18" i="91"/>
  <c r="P19" i="91"/>
  <c r="P20" i="91"/>
  <c r="O18" i="91"/>
  <c r="Q18" i="91" s="1"/>
  <c r="O19" i="91"/>
  <c r="O20" i="91"/>
  <c r="B4" i="80"/>
  <c r="B5" i="80"/>
  <c r="B3" i="80"/>
  <c r="C6" i="74"/>
  <c r="M21" i="91"/>
  <c r="L21" i="91"/>
  <c r="K21" i="91"/>
  <c r="J21" i="91"/>
  <c r="I21" i="91"/>
  <c r="H21" i="91"/>
  <c r="G21" i="91"/>
  <c r="F21" i="91"/>
  <c r="E21" i="91"/>
  <c r="D21" i="91"/>
  <c r="P21" i="91" s="1"/>
  <c r="C21" i="91"/>
  <c r="B21" i="91"/>
  <c r="N112" i="81"/>
  <c r="M112" i="81"/>
  <c r="L112" i="81"/>
  <c r="K112" i="81"/>
  <c r="J112" i="81"/>
  <c r="I112" i="81"/>
  <c r="H112" i="81"/>
  <c r="G112" i="81"/>
  <c r="F112" i="81"/>
  <c r="E112" i="81"/>
  <c r="D112" i="81"/>
  <c r="C112" i="81"/>
  <c r="B112" i="81"/>
  <c r="AC112" i="81"/>
  <c r="AB112" i="81"/>
  <c r="AA112" i="81"/>
  <c r="Z112" i="81"/>
  <c r="Y112" i="81"/>
  <c r="X112" i="81"/>
  <c r="W112" i="81"/>
  <c r="V112" i="81"/>
  <c r="U112" i="81"/>
  <c r="T112" i="81"/>
  <c r="S112" i="81"/>
  <c r="R112" i="81"/>
  <c r="Q112" i="81"/>
  <c r="AR112" i="81"/>
  <c r="AQ112" i="81"/>
  <c r="AP112" i="81"/>
  <c r="AO112" i="81"/>
  <c r="AN112" i="81"/>
  <c r="AM112" i="81"/>
  <c r="AL112" i="81"/>
  <c r="AK112" i="81"/>
  <c r="AJ112" i="81"/>
  <c r="AI112" i="81"/>
  <c r="AH112" i="81"/>
  <c r="AG112" i="81"/>
  <c r="AF112" i="81"/>
  <c r="BG112" i="81"/>
  <c r="BF112" i="81"/>
  <c r="BE112" i="81"/>
  <c r="BD112" i="81"/>
  <c r="BC112" i="81"/>
  <c r="BB112" i="81"/>
  <c r="BA112" i="81"/>
  <c r="AZ112" i="81"/>
  <c r="AY112" i="81"/>
  <c r="AX112" i="81"/>
  <c r="AW112" i="81"/>
  <c r="AV112" i="81"/>
  <c r="AU112" i="81"/>
  <c r="B110" i="80"/>
  <c r="C110" i="80"/>
  <c r="D110" i="80"/>
  <c r="E110" i="80"/>
  <c r="F89" i="80"/>
  <c r="F90" i="80"/>
  <c r="F91" i="80"/>
  <c r="F92" i="80"/>
  <c r="F93" i="80"/>
  <c r="F94" i="80"/>
  <c r="F95" i="80"/>
  <c r="F96" i="80"/>
  <c r="F97" i="80"/>
  <c r="F98" i="80"/>
  <c r="F99" i="80"/>
  <c r="F100" i="80"/>
  <c r="F101" i="80"/>
  <c r="F102" i="80"/>
  <c r="F103" i="80"/>
  <c r="F104" i="80"/>
  <c r="F105" i="80"/>
  <c r="F106" i="80"/>
  <c r="F107" i="80"/>
  <c r="F108" i="80"/>
  <c r="F109" i="80"/>
  <c r="F10" i="80"/>
  <c r="F11" i="80"/>
  <c r="F12" i="80"/>
  <c r="F13" i="80"/>
  <c r="F14" i="80"/>
  <c r="F15" i="80"/>
  <c r="F9" i="80"/>
  <c r="E9" i="80"/>
  <c r="D9" i="80"/>
  <c r="C9" i="80"/>
  <c r="B9" i="80"/>
  <c r="I6" i="74"/>
  <c r="F6" i="80"/>
  <c r="G6" i="81"/>
  <c r="E8" i="2"/>
  <c r="I8" i="2"/>
  <c r="M8" i="2"/>
  <c r="Q8" i="2"/>
  <c r="U8" i="2"/>
  <c r="B5" i="81"/>
  <c r="B4" i="81"/>
  <c r="B3" i="81"/>
  <c r="F16" i="80"/>
  <c r="F17" i="80"/>
  <c r="F18" i="80"/>
  <c r="F19" i="80"/>
  <c r="F20" i="80"/>
  <c r="F21" i="80"/>
  <c r="F22" i="80"/>
  <c r="F23" i="80"/>
  <c r="F24" i="80"/>
  <c r="F25" i="80"/>
  <c r="F26" i="80"/>
  <c r="F27" i="80"/>
  <c r="F28" i="80"/>
  <c r="F29" i="80"/>
  <c r="F30" i="80"/>
  <c r="F31" i="80"/>
  <c r="F32" i="80"/>
  <c r="F33" i="80"/>
  <c r="F34" i="80"/>
  <c r="F35" i="80"/>
  <c r="F36" i="80"/>
  <c r="F37" i="80"/>
  <c r="F38" i="80"/>
  <c r="F39" i="80"/>
  <c r="F40" i="80"/>
  <c r="F41" i="80"/>
  <c r="F42" i="80"/>
  <c r="F43" i="80"/>
  <c r="F44" i="80"/>
  <c r="F45" i="80"/>
  <c r="F46" i="80"/>
  <c r="F47" i="80"/>
  <c r="F48" i="80"/>
  <c r="F49" i="80"/>
  <c r="F50" i="80"/>
  <c r="F51" i="80"/>
  <c r="F52" i="80"/>
  <c r="F53" i="80"/>
  <c r="F54" i="80"/>
  <c r="F55" i="80"/>
  <c r="F56" i="80"/>
  <c r="F57" i="80"/>
  <c r="F58" i="80"/>
  <c r="F59" i="80"/>
  <c r="F60" i="80"/>
  <c r="F61" i="80"/>
  <c r="F62" i="80"/>
  <c r="F63" i="80"/>
  <c r="F64" i="80"/>
  <c r="F65" i="80"/>
  <c r="F66" i="80"/>
  <c r="F67" i="80"/>
  <c r="F68" i="80"/>
  <c r="F69" i="80"/>
  <c r="F70" i="80"/>
  <c r="F71" i="80"/>
  <c r="F72" i="80"/>
  <c r="F73" i="80"/>
  <c r="F74" i="80"/>
  <c r="F75" i="80"/>
  <c r="F76" i="80"/>
  <c r="F77" i="80"/>
  <c r="F78" i="80"/>
  <c r="F79" i="80"/>
  <c r="F80" i="80"/>
  <c r="F81" i="80"/>
  <c r="F82" i="80"/>
  <c r="F83" i="80"/>
  <c r="F84" i="80"/>
  <c r="F85" i="80"/>
  <c r="F86" i="80"/>
  <c r="F87" i="80"/>
  <c r="F88" i="80"/>
  <c r="B6" i="2"/>
  <c r="B5" i="2"/>
  <c r="B4" i="2"/>
  <c r="B3" i="2"/>
  <c r="C5" i="74"/>
  <c r="C4" i="74"/>
  <c r="P27" i="74"/>
  <c r="M28" i="74"/>
  <c r="G28" i="74"/>
  <c r="N25" i="74"/>
  <c r="M25" i="74"/>
  <c r="L25" i="74"/>
  <c r="K25" i="74"/>
  <c r="J25" i="74"/>
  <c r="I25" i="74"/>
  <c r="H25" i="74"/>
  <c r="G25" i="74"/>
  <c r="F25" i="74"/>
  <c r="E25" i="74"/>
  <c r="D28" i="74" s="1"/>
  <c r="D29" i="74" s="1"/>
  <c r="D25" i="74"/>
  <c r="C25" i="74"/>
  <c r="Q24" i="74"/>
  <c r="P24" i="74"/>
  <c r="O24" i="74"/>
  <c r="Q20" i="74"/>
  <c r="P20" i="74"/>
  <c r="O20" i="74"/>
  <c r="Q19" i="74"/>
  <c r="P19" i="74"/>
  <c r="O19" i="74"/>
  <c r="Q18" i="74"/>
  <c r="P18" i="74"/>
  <c r="O18" i="74"/>
  <c r="Q17" i="74"/>
  <c r="P17" i="74"/>
  <c r="O17" i="74"/>
  <c r="Q16" i="74"/>
  <c r="P16" i="74"/>
  <c r="O16" i="74"/>
  <c r="Q15" i="74"/>
  <c r="P15" i="74"/>
  <c r="O15" i="74"/>
  <c r="Q14" i="74"/>
  <c r="P14" i="74"/>
  <c r="O14" i="74"/>
  <c r="Q13" i="74"/>
  <c r="P13" i="74"/>
  <c r="O13" i="74"/>
  <c r="Q12" i="74"/>
  <c r="P12" i="74"/>
  <c r="O12" i="74"/>
  <c r="B15" i="2"/>
  <c r="C3" i="36"/>
  <c r="C4" i="36"/>
  <c r="R14" i="2"/>
  <c r="R11" i="2"/>
  <c r="S11" i="2"/>
  <c r="T11" i="2"/>
  <c r="U11" i="2"/>
  <c r="R12" i="2"/>
  <c r="S12" i="2"/>
  <c r="T12" i="2"/>
  <c r="U12" i="2"/>
  <c r="R13" i="2"/>
  <c r="S13" i="2"/>
  <c r="T13" i="2"/>
  <c r="U13" i="2"/>
  <c r="S14" i="2"/>
  <c r="T14" i="2"/>
  <c r="T15" i="2" s="1"/>
  <c r="U14" i="2"/>
  <c r="C15" i="2"/>
  <c r="D15" i="2"/>
  <c r="E15" i="2"/>
  <c r="F15" i="2"/>
  <c r="G15" i="2"/>
  <c r="H15" i="2"/>
  <c r="I15" i="2"/>
  <c r="J15" i="2"/>
  <c r="K15" i="2"/>
  <c r="L15" i="2"/>
  <c r="M15" i="2"/>
  <c r="N15" i="2"/>
  <c r="R15" i="2" s="1"/>
  <c r="O15" i="2"/>
  <c r="P15" i="2"/>
  <c r="Q15" i="2"/>
  <c r="Q17" i="91" l="1"/>
  <c r="U15" i="2"/>
  <c r="P25" i="74"/>
  <c r="Q20" i="91"/>
  <c r="S15" i="2"/>
  <c r="F110" i="80"/>
  <c r="N21" i="91"/>
  <c r="Q19" i="91"/>
  <c r="O25" i="74"/>
  <c r="Q25" i="74" s="1"/>
  <c r="P28" i="74" s="1"/>
  <c r="P29" i="74" s="1"/>
  <c r="O21" i="91"/>
  <c r="Q21" i="91" l="1"/>
  <c r="A23" i="91" s="1"/>
</calcChain>
</file>

<file path=xl/sharedStrings.xml><?xml version="1.0" encoding="utf-8"?>
<sst xmlns="http://schemas.openxmlformats.org/spreadsheetml/2006/main" count="843" uniqueCount="146">
  <si>
    <t>Species:</t>
  </si>
  <si>
    <t>Year:</t>
  </si>
  <si>
    <t xml:space="preserve">Numbers </t>
  </si>
  <si>
    <t>Mean</t>
  </si>
  <si>
    <t xml:space="preserve">at age </t>
  </si>
  <si>
    <t>Weight</t>
  </si>
  <si>
    <t>(g)</t>
  </si>
  <si>
    <t>0</t>
  </si>
  <si>
    <t>5</t>
  </si>
  <si>
    <t>6</t>
  </si>
  <si>
    <t>7</t>
  </si>
  <si>
    <t>8</t>
  </si>
  <si>
    <t>Plus-group</t>
  </si>
  <si>
    <t xml:space="preserve">Year : </t>
  </si>
  <si>
    <t xml:space="preserve">Revised (date) : </t>
  </si>
  <si>
    <t>EXCEPT WHEN THESE ARE USED TO CALCULATE CATCH IN NUMBERS AT AGE!</t>
  </si>
  <si>
    <t>(tonnes)</t>
  </si>
  <si>
    <t>General comments</t>
  </si>
  <si>
    <t xml:space="preserve">Species : </t>
  </si>
  <si>
    <t>Total/Mean --&gt;</t>
  </si>
  <si>
    <t xml:space="preserve"> (t)</t>
  </si>
  <si>
    <t xml:space="preserve">SoP </t>
  </si>
  <si>
    <t xml:space="preserve"> (%)</t>
  </si>
  <si>
    <t xml:space="preserve">No. aged </t>
  </si>
  <si>
    <t xml:space="preserve"> (n)</t>
  </si>
  <si>
    <t>Mean horse power (HP)</t>
  </si>
  <si>
    <t>Average crew size</t>
  </si>
  <si>
    <t>Target species</t>
  </si>
  <si>
    <t>ONLY SAMPLES FROM COMMERCIAL FISHERY!  NO SAMPLES FROM RESEARCH VESSEL SURVEYS,</t>
  </si>
  <si>
    <t>TOTAL</t>
  </si>
  <si>
    <t>Quarter 2</t>
  </si>
  <si>
    <t>Quarter 3</t>
  </si>
  <si>
    <t>Quarter 4</t>
  </si>
  <si>
    <t>ALL YEAR</t>
  </si>
  <si>
    <t>samples</t>
  </si>
  <si>
    <t>measured</t>
  </si>
  <si>
    <t>aged</t>
  </si>
  <si>
    <t>(n)</t>
  </si>
  <si>
    <t xml:space="preserve">Fleet : </t>
  </si>
  <si>
    <t xml:space="preserve">Unit : </t>
  </si>
  <si>
    <t>Length</t>
  </si>
  <si>
    <t>All year</t>
  </si>
  <si>
    <t>(cm)</t>
  </si>
  <si>
    <t>1</t>
  </si>
  <si>
    <t>2</t>
  </si>
  <si>
    <t>3</t>
  </si>
  <si>
    <t>4</t>
  </si>
  <si>
    <t>These data can be used as presented and there are no known problematic issues which require</t>
  </si>
  <si>
    <t>If this workbook is an alteration to a previous submission, enter the date of the previous submission</t>
  </si>
  <si>
    <t>Total</t>
  </si>
  <si>
    <t>(kg)</t>
  </si>
  <si>
    <t>Quarter1</t>
  </si>
  <si>
    <t>Quarter 1</t>
  </si>
  <si>
    <t>CATCH NUMBERS, LENGTH AND WEIGHT AT AGE</t>
  </si>
  <si>
    <t>Mean vessel length (m)</t>
  </si>
  <si>
    <t>Type of vessel</t>
  </si>
  <si>
    <t>Horse power range (HP)</t>
  </si>
  <si>
    <t>Human consumption or fish meal</t>
  </si>
  <si>
    <t>Value / kg (national currency)</t>
  </si>
  <si>
    <t>If NO, please describe the problem in the text field on the next page</t>
  </si>
  <si>
    <t xml:space="preserve">Year:  </t>
  </si>
  <si>
    <t>TOTAL numbers</t>
  </si>
  <si>
    <t>Comments</t>
  </si>
  <si>
    <t>Number of vessels</t>
  </si>
  <si>
    <t>Fishing Gear</t>
  </si>
  <si>
    <t>Length range vessels (m)</t>
  </si>
  <si>
    <t>SPECIES:</t>
  </si>
  <si>
    <t>PERSON RESPONSIBLE FOR DATA:</t>
  </si>
  <si>
    <t>DATE SUBMITTED:</t>
  </si>
  <si>
    <t>EMAIL:</t>
  </si>
  <si>
    <t>ADDRESS:</t>
  </si>
  <si>
    <t>South Pacific Regional Fisheries Management Organisation</t>
  </si>
  <si>
    <t>Jack mackerel</t>
  </si>
  <si>
    <t>TEL</t>
  </si>
  <si>
    <t xml:space="preserve">discussion and agreement within the Scientific Committee meeting </t>
  </si>
  <si>
    <t>Fleet 1: Northern Chile (inside EEZ)</t>
  </si>
  <si>
    <t>Fleet 3: Peru &amp; Equador (inside EEZ)</t>
  </si>
  <si>
    <t>Fleet 4: Offshore (outside EEZ)</t>
  </si>
  <si>
    <t>Age</t>
  </si>
  <si>
    <t>12+</t>
  </si>
  <si>
    <t>Fleet 1</t>
  </si>
  <si>
    <t>Fleet 1 Northern Chile</t>
  </si>
  <si>
    <t>Fleet 2 South-Central Chile</t>
  </si>
  <si>
    <t>Fleet 3 Peru &amp; Equador</t>
  </si>
  <si>
    <t>Fleet 4 Offshore</t>
  </si>
  <si>
    <t>Fleet 4</t>
  </si>
  <si>
    <t>Fleet 3</t>
  </si>
  <si>
    <t>Fleet 2</t>
  </si>
  <si>
    <t>CATCH DATA</t>
  </si>
  <si>
    <t>Only fill in yellow cells!</t>
  </si>
  <si>
    <t xml:space="preserve"> </t>
  </si>
  <si>
    <t>1st Quarter</t>
  </si>
  <si>
    <t>2nd Quarter</t>
  </si>
  <si>
    <t>3rd Quarter</t>
  </si>
  <si>
    <t>4th Quarter</t>
  </si>
  <si>
    <t>all quarters</t>
  </si>
  <si>
    <t>TOTAL CATCH</t>
  </si>
  <si>
    <t>REMARKS</t>
  </si>
  <si>
    <t>OFFICIAL LANDINGS</t>
  </si>
  <si>
    <t>DISCARDS</t>
  </si>
  <si>
    <t>WG estimate</t>
  </si>
  <si>
    <t xml:space="preserve">PLEASE CHECK: </t>
  </si>
  <si>
    <t>total of sample</t>
  </si>
  <si>
    <t>(thousands)</t>
  </si>
  <si>
    <t>thousands</t>
  </si>
  <si>
    <t>MEMBER</t>
  </si>
  <si>
    <t>Member:</t>
  </si>
  <si>
    <r>
      <t xml:space="preserve">Please specify </t>
    </r>
    <r>
      <rPr>
        <b/>
        <sz val="10"/>
        <rFont val="Geneva"/>
      </rPr>
      <t>any problem</t>
    </r>
    <r>
      <rPr>
        <sz val="10"/>
        <rFont val="Geneva"/>
      </rPr>
      <t xml:space="preserve"> to be discussed within the SC HERE:</t>
    </r>
  </si>
  <si>
    <t>Fleet</t>
  </si>
  <si>
    <t>RETAINED</t>
  </si>
  <si>
    <t>FLEET</t>
  </si>
  <si>
    <t>Length measurements in total length (TL) or fork length (FL). Supply conversion factor</t>
  </si>
  <si>
    <t>Of the sample(s) taken, raised to the total catch of the sample(s)</t>
  </si>
  <si>
    <t>LENGTH DISTRIBUTIONS BY FLEET AND QUARTER</t>
  </si>
  <si>
    <t>Raised to the total catch by quarter</t>
  </si>
  <si>
    <t>AGE-LENGTH DISTRIBUTIONS BY FLEET AND QUARTER</t>
  </si>
  <si>
    <t>Thousands</t>
  </si>
  <si>
    <t>Fleet 2: South-Central Chile (EEZ/HS)</t>
  </si>
  <si>
    <t xml:space="preserve">Member : </t>
  </si>
  <si>
    <r>
      <t xml:space="preserve">Fleet data: </t>
    </r>
    <r>
      <rPr>
        <sz val="10"/>
        <rFont val="Geneva"/>
      </rPr>
      <t xml:space="preserve"> please provide a very brief fleet description for your member state in the input fields below</t>
    </r>
  </si>
  <si>
    <t>Numbers at age should include discards</t>
  </si>
  <si>
    <t>Units</t>
  </si>
  <si>
    <t>millions</t>
  </si>
  <si>
    <t>Countries</t>
  </si>
  <si>
    <t>Peru</t>
  </si>
  <si>
    <t>Chile</t>
  </si>
  <si>
    <t>China</t>
  </si>
  <si>
    <t>EU</t>
  </si>
  <si>
    <t>Korea</t>
  </si>
  <si>
    <t>Ecuador</t>
  </si>
  <si>
    <t>Russia</t>
  </si>
  <si>
    <t>Vanuatu</t>
  </si>
  <si>
    <t>Taiwan</t>
  </si>
  <si>
    <t>Species</t>
  </si>
  <si>
    <t>Total catch</t>
  </si>
  <si>
    <t>WEIGHT-LENGTH DISTRIBUTIONS BY FLEET AND QUARTER</t>
  </si>
  <si>
    <t>Weight of an individual at length</t>
  </si>
  <si>
    <t>Kg</t>
  </si>
  <si>
    <t>Length measures</t>
  </si>
  <si>
    <t>fork length</t>
  </si>
  <si>
    <t>total length</t>
  </si>
  <si>
    <t>LENGTH MEASURE</t>
  </si>
  <si>
    <t>individuals</t>
  </si>
  <si>
    <t>Data Submission Work Book (v3.2, Aug. 2021)</t>
  </si>
  <si>
    <t>SUMMARY OF SAMPLING FROM COMMERCIAL FISHERY</t>
  </si>
  <si>
    <t>13/6/2022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</si>
</sst>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
    <numFmt numFmtId="165" formatCode="0.000"/>
    <numFmt numFmtId="166" formatCode="###\ ###"/>
    <numFmt numFmtId="167" formatCode="###\ ###\ ###"/>
    <numFmt numFmtId="168" formatCode="d\-mmm\-yyyy"/>
  </numFmts>
  <fonts count="41">
    <font>
      <sz val="10"/>
      <name val="Geneva"/>
    </font>
    <font>
      <b/>
      <sz val="10"/>
      <name val="Geneva"/>
    </font>
    <font>
      <sz val="10"/>
      <name val="Geneva"/>
    </font>
    <font>
      <b/>
      <sz val="12"/>
      <name val="Geneva"/>
    </font>
    <font>
      <b/>
      <sz val="11"/>
      <name val="Geneva"/>
    </font>
    <font>
      <b/>
      <sz val="10"/>
      <color indexed="8"/>
      <name val="Geneva"/>
    </font>
    <font>
      <sz val="10"/>
      <color indexed="18"/>
      <name val="Geneva"/>
    </font>
    <font>
      <b/>
      <sz val="10"/>
      <color indexed="18"/>
      <name val="Geneva"/>
    </font>
    <font>
      <sz val="10"/>
      <color indexed="12"/>
      <name val="Geneva"/>
    </font>
    <font>
      <b/>
      <sz val="14"/>
      <name val="Geneva"/>
    </font>
    <font>
      <sz val="10"/>
      <color indexed="8"/>
      <name val="Geneva"/>
    </font>
    <font>
      <b/>
      <sz val="12"/>
      <color indexed="18"/>
      <name val="Geneva"/>
    </font>
    <font>
      <sz val="12"/>
      <name val="Geneva"/>
    </font>
    <font>
      <sz val="9"/>
      <name val="Geneva"/>
    </font>
    <font>
      <u/>
      <sz val="10"/>
      <color indexed="10"/>
      <name val="Geneva"/>
    </font>
    <font>
      <sz val="10"/>
      <color indexed="10"/>
      <name val="Geneva"/>
    </font>
    <font>
      <b/>
      <sz val="10"/>
      <color indexed="10"/>
      <name val="Geneva"/>
    </font>
    <font>
      <sz val="12"/>
      <color indexed="10"/>
      <name val="Geneva"/>
    </font>
    <font>
      <b/>
      <u/>
      <sz val="12"/>
      <color indexed="10"/>
      <name val="Geneva"/>
    </font>
    <font>
      <b/>
      <sz val="14"/>
      <color indexed="18"/>
      <name val="Geneva"/>
    </font>
    <font>
      <sz val="14"/>
      <name val="Geneva"/>
    </font>
    <font>
      <b/>
      <sz val="12"/>
      <color indexed="10"/>
      <name val="Geneva"/>
    </font>
    <font>
      <b/>
      <sz val="8"/>
      <name val="Geneva"/>
    </font>
    <font>
      <sz val="16"/>
      <name val="Geneva"/>
    </font>
    <font>
      <b/>
      <i/>
      <sz val="18"/>
      <name val="Arial"/>
      <family val="2"/>
    </font>
    <font>
      <b/>
      <sz val="9"/>
      <name val="Geneva"/>
    </font>
    <font>
      <b/>
      <i/>
      <sz val="12"/>
      <name val="Geneva"/>
    </font>
    <font>
      <u/>
      <sz val="10"/>
      <color indexed="12"/>
      <name val="Geneva"/>
    </font>
    <font>
      <b/>
      <sz val="12"/>
      <color indexed="9"/>
      <name val="Geneva"/>
    </font>
    <font>
      <b/>
      <sz val="16"/>
      <name val="Geneva"/>
    </font>
    <font>
      <sz val="12"/>
      <color indexed="18"/>
      <name val="Geneva"/>
    </font>
    <font>
      <b/>
      <sz val="18"/>
      <color indexed="10"/>
      <name val="Geneva"/>
    </font>
    <font>
      <sz val="14"/>
      <color indexed="10"/>
      <name val="Geneva"/>
    </font>
    <font>
      <b/>
      <sz val="11"/>
      <color indexed="8"/>
      <name val="Geneva"/>
    </font>
    <font>
      <sz val="10"/>
      <color rgb="FF000000"/>
      <name val="Arial"/>
      <family val="2"/>
    </font>
    <font>
      <sz val="10"/>
      <color rgb="FF000000"/>
      <name val="Geneva"/>
    </font>
    <font>
      <b/>
      <sz val="18"/>
      <color theme="0"/>
      <name val="Calibri Light"/>
      <family val="2"/>
    </font>
    <font>
      <b/>
      <sz val="11"/>
      <color theme="0"/>
      <name val="Calibri Light"/>
      <family val="2"/>
    </font>
    <font>
      <sz val="18"/>
      <color theme="0"/>
      <name val="Calibri Light"/>
      <family val="2"/>
    </font>
    <font>
      <sz val="14"/>
      <color theme="0"/>
      <name val="Calibri Light"/>
      <family val="2"/>
    </font>
    <font>
      <b/>
      <sz val="14"/>
      <color theme="0"/>
      <name val="Calibri Light"/>
      <family val="2"/>
    </font>
  </fonts>
  <fills count="10">
    <fill>
      <patternFill patternType="none"/>
    </fill>
    <fill>
      <patternFill patternType="gray125"/>
    </fill>
    <fill>
      <patternFill patternType="solid">
        <fgColor indexed="9"/>
        <bgColor indexed="64"/>
      </patternFill>
    </fill>
    <fill>
      <patternFill patternType="solid">
        <fgColor indexed="26"/>
        <bgColor indexed="64"/>
      </patternFill>
    </fill>
    <fill>
      <patternFill patternType="solid">
        <fgColor indexed="43"/>
        <bgColor indexed="64"/>
      </patternFill>
    </fill>
    <fill>
      <patternFill patternType="solid">
        <fgColor indexed="41"/>
        <bgColor indexed="64"/>
      </patternFill>
    </fill>
    <fill>
      <patternFill patternType="solid">
        <fgColor indexed="45"/>
        <bgColor indexed="64"/>
      </patternFill>
    </fill>
    <fill>
      <patternFill patternType="solid">
        <fgColor rgb="FFFFFFCC"/>
        <bgColor indexed="64"/>
      </patternFill>
    </fill>
    <fill>
      <patternFill patternType="solid">
        <fgColor theme="0"/>
        <bgColor indexed="64"/>
      </patternFill>
    </fill>
    <fill>
      <patternFill patternType="solid">
        <fgColor theme="3" tint="-0.499984740745262"/>
        <bgColor indexed="64"/>
      </patternFill>
    </fill>
  </fills>
  <borders count="125">
    <border>
      <left/>
      <right/>
      <top/>
      <bottom/>
      <diagonal/>
    </border>
    <border>
      <left style="medium">
        <color indexed="64"/>
      </left>
      <right/>
      <top style="medium">
        <color indexed="64"/>
      </top>
      <bottom style="medium">
        <color indexed="64"/>
      </bottom>
      <diagonal/>
    </border>
    <border>
      <left style="medium">
        <color indexed="64"/>
      </left>
      <right/>
      <top style="medium">
        <color indexed="64"/>
      </top>
      <bottom/>
      <diagonal/>
    </border>
    <border>
      <left style="dotted">
        <color indexed="64"/>
      </left>
      <right style="dotted">
        <color indexed="64"/>
      </right>
      <top style="thin">
        <color indexed="64"/>
      </top>
      <bottom/>
      <diagonal/>
    </border>
    <border>
      <left/>
      <right style="medium">
        <color indexed="64"/>
      </right>
      <top style="medium">
        <color indexed="64"/>
      </top>
      <bottom/>
      <diagonal/>
    </border>
    <border>
      <left style="dotted">
        <color indexed="64"/>
      </left>
      <right style="dotted">
        <color indexed="64"/>
      </right>
      <top/>
      <bottom/>
      <diagonal/>
    </border>
    <border>
      <left/>
      <right style="medium">
        <color indexed="64"/>
      </right>
      <top/>
      <bottom/>
      <diagonal/>
    </border>
    <border>
      <left style="medium">
        <color indexed="64"/>
      </left>
      <right/>
      <top/>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dotted">
        <color indexed="64"/>
      </left>
      <right style="dotted">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hair">
        <color indexed="64"/>
      </bottom>
      <diagonal/>
    </border>
    <border>
      <left style="thin">
        <color indexed="64"/>
      </left>
      <right/>
      <top/>
      <bottom style="hair">
        <color indexed="64"/>
      </bottom>
      <diagonal/>
    </border>
    <border>
      <left style="thin">
        <color indexed="64"/>
      </left>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dotted">
        <color indexed="64"/>
      </left>
      <right style="dotted">
        <color indexed="64"/>
      </right>
      <top style="medium">
        <color indexed="64"/>
      </top>
      <bottom style="dotted">
        <color indexed="64"/>
      </bottom>
      <diagonal/>
    </border>
    <border>
      <left style="dotted">
        <color indexed="64"/>
      </left>
      <right style="medium">
        <color indexed="64"/>
      </right>
      <top style="medium">
        <color indexed="64"/>
      </top>
      <bottom style="dotted">
        <color indexed="64"/>
      </bottom>
      <diagonal/>
    </border>
    <border>
      <left style="dotted">
        <color indexed="64"/>
      </left>
      <right style="dotted">
        <color indexed="64"/>
      </right>
      <top style="dotted">
        <color indexed="64"/>
      </top>
      <bottom style="dotted">
        <color indexed="64"/>
      </bottom>
      <diagonal/>
    </border>
    <border>
      <left style="dotted">
        <color indexed="64"/>
      </left>
      <right style="medium">
        <color indexed="64"/>
      </right>
      <top style="dotted">
        <color indexed="64"/>
      </top>
      <bottom style="dotted">
        <color indexed="64"/>
      </bottom>
      <diagonal/>
    </border>
    <border>
      <left style="medium">
        <color indexed="64"/>
      </left>
      <right style="dotted">
        <color indexed="64"/>
      </right>
      <top style="medium">
        <color indexed="64"/>
      </top>
      <bottom style="dotted">
        <color indexed="64"/>
      </bottom>
      <diagonal/>
    </border>
    <border>
      <left style="medium">
        <color indexed="64"/>
      </left>
      <right style="dotted">
        <color indexed="64"/>
      </right>
      <top style="dotted">
        <color indexed="64"/>
      </top>
      <bottom style="dotted">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right/>
      <top style="thin">
        <color indexed="64"/>
      </top>
      <bottom style="thin">
        <color indexed="64"/>
      </bottom>
      <diagonal/>
    </border>
    <border>
      <left style="dotted">
        <color indexed="64"/>
      </left>
      <right style="dotted">
        <color indexed="64"/>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right style="medium">
        <color indexed="64"/>
      </right>
      <top/>
      <bottom style="hair">
        <color indexed="64"/>
      </bottom>
      <diagonal/>
    </border>
    <border>
      <left style="medium">
        <color indexed="64"/>
      </left>
      <right/>
      <top style="medium">
        <color indexed="64"/>
      </top>
      <bottom style="hair">
        <color indexed="64"/>
      </bottom>
      <diagonal/>
    </border>
    <border>
      <left style="dotted">
        <color indexed="64"/>
      </left>
      <right style="dotted">
        <color indexed="64"/>
      </right>
      <top style="medium">
        <color indexed="64"/>
      </top>
      <bottom style="hair">
        <color indexed="64"/>
      </bottom>
      <diagonal/>
    </border>
    <border>
      <left style="medium">
        <color indexed="64"/>
      </left>
      <right/>
      <top/>
      <bottom style="hair">
        <color indexed="64"/>
      </bottom>
      <diagonal/>
    </border>
    <border>
      <left style="dotted">
        <color indexed="64"/>
      </left>
      <right style="dotted">
        <color indexed="64"/>
      </right>
      <top/>
      <bottom style="hair">
        <color indexed="64"/>
      </bottom>
      <diagonal/>
    </border>
    <border>
      <left style="medium">
        <color indexed="64"/>
      </left>
      <right style="medium">
        <color indexed="64"/>
      </right>
      <top style="medium">
        <color indexed="64"/>
      </top>
      <bottom style="dotted">
        <color indexed="64"/>
      </bottom>
      <diagonal/>
    </border>
    <border>
      <left style="medium">
        <color indexed="64"/>
      </left>
      <right style="medium">
        <color indexed="64"/>
      </right>
      <top style="dotted">
        <color indexed="64"/>
      </top>
      <bottom style="dotted">
        <color indexed="64"/>
      </bottom>
      <diagonal/>
    </border>
    <border>
      <left style="medium">
        <color indexed="64"/>
      </left>
      <right style="medium">
        <color indexed="64"/>
      </right>
      <top style="dotted">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right/>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dotted">
        <color indexed="64"/>
      </left>
      <right style="dotted">
        <color indexed="64"/>
      </right>
      <top style="medium">
        <color indexed="64"/>
      </top>
      <bottom/>
      <diagonal/>
    </border>
    <border>
      <left style="medium">
        <color indexed="64"/>
      </left>
      <right style="dotted">
        <color indexed="64"/>
      </right>
      <top/>
      <bottom style="hair">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style="medium">
        <color indexed="64"/>
      </top>
      <bottom style="medium">
        <color indexed="64"/>
      </bottom>
      <diagonal/>
    </border>
    <border>
      <left style="thin">
        <color indexed="64"/>
      </left>
      <right style="thin">
        <color indexed="64"/>
      </right>
      <top style="hair">
        <color indexed="64"/>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medium">
        <color indexed="64"/>
      </top>
      <bottom style="hair">
        <color indexed="64"/>
      </bottom>
      <diagonal/>
    </border>
    <border>
      <left style="medium">
        <color indexed="64"/>
      </left>
      <right/>
      <top style="dotted">
        <color indexed="64"/>
      </top>
      <bottom style="dotted">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thin">
        <color indexed="64"/>
      </left>
      <right style="hair">
        <color indexed="64"/>
      </right>
      <top/>
      <bottom style="hair">
        <color indexed="64"/>
      </bottom>
      <diagonal/>
    </border>
    <border>
      <left style="hair">
        <color indexed="64"/>
      </left>
      <right style="hair">
        <color indexed="64"/>
      </right>
      <top/>
      <bottom style="hair">
        <color indexed="64"/>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thin">
        <color indexed="64"/>
      </left>
      <right style="hair">
        <color indexed="64"/>
      </right>
      <top style="hair">
        <color indexed="64"/>
      </top>
      <bottom/>
      <diagonal/>
    </border>
    <border>
      <left style="hair">
        <color indexed="64"/>
      </left>
      <right style="hair">
        <color indexed="64"/>
      </right>
      <top style="hair">
        <color indexed="64"/>
      </top>
      <bottom/>
      <diagonal/>
    </border>
    <border>
      <left style="hair">
        <color indexed="64"/>
      </left>
      <right style="medium">
        <color indexed="64"/>
      </right>
      <top style="thin">
        <color indexed="64"/>
      </top>
      <bottom style="thin">
        <color indexed="64"/>
      </bottom>
      <diagonal/>
    </border>
    <border>
      <left style="medium">
        <color indexed="64"/>
      </left>
      <right/>
      <top style="hair">
        <color indexed="64"/>
      </top>
      <bottom style="hair">
        <color indexed="64"/>
      </bottom>
      <diagonal/>
    </border>
    <border>
      <left style="hair">
        <color indexed="64"/>
      </left>
      <right style="medium">
        <color indexed="64"/>
      </right>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top style="hair">
        <color indexed="64"/>
      </top>
      <bottom/>
      <diagonal/>
    </border>
    <border>
      <left style="hair">
        <color indexed="64"/>
      </left>
      <right style="medium">
        <color indexed="64"/>
      </right>
      <top style="hair">
        <color indexed="64"/>
      </top>
      <bottom/>
      <diagonal/>
    </border>
    <border>
      <left style="thin">
        <color indexed="64"/>
      </left>
      <right style="hair">
        <color indexed="64"/>
      </right>
      <top style="thin">
        <color indexed="64"/>
      </top>
      <bottom style="medium">
        <color indexed="64"/>
      </bottom>
      <diagonal/>
    </border>
    <border>
      <left style="hair">
        <color indexed="64"/>
      </left>
      <right style="hair">
        <color indexed="64"/>
      </right>
      <top style="thin">
        <color indexed="64"/>
      </top>
      <bottom style="medium">
        <color indexed="64"/>
      </bottom>
      <diagonal/>
    </border>
    <border>
      <left style="hair">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dashed">
        <color indexed="64"/>
      </right>
      <top style="medium">
        <color indexed="64"/>
      </top>
      <bottom/>
      <diagonal/>
    </border>
    <border>
      <left style="medium">
        <color indexed="64"/>
      </left>
      <right style="medium">
        <color indexed="64"/>
      </right>
      <top/>
      <bottom/>
      <diagonal/>
    </border>
    <border>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right style="thin">
        <color indexed="64"/>
      </right>
      <top/>
      <bottom style="medium">
        <color indexed="64"/>
      </bottom>
      <diagonal/>
    </border>
    <border>
      <left style="medium">
        <color indexed="64"/>
      </left>
      <right style="dashed">
        <color indexed="64"/>
      </right>
      <top/>
      <bottom style="medium">
        <color indexed="64"/>
      </bottom>
      <diagonal/>
    </border>
    <border>
      <left/>
      <right style="dotted">
        <color indexed="64"/>
      </right>
      <top/>
      <bottom style="dotted">
        <color indexed="64"/>
      </bottom>
      <diagonal/>
    </border>
    <border>
      <left style="dotted">
        <color indexed="64"/>
      </left>
      <right/>
      <top/>
      <bottom style="dotted">
        <color indexed="64"/>
      </bottom>
      <diagonal/>
    </border>
    <border>
      <left style="medium">
        <color indexed="64"/>
      </left>
      <right style="medium">
        <color indexed="64"/>
      </right>
      <top/>
      <bottom style="dotted">
        <color indexed="64"/>
      </bottom>
      <diagonal/>
    </border>
    <border>
      <left style="dotted">
        <color indexed="64"/>
      </left>
      <right style="medium">
        <color indexed="64"/>
      </right>
      <top/>
      <bottom style="dotted">
        <color indexed="64"/>
      </bottom>
      <diagonal/>
    </border>
    <border>
      <left style="medium">
        <color indexed="64"/>
      </left>
      <right style="dashed">
        <color indexed="64"/>
      </right>
      <top/>
      <bottom style="dotted">
        <color indexed="64"/>
      </bottom>
      <diagonal/>
    </border>
    <border>
      <left/>
      <right style="medium">
        <color indexed="64"/>
      </right>
      <top/>
      <bottom style="dotted">
        <color indexed="64"/>
      </bottom>
      <diagonal/>
    </border>
    <border>
      <left/>
      <right style="dotted">
        <color indexed="64"/>
      </right>
      <top style="dotted">
        <color indexed="64"/>
      </top>
      <bottom style="dotted">
        <color indexed="64"/>
      </bottom>
      <diagonal/>
    </border>
    <border>
      <left style="dotted">
        <color indexed="64"/>
      </left>
      <right/>
      <top style="dotted">
        <color indexed="64"/>
      </top>
      <bottom style="dotted">
        <color indexed="64"/>
      </bottom>
      <diagonal/>
    </border>
    <border>
      <left style="thin">
        <color indexed="64"/>
      </left>
      <right/>
      <top style="medium">
        <color indexed="64"/>
      </top>
      <bottom/>
      <diagonal/>
    </border>
    <border>
      <left style="thin">
        <color indexed="64"/>
      </left>
      <right/>
      <top style="medium">
        <color indexed="64"/>
      </top>
      <bottom style="medium">
        <color indexed="64"/>
      </bottom>
      <diagonal/>
    </border>
    <border>
      <left style="medium">
        <color indexed="64"/>
      </left>
      <right style="dashed">
        <color indexed="64"/>
      </right>
      <top/>
      <bottom/>
      <diagonal/>
    </border>
    <border>
      <left style="medium">
        <color indexed="64"/>
      </left>
      <right style="dashed">
        <color indexed="64"/>
      </right>
      <top style="medium">
        <color indexed="64"/>
      </top>
      <bottom style="medium">
        <color indexed="64"/>
      </bottom>
      <diagonal/>
    </border>
    <border>
      <left style="medium">
        <color indexed="64"/>
      </left>
      <right/>
      <top style="thin">
        <color indexed="64"/>
      </top>
      <bottom/>
      <diagonal/>
    </border>
    <border>
      <left style="hair">
        <color indexed="64"/>
      </left>
      <right style="thin">
        <color indexed="64"/>
      </right>
      <top/>
      <bottom style="hair">
        <color indexed="64"/>
      </bottom>
      <diagonal/>
    </border>
    <border>
      <left style="hair">
        <color indexed="64"/>
      </left>
      <right style="thin">
        <color indexed="64"/>
      </right>
      <top style="hair">
        <color indexed="64"/>
      </top>
      <bottom style="hair">
        <color indexed="64"/>
      </bottom>
      <diagonal/>
    </border>
    <border>
      <left style="medium">
        <color indexed="64"/>
      </left>
      <right/>
      <top style="hair">
        <color indexed="64"/>
      </top>
      <bottom style="thin">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s>
  <cellStyleXfs count="3">
    <xf numFmtId="0" fontId="0" fillId="0" borderId="0"/>
    <xf numFmtId="0" fontId="27" fillId="0" borderId="0" applyNumberFormat="0" applyFill="0" applyBorder="0" applyAlignment="0" applyProtection="0">
      <alignment vertical="top"/>
      <protection locked="0"/>
    </xf>
    <xf numFmtId="9" fontId="2" fillId="0" borderId="0" applyFont="0" applyFill="0" applyBorder="0" applyAlignment="0" applyProtection="0"/>
  </cellStyleXfs>
  <cellXfs count="404">
    <xf numFmtId="0" fontId="0" fillId="0" borderId="0" xfId="0"/>
    <xf numFmtId="0" fontId="0" fillId="0" borderId="0" xfId="0" applyAlignment="1">
      <alignment horizontal="center"/>
    </xf>
    <xf numFmtId="0" fontId="1" fillId="0" borderId="0" xfId="0" applyFont="1" applyAlignment="1">
      <alignment horizontal="center"/>
    </xf>
    <xf numFmtId="0" fontId="0" fillId="2" borderId="0" xfId="0" applyFill="1" applyAlignment="1">
      <alignment horizontal="center"/>
    </xf>
    <xf numFmtId="0" fontId="0" fillId="2" borderId="0" xfId="0" applyFill="1"/>
    <xf numFmtId="0" fontId="1" fillId="2" borderId="1" xfId="0" applyFont="1" applyFill="1" applyBorder="1" applyAlignment="1">
      <alignment horizontal="center" vertical="center"/>
    </xf>
    <xf numFmtId="0" fontId="0" fillId="2" borderId="0" xfId="0" applyFill="1" applyAlignment="1">
      <alignment vertical="center"/>
    </xf>
    <xf numFmtId="0" fontId="0" fillId="0" borderId="0" xfId="0" applyAlignment="1">
      <alignment vertical="center"/>
    </xf>
    <xf numFmtId="0" fontId="1" fillId="2" borderId="0" xfId="0" applyFont="1" applyFill="1" applyAlignment="1">
      <alignment horizontal="center" vertical="center"/>
    </xf>
    <xf numFmtId="0" fontId="0" fillId="2" borderId="0" xfId="0" applyFill="1" applyAlignment="1">
      <alignment horizontal="center" vertical="center"/>
    </xf>
    <xf numFmtId="0" fontId="0" fillId="0" borderId="0" xfId="0" applyAlignment="1">
      <alignment horizontal="left"/>
    </xf>
    <xf numFmtId="0" fontId="3" fillId="2" borderId="0" xfId="0" applyFont="1" applyFill="1" applyAlignment="1">
      <alignment horizontal="left" vertical="center"/>
    </xf>
    <xf numFmtId="0" fontId="0" fillId="2" borderId="0" xfId="0" applyFill="1" applyAlignment="1">
      <alignment horizontal="right" vertical="center"/>
    </xf>
    <xf numFmtId="0" fontId="2" fillId="2" borderId="0" xfId="0" applyFont="1" applyFill="1" applyBorder="1" applyAlignment="1">
      <alignment horizontal="right" vertical="center"/>
    </xf>
    <xf numFmtId="0" fontId="2" fillId="2" borderId="2" xfId="0" applyFont="1" applyFill="1" applyBorder="1" applyAlignment="1">
      <alignment horizontal="center" vertical="center"/>
    </xf>
    <xf numFmtId="0" fontId="0" fillId="2" borderId="3" xfId="0" applyFill="1" applyBorder="1" applyAlignment="1">
      <alignment horizontal="center" vertical="center"/>
    </xf>
    <xf numFmtId="0" fontId="0" fillId="2" borderId="4" xfId="0" applyFill="1" applyBorder="1" applyAlignment="1">
      <alignment horizontal="center" vertical="center"/>
    </xf>
    <xf numFmtId="0" fontId="0" fillId="2" borderId="2" xfId="0" applyFill="1" applyBorder="1" applyAlignment="1">
      <alignment horizontal="center" vertical="center"/>
    </xf>
    <xf numFmtId="0" fontId="0" fillId="2" borderId="5" xfId="0" applyFill="1" applyBorder="1" applyAlignment="1">
      <alignment horizontal="center" vertical="center"/>
    </xf>
    <xf numFmtId="0" fontId="0" fillId="2" borderId="6" xfId="0" applyFill="1" applyBorder="1" applyAlignment="1">
      <alignment horizontal="center" vertical="center"/>
    </xf>
    <xf numFmtId="0" fontId="0" fillId="2" borderId="7" xfId="0" applyFill="1" applyBorder="1" applyAlignment="1">
      <alignment horizontal="center" vertical="center"/>
    </xf>
    <xf numFmtId="0" fontId="0" fillId="2" borderId="8" xfId="0" applyFill="1" applyBorder="1" applyAlignment="1">
      <alignment vertical="center"/>
    </xf>
    <xf numFmtId="0" fontId="0" fillId="2" borderId="9" xfId="0" applyFill="1" applyBorder="1" applyAlignment="1">
      <alignment vertical="center"/>
    </xf>
    <xf numFmtId="164" fontId="2" fillId="2" borderId="10" xfId="0" applyNumberFormat="1" applyFont="1" applyFill="1" applyBorder="1" applyAlignment="1">
      <alignment horizontal="right" vertical="center"/>
    </xf>
    <xf numFmtId="1" fontId="2" fillId="2" borderId="11" xfId="0" applyNumberFormat="1" applyFont="1" applyFill="1" applyBorder="1" applyAlignment="1">
      <alignment horizontal="right" vertical="center"/>
    </xf>
    <xf numFmtId="1" fontId="2" fillId="2" borderId="12" xfId="0" applyNumberFormat="1" applyFont="1" applyFill="1" applyBorder="1" applyAlignment="1">
      <alignment horizontal="right" vertical="center"/>
    </xf>
    <xf numFmtId="0" fontId="0" fillId="2" borderId="0" xfId="0" applyFill="1" applyBorder="1"/>
    <xf numFmtId="0" fontId="1" fillId="2" borderId="13" xfId="0" applyFont="1" applyFill="1" applyBorder="1" applyAlignment="1">
      <alignment horizontal="center"/>
    </xf>
    <xf numFmtId="0" fontId="1" fillId="2" borderId="14" xfId="0" applyFont="1" applyFill="1" applyBorder="1" applyAlignment="1">
      <alignment horizontal="center"/>
    </xf>
    <xf numFmtId="0" fontId="10" fillId="2" borderId="0" xfId="0" applyFont="1" applyFill="1"/>
    <xf numFmtId="0" fontId="0" fillId="2" borderId="0" xfId="0" applyFill="1" applyAlignment="1">
      <alignment horizontal="right"/>
    </xf>
    <xf numFmtId="0" fontId="0" fillId="2" borderId="0" xfId="0" applyFill="1" applyBorder="1" applyAlignment="1">
      <alignment horizontal="center"/>
    </xf>
    <xf numFmtId="0" fontId="1" fillId="2" borderId="0" xfId="0" applyFont="1" applyFill="1" applyAlignment="1">
      <alignment horizontal="left"/>
    </xf>
    <xf numFmtId="0" fontId="9" fillId="2" borderId="0" xfId="0" applyFont="1" applyFill="1" applyAlignment="1">
      <alignment horizontal="left" vertical="center"/>
    </xf>
    <xf numFmtId="0" fontId="0" fillId="2" borderId="0" xfId="0" applyFill="1" applyBorder="1" applyAlignment="1">
      <alignment horizontal="right" vertical="center"/>
    </xf>
    <xf numFmtId="0" fontId="0" fillId="2" borderId="0" xfId="0" applyFill="1" applyBorder="1" applyAlignment="1">
      <alignment vertical="center"/>
    </xf>
    <xf numFmtId="166" fontId="2" fillId="0" borderId="16" xfId="0" applyNumberFormat="1" applyFont="1" applyBorder="1" applyAlignment="1">
      <alignment horizontal="center"/>
    </xf>
    <xf numFmtId="0" fontId="0" fillId="2" borderId="0" xfId="0" applyFill="1" applyAlignment="1">
      <alignment horizontal="left" vertical="top"/>
    </xf>
    <xf numFmtId="0" fontId="0" fillId="2" borderId="0" xfId="0" applyFill="1" applyAlignment="1"/>
    <xf numFmtId="0" fontId="0" fillId="0" borderId="22" xfId="0" applyBorder="1" applyAlignment="1">
      <alignment vertical="center" wrapText="1"/>
    </xf>
    <xf numFmtId="0" fontId="0" fillId="0" borderId="23" xfId="0" applyBorder="1" applyAlignment="1">
      <alignment vertical="center" wrapText="1"/>
    </xf>
    <xf numFmtId="0" fontId="0" fillId="0" borderId="24" xfId="0" applyBorder="1" applyAlignment="1">
      <alignment vertical="center" wrapText="1"/>
    </xf>
    <xf numFmtId="0" fontId="13" fillId="2" borderId="28" xfId="0" applyFont="1" applyFill="1" applyBorder="1" applyAlignment="1">
      <alignment horizontal="right" vertical="center" wrapText="1"/>
    </xf>
    <xf numFmtId="0" fontId="13" fillId="2" borderId="13" xfId="0" applyFont="1" applyFill="1" applyBorder="1" applyAlignment="1">
      <alignment horizontal="right" vertical="center" wrapText="1"/>
    </xf>
    <xf numFmtId="0" fontId="13" fillId="2" borderId="29" xfId="0" applyFont="1" applyFill="1" applyBorder="1" applyAlignment="1">
      <alignment horizontal="right" vertical="center" wrapText="1"/>
    </xf>
    <xf numFmtId="0" fontId="0" fillId="0" borderId="0" xfId="0" applyAlignment="1">
      <alignment vertical="center" wrapText="1"/>
    </xf>
    <xf numFmtId="0" fontId="0" fillId="2" borderId="30" xfId="0" applyFill="1" applyBorder="1" applyAlignment="1">
      <alignment horizontal="right" vertical="center"/>
    </xf>
    <xf numFmtId="0" fontId="0" fillId="2" borderId="31" xfId="0" applyFill="1" applyBorder="1" applyAlignment="1">
      <alignment horizontal="right" vertical="center"/>
    </xf>
    <xf numFmtId="0" fontId="0" fillId="2" borderId="32" xfId="0" applyFill="1" applyBorder="1" applyAlignment="1">
      <alignment horizontal="right" vertical="center"/>
    </xf>
    <xf numFmtId="0" fontId="2" fillId="2" borderId="30" xfId="0" applyFont="1" applyFill="1" applyBorder="1" applyAlignment="1">
      <alignment horizontal="right" vertical="center"/>
    </xf>
    <xf numFmtId="0" fontId="2" fillId="2" borderId="31" xfId="0" applyFont="1" applyFill="1" applyBorder="1" applyAlignment="1">
      <alignment horizontal="right" vertical="center"/>
    </xf>
    <xf numFmtId="0" fontId="2" fillId="2" borderId="32" xfId="0" applyFont="1" applyFill="1" applyBorder="1" applyAlignment="1">
      <alignment horizontal="right" vertical="center"/>
    </xf>
    <xf numFmtId="0" fontId="6" fillId="3" borderId="33" xfId="0" applyFont="1" applyFill="1" applyBorder="1" applyAlignment="1" applyProtection="1">
      <alignment vertical="center"/>
      <protection locked="0"/>
    </xf>
    <xf numFmtId="0" fontId="6" fillId="3" borderId="34" xfId="0" applyFont="1" applyFill="1" applyBorder="1" applyAlignment="1" applyProtection="1">
      <alignment vertical="center"/>
      <protection locked="0"/>
    </xf>
    <xf numFmtId="0" fontId="6" fillId="3" borderId="35" xfId="0" applyFont="1" applyFill="1" applyBorder="1" applyAlignment="1" applyProtection="1">
      <alignment vertical="center"/>
      <protection locked="0"/>
    </xf>
    <xf numFmtId="0" fontId="6" fillId="3" borderId="36" xfId="0" applyFont="1" applyFill="1" applyBorder="1" applyAlignment="1" applyProtection="1">
      <alignment vertical="center"/>
      <protection locked="0"/>
    </xf>
    <xf numFmtId="167" fontId="6" fillId="3" borderId="37" xfId="0" applyNumberFormat="1" applyFont="1" applyFill="1" applyBorder="1" applyAlignment="1" applyProtection="1">
      <alignment vertical="center"/>
      <protection locked="0"/>
    </xf>
    <xf numFmtId="167" fontId="6" fillId="3" borderId="38" xfId="0" applyNumberFormat="1" applyFont="1" applyFill="1" applyBorder="1" applyAlignment="1" applyProtection="1">
      <alignment vertical="center"/>
      <protection locked="0"/>
    </xf>
    <xf numFmtId="167" fontId="1" fillId="0" borderId="39" xfId="0" applyNumberFormat="1" applyFont="1" applyFill="1" applyBorder="1" applyAlignment="1">
      <alignment vertical="center"/>
    </xf>
    <xf numFmtId="167" fontId="1" fillId="0" borderId="38" xfId="0" applyNumberFormat="1" applyFont="1" applyFill="1" applyBorder="1" applyAlignment="1">
      <alignment vertical="center"/>
    </xf>
    <xf numFmtId="166" fontId="1" fillId="0" borderId="33" xfId="0" applyNumberFormat="1" applyFont="1" applyFill="1" applyBorder="1" applyAlignment="1">
      <alignment vertical="center"/>
    </xf>
    <xf numFmtId="166" fontId="1" fillId="0" borderId="34" xfId="0" applyNumberFormat="1" applyFont="1" applyFill="1" applyBorder="1" applyAlignment="1">
      <alignment vertical="center"/>
    </xf>
    <xf numFmtId="166" fontId="1" fillId="0" borderId="35" xfId="0" applyNumberFormat="1" applyFont="1" applyFill="1" applyBorder="1" applyAlignment="1">
      <alignment vertical="center"/>
    </xf>
    <xf numFmtId="166" fontId="1" fillId="0" borderId="36" xfId="0" applyNumberFormat="1" applyFont="1" applyFill="1" applyBorder="1" applyAlignment="1">
      <alignment vertical="center"/>
    </xf>
    <xf numFmtId="166" fontId="1" fillId="0" borderId="40" xfId="0" applyNumberFormat="1" applyFont="1" applyFill="1" applyBorder="1" applyAlignment="1">
      <alignment vertical="center"/>
    </xf>
    <xf numFmtId="166" fontId="1" fillId="0" borderId="41" xfId="0" applyNumberFormat="1" applyFont="1" applyFill="1" applyBorder="1" applyAlignment="1">
      <alignment vertical="center"/>
    </xf>
    <xf numFmtId="166" fontId="6" fillId="3" borderId="33" xfId="0" applyNumberFormat="1" applyFont="1" applyFill="1" applyBorder="1" applyAlignment="1" applyProtection="1">
      <alignment vertical="center"/>
      <protection locked="0"/>
    </xf>
    <xf numFmtId="166" fontId="6" fillId="3" borderId="34" xfId="0" applyNumberFormat="1" applyFont="1" applyFill="1" applyBorder="1" applyAlignment="1" applyProtection="1">
      <alignment vertical="center"/>
      <protection locked="0"/>
    </xf>
    <xf numFmtId="166" fontId="6" fillId="3" borderId="35" xfId="0" applyNumberFormat="1" applyFont="1" applyFill="1" applyBorder="1" applyAlignment="1" applyProtection="1">
      <alignment vertical="center"/>
      <protection locked="0"/>
    </xf>
    <xf numFmtId="166" fontId="6" fillId="3" borderId="36" xfId="0" applyNumberFormat="1" applyFont="1" applyFill="1" applyBorder="1" applyAlignment="1" applyProtection="1">
      <alignment vertical="center"/>
      <protection locked="0"/>
    </xf>
    <xf numFmtId="167" fontId="2" fillId="2" borderId="1" xfId="0" applyNumberFormat="1" applyFont="1" applyFill="1" applyBorder="1" applyAlignment="1">
      <alignment horizontal="right" vertical="center"/>
    </xf>
    <xf numFmtId="0" fontId="3" fillId="2" borderId="0" xfId="0" applyFont="1" applyFill="1" applyBorder="1" applyAlignment="1">
      <alignment horizontal="left" vertical="center"/>
    </xf>
    <xf numFmtId="0" fontId="12" fillId="2" borderId="0" xfId="0" applyFont="1" applyFill="1" applyBorder="1" applyAlignment="1">
      <alignment vertical="center"/>
    </xf>
    <xf numFmtId="0" fontId="11" fillId="3" borderId="2" xfId="0" applyFont="1" applyFill="1" applyBorder="1" applyAlignment="1" applyProtection="1">
      <alignment horizontal="left" vertical="center"/>
      <protection locked="0"/>
    </xf>
    <xf numFmtId="0" fontId="0" fillId="3" borderId="4" xfId="0" applyFill="1" applyBorder="1" applyAlignment="1" applyProtection="1">
      <alignment vertical="center"/>
      <protection locked="0"/>
    </xf>
    <xf numFmtId="0" fontId="5" fillId="2" borderId="0" xfId="0" applyFont="1" applyFill="1" applyAlignment="1">
      <alignment horizontal="left" vertical="center"/>
    </xf>
    <xf numFmtId="0" fontId="14" fillId="2" borderId="0" xfId="0" applyFont="1" applyFill="1" applyAlignment="1">
      <alignment horizontal="left" vertical="center"/>
    </xf>
    <xf numFmtId="0" fontId="12" fillId="0" borderId="0" xfId="0" applyFont="1" applyAlignment="1">
      <alignment vertical="center"/>
    </xf>
    <xf numFmtId="0" fontId="3" fillId="2" borderId="42" xfId="0" applyFont="1" applyFill="1" applyBorder="1" applyAlignment="1">
      <alignment horizontal="center" vertical="center"/>
    </xf>
    <xf numFmtId="0" fontId="17" fillId="2" borderId="0" xfId="0" applyFont="1" applyFill="1" applyAlignment="1">
      <alignment horizontal="left" vertical="top"/>
    </xf>
    <xf numFmtId="0" fontId="17" fillId="2" borderId="0" xfId="0" applyFont="1" applyFill="1" applyAlignment="1">
      <alignment horizontal="left" vertical="center"/>
    </xf>
    <xf numFmtId="0" fontId="18" fillId="2" borderId="0" xfId="0" applyFont="1" applyFill="1" applyAlignment="1">
      <alignment horizontal="left" vertical="center"/>
    </xf>
    <xf numFmtId="0" fontId="15" fillId="2" borderId="0" xfId="0" applyFont="1" applyFill="1" applyAlignment="1">
      <alignment vertical="center"/>
    </xf>
    <xf numFmtId="0" fontId="0" fillId="2" borderId="45" xfId="0" applyFill="1" applyBorder="1" applyAlignment="1">
      <alignment horizontal="center" vertical="center"/>
    </xf>
    <xf numFmtId="0" fontId="0" fillId="2" borderId="46" xfId="0" applyFill="1" applyBorder="1" applyAlignment="1">
      <alignment horizontal="center" vertical="center"/>
    </xf>
    <xf numFmtId="0" fontId="0" fillId="2" borderId="47" xfId="0" applyFill="1" applyBorder="1" applyAlignment="1">
      <alignment horizontal="center" vertical="center"/>
    </xf>
    <xf numFmtId="0" fontId="3" fillId="2" borderId="48" xfId="0" quotePrefix="1" applyFont="1" applyFill="1" applyBorder="1" applyAlignment="1">
      <alignment horizontal="center" vertical="center"/>
    </xf>
    <xf numFmtId="167" fontId="6" fillId="3" borderId="49" xfId="0" applyNumberFormat="1" applyFont="1" applyFill="1" applyBorder="1" applyAlignment="1" applyProtection="1">
      <alignment vertical="center"/>
      <protection locked="0"/>
    </xf>
    <xf numFmtId="164" fontId="6" fillId="3" borderId="50" xfId="0" applyNumberFormat="1" applyFont="1" applyFill="1" applyBorder="1" applyAlignment="1" applyProtection="1">
      <alignment vertical="center"/>
      <protection locked="0"/>
    </xf>
    <xf numFmtId="167" fontId="2" fillId="2" borderId="51" xfId="0" applyNumberFormat="1" applyFont="1" applyFill="1" applyBorder="1" applyAlignment="1">
      <alignment vertical="center"/>
    </xf>
    <xf numFmtId="164" fontId="2" fillId="2" borderId="52" xfId="0" applyNumberFormat="1" applyFont="1" applyFill="1" applyBorder="1" applyAlignment="1">
      <alignment vertical="center"/>
    </xf>
    <xf numFmtId="167" fontId="6" fillId="3" borderId="51" xfId="0" applyNumberFormat="1" applyFont="1" applyFill="1" applyBorder="1" applyAlignment="1" applyProtection="1">
      <alignment vertical="center"/>
      <protection locked="0"/>
    </xf>
    <xf numFmtId="164" fontId="6" fillId="3" borderId="52" xfId="0" applyNumberFormat="1" applyFont="1" applyFill="1" applyBorder="1" applyAlignment="1" applyProtection="1">
      <alignment vertical="center"/>
      <protection locked="0"/>
    </xf>
    <xf numFmtId="167" fontId="1" fillId="2" borderId="53" xfId="0" applyNumberFormat="1" applyFont="1" applyFill="1" applyBorder="1" applyAlignment="1">
      <alignment horizontal="center" vertical="center"/>
    </xf>
    <xf numFmtId="167" fontId="2" fillId="2" borderId="54" xfId="0" applyNumberFormat="1" applyFont="1" applyFill="1" applyBorder="1" applyAlignment="1">
      <alignment horizontal="center" vertical="center"/>
    </xf>
    <xf numFmtId="9" fontId="2" fillId="2" borderId="55" xfId="0" applyNumberFormat="1" applyFont="1" applyFill="1" applyBorder="1" applyAlignment="1">
      <alignment horizontal="center" vertical="center"/>
    </xf>
    <xf numFmtId="0" fontId="1" fillId="2" borderId="56" xfId="0" applyFont="1" applyFill="1" applyBorder="1" applyAlignment="1">
      <alignment horizontal="center" vertical="center"/>
    </xf>
    <xf numFmtId="0" fontId="3" fillId="2" borderId="1" xfId="0" applyFont="1" applyFill="1" applyBorder="1" applyAlignment="1">
      <alignment horizontal="centerContinuous" vertical="center"/>
    </xf>
    <xf numFmtId="0" fontId="3" fillId="2" borderId="11" xfId="0" applyFont="1" applyFill="1" applyBorder="1" applyAlignment="1">
      <alignment horizontal="centerContinuous" vertical="center"/>
    </xf>
    <xf numFmtId="0" fontId="3" fillId="2" borderId="12" xfId="0" applyFont="1" applyFill="1" applyBorder="1" applyAlignment="1">
      <alignment horizontal="centerContinuous" vertical="center"/>
    </xf>
    <xf numFmtId="0" fontId="3" fillId="2" borderId="0" xfId="0" applyFont="1" applyFill="1" applyAlignment="1">
      <alignment horizontal="center" vertical="center"/>
    </xf>
    <xf numFmtId="0" fontId="12" fillId="2" borderId="0" xfId="0" applyFont="1" applyFill="1" applyAlignment="1">
      <alignment horizontal="center" vertical="center"/>
    </xf>
    <xf numFmtId="0" fontId="0" fillId="0" borderId="0" xfId="0" applyAlignment="1"/>
    <xf numFmtId="0" fontId="12" fillId="2" borderId="0" xfId="0" applyFont="1" applyFill="1" applyAlignment="1">
      <alignment vertical="center"/>
    </xf>
    <xf numFmtId="0" fontId="0" fillId="2" borderId="58" xfId="0" applyFill="1" applyBorder="1" applyAlignment="1">
      <alignment vertical="center"/>
    </xf>
    <xf numFmtId="0" fontId="0" fillId="2" borderId="46" xfId="0" applyFill="1" applyBorder="1" applyAlignment="1">
      <alignment vertical="center"/>
    </xf>
    <xf numFmtId="0" fontId="0" fillId="2" borderId="2" xfId="0" applyFill="1" applyBorder="1"/>
    <xf numFmtId="0" fontId="2" fillId="2" borderId="57" xfId="0" applyFont="1" applyFill="1" applyBorder="1" applyAlignment="1">
      <alignment horizontal="center"/>
    </xf>
    <xf numFmtId="0" fontId="0" fillId="2" borderId="4" xfId="0" applyFill="1" applyBorder="1" applyAlignment="1">
      <alignment horizontal="center"/>
    </xf>
    <xf numFmtId="0" fontId="1" fillId="2" borderId="7" xfId="0" applyFont="1" applyFill="1" applyBorder="1" applyAlignment="1">
      <alignment horizontal="right" vertical="center"/>
    </xf>
    <xf numFmtId="167" fontId="0" fillId="2" borderId="6" xfId="0" applyNumberFormat="1" applyFill="1" applyBorder="1" applyAlignment="1">
      <alignment vertical="center"/>
    </xf>
    <xf numFmtId="0" fontId="0" fillId="2" borderId="6" xfId="0" applyFill="1" applyBorder="1" applyAlignment="1">
      <alignment vertical="center"/>
    </xf>
    <xf numFmtId="0" fontId="0" fillId="2" borderId="7" xfId="0" applyFill="1" applyBorder="1" applyAlignment="1">
      <alignment horizontal="right" vertical="center"/>
    </xf>
    <xf numFmtId="0" fontId="0" fillId="2" borderId="47" xfId="0" applyFill="1" applyBorder="1" applyAlignment="1">
      <alignment vertical="center"/>
    </xf>
    <xf numFmtId="0" fontId="0" fillId="2" borderId="2" xfId="0" applyFill="1" applyBorder="1" applyAlignment="1">
      <alignment horizontal="center"/>
    </xf>
    <xf numFmtId="0" fontId="0" fillId="2" borderId="57" xfId="0" applyFill="1" applyBorder="1" applyAlignment="1">
      <alignment horizontal="center"/>
    </xf>
    <xf numFmtId="0" fontId="0" fillId="2" borderId="57" xfId="0" applyFill="1" applyBorder="1" applyAlignment="1"/>
    <xf numFmtId="0" fontId="0" fillId="2" borderId="4" xfId="0" applyFill="1" applyBorder="1" applyAlignment="1"/>
    <xf numFmtId="0" fontId="9" fillId="2" borderId="18" xfId="0" applyFont="1" applyFill="1" applyBorder="1" applyAlignment="1">
      <alignment horizontal="left" vertical="center"/>
    </xf>
    <xf numFmtId="0" fontId="9" fillId="2" borderId="24" xfId="0" applyFont="1" applyFill="1" applyBorder="1" applyAlignment="1">
      <alignment horizontal="left" vertical="center"/>
    </xf>
    <xf numFmtId="0" fontId="20" fillId="2" borderId="59" xfId="0" applyFont="1" applyFill="1" applyBorder="1" applyAlignment="1">
      <alignment vertical="center"/>
    </xf>
    <xf numFmtId="0" fontId="20" fillId="2" borderId="60" xfId="0" applyFont="1" applyFill="1" applyBorder="1" applyAlignment="1">
      <alignment vertical="center"/>
    </xf>
    <xf numFmtId="0" fontId="3" fillId="2" borderId="22" xfId="0" applyFont="1" applyFill="1" applyBorder="1" applyAlignment="1">
      <alignment horizontal="left" vertical="center"/>
    </xf>
    <xf numFmtId="0" fontId="3" fillId="2" borderId="23" xfId="0" applyFont="1" applyFill="1" applyBorder="1" applyAlignment="1">
      <alignment horizontal="left" vertical="center"/>
    </xf>
    <xf numFmtId="0" fontId="2" fillId="2" borderId="47" xfId="0" applyFont="1" applyFill="1" applyBorder="1" applyAlignment="1">
      <alignment horizontal="center" vertical="center"/>
    </xf>
    <xf numFmtId="0" fontId="2" fillId="2" borderId="0" xfId="0" applyFont="1" applyFill="1" applyBorder="1" applyAlignment="1">
      <alignment horizontal="center" vertical="center"/>
    </xf>
    <xf numFmtId="0" fontId="0" fillId="2" borderId="61" xfId="0" applyFill="1" applyBorder="1" applyAlignment="1">
      <alignment horizontal="center" vertical="center"/>
    </xf>
    <xf numFmtId="0" fontId="4" fillId="2" borderId="62" xfId="0" applyFont="1" applyFill="1" applyBorder="1" applyAlignment="1">
      <alignment horizontal="center" vertical="center"/>
    </xf>
    <xf numFmtId="0" fontId="21" fillId="2" borderId="63" xfId="0" applyFont="1" applyFill="1" applyBorder="1" applyAlignment="1">
      <alignment vertical="center"/>
    </xf>
    <xf numFmtId="0" fontId="17" fillId="2" borderId="64" xfId="0" applyFont="1" applyFill="1" applyBorder="1" applyAlignment="1">
      <alignment vertical="center"/>
    </xf>
    <xf numFmtId="0" fontId="17" fillId="2" borderId="64" xfId="0" applyFont="1" applyFill="1" applyBorder="1" applyAlignment="1">
      <alignment horizontal="left" vertical="center"/>
    </xf>
    <xf numFmtId="0" fontId="15" fillId="2" borderId="65" xfId="0" applyFont="1" applyFill="1" applyBorder="1" applyAlignment="1">
      <alignment horizontal="left" vertical="center"/>
    </xf>
    <xf numFmtId="0" fontId="15" fillId="2" borderId="66" xfId="0" applyFont="1" applyFill="1" applyBorder="1" applyAlignment="1">
      <alignment vertical="center"/>
    </xf>
    <xf numFmtId="0" fontId="15" fillId="2" borderId="66" xfId="0" applyFont="1" applyFill="1" applyBorder="1" applyAlignment="1">
      <alignment horizontal="left" vertical="center"/>
    </xf>
    <xf numFmtId="0" fontId="15" fillId="2" borderId="67" xfId="0" applyFont="1" applyFill="1" applyBorder="1" applyAlignment="1">
      <alignment horizontal="left" vertical="center"/>
    </xf>
    <xf numFmtId="0" fontId="1" fillId="0" borderId="56" xfId="0" applyFont="1" applyBorder="1" applyAlignment="1">
      <alignment horizontal="center"/>
    </xf>
    <xf numFmtId="0" fontId="22" fillId="2" borderId="12" xfId="0" applyFont="1" applyFill="1" applyBorder="1" applyAlignment="1">
      <alignment horizontal="right" vertical="center"/>
    </xf>
    <xf numFmtId="0" fontId="2" fillId="2" borderId="43" xfId="0" applyFont="1" applyFill="1" applyBorder="1" applyAlignment="1">
      <alignment horizontal="left" vertical="center"/>
    </xf>
    <xf numFmtId="0" fontId="2" fillId="2" borderId="0" xfId="0" applyFont="1" applyFill="1" applyBorder="1" applyAlignment="1">
      <alignment vertical="center"/>
    </xf>
    <xf numFmtId="0" fontId="2" fillId="2" borderId="44" xfId="0" applyFont="1" applyFill="1" applyBorder="1" applyAlignment="1">
      <alignment vertical="center"/>
    </xf>
    <xf numFmtId="0" fontId="16" fillId="2" borderId="68" xfId="0" applyFont="1" applyFill="1" applyBorder="1" applyAlignment="1">
      <alignment vertical="center"/>
    </xf>
    <xf numFmtId="167" fontId="0" fillId="0" borderId="0" xfId="0" applyNumberFormat="1" applyAlignment="1">
      <alignment vertical="center"/>
    </xf>
    <xf numFmtId="0" fontId="23" fillId="0" borderId="0" xfId="0" applyFont="1"/>
    <xf numFmtId="0" fontId="1" fillId="0" borderId="63" xfId="0" applyFont="1" applyBorder="1"/>
    <xf numFmtId="0" fontId="1" fillId="0" borderId="64" xfId="0" applyFont="1" applyBorder="1"/>
    <xf numFmtId="0" fontId="1" fillId="0" borderId="70" xfId="0" applyFont="1" applyBorder="1"/>
    <xf numFmtId="0" fontId="1" fillId="0" borderId="0" xfId="0" applyFont="1" applyBorder="1"/>
    <xf numFmtId="0" fontId="1" fillId="0" borderId="68" xfId="0" applyFont="1" applyBorder="1"/>
    <xf numFmtId="0" fontId="1" fillId="0" borderId="66" xfId="0" applyFont="1" applyBorder="1"/>
    <xf numFmtId="0" fontId="1" fillId="0" borderId="0" xfId="0" applyFont="1"/>
    <xf numFmtId="166" fontId="1" fillId="0" borderId="71" xfId="0" applyNumberFormat="1" applyFont="1" applyFill="1" applyBorder="1" applyAlignment="1">
      <alignment vertical="center"/>
    </xf>
    <xf numFmtId="2" fontId="21" fillId="2" borderId="0" xfId="0" applyNumberFormat="1" applyFont="1" applyFill="1" applyAlignment="1" applyProtection="1">
      <alignment horizontal="center"/>
      <protection locked="0"/>
    </xf>
    <xf numFmtId="0" fontId="24" fillId="0" borderId="0" xfId="0" applyFont="1"/>
    <xf numFmtId="0" fontId="1" fillId="0" borderId="0" xfId="0" applyFont="1" applyAlignment="1">
      <alignment horizontal="right"/>
    </xf>
    <xf numFmtId="0" fontId="0" fillId="2" borderId="72" xfId="0" applyFill="1" applyBorder="1" applyAlignment="1">
      <alignment horizontal="center"/>
    </xf>
    <xf numFmtId="0" fontId="3" fillId="2" borderId="73" xfId="0" applyFont="1" applyFill="1" applyBorder="1" applyAlignment="1">
      <alignment horizontal="left" vertical="center"/>
    </xf>
    <xf numFmtId="0" fontId="3" fillId="2" borderId="74" xfId="0" applyFont="1" applyFill="1" applyBorder="1" applyAlignment="1">
      <alignment horizontal="left" vertical="center"/>
    </xf>
    <xf numFmtId="0" fontId="9" fillId="2" borderId="75" xfId="0" applyFont="1" applyFill="1" applyBorder="1" applyAlignment="1">
      <alignment horizontal="left" vertical="center"/>
    </xf>
    <xf numFmtId="0" fontId="9" fillId="4" borderId="56" xfId="0" applyFont="1" applyFill="1" applyBorder="1" applyAlignment="1">
      <alignment horizontal="center"/>
    </xf>
    <xf numFmtId="0" fontId="3" fillId="2" borderId="1" xfId="0" applyFont="1" applyFill="1" applyBorder="1" applyAlignment="1">
      <alignment horizontal="left" vertical="center"/>
    </xf>
    <xf numFmtId="0" fontId="25" fillId="2" borderId="62" xfId="0" applyFont="1" applyFill="1" applyBorder="1" applyAlignment="1">
      <alignment horizontal="center" vertical="center"/>
    </xf>
    <xf numFmtId="0" fontId="11" fillId="3" borderId="57" xfId="0" applyFont="1" applyFill="1" applyBorder="1" applyAlignment="1" applyProtection="1">
      <alignment horizontal="left" vertical="center"/>
      <protection locked="0"/>
    </xf>
    <xf numFmtId="0" fontId="12" fillId="0" borderId="54" xfId="0" applyFont="1" applyFill="1" applyBorder="1" applyAlignment="1">
      <alignment horizontal="center" vertical="center"/>
    </xf>
    <xf numFmtId="0" fontId="26" fillId="2" borderId="0" xfId="0" applyFont="1" applyFill="1" applyAlignment="1">
      <alignment horizontal="left" vertical="center"/>
    </xf>
    <xf numFmtId="167" fontId="7" fillId="4" borderId="53" xfId="0" applyNumberFormat="1" applyFont="1" applyFill="1" applyBorder="1" applyAlignment="1" applyProtection="1">
      <alignment horizontal="center" vertical="center"/>
      <protection locked="0"/>
    </xf>
    <xf numFmtId="0" fontId="8" fillId="4" borderId="56" xfId="0" applyFont="1" applyFill="1" applyBorder="1" applyAlignment="1" applyProtection="1">
      <alignment horizontal="center" vertical="center"/>
      <protection locked="0"/>
    </xf>
    <xf numFmtId="0" fontId="8" fillId="4" borderId="56" xfId="0" applyFont="1" applyFill="1" applyBorder="1" applyAlignment="1">
      <alignment horizontal="center" vertical="center"/>
    </xf>
    <xf numFmtId="165" fontId="6" fillId="3" borderId="76" xfId="0" applyNumberFormat="1" applyFont="1" applyFill="1" applyBorder="1" applyAlignment="1" applyProtection="1">
      <alignment vertical="center"/>
      <protection locked="0"/>
    </xf>
    <xf numFmtId="165" fontId="6" fillId="3" borderId="48" xfId="0" applyNumberFormat="1" applyFont="1" applyFill="1" applyBorder="1" applyAlignment="1" applyProtection="1">
      <alignment vertical="center"/>
      <protection locked="0"/>
    </xf>
    <xf numFmtId="165" fontId="2" fillId="2" borderId="48" xfId="0" applyNumberFormat="1" applyFont="1" applyFill="1" applyBorder="1" applyAlignment="1">
      <alignment vertical="center"/>
    </xf>
    <xf numFmtId="0" fontId="2" fillId="0" borderId="0" xfId="0" applyFont="1" applyFill="1" applyBorder="1" applyAlignment="1">
      <alignment horizontal="right" vertical="center"/>
    </xf>
    <xf numFmtId="165" fontId="2" fillId="2" borderId="11" xfId="0" applyNumberFormat="1" applyFont="1" applyFill="1" applyBorder="1" applyAlignment="1">
      <alignment horizontal="right" vertical="center"/>
    </xf>
    <xf numFmtId="0" fontId="0" fillId="2" borderId="4" xfId="0" applyFont="1" applyFill="1" applyBorder="1" applyAlignment="1">
      <alignment horizontal="center" vertical="center"/>
    </xf>
    <xf numFmtId="0" fontId="0" fillId="2" borderId="0" xfId="0" applyFont="1" applyFill="1" applyBorder="1" applyAlignment="1">
      <alignment vertical="center"/>
    </xf>
    <xf numFmtId="0" fontId="0" fillId="0" borderId="0" xfId="0" applyFill="1" applyBorder="1"/>
    <xf numFmtId="166" fontId="0" fillId="0" borderId="15" xfId="0" applyNumberFormat="1" applyBorder="1" applyAlignment="1">
      <alignment horizontal="center"/>
    </xf>
    <xf numFmtId="0" fontId="0" fillId="8" borderId="0" xfId="0" applyFill="1" applyAlignment="1">
      <alignment vertical="center"/>
    </xf>
    <xf numFmtId="0" fontId="0" fillId="8" borderId="0" xfId="0" applyFill="1"/>
    <xf numFmtId="0" fontId="0" fillId="0" borderId="0" xfId="0" applyFill="1"/>
    <xf numFmtId="0" fontId="1" fillId="0" borderId="15" xfId="0" applyFont="1" applyBorder="1" applyAlignment="1">
      <alignment horizontal="left"/>
    </xf>
    <xf numFmtId="0" fontId="9" fillId="2" borderId="15" xfId="0" applyFont="1" applyFill="1" applyBorder="1" applyAlignment="1">
      <alignment horizontal="center" vertical="center"/>
    </xf>
    <xf numFmtId="0" fontId="9" fillId="2" borderId="18" xfId="0" applyFont="1" applyFill="1" applyBorder="1" applyAlignment="1">
      <alignment horizontal="center" vertical="center"/>
    </xf>
    <xf numFmtId="0" fontId="15" fillId="8" borderId="0" xfId="0" applyFont="1" applyFill="1" applyBorder="1" applyAlignment="1">
      <alignment horizontal="left" vertical="center"/>
    </xf>
    <xf numFmtId="0" fontId="1" fillId="2" borderId="2" xfId="0" applyFont="1" applyFill="1" applyBorder="1" applyAlignment="1">
      <alignment vertical="center" wrapText="1"/>
    </xf>
    <xf numFmtId="0" fontId="3" fillId="2" borderId="47" xfId="0" applyFont="1" applyFill="1" applyBorder="1" applyAlignment="1">
      <alignment horizontal="center" vertical="center"/>
    </xf>
    <xf numFmtId="0" fontId="1" fillId="0" borderId="1" xfId="0" applyFont="1" applyBorder="1" applyAlignment="1">
      <alignment vertical="center"/>
    </xf>
    <xf numFmtId="0" fontId="3" fillId="2" borderId="2" xfId="0" applyFont="1" applyFill="1" applyBorder="1" applyAlignment="1">
      <alignment horizontal="left" vertical="center"/>
    </xf>
    <xf numFmtId="0" fontId="3" fillId="2" borderId="57" xfId="0" applyFont="1" applyFill="1" applyBorder="1" applyAlignment="1">
      <alignment horizontal="left" vertical="center"/>
    </xf>
    <xf numFmtId="0" fontId="9" fillId="2" borderId="4" xfId="0" applyFont="1" applyFill="1" applyBorder="1" applyAlignment="1">
      <alignment horizontal="left" vertical="center"/>
    </xf>
    <xf numFmtId="0" fontId="1" fillId="0" borderId="82" xfId="0" applyFont="1" applyBorder="1"/>
    <xf numFmtId="0" fontId="1" fillId="0" borderId="83" xfId="0" applyFont="1" applyBorder="1"/>
    <xf numFmtId="0" fontId="0" fillId="0" borderId="2" xfId="0" applyBorder="1"/>
    <xf numFmtId="0" fontId="1" fillId="2" borderId="26" xfId="0" applyFont="1" applyFill="1" applyBorder="1" applyAlignment="1">
      <alignment horizontal="center"/>
    </xf>
    <xf numFmtId="0" fontId="1" fillId="2" borderId="23" xfId="0" applyFont="1" applyFill="1" applyBorder="1" applyAlignment="1">
      <alignment horizontal="center"/>
    </xf>
    <xf numFmtId="0" fontId="1" fillId="0" borderId="86" xfId="0" applyFont="1" applyBorder="1"/>
    <xf numFmtId="0" fontId="0" fillId="2" borderId="87" xfId="0" applyFill="1" applyBorder="1" applyAlignment="1">
      <alignment horizontal="center"/>
    </xf>
    <xf numFmtId="0" fontId="0" fillId="2" borderId="90" xfId="0" applyFill="1" applyBorder="1" applyAlignment="1">
      <alignment horizontal="center"/>
    </xf>
    <xf numFmtId="0" fontId="0" fillId="2" borderId="24" xfId="0" applyFill="1" applyBorder="1" applyAlignment="1">
      <alignment horizontal="center"/>
    </xf>
    <xf numFmtId="0" fontId="0" fillId="7" borderId="92" xfId="0" applyFill="1" applyBorder="1"/>
    <xf numFmtId="0" fontId="0" fillId="7" borderId="93" xfId="0" applyFill="1" applyBorder="1"/>
    <xf numFmtId="0" fontId="0" fillId="7" borderId="94" xfId="0" applyFill="1" applyBorder="1"/>
    <xf numFmtId="0" fontId="16" fillId="2" borderId="0" xfId="0" applyFont="1" applyFill="1" applyAlignment="1">
      <alignment horizontal="left" vertical="center"/>
    </xf>
    <xf numFmtId="168" fontId="28" fillId="2" borderId="0" xfId="0" quotePrefix="1" applyNumberFormat="1" applyFont="1" applyFill="1" applyBorder="1" applyAlignment="1">
      <alignment horizontal="left" vertical="center"/>
    </xf>
    <xf numFmtId="168" fontId="11" fillId="2" borderId="0" xfId="0" applyNumberFormat="1" applyFont="1" applyFill="1" applyBorder="1" applyAlignment="1">
      <alignment horizontal="left" vertical="center"/>
    </xf>
    <xf numFmtId="0" fontId="1" fillId="0" borderId="0" xfId="0" applyFont="1" applyAlignment="1">
      <alignment vertical="center"/>
    </xf>
    <xf numFmtId="0" fontId="2" fillId="2" borderId="95" xfId="0" applyFont="1" applyFill="1" applyBorder="1" applyAlignment="1">
      <alignment horizontal="center" vertical="top" wrapText="1"/>
    </xf>
    <xf numFmtId="0" fontId="1" fillId="2" borderId="95" xfId="0" applyFont="1" applyFill="1" applyBorder="1" applyAlignment="1">
      <alignment horizontal="center" vertical="top" wrapText="1"/>
    </xf>
    <xf numFmtId="0" fontId="1" fillId="2" borderId="96" xfId="0" applyFont="1" applyFill="1" applyBorder="1" applyAlignment="1">
      <alignment horizontal="center" vertical="top" wrapText="1"/>
    </xf>
    <xf numFmtId="0" fontId="1" fillId="2" borderId="97" xfId="0" applyFont="1" applyFill="1" applyBorder="1" applyAlignment="1">
      <alignment horizontal="center" vertical="top" wrapText="1"/>
    </xf>
    <xf numFmtId="0" fontId="1" fillId="2" borderId="98" xfId="0" applyFont="1" applyFill="1" applyBorder="1" applyAlignment="1">
      <alignment horizontal="center" vertical="top" wrapText="1"/>
    </xf>
    <xf numFmtId="0" fontId="1" fillId="5" borderId="95" xfId="0" applyFont="1" applyFill="1" applyBorder="1" applyAlignment="1">
      <alignment horizontal="center" vertical="top" wrapText="1"/>
    </xf>
    <xf numFmtId="0" fontId="1" fillId="2" borderId="99" xfId="0" applyFont="1" applyFill="1" applyBorder="1" applyAlignment="1">
      <alignment horizontal="center" vertical="top" wrapText="1"/>
    </xf>
    <xf numFmtId="0" fontId="1" fillId="2" borderId="4" xfId="0" applyFont="1" applyFill="1" applyBorder="1" applyAlignment="1">
      <alignment horizontal="center" vertical="top" wrapText="1"/>
    </xf>
    <xf numFmtId="0" fontId="1" fillId="6" borderId="4" xfId="0" applyFont="1" applyFill="1" applyBorder="1" applyAlignment="1">
      <alignment horizontal="center" vertical="top" wrapText="1"/>
    </xf>
    <xf numFmtId="0" fontId="2" fillId="2" borderId="100" xfId="0" applyFont="1" applyFill="1" applyBorder="1" applyAlignment="1">
      <alignment horizontal="center" vertical="top" wrapText="1"/>
    </xf>
    <xf numFmtId="0" fontId="1" fillId="2" borderId="100" xfId="0" applyFont="1" applyFill="1" applyBorder="1" applyAlignment="1">
      <alignment horizontal="center" vertical="top" wrapText="1"/>
    </xf>
    <xf numFmtId="0" fontId="1" fillId="2" borderId="101" xfId="0" applyFont="1" applyFill="1" applyBorder="1" applyAlignment="1">
      <alignment horizontal="center" vertical="top" wrapText="1"/>
    </xf>
    <xf numFmtId="0" fontId="1" fillId="2" borderId="102" xfId="0" applyFont="1" applyFill="1" applyBorder="1" applyAlignment="1">
      <alignment horizontal="center" vertical="top" wrapText="1"/>
    </xf>
    <xf numFmtId="0" fontId="1" fillId="2" borderId="103" xfId="0" applyFont="1" applyFill="1" applyBorder="1" applyAlignment="1">
      <alignment horizontal="center" vertical="top" wrapText="1"/>
    </xf>
    <xf numFmtId="0" fontId="1" fillId="5" borderId="100" xfId="0" applyFont="1" applyFill="1" applyBorder="1" applyAlignment="1">
      <alignment horizontal="center" vertical="top" wrapText="1"/>
    </xf>
    <xf numFmtId="0" fontId="1" fillId="2" borderId="6" xfId="0" applyFont="1" applyFill="1" applyBorder="1" applyAlignment="1">
      <alignment horizontal="center" vertical="top" wrapText="1"/>
    </xf>
    <xf numFmtId="0" fontId="1" fillId="6" borderId="6" xfId="0" applyFont="1" applyFill="1" applyBorder="1" applyAlignment="1">
      <alignment horizontal="center" vertical="top" wrapText="1"/>
    </xf>
    <xf numFmtId="0" fontId="3" fillId="2" borderId="100" xfId="0" applyFont="1" applyFill="1" applyBorder="1" applyAlignment="1">
      <alignment horizontal="center" vertical="center"/>
    </xf>
    <xf numFmtId="0" fontId="2" fillId="2" borderId="42" xfId="0" applyFont="1" applyFill="1" applyBorder="1" applyAlignment="1">
      <alignment horizontal="center" vertical="center"/>
    </xf>
    <xf numFmtId="0" fontId="2" fillId="2" borderId="104" xfId="0" applyFont="1" applyFill="1" applyBorder="1" applyAlignment="1">
      <alignment horizontal="center" vertical="center"/>
    </xf>
    <xf numFmtId="0" fontId="2" fillId="2" borderId="31" xfId="0" applyFont="1" applyFill="1" applyBorder="1" applyAlignment="1">
      <alignment horizontal="center" vertical="center"/>
    </xf>
    <xf numFmtId="0" fontId="2" fillId="2" borderId="32" xfId="0" applyFont="1" applyFill="1" applyBorder="1" applyAlignment="1">
      <alignment horizontal="center" vertical="center"/>
    </xf>
    <xf numFmtId="0" fontId="2" fillId="5" borderId="42" xfId="0" applyFont="1" applyFill="1" applyBorder="1" applyAlignment="1">
      <alignment horizontal="center" vertical="center"/>
    </xf>
    <xf numFmtId="0" fontId="2" fillId="2" borderId="105" xfId="0" applyFont="1" applyFill="1" applyBorder="1" applyAlignment="1">
      <alignment horizontal="center" vertical="center"/>
    </xf>
    <xf numFmtId="0" fontId="2" fillId="2" borderId="46" xfId="0" applyFont="1" applyFill="1" applyBorder="1" applyAlignment="1">
      <alignment horizontal="center" vertical="center"/>
    </xf>
    <xf numFmtId="0" fontId="2" fillId="6" borderId="6" xfId="0" applyFont="1" applyFill="1" applyBorder="1" applyAlignment="1">
      <alignment horizontal="center" vertical="center"/>
    </xf>
    <xf numFmtId="0" fontId="1" fillId="2" borderId="6" xfId="0" applyFont="1" applyFill="1" applyBorder="1" applyAlignment="1">
      <alignment horizontal="center" vertical="center"/>
    </xf>
    <xf numFmtId="167" fontId="30" fillId="3" borderId="54" xfId="0" applyNumberFormat="1" applyFont="1" applyFill="1" applyBorder="1" applyAlignment="1" applyProtection="1">
      <alignment horizontal="center" vertical="center"/>
      <protection locked="0"/>
    </xf>
    <xf numFmtId="167" fontId="30" fillId="3" borderId="106" xfId="0" applyNumberFormat="1" applyFont="1" applyFill="1" applyBorder="1" applyAlignment="1" applyProtection="1">
      <alignment horizontal="center" vertical="center"/>
      <protection locked="0"/>
    </xf>
    <xf numFmtId="167" fontId="30" fillId="3" borderId="107" xfId="0" applyNumberFormat="1" applyFont="1" applyFill="1" applyBorder="1" applyAlignment="1" applyProtection="1">
      <alignment horizontal="center" vertical="center"/>
      <protection locked="0"/>
    </xf>
    <xf numFmtId="167" fontId="30" fillId="3" borderId="108" xfId="0" applyNumberFormat="1" applyFont="1" applyFill="1" applyBorder="1" applyAlignment="1" applyProtection="1">
      <alignment horizontal="center" vertical="center"/>
      <protection locked="0"/>
    </xf>
    <xf numFmtId="167" fontId="30" fillId="3" borderId="109" xfId="0" applyNumberFormat="1" applyFont="1" applyFill="1" applyBorder="1" applyAlignment="1" applyProtection="1">
      <alignment horizontal="center" vertical="center"/>
      <protection locked="0"/>
    </xf>
    <xf numFmtId="167" fontId="3" fillId="6" borderId="53" xfId="2" applyNumberFormat="1" applyFont="1" applyFill="1" applyBorder="1" applyAlignment="1">
      <alignment horizontal="center" vertical="center"/>
    </xf>
    <xf numFmtId="167" fontId="30" fillId="3" borderId="112" xfId="0" applyNumberFormat="1" applyFont="1" applyFill="1" applyBorder="1" applyAlignment="1" applyProtection="1">
      <alignment horizontal="center" vertical="center"/>
      <protection locked="0"/>
    </xf>
    <xf numFmtId="167" fontId="30" fillId="3" borderId="113" xfId="0" applyNumberFormat="1" applyFont="1" applyFill="1" applyBorder="1" applyAlignment="1" applyProtection="1">
      <alignment horizontal="center" vertical="center"/>
      <protection locked="0"/>
    </xf>
    <xf numFmtId="167" fontId="30" fillId="3" borderId="36" xfId="0" applyNumberFormat="1" applyFont="1" applyFill="1" applyBorder="1" applyAlignment="1" applyProtection="1">
      <alignment horizontal="center" vertical="center"/>
      <protection locked="0"/>
    </xf>
    <xf numFmtId="167" fontId="3" fillId="6" borderId="54" xfId="2" applyNumberFormat="1" applyFont="1" applyFill="1" applyBorder="1" applyAlignment="1">
      <alignment horizontal="center" vertical="center"/>
    </xf>
    <xf numFmtId="167" fontId="3" fillId="0" borderId="95" xfId="0" applyNumberFormat="1" applyFont="1" applyFill="1" applyBorder="1" applyAlignment="1">
      <alignment horizontal="center" vertical="center"/>
    </xf>
    <xf numFmtId="167" fontId="3" fillId="0" borderId="96" xfId="0" applyNumberFormat="1" applyFont="1" applyFill="1" applyBorder="1" applyAlignment="1">
      <alignment horizontal="center" vertical="center"/>
    </xf>
    <xf numFmtId="167" fontId="3" fillId="0" borderId="114" xfId="0" applyNumberFormat="1" applyFont="1" applyFill="1" applyBorder="1" applyAlignment="1">
      <alignment horizontal="center" vertical="center"/>
    </xf>
    <xf numFmtId="167" fontId="3" fillId="0" borderId="115" xfId="0" applyNumberFormat="1" applyFont="1" applyFill="1" applyBorder="1" applyAlignment="1">
      <alignment horizontal="center" vertical="center"/>
    </xf>
    <xf numFmtId="167" fontId="3" fillId="0" borderId="56" xfId="0" applyNumberFormat="1" applyFont="1" applyFill="1" applyBorder="1" applyAlignment="1">
      <alignment horizontal="center" vertical="center"/>
    </xf>
    <xf numFmtId="167" fontId="3" fillId="0" borderId="71" xfId="0" applyNumberFormat="1" applyFont="1" applyFill="1" applyBorder="1" applyAlignment="1">
      <alignment horizontal="center" vertical="center"/>
    </xf>
    <xf numFmtId="167" fontId="3" fillId="0" borderId="41" xfId="0" applyNumberFormat="1" applyFont="1" applyFill="1" applyBorder="1" applyAlignment="1">
      <alignment horizontal="center" vertical="center"/>
    </xf>
    <xf numFmtId="167" fontId="3" fillId="6" borderId="56" xfId="2" applyNumberFormat="1" applyFont="1" applyFill="1" applyBorder="1" applyAlignment="1">
      <alignment horizontal="center" vertical="center"/>
    </xf>
    <xf numFmtId="0" fontId="3" fillId="0" borderId="56" xfId="0" applyFont="1" applyBorder="1" applyAlignment="1">
      <alignment horizontal="center" vertical="center"/>
    </xf>
    <xf numFmtId="0" fontId="31" fillId="0" borderId="2" xfId="0" applyFont="1" applyBorder="1" applyAlignment="1">
      <alignment vertical="center"/>
    </xf>
    <xf numFmtId="0" fontId="12" fillId="0" borderId="57" xfId="0" applyFont="1" applyBorder="1" applyAlignment="1">
      <alignment vertical="center"/>
    </xf>
    <xf numFmtId="0" fontId="32" fillId="0" borderId="47" xfId="0" applyFont="1" applyBorder="1" applyAlignment="1">
      <alignment vertical="center"/>
    </xf>
    <xf numFmtId="0" fontId="12" fillId="0" borderId="58" xfId="0" applyFont="1" applyBorder="1" applyAlignment="1">
      <alignment vertical="center"/>
    </xf>
    <xf numFmtId="0" fontId="0" fillId="0" borderId="0" xfId="0" applyFill="1" applyAlignment="1">
      <alignment vertical="center"/>
    </xf>
    <xf numFmtId="0" fontId="15" fillId="0" borderId="0" xfId="0" applyFont="1" applyFill="1" applyAlignment="1">
      <alignment vertical="center"/>
    </xf>
    <xf numFmtId="0" fontId="12" fillId="0" borderId="0" xfId="0" applyFont="1" applyFill="1" applyAlignment="1">
      <alignment vertical="center"/>
    </xf>
    <xf numFmtId="0" fontId="0" fillId="0" borderId="69" xfId="0" applyBorder="1" applyAlignment="1">
      <alignment horizontal="left" vertical="center"/>
    </xf>
    <xf numFmtId="0" fontId="0" fillId="0" borderId="0" xfId="0" applyFont="1" applyFill="1" applyBorder="1" applyAlignment="1">
      <alignment horizontal="right" vertical="center"/>
    </xf>
    <xf numFmtId="0" fontId="0" fillId="0" borderId="118" xfId="0" applyBorder="1" applyAlignment="1">
      <alignment vertical="center" wrapText="1"/>
    </xf>
    <xf numFmtId="0" fontId="33" fillId="2" borderId="0" xfId="0" applyFont="1" applyFill="1" applyAlignment="1">
      <alignment horizontal="left" vertical="center"/>
    </xf>
    <xf numFmtId="0" fontId="3" fillId="2" borderId="1" xfId="0" applyFont="1" applyFill="1" applyBorder="1" applyAlignment="1">
      <alignment horizontal="left" vertical="center"/>
    </xf>
    <xf numFmtId="0" fontId="12" fillId="0" borderId="54" xfId="0" applyFont="1" applyFill="1" applyBorder="1" applyAlignment="1">
      <alignment horizontal="left" vertical="center"/>
    </xf>
    <xf numFmtId="0" fontId="12" fillId="0" borderId="95" xfId="0" applyFont="1" applyFill="1" applyBorder="1" applyAlignment="1">
      <alignment horizontal="left" vertical="center"/>
    </xf>
    <xf numFmtId="0" fontId="15" fillId="0" borderId="0" xfId="0" applyFont="1" applyFill="1" applyBorder="1" applyAlignment="1">
      <alignment horizontal="left" vertical="center"/>
    </xf>
    <xf numFmtId="0" fontId="10" fillId="0" borderId="0" xfId="0" applyFont="1" applyFill="1" applyBorder="1" applyAlignment="1">
      <alignment horizontal="left" vertical="center"/>
    </xf>
    <xf numFmtId="0" fontId="0" fillId="0" borderId="0" xfId="0" applyFill="1" applyAlignment="1">
      <alignment horizontal="left" vertical="center" wrapText="1"/>
    </xf>
    <xf numFmtId="0" fontId="15" fillId="0" borderId="0" xfId="0" applyFont="1" applyFill="1" applyBorder="1" applyAlignment="1">
      <alignment vertical="center"/>
    </xf>
    <xf numFmtId="0" fontId="15" fillId="0" borderId="0" xfId="0" applyFont="1" applyFill="1" applyAlignment="1">
      <alignment horizontal="left" vertical="center"/>
    </xf>
    <xf numFmtId="0" fontId="0" fillId="0" borderId="58" xfId="0" applyFill="1" applyBorder="1" applyAlignment="1">
      <alignment vertical="center"/>
    </xf>
    <xf numFmtId="0" fontId="12" fillId="0" borderId="58" xfId="0" applyFont="1" applyFill="1" applyBorder="1" applyAlignment="1">
      <alignment vertical="center"/>
    </xf>
    <xf numFmtId="0" fontId="11" fillId="0" borderId="15" xfId="0" applyFont="1" applyFill="1" applyBorder="1" applyAlignment="1" applyProtection="1">
      <alignment vertical="center"/>
    </xf>
    <xf numFmtId="0" fontId="19" fillId="0" borderId="15" xfId="0" applyFont="1" applyFill="1" applyBorder="1" applyAlignment="1" applyProtection="1">
      <alignment horizontal="left" vertical="center"/>
    </xf>
    <xf numFmtId="0" fontId="2" fillId="0" borderId="0" xfId="0" applyFont="1" applyFill="1" applyBorder="1" applyAlignment="1">
      <alignment horizontal="left" vertical="center"/>
    </xf>
    <xf numFmtId="0" fontId="0" fillId="0" borderId="0" xfId="0" applyFill="1" applyBorder="1" applyAlignment="1">
      <alignment vertical="center"/>
    </xf>
    <xf numFmtId="0" fontId="2" fillId="0" borderId="0" xfId="0" applyFont="1" applyFill="1" applyBorder="1" applyAlignment="1">
      <alignment vertical="center"/>
    </xf>
    <xf numFmtId="0" fontId="20" fillId="0" borderId="0" xfId="0" applyFont="1" applyFill="1" applyBorder="1" applyAlignment="1">
      <alignment vertical="center"/>
    </xf>
    <xf numFmtId="0" fontId="0" fillId="0" borderId="0" xfId="0" applyFill="1" applyAlignment="1">
      <alignment horizontal="right" vertical="center"/>
    </xf>
    <xf numFmtId="0" fontId="0" fillId="0" borderId="0" xfId="0" applyFill="1" applyAlignment="1">
      <alignment horizontal="left"/>
    </xf>
    <xf numFmtId="0" fontId="0" fillId="0" borderId="0" xfId="0" applyFill="1" applyAlignment="1">
      <alignment vertical="center" wrapText="1"/>
    </xf>
    <xf numFmtId="167" fontId="0" fillId="0" borderId="0" xfId="0" applyNumberFormat="1" applyFill="1" applyAlignment="1">
      <alignment vertical="center"/>
    </xf>
    <xf numFmtId="0" fontId="0" fillId="0" borderId="0" xfId="0" applyFill="1" applyBorder="1" applyAlignment="1">
      <alignment wrapText="1"/>
    </xf>
    <xf numFmtId="0" fontId="16" fillId="0" borderId="0" xfId="0" applyFont="1" applyFill="1" applyBorder="1" applyAlignment="1">
      <alignment vertical="center" wrapText="1"/>
    </xf>
    <xf numFmtId="167" fontId="3" fillId="4" borderId="53" xfId="2" applyNumberFormat="1" applyFont="1" applyFill="1" applyBorder="1" applyAlignment="1" applyProtection="1">
      <alignment horizontal="center" vertical="center"/>
      <protection locked="0"/>
    </xf>
    <xf numFmtId="167" fontId="3" fillId="4" borderId="54" xfId="2" applyNumberFormat="1" applyFont="1" applyFill="1" applyBorder="1" applyAlignment="1" applyProtection="1">
      <alignment horizontal="center" vertical="center"/>
      <protection locked="0"/>
    </xf>
    <xf numFmtId="168" fontId="11" fillId="7" borderId="15" xfId="0" quotePrefix="1" applyNumberFormat="1" applyFont="1" applyFill="1" applyBorder="1" applyAlignment="1" applyProtection="1">
      <alignment horizontal="left" vertical="center"/>
      <protection locked="0"/>
    </xf>
    <xf numFmtId="167" fontId="30" fillId="5" borderId="108" xfId="0" applyNumberFormat="1" applyFont="1" applyFill="1" applyBorder="1" applyAlignment="1" applyProtection="1">
      <alignment horizontal="center" vertical="center"/>
    </xf>
    <xf numFmtId="167" fontId="30" fillId="0" borderId="110" xfId="0" applyNumberFormat="1" applyFont="1" applyFill="1" applyBorder="1" applyAlignment="1" applyProtection="1">
      <alignment horizontal="center" vertical="center"/>
    </xf>
    <xf numFmtId="167" fontId="30" fillId="0" borderId="111" xfId="0" applyNumberFormat="1" applyFont="1" applyFill="1" applyBorder="1" applyAlignment="1" applyProtection="1">
      <alignment horizontal="center" vertical="center"/>
    </xf>
    <xf numFmtId="167" fontId="30" fillId="5" borderId="100" xfId="0" applyNumberFormat="1" applyFont="1" applyFill="1" applyBorder="1" applyAlignment="1" applyProtection="1">
      <alignment horizontal="center" vertical="center"/>
    </xf>
    <xf numFmtId="167" fontId="30" fillId="0" borderId="116" xfId="0" applyNumberFormat="1" applyFont="1" applyFill="1" applyBorder="1" applyAlignment="1" applyProtection="1">
      <alignment horizontal="center" vertical="center"/>
    </xf>
    <xf numFmtId="167" fontId="30" fillId="0" borderId="6" xfId="0" applyNumberFormat="1" applyFont="1" applyFill="1" applyBorder="1" applyAlignment="1" applyProtection="1">
      <alignment horizontal="center" vertical="center"/>
    </xf>
    <xf numFmtId="167" fontId="30" fillId="5" borderId="56" xfId="0" applyNumberFormat="1" applyFont="1" applyFill="1" applyBorder="1" applyAlignment="1" applyProtection="1">
      <alignment horizontal="center" vertical="center"/>
    </xf>
    <xf numFmtId="167" fontId="30" fillId="0" borderId="117" xfId="0" applyNumberFormat="1" applyFont="1" applyFill="1" applyBorder="1" applyAlignment="1" applyProtection="1">
      <alignment horizontal="center" vertical="center"/>
    </xf>
    <xf numFmtId="167" fontId="30" fillId="0" borderId="12" xfId="0" applyNumberFormat="1" applyFont="1" applyFill="1" applyBorder="1" applyAlignment="1" applyProtection="1">
      <alignment horizontal="center" vertical="center"/>
    </xf>
    <xf numFmtId="0" fontId="0" fillId="3" borderId="25" xfId="0" applyFill="1" applyBorder="1" applyAlignment="1" applyProtection="1">
      <alignment horizontal="center" vertical="center" wrapText="1"/>
      <protection locked="0"/>
    </xf>
    <xf numFmtId="0" fontId="0" fillId="3" borderId="19" xfId="0" applyFill="1" applyBorder="1" applyAlignment="1" applyProtection="1">
      <alignment horizontal="left" vertical="center" wrapText="1"/>
      <protection locked="0"/>
    </xf>
    <xf numFmtId="0" fontId="0" fillId="3" borderId="26" xfId="0" applyFill="1" applyBorder="1" applyAlignment="1" applyProtection="1">
      <alignment horizontal="center" vertical="center" wrapText="1"/>
      <protection locked="0"/>
    </xf>
    <xf numFmtId="0" fontId="0" fillId="3" borderId="20" xfId="0" applyFill="1" applyBorder="1" applyAlignment="1" applyProtection="1">
      <alignment horizontal="left" vertical="center" wrapText="1"/>
      <protection locked="0"/>
    </xf>
    <xf numFmtId="0" fontId="0" fillId="3" borderId="28" xfId="0" applyFill="1" applyBorder="1" applyAlignment="1" applyProtection="1">
      <alignment horizontal="center" vertical="center" wrapText="1"/>
      <protection locked="0"/>
    </xf>
    <xf numFmtId="0" fontId="0" fillId="3" borderId="29" xfId="0" applyFill="1" applyBorder="1" applyAlignment="1" applyProtection="1">
      <alignment horizontal="left" vertical="center" wrapText="1"/>
      <protection locked="0"/>
    </xf>
    <xf numFmtId="0" fontId="0" fillId="3" borderId="27" xfId="0" applyFill="1" applyBorder="1" applyAlignment="1" applyProtection="1">
      <alignment horizontal="center" vertical="center" wrapText="1"/>
      <protection locked="0"/>
    </xf>
    <xf numFmtId="0" fontId="0" fillId="3" borderId="21" xfId="0" applyFill="1" applyBorder="1" applyAlignment="1" applyProtection="1">
      <alignment horizontal="left" vertical="center" wrapText="1"/>
      <protection locked="0"/>
    </xf>
    <xf numFmtId="168" fontId="12" fillId="3" borderId="46" xfId="0" applyNumberFormat="1" applyFont="1" applyFill="1" applyBorder="1" applyAlignment="1" applyProtection="1">
      <alignment horizontal="centerContinuous" vertical="center"/>
      <protection locked="0"/>
    </xf>
    <xf numFmtId="166" fontId="8" fillId="3" borderId="17" xfId="0" applyNumberFormat="1" applyFont="1" applyFill="1" applyBorder="1" applyAlignment="1" applyProtection="1">
      <alignment horizontal="center"/>
      <protection locked="0"/>
    </xf>
    <xf numFmtId="166" fontId="8" fillId="3" borderId="16" xfId="0" applyNumberFormat="1" applyFont="1" applyFill="1" applyBorder="1" applyAlignment="1" applyProtection="1">
      <alignment horizontal="center"/>
      <protection locked="0"/>
    </xf>
    <xf numFmtId="0" fontId="12" fillId="0" borderId="77" xfId="0" applyFont="1" applyFill="1" applyBorder="1" applyAlignment="1">
      <alignment horizontal="left" vertical="center"/>
    </xf>
    <xf numFmtId="0" fontId="0" fillId="7" borderId="80" xfId="0" applyFill="1" applyBorder="1" applyProtection="1">
      <protection locked="0"/>
    </xf>
    <xf numFmtId="0" fontId="0" fillId="7" borderId="81" xfId="0" applyFill="1" applyBorder="1" applyProtection="1">
      <protection locked="0"/>
    </xf>
    <xf numFmtId="0" fontId="0" fillId="7" borderId="88" xfId="0" applyFill="1" applyBorder="1" applyProtection="1">
      <protection locked="0"/>
    </xf>
    <xf numFmtId="0" fontId="0" fillId="7" borderId="78" xfId="0" applyFill="1" applyBorder="1" applyProtection="1">
      <protection locked="0"/>
    </xf>
    <xf numFmtId="0" fontId="0" fillId="7" borderId="79" xfId="0" applyFill="1" applyBorder="1" applyProtection="1">
      <protection locked="0"/>
    </xf>
    <xf numFmtId="0" fontId="0" fillId="7" borderId="89" xfId="0" applyFill="1" applyBorder="1" applyProtection="1">
      <protection locked="0"/>
    </xf>
    <xf numFmtId="0" fontId="0" fillId="7" borderId="84" xfId="0" applyFill="1" applyBorder="1" applyProtection="1">
      <protection locked="0"/>
    </xf>
    <xf numFmtId="0" fontId="0" fillId="7" borderId="85" xfId="0" applyFill="1" applyBorder="1" applyProtection="1">
      <protection locked="0"/>
    </xf>
    <xf numFmtId="0" fontId="0" fillId="7" borderId="91" xfId="0" applyFill="1" applyBorder="1" applyProtection="1">
      <protection locked="0"/>
    </xf>
    <xf numFmtId="0" fontId="11" fillId="8" borderId="2" xfId="0" applyFont="1" applyFill="1" applyBorder="1" applyAlignment="1" applyProtection="1">
      <alignment horizontal="left" vertical="center"/>
    </xf>
    <xf numFmtId="0" fontId="11" fillId="8" borderId="57" xfId="0" applyFont="1" applyFill="1" applyBorder="1" applyAlignment="1" applyProtection="1">
      <alignment horizontal="left" vertical="center"/>
    </xf>
    <xf numFmtId="0" fontId="0" fillId="8" borderId="57" xfId="0" applyFill="1" applyBorder="1" applyAlignment="1" applyProtection="1">
      <alignment vertical="center"/>
    </xf>
    <xf numFmtId="0" fontId="0" fillId="8" borderId="4" xfId="0" applyFill="1" applyBorder="1" applyProtection="1"/>
    <xf numFmtId="0" fontId="11" fillId="8" borderId="23" xfId="0" quotePrefix="1" applyFont="1" applyFill="1" applyBorder="1" applyAlignment="1" applyProtection="1">
      <alignment horizontal="left" vertical="center"/>
    </xf>
    <xf numFmtId="0" fontId="0" fillId="8" borderId="44" xfId="0" applyFill="1" applyBorder="1" applyAlignment="1" applyProtection="1">
      <alignment horizontal="centerContinuous" vertical="center"/>
    </xf>
    <xf numFmtId="0" fontId="0" fillId="8" borderId="9" xfId="0" applyFill="1" applyBorder="1" applyAlignment="1" applyProtection="1">
      <alignment horizontal="centerContinuous" vertical="center"/>
    </xf>
    <xf numFmtId="0" fontId="11" fillId="3" borderId="7" xfId="0" quotePrefix="1" applyFont="1" applyFill="1" applyBorder="1" applyAlignment="1" applyProtection="1">
      <alignment horizontal="left" vertical="center"/>
      <protection locked="0"/>
    </xf>
    <xf numFmtId="0" fontId="0" fillId="0" borderId="0" xfId="0" applyAlignment="1">
      <alignment horizontal="right" vertical="center"/>
    </xf>
    <xf numFmtId="0" fontId="2" fillId="2" borderId="0" xfId="0" applyFont="1" applyFill="1" applyAlignment="1">
      <alignment horizontal="right" vertical="center"/>
    </xf>
    <xf numFmtId="0" fontId="9" fillId="0" borderId="0" xfId="0" applyFont="1" applyAlignment="1">
      <alignment horizontal="center" vertical="center"/>
    </xf>
    <xf numFmtId="0" fontId="0" fillId="2" borderId="121" xfId="0" applyFill="1" applyBorder="1" applyAlignment="1">
      <alignment horizontal="center"/>
    </xf>
    <xf numFmtId="0" fontId="0" fillId="7" borderId="119" xfId="0" applyFill="1" applyBorder="1" applyProtection="1">
      <protection locked="0"/>
    </xf>
    <xf numFmtId="0" fontId="0" fillId="7" borderId="120" xfId="0" applyFill="1" applyBorder="1" applyProtection="1">
      <protection locked="0"/>
    </xf>
    <xf numFmtId="0" fontId="0" fillId="7" borderId="122" xfId="0" applyFill="1" applyBorder="1" applyProtection="1">
      <protection locked="0"/>
    </xf>
    <xf numFmtId="0" fontId="0" fillId="7" borderId="123" xfId="0" applyFill="1" applyBorder="1" applyProtection="1">
      <protection locked="0"/>
    </xf>
    <xf numFmtId="0" fontId="0" fillId="7" borderId="124" xfId="0" applyFill="1" applyBorder="1" applyProtection="1">
      <protection locked="0"/>
    </xf>
    <xf numFmtId="0" fontId="11" fillId="3" borderId="0" xfId="0" quotePrefix="1" applyFont="1" applyFill="1" applyAlignment="1" applyProtection="1">
      <alignment horizontal="left" vertical="center"/>
      <protection locked="0"/>
    </xf>
    <xf numFmtId="0" fontId="0" fillId="3" borderId="6" xfId="0" applyFill="1" applyBorder="1" applyAlignment="1" applyProtection="1">
      <alignment vertical="center"/>
      <protection locked="0"/>
    </xf>
    <xf numFmtId="0" fontId="0" fillId="8" borderId="4" xfId="0" applyFill="1" applyBorder="1" applyAlignment="1" applyProtection="1">
      <alignment vertical="center"/>
    </xf>
    <xf numFmtId="0" fontId="1" fillId="0" borderId="0" xfId="0" applyFont="1" applyFill="1"/>
    <xf numFmtId="0" fontId="1" fillId="0" borderId="15" xfId="0" applyFont="1" applyFill="1" applyBorder="1" applyAlignment="1" applyProtection="1">
      <alignment horizontal="center"/>
    </xf>
    <xf numFmtId="0" fontId="36" fillId="9" borderId="0" xfId="0" applyFont="1" applyFill="1"/>
    <xf numFmtId="0" fontId="37" fillId="9" borderId="0" xfId="0" applyFont="1" applyFill="1"/>
    <xf numFmtId="0" fontId="38" fillId="9" borderId="0" xfId="0" applyFont="1" applyFill="1"/>
    <xf numFmtId="0" fontId="39" fillId="9" borderId="0" xfId="0" applyFont="1" applyFill="1"/>
    <xf numFmtId="0" fontId="40" fillId="9" borderId="0" xfId="0" applyFont="1" applyFill="1"/>
    <xf numFmtId="0" fontId="0" fillId="4" borderId="18" xfId="0" applyFill="1" applyBorder="1" applyAlignment="1" applyProtection="1">
      <alignment horizontal="left"/>
      <protection locked="0"/>
    </xf>
    <xf numFmtId="0" fontId="0" fillId="4" borderId="44" xfId="0" applyFill="1" applyBorder="1" applyAlignment="1" applyProtection="1">
      <alignment horizontal="left"/>
      <protection locked="0"/>
    </xf>
    <xf numFmtId="0" fontId="0" fillId="4" borderId="69" xfId="0" applyFill="1" applyBorder="1" applyAlignment="1" applyProtection="1">
      <alignment horizontal="left"/>
      <protection locked="0"/>
    </xf>
    <xf numFmtId="0" fontId="0" fillId="0" borderId="18" xfId="0" applyBorder="1" applyAlignment="1">
      <alignment horizontal="left" vertical="top" wrapText="1"/>
    </xf>
    <xf numFmtId="0" fontId="0" fillId="0" borderId="44" xfId="0" applyBorder="1" applyAlignment="1">
      <alignment horizontal="left" vertical="top" wrapText="1"/>
    </xf>
    <xf numFmtId="14" fontId="0" fillId="4" borderId="18" xfId="0" applyNumberFormat="1" applyFill="1" applyBorder="1" applyAlignment="1" applyProtection="1">
      <alignment horizontal="left"/>
      <protection locked="0"/>
    </xf>
    <xf numFmtId="14" fontId="0" fillId="4" borderId="44" xfId="0" applyNumberFormat="1" applyFill="1" applyBorder="1" applyAlignment="1" applyProtection="1">
      <alignment horizontal="left"/>
      <protection locked="0"/>
    </xf>
    <xf numFmtId="14" fontId="0" fillId="4" borderId="69" xfId="0" applyNumberFormat="1" applyFill="1" applyBorder="1" applyAlignment="1" applyProtection="1">
      <alignment horizontal="left"/>
      <protection locked="0"/>
    </xf>
    <xf numFmtId="0" fontId="27" fillId="4" borderId="18" xfId="1" applyFill="1" applyBorder="1" applyAlignment="1" applyProtection="1">
      <alignment horizontal="left"/>
      <protection locked="0"/>
    </xf>
    <xf numFmtId="0" fontId="27" fillId="4" borderId="44" xfId="1" applyFill="1" applyBorder="1" applyAlignment="1" applyProtection="1">
      <alignment horizontal="left"/>
      <protection locked="0"/>
    </xf>
    <xf numFmtId="0" fontId="27" fillId="4" borderId="69" xfId="1" applyFill="1" applyBorder="1" applyAlignment="1" applyProtection="1">
      <alignment horizontal="left"/>
      <protection locked="0"/>
    </xf>
    <xf numFmtId="0" fontId="0" fillId="4" borderId="18" xfId="0" quotePrefix="1" applyFill="1" applyBorder="1" applyAlignment="1" applyProtection="1">
      <alignment horizontal="left"/>
      <protection locked="0"/>
    </xf>
    <xf numFmtId="0" fontId="0" fillId="4" borderId="44" xfId="0" quotePrefix="1" applyFill="1" applyBorder="1" applyAlignment="1" applyProtection="1">
      <alignment horizontal="left"/>
      <protection locked="0"/>
    </xf>
    <xf numFmtId="0" fontId="0" fillId="4" borderId="69" xfId="0" quotePrefix="1" applyFill="1" applyBorder="1" applyAlignment="1" applyProtection="1">
      <alignment horizontal="left"/>
      <protection locked="0"/>
    </xf>
    <xf numFmtId="0" fontId="29" fillId="2" borderId="2" xfId="0" applyFont="1" applyFill="1" applyBorder="1" applyAlignment="1">
      <alignment horizontal="center" vertical="center"/>
    </xf>
    <xf numFmtId="0" fontId="29" fillId="2" borderId="57" xfId="0" applyFont="1" applyFill="1" applyBorder="1" applyAlignment="1">
      <alignment horizontal="center" vertical="center"/>
    </xf>
    <xf numFmtId="0" fontId="29" fillId="2" borderId="4" xfId="0" applyFont="1" applyFill="1" applyBorder="1" applyAlignment="1">
      <alignment horizontal="center" vertical="center"/>
    </xf>
    <xf numFmtId="0" fontId="29" fillId="2" borderId="47" xfId="0" applyFont="1" applyFill="1" applyBorder="1" applyAlignment="1">
      <alignment horizontal="center" vertical="center"/>
    </xf>
    <xf numFmtId="0" fontId="29" fillId="2" borderId="58" xfId="0" applyFont="1" applyFill="1" applyBorder="1" applyAlignment="1">
      <alignment horizontal="center" vertical="center"/>
    </xf>
    <xf numFmtId="0" fontId="29" fillId="2" borderId="46" xfId="0" applyFont="1" applyFill="1" applyBorder="1" applyAlignment="1">
      <alignment horizontal="center" vertical="center"/>
    </xf>
    <xf numFmtId="0" fontId="23" fillId="2" borderId="47" xfId="0" applyFont="1" applyFill="1" applyBorder="1" applyAlignment="1">
      <alignment horizontal="center" vertical="center"/>
    </xf>
    <xf numFmtId="0" fontId="23" fillId="2" borderId="58" xfId="0" applyFont="1" applyFill="1" applyBorder="1" applyAlignment="1">
      <alignment horizontal="center" vertical="center"/>
    </xf>
    <xf numFmtId="0" fontId="23" fillId="2" borderId="46" xfId="0" applyFont="1" applyFill="1" applyBorder="1" applyAlignment="1">
      <alignment horizontal="center" vertical="center"/>
    </xf>
    <xf numFmtId="0" fontId="3" fillId="2" borderId="15" xfId="0" applyFont="1" applyFill="1" applyBorder="1" applyAlignment="1">
      <alignment horizontal="left" vertical="center"/>
    </xf>
    <xf numFmtId="0" fontId="9" fillId="2" borderId="15" xfId="0" applyFont="1" applyFill="1" applyBorder="1" applyAlignment="1">
      <alignment horizontal="left" vertical="center"/>
    </xf>
    <xf numFmtId="168" fontId="11" fillId="3" borderId="15" xfId="0" quotePrefix="1" applyNumberFormat="1" applyFont="1" applyFill="1" applyBorder="1" applyAlignment="1" applyProtection="1">
      <alignment horizontal="left" vertical="center"/>
      <protection locked="0"/>
    </xf>
    <xf numFmtId="0" fontId="3" fillId="2" borderId="2" xfId="0" applyFont="1" applyFill="1" applyBorder="1" applyAlignment="1">
      <alignment horizontal="left" vertical="center"/>
    </xf>
    <xf numFmtId="0" fontId="3" fillId="2" borderId="57" xfId="0" applyFont="1" applyFill="1" applyBorder="1" applyAlignment="1">
      <alignment horizontal="left" vertical="center"/>
    </xf>
    <xf numFmtId="0" fontId="11" fillId="8" borderId="1" xfId="0" applyFont="1" applyFill="1" applyBorder="1" applyAlignment="1" applyProtection="1">
      <alignment horizontal="left" vertical="center"/>
    </xf>
    <xf numFmtId="0" fontId="11" fillId="8" borderId="11" xfId="0" applyFont="1" applyFill="1" applyBorder="1" applyAlignment="1" applyProtection="1">
      <alignment horizontal="left" vertical="center"/>
    </xf>
    <xf numFmtId="0" fontId="11" fillId="8" borderId="12" xfId="0" applyFont="1" applyFill="1" applyBorder="1" applyAlignment="1" applyProtection="1">
      <alignment horizontal="left" vertical="center"/>
    </xf>
    <xf numFmtId="0" fontId="3" fillId="2" borderId="18" xfId="0" applyFont="1" applyFill="1" applyBorder="1" applyAlignment="1">
      <alignment horizontal="left" vertical="center"/>
    </xf>
    <xf numFmtId="0" fontId="3" fillId="2" borderId="69" xfId="0" applyFont="1" applyFill="1" applyBorder="1" applyAlignment="1">
      <alignment horizontal="left" vertical="center"/>
    </xf>
    <xf numFmtId="0" fontId="11" fillId="3" borderId="7" xfId="0" quotePrefix="1" applyFont="1" applyFill="1" applyBorder="1" applyAlignment="1" applyProtection="1">
      <alignment horizontal="left" vertical="center"/>
      <protection locked="0"/>
    </xf>
    <xf numFmtId="0" fontId="11" fillId="3" borderId="0" xfId="0" quotePrefix="1" applyFont="1" applyFill="1" applyBorder="1" applyAlignment="1" applyProtection="1">
      <alignment horizontal="left" vertical="center"/>
      <protection locked="0"/>
    </xf>
    <xf numFmtId="0" fontId="11" fillId="3" borderId="6" xfId="0" quotePrefix="1" applyFont="1" applyFill="1" applyBorder="1" applyAlignment="1" applyProtection="1">
      <alignment horizontal="left" vertical="center"/>
      <protection locked="0"/>
    </xf>
    <xf numFmtId="168" fontId="11" fillId="3" borderId="47" xfId="0" quotePrefix="1" applyNumberFormat="1" applyFont="1" applyFill="1" applyBorder="1" applyAlignment="1" applyProtection="1">
      <alignment horizontal="left" vertical="center"/>
      <protection locked="0"/>
    </xf>
    <xf numFmtId="168" fontId="11" fillId="3" borderId="58" xfId="0" quotePrefix="1" applyNumberFormat="1" applyFont="1" applyFill="1" applyBorder="1" applyAlignment="1" applyProtection="1">
      <alignment horizontal="left" vertical="center"/>
      <protection locked="0"/>
    </xf>
    <xf numFmtId="168" fontId="11" fillId="3" borderId="46" xfId="0" quotePrefix="1" applyNumberFormat="1" applyFont="1" applyFill="1" applyBorder="1" applyAlignment="1" applyProtection="1">
      <alignment horizontal="left" vertical="center"/>
      <protection locked="0"/>
    </xf>
    <xf numFmtId="0" fontId="1" fillId="0" borderId="18" xfId="0" applyFont="1" applyBorder="1" applyAlignment="1">
      <alignment horizontal="center"/>
    </xf>
    <xf numFmtId="0" fontId="1" fillId="0" borderId="44" xfId="0" applyFont="1" applyBorder="1" applyAlignment="1">
      <alignment horizontal="center"/>
    </xf>
    <xf numFmtId="0" fontId="1" fillId="0" borderId="9" xfId="0" applyFont="1" applyBorder="1" applyAlignment="1">
      <alignment horizontal="center"/>
    </xf>
    <xf numFmtId="0" fontId="3" fillId="2" borderId="44" xfId="0" applyFont="1" applyFill="1" applyBorder="1" applyAlignment="1">
      <alignment horizontal="left" vertical="center"/>
    </xf>
    <xf numFmtId="0" fontId="9" fillId="2" borderId="18" xfId="0" applyFont="1" applyFill="1" applyBorder="1" applyAlignment="1">
      <alignment horizontal="left" vertical="center"/>
    </xf>
    <xf numFmtId="0" fontId="9" fillId="2" borderId="44" xfId="0" applyFont="1" applyFill="1" applyBorder="1" applyAlignment="1">
      <alignment horizontal="left" vertical="center"/>
    </xf>
    <xf numFmtId="0" fontId="9" fillId="2" borderId="69" xfId="0" applyFont="1" applyFill="1" applyBorder="1" applyAlignment="1">
      <alignment horizontal="left" vertical="center"/>
    </xf>
    <xf numFmtId="0" fontId="3" fillId="2" borderId="43" xfId="0" applyFont="1" applyFill="1" applyBorder="1" applyAlignment="1">
      <alignment horizontal="center" vertical="center"/>
    </xf>
    <xf numFmtId="0" fontId="3" fillId="2" borderId="8" xfId="0" applyFont="1" applyFill="1" applyBorder="1" applyAlignment="1">
      <alignment horizontal="center" vertical="center"/>
    </xf>
    <xf numFmtId="0" fontId="11" fillId="8" borderId="1" xfId="0" applyFont="1" applyFill="1" applyBorder="1" applyAlignment="1" applyProtection="1">
      <alignment horizontal="center" vertical="center"/>
    </xf>
    <xf numFmtId="0" fontId="11" fillId="8" borderId="11" xfId="0" applyFont="1" applyFill="1" applyBorder="1" applyAlignment="1" applyProtection="1">
      <alignment horizontal="center" vertical="center"/>
    </xf>
    <xf numFmtId="0" fontId="11" fillId="8" borderId="12" xfId="0" applyFont="1" applyFill="1" applyBorder="1" applyAlignment="1" applyProtection="1">
      <alignment horizontal="center" vertical="center"/>
    </xf>
    <xf numFmtId="0" fontId="3" fillId="2" borderId="1" xfId="0" applyFont="1" applyFill="1" applyBorder="1" applyAlignment="1">
      <alignment horizontal="left" vertical="center"/>
    </xf>
    <xf numFmtId="0" fontId="3" fillId="2" borderId="11" xfId="0" applyFont="1" applyFill="1" applyBorder="1" applyAlignment="1">
      <alignment horizontal="left" vertical="center"/>
    </xf>
    <xf numFmtId="0" fontId="19" fillId="8" borderId="22" xfId="0" applyFont="1" applyFill="1" applyBorder="1" applyAlignment="1" applyProtection="1">
      <alignment horizontal="left" vertical="center"/>
    </xf>
    <xf numFmtId="0" fontId="19" fillId="8" borderId="43" xfId="0" applyFont="1" applyFill="1" applyBorder="1" applyAlignment="1" applyProtection="1">
      <alignment horizontal="left" vertical="center"/>
    </xf>
    <xf numFmtId="0" fontId="19" fillId="8" borderId="8" xfId="0" applyFont="1" applyFill="1" applyBorder="1" applyAlignment="1" applyProtection="1">
      <alignment horizontal="left" vertical="center"/>
    </xf>
    <xf numFmtId="168" fontId="11" fillId="3" borderId="24" xfId="0" quotePrefix="1" applyNumberFormat="1" applyFont="1" applyFill="1" applyBorder="1" applyAlignment="1" applyProtection="1">
      <alignment horizontal="left" vertical="center"/>
      <protection locked="0"/>
    </xf>
    <xf numFmtId="168" fontId="11" fillId="3" borderId="59" xfId="0" quotePrefix="1" applyNumberFormat="1" applyFont="1" applyFill="1" applyBorder="1" applyAlignment="1" applyProtection="1">
      <alignment horizontal="left" vertical="center"/>
      <protection locked="0"/>
    </xf>
    <xf numFmtId="168" fontId="11" fillId="3" borderId="60" xfId="0" quotePrefix="1" applyNumberFormat="1" applyFont="1" applyFill="1" applyBorder="1" applyAlignment="1" applyProtection="1">
      <alignment horizontal="left" vertical="center"/>
      <protection locked="0"/>
    </xf>
    <xf numFmtId="0" fontId="1" fillId="0" borderId="0" xfId="0" applyFont="1" applyAlignment="1">
      <alignment horizontal="center"/>
    </xf>
  </cellXfs>
  <cellStyles count="3">
    <cellStyle name="Hyperlink" xfId="1" builtinId="8"/>
    <cellStyle name="Normal" xfId="0" builtinId="0"/>
    <cellStyle name="Percent" xfId="2" builtinId="5"/>
  </cellStyles>
  <dxfs count="20">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14996795556505021"/>
        </patternFill>
      </fill>
    </dxf>
    <dxf>
      <fill>
        <patternFill patternType="gray0625">
          <fgColor theme="0" tint="-0.14996795556505021"/>
        </patternFill>
      </fill>
    </dxf>
    <dxf>
      <fill>
        <patternFill patternType="gray0625">
          <fgColor theme="0" tint="-0.24994659260841701"/>
        </patternFill>
      </fill>
    </dxf>
    <dxf>
      <fill>
        <patternFill patternType="gray0625">
          <fgColor theme="0" tint="-0.24994659260841701"/>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FFFF99"/>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2.xml"/></Relationships>
</file>

<file path=xl/ctrlProps/ctrlProp1.xml><?xml version="1.0" encoding="utf-8"?>
<formControlPr xmlns="http://schemas.microsoft.com/office/spreadsheetml/2009/9/main" objectType="Radio" checked="Checked" firstButton="1"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348615</xdr:colOff>
      <xdr:row>19</xdr:row>
      <xdr:rowOff>148590</xdr:rowOff>
    </xdr:from>
    <xdr:to>
      <xdr:col>11</xdr:col>
      <xdr:colOff>209570</xdr:colOff>
      <xdr:row>84</xdr:row>
      <xdr:rowOff>5</xdr:rowOff>
    </xdr:to>
    <xdr:sp macro="" textlink="">
      <xdr:nvSpPr>
        <xdr:cNvPr id="4097" name="Text 1">
          <a:extLst>
            <a:ext uri="{FF2B5EF4-FFF2-40B4-BE49-F238E27FC236}">
              <a16:creationId xmlns:a16="http://schemas.microsoft.com/office/drawing/2014/main" id="{00000000-0008-0000-0000-000001100000}"/>
            </a:ext>
          </a:extLst>
        </xdr:cNvPr>
        <xdr:cNvSpPr txBox="1">
          <a:spLocks noChangeArrowheads="1"/>
        </xdr:cNvSpPr>
      </xdr:nvSpPr>
      <xdr:spPr bwMode="auto">
        <a:xfrm>
          <a:off x="352425" y="3638550"/>
          <a:ext cx="6448425" cy="10372725"/>
        </a:xfrm>
        <a:prstGeom prst="rect">
          <a:avLst/>
        </a:prstGeom>
        <a:solidFill>
          <a:srgbClr val="FFFF99"/>
        </a:solidFill>
        <a:ln w="9525">
          <a:solidFill>
            <a:srgbClr val="000000"/>
          </a:solidFill>
          <a:miter lim="800000"/>
          <a:headEnd/>
          <a:tailEnd/>
        </a:ln>
      </xdr:spPr>
      <xdr:txBody>
        <a:bodyPr vertOverflow="clip" wrap="square" lIns="36576" tIns="27432" rIns="0" bIns="0" anchor="t" upright="1"/>
        <a:lstStyle/>
        <a:p>
          <a:pPr algn="l" rtl="0">
            <a:lnSpc>
              <a:spcPts val="1300"/>
            </a:lnSpc>
            <a:defRPr sz="1000"/>
          </a:pPr>
          <a:r>
            <a:rPr lang="de-DE" sz="1200" b="1" i="0" u="none" strike="noStrike" baseline="0">
              <a:solidFill>
                <a:srgbClr val="000000"/>
              </a:solidFill>
              <a:latin typeface="Geneva"/>
            </a:rPr>
            <a:t>Instructions</a:t>
          </a:r>
          <a:endParaRPr lang="de-DE" sz="1000" b="1" i="0" u="none" strike="noStrike" baseline="0">
            <a:solidFill>
              <a:srgbClr val="000000"/>
            </a:solidFill>
            <a:latin typeface="Geneva"/>
          </a:endParaRPr>
        </a:p>
        <a:p>
          <a:pPr algn="l" rtl="0">
            <a:lnSpc>
              <a:spcPts val="1100"/>
            </a:lnSpc>
            <a:defRPr sz="1000"/>
          </a:pPr>
          <a:endParaRPr lang="de-DE" sz="1000" b="1" i="0" u="none" strike="noStrike" baseline="0">
            <a:solidFill>
              <a:srgbClr val="000000"/>
            </a:solidFill>
            <a:latin typeface="Geneva"/>
          </a:endParaRPr>
        </a:p>
        <a:p>
          <a:pPr algn="l" rtl="0">
            <a:lnSpc>
              <a:spcPts val="1100"/>
            </a:lnSpc>
            <a:defRPr sz="1000"/>
          </a:pPr>
          <a:r>
            <a:rPr lang="de-DE" sz="1000" b="1" i="0" u="none" strike="noStrike" baseline="0">
              <a:solidFill>
                <a:srgbClr val="000000"/>
              </a:solidFill>
              <a:latin typeface="Geneva"/>
            </a:rPr>
            <a:t>General:</a:t>
          </a:r>
          <a:r>
            <a:rPr lang="de-DE" sz="1000" b="0" i="0" u="none" strike="noStrike" baseline="0">
              <a:solidFill>
                <a:srgbClr val="000000"/>
              </a:solidFill>
              <a:latin typeface="Geneva"/>
            </a:rPr>
            <a:t> Please complete the personal details on this page. This will help the data coordinators identify who is responsible for the data set, and to trace any changes which may have been made. If you discover errors in your data submission and need to send in corrected estimates it is important to update these details, and also the boxes labelled 'Prepared (date)' on each worksheet. Please complete one workbook for each species and submit these separately.</a:t>
          </a:r>
        </a:p>
        <a:p>
          <a:pPr algn="l" rtl="0">
            <a:lnSpc>
              <a:spcPts val="1100"/>
            </a:lnSpc>
            <a:defRPr sz="1000"/>
          </a:pPr>
          <a:endParaRPr lang="de-DE" sz="1000" b="0" i="0" u="none" strike="noStrike" baseline="0">
            <a:solidFill>
              <a:srgbClr val="000000"/>
            </a:solidFill>
            <a:latin typeface="Geneva"/>
          </a:endParaRPr>
        </a:p>
        <a:p>
          <a:pPr algn="l" rtl="0">
            <a:lnSpc>
              <a:spcPts val="1100"/>
            </a:lnSpc>
            <a:defRPr sz="1000"/>
          </a:pPr>
          <a:r>
            <a:rPr lang="de-DE" sz="1000" b="0" i="0" u="none" strike="noStrike" baseline="0">
              <a:solidFill>
                <a:srgbClr val="FF0000"/>
              </a:solidFill>
              <a:latin typeface="Geneva"/>
            </a:rPr>
            <a:t>It is most important to identify whether there are any issues about the catch or sampling which you think may require discussion or agreement with other members of the SC, by checking the radiobutton at the top of this page. This </a:t>
          </a:r>
          <a:r>
            <a:rPr lang="de-DE" sz="1000" b="1" i="0" u="none" strike="noStrike" baseline="0">
              <a:solidFill>
                <a:srgbClr val="FF0000"/>
              </a:solidFill>
              <a:latin typeface="Geneva"/>
            </a:rPr>
            <a:t>must</a:t>
          </a:r>
          <a:r>
            <a:rPr lang="de-DE" sz="1000" b="0" i="0" u="none" strike="noStrike" baseline="0">
              <a:solidFill>
                <a:srgbClr val="FF0000"/>
              </a:solidFill>
              <a:latin typeface="Geneva"/>
            </a:rPr>
            <a:t> done when the data are submitted, and obviously should not be left until data assembly and analysis has begun. Please be very careful with this as there is a risk of wasting other people's time if these  issues are not raised early. </a:t>
          </a:r>
        </a:p>
        <a:p>
          <a:pPr algn="l" rtl="0">
            <a:lnSpc>
              <a:spcPts val="1100"/>
            </a:lnSpc>
            <a:defRPr sz="1000"/>
          </a:pPr>
          <a:endParaRPr lang="de-DE" sz="1000" b="0" i="0" u="none" strike="noStrike" baseline="0">
            <a:solidFill>
              <a:srgbClr val="000000"/>
            </a:solidFill>
            <a:latin typeface="Geneva"/>
          </a:endParaRPr>
        </a:p>
        <a:p>
          <a:pPr algn="l" rtl="0">
            <a:lnSpc>
              <a:spcPts val="1100"/>
            </a:lnSpc>
            <a:defRPr sz="1000"/>
          </a:pPr>
          <a:endParaRPr lang="de-DE" sz="1000" b="0" i="0" u="none" strike="noStrike" baseline="0">
            <a:solidFill>
              <a:srgbClr val="000000"/>
            </a:solidFill>
            <a:latin typeface="Geneva"/>
          </a:endParaRPr>
        </a:p>
      </xdr:txBody>
    </xdr:sp>
    <xdr:clientData/>
  </xdr:twoCellAnchor>
  <mc:AlternateContent xmlns:mc="http://schemas.openxmlformats.org/markup-compatibility/2006">
    <mc:Choice xmlns:a14="http://schemas.microsoft.com/office/drawing/2010/main" Requires="a14">
      <xdr:twoCellAnchor editAs="oneCell">
        <xdr:from>
          <xdr:col>8</xdr:col>
          <xdr:colOff>152400</xdr:colOff>
          <xdr:row>15</xdr:row>
          <xdr:rowOff>95250</xdr:rowOff>
        </xdr:from>
        <xdr:to>
          <xdr:col>11</xdr:col>
          <xdr:colOff>111125</xdr:colOff>
          <xdr:row>16</xdr:row>
          <xdr:rowOff>152400</xdr:rowOff>
        </xdr:to>
        <xdr:sp macro="" textlink="">
          <xdr:nvSpPr>
            <xdr:cNvPr id="4101" name="Option Button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solidFill>
              <a:srgbClr val="FFFF99" mc:Ignorable="a14" a14:legacySpreadsheetColorIndex="4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nl-NL" sz="1000" b="0" i="0" u="none" strike="noStrike" baseline="0">
                  <a:solidFill>
                    <a:srgbClr val="000000"/>
                  </a:solidFill>
                  <a:latin typeface="Geneva"/>
                </a:rPr>
                <a:t>NO (discussion required)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152400</xdr:colOff>
          <xdr:row>14</xdr:row>
          <xdr:rowOff>9525</xdr:rowOff>
        </xdr:from>
        <xdr:to>
          <xdr:col>11</xdr:col>
          <xdr:colOff>114300</xdr:colOff>
          <xdr:row>15</xdr:row>
          <xdr:rowOff>95250</xdr:rowOff>
        </xdr:to>
        <xdr:sp macro="" textlink="">
          <xdr:nvSpPr>
            <xdr:cNvPr id="4102" name="Option Button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solidFill>
              <a:srgbClr val="FFFF99" mc:Ignorable="a14" a14:legacySpreadsheetColorIndex="4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nl-NL" sz="1000" b="0" i="0" u="none" strike="noStrike" baseline="0">
                  <a:solidFill>
                    <a:srgbClr val="000000"/>
                  </a:solidFill>
                  <a:latin typeface="Geneva"/>
                </a:rPr>
                <a:t>YES (no discussion required)</a:t>
              </a:r>
            </a:p>
          </xdr:txBody>
        </xdr:sp>
        <xdr:clientData/>
      </xdr:twoCellAnchor>
    </mc:Choice>
    <mc:Fallback/>
  </mc:AlternateContent>
  <mc:AlternateContent xmlns:mc="http://schemas.openxmlformats.org/markup-compatibility/2006">
    <mc:Choice xmlns:a14="http://schemas.microsoft.com/office/drawing/2010/main" Requires="a14">
      <xdr:twoCellAnchor>
        <xdr:from>
          <xdr:col>14</xdr:col>
          <xdr:colOff>19050</xdr:colOff>
          <xdr:row>4</xdr:row>
          <xdr:rowOff>152400</xdr:rowOff>
        </xdr:from>
        <xdr:to>
          <xdr:col>16</xdr:col>
          <xdr:colOff>276225</xdr:colOff>
          <xdr:row>6</xdr:row>
          <xdr:rowOff>85725</xdr:rowOff>
        </xdr:to>
        <xdr:sp macro="" textlink="">
          <xdr:nvSpPr>
            <xdr:cNvPr id="4206" name="Button 110" hidden="1">
              <a:extLst>
                <a:ext uri="{63B3BB69-23CF-44E3-9099-C40C66FF867C}">
                  <a14:compatExt spid="_x0000_s4206"/>
                </a:ext>
                <a:ext uri="{FF2B5EF4-FFF2-40B4-BE49-F238E27FC236}">
                  <a16:creationId xmlns:a16="http://schemas.microsoft.com/office/drawing/2014/main" id="{00000000-0008-0000-0000-00006E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NL" sz="1000" b="0" i="0" u="none" strike="noStrike" baseline="0">
                  <a:solidFill>
                    <a:srgbClr val="000000"/>
                  </a:solidFill>
                  <a:latin typeface="Arial"/>
                  <a:cs typeface="Arial"/>
                </a:rPr>
                <a:t>Unprotect Worksheets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19050</xdr:colOff>
          <xdr:row>7</xdr:row>
          <xdr:rowOff>123825</xdr:rowOff>
        </xdr:from>
        <xdr:to>
          <xdr:col>16</xdr:col>
          <xdr:colOff>276225</xdr:colOff>
          <xdr:row>9</xdr:row>
          <xdr:rowOff>57150</xdr:rowOff>
        </xdr:to>
        <xdr:sp macro="" textlink="">
          <xdr:nvSpPr>
            <xdr:cNvPr id="4207" name="Button 111" hidden="1">
              <a:extLst>
                <a:ext uri="{63B3BB69-23CF-44E3-9099-C40C66FF867C}">
                  <a14:compatExt spid="_x0000_s4207"/>
                </a:ext>
                <a:ext uri="{FF2B5EF4-FFF2-40B4-BE49-F238E27FC236}">
                  <a16:creationId xmlns:a16="http://schemas.microsoft.com/office/drawing/2014/main" id="{00000000-0008-0000-0000-00006F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NL" sz="1000" b="0" i="0" u="none" strike="noStrike" baseline="0">
                  <a:solidFill>
                    <a:srgbClr val="000000"/>
                  </a:solidFill>
                  <a:latin typeface="Arial"/>
                  <a:cs typeface="Arial"/>
                </a:rPr>
                <a:t>Protect Worksheets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0</xdr:colOff>
      <xdr:row>59</xdr:row>
      <xdr:rowOff>1</xdr:rowOff>
    </xdr:from>
    <xdr:to>
      <xdr:col>4</xdr:col>
      <xdr:colOff>0</xdr:colOff>
      <xdr:row>77</xdr:row>
      <xdr:rowOff>1</xdr:rowOff>
    </xdr:to>
    <xdr:sp macro="" textlink="">
      <xdr:nvSpPr>
        <xdr:cNvPr id="7626" name="Text Box 2">
          <a:extLst>
            <a:ext uri="{FF2B5EF4-FFF2-40B4-BE49-F238E27FC236}">
              <a16:creationId xmlns:a16="http://schemas.microsoft.com/office/drawing/2014/main" id="{00000000-0008-0000-0100-0000CA1D0000}"/>
            </a:ext>
          </a:extLst>
        </xdr:cNvPr>
        <xdr:cNvSpPr txBox="1">
          <a:spLocks noChangeArrowheads="1"/>
        </xdr:cNvSpPr>
      </xdr:nvSpPr>
      <xdr:spPr bwMode="auto">
        <a:xfrm>
          <a:off x="771525" y="11077576"/>
          <a:ext cx="6276975" cy="2914650"/>
        </a:xfrm>
        <a:prstGeom prst="rect">
          <a:avLst/>
        </a:prstGeom>
        <a:solidFill>
          <a:srgbClr val="FFFF99"/>
        </a:solidFill>
        <a:ln w="9525">
          <a:solidFill>
            <a:srgbClr val="000000"/>
          </a:solidFill>
          <a:miter lim="800000"/>
          <a:headEnd/>
          <a:tailEnd/>
        </a:ln>
      </xdr:spPr>
    </xdr:sp>
    <xdr:clientData/>
  </xdr:twoCellAnchor>
  <xdr:twoCellAnchor>
    <xdr:from>
      <xdr:col>1</xdr:col>
      <xdr:colOff>0</xdr:colOff>
      <xdr:row>8</xdr:row>
      <xdr:rowOff>0</xdr:rowOff>
    </xdr:from>
    <xdr:to>
      <xdr:col>4</xdr:col>
      <xdr:colOff>0</xdr:colOff>
      <xdr:row>40</xdr:row>
      <xdr:rowOff>0</xdr:rowOff>
    </xdr:to>
    <xdr:sp macro="" textlink="">
      <xdr:nvSpPr>
        <xdr:cNvPr id="4" name="Text Box 1">
          <a:extLst>
            <a:ext uri="{FF2B5EF4-FFF2-40B4-BE49-F238E27FC236}">
              <a16:creationId xmlns:a16="http://schemas.microsoft.com/office/drawing/2014/main" id="{00000000-0008-0000-0100-000004000000}"/>
            </a:ext>
          </a:extLst>
        </xdr:cNvPr>
        <xdr:cNvSpPr txBox="1">
          <a:spLocks noChangeArrowheads="1"/>
        </xdr:cNvSpPr>
      </xdr:nvSpPr>
      <xdr:spPr bwMode="auto">
        <a:xfrm>
          <a:off x="771525" y="2143125"/>
          <a:ext cx="6276975" cy="5181600"/>
        </a:xfrm>
        <a:prstGeom prst="rect">
          <a:avLst/>
        </a:prstGeom>
        <a:solidFill>
          <a:srgbClr val="FFFF99"/>
        </a:solidFill>
        <a:ln w="9525">
          <a:solidFill>
            <a:srgbClr val="000000"/>
          </a:solidFill>
          <a:miter lim="800000"/>
          <a:headEnd/>
          <a:tailEnd/>
        </a:ln>
      </xdr:spPr>
      <xdr:txBody>
        <a:bodyPr vertOverflow="clip" wrap="square" lIns="27432" tIns="22860" rIns="0" bIns="0" anchor="t" upright="1"/>
        <a:lstStyle/>
        <a:p>
          <a:pPr algn="l" rtl="0">
            <a:defRPr sz="1000"/>
          </a:pPr>
          <a:endParaRPr lang="de-DE" sz="1000" b="0" i="0" u="none" strike="noStrike" baseline="0">
            <a:solidFill>
              <a:srgbClr val="000000"/>
            </a:solidFill>
            <a:latin typeface="Geneva"/>
          </a:endParaRPr>
        </a:p>
        <a:p>
          <a:pPr algn="l" rtl="0">
            <a:defRPr sz="1000"/>
          </a:pPr>
          <a:r>
            <a:rPr lang="de-DE" sz="1000" b="0" i="0" u="none" strike="noStrike" baseline="0">
              <a:solidFill>
                <a:srgbClr val="000000"/>
              </a:solidFill>
              <a:latin typeface="Geneva"/>
            </a:rPr>
            <a:t>Historical data, imported into TEMPLATE in June 2022 by WMR, NL</a:t>
          </a:r>
        </a:p>
        <a:p>
          <a:pPr algn="l" rtl="0">
            <a:defRPr sz="1000"/>
          </a:pPr>
          <a:r>
            <a:rPr lang="de-DE" sz="1000" b="0" i="0" u="none" strike="noStrike" baseline="0">
              <a:solidFill>
                <a:srgbClr val="000000"/>
              </a:solidFill>
              <a:latin typeface="Geneva"/>
            </a:rPr>
            <a:t>Catch data from SC9-JM01-Annex1-rev1-CJM-catch-history-data.xls</a:t>
          </a:r>
        </a:p>
        <a:p>
          <a:pPr algn="l" rtl="0">
            <a:defRPr sz="1000"/>
          </a:pPr>
          <a:r>
            <a:rPr lang="de-DE" sz="1000" b="0" i="0" u="none" strike="noStrike" baseline="0">
              <a:solidFill>
                <a:srgbClr val="000000"/>
              </a:solidFill>
              <a:latin typeface="Geneva"/>
            </a:rPr>
            <a:t>LEN F4 from 2011 annual age comp EU fleet IFOP data.xlsx</a:t>
          </a:r>
        </a:p>
        <a:p>
          <a:pPr algn="l" rtl="0">
            <a:defRPr sz="1000"/>
          </a:pPr>
          <a:r>
            <a:rPr lang="de-DE" sz="1000" b="0" i="0" u="none" strike="noStrike" baseline="0">
              <a:solidFill>
                <a:srgbClr val="000000"/>
              </a:solidFill>
              <a:latin typeface="Geneva"/>
            </a:rPr>
            <a:t>Assumption (as for all pre2015 EU data): all catches and sampling in Q2</a:t>
          </a:r>
        </a:p>
      </xdr:txBody>
    </xdr:sp>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pageSetUpPr fitToPage="1"/>
  </sheetPr>
  <dimension ref="A1:L17"/>
  <sheetViews>
    <sheetView showGridLines="0" topLeftCell="B1" workbookViewId="0">
      <selection activeCell="K4" sqref="K4"/>
    </sheetView>
  </sheetViews>
  <sheetFormatPr defaultColWidth="8.7109375" defaultRowHeight="12.75"/>
  <cols>
    <col min="1" max="5" width="8.7109375" customWidth="1"/>
    <col min="6" max="6" width="11.7109375" customWidth="1"/>
  </cols>
  <sheetData>
    <row r="1" spans="1:12" ht="23.25">
      <c r="A1" s="341" t="s">
        <v>71</v>
      </c>
      <c r="B1" s="341"/>
      <c r="C1" s="341"/>
      <c r="D1" s="341"/>
      <c r="E1" s="341"/>
      <c r="F1" s="341"/>
      <c r="G1" s="341"/>
      <c r="H1" s="341"/>
      <c r="I1" s="341"/>
      <c r="J1" s="341"/>
      <c r="K1" s="341"/>
      <c r="L1" s="341"/>
    </row>
    <row r="2" spans="1:12" ht="13.5" thickBot="1"/>
    <row r="3" spans="1:12" ht="21" thickBot="1">
      <c r="B3" s="142" t="s">
        <v>143</v>
      </c>
      <c r="J3" s="153" t="s">
        <v>60</v>
      </c>
      <c r="K3" s="158">
        <v>2010</v>
      </c>
    </row>
    <row r="5" spans="1:12">
      <c r="B5" s="143" t="s">
        <v>66</v>
      </c>
      <c r="C5" s="144"/>
      <c r="D5" s="144"/>
      <c r="E5" s="144"/>
      <c r="F5" s="344" t="s">
        <v>72</v>
      </c>
      <c r="G5" s="345"/>
      <c r="H5" s="345"/>
      <c r="I5" s="345"/>
      <c r="J5" s="345"/>
      <c r="K5" s="346"/>
    </row>
    <row r="6" spans="1:12">
      <c r="B6" s="145" t="s">
        <v>105</v>
      </c>
      <c r="C6" s="146"/>
      <c r="D6" s="146"/>
      <c r="E6" s="146"/>
      <c r="F6" s="344" t="s">
        <v>127</v>
      </c>
      <c r="G6" s="345"/>
      <c r="H6" s="345"/>
      <c r="I6" s="345"/>
      <c r="J6" s="345"/>
      <c r="K6" s="346"/>
    </row>
    <row r="7" spans="1:12">
      <c r="B7" s="145" t="s">
        <v>67</v>
      </c>
      <c r="C7" s="146"/>
      <c r="D7" s="146"/>
      <c r="E7" s="146"/>
      <c r="F7" s="344"/>
      <c r="G7" s="345"/>
      <c r="H7" s="345"/>
      <c r="I7" s="345"/>
      <c r="J7" s="345"/>
      <c r="K7" s="346"/>
    </row>
    <row r="8" spans="1:12">
      <c r="B8" s="145" t="s">
        <v>68</v>
      </c>
      <c r="C8" s="146"/>
      <c r="D8" s="146"/>
      <c r="E8" s="146"/>
      <c r="F8" s="349" t="s">
        <v>145</v>
      </c>
      <c r="G8" s="350"/>
      <c r="H8" s="350"/>
      <c r="I8" s="350"/>
      <c r="J8" s="350"/>
      <c r="K8" s="351"/>
    </row>
    <row r="9" spans="1:12">
      <c r="B9" s="145" t="s">
        <v>69</v>
      </c>
      <c r="C9" s="146"/>
      <c r="D9" s="146"/>
      <c r="E9" s="146"/>
      <c r="F9" s="352"/>
      <c r="G9" s="353"/>
      <c r="H9" s="353"/>
      <c r="I9" s="353"/>
      <c r="J9" s="353"/>
      <c r="K9" s="354"/>
    </row>
    <row r="10" spans="1:12">
      <c r="B10" s="145" t="s">
        <v>73</v>
      </c>
      <c r="C10" s="146"/>
      <c r="D10" s="146"/>
      <c r="E10" s="146"/>
      <c r="F10" s="355"/>
      <c r="G10" s="356"/>
      <c r="H10" s="356"/>
      <c r="I10" s="356"/>
      <c r="J10" s="356"/>
      <c r="K10" s="357"/>
    </row>
    <row r="11" spans="1:12">
      <c r="B11" s="147" t="s">
        <v>70</v>
      </c>
      <c r="C11" s="148"/>
      <c r="D11" s="148"/>
      <c r="E11" s="148"/>
      <c r="F11" s="344"/>
      <c r="G11" s="345"/>
      <c r="H11" s="345"/>
      <c r="I11" s="345"/>
      <c r="J11" s="345"/>
      <c r="K11" s="346"/>
    </row>
    <row r="12" spans="1:12" ht="42.75" customHeight="1">
      <c r="B12" s="347" t="s">
        <v>48</v>
      </c>
      <c r="C12" s="348"/>
      <c r="D12" s="348"/>
      <c r="E12" s="348"/>
      <c r="F12" s="344"/>
      <c r="G12" s="345"/>
      <c r="H12" s="345"/>
      <c r="I12" s="345"/>
      <c r="J12" s="345"/>
      <c r="K12" s="346"/>
    </row>
    <row r="13" spans="1:12">
      <c r="B13" s="147" t="s">
        <v>141</v>
      </c>
      <c r="C13" s="148"/>
      <c r="D13" s="148"/>
      <c r="E13" s="148"/>
      <c r="F13" s="344" t="s">
        <v>139</v>
      </c>
      <c r="G13" s="345"/>
      <c r="H13" s="345"/>
      <c r="I13" s="345"/>
      <c r="J13" s="345"/>
      <c r="K13" s="346"/>
    </row>
    <row r="14" spans="1:12">
      <c r="B14" s="149" t="s">
        <v>47</v>
      </c>
    </row>
    <row r="15" spans="1:12">
      <c r="B15" s="149" t="s">
        <v>74</v>
      </c>
    </row>
    <row r="16" spans="1:12">
      <c r="B16" s="149"/>
    </row>
    <row r="17" spans="2:2">
      <c r="B17" t="s">
        <v>59</v>
      </c>
    </row>
  </sheetData>
  <sheetProtection scenarios="1"/>
  <mergeCells count="10">
    <mergeCell ref="F13:K13"/>
    <mergeCell ref="B12:E12"/>
    <mergeCell ref="F12:K12"/>
    <mergeCell ref="F5:K5"/>
    <mergeCell ref="F6:K6"/>
    <mergeCell ref="F7:K7"/>
    <mergeCell ref="F8:K8"/>
    <mergeCell ref="F9:K9"/>
    <mergeCell ref="F10:K10"/>
    <mergeCell ref="F11:K11"/>
  </mergeCells>
  <phoneticPr fontId="0" type="noConversion"/>
  <conditionalFormatting sqref="A2:L85">
    <cfRule type="expression" dxfId="19" priority="1" stopIfTrue="1">
      <formula>CELL("Protect",A2)=1</formula>
    </cfRule>
  </conditionalFormatting>
  <dataValidations count="3">
    <dataValidation type="list" allowBlank="1" showInputMessage="1" showErrorMessage="1" sqref="F6:K6" xr:uid="{00000000-0002-0000-0000-000000000000}">
      <formula1>Countries</formula1>
    </dataValidation>
    <dataValidation type="list" allowBlank="1" showInputMessage="1" showErrorMessage="1" sqref="F5:K5" xr:uid="{00000000-0002-0000-0000-000001000000}">
      <formula1>Species</formula1>
    </dataValidation>
    <dataValidation type="list" allowBlank="1" showInputMessage="1" showErrorMessage="1" sqref="F13:K13" xr:uid="{B7707A5E-BE36-4051-BDDC-6C520E93FD15}">
      <formula1>length_measures</formula1>
    </dataValidation>
  </dataValidations>
  <pageMargins left="0.78740157499999996" right="0.78740157499999996" top="0.984251969" bottom="0.984251969" header="0.5" footer="0.5"/>
  <pageSetup paperSize="9" scale="52"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101" r:id="rId4" name="Option Button 5">
              <controlPr defaultSize="0" autoFill="0" autoLine="0" autoPict="0">
                <anchor moveWithCells="1">
                  <from>
                    <xdr:col>8</xdr:col>
                    <xdr:colOff>152400</xdr:colOff>
                    <xdr:row>15</xdr:row>
                    <xdr:rowOff>95250</xdr:rowOff>
                  </from>
                  <to>
                    <xdr:col>11</xdr:col>
                    <xdr:colOff>104775</xdr:colOff>
                    <xdr:row>16</xdr:row>
                    <xdr:rowOff>152400</xdr:rowOff>
                  </to>
                </anchor>
              </controlPr>
            </control>
          </mc:Choice>
        </mc:AlternateContent>
        <mc:AlternateContent xmlns:mc="http://schemas.openxmlformats.org/markup-compatibility/2006">
          <mc:Choice Requires="x14">
            <control shapeId="4102" r:id="rId5" name="Option Button 6">
              <controlPr defaultSize="0" autoFill="0" autoLine="0" autoPict="0">
                <anchor moveWithCells="1">
                  <from>
                    <xdr:col>8</xdr:col>
                    <xdr:colOff>152400</xdr:colOff>
                    <xdr:row>14</xdr:row>
                    <xdr:rowOff>9525</xdr:rowOff>
                  </from>
                  <to>
                    <xdr:col>11</xdr:col>
                    <xdr:colOff>114300</xdr:colOff>
                    <xdr:row>15</xdr:row>
                    <xdr:rowOff>95250</xdr:rowOff>
                  </to>
                </anchor>
              </controlPr>
            </control>
          </mc:Choice>
        </mc:AlternateContent>
        <mc:AlternateContent xmlns:mc="http://schemas.openxmlformats.org/markup-compatibility/2006">
          <mc:Choice Requires="x14">
            <control shapeId="4206" r:id="rId6" name="Button 110">
              <controlPr defaultSize="0" print="0" autoFill="0" autoPict="0" macro="[0]!UnProtectWorksheets">
                <anchor moveWithCells="1" sizeWithCells="1">
                  <from>
                    <xdr:col>14</xdr:col>
                    <xdr:colOff>19050</xdr:colOff>
                    <xdr:row>4</xdr:row>
                    <xdr:rowOff>152400</xdr:rowOff>
                  </from>
                  <to>
                    <xdr:col>16</xdr:col>
                    <xdr:colOff>276225</xdr:colOff>
                    <xdr:row>6</xdr:row>
                    <xdr:rowOff>85725</xdr:rowOff>
                  </to>
                </anchor>
              </controlPr>
            </control>
          </mc:Choice>
        </mc:AlternateContent>
        <mc:AlternateContent xmlns:mc="http://schemas.openxmlformats.org/markup-compatibility/2006">
          <mc:Choice Requires="x14">
            <control shapeId="4207" r:id="rId7" name="Button 111">
              <controlPr defaultSize="0" print="0" autoFill="0" autoPict="0" macro="[0]!ProtectWorksheets">
                <anchor moveWithCells="1" sizeWithCells="1">
                  <from>
                    <xdr:col>14</xdr:col>
                    <xdr:colOff>19050</xdr:colOff>
                    <xdr:row>7</xdr:row>
                    <xdr:rowOff>123825</xdr:rowOff>
                  </from>
                  <to>
                    <xdr:col>16</xdr:col>
                    <xdr:colOff>276225</xdr:colOff>
                    <xdr:row>9</xdr:row>
                    <xdr:rowOff>57150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1">
    <pageSetUpPr fitToPage="1"/>
  </sheetPr>
  <dimension ref="A1:E59"/>
  <sheetViews>
    <sheetView topLeftCell="A4" workbookViewId="0">
      <selection activeCell="C6" sqref="C6"/>
    </sheetView>
  </sheetViews>
  <sheetFormatPr defaultColWidth="11.5703125" defaultRowHeight="12.75"/>
  <cols>
    <col min="1" max="1" width="11.5703125" customWidth="1"/>
    <col min="2" max="2" width="22.140625" customWidth="1"/>
    <col min="3" max="3" width="26" customWidth="1"/>
    <col min="4" max="4" width="46" customWidth="1"/>
    <col min="5" max="10" width="11.5703125" customWidth="1"/>
    <col min="11" max="11" width="24.85546875" customWidth="1"/>
  </cols>
  <sheetData>
    <row r="1" spans="1:5" ht="23.25">
      <c r="A1" s="339" t="s">
        <v>71</v>
      </c>
      <c r="B1" s="341"/>
      <c r="C1" s="341"/>
      <c r="D1" s="341"/>
      <c r="E1" s="341"/>
    </row>
    <row r="2" spans="1:5" ht="24" thickBot="1">
      <c r="A2" s="152"/>
      <c r="D2" s="178"/>
      <c r="E2" s="178"/>
    </row>
    <row r="3" spans="1:5" ht="23.25">
      <c r="A3" s="152"/>
      <c r="B3" s="259" t="s">
        <v>106</v>
      </c>
      <c r="C3" s="155" t="str">
        <f>'START HERE'!F6</f>
        <v>EU</v>
      </c>
      <c r="D3" s="274"/>
      <c r="E3" s="275"/>
    </row>
    <row r="4" spans="1:5" ht="23.25">
      <c r="A4" s="152"/>
      <c r="B4" s="170" t="s">
        <v>0</v>
      </c>
      <c r="C4" s="156" t="str">
        <f>'START HERE'!F5</f>
        <v>Jack mackerel</v>
      </c>
      <c r="D4" s="276"/>
      <c r="E4" s="275"/>
    </row>
    <row r="5" spans="1:5" ht="24" thickBot="1">
      <c r="A5" s="152"/>
      <c r="B5" s="170" t="s">
        <v>1</v>
      </c>
      <c r="C5" s="157">
        <f>'START HERE'!K3</f>
        <v>2010</v>
      </c>
      <c r="D5" s="277"/>
      <c r="E5" s="277"/>
    </row>
    <row r="6" spans="1:5">
      <c r="D6" s="178"/>
      <c r="E6" s="178"/>
    </row>
    <row r="8" spans="1:5">
      <c r="B8" t="s">
        <v>107</v>
      </c>
    </row>
    <row r="42" spans="2:4">
      <c r="B42" s="149" t="s">
        <v>119</v>
      </c>
    </row>
    <row r="44" spans="2:4" ht="13.5" thickBot="1"/>
    <row r="45" spans="2:4" ht="13.5" thickBot="1">
      <c r="B45" s="4"/>
      <c r="C45" s="31"/>
      <c r="D45" s="135" t="s">
        <v>62</v>
      </c>
    </row>
    <row r="46" spans="2:4">
      <c r="B46" s="39" t="s">
        <v>63</v>
      </c>
      <c r="C46" s="296"/>
      <c r="D46" s="297"/>
    </row>
    <row r="47" spans="2:4">
      <c r="B47" s="40" t="s">
        <v>64</v>
      </c>
      <c r="C47" s="298"/>
      <c r="D47" s="299"/>
    </row>
    <row r="48" spans="2:4">
      <c r="B48" s="40" t="s">
        <v>65</v>
      </c>
      <c r="C48" s="298"/>
      <c r="D48" s="299"/>
    </row>
    <row r="49" spans="2:4">
      <c r="B49" s="40" t="s">
        <v>54</v>
      </c>
      <c r="C49" s="298"/>
      <c r="D49" s="299"/>
    </row>
    <row r="50" spans="2:4">
      <c r="B50" s="40" t="s">
        <v>55</v>
      </c>
      <c r="C50" s="298"/>
      <c r="D50" s="299"/>
    </row>
    <row r="51" spans="2:4">
      <c r="B51" s="40" t="s">
        <v>56</v>
      </c>
      <c r="C51" s="298"/>
      <c r="D51" s="299"/>
    </row>
    <row r="52" spans="2:4">
      <c r="B52" s="40" t="s">
        <v>25</v>
      </c>
      <c r="C52" s="298"/>
      <c r="D52" s="299"/>
    </row>
    <row r="53" spans="2:4">
      <c r="B53" s="40" t="s">
        <v>26</v>
      </c>
      <c r="C53" s="298"/>
      <c r="D53" s="299"/>
    </row>
    <row r="54" spans="2:4">
      <c r="B54" s="40" t="s">
        <v>27</v>
      </c>
      <c r="C54" s="298"/>
      <c r="D54" s="299"/>
    </row>
    <row r="55" spans="2:4" ht="25.5">
      <c r="B55" s="40" t="s">
        <v>57</v>
      </c>
      <c r="C55" s="298"/>
      <c r="D55" s="299"/>
    </row>
    <row r="56" spans="2:4" ht="51">
      <c r="B56" s="260" t="s">
        <v>111</v>
      </c>
      <c r="C56" s="300"/>
      <c r="D56" s="301"/>
    </row>
    <row r="57" spans="2:4" ht="26.25" thickBot="1">
      <c r="B57" s="41" t="s">
        <v>58</v>
      </c>
      <c r="C57" s="302"/>
      <c r="D57" s="303"/>
    </row>
    <row r="59" spans="2:4">
      <c r="B59" t="s">
        <v>17</v>
      </c>
    </row>
  </sheetData>
  <sheetProtection scenarios="1"/>
  <phoneticPr fontId="0" type="noConversion"/>
  <conditionalFormatting sqref="A2:E78">
    <cfRule type="expression" dxfId="18" priority="1" stopIfTrue="1">
      <formula>CELL("Protect",A2)=1</formula>
    </cfRule>
  </conditionalFormatting>
  <pageMargins left="0.78740157499999996" right="0.78740157499999996" top="0.984251969" bottom="0.984251969" header="0.4921259845" footer="0.4921259845"/>
  <pageSetup paperSize="9" scale="56" orientation="portrait" horizontalDpi="4294967292" verticalDpi="4294967292"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autoPageBreaks="0" fitToPage="1"/>
  </sheetPr>
  <dimension ref="A1:S24"/>
  <sheetViews>
    <sheetView showGridLines="0" topLeftCell="A12" zoomScale="75" zoomScaleNormal="75" workbookViewId="0">
      <selection activeCell="E20" sqref="E20"/>
    </sheetView>
  </sheetViews>
  <sheetFormatPr defaultColWidth="8.7109375" defaultRowHeight="24.75" customHeight="1"/>
  <cols>
    <col min="1" max="1" width="41.5703125" customWidth="1"/>
    <col min="2" max="17" width="18" customWidth="1"/>
    <col min="18" max="18" width="51.140625" customWidth="1"/>
    <col min="19" max="19" width="18" customWidth="1"/>
    <col min="20" max="20" width="13.85546875" customWidth="1"/>
    <col min="21" max="21" width="12.7109375" customWidth="1"/>
    <col min="22" max="22" width="12.5703125" bestFit="1" customWidth="1"/>
    <col min="23" max="23" width="10.5703125" customWidth="1"/>
    <col min="24" max="24" width="13.85546875" customWidth="1"/>
    <col min="25" max="25" width="12.7109375" customWidth="1"/>
    <col min="26" max="26" width="12.5703125" customWidth="1"/>
    <col min="27" max="27" width="22.42578125" bestFit="1" customWidth="1"/>
    <col min="28" max="28" width="19" bestFit="1" customWidth="1"/>
    <col min="29" max="29" width="15.5703125" bestFit="1" customWidth="1"/>
    <col min="30" max="30" width="20.7109375" bestFit="1" customWidth="1"/>
    <col min="31" max="31" width="51.5703125" bestFit="1" customWidth="1"/>
  </cols>
  <sheetData>
    <row r="1" spans="1:19" ht="24.75" customHeight="1">
      <c r="A1" s="343" t="str">
        <f>Comments!$A$1</f>
        <v>South Pacific Regional Fisheries Management Organisation</v>
      </c>
      <c r="B1" s="341"/>
      <c r="C1" s="341"/>
      <c r="D1" s="341"/>
      <c r="E1" s="341"/>
      <c r="F1" s="341"/>
      <c r="G1" s="341"/>
      <c r="H1" s="341"/>
      <c r="I1" s="341"/>
      <c r="J1" s="341"/>
      <c r="K1" s="341"/>
      <c r="L1" s="341"/>
      <c r="M1" s="341"/>
      <c r="N1" s="341"/>
      <c r="O1" s="341"/>
      <c r="P1" s="341"/>
      <c r="Q1" s="341"/>
      <c r="R1" s="341"/>
      <c r="S1" s="341"/>
    </row>
    <row r="2" spans="1:19" s="7" customFormat="1" ht="19.5" customHeight="1">
      <c r="A2" s="33" t="s">
        <v>88</v>
      </c>
      <c r="B2" s="201" t="s">
        <v>89</v>
      </c>
      <c r="C2" s="265"/>
      <c r="D2" s="178"/>
      <c r="E2" s="255"/>
    </row>
    <row r="3" spans="1:19" s="7" customFormat="1" ht="19.5" customHeight="1">
      <c r="A3" s="152"/>
      <c r="B3" s="4"/>
      <c r="C3" s="266"/>
      <c r="D3" s="178"/>
      <c r="E3" s="267"/>
    </row>
    <row r="4" spans="1:19" s="7" customFormat="1" ht="19.5" customHeight="1">
      <c r="A4" s="12" t="s">
        <v>118</v>
      </c>
      <c r="B4" s="272" t="str">
        <f>'START HERE'!F6</f>
        <v>EU</v>
      </c>
      <c r="C4" s="266"/>
      <c r="D4" s="178"/>
      <c r="E4" s="267"/>
    </row>
    <row r="5" spans="1:19" s="7" customFormat="1" ht="19.5" customHeight="1">
      <c r="A5" s="12" t="s">
        <v>18</v>
      </c>
      <c r="B5" s="272" t="str">
        <f>'START HERE'!F5</f>
        <v>Jack mackerel</v>
      </c>
      <c r="C5" s="268"/>
      <c r="D5" s="178"/>
      <c r="E5" s="267"/>
    </row>
    <row r="6" spans="1:19" s="7" customFormat="1" ht="19.5" customHeight="1">
      <c r="A6" s="12" t="s">
        <v>13</v>
      </c>
      <c r="B6" s="273">
        <f>'START HERE'!K3</f>
        <v>2010</v>
      </c>
      <c r="C6" s="266"/>
      <c r="D6" s="178"/>
      <c r="E6" s="267"/>
    </row>
    <row r="7" spans="1:19" s="7" customFormat="1" ht="19.5" customHeight="1">
      <c r="A7" s="34" t="s">
        <v>14</v>
      </c>
      <c r="B7" s="286">
        <v>42585</v>
      </c>
      <c r="C7" s="269"/>
      <c r="D7" s="178"/>
      <c r="E7" s="255"/>
    </row>
    <row r="8" spans="1:19" s="7" customFormat="1" ht="19.5" customHeight="1">
      <c r="A8" s="34"/>
      <c r="B8" s="202"/>
      <c r="C8" s="266"/>
      <c r="D8" s="178"/>
      <c r="E8" s="255"/>
    </row>
    <row r="9" spans="1:19" s="7" customFormat="1" ht="19.5" customHeight="1">
      <c r="A9" s="34"/>
      <c r="B9" s="203" t="s">
        <v>90</v>
      </c>
      <c r="C9" s="266"/>
      <c r="D9" s="178"/>
      <c r="E9" s="255"/>
    </row>
    <row r="10" spans="1:19" ht="24.75" customHeight="1">
      <c r="A10" s="7"/>
      <c r="B10" s="7"/>
      <c r="C10" s="255"/>
      <c r="D10" s="255"/>
      <c r="E10" s="255"/>
      <c r="F10" s="7"/>
      <c r="G10" s="7"/>
      <c r="H10" s="7"/>
      <c r="I10" s="7"/>
      <c r="J10" s="7"/>
      <c r="K10" s="7"/>
      <c r="L10" s="7"/>
      <c r="M10" s="7"/>
      <c r="N10" s="7"/>
      <c r="O10" s="7"/>
      <c r="P10" s="7"/>
      <c r="Q10" s="7"/>
    </row>
    <row r="11" spans="1:19" ht="24.75" customHeight="1" thickBot="1">
      <c r="A11" s="7"/>
      <c r="N11" s="7"/>
      <c r="O11" s="7"/>
      <c r="P11" s="7"/>
      <c r="Q11" s="7"/>
    </row>
    <row r="12" spans="1:19" ht="24.75" customHeight="1">
      <c r="A12" s="204"/>
      <c r="B12" s="358" t="s">
        <v>91</v>
      </c>
      <c r="C12" s="359"/>
      <c r="D12" s="360"/>
      <c r="E12" s="358" t="s">
        <v>92</v>
      </c>
      <c r="F12" s="359"/>
      <c r="G12" s="360"/>
      <c r="H12" s="358" t="s">
        <v>93</v>
      </c>
      <c r="I12" s="359"/>
      <c r="J12" s="360"/>
      <c r="K12" s="358" t="s">
        <v>94</v>
      </c>
      <c r="L12" s="359"/>
      <c r="M12" s="360"/>
      <c r="N12" s="358" t="s">
        <v>95</v>
      </c>
      <c r="O12" s="359"/>
      <c r="P12" s="359"/>
      <c r="Q12" s="360"/>
    </row>
    <row r="13" spans="1:19" ht="24.75" customHeight="1" thickBot="1">
      <c r="A13" s="7"/>
      <c r="B13" s="364">
        <f>'START HERE'!$K$3</f>
        <v>2010</v>
      </c>
      <c r="C13" s="365"/>
      <c r="D13" s="366"/>
      <c r="E13" s="364">
        <f>'START HERE'!$K$3</f>
        <v>2010</v>
      </c>
      <c r="F13" s="365"/>
      <c r="G13" s="366"/>
      <c r="H13" s="364">
        <f>'START HERE'!$K$3</f>
        <v>2010</v>
      </c>
      <c r="I13" s="365"/>
      <c r="J13" s="366"/>
      <c r="K13" s="364">
        <f>'START HERE'!$K$3</f>
        <v>2010</v>
      </c>
      <c r="L13" s="365"/>
      <c r="M13" s="366"/>
      <c r="N13" s="361"/>
      <c r="O13" s="362"/>
      <c r="P13" s="362"/>
      <c r="Q13" s="363"/>
    </row>
    <row r="14" spans="1:19" ht="24.75" customHeight="1">
      <c r="A14" s="205"/>
      <c r="B14" s="206"/>
      <c r="D14" s="208"/>
      <c r="E14" s="206"/>
      <c r="F14" s="207"/>
      <c r="G14" s="208"/>
      <c r="H14" s="206"/>
      <c r="I14" s="207"/>
      <c r="J14" s="208"/>
      <c r="K14" s="206"/>
      <c r="L14" s="207"/>
      <c r="M14" s="209"/>
      <c r="N14" s="210"/>
      <c r="O14" s="211"/>
      <c r="P14" s="212"/>
      <c r="Q14" s="213" t="s">
        <v>96</v>
      </c>
      <c r="R14" s="212" t="s">
        <v>97</v>
      </c>
      <c r="S14" s="205"/>
    </row>
    <row r="15" spans="1:19" ht="24.75" customHeight="1">
      <c r="A15" s="214"/>
      <c r="B15" s="215" t="s">
        <v>98</v>
      </c>
      <c r="C15" s="216" t="s">
        <v>109</v>
      </c>
      <c r="D15" s="216" t="s">
        <v>99</v>
      </c>
      <c r="E15" s="215" t="s">
        <v>98</v>
      </c>
      <c r="F15" s="216" t="s">
        <v>109</v>
      </c>
      <c r="G15" s="217" t="s">
        <v>99</v>
      </c>
      <c r="H15" s="215" t="s">
        <v>98</v>
      </c>
      <c r="I15" s="216" t="s">
        <v>109</v>
      </c>
      <c r="J15" s="217" t="s">
        <v>99</v>
      </c>
      <c r="K15" s="215" t="s">
        <v>98</v>
      </c>
      <c r="L15" s="216" t="s">
        <v>109</v>
      </c>
      <c r="M15" s="218" t="s">
        <v>99</v>
      </c>
      <c r="N15" s="219" t="s">
        <v>98</v>
      </c>
      <c r="O15" s="216" t="s">
        <v>109</v>
      </c>
      <c r="P15" s="220" t="s">
        <v>99</v>
      </c>
      <c r="Q15" s="221" t="s">
        <v>100</v>
      </c>
      <c r="R15" s="220"/>
      <c r="S15" s="222" t="s">
        <v>110</v>
      </c>
    </row>
    <row r="16" spans="1:19" ht="24.75" customHeight="1" thickBot="1">
      <c r="A16" s="78" t="s">
        <v>108</v>
      </c>
      <c r="B16" s="223" t="s">
        <v>16</v>
      </c>
      <c r="C16" s="224" t="s">
        <v>16</v>
      </c>
      <c r="D16" s="225" t="s">
        <v>16</v>
      </c>
      <c r="E16" s="223" t="s">
        <v>16</v>
      </c>
      <c r="F16" s="224" t="s">
        <v>16</v>
      </c>
      <c r="G16" s="225" t="s">
        <v>16</v>
      </c>
      <c r="H16" s="223" t="s">
        <v>16</v>
      </c>
      <c r="I16" s="224" t="s">
        <v>16</v>
      </c>
      <c r="J16" s="225" t="s">
        <v>16</v>
      </c>
      <c r="K16" s="223" t="s">
        <v>16</v>
      </c>
      <c r="L16" s="224" t="s">
        <v>16</v>
      </c>
      <c r="M16" s="226" t="s">
        <v>16</v>
      </c>
      <c r="N16" s="227" t="s">
        <v>16</v>
      </c>
      <c r="O16" s="228" t="s">
        <v>16</v>
      </c>
      <c r="P16" s="229" t="s">
        <v>16</v>
      </c>
      <c r="Q16" s="230" t="s">
        <v>16</v>
      </c>
      <c r="R16" s="231"/>
      <c r="S16" s="78"/>
    </row>
    <row r="17" spans="1:19" ht="24.75" customHeight="1">
      <c r="A17" s="263" t="s">
        <v>75</v>
      </c>
      <c r="B17" s="232"/>
      <c r="C17" s="233"/>
      <c r="D17" s="234"/>
      <c r="E17" s="235"/>
      <c r="F17" s="233"/>
      <c r="G17" s="234"/>
      <c r="H17" s="235"/>
      <c r="I17" s="233"/>
      <c r="J17" s="234"/>
      <c r="K17" s="235"/>
      <c r="L17" s="233"/>
      <c r="M17" s="236"/>
      <c r="N17" s="287">
        <f t="shared" ref="N17:P21" si="0">SUM(B17+E17+H17+K17)</f>
        <v>0</v>
      </c>
      <c r="O17" s="288">
        <f t="shared" si="0"/>
        <v>0</v>
      </c>
      <c r="P17" s="289">
        <f t="shared" si="0"/>
        <v>0</v>
      </c>
      <c r="Q17" s="237">
        <f>IF(SUM(O17:P17)&gt;0,SUM(O17:P17),N17)</f>
        <v>0</v>
      </c>
      <c r="R17" s="284"/>
      <c r="S17" s="162" t="s">
        <v>80</v>
      </c>
    </row>
    <row r="18" spans="1:19" ht="24.75" customHeight="1">
      <c r="A18" s="263" t="s">
        <v>117</v>
      </c>
      <c r="B18" s="232"/>
      <c r="C18" s="238"/>
      <c r="D18" s="239"/>
      <c r="E18" s="232"/>
      <c r="F18" s="238"/>
      <c r="G18" s="239"/>
      <c r="H18" s="232"/>
      <c r="I18" s="238"/>
      <c r="J18" s="239"/>
      <c r="K18" s="232"/>
      <c r="L18" s="238"/>
      <c r="M18" s="240"/>
      <c r="N18" s="287">
        <f t="shared" si="0"/>
        <v>0</v>
      </c>
      <c r="O18" s="288">
        <f t="shared" si="0"/>
        <v>0</v>
      </c>
      <c r="P18" s="289">
        <f t="shared" si="0"/>
        <v>0</v>
      </c>
      <c r="Q18" s="241">
        <f t="shared" ref="Q18:Q20" si="1">IF(SUM(O18:P18)&gt;0,SUM(O18:P18),N18)</f>
        <v>0</v>
      </c>
      <c r="R18" s="285"/>
      <c r="S18" s="162" t="s">
        <v>87</v>
      </c>
    </row>
    <row r="19" spans="1:19" ht="24.75" customHeight="1">
      <c r="A19" s="263" t="s">
        <v>76</v>
      </c>
      <c r="B19" s="232"/>
      <c r="C19" s="238"/>
      <c r="D19" s="239"/>
      <c r="E19" s="232"/>
      <c r="F19" s="238"/>
      <c r="G19" s="239"/>
      <c r="H19" s="232"/>
      <c r="I19" s="238"/>
      <c r="J19" s="239"/>
      <c r="K19" s="232"/>
      <c r="L19" s="238"/>
      <c r="M19" s="240"/>
      <c r="N19" s="287">
        <f t="shared" si="0"/>
        <v>0</v>
      </c>
      <c r="O19" s="288">
        <f t="shared" si="0"/>
        <v>0</v>
      </c>
      <c r="P19" s="289">
        <f t="shared" si="0"/>
        <v>0</v>
      </c>
      <c r="Q19" s="241">
        <f t="shared" si="1"/>
        <v>0</v>
      </c>
      <c r="R19" s="285"/>
      <c r="S19" s="162" t="s">
        <v>86</v>
      </c>
    </row>
    <row r="20" spans="1:19" ht="24.75" customHeight="1" thickBot="1">
      <c r="A20" s="263" t="s">
        <v>77</v>
      </c>
      <c r="B20" s="232"/>
      <c r="C20" s="238"/>
      <c r="D20" s="239"/>
      <c r="E20" s="232">
        <v>67496.740000000005</v>
      </c>
      <c r="F20" s="238"/>
      <c r="G20" s="239"/>
      <c r="H20" s="232"/>
      <c r="I20" s="238"/>
      <c r="J20" s="239"/>
      <c r="K20" s="232"/>
      <c r="L20" s="238"/>
      <c r="M20" s="240"/>
      <c r="N20" s="290">
        <f t="shared" si="0"/>
        <v>67496.740000000005</v>
      </c>
      <c r="O20" s="291">
        <f t="shared" si="0"/>
        <v>0</v>
      </c>
      <c r="P20" s="292">
        <f t="shared" si="0"/>
        <v>0</v>
      </c>
      <c r="Q20" s="241">
        <f t="shared" si="1"/>
        <v>67496.740000000005</v>
      </c>
      <c r="R20" s="285"/>
      <c r="S20" s="162" t="s">
        <v>85</v>
      </c>
    </row>
    <row r="21" spans="1:19" ht="24.75" customHeight="1" thickBot="1">
      <c r="A21" s="264" t="s">
        <v>49</v>
      </c>
      <c r="B21" s="242">
        <f t="shared" ref="B21:M21" si="2">SUM(B17:B20)</f>
        <v>0</v>
      </c>
      <c r="C21" s="243">
        <f t="shared" si="2"/>
        <v>0</v>
      </c>
      <c r="D21" s="244">
        <f t="shared" si="2"/>
        <v>0</v>
      </c>
      <c r="E21" s="242">
        <f t="shared" si="2"/>
        <v>67496.740000000005</v>
      </c>
      <c r="F21" s="243">
        <f t="shared" si="2"/>
        <v>0</v>
      </c>
      <c r="G21" s="245">
        <f t="shared" si="2"/>
        <v>0</v>
      </c>
      <c r="H21" s="246">
        <f t="shared" si="2"/>
        <v>0</v>
      </c>
      <c r="I21" s="247">
        <f t="shared" si="2"/>
        <v>0</v>
      </c>
      <c r="J21" s="245">
        <f t="shared" si="2"/>
        <v>0</v>
      </c>
      <c r="K21" s="246">
        <f t="shared" si="2"/>
        <v>0</v>
      </c>
      <c r="L21" s="247">
        <f t="shared" si="2"/>
        <v>0</v>
      </c>
      <c r="M21" s="248">
        <f t="shared" si="2"/>
        <v>0</v>
      </c>
      <c r="N21" s="293">
        <f t="shared" si="0"/>
        <v>67496.740000000005</v>
      </c>
      <c r="O21" s="294">
        <f t="shared" si="0"/>
        <v>0</v>
      </c>
      <c r="P21" s="295">
        <f t="shared" si="0"/>
        <v>0</v>
      </c>
      <c r="Q21" s="249">
        <f>SUM(Q17:Q20)</f>
        <v>67496.740000000005</v>
      </c>
      <c r="S21" s="250" t="s">
        <v>29</v>
      </c>
    </row>
    <row r="22" spans="1:19" ht="24.75" customHeight="1">
      <c r="A22" s="251" t="s">
        <v>101</v>
      </c>
      <c r="B22" s="252"/>
      <c r="C22" s="252"/>
      <c r="D22" s="252"/>
      <c r="E22" s="252"/>
      <c r="F22" s="252"/>
      <c r="G22" s="77"/>
      <c r="H22" s="77"/>
      <c r="I22" s="77"/>
      <c r="J22" s="77"/>
      <c r="K22" s="77"/>
      <c r="L22" s="77"/>
      <c r="M22" s="77"/>
      <c r="N22" s="77"/>
      <c r="O22" s="77"/>
      <c r="P22" s="77"/>
      <c r="Q22" s="77"/>
    </row>
    <row r="23" spans="1:19" ht="24.75" customHeight="1" thickBot="1">
      <c r="A23" s="253" t="str">
        <f>"Final total catch (WG estimate = "&amp; Q21 &amp;") should be the same as the sum of the catch totals of all CANUM (CN) sheets (= "&amp; SUM('CN F1:CN F4'!P27) &amp;")!"</f>
        <v>Final total catch (WG estimate = 67496.74) should be the same as the sum of the catch totals of all CANUM (CN) sheets (= 0)!</v>
      </c>
      <c r="B23" s="254"/>
      <c r="C23" s="254"/>
      <c r="D23" s="254"/>
      <c r="E23" s="270"/>
      <c r="F23" s="271"/>
      <c r="G23" s="257"/>
      <c r="H23" s="257"/>
      <c r="I23" s="257"/>
      <c r="J23" s="257"/>
      <c r="K23" s="257"/>
      <c r="L23" s="257"/>
      <c r="M23" s="257"/>
      <c r="N23" s="255"/>
      <c r="O23" s="255"/>
      <c r="P23" s="255"/>
      <c r="Q23" s="255"/>
      <c r="R23" s="178"/>
      <c r="S23" s="178"/>
    </row>
    <row r="24" spans="1:19" ht="24.75" customHeight="1">
      <c r="A24" s="7"/>
      <c r="B24" s="7"/>
      <c r="C24" s="7"/>
      <c r="D24" s="7"/>
      <c r="E24" s="7"/>
      <c r="F24" s="7"/>
      <c r="G24" s="7"/>
      <c r="H24" s="7"/>
      <c r="I24" s="7"/>
      <c r="J24" s="7"/>
      <c r="K24" s="7"/>
      <c r="L24" s="7"/>
      <c r="M24" s="7"/>
    </row>
  </sheetData>
  <sheetProtection scenarios="1"/>
  <mergeCells count="9">
    <mergeCell ref="N12:Q13"/>
    <mergeCell ref="B13:D13"/>
    <mergeCell ref="E13:G13"/>
    <mergeCell ref="H13:J13"/>
    <mergeCell ref="K13:M13"/>
    <mergeCell ref="B12:D12"/>
    <mergeCell ref="E12:G12"/>
    <mergeCell ref="H12:J12"/>
    <mergeCell ref="K12:M12"/>
  </mergeCells>
  <conditionalFormatting sqref="A2:S23">
    <cfRule type="expression" dxfId="17" priority="1" stopIfTrue="1">
      <formula>CELL("Protect",A2)=1</formula>
    </cfRule>
  </conditionalFormatting>
  <dataValidations count="4">
    <dataValidation type="whole" errorStyle="warning" allowBlank="1" showInputMessage="1" showErrorMessage="1" errorTitle="Please Check" error="Confirm that the value you have entered is correct" promptTitle="Landings" prompt="Official landings " sqref="B17:B20 E17:E20 H17:H20 K17:K20" xr:uid="{00000000-0002-0000-0200-000000000000}">
      <formula1>0</formula1>
      <formula2>100000</formula2>
    </dataValidation>
    <dataValidation type="whole" errorStyle="warning" allowBlank="1" showInputMessage="1" showErrorMessage="1" errorTitle="Please Check" error="Please confirm that the value you have entered is correct" promptTitle="Discards" prompt="Estimate of tonnage discarded " sqref="D17:D20 G17:G20 J17:J20 M17:M20" xr:uid="{00000000-0002-0000-0200-000001000000}">
      <formula1>0</formula1>
      <formula2>100000</formula2>
    </dataValidation>
    <dataValidation type="decimal" errorStyle="warning" allowBlank="1" showInputMessage="1" showErrorMessage="1" errorTitle="Please Check" error="Confirm that the value you have entered is correct" promptTitle="Unallocated" prompt="Adjustments to the official catches made for any special knowledge about the fishery, such as under- or over-reporting for which there is firm external evidence" sqref="C17:C20 F17:F20 I17:I20 L17:L20" xr:uid="{00000000-0002-0000-0200-000002000000}">
      <formula1>-100000</formula1>
      <formula2>100000</formula2>
    </dataValidation>
    <dataValidation type="whole" errorStyle="warning" allowBlank="1" showErrorMessage="1" errorTitle="Warning" error="Dodgy values please check!" promptTitle="Landings" prompt="Official landings should be less than 100,000t" sqref="N17:P21" xr:uid="{00000000-0002-0000-0200-000003000000}">
      <formula1>0</formula1>
      <formula2>100000</formula2>
    </dataValidation>
  </dataValidations>
  <pageMargins left="0.63" right="0.78740157499999996" top="0.74" bottom="0.984251969" header="0.5" footer="0.5"/>
  <pageSetup paperSize="9" scale="13" orientation="portrait" horizontalDpi="300" verticalDpi="300"/>
  <headerFooter alignWithMargins="0">
    <oddFooter>&amp;C&amp;9&amp;D   &amp;T</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pageSetUpPr fitToPage="1"/>
  </sheetPr>
  <dimension ref="A1:AB17"/>
  <sheetViews>
    <sheetView topLeftCell="A2" zoomScale="75" workbookViewId="0">
      <selection activeCell="I14" sqref="I14"/>
    </sheetView>
  </sheetViews>
  <sheetFormatPr defaultColWidth="8.7109375" defaultRowHeight="24.75" customHeight="1"/>
  <cols>
    <col min="1" max="1" width="43.85546875" customWidth="1"/>
    <col min="2" max="21" width="9.28515625" customWidth="1"/>
    <col min="22" max="22" width="11.7109375" customWidth="1"/>
    <col min="23" max="23" width="6.7109375" customWidth="1"/>
    <col min="24" max="24" width="8.7109375" customWidth="1"/>
    <col min="25" max="25" width="6.7109375" customWidth="1"/>
    <col min="26" max="26" width="8.7109375" customWidth="1"/>
    <col min="27" max="27" width="12.28515625" customWidth="1"/>
    <col min="28" max="29" width="8.7109375" customWidth="1"/>
  </cols>
  <sheetData>
    <row r="1" spans="1:28" s="341" customFormat="1" ht="19.5" customHeight="1">
      <c r="A1" s="339" t="s">
        <v>144</v>
      </c>
    </row>
    <row r="2" spans="1:28" s="7" customFormat="1" ht="19.5" customHeight="1">
      <c r="A2" s="163"/>
      <c r="B2" s="6"/>
      <c r="C2" s="6"/>
      <c r="D2" s="6"/>
      <c r="E2" s="176"/>
      <c r="F2" s="6"/>
      <c r="G2" s="6"/>
      <c r="H2" s="6"/>
      <c r="I2" s="6"/>
      <c r="J2" s="6"/>
      <c r="K2" s="6"/>
      <c r="L2" s="6"/>
      <c r="M2" s="6"/>
      <c r="N2" s="6"/>
      <c r="O2" s="6"/>
      <c r="P2" s="6"/>
      <c r="Q2" s="6"/>
      <c r="R2" s="6"/>
      <c r="S2" s="6"/>
      <c r="T2" s="6"/>
      <c r="U2" s="6"/>
      <c r="V2" s="255"/>
      <c r="W2" s="255"/>
      <c r="X2" s="255"/>
      <c r="Y2" s="255"/>
      <c r="Z2" s="255"/>
    </row>
    <row r="3" spans="1:28" s="7" customFormat="1" ht="19.5" customHeight="1">
      <c r="A3" s="259" t="s">
        <v>106</v>
      </c>
      <c r="B3" s="367" t="str">
        <f>'START HERE'!F6</f>
        <v>EU</v>
      </c>
      <c r="C3" s="367"/>
      <c r="D3" s="367"/>
      <c r="E3" s="176"/>
      <c r="F3" s="128" t="s">
        <v>28</v>
      </c>
      <c r="G3" s="129"/>
      <c r="H3" s="130"/>
      <c r="I3" s="130"/>
      <c r="J3" s="130"/>
      <c r="K3" s="130"/>
      <c r="L3" s="130"/>
      <c r="M3" s="130"/>
      <c r="N3" s="130"/>
      <c r="O3" s="130"/>
      <c r="P3" s="130"/>
      <c r="Q3" s="130"/>
      <c r="R3" s="130"/>
      <c r="S3" s="131"/>
      <c r="T3" s="176"/>
      <c r="U3" s="182"/>
      <c r="V3" s="278"/>
      <c r="W3" s="255"/>
      <c r="X3" s="268"/>
      <c r="Y3" s="268"/>
      <c r="Z3" s="268"/>
    </row>
    <row r="4" spans="1:28" s="7" customFormat="1" ht="19.5" customHeight="1">
      <c r="A4" s="12" t="s">
        <v>18</v>
      </c>
      <c r="B4" s="367" t="str">
        <f>'START HERE'!F5</f>
        <v>Jack mackerel</v>
      </c>
      <c r="C4" s="367"/>
      <c r="D4" s="367"/>
      <c r="E4" s="176"/>
      <c r="F4" s="140" t="s">
        <v>15</v>
      </c>
      <c r="G4" s="132"/>
      <c r="H4" s="133"/>
      <c r="I4" s="133"/>
      <c r="J4" s="133"/>
      <c r="K4" s="133"/>
      <c r="L4" s="133"/>
      <c r="M4" s="133"/>
      <c r="N4" s="133"/>
      <c r="O4" s="133"/>
      <c r="P4" s="133"/>
      <c r="Q4" s="133"/>
      <c r="R4" s="133"/>
      <c r="S4" s="134"/>
      <c r="T4" s="176"/>
      <c r="U4" s="182"/>
      <c r="V4" s="278"/>
      <c r="W4" s="255"/>
      <c r="X4" s="268"/>
      <c r="Y4" s="268"/>
      <c r="Z4" s="268"/>
    </row>
    <row r="5" spans="1:28" s="7" customFormat="1" ht="19.5" customHeight="1">
      <c r="A5" s="12" t="s">
        <v>13</v>
      </c>
      <c r="B5" s="368">
        <f>'START HERE'!K3</f>
        <v>2010</v>
      </c>
      <c r="C5" s="368"/>
      <c r="D5" s="368"/>
      <c r="E5" s="79"/>
      <c r="F5" s="37"/>
      <c r="G5" s="37"/>
      <c r="H5" s="37"/>
      <c r="I5" s="37"/>
      <c r="J5" s="37"/>
      <c r="K5" s="37"/>
      <c r="L5" s="37"/>
      <c r="M5" s="37"/>
      <c r="N5" s="37"/>
      <c r="O5" s="37"/>
      <c r="P5" s="37"/>
      <c r="Q5" s="37"/>
      <c r="R5" s="37"/>
      <c r="S5" s="37"/>
      <c r="T5" s="37"/>
      <c r="U5" s="37"/>
      <c r="V5" s="255"/>
      <c r="W5" s="255"/>
      <c r="X5" s="255"/>
      <c r="Y5" s="255"/>
      <c r="Z5" s="255"/>
    </row>
    <row r="6" spans="1:28" s="7" customFormat="1" ht="19.5" customHeight="1">
      <c r="A6" s="34" t="s">
        <v>14</v>
      </c>
      <c r="B6" s="369" t="str">
        <f>'START HERE'!F8</f>
        <v>13/6/2022</v>
      </c>
      <c r="C6" s="369"/>
      <c r="D6" s="369"/>
      <c r="E6" s="79"/>
      <c r="F6" s="37"/>
      <c r="G6" s="37"/>
      <c r="H6" s="37"/>
      <c r="I6" s="37"/>
      <c r="J6" s="37"/>
      <c r="K6" s="37"/>
      <c r="L6" s="37"/>
      <c r="M6" s="37"/>
      <c r="N6" s="37"/>
      <c r="O6" s="37"/>
      <c r="P6" s="37"/>
      <c r="Q6" s="37"/>
      <c r="R6" s="37"/>
      <c r="S6" s="37"/>
      <c r="T6" s="37"/>
      <c r="U6" s="37"/>
      <c r="V6" s="255"/>
      <c r="W6" s="255"/>
      <c r="X6" s="255"/>
      <c r="Y6" s="255"/>
      <c r="Z6" s="255"/>
    </row>
    <row r="7" spans="1:28" ht="24" customHeight="1" thickBot="1">
      <c r="A7" s="4"/>
      <c r="B7" s="4"/>
      <c r="C7" s="4"/>
      <c r="D7" s="4"/>
      <c r="E7" s="4"/>
      <c r="F7" s="4"/>
      <c r="G7" s="4"/>
      <c r="H7" s="4"/>
      <c r="I7" s="4"/>
      <c r="J7" s="4"/>
      <c r="K7" s="4"/>
      <c r="L7" s="4"/>
      <c r="M7" s="4"/>
      <c r="N7" s="4"/>
      <c r="O7" s="4"/>
      <c r="P7" s="4"/>
      <c r="Q7" s="4"/>
      <c r="R7" s="4"/>
      <c r="S7" s="4"/>
      <c r="T7" s="4"/>
      <c r="U7" s="4"/>
      <c r="V7" s="178"/>
      <c r="W7" s="178"/>
      <c r="X7" s="178"/>
      <c r="Y7" s="178"/>
      <c r="Z7" s="178"/>
    </row>
    <row r="8" spans="1:28" s="10" customFormat="1" ht="24.75" customHeight="1" thickBot="1">
      <c r="A8" s="151"/>
      <c r="B8" s="370" t="s">
        <v>52</v>
      </c>
      <c r="C8" s="371"/>
      <c r="D8" s="371"/>
      <c r="E8" s="188">
        <f>'START HERE'!K3</f>
        <v>2010</v>
      </c>
      <c r="F8" s="370" t="s">
        <v>30</v>
      </c>
      <c r="G8" s="371"/>
      <c r="H8" s="371"/>
      <c r="I8" s="188">
        <f>'START HERE'!K3</f>
        <v>2010</v>
      </c>
      <c r="J8" s="370" t="s">
        <v>31</v>
      </c>
      <c r="K8" s="371"/>
      <c r="L8" s="371"/>
      <c r="M8" s="188">
        <f>'START HERE'!K3</f>
        <v>2010</v>
      </c>
      <c r="N8" s="186" t="s">
        <v>32</v>
      </c>
      <c r="O8" s="187"/>
      <c r="P8" s="187"/>
      <c r="Q8" s="188">
        <f>'START HERE'!K3</f>
        <v>2010</v>
      </c>
      <c r="R8" s="370" t="s">
        <v>33</v>
      </c>
      <c r="S8" s="371"/>
      <c r="T8" s="371"/>
      <c r="U8" s="188">
        <f>'START HERE'!K3</f>
        <v>2010</v>
      </c>
      <c r="V8" s="279"/>
      <c r="W8" s="282"/>
      <c r="X8" s="282"/>
      <c r="Y8" s="282"/>
      <c r="Z8" s="279"/>
    </row>
    <row r="9" spans="1:28" s="45" customFormat="1" ht="24">
      <c r="A9" s="183"/>
      <c r="B9" s="42" t="s">
        <v>102</v>
      </c>
      <c r="C9" s="43" t="s">
        <v>34</v>
      </c>
      <c r="D9" s="43" t="s">
        <v>35</v>
      </c>
      <c r="E9" s="44" t="s">
        <v>36</v>
      </c>
      <c r="F9" s="42" t="s">
        <v>102</v>
      </c>
      <c r="G9" s="43" t="s">
        <v>34</v>
      </c>
      <c r="H9" s="43" t="s">
        <v>35</v>
      </c>
      <c r="I9" s="44" t="s">
        <v>36</v>
      </c>
      <c r="J9" s="42" t="s">
        <v>102</v>
      </c>
      <c r="K9" s="43" t="s">
        <v>34</v>
      </c>
      <c r="L9" s="43" t="s">
        <v>35</v>
      </c>
      <c r="M9" s="44" t="s">
        <v>36</v>
      </c>
      <c r="N9" s="42" t="s">
        <v>102</v>
      </c>
      <c r="O9" s="43" t="s">
        <v>34</v>
      </c>
      <c r="P9" s="43" t="s">
        <v>35</v>
      </c>
      <c r="Q9" s="44" t="s">
        <v>36</v>
      </c>
      <c r="R9" s="42" t="s">
        <v>102</v>
      </c>
      <c r="S9" s="43" t="s">
        <v>34</v>
      </c>
      <c r="T9" s="43" t="s">
        <v>35</v>
      </c>
      <c r="U9" s="44" t="s">
        <v>36</v>
      </c>
      <c r="V9" s="280"/>
      <c r="W9" s="283"/>
      <c r="X9" s="283"/>
      <c r="Y9" s="283"/>
      <c r="Z9" s="281"/>
    </row>
    <row r="10" spans="1:28" s="7" customFormat="1" ht="18" customHeight="1" thickBot="1">
      <c r="A10" s="184" t="s">
        <v>108</v>
      </c>
      <c r="B10" s="46" t="s">
        <v>16</v>
      </c>
      <c r="C10" s="47" t="s">
        <v>37</v>
      </c>
      <c r="D10" s="47" t="s">
        <v>37</v>
      </c>
      <c r="E10" s="48" t="s">
        <v>37</v>
      </c>
      <c r="F10" s="46" t="s">
        <v>16</v>
      </c>
      <c r="G10" s="47" t="s">
        <v>37</v>
      </c>
      <c r="H10" s="47" t="s">
        <v>37</v>
      </c>
      <c r="I10" s="48" t="s">
        <v>37</v>
      </c>
      <c r="J10" s="46" t="s">
        <v>16</v>
      </c>
      <c r="K10" s="47" t="s">
        <v>37</v>
      </c>
      <c r="L10" s="47" t="s">
        <v>37</v>
      </c>
      <c r="M10" s="48" t="s">
        <v>37</v>
      </c>
      <c r="N10" s="46" t="s">
        <v>16</v>
      </c>
      <c r="O10" s="47" t="s">
        <v>37</v>
      </c>
      <c r="P10" s="47" t="s">
        <v>37</v>
      </c>
      <c r="Q10" s="48" t="s">
        <v>37</v>
      </c>
      <c r="R10" s="49" t="s">
        <v>16</v>
      </c>
      <c r="S10" s="50" t="s">
        <v>37</v>
      </c>
      <c r="T10" s="50" t="s">
        <v>37</v>
      </c>
      <c r="U10" s="51" t="s">
        <v>37</v>
      </c>
      <c r="V10" s="255"/>
      <c r="W10" s="255"/>
      <c r="X10" s="255"/>
      <c r="Y10" s="255"/>
      <c r="Z10" s="255"/>
    </row>
    <row r="11" spans="1:28" s="7" customFormat="1" ht="24.75" customHeight="1">
      <c r="A11" s="307" t="s">
        <v>75</v>
      </c>
      <c r="B11" s="56"/>
      <c r="C11" s="66"/>
      <c r="D11" s="66"/>
      <c r="E11" s="67"/>
      <c r="F11" s="56"/>
      <c r="G11" s="66"/>
      <c r="H11" s="66"/>
      <c r="I11" s="67"/>
      <c r="J11" s="56"/>
      <c r="K11" s="52"/>
      <c r="L11" s="52"/>
      <c r="M11" s="53"/>
      <c r="N11" s="56"/>
      <c r="O11" s="66"/>
      <c r="P11" s="66"/>
      <c r="Q11" s="67"/>
      <c r="R11" s="59">
        <f t="shared" ref="R11:U14" si="0">SUM(N11,J11,F11,B11)</f>
        <v>0</v>
      </c>
      <c r="S11" s="60">
        <f t="shared" si="0"/>
        <v>0</v>
      </c>
      <c r="T11" s="60">
        <f t="shared" si="0"/>
        <v>0</v>
      </c>
      <c r="U11" s="61">
        <f t="shared" si="0"/>
        <v>0</v>
      </c>
      <c r="V11" s="256"/>
      <c r="W11" s="255"/>
      <c r="X11" s="255"/>
      <c r="Y11" s="255"/>
      <c r="Z11" s="255"/>
    </row>
    <row r="12" spans="1:28" s="7" customFormat="1" ht="24.75" customHeight="1">
      <c r="A12" s="307" t="s">
        <v>117</v>
      </c>
      <c r="B12" s="57">
        <v>0</v>
      </c>
      <c r="C12" s="68"/>
      <c r="D12" s="68"/>
      <c r="E12" s="69"/>
      <c r="F12" s="57"/>
      <c r="G12" s="68"/>
      <c r="H12" s="68"/>
      <c r="I12" s="69"/>
      <c r="J12" s="57"/>
      <c r="K12" s="54"/>
      <c r="L12" s="54"/>
      <c r="M12" s="55"/>
      <c r="N12" s="57"/>
      <c r="O12" s="68"/>
      <c r="P12" s="68"/>
      <c r="Q12" s="69"/>
      <c r="R12" s="59">
        <f t="shared" si="0"/>
        <v>0</v>
      </c>
      <c r="S12" s="62">
        <f t="shared" si="0"/>
        <v>0</v>
      </c>
      <c r="T12" s="62">
        <f t="shared" si="0"/>
        <v>0</v>
      </c>
      <c r="U12" s="63">
        <f t="shared" si="0"/>
        <v>0</v>
      </c>
      <c r="V12" s="256"/>
      <c r="W12" s="255"/>
      <c r="X12" s="255"/>
      <c r="Y12" s="255"/>
      <c r="Z12" s="255"/>
      <c r="AA12" s="141"/>
      <c r="AB12" s="141"/>
    </row>
    <row r="13" spans="1:28" s="7" customFormat="1" ht="24.75" customHeight="1">
      <c r="A13" s="307" t="s">
        <v>76</v>
      </c>
      <c r="B13" s="57"/>
      <c r="C13" s="68"/>
      <c r="D13" s="68"/>
      <c r="E13" s="69"/>
      <c r="F13" s="57"/>
      <c r="G13" s="68"/>
      <c r="H13" s="68"/>
      <c r="I13" s="69"/>
      <c r="J13" s="57"/>
      <c r="K13" s="54"/>
      <c r="L13" s="54"/>
      <c r="M13" s="55"/>
      <c r="N13" s="57"/>
      <c r="O13" s="68"/>
      <c r="P13" s="68"/>
      <c r="Q13" s="69"/>
      <c r="R13" s="59">
        <f t="shared" si="0"/>
        <v>0</v>
      </c>
      <c r="S13" s="62">
        <f t="shared" si="0"/>
        <v>0</v>
      </c>
      <c r="T13" s="62">
        <f t="shared" si="0"/>
        <v>0</v>
      </c>
      <c r="U13" s="63">
        <f t="shared" si="0"/>
        <v>0</v>
      </c>
      <c r="V13" s="256"/>
      <c r="W13" s="255"/>
      <c r="X13" s="255"/>
      <c r="Y13" s="255"/>
      <c r="Z13" s="255"/>
    </row>
    <row r="14" spans="1:28" s="7" customFormat="1" ht="24.75" customHeight="1" thickBot="1">
      <c r="A14" s="307" t="s">
        <v>77</v>
      </c>
      <c r="B14" s="57"/>
      <c r="C14" s="68"/>
      <c r="D14" s="68"/>
      <c r="E14" s="69"/>
      <c r="F14" s="57"/>
      <c r="G14" s="68"/>
      <c r="H14" s="68"/>
      <c r="I14" s="69"/>
      <c r="J14" s="57"/>
      <c r="K14" s="54"/>
      <c r="L14" s="54"/>
      <c r="M14" s="55"/>
      <c r="N14" s="57"/>
      <c r="O14" s="68"/>
      <c r="P14" s="68"/>
      <c r="Q14" s="69"/>
      <c r="R14" s="59">
        <f t="shared" si="0"/>
        <v>0</v>
      </c>
      <c r="S14" s="62">
        <f t="shared" si="0"/>
        <v>0</v>
      </c>
      <c r="T14" s="62">
        <f t="shared" si="0"/>
        <v>0</v>
      </c>
      <c r="U14" s="63">
        <f t="shared" si="0"/>
        <v>0</v>
      </c>
      <c r="V14" s="256"/>
      <c r="W14" s="255"/>
      <c r="X14" s="255"/>
      <c r="Y14" s="255"/>
      <c r="Z14" s="255"/>
    </row>
    <row r="15" spans="1:28" s="7" customFormat="1" ht="24.75" customHeight="1" thickBot="1">
      <c r="A15" s="185" t="s">
        <v>49</v>
      </c>
      <c r="B15" s="58">
        <f t="shared" ref="B15:Q15" si="1">SUM(B11:B14)</f>
        <v>0</v>
      </c>
      <c r="C15" s="64">
        <f t="shared" si="1"/>
        <v>0</v>
      </c>
      <c r="D15" s="64">
        <f t="shared" si="1"/>
        <v>0</v>
      </c>
      <c r="E15" s="65">
        <f t="shared" si="1"/>
        <v>0</v>
      </c>
      <c r="F15" s="58">
        <f t="shared" si="1"/>
        <v>0</v>
      </c>
      <c r="G15" s="64">
        <f t="shared" si="1"/>
        <v>0</v>
      </c>
      <c r="H15" s="64">
        <f t="shared" si="1"/>
        <v>0</v>
      </c>
      <c r="I15" s="65">
        <f t="shared" si="1"/>
        <v>0</v>
      </c>
      <c r="J15" s="58">
        <f t="shared" si="1"/>
        <v>0</v>
      </c>
      <c r="K15" s="64">
        <f t="shared" si="1"/>
        <v>0</v>
      </c>
      <c r="L15" s="64">
        <f t="shared" si="1"/>
        <v>0</v>
      </c>
      <c r="M15" s="65">
        <f t="shared" si="1"/>
        <v>0</v>
      </c>
      <c r="N15" s="58">
        <f t="shared" si="1"/>
        <v>0</v>
      </c>
      <c r="O15" s="64">
        <f t="shared" si="1"/>
        <v>0</v>
      </c>
      <c r="P15" s="64">
        <f t="shared" si="1"/>
        <v>0</v>
      </c>
      <c r="Q15" s="65">
        <f t="shared" si="1"/>
        <v>0</v>
      </c>
      <c r="R15" s="58">
        <f>SUM(N15,J15,F15,B15)</f>
        <v>0</v>
      </c>
      <c r="S15" s="150">
        <f>SUM(S11:S14)</f>
        <v>0</v>
      </c>
      <c r="T15" s="64">
        <f>SUM(T11:T14)</f>
        <v>0</v>
      </c>
      <c r="U15" s="65">
        <f>SUM(U11:U14)</f>
        <v>0</v>
      </c>
      <c r="V15" s="255"/>
      <c r="W15" s="255"/>
      <c r="X15" s="255"/>
      <c r="Y15" s="255"/>
      <c r="Z15" s="255"/>
    </row>
    <row r="16" spans="1:28" ht="24.75" customHeight="1">
      <c r="A16" s="178"/>
      <c r="B16" s="178"/>
      <c r="C16" s="178"/>
      <c r="D16" s="178"/>
      <c r="E16" s="178"/>
      <c r="F16" s="178"/>
      <c r="G16" s="178"/>
      <c r="H16" s="178"/>
      <c r="I16" s="178"/>
      <c r="J16" s="178"/>
      <c r="K16" s="178"/>
      <c r="L16" s="178"/>
      <c r="M16" s="178"/>
      <c r="N16" s="178"/>
      <c r="O16" s="178"/>
      <c r="P16" s="178"/>
      <c r="Q16" s="178"/>
      <c r="R16" s="178"/>
      <c r="S16" s="178"/>
      <c r="T16" s="178"/>
      <c r="U16" s="178"/>
      <c r="V16" s="178"/>
      <c r="W16" s="178"/>
      <c r="X16" s="178"/>
      <c r="Y16" s="178"/>
      <c r="Z16" s="178"/>
    </row>
    <row r="17" spans="1:25" ht="24.75" customHeight="1">
      <c r="A17" s="178"/>
      <c r="B17" s="178"/>
      <c r="C17" s="178"/>
      <c r="D17" s="178"/>
      <c r="E17" s="178"/>
      <c r="F17" s="178"/>
      <c r="G17" s="178"/>
      <c r="H17" s="178"/>
      <c r="I17" s="178"/>
      <c r="J17" s="178"/>
      <c r="K17" s="178"/>
      <c r="L17" s="178"/>
      <c r="M17" s="178"/>
      <c r="N17" s="178"/>
      <c r="O17" s="178"/>
      <c r="P17" s="178"/>
      <c r="Q17" s="178"/>
      <c r="R17" s="178"/>
      <c r="S17" s="178"/>
      <c r="T17" s="178"/>
      <c r="U17" s="178"/>
      <c r="V17" s="178"/>
      <c r="W17" s="178"/>
      <c r="X17" s="178"/>
      <c r="Y17" s="178"/>
    </row>
  </sheetData>
  <sheetProtection scenarios="1"/>
  <customSheetViews>
    <customSheetView guid="{F7B13B60-EB30-11D1-AB37-006097D68CB6}" scale="75" fitToPage="1" hiddenColumns="1" showRuler="0" topLeftCell="H1">
      <selection activeCell="Y18" sqref="Y18"/>
      <pageMargins left="0.53" right="0.69" top="0.56000000000000005" bottom="0.984251969" header="0.41" footer="0.5"/>
      <pageSetup paperSize="9" scale="57" orientation="landscape" horizontalDpi="300" verticalDpi="300"/>
      <headerFooter alignWithMargins="0">
        <oddFooter>&amp;C&amp;9&amp;D   &amp;T</oddFooter>
      </headerFooter>
    </customSheetView>
    <customSheetView guid="{8D6CC890-E1B2-11D1-AFFF-0080C7F9B91E}" scale="75" fitToPage="1" showRuler="0">
      <pageMargins left="0.53" right="0.69" top="0.56000000000000005" bottom="0.984251969" header="0.41" footer="0.5"/>
      <pageSetup paperSize="9" scale="57" orientation="landscape" horizontalDpi="300" verticalDpi="300"/>
      <headerFooter alignWithMargins="0">
        <oddFooter>&amp;C&amp;9&amp;D   &amp;T</oddFooter>
      </headerFooter>
    </customSheetView>
    <customSheetView guid="{30CB6B41-EBE9-11D1-AB37-006097D68CB6}" scale="75" fitToPage="1" hiddenColumns="1" showRuler="0" topLeftCell="H1">
      <selection activeCell="Y18" sqref="Y18"/>
      <pageMargins left="0.53" right="0.69" top="0.56000000000000005" bottom="0.984251969" header="0.41" footer="0.5"/>
      <pageSetup paperSize="9" scale="57" orientation="landscape" horizontalDpi="300" verticalDpi="300"/>
      <headerFooter alignWithMargins="0">
        <oddFooter>&amp;C&amp;9&amp;D   &amp;T</oddFooter>
      </headerFooter>
    </customSheetView>
  </customSheetViews>
  <mergeCells count="8">
    <mergeCell ref="B3:D3"/>
    <mergeCell ref="B4:D4"/>
    <mergeCell ref="B5:D5"/>
    <mergeCell ref="B6:D6"/>
    <mergeCell ref="R8:T8"/>
    <mergeCell ref="B8:D8"/>
    <mergeCell ref="F8:H8"/>
    <mergeCell ref="J8:L8"/>
  </mergeCells>
  <phoneticPr fontId="0" type="noConversion"/>
  <conditionalFormatting sqref="A2:U15">
    <cfRule type="expression" dxfId="16" priority="1" stopIfTrue="1">
      <formula>CELL("Protect",A2)=1</formula>
    </cfRule>
  </conditionalFormatting>
  <pageMargins left="0.53" right="0.69" top="0.56000000000000005" bottom="0.984251969" header="0.41" footer="0.5"/>
  <pageSetup paperSize="9" scale="64" orientation="landscape" horizontalDpi="300" verticalDpi="300"/>
  <headerFooter alignWithMargins="0">
    <oddFooter>&amp;C&amp;9&amp;D   &amp;T</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4">
    <tabColor theme="6" tint="0.59999389629810485"/>
  </sheetPr>
  <dimension ref="A1:I114"/>
  <sheetViews>
    <sheetView workbookViewId="0">
      <pane ySplit="9" topLeftCell="A80" activePane="bottomLeft" state="frozen"/>
      <selection activeCell="G5" sqref="G5:J5"/>
      <selection pane="bottomLeft" sqref="A1:I1"/>
    </sheetView>
  </sheetViews>
  <sheetFormatPr defaultColWidth="11.5703125" defaultRowHeight="12.75"/>
  <cols>
    <col min="1" max="1" width="15.7109375" style="1" customWidth="1"/>
    <col min="2" max="2" width="11.85546875" style="1" customWidth="1"/>
    <col min="3" max="8" width="11.85546875" customWidth="1"/>
  </cols>
  <sheetData>
    <row r="1" spans="1:9" s="7" customFormat="1" ht="19.5" customHeight="1">
      <c r="A1" s="343" t="s">
        <v>113</v>
      </c>
      <c r="B1" s="343"/>
      <c r="C1" s="343"/>
      <c r="D1" s="343"/>
      <c r="E1" s="343"/>
      <c r="F1" s="343"/>
      <c r="G1" s="343"/>
      <c r="H1" s="343"/>
      <c r="I1" s="343"/>
    </row>
    <row r="2" spans="1:9" s="7" customFormat="1" ht="19.5" customHeight="1" thickBot="1">
      <c r="A2" s="261" t="s">
        <v>114</v>
      </c>
      <c r="B2" s="6"/>
      <c r="C2" s="11"/>
      <c r="D2" s="6"/>
      <c r="E2" s="6"/>
      <c r="F2" s="6"/>
      <c r="G2" s="6"/>
      <c r="H2" s="6"/>
      <c r="I2" s="6"/>
    </row>
    <row r="3" spans="1:9" s="7" customFormat="1" ht="18" customHeight="1" thickBot="1">
      <c r="A3" s="259" t="s">
        <v>106</v>
      </c>
      <c r="B3" s="375" t="str">
        <f>'START HERE'!F6</f>
        <v>EU</v>
      </c>
      <c r="C3" s="376"/>
      <c r="D3" s="6"/>
      <c r="E3" s="30" t="s">
        <v>38</v>
      </c>
      <c r="F3" s="372" t="s">
        <v>81</v>
      </c>
      <c r="G3" s="373"/>
      <c r="H3" s="374"/>
      <c r="I3" s="35"/>
    </row>
    <row r="4" spans="1:9" s="7" customFormat="1" ht="18" customHeight="1">
      <c r="A4" s="12" t="s">
        <v>18</v>
      </c>
      <c r="B4" s="375" t="str">
        <f>'START HERE'!F5</f>
        <v>Jack mackerel</v>
      </c>
      <c r="C4" s="376"/>
      <c r="D4" s="26"/>
      <c r="E4" s="13"/>
      <c r="F4" s="73"/>
      <c r="G4" s="161"/>
      <c r="H4" s="74"/>
      <c r="I4" s="35"/>
    </row>
    <row r="5" spans="1:9" s="7" customFormat="1" ht="18" customHeight="1">
      <c r="A5" s="12" t="s">
        <v>13</v>
      </c>
      <c r="B5" s="118">
        <f>'START HERE'!$K$3</f>
        <v>2010</v>
      </c>
      <c r="C5" s="258"/>
      <c r="D5" s="6"/>
      <c r="E5" s="34" t="s">
        <v>39</v>
      </c>
      <c r="F5" s="377" t="s">
        <v>104</v>
      </c>
      <c r="G5" s="378"/>
      <c r="H5" s="379"/>
      <c r="I5" s="35"/>
    </row>
    <row r="6" spans="1:9" s="7" customFormat="1" ht="18" customHeight="1" thickBot="1">
      <c r="A6" s="12"/>
      <c r="B6" s="71"/>
      <c r="C6" s="72"/>
      <c r="D6" s="6"/>
      <c r="E6" s="34" t="s">
        <v>14</v>
      </c>
      <c r="F6" s="380" t="str">
        <f>'START HERE'!$F8</f>
        <v>13/6/2022</v>
      </c>
      <c r="G6" s="381"/>
      <c r="H6" s="382"/>
      <c r="I6" s="35"/>
    </row>
    <row r="7" spans="1:9" s="7" customFormat="1" ht="9.75" customHeight="1">
      <c r="A7" s="6"/>
      <c r="B7" s="6"/>
      <c r="C7" s="6"/>
      <c r="D7" s="6"/>
      <c r="E7" s="6"/>
      <c r="F7" s="6"/>
      <c r="G7" s="6"/>
      <c r="H7" s="6"/>
      <c r="I7" s="6"/>
    </row>
    <row r="8" spans="1:9" ht="18" customHeight="1">
      <c r="A8" s="27" t="str">
        <f>'START HERE'!$F$13</f>
        <v>fork length</v>
      </c>
      <c r="B8" s="27" t="s">
        <v>51</v>
      </c>
      <c r="C8" s="27" t="s">
        <v>30</v>
      </c>
      <c r="D8" s="27" t="s">
        <v>31</v>
      </c>
      <c r="E8" s="27" t="s">
        <v>32</v>
      </c>
      <c r="F8" s="27" t="s">
        <v>41</v>
      </c>
      <c r="G8" s="4"/>
      <c r="H8" s="177"/>
      <c r="I8" s="177"/>
    </row>
    <row r="9" spans="1:9" ht="18">
      <c r="A9" s="28" t="s">
        <v>42</v>
      </c>
      <c r="B9" s="181">
        <f>'START HERE'!$K$3</f>
        <v>2010</v>
      </c>
      <c r="C9" s="181">
        <f>'START HERE'!$K$3</f>
        <v>2010</v>
      </c>
      <c r="D9" s="181">
        <f>'START HERE'!$K$3</f>
        <v>2010</v>
      </c>
      <c r="E9" s="181">
        <f>'START HERE'!$K$3</f>
        <v>2010</v>
      </c>
      <c r="F9" s="180">
        <f>'START HERE'!$K$3</f>
        <v>2010</v>
      </c>
      <c r="G9" s="4"/>
      <c r="H9" s="177"/>
      <c r="I9" s="177"/>
    </row>
    <row r="10" spans="1:9">
      <c r="A10" s="154">
        <v>1</v>
      </c>
      <c r="B10" s="305"/>
      <c r="C10" s="306"/>
      <c r="D10" s="306"/>
      <c r="E10" s="306"/>
      <c r="F10" s="36">
        <f t="shared" ref="F10:F15" si="0">SUM(B10:E10)</f>
        <v>0</v>
      </c>
      <c r="G10" s="4"/>
      <c r="H10" s="177"/>
      <c r="I10" s="177"/>
    </row>
    <row r="11" spans="1:9">
      <c r="A11" s="154">
        <v>2</v>
      </c>
      <c r="B11" s="305"/>
      <c r="C11" s="306"/>
      <c r="D11" s="306"/>
      <c r="E11" s="306"/>
      <c r="F11" s="36">
        <f t="shared" si="0"/>
        <v>0</v>
      </c>
      <c r="G11" s="4"/>
      <c r="H11" s="177"/>
      <c r="I11" s="177"/>
    </row>
    <row r="12" spans="1:9">
      <c r="A12" s="154">
        <v>3</v>
      </c>
      <c r="B12" s="305"/>
      <c r="C12" s="306"/>
      <c r="D12" s="306"/>
      <c r="E12" s="306"/>
      <c r="F12" s="36">
        <f t="shared" si="0"/>
        <v>0</v>
      </c>
      <c r="G12" s="4"/>
      <c r="H12" s="177"/>
      <c r="I12" s="177"/>
    </row>
    <row r="13" spans="1:9">
      <c r="A13" s="154">
        <v>4</v>
      </c>
      <c r="B13" s="305"/>
      <c r="C13" s="306"/>
      <c r="D13" s="306"/>
      <c r="E13" s="306"/>
      <c r="F13" s="36">
        <f t="shared" si="0"/>
        <v>0</v>
      </c>
      <c r="G13" s="4"/>
      <c r="H13" s="177"/>
      <c r="I13" s="177"/>
    </row>
    <row r="14" spans="1:9">
      <c r="A14" s="154">
        <v>5</v>
      </c>
      <c r="B14" s="305"/>
      <c r="C14" s="306"/>
      <c r="D14" s="306"/>
      <c r="E14" s="306"/>
      <c r="F14" s="36">
        <f t="shared" si="0"/>
        <v>0</v>
      </c>
      <c r="G14" s="4"/>
      <c r="H14" s="177"/>
      <c r="I14" s="177"/>
    </row>
    <row r="15" spans="1:9">
      <c r="A15" s="154">
        <v>6</v>
      </c>
      <c r="B15" s="305"/>
      <c r="C15" s="306"/>
      <c r="D15" s="306"/>
      <c r="E15" s="306"/>
      <c r="F15" s="36">
        <f t="shared" si="0"/>
        <v>0</v>
      </c>
      <c r="G15" s="4"/>
      <c r="H15" s="177"/>
      <c r="I15" s="177"/>
    </row>
    <row r="16" spans="1:9">
      <c r="A16" s="154">
        <v>7</v>
      </c>
      <c r="B16" s="305"/>
      <c r="C16" s="306"/>
      <c r="D16" s="306"/>
      <c r="E16" s="306"/>
      <c r="F16" s="36">
        <f t="shared" ref="F16:F47" si="1">SUM(B16:E16)</f>
        <v>0</v>
      </c>
      <c r="G16" s="4"/>
      <c r="H16" s="177"/>
      <c r="I16" s="177"/>
    </row>
    <row r="17" spans="1:9">
      <c r="A17" s="154">
        <v>8</v>
      </c>
      <c r="B17" s="305"/>
      <c r="C17" s="306"/>
      <c r="D17" s="306"/>
      <c r="E17" s="306"/>
      <c r="F17" s="36">
        <f t="shared" si="1"/>
        <v>0</v>
      </c>
      <c r="G17" s="4"/>
      <c r="H17" s="177"/>
      <c r="I17" s="177"/>
    </row>
    <row r="18" spans="1:9">
      <c r="A18" s="154">
        <v>9</v>
      </c>
      <c r="B18" s="305"/>
      <c r="C18" s="306"/>
      <c r="D18" s="306"/>
      <c r="E18" s="306"/>
      <c r="F18" s="36">
        <f t="shared" si="1"/>
        <v>0</v>
      </c>
      <c r="G18" s="4"/>
      <c r="H18" s="177"/>
      <c r="I18" s="177"/>
    </row>
    <row r="19" spans="1:9">
      <c r="A19" s="154">
        <v>10</v>
      </c>
      <c r="B19" s="305"/>
      <c r="C19" s="306"/>
      <c r="D19" s="306"/>
      <c r="E19" s="306"/>
      <c r="F19" s="36">
        <f t="shared" si="1"/>
        <v>0</v>
      </c>
      <c r="G19" s="4"/>
      <c r="H19" s="177"/>
      <c r="I19" s="177"/>
    </row>
    <row r="20" spans="1:9">
      <c r="A20" s="154">
        <v>11</v>
      </c>
      <c r="B20" s="305"/>
      <c r="C20" s="306"/>
      <c r="D20" s="306"/>
      <c r="E20" s="306"/>
      <c r="F20" s="36">
        <f t="shared" si="1"/>
        <v>0</v>
      </c>
      <c r="G20" s="4"/>
      <c r="H20" s="177"/>
      <c r="I20" s="177"/>
    </row>
    <row r="21" spans="1:9">
      <c r="A21" s="154">
        <v>12</v>
      </c>
      <c r="B21" s="305"/>
      <c r="C21" s="306"/>
      <c r="D21" s="306"/>
      <c r="E21" s="306"/>
      <c r="F21" s="36">
        <f t="shared" si="1"/>
        <v>0</v>
      </c>
      <c r="G21" s="4"/>
      <c r="H21" s="177"/>
      <c r="I21" s="177"/>
    </row>
    <row r="22" spans="1:9">
      <c r="A22" s="154">
        <v>13</v>
      </c>
      <c r="B22" s="305"/>
      <c r="C22" s="306"/>
      <c r="D22" s="306"/>
      <c r="E22" s="306"/>
      <c r="F22" s="36">
        <f t="shared" si="1"/>
        <v>0</v>
      </c>
      <c r="G22" s="4"/>
      <c r="H22" s="177"/>
      <c r="I22" s="177"/>
    </row>
    <row r="23" spans="1:9">
      <c r="A23" s="154">
        <v>14</v>
      </c>
      <c r="B23" s="305"/>
      <c r="C23" s="306"/>
      <c r="D23" s="306"/>
      <c r="E23" s="306"/>
      <c r="F23" s="36">
        <f t="shared" si="1"/>
        <v>0</v>
      </c>
      <c r="G23" s="4"/>
      <c r="H23" s="177"/>
      <c r="I23" s="177"/>
    </row>
    <row r="24" spans="1:9">
      <c r="A24" s="154">
        <v>15</v>
      </c>
      <c r="B24" s="305"/>
      <c r="C24" s="306"/>
      <c r="D24" s="306"/>
      <c r="E24" s="306"/>
      <c r="F24" s="36">
        <f t="shared" si="1"/>
        <v>0</v>
      </c>
      <c r="G24" s="29"/>
      <c r="H24" s="177"/>
      <c r="I24" s="177"/>
    </row>
    <row r="25" spans="1:9">
      <c r="A25" s="154">
        <v>16</v>
      </c>
      <c r="B25" s="305"/>
      <c r="C25" s="306"/>
      <c r="D25" s="306"/>
      <c r="E25" s="306"/>
      <c r="F25" s="36">
        <f t="shared" si="1"/>
        <v>0</v>
      </c>
      <c r="G25" s="4"/>
      <c r="H25" s="177"/>
      <c r="I25" s="177"/>
    </row>
    <row r="26" spans="1:9">
      <c r="A26" s="154">
        <v>17</v>
      </c>
      <c r="B26" s="305"/>
      <c r="C26" s="306"/>
      <c r="D26" s="306"/>
      <c r="E26" s="306"/>
      <c r="F26" s="36">
        <f t="shared" si="1"/>
        <v>0</v>
      </c>
      <c r="G26" s="4"/>
      <c r="H26" s="177"/>
      <c r="I26" s="177"/>
    </row>
    <row r="27" spans="1:9">
      <c r="A27" s="154">
        <v>18</v>
      </c>
      <c r="B27" s="305"/>
      <c r="C27" s="306"/>
      <c r="D27" s="306"/>
      <c r="E27" s="306"/>
      <c r="F27" s="36">
        <f t="shared" si="1"/>
        <v>0</v>
      </c>
      <c r="G27" s="4"/>
      <c r="H27" s="177"/>
      <c r="I27" s="177"/>
    </row>
    <row r="28" spans="1:9">
      <c r="A28" s="154">
        <v>19</v>
      </c>
      <c r="B28" s="305"/>
      <c r="C28" s="306"/>
      <c r="D28" s="306"/>
      <c r="E28" s="306"/>
      <c r="F28" s="36">
        <f t="shared" si="1"/>
        <v>0</v>
      </c>
      <c r="G28" s="4"/>
      <c r="H28" s="177"/>
      <c r="I28" s="177"/>
    </row>
    <row r="29" spans="1:9">
      <c r="A29" s="154">
        <v>20</v>
      </c>
      <c r="B29" s="305"/>
      <c r="C29" s="306"/>
      <c r="D29" s="306"/>
      <c r="E29" s="306"/>
      <c r="F29" s="36">
        <f t="shared" si="1"/>
        <v>0</v>
      </c>
      <c r="G29" s="4"/>
      <c r="H29" s="177"/>
      <c r="I29" s="177"/>
    </row>
    <row r="30" spans="1:9">
      <c r="A30" s="154">
        <v>21</v>
      </c>
      <c r="B30" s="305"/>
      <c r="C30" s="306"/>
      <c r="D30" s="306"/>
      <c r="E30" s="306"/>
      <c r="F30" s="36">
        <f t="shared" si="1"/>
        <v>0</v>
      </c>
      <c r="G30" s="4"/>
      <c r="H30" s="177"/>
      <c r="I30" s="177"/>
    </row>
    <row r="31" spans="1:9">
      <c r="A31" s="154">
        <v>22</v>
      </c>
      <c r="B31" s="305"/>
      <c r="C31" s="306"/>
      <c r="D31" s="306"/>
      <c r="E31" s="306"/>
      <c r="F31" s="36">
        <f t="shared" si="1"/>
        <v>0</v>
      </c>
      <c r="G31" s="4"/>
      <c r="H31" s="177"/>
      <c r="I31" s="177"/>
    </row>
    <row r="32" spans="1:9">
      <c r="A32" s="154">
        <v>23</v>
      </c>
      <c r="B32" s="305"/>
      <c r="C32" s="306"/>
      <c r="D32" s="306"/>
      <c r="E32" s="306"/>
      <c r="F32" s="36">
        <f t="shared" si="1"/>
        <v>0</v>
      </c>
      <c r="G32" s="4"/>
      <c r="H32" s="177"/>
      <c r="I32" s="177"/>
    </row>
    <row r="33" spans="1:9">
      <c r="A33" s="154">
        <v>24</v>
      </c>
      <c r="B33" s="305"/>
      <c r="C33" s="306"/>
      <c r="D33" s="306"/>
      <c r="E33" s="306"/>
      <c r="F33" s="36">
        <f t="shared" si="1"/>
        <v>0</v>
      </c>
      <c r="G33" s="4"/>
      <c r="H33" s="177"/>
      <c r="I33" s="177"/>
    </row>
    <row r="34" spans="1:9">
      <c r="A34" s="154">
        <v>25</v>
      </c>
      <c r="B34" s="305"/>
      <c r="C34" s="306"/>
      <c r="D34" s="306"/>
      <c r="E34" s="306"/>
      <c r="F34" s="36">
        <f t="shared" si="1"/>
        <v>0</v>
      </c>
      <c r="G34" s="4"/>
      <c r="H34" s="177"/>
      <c r="I34" s="177"/>
    </row>
    <row r="35" spans="1:9">
      <c r="A35" s="154">
        <v>26</v>
      </c>
      <c r="B35" s="305"/>
      <c r="C35" s="306"/>
      <c r="D35" s="306"/>
      <c r="E35" s="306"/>
      <c r="F35" s="36">
        <f t="shared" si="1"/>
        <v>0</v>
      </c>
      <c r="G35" s="4"/>
      <c r="H35" s="177"/>
      <c r="I35" s="177"/>
    </row>
    <row r="36" spans="1:9">
      <c r="A36" s="154">
        <v>27</v>
      </c>
      <c r="B36" s="305"/>
      <c r="C36" s="306"/>
      <c r="D36" s="306"/>
      <c r="E36" s="306"/>
      <c r="F36" s="36">
        <f t="shared" si="1"/>
        <v>0</v>
      </c>
      <c r="G36" s="4"/>
      <c r="H36" s="177"/>
      <c r="I36" s="177"/>
    </row>
    <row r="37" spans="1:9">
      <c r="A37" s="154">
        <v>28</v>
      </c>
      <c r="B37" s="305"/>
      <c r="C37" s="306"/>
      <c r="D37" s="306"/>
      <c r="E37" s="306"/>
      <c r="F37" s="36">
        <f t="shared" si="1"/>
        <v>0</v>
      </c>
      <c r="G37" s="4"/>
      <c r="H37" s="177"/>
      <c r="I37" s="177"/>
    </row>
    <row r="38" spans="1:9">
      <c r="A38" s="154">
        <v>29</v>
      </c>
      <c r="B38" s="305"/>
      <c r="C38" s="306"/>
      <c r="D38" s="306"/>
      <c r="E38" s="306"/>
      <c r="F38" s="36">
        <f t="shared" si="1"/>
        <v>0</v>
      </c>
      <c r="G38" s="4"/>
      <c r="H38" s="177"/>
      <c r="I38" s="177"/>
    </row>
    <row r="39" spans="1:9">
      <c r="A39" s="154">
        <v>30</v>
      </c>
      <c r="B39" s="305"/>
      <c r="C39" s="306"/>
      <c r="D39" s="306"/>
      <c r="E39" s="306"/>
      <c r="F39" s="36">
        <f t="shared" si="1"/>
        <v>0</v>
      </c>
      <c r="G39" s="4"/>
      <c r="H39" s="177"/>
      <c r="I39" s="177"/>
    </row>
    <row r="40" spans="1:9">
      <c r="A40" s="154">
        <v>31</v>
      </c>
      <c r="B40" s="305"/>
      <c r="C40" s="306"/>
      <c r="D40" s="306"/>
      <c r="E40" s="306"/>
      <c r="F40" s="36">
        <f t="shared" si="1"/>
        <v>0</v>
      </c>
      <c r="G40" s="4"/>
      <c r="H40" s="177"/>
      <c r="I40" s="177"/>
    </row>
    <row r="41" spans="1:9">
      <c r="A41" s="154">
        <v>32</v>
      </c>
      <c r="B41" s="305"/>
      <c r="C41" s="306"/>
      <c r="D41" s="306"/>
      <c r="E41" s="306"/>
      <c r="F41" s="36">
        <f t="shared" si="1"/>
        <v>0</v>
      </c>
      <c r="G41" s="4"/>
      <c r="H41" s="177"/>
      <c r="I41" s="177"/>
    </row>
    <row r="42" spans="1:9">
      <c r="A42" s="154">
        <v>33</v>
      </c>
      <c r="B42" s="305"/>
      <c r="C42" s="306"/>
      <c r="D42" s="306"/>
      <c r="E42" s="306"/>
      <c r="F42" s="36">
        <f t="shared" si="1"/>
        <v>0</v>
      </c>
      <c r="G42" s="4"/>
      <c r="H42" s="177"/>
      <c r="I42" s="177"/>
    </row>
    <row r="43" spans="1:9">
      <c r="A43" s="154">
        <v>34</v>
      </c>
      <c r="B43" s="305"/>
      <c r="C43" s="306"/>
      <c r="D43" s="306"/>
      <c r="E43" s="306"/>
      <c r="F43" s="36">
        <f t="shared" si="1"/>
        <v>0</v>
      </c>
      <c r="G43" s="4"/>
      <c r="H43" s="177"/>
      <c r="I43" s="177"/>
    </row>
    <row r="44" spans="1:9">
      <c r="A44" s="154">
        <v>35</v>
      </c>
      <c r="B44" s="305"/>
      <c r="C44" s="306"/>
      <c r="D44" s="306"/>
      <c r="E44" s="306"/>
      <c r="F44" s="36">
        <f t="shared" si="1"/>
        <v>0</v>
      </c>
      <c r="G44" s="4"/>
      <c r="H44" s="177"/>
      <c r="I44" s="177"/>
    </row>
    <row r="45" spans="1:9">
      <c r="A45" s="154">
        <v>36</v>
      </c>
      <c r="B45" s="305"/>
      <c r="C45" s="306"/>
      <c r="D45" s="306"/>
      <c r="E45" s="306"/>
      <c r="F45" s="36">
        <f t="shared" si="1"/>
        <v>0</v>
      </c>
      <c r="G45" s="4"/>
      <c r="H45" s="177"/>
      <c r="I45" s="177"/>
    </row>
    <row r="46" spans="1:9">
      <c r="A46" s="154">
        <v>37</v>
      </c>
      <c r="B46" s="305"/>
      <c r="C46" s="306"/>
      <c r="D46" s="306"/>
      <c r="E46" s="306"/>
      <c r="F46" s="36">
        <f t="shared" si="1"/>
        <v>0</v>
      </c>
      <c r="G46" s="4"/>
      <c r="H46" s="177"/>
      <c r="I46" s="177"/>
    </row>
    <row r="47" spans="1:9">
      <c r="A47" s="154">
        <v>38</v>
      </c>
      <c r="B47" s="305"/>
      <c r="C47" s="306"/>
      <c r="D47" s="306"/>
      <c r="E47" s="306"/>
      <c r="F47" s="36">
        <f t="shared" si="1"/>
        <v>0</v>
      </c>
      <c r="G47" s="4"/>
      <c r="H47" s="177"/>
      <c r="I47" s="177"/>
    </row>
    <row r="48" spans="1:9">
      <c r="A48" s="154">
        <v>39</v>
      </c>
      <c r="B48" s="305"/>
      <c r="C48" s="306"/>
      <c r="D48" s="306"/>
      <c r="E48" s="306"/>
      <c r="F48" s="36">
        <f t="shared" ref="F48:F79" si="2">SUM(B48:E48)</f>
        <v>0</v>
      </c>
      <c r="G48" s="4"/>
      <c r="H48" s="177"/>
      <c r="I48" s="177"/>
    </row>
    <row r="49" spans="1:9">
      <c r="A49" s="154">
        <v>40</v>
      </c>
      <c r="B49" s="305"/>
      <c r="C49" s="306"/>
      <c r="D49" s="306"/>
      <c r="E49" s="306"/>
      <c r="F49" s="36">
        <f t="shared" si="2"/>
        <v>0</v>
      </c>
      <c r="G49" s="4"/>
      <c r="H49" s="177"/>
      <c r="I49" s="177"/>
    </row>
    <row r="50" spans="1:9">
      <c r="A50" s="154">
        <v>41</v>
      </c>
      <c r="B50" s="305"/>
      <c r="C50" s="306"/>
      <c r="D50" s="306"/>
      <c r="E50" s="306"/>
      <c r="F50" s="36">
        <f t="shared" si="2"/>
        <v>0</v>
      </c>
      <c r="G50" s="4"/>
      <c r="H50" s="177"/>
      <c r="I50" s="177"/>
    </row>
    <row r="51" spans="1:9">
      <c r="A51" s="154">
        <v>42</v>
      </c>
      <c r="B51" s="305"/>
      <c r="C51" s="306"/>
      <c r="D51" s="306"/>
      <c r="E51" s="306"/>
      <c r="F51" s="36">
        <f t="shared" si="2"/>
        <v>0</v>
      </c>
      <c r="G51" s="4"/>
      <c r="H51" s="177"/>
      <c r="I51" s="177"/>
    </row>
    <row r="52" spans="1:9">
      <c r="A52" s="154">
        <v>43</v>
      </c>
      <c r="B52" s="305"/>
      <c r="C52" s="306"/>
      <c r="D52" s="306"/>
      <c r="E52" s="306"/>
      <c r="F52" s="36">
        <f t="shared" si="2"/>
        <v>0</v>
      </c>
      <c r="G52" s="4"/>
      <c r="H52" s="177"/>
      <c r="I52" s="177"/>
    </row>
    <row r="53" spans="1:9">
      <c r="A53" s="154">
        <v>44</v>
      </c>
      <c r="B53" s="305"/>
      <c r="C53" s="306"/>
      <c r="D53" s="306"/>
      <c r="E53" s="306"/>
      <c r="F53" s="36">
        <f t="shared" si="2"/>
        <v>0</v>
      </c>
      <c r="G53" s="4"/>
      <c r="H53" s="177"/>
      <c r="I53" s="177"/>
    </row>
    <row r="54" spans="1:9">
      <c r="A54" s="154">
        <v>45</v>
      </c>
      <c r="B54" s="305"/>
      <c r="C54" s="306"/>
      <c r="D54" s="306"/>
      <c r="E54" s="306"/>
      <c r="F54" s="36">
        <f t="shared" si="2"/>
        <v>0</v>
      </c>
      <c r="G54" s="4"/>
      <c r="H54" s="177"/>
      <c r="I54" s="177"/>
    </row>
    <row r="55" spans="1:9">
      <c r="A55" s="154">
        <v>46</v>
      </c>
      <c r="B55" s="305"/>
      <c r="C55" s="306"/>
      <c r="D55" s="306"/>
      <c r="E55" s="306"/>
      <c r="F55" s="36">
        <f t="shared" si="2"/>
        <v>0</v>
      </c>
      <c r="G55" s="4"/>
      <c r="H55" s="177"/>
      <c r="I55" s="177"/>
    </row>
    <row r="56" spans="1:9">
      <c r="A56" s="154">
        <v>47</v>
      </c>
      <c r="B56" s="305"/>
      <c r="C56" s="306"/>
      <c r="D56" s="306"/>
      <c r="E56" s="306"/>
      <c r="F56" s="36">
        <f t="shared" si="2"/>
        <v>0</v>
      </c>
      <c r="G56" s="4"/>
      <c r="H56" s="177"/>
      <c r="I56" s="177"/>
    </row>
    <row r="57" spans="1:9">
      <c r="A57" s="154">
        <v>48</v>
      </c>
      <c r="B57" s="305"/>
      <c r="C57" s="306"/>
      <c r="D57" s="306"/>
      <c r="E57" s="306"/>
      <c r="F57" s="36">
        <f t="shared" si="2"/>
        <v>0</v>
      </c>
      <c r="G57" s="4"/>
      <c r="H57" s="177"/>
      <c r="I57" s="177"/>
    </row>
    <row r="58" spans="1:9">
      <c r="A58" s="154">
        <v>49</v>
      </c>
      <c r="B58" s="305"/>
      <c r="C58" s="306"/>
      <c r="D58" s="306"/>
      <c r="E58" s="306"/>
      <c r="F58" s="36">
        <f t="shared" si="2"/>
        <v>0</v>
      </c>
      <c r="G58" s="4"/>
      <c r="H58" s="177"/>
      <c r="I58" s="177"/>
    </row>
    <row r="59" spans="1:9">
      <c r="A59" s="154">
        <v>50</v>
      </c>
      <c r="B59" s="305"/>
      <c r="C59" s="306"/>
      <c r="D59" s="306"/>
      <c r="E59" s="306"/>
      <c r="F59" s="36">
        <f t="shared" si="2"/>
        <v>0</v>
      </c>
      <c r="G59" s="4"/>
      <c r="H59" s="177"/>
      <c r="I59" s="177"/>
    </row>
    <row r="60" spans="1:9">
      <c r="A60" s="154">
        <v>51</v>
      </c>
      <c r="B60" s="305"/>
      <c r="C60" s="306"/>
      <c r="D60" s="306"/>
      <c r="E60" s="306"/>
      <c r="F60" s="36">
        <f t="shared" si="2"/>
        <v>0</v>
      </c>
      <c r="G60" s="4"/>
      <c r="H60" s="177"/>
      <c r="I60" s="177"/>
    </row>
    <row r="61" spans="1:9">
      <c r="A61" s="154">
        <v>52</v>
      </c>
      <c r="B61" s="305"/>
      <c r="C61" s="306"/>
      <c r="D61" s="306"/>
      <c r="E61" s="306"/>
      <c r="F61" s="36">
        <f t="shared" si="2"/>
        <v>0</v>
      </c>
      <c r="G61" s="4"/>
      <c r="H61" s="177"/>
      <c r="I61" s="177"/>
    </row>
    <row r="62" spans="1:9">
      <c r="A62" s="154">
        <v>53</v>
      </c>
      <c r="B62" s="305"/>
      <c r="C62" s="306"/>
      <c r="D62" s="306"/>
      <c r="E62" s="306"/>
      <c r="F62" s="36">
        <f t="shared" si="2"/>
        <v>0</v>
      </c>
      <c r="G62" s="4"/>
      <c r="H62" s="177"/>
      <c r="I62" s="177"/>
    </row>
    <row r="63" spans="1:9">
      <c r="A63" s="154">
        <v>54</v>
      </c>
      <c r="B63" s="305"/>
      <c r="C63" s="306"/>
      <c r="D63" s="306"/>
      <c r="E63" s="306"/>
      <c r="F63" s="36">
        <f t="shared" si="2"/>
        <v>0</v>
      </c>
      <c r="G63" s="4"/>
      <c r="H63" s="177"/>
      <c r="I63" s="177"/>
    </row>
    <row r="64" spans="1:9">
      <c r="A64" s="154">
        <v>55</v>
      </c>
      <c r="B64" s="305"/>
      <c r="C64" s="306"/>
      <c r="D64" s="306"/>
      <c r="E64" s="306"/>
      <c r="F64" s="36">
        <f t="shared" si="2"/>
        <v>0</v>
      </c>
      <c r="G64" s="4"/>
      <c r="H64" s="177"/>
      <c r="I64" s="177"/>
    </row>
    <row r="65" spans="1:9">
      <c r="A65" s="154">
        <v>56</v>
      </c>
      <c r="B65" s="305"/>
      <c r="C65" s="306"/>
      <c r="D65" s="306"/>
      <c r="E65" s="306"/>
      <c r="F65" s="36">
        <f t="shared" si="2"/>
        <v>0</v>
      </c>
      <c r="G65" s="4"/>
      <c r="H65" s="177"/>
      <c r="I65" s="177"/>
    </row>
    <row r="66" spans="1:9">
      <c r="A66" s="154">
        <v>57</v>
      </c>
      <c r="B66" s="305"/>
      <c r="C66" s="306"/>
      <c r="D66" s="306"/>
      <c r="E66" s="306"/>
      <c r="F66" s="36">
        <f t="shared" si="2"/>
        <v>0</v>
      </c>
      <c r="G66" s="4"/>
      <c r="H66" s="177"/>
      <c r="I66" s="177"/>
    </row>
    <row r="67" spans="1:9">
      <c r="A67" s="154">
        <v>58</v>
      </c>
      <c r="B67" s="305"/>
      <c r="C67" s="306"/>
      <c r="D67" s="306"/>
      <c r="E67" s="306"/>
      <c r="F67" s="36">
        <f t="shared" si="2"/>
        <v>0</v>
      </c>
      <c r="G67" s="4"/>
      <c r="H67" s="177"/>
      <c r="I67" s="177"/>
    </row>
    <row r="68" spans="1:9">
      <c r="A68" s="154">
        <v>59</v>
      </c>
      <c r="B68" s="305"/>
      <c r="C68" s="306"/>
      <c r="D68" s="306"/>
      <c r="E68" s="306"/>
      <c r="F68" s="36">
        <f t="shared" si="2"/>
        <v>0</v>
      </c>
      <c r="G68" s="4"/>
      <c r="H68" s="177"/>
      <c r="I68" s="177"/>
    </row>
    <row r="69" spans="1:9">
      <c r="A69" s="154">
        <v>60</v>
      </c>
      <c r="B69" s="305"/>
      <c r="C69" s="306"/>
      <c r="D69" s="306"/>
      <c r="E69" s="306"/>
      <c r="F69" s="36">
        <f t="shared" si="2"/>
        <v>0</v>
      </c>
      <c r="G69" s="4"/>
      <c r="H69" s="177"/>
      <c r="I69" s="177"/>
    </row>
    <row r="70" spans="1:9">
      <c r="A70" s="154">
        <v>61</v>
      </c>
      <c r="B70" s="305"/>
      <c r="C70" s="306"/>
      <c r="D70" s="306"/>
      <c r="E70" s="306"/>
      <c r="F70" s="36">
        <f t="shared" si="2"/>
        <v>0</v>
      </c>
      <c r="G70" s="4"/>
      <c r="H70" s="177"/>
      <c r="I70" s="177"/>
    </row>
    <row r="71" spans="1:9">
      <c r="A71" s="154">
        <v>62</v>
      </c>
      <c r="B71" s="305"/>
      <c r="C71" s="306"/>
      <c r="D71" s="306"/>
      <c r="E71" s="306"/>
      <c r="F71" s="36">
        <f t="shared" si="2"/>
        <v>0</v>
      </c>
      <c r="G71" s="4"/>
      <c r="H71" s="177"/>
      <c r="I71" s="177"/>
    </row>
    <row r="72" spans="1:9">
      <c r="A72" s="154">
        <v>63</v>
      </c>
      <c r="B72" s="305"/>
      <c r="C72" s="306"/>
      <c r="D72" s="306"/>
      <c r="E72" s="306"/>
      <c r="F72" s="36">
        <f t="shared" si="2"/>
        <v>0</v>
      </c>
      <c r="G72" s="4"/>
      <c r="H72" s="177"/>
      <c r="I72" s="177"/>
    </row>
    <row r="73" spans="1:9">
      <c r="A73" s="154">
        <v>64</v>
      </c>
      <c r="B73" s="305"/>
      <c r="C73" s="306"/>
      <c r="D73" s="306"/>
      <c r="E73" s="306"/>
      <c r="F73" s="36">
        <f t="shared" si="2"/>
        <v>0</v>
      </c>
      <c r="G73" s="4"/>
      <c r="H73" s="177"/>
      <c r="I73" s="177"/>
    </row>
    <row r="74" spans="1:9">
      <c r="A74" s="154">
        <v>65</v>
      </c>
      <c r="B74" s="305"/>
      <c r="C74" s="306"/>
      <c r="D74" s="306"/>
      <c r="E74" s="306"/>
      <c r="F74" s="36">
        <f t="shared" si="2"/>
        <v>0</v>
      </c>
      <c r="G74" s="4"/>
      <c r="H74" s="177"/>
      <c r="I74" s="177"/>
    </row>
    <row r="75" spans="1:9">
      <c r="A75" s="154">
        <v>66</v>
      </c>
      <c r="B75" s="305"/>
      <c r="C75" s="306"/>
      <c r="D75" s="306"/>
      <c r="E75" s="306"/>
      <c r="F75" s="36">
        <f t="shared" si="2"/>
        <v>0</v>
      </c>
      <c r="G75" s="4"/>
      <c r="H75" s="177"/>
      <c r="I75" s="177"/>
    </row>
    <row r="76" spans="1:9">
      <c r="A76" s="154">
        <v>67</v>
      </c>
      <c r="B76" s="305"/>
      <c r="C76" s="306"/>
      <c r="D76" s="306"/>
      <c r="E76" s="306"/>
      <c r="F76" s="36">
        <f t="shared" si="2"/>
        <v>0</v>
      </c>
      <c r="G76" s="4"/>
      <c r="H76" s="177"/>
      <c r="I76" s="177"/>
    </row>
    <row r="77" spans="1:9">
      <c r="A77" s="154">
        <v>68</v>
      </c>
      <c r="B77" s="305"/>
      <c r="C77" s="306"/>
      <c r="D77" s="306"/>
      <c r="E77" s="306"/>
      <c r="F77" s="36">
        <f t="shared" si="2"/>
        <v>0</v>
      </c>
      <c r="G77" s="4"/>
      <c r="H77" s="177"/>
      <c r="I77" s="177"/>
    </row>
    <row r="78" spans="1:9">
      <c r="A78" s="154">
        <v>69</v>
      </c>
      <c r="B78" s="305"/>
      <c r="C78" s="306"/>
      <c r="D78" s="306"/>
      <c r="E78" s="306"/>
      <c r="F78" s="36">
        <f t="shared" si="2"/>
        <v>0</v>
      </c>
      <c r="G78" s="4"/>
      <c r="H78" s="177"/>
      <c r="I78" s="177"/>
    </row>
    <row r="79" spans="1:9">
      <c r="A79" s="154">
        <v>70</v>
      </c>
      <c r="B79" s="305"/>
      <c r="C79" s="306"/>
      <c r="D79" s="306"/>
      <c r="E79" s="306"/>
      <c r="F79" s="36">
        <f t="shared" si="2"/>
        <v>0</v>
      </c>
      <c r="G79" s="4"/>
      <c r="H79" s="177"/>
      <c r="I79" s="177"/>
    </row>
    <row r="80" spans="1:9">
      <c r="A80" s="154">
        <v>71</v>
      </c>
      <c r="B80" s="305"/>
      <c r="C80" s="306"/>
      <c r="D80" s="306"/>
      <c r="E80" s="306"/>
      <c r="F80" s="36">
        <f t="shared" ref="F80:F109" si="3">SUM(B80:E80)</f>
        <v>0</v>
      </c>
      <c r="G80" s="4"/>
      <c r="H80" s="177"/>
      <c r="I80" s="177"/>
    </row>
    <row r="81" spans="1:9">
      <c r="A81" s="154">
        <v>72</v>
      </c>
      <c r="B81" s="305"/>
      <c r="C81" s="306"/>
      <c r="D81" s="306"/>
      <c r="E81" s="306"/>
      <c r="F81" s="36">
        <f t="shared" si="3"/>
        <v>0</v>
      </c>
      <c r="G81" s="4"/>
      <c r="H81" s="177"/>
      <c r="I81" s="177"/>
    </row>
    <row r="82" spans="1:9">
      <c r="A82" s="154">
        <v>73</v>
      </c>
      <c r="B82" s="305"/>
      <c r="C82" s="306"/>
      <c r="D82" s="306"/>
      <c r="E82" s="306"/>
      <c r="F82" s="36">
        <f t="shared" si="3"/>
        <v>0</v>
      </c>
      <c r="G82" s="4"/>
      <c r="H82" s="177"/>
      <c r="I82" s="177"/>
    </row>
    <row r="83" spans="1:9">
      <c r="A83" s="154">
        <v>74</v>
      </c>
      <c r="B83" s="305"/>
      <c r="C83" s="306"/>
      <c r="D83" s="306"/>
      <c r="E83" s="306"/>
      <c r="F83" s="36">
        <f t="shared" si="3"/>
        <v>0</v>
      </c>
      <c r="G83" s="4"/>
      <c r="H83" s="177"/>
      <c r="I83" s="177"/>
    </row>
    <row r="84" spans="1:9">
      <c r="A84" s="154">
        <v>75</v>
      </c>
      <c r="B84" s="305"/>
      <c r="C84" s="306"/>
      <c r="D84" s="306"/>
      <c r="E84" s="306"/>
      <c r="F84" s="36">
        <f t="shared" si="3"/>
        <v>0</v>
      </c>
      <c r="G84" s="4"/>
      <c r="H84" s="177"/>
      <c r="I84" s="177"/>
    </row>
    <row r="85" spans="1:9">
      <c r="A85" s="154">
        <v>76</v>
      </c>
      <c r="B85" s="305"/>
      <c r="C85" s="306"/>
      <c r="D85" s="306"/>
      <c r="E85" s="306"/>
      <c r="F85" s="36">
        <f t="shared" si="3"/>
        <v>0</v>
      </c>
      <c r="G85" s="4"/>
      <c r="H85" s="177"/>
      <c r="I85" s="177"/>
    </row>
    <row r="86" spans="1:9">
      <c r="A86" s="154">
        <v>77</v>
      </c>
      <c r="B86" s="305"/>
      <c r="C86" s="306"/>
      <c r="D86" s="306"/>
      <c r="E86" s="306"/>
      <c r="F86" s="36">
        <f t="shared" si="3"/>
        <v>0</v>
      </c>
      <c r="G86" s="4"/>
      <c r="H86" s="177"/>
      <c r="I86" s="177"/>
    </row>
    <row r="87" spans="1:9">
      <c r="A87" s="154">
        <v>78</v>
      </c>
      <c r="B87" s="305"/>
      <c r="C87" s="306"/>
      <c r="D87" s="306"/>
      <c r="E87" s="306"/>
      <c r="F87" s="36">
        <f t="shared" si="3"/>
        <v>0</v>
      </c>
      <c r="G87" s="4"/>
      <c r="H87" s="177"/>
      <c r="I87" s="177"/>
    </row>
    <row r="88" spans="1:9">
      <c r="A88" s="154">
        <v>79</v>
      </c>
      <c r="B88" s="305"/>
      <c r="C88" s="306"/>
      <c r="D88" s="306"/>
      <c r="E88" s="306"/>
      <c r="F88" s="36">
        <f t="shared" si="3"/>
        <v>0</v>
      </c>
      <c r="G88" s="4"/>
      <c r="H88" s="177"/>
      <c r="I88" s="177"/>
    </row>
    <row r="89" spans="1:9">
      <c r="A89" s="154">
        <v>80</v>
      </c>
      <c r="B89" s="305"/>
      <c r="C89" s="306"/>
      <c r="D89" s="306"/>
      <c r="E89" s="306"/>
      <c r="F89" s="36">
        <f t="shared" si="3"/>
        <v>0</v>
      </c>
      <c r="G89" s="4"/>
      <c r="H89" s="177"/>
      <c r="I89" s="177"/>
    </row>
    <row r="90" spans="1:9">
      <c r="A90" s="154">
        <v>81</v>
      </c>
      <c r="B90" s="305"/>
      <c r="C90" s="306"/>
      <c r="D90" s="306"/>
      <c r="E90" s="306"/>
      <c r="F90" s="36">
        <f t="shared" si="3"/>
        <v>0</v>
      </c>
      <c r="G90" s="4"/>
      <c r="H90" s="177"/>
      <c r="I90" s="177"/>
    </row>
    <row r="91" spans="1:9">
      <c r="A91" s="154">
        <v>82</v>
      </c>
      <c r="B91" s="305"/>
      <c r="C91" s="306"/>
      <c r="D91" s="306"/>
      <c r="E91" s="306"/>
      <c r="F91" s="36">
        <f t="shared" si="3"/>
        <v>0</v>
      </c>
      <c r="G91" s="4"/>
      <c r="H91" s="177"/>
      <c r="I91" s="177"/>
    </row>
    <row r="92" spans="1:9">
      <c r="A92" s="154">
        <v>83</v>
      </c>
      <c r="B92" s="305"/>
      <c r="C92" s="306"/>
      <c r="D92" s="306"/>
      <c r="E92" s="306"/>
      <c r="F92" s="36">
        <f t="shared" si="3"/>
        <v>0</v>
      </c>
      <c r="G92" s="4"/>
      <c r="H92" s="177"/>
      <c r="I92" s="177"/>
    </row>
    <row r="93" spans="1:9">
      <c r="A93" s="154">
        <v>84</v>
      </c>
      <c r="B93" s="305"/>
      <c r="C93" s="306"/>
      <c r="D93" s="306"/>
      <c r="E93" s="306"/>
      <c r="F93" s="36">
        <f t="shared" si="3"/>
        <v>0</v>
      </c>
      <c r="G93" s="4"/>
      <c r="H93" s="177"/>
      <c r="I93" s="177"/>
    </row>
    <row r="94" spans="1:9">
      <c r="A94" s="154">
        <v>85</v>
      </c>
      <c r="B94" s="305"/>
      <c r="C94" s="306"/>
      <c r="D94" s="306"/>
      <c r="E94" s="306"/>
      <c r="F94" s="36">
        <f t="shared" si="3"/>
        <v>0</v>
      </c>
      <c r="G94" s="4"/>
      <c r="H94" s="177"/>
      <c r="I94" s="177"/>
    </row>
    <row r="95" spans="1:9">
      <c r="A95" s="154">
        <v>86</v>
      </c>
      <c r="B95" s="305"/>
      <c r="C95" s="306"/>
      <c r="D95" s="306"/>
      <c r="E95" s="306"/>
      <c r="F95" s="36">
        <f t="shared" si="3"/>
        <v>0</v>
      </c>
      <c r="G95" s="4"/>
      <c r="H95" s="177"/>
      <c r="I95" s="177"/>
    </row>
    <row r="96" spans="1:9">
      <c r="A96" s="154">
        <v>87</v>
      </c>
      <c r="B96" s="305"/>
      <c r="C96" s="306"/>
      <c r="D96" s="306"/>
      <c r="E96" s="306"/>
      <c r="F96" s="36">
        <f t="shared" si="3"/>
        <v>0</v>
      </c>
      <c r="G96" s="4"/>
      <c r="H96" s="177"/>
      <c r="I96" s="177"/>
    </row>
    <row r="97" spans="1:9">
      <c r="A97" s="154">
        <v>88</v>
      </c>
      <c r="B97" s="305"/>
      <c r="C97" s="306"/>
      <c r="D97" s="306"/>
      <c r="E97" s="306"/>
      <c r="F97" s="36">
        <f t="shared" si="3"/>
        <v>0</v>
      </c>
      <c r="G97" s="4"/>
      <c r="H97" s="177"/>
      <c r="I97" s="177"/>
    </row>
    <row r="98" spans="1:9">
      <c r="A98" s="154">
        <v>89</v>
      </c>
      <c r="B98" s="305"/>
      <c r="C98" s="306"/>
      <c r="D98" s="306"/>
      <c r="E98" s="306"/>
      <c r="F98" s="36">
        <f t="shared" si="3"/>
        <v>0</v>
      </c>
      <c r="G98" s="4"/>
      <c r="H98" s="177"/>
      <c r="I98" s="177"/>
    </row>
    <row r="99" spans="1:9">
      <c r="A99" s="154">
        <v>90</v>
      </c>
      <c r="B99" s="305"/>
      <c r="C99" s="306"/>
      <c r="D99" s="306"/>
      <c r="E99" s="306"/>
      <c r="F99" s="36">
        <f t="shared" si="3"/>
        <v>0</v>
      </c>
      <c r="G99" s="4"/>
      <c r="H99" s="177"/>
      <c r="I99" s="177"/>
    </row>
    <row r="100" spans="1:9">
      <c r="A100" s="154">
        <v>91</v>
      </c>
      <c r="B100" s="305"/>
      <c r="C100" s="306"/>
      <c r="D100" s="306"/>
      <c r="E100" s="306"/>
      <c r="F100" s="36">
        <f t="shared" si="3"/>
        <v>0</v>
      </c>
      <c r="G100" s="4"/>
      <c r="H100" s="177"/>
      <c r="I100" s="177"/>
    </row>
    <row r="101" spans="1:9">
      <c r="A101" s="154">
        <v>92</v>
      </c>
      <c r="B101" s="305"/>
      <c r="C101" s="306"/>
      <c r="D101" s="306"/>
      <c r="E101" s="306"/>
      <c r="F101" s="36">
        <f t="shared" si="3"/>
        <v>0</v>
      </c>
      <c r="G101" s="4"/>
      <c r="H101" s="177"/>
      <c r="I101" s="177"/>
    </row>
    <row r="102" spans="1:9">
      <c r="A102" s="154">
        <v>93</v>
      </c>
      <c r="B102" s="305"/>
      <c r="C102" s="306"/>
      <c r="D102" s="306"/>
      <c r="E102" s="306"/>
      <c r="F102" s="36">
        <f t="shared" si="3"/>
        <v>0</v>
      </c>
      <c r="G102" s="4"/>
      <c r="H102" s="177"/>
      <c r="I102" s="177"/>
    </row>
    <row r="103" spans="1:9">
      <c r="A103" s="154">
        <v>94</v>
      </c>
      <c r="B103" s="305"/>
      <c r="C103" s="306"/>
      <c r="D103" s="306"/>
      <c r="E103" s="306"/>
      <c r="F103" s="36">
        <f t="shared" si="3"/>
        <v>0</v>
      </c>
      <c r="G103" s="4"/>
      <c r="H103" s="177"/>
      <c r="I103" s="177"/>
    </row>
    <row r="104" spans="1:9">
      <c r="A104" s="154">
        <v>95</v>
      </c>
      <c r="B104" s="305"/>
      <c r="C104" s="306"/>
      <c r="D104" s="306"/>
      <c r="E104" s="306"/>
      <c r="F104" s="36">
        <f t="shared" si="3"/>
        <v>0</v>
      </c>
      <c r="G104" s="4"/>
      <c r="H104" s="177"/>
      <c r="I104" s="177"/>
    </row>
    <row r="105" spans="1:9">
      <c r="A105" s="154">
        <v>96</v>
      </c>
      <c r="B105" s="305"/>
      <c r="C105" s="306"/>
      <c r="D105" s="306"/>
      <c r="E105" s="306"/>
      <c r="F105" s="36">
        <f t="shared" si="3"/>
        <v>0</v>
      </c>
      <c r="G105" s="4"/>
      <c r="H105" s="177"/>
      <c r="I105" s="177"/>
    </row>
    <row r="106" spans="1:9">
      <c r="A106" s="154">
        <v>97</v>
      </c>
      <c r="B106" s="305"/>
      <c r="C106" s="306"/>
      <c r="D106" s="306"/>
      <c r="E106" s="306"/>
      <c r="F106" s="36">
        <f t="shared" si="3"/>
        <v>0</v>
      </c>
      <c r="G106" s="4"/>
      <c r="H106" s="177"/>
      <c r="I106" s="177"/>
    </row>
    <row r="107" spans="1:9">
      <c r="A107" s="154">
        <v>98</v>
      </c>
      <c r="B107" s="305"/>
      <c r="C107" s="306"/>
      <c r="D107" s="306"/>
      <c r="E107" s="306"/>
      <c r="F107" s="36">
        <f t="shared" si="3"/>
        <v>0</v>
      </c>
      <c r="G107" s="4"/>
      <c r="H107" s="177"/>
      <c r="I107" s="177"/>
    </row>
    <row r="108" spans="1:9">
      <c r="A108" s="154">
        <v>99</v>
      </c>
      <c r="B108" s="305"/>
      <c r="C108" s="306"/>
      <c r="D108" s="306"/>
      <c r="E108" s="306"/>
      <c r="F108" s="36">
        <f t="shared" si="3"/>
        <v>0</v>
      </c>
      <c r="G108" s="4"/>
      <c r="H108" s="177"/>
      <c r="I108" s="177"/>
    </row>
    <row r="109" spans="1:9">
      <c r="A109" s="154">
        <v>100</v>
      </c>
      <c r="B109" s="305"/>
      <c r="C109" s="306"/>
      <c r="D109" s="306"/>
      <c r="E109" s="306"/>
      <c r="F109" s="36">
        <f t="shared" si="3"/>
        <v>0</v>
      </c>
      <c r="G109" s="4"/>
      <c r="H109" s="177"/>
      <c r="I109" s="177"/>
    </row>
    <row r="110" spans="1:9">
      <c r="A110" s="179" t="s">
        <v>61</v>
      </c>
      <c r="B110" s="175">
        <f>SUM(B10:B109)</f>
        <v>0</v>
      </c>
      <c r="C110" s="175">
        <f>SUM(C10:C109)</f>
        <v>0</v>
      </c>
      <c r="D110" s="175">
        <f>SUM(D10:D109)</f>
        <v>0</v>
      </c>
      <c r="E110" s="175">
        <f>SUM(E10:E109)</f>
        <v>0</v>
      </c>
      <c r="F110" s="175">
        <f>SUM(F10:F109)</f>
        <v>0</v>
      </c>
      <c r="G110" s="4"/>
      <c r="H110" s="177"/>
      <c r="I110" s="177"/>
    </row>
    <row r="111" spans="1:9">
      <c r="A111" s="3"/>
      <c r="B111" s="30"/>
      <c r="C111" s="31"/>
      <c r="D111" s="31"/>
      <c r="E111" s="31"/>
      <c r="F111" s="31"/>
      <c r="G111" s="4"/>
      <c r="H111" s="177"/>
      <c r="I111" s="177"/>
    </row>
    <row r="112" spans="1:9">
      <c r="A112" s="4"/>
      <c r="B112" s="3"/>
      <c r="C112" s="4"/>
      <c r="D112" s="4"/>
      <c r="E112" s="4"/>
      <c r="F112" s="4"/>
      <c r="G112" s="4"/>
      <c r="H112" s="177"/>
      <c r="I112" s="177"/>
    </row>
    <row r="113" spans="1:9">
      <c r="A113" s="32"/>
      <c r="B113" s="3"/>
      <c r="C113" s="4"/>
      <c r="D113" s="4"/>
      <c r="E113" s="4"/>
      <c r="F113" s="4"/>
      <c r="G113" s="4"/>
      <c r="H113" s="177"/>
      <c r="I113" s="177"/>
    </row>
    <row r="114" spans="1:9">
      <c r="A114" s="4"/>
      <c r="B114" s="4"/>
      <c r="C114" s="4"/>
      <c r="D114" s="4"/>
      <c r="E114" s="4"/>
      <c r="F114" s="4"/>
      <c r="G114" s="4"/>
      <c r="H114" s="177"/>
      <c r="I114" s="177"/>
    </row>
  </sheetData>
  <sheetProtection scenarios="1"/>
  <mergeCells count="5">
    <mergeCell ref="F3:H3"/>
    <mergeCell ref="B4:C4"/>
    <mergeCell ref="B3:C3"/>
    <mergeCell ref="F5:H5"/>
    <mergeCell ref="F6:H6"/>
  </mergeCells>
  <conditionalFormatting sqref="A2:I4 A7:I114 A5:F6 I5:I6">
    <cfRule type="expression" dxfId="15" priority="1" stopIfTrue="1">
      <formula>CELL("Protect",A2)=1</formula>
    </cfRule>
  </conditionalFormatting>
  <dataValidations count="1">
    <dataValidation type="list" allowBlank="1" showInputMessage="1" showErrorMessage="1" sqref="F5:H5" xr:uid="{00000000-0002-0000-0400-000000000000}">
      <formula1>Units</formula1>
    </dataValidation>
  </dataValidations>
  <pageMargins left="0.78740157499999996" right="0.78740157499999996" top="0.984251969" bottom="0.984251969" header="0.4921259845" footer="0.4921259845"/>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8">
    <tabColor theme="6" tint="0.59999389629810485"/>
  </sheetPr>
  <dimension ref="A1:I114"/>
  <sheetViews>
    <sheetView workbookViewId="0">
      <pane ySplit="9" topLeftCell="A92" activePane="bottomLeft" state="frozen"/>
      <selection activeCell="G5" sqref="G5:J5"/>
      <selection pane="bottomLeft" sqref="A1:I1"/>
    </sheetView>
  </sheetViews>
  <sheetFormatPr defaultColWidth="11.5703125" defaultRowHeight="12.75"/>
  <cols>
    <col min="1" max="1" width="15.7109375" style="1" customWidth="1"/>
    <col min="2" max="2" width="11.85546875" style="1" customWidth="1"/>
    <col min="3" max="8" width="11.85546875" customWidth="1"/>
  </cols>
  <sheetData>
    <row r="1" spans="1:9" s="7" customFormat="1" ht="19.5" customHeight="1">
      <c r="A1" s="343" t="s">
        <v>113</v>
      </c>
      <c r="B1" s="343"/>
      <c r="C1" s="343"/>
      <c r="D1" s="343"/>
      <c r="E1" s="343"/>
      <c r="F1" s="343"/>
      <c r="G1" s="343"/>
      <c r="H1" s="343"/>
      <c r="I1" s="343"/>
    </row>
    <row r="2" spans="1:9" s="7" customFormat="1" ht="19.5" customHeight="1" thickBot="1">
      <c r="A2" s="261" t="s">
        <v>114</v>
      </c>
      <c r="B2" s="6"/>
      <c r="C2" s="11"/>
      <c r="D2" s="6"/>
      <c r="E2" s="6"/>
      <c r="F2" s="6"/>
      <c r="G2" s="6"/>
      <c r="H2" s="6"/>
      <c r="I2" s="6"/>
    </row>
    <row r="3" spans="1:9" s="7" customFormat="1" ht="18" customHeight="1" thickBot="1">
      <c r="A3" s="259" t="s">
        <v>106</v>
      </c>
      <c r="B3" s="375" t="str">
        <f>'START HERE'!F6</f>
        <v>EU</v>
      </c>
      <c r="C3" s="376"/>
      <c r="D3" s="6"/>
      <c r="E3" s="30" t="s">
        <v>38</v>
      </c>
      <c r="F3" s="372" t="s">
        <v>82</v>
      </c>
      <c r="G3" s="373"/>
      <c r="H3" s="374"/>
      <c r="I3" s="35"/>
    </row>
    <row r="4" spans="1:9" s="7" customFormat="1" ht="18" customHeight="1">
      <c r="A4" s="12" t="s">
        <v>18</v>
      </c>
      <c r="B4" s="375" t="str">
        <f>'START HERE'!F5</f>
        <v>Jack mackerel</v>
      </c>
      <c r="C4" s="376"/>
      <c r="D4" s="26"/>
      <c r="E4" s="13"/>
      <c r="F4" s="73"/>
      <c r="G4" s="161"/>
      <c r="H4" s="74"/>
      <c r="I4" s="35"/>
    </row>
    <row r="5" spans="1:9" s="7" customFormat="1" ht="18" customHeight="1">
      <c r="A5" s="12" t="s">
        <v>13</v>
      </c>
      <c r="B5" s="118">
        <f>'START HERE'!$K$3</f>
        <v>2010</v>
      </c>
      <c r="C5" s="258"/>
      <c r="D5" s="6"/>
      <c r="E5" s="34" t="s">
        <v>39</v>
      </c>
      <c r="F5" s="377" t="s">
        <v>104</v>
      </c>
      <c r="G5" s="378"/>
      <c r="H5" s="379"/>
      <c r="I5" s="35"/>
    </row>
    <row r="6" spans="1:9" s="7" customFormat="1" ht="18" customHeight="1" thickBot="1">
      <c r="A6" s="12"/>
      <c r="B6" s="71"/>
      <c r="C6" s="72"/>
      <c r="D6" s="6"/>
      <c r="E6" s="34" t="s">
        <v>14</v>
      </c>
      <c r="F6" s="380" t="str">
        <f>'START HERE'!$F8</f>
        <v>13/6/2022</v>
      </c>
      <c r="G6" s="381"/>
      <c r="H6" s="304"/>
      <c r="I6" s="35"/>
    </row>
    <row r="7" spans="1:9" s="7" customFormat="1" ht="9.75" customHeight="1">
      <c r="A7" s="6"/>
      <c r="B7" s="6"/>
      <c r="C7" s="6"/>
      <c r="D7" s="6"/>
      <c r="E7" s="6"/>
      <c r="F7" s="6"/>
      <c r="G7" s="6"/>
      <c r="H7" s="6"/>
      <c r="I7" s="6"/>
    </row>
    <row r="8" spans="1:9" ht="18" customHeight="1">
      <c r="A8" s="27" t="str">
        <f>'START HERE'!$F$13</f>
        <v>fork length</v>
      </c>
      <c r="B8" s="27" t="s">
        <v>51</v>
      </c>
      <c r="C8" s="27" t="s">
        <v>30</v>
      </c>
      <c r="D8" s="27" t="s">
        <v>31</v>
      </c>
      <c r="E8" s="27" t="s">
        <v>32</v>
      </c>
      <c r="F8" s="27" t="s">
        <v>41</v>
      </c>
      <c r="G8" s="4"/>
      <c r="H8" s="177"/>
      <c r="I8" s="177"/>
    </row>
    <row r="9" spans="1:9" ht="18">
      <c r="A9" s="28" t="s">
        <v>42</v>
      </c>
      <c r="B9" s="181">
        <f>'START HERE'!$K$3</f>
        <v>2010</v>
      </c>
      <c r="C9" s="181">
        <f>'START HERE'!$K$3</f>
        <v>2010</v>
      </c>
      <c r="D9" s="181">
        <f>'START HERE'!$K$3</f>
        <v>2010</v>
      </c>
      <c r="E9" s="181">
        <f>'START HERE'!$K$3</f>
        <v>2010</v>
      </c>
      <c r="F9" s="180">
        <f>'START HERE'!$K$3</f>
        <v>2010</v>
      </c>
      <c r="G9" s="4"/>
      <c r="H9" s="177"/>
      <c r="I9" s="177"/>
    </row>
    <row r="10" spans="1:9">
      <c r="A10" s="154">
        <v>1</v>
      </c>
      <c r="B10" s="305"/>
      <c r="C10" s="306"/>
      <c r="D10" s="306"/>
      <c r="E10" s="306"/>
      <c r="F10" s="36">
        <f t="shared" ref="F10:F73" si="0">SUM(B10:E10)</f>
        <v>0</v>
      </c>
      <c r="G10" s="4"/>
      <c r="H10" s="177"/>
      <c r="I10" s="177"/>
    </row>
    <row r="11" spans="1:9">
      <c r="A11" s="154">
        <v>2</v>
      </c>
      <c r="B11" s="305"/>
      <c r="C11" s="306"/>
      <c r="D11" s="306"/>
      <c r="E11" s="306"/>
      <c r="F11" s="36">
        <f t="shared" si="0"/>
        <v>0</v>
      </c>
      <c r="G11" s="4"/>
      <c r="H11" s="177"/>
      <c r="I11" s="177"/>
    </row>
    <row r="12" spans="1:9">
      <c r="A12" s="154">
        <v>3</v>
      </c>
      <c r="B12" s="305"/>
      <c r="C12" s="306"/>
      <c r="D12" s="306"/>
      <c r="E12" s="306"/>
      <c r="F12" s="36">
        <f t="shared" si="0"/>
        <v>0</v>
      </c>
      <c r="G12" s="4"/>
      <c r="H12" s="177"/>
      <c r="I12" s="177"/>
    </row>
    <row r="13" spans="1:9">
      <c r="A13" s="154">
        <v>4</v>
      </c>
      <c r="B13" s="305"/>
      <c r="C13" s="306"/>
      <c r="D13" s="306"/>
      <c r="E13" s="306"/>
      <c r="F13" s="36">
        <f t="shared" si="0"/>
        <v>0</v>
      </c>
      <c r="G13" s="4"/>
      <c r="H13" s="177"/>
      <c r="I13" s="177"/>
    </row>
    <row r="14" spans="1:9">
      <c r="A14" s="154">
        <v>5</v>
      </c>
      <c r="B14" s="305"/>
      <c r="C14" s="306"/>
      <c r="D14" s="306"/>
      <c r="E14" s="306"/>
      <c r="F14" s="36">
        <f t="shared" si="0"/>
        <v>0</v>
      </c>
      <c r="G14" s="4"/>
      <c r="H14" s="177"/>
      <c r="I14" s="177"/>
    </row>
    <row r="15" spans="1:9">
      <c r="A15" s="154">
        <v>6</v>
      </c>
      <c r="B15" s="305"/>
      <c r="C15" s="306"/>
      <c r="D15" s="306"/>
      <c r="E15" s="306"/>
      <c r="F15" s="36">
        <f t="shared" si="0"/>
        <v>0</v>
      </c>
      <c r="G15" s="4"/>
      <c r="H15" s="177"/>
      <c r="I15" s="177"/>
    </row>
    <row r="16" spans="1:9">
      <c r="A16" s="154">
        <v>7</v>
      </c>
      <c r="B16" s="305"/>
      <c r="C16" s="306"/>
      <c r="D16" s="306"/>
      <c r="E16" s="306"/>
      <c r="F16" s="36">
        <f t="shared" si="0"/>
        <v>0</v>
      </c>
      <c r="G16" s="4"/>
      <c r="H16" s="177"/>
      <c r="I16" s="177"/>
    </row>
    <row r="17" spans="1:9">
      <c r="A17" s="154">
        <v>8</v>
      </c>
      <c r="B17" s="305"/>
      <c r="C17" s="306"/>
      <c r="D17" s="306"/>
      <c r="E17" s="306"/>
      <c r="F17" s="36">
        <f t="shared" si="0"/>
        <v>0</v>
      </c>
      <c r="G17" s="4"/>
      <c r="H17" s="177"/>
      <c r="I17" s="177"/>
    </row>
    <row r="18" spans="1:9">
      <c r="A18" s="154">
        <v>9</v>
      </c>
      <c r="B18" s="305"/>
      <c r="C18" s="306"/>
      <c r="D18" s="306"/>
      <c r="E18" s="306"/>
      <c r="F18" s="36">
        <f t="shared" si="0"/>
        <v>0</v>
      </c>
      <c r="G18" s="4"/>
      <c r="H18" s="177"/>
      <c r="I18" s="177"/>
    </row>
    <row r="19" spans="1:9">
      <c r="A19" s="154">
        <v>10</v>
      </c>
      <c r="B19" s="305"/>
      <c r="C19" s="306"/>
      <c r="D19" s="306"/>
      <c r="E19" s="306"/>
      <c r="F19" s="36">
        <f t="shared" si="0"/>
        <v>0</v>
      </c>
      <c r="G19" s="4"/>
      <c r="H19" s="177"/>
      <c r="I19" s="177"/>
    </row>
    <row r="20" spans="1:9">
      <c r="A20" s="154">
        <v>11</v>
      </c>
      <c r="B20" s="305"/>
      <c r="C20" s="306"/>
      <c r="D20" s="306"/>
      <c r="E20" s="306"/>
      <c r="F20" s="36">
        <f t="shared" si="0"/>
        <v>0</v>
      </c>
      <c r="G20" s="4"/>
      <c r="H20" s="177"/>
      <c r="I20" s="177"/>
    </row>
    <row r="21" spans="1:9">
      <c r="A21" s="154">
        <v>12</v>
      </c>
      <c r="B21" s="305"/>
      <c r="C21" s="306"/>
      <c r="D21" s="306"/>
      <c r="E21" s="306"/>
      <c r="F21" s="36">
        <f t="shared" si="0"/>
        <v>0</v>
      </c>
      <c r="G21" s="4"/>
      <c r="H21" s="177"/>
      <c r="I21" s="177"/>
    </row>
    <row r="22" spans="1:9">
      <c r="A22" s="154">
        <v>13</v>
      </c>
      <c r="B22" s="305"/>
      <c r="C22" s="306"/>
      <c r="D22" s="306"/>
      <c r="E22" s="306"/>
      <c r="F22" s="36">
        <f t="shared" si="0"/>
        <v>0</v>
      </c>
      <c r="G22" s="4"/>
      <c r="H22" s="177"/>
      <c r="I22" s="177"/>
    </row>
    <row r="23" spans="1:9">
      <c r="A23" s="154">
        <v>14</v>
      </c>
      <c r="B23" s="305"/>
      <c r="C23" s="306"/>
      <c r="D23" s="306"/>
      <c r="E23" s="306"/>
      <c r="F23" s="36">
        <f t="shared" si="0"/>
        <v>0</v>
      </c>
      <c r="G23" s="4"/>
      <c r="H23" s="177"/>
      <c r="I23" s="177"/>
    </row>
    <row r="24" spans="1:9">
      <c r="A24" s="154">
        <v>15</v>
      </c>
      <c r="B24" s="305"/>
      <c r="C24" s="306"/>
      <c r="D24" s="306"/>
      <c r="E24" s="306"/>
      <c r="F24" s="36">
        <f t="shared" si="0"/>
        <v>0</v>
      </c>
      <c r="G24" s="29"/>
      <c r="H24" s="177"/>
      <c r="I24" s="177"/>
    </row>
    <row r="25" spans="1:9">
      <c r="A25" s="154">
        <v>16</v>
      </c>
      <c r="B25" s="305"/>
      <c r="C25" s="306"/>
      <c r="D25" s="306"/>
      <c r="E25" s="306"/>
      <c r="F25" s="36">
        <f t="shared" si="0"/>
        <v>0</v>
      </c>
      <c r="G25" s="4"/>
      <c r="H25" s="177"/>
      <c r="I25" s="177"/>
    </row>
    <row r="26" spans="1:9">
      <c r="A26" s="154">
        <v>17</v>
      </c>
      <c r="B26" s="305"/>
      <c r="C26" s="306"/>
      <c r="D26" s="306"/>
      <c r="E26" s="306"/>
      <c r="F26" s="36">
        <f t="shared" si="0"/>
        <v>0</v>
      </c>
      <c r="G26" s="4"/>
      <c r="H26" s="177"/>
      <c r="I26" s="177"/>
    </row>
    <row r="27" spans="1:9">
      <c r="A27" s="154">
        <v>18</v>
      </c>
      <c r="B27" s="305"/>
      <c r="C27" s="306"/>
      <c r="D27" s="306"/>
      <c r="E27" s="306"/>
      <c r="F27" s="36">
        <f t="shared" si="0"/>
        <v>0</v>
      </c>
      <c r="G27" s="4"/>
      <c r="H27" s="177"/>
      <c r="I27" s="177"/>
    </row>
    <row r="28" spans="1:9">
      <c r="A28" s="154">
        <v>19</v>
      </c>
      <c r="B28" s="305"/>
      <c r="C28" s="306"/>
      <c r="D28" s="306"/>
      <c r="E28" s="306"/>
      <c r="F28" s="36">
        <f t="shared" si="0"/>
        <v>0</v>
      </c>
      <c r="G28" s="4"/>
      <c r="H28" s="177"/>
      <c r="I28" s="177"/>
    </row>
    <row r="29" spans="1:9">
      <c r="A29" s="154">
        <v>20</v>
      </c>
      <c r="B29" s="305"/>
      <c r="C29" s="306"/>
      <c r="D29" s="306"/>
      <c r="E29" s="306"/>
      <c r="F29" s="36">
        <f t="shared" si="0"/>
        <v>0</v>
      </c>
      <c r="G29" s="4"/>
      <c r="H29" s="177"/>
      <c r="I29" s="177"/>
    </row>
    <row r="30" spans="1:9">
      <c r="A30" s="154">
        <v>21</v>
      </c>
      <c r="B30" s="305"/>
      <c r="C30" s="306"/>
      <c r="D30" s="306"/>
      <c r="E30" s="306"/>
      <c r="F30" s="36">
        <f t="shared" si="0"/>
        <v>0</v>
      </c>
      <c r="G30" s="4"/>
      <c r="H30" s="177"/>
      <c r="I30" s="177"/>
    </row>
    <row r="31" spans="1:9">
      <c r="A31" s="154">
        <v>22</v>
      </c>
      <c r="B31" s="305"/>
      <c r="C31" s="306"/>
      <c r="D31" s="306"/>
      <c r="E31" s="306"/>
      <c r="F31" s="36">
        <f t="shared" si="0"/>
        <v>0</v>
      </c>
      <c r="G31" s="4"/>
      <c r="H31" s="177"/>
      <c r="I31" s="177"/>
    </row>
    <row r="32" spans="1:9">
      <c r="A32" s="154">
        <v>23</v>
      </c>
      <c r="B32" s="305"/>
      <c r="C32" s="306"/>
      <c r="D32" s="306"/>
      <c r="E32" s="306"/>
      <c r="F32" s="36">
        <f t="shared" si="0"/>
        <v>0</v>
      </c>
      <c r="G32" s="4"/>
      <c r="H32" s="177"/>
      <c r="I32" s="177"/>
    </row>
    <row r="33" spans="1:9">
      <c r="A33" s="154">
        <v>24</v>
      </c>
      <c r="B33" s="305"/>
      <c r="C33" s="306"/>
      <c r="D33" s="306"/>
      <c r="E33" s="306"/>
      <c r="F33" s="36">
        <f t="shared" si="0"/>
        <v>0</v>
      </c>
      <c r="G33" s="4"/>
      <c r="H33" s="177"/>
      <c r="I33" s="177"/>
    </row>
    <row r="34" spans="1:9">
      <c r="A34" s="154">
        <v>25</v>
      </c>
      <c r="B34" s="305"/>
      <c r="C34" s="306"/>
      <c r="D34" s="306"/>
      <c r="E34" s="306"/>
      <c r="F34" s="36">
        <f t="shared" si="0"/>
        <v>0</v>
      </c>
      <c r="G34" s="4"/>
      <c r="H34" s="177"/>
      <c r="I34" s="177"/>
    </row>
    <row r="35" spans="1:9">
      <c r="A35" s="154">
        <v>26</v>
      </c>
      <c r="B35" s="305"/>
      <c r="C35" s="306"/>
      <c r="D35" s="306"/>
      <c r="E35" s="306"/>
      <c r="F35" s="36">
        <f t="shared" si="0"/>
        <v>0</v>
      </c>
      <c r="G35" s="4"/>
      <c r="H35" s="177"/>
      <c r="I35" s="177"/>
    </row>
    <row r="36" spans="1:9">
      <c r="A36" s="154">
        <v>27</v>
      </c>
      <c r="B36" s="305"/>
      <c r="C36" s="306"/>
      <c r="D36" s="306"/>
      <c r="E36" s="306"/>
      <c r="F36" s="36">
        <f t="shared" si="0"/>
        <v>0</v>
      </c>
      <c r="G36" s="4"/>
      <c r="H36" s="177"/>
      <c r="I36" s="177"/>
    </row>
    <row r="37" spans="1:9">
      <c r="A37" s="154">
        <v>28</v>
      </c>
      <c r="B37" s="305"/>
      <c r="C37" s="306"/>
      <c r="D37" s="306"/>
      <c r="E37" s="306"/>
      <c r="F37" s="36">
        <f t="shared" si="0"/>
        <v>0</v>
      </c>
      <c r="G37" s="4"/>
      <c r="H37" s="177"/>
      <c r="I37" s="177"/>
    </row>
    <row r="38" spans="1:9">
      <c r="A38" s="154">
        <v>29</v>
      </c>
      <c r="B38" s="305"/>
      <c r="C38" s="306"/>
      <c r="D38" s="306"/>
      <c r="E38" s="306"/>
      <c r="F38" s="36">
        <f t="shared" si="0"/>
        <v>0</v>
      </c>
      <c r="G38" s="4"/>
      <c r="H38" s="177"/>
      <c r="I38" s="177"/>
    </row>
    <row r="39" spans="1:9">
      <c r="A39" s="154">
        <v>30</v>
      </c>
      <c r="B39" s="305"/>
      <c r="C39" s="306"/>
      <c r="D39" s="306"/>
      <c r="E39" s="306"/>
      <c r="F39" s="36">
        <f t="shared" si="0"/>
        <v>0</v>
      </c>
      <c r="G39" s="4"/>
      <c r="H39" s="177"/>
      <c r="I39" s="177"/>
    </row>
    <row r="40" spans="1:9">
      <c r="A40" s="154">
        <v>31</v>
      </c>
      <c r="B40" s="305"/>
      <c r="C40" s="306"/>
      <c r="D40" s="306"/>
      <c r="E40" s="306"/>
      <c r="F40" s="36">
        <f t="shared" si="0"/>
        <v>0</v>
      </c>
      <c r="G40" s="4"/>
      <c r="H40" s="177"/>
      <c r="I40" s="177"/>
    </row>
    <row r="41" spans="1:9">
      <c r="A41" s="154">
        <v>32</v>
      </c>
      <c r="B41" s="305"/>
      <c r="C41" s="306"/>
      <c r="D41" s="306"/>
      <c r="E41" s="306"/>
      <c r="F41" s="36">
        <f t="shared" si="0"/>
        <v>0</v>
      </c>
      <c r="G41" s="4"/>
      <c r="H41" s="177"/>
      <c r="I41" s="177"/>
    </row>
    <row r="42" spans="1:9">
      <c r="A42" s="154">
        <v>33</v>
      </c>
      <c r="B42" s="305"/>
      <c r="C42" s="306"/>
      <c r="D42" s="306"/>
      <c r="E42" s="306"/>
      <c r="F42" s="36">
        <f t="shared" si="0"/>
        <v>0</v>
      </c>
      <c r="G42" s="4"/>
      <c r="H42" s="177"/>
      <c r="I42" s="177"/>
    </row>
    <row r="43" spans="1:9">
      <c r="A43" s="154">
        <v>34</v>
      </c>
      <c r="B43" s="305"/>
      <c r="C43" s="306"/>
      <c r="D43" s="306"/>
      <c r="E43" s="306"/>
      <c r="F43" s="36">
        <f t="shared" si="0"/>
        <v>0</v>
      </c>
      <c r="G43" s="4"/>
      <c r="H43" s="177"/>
      <c r="I43" s="177"/>
    </row>
    <row r="44" spans="1:9">
      <c r="A44" s="154">
        <v>35</v>
      </c>
      <c r="B44" s="305"/>
      <c r="C44" s="306"/>
      <c r="D44" s="306"/>
      <c r="E44" s="306"/>
      <c r="F44" s="36">
        <f t="shared" si="0"/>
        <v>0</v>
      </c>
      <c r="G44" s="4"/>
      <c r="H44" s="177"/>
      <c r="I44" s="177"/>
    </row>
    <row r="45" spans="1:9">
      <c r="A45" s="154">
        <v>36</v>
      </c>
      <c r="B45" s="305"/>
      <c r="C45" s="306"/>
      <c r="D45" s="306"/>
      <c r="E45" s="306"/>
      <c r="F45" s="36">
        <f t="shared" si="0"/>
        <v>0</v>
      </c>
      <c r="G45" s="4"/>
      <c r="H45" s="177"/>
      <c r="I45" s="177"/>
    </row>
    <row r="46" spans="1:9">
      <c r="A46" s="154">
        <v>37</v>
      </c>
      <c r="B46" s="305"/>
      <c r="C46" s="306"/>
      <c r="D46" s="306"/>
      <c r="E46" s="306"/>
      <c r="F46" s="36">
        <f t="shared" si="0"/>
        <v>0</v>
      </c>
      <c r="G46" s="4"/>
      <c r="H46" s="177"/>
      <c r="I46" s="177"/>
    </row>
    <row r="47" spans="1:9">
      <c r="A47" s="154">
        <v>38</v>
      </c>
      <c r="B47" s="305"/>
      <c r="C47" s="306"/>
      <c r="D47" s="306"/>
      <c r="E47" s="306"/>
      <c r="F47" s="36">
        <f t="shared" si="0"/>
        <v>0</v>
      </c>
      <c r="G47" s="4"/>
      <c r="H47" s="177"/>
      <c r="I47" s="177"/>
    </row>
    <row r="48" spans="1:9">
      <c r="A48" s="154">
        <v>39</v>
      </c>
      <c r="B48" s="305"/>
      <c r="C48" s="306"/>
      <c r="D48" s="306"/>
      <c r="E48" s="306"/>
      <c r="F48" s="36">
        <f t="shared" si="0"/>
        <v>0</v>
      </c>
      <c r="G48" s="4"/>
      <c r="H48" s="177"/>
      <c r="I48" s="177"/>
    </row>
    <row r="49" spans="1:9">
      <c r="A49" s="154">
        <v>40</v>
      </c>
      <c r="B49" s="305"/>
      <c r="C49" s="306"/>
      <c r="D49" s="306"/>
      <c r="E49" s="306"/>
      <c r="F49" s="36">
        <f t="shared" si="0"/>
        <v>0</v>
      </c>
      <c r="G49" s="4"/>
      <c r="H49" s="177"/>
      <c r="I49" s="177"/>
    </row>
    <row r="50" spans="1:9">
      <c r="A50" s="154">
        <v>41</v>
      </c>
      <c r="B50" s="305"/>
      <c r="C50" s="306"/>
      <c r="D50" s="306"/>
      <c r="E50" s="306"/>
      <c r="F50" s="36">
        <f t="shared" si="0"/>
        <v>0</v>
      </c>
      <c r="G50" s="4"/>
      <c r="H50" s="177"/>
      <c r="I50" s="177"/>
    </row>
    <row r="51" spans="1:9">
      <c r="A51" s="154">
        <v>42</v>
      </c>
      <c r="B51" s="305"/>
      <c r="C51" s="306"/>
      <c r="D51" s="306"/>
      <c r="E51" s="306"/>
      <c r="F51" s="36">
        <f t="shared" si="0"/>
        <v>0</v>
      </c>
      <c r="G51" s="4"/>
      <c r="H51" s="177"/>
      <c r="I51" s="177"/>
    </row>
    <row r="52" spans="1:9">
      <c r="A52" s="154">
        <v>43</v>
      </c>
      <c r="B52" s="305"/>
      <c r="C52" s="306"/>
      <c r="D52" s="306"/>
      <c r="E52" s="306"/>
      <c r="F52" s="36">
        <f t="shared" si="0"/>
        <v>0</v>
      </c>
      <c r="G52" s="4"/>
      <c r="H52" s="177"/>
      <c r="I52" s="177"/>
    </row>
    <row r="53" spans="1:9">
      <c r="A53" s="154">
        <v>44</v>
      </c>
      <c r="B53" s="305"/>
      <c r="C53" s="306"/>
      <c r="D53" s="306"/>
      <c r="E53" s="306"/>
      <c r="F53" s="36">
        <f t="shared" si="0"/>
        <v>0</v>
      </c>
      <c r="G53" s="4"/>
      <c r="H53" s="177"/>
      <c r="I53" s="177"/>
    </row>
    <row r="54" spans="1:9">
      <c r="A54" s="154">
        <v>45</v>
      </c>
      <c r="B54" s="305"/>
      <c r="C54" s="306"/>
      <c r="D54" s="306"/>
      <c r="E54" s="306"/>
      <c r="F54" s="36">
        <f t="shared" si="0"/>
        <v>0</v>
      </c>
      <c r="G54" s="4"/>
      <c r="H54" s="177"/>
      <c r="I54" s="177"/>
    </row>
    <row r="55" spans="1:9">
      <c r="A55" s="154">
        <v>46</v>
      </c>
      <c r="B55" s="305"/>
      <c r="C55" s="306"/>
      <c r="D55" s="306"/>
      <c r="E55" s="306"/>
      <c r="F55" s="36">
        <f t="shared" si="0"/>
        <v>0</v>
      </c>
      <c r="G55" s="4"/>
      <c r="H55" s="177"/>
      <c r="I55" s="177"/>
    </row>
    <row r="56" spans="1:9">
      <c r="A56" s="154">
        <v>47</v>
      </c>
      <c r="B56" s="305"/>
      <c r="C56" s="306"/>
      <c r="D56" s="306"/>
      <c r="E56" s="306"/>
      <c r="F56" s="36">
        <f t="shared" si="0"/>
        <v>0</v>
      </c>
      <c r="G56" s="4"/>
      <c r="H56" s="177"/>
      <c r="I56" s="177"/>
    </row>
    <row r="57" spans="1:9">
      <c r="A57" s="154">
        <v>48</v>
      </c>
      <c r="B57" s="305"/>
      <c r="C57" s="306"/>
      <c r="D57" s="306"/>
      <c r="E57" s="306"/>
      <c r="F57" s="36">
        <f t="shared" si="0"/>
        <v>0</v>
      </c>
      <c r="G57" s="4"/>
      <c r="H57" s="177"/>
      <c r="I57" s="177"/>
    </row>
    <row r="58" spans="1:9">
      <c r="A58" s="154">
        <v>49</v>
      </c>
      <c r="B58" s="305"/>
      <c r="C58" s="306"/>
      <c r="D58" s="306"/>
      <c r="E58" s="306"/>
      <c r="F58" s="36">
        <f t="shared" si="0"/>
        <v>0</v>
      </c>
      <c r="G58" s="4"/>
      <c r="H58" s="177"/>
      <c r="I58" s="177"/>
    </row>
    <row r="59" spans="1:9">
      <c r="A59" s="154">
        <v>50</v>
      </c>
      <c r="B59" s="305"/>
      <c r="C59" s="306"/>
      <c r="D59" s="306"/>
      <c r="E59" s="306"/>
      <c r="F59" s="36">
        <f t="shared" si="0"/>
        <v>0</v>
      </c>
      <c r="G59" s="4"/>
      <c r="H59" s="177"/>
      <c r="I59" s="177"/>
    </row>
    <row r="60" spans="1:9">
      <c r="A60" s="154">
        <v>51</v>
      </c>
      <c r="B60" s="305"/>
      <c r="C60" s="306"/>
      <c r="D60" s="306"/>
      <c r="E60" s="306"/>
      <c r="F60" s="36">
        <f t="shared" si="0"/>
        <v>0</v>
      </c>
      <c r="G60" s="4"/>
      <c r="H60" s="177"/>
      <c r="I60" s="177"/>
    </row>
    <row r="61" spans="1:9">
      <c r="A61" s="154">
        <v>52</v>
      </c>
      <c r="B61" s="305"/>
      <c r="C61" s="306"/>
      <c r="D61" s="306"/>
      <c r="E61" s="306"/>
      <c r="F61" s="36">
        <f t="shared" si="0"/>
        <v>0</v>
      </c>
      <c r="G61" s="4"/>
      <c r="H61" s="177"/>
      <c r="I61" s="177"/>
    </row>
    <row r="62" spans="1:9">
      <c r="A62" s="154">
        <v>53</v>
      </c>
      <c r="B62" s="305"/>
      <c r="C62" s="306"/>
      <c r="D62" s="306"/>
      <c r="E62" s="306"/>
      <c r="F62" s="36">
        <f t="shared" si="0"/>
        <v>0</v>
      </c>
      <c r="G62" s="4"/>
      <c r="H62" s="177"/>
      <c r="I62" s="177"/>
    </row>
    <row r="63" spans="1:9">
      <c r="A63" s="154">
        <v>54</v>
      </c>
      <c r="B63" s="305"/>
      <c r="C63" s="306"/>
      <c r="D63" s="306"/>
      <c r="E63" s="306"/>
      <c r="F63" s="36">
        <f t="shared" si="0"/>
        <v>0</v>
      </c>
      <c r="G63" s="4"/>
      <c r="H63" s="177"/>
      <c r="I63" s="177"/>
    </row>
    <row r="64" spans="1:9">
      <c r="A64" s="154">
        <v>55</v>
      </c>
      <c r="B64" s="305"/>
      <c r="C64" s="306"/>
      <c r="D64" s="306"/>
      <c r="E64" s="306"/>
      <c r="F64" s="36">
        <f t="shared" si="0"/>
        <v>0</v>
      </c>
      <c r="G64" s="4"/>
      <c r="H64" s="177"/>
      <c r="I64" s="177"/>
    </row>
    <row r="65" spans="1:9">
      <c r="A65" s="154">
        <v>56</v>
      </c>
      <c r="B65" s="305"/>
      <c r="C65" s="306"/>
      <c r="D65" s="306"/>
      <c r="E65" s="306"/>
      <c r="F65" s="36">
        <f t="shared" si="0"/>
        <v>0</v>
      </c>
      <c r="G65" s="4"/>
      <c r="H65" s="177"/>
      <c r="I65" s="177"/>
    </row>
    <row r="66" spans="1:9">
      <c r="A66" s="154">
        <v>57</v>
      </c>
      <c r="B66" s="305"/>
      <c r="C66" s="306"/>
      <c r="D66" s="306"/>
      <c r="E66" s="306"/>
      <c r="F66" s="36">
        <f t="shared" si="0"/>
        <v>0</v>
      </c>
      <c r="G66" s="4"/>
      <c r="H66" s="177"/>
      <c r="I66" s="177"/>
    </row>
    <row r="67" spans="1:9">
      <c r="A67" s="154">
        <v>58</v>
      </c>
      <c r="B67" s="305"/>
      <c r="C67" s="306"/>
      <c r="D67" s="306"/>
      <c r="E67" s="306"/>
      <c r="F67" s="36">
        <f t="shared" si="0"/>
        <v>0</v>
      </c>
      <c r="G67" s="4"/>
      <c r="H67" s="177"/>
      <c r="I67" s="177"/>
    </row>
    <row r="68" spans="1:9">
      <c r="A68" s="154">
        <v>59</v>
      </c>
      <c r="B68" s="305"/>
      <c r="C68" s="306"/>
      <c r="D68" s="306"/>
      <c r="E68" s="306"/>
      <c r="F68" s="36">
        <f t="shared" si="0"/>
        <v>0</v>
      </c>
      <c r="G68" s="4"/>
      <c r="H68" s="177"/>
      <c r="I68" s="177"/>
    </row>
    <row r="69" spans="1:9">
      <c r="A69" s="154">
        <v>60</v>
      </c>
      <c r="B69" s="305"/>
      <c r="C69" s="306"/>
      <c r="D69" s="306"/>
      <c r="E69" s="306"/>
      <c r="F69" s="36">
        <f t="shared" si="0"/>
        <v>0</v>
      </c>
      <c r="G69" s="4"/>
      <c r="H69" s="177"/>
      <c r="I69" s="177"/>
    </row>
    <row r="70" spans="1:9">
      <c r="A70" s="154">
        <v>61</v>
      </c>
      <c r="B70" s="305"/>
      <c r="C70" s="306"/>
      <c r="D70" s="306"/>
      <c r="E70" s="306"/>
      <c r="F70" s="36">
        <f t="shared" si="0"/>
        <v>0</v>
      </c>
      <c r="G70" s="4"/>
      <c r="H70" s="177"/>
      <c r="I70" s="177"/>
    </row>
    <row r="71" spans="1:9">
      <c r="A71" s="154">
        <v>62</v>
      </c>
      <c r="B71" s="305"/>
      <c r="C71" s="306"/>
      <c r="D71" s="306"/>
      <c r="E71" s="306"/>
      <c r="F71" s="36">
        <f t="shared" si="0"/>
        <v>0</v>
      </c>
      <c r="G71" s="4"/>
      <c r="H71" s="177"/>
      <c r="I71" s="177"/>
    </row>
    <row r="72" spans="1:9">
      <c r="A72" s="154">
        <v>63</v>
      </c>
      <c r="B72" s="305"/>
      <c r="C72" s="306"/>
      <c r="D72" s="306"/>
      <c r="E72" s="306"/>
      <c r="F72" s="36">
        <f t="shared" si="0"/>
        <v>0</v>
      </c>
      <c r="G72" s="4"/>
      <c r="H72" s="177"/>
      <c r="I72" s="177"/>
    </row>
    <row r="73" spans="1:9">
      <c r="A73" s="154">
        <v>64</v>
      </c>
      <c r="B73" s="305"/>
      <c r="C73" s="306"/>
      <c r="D73" s="306"/>
      <c r="E73" s="306"/>
      <c r="F73" s="36">
        <f t="shared" si="0"/>
        <v>0</v>
      </c>
      <c r="G73" s="4"/>
      <c r="H73" s="177"/>
      <c r="I73" s="177"/>
    </row>
    <row r="74" spans="1:9">
      <c r="A74" s="154">
        <v>65</v>
      </c>
      <c r="B74" s="305"/>
      <c r="C74" s="306"/>
      <c r="D74" s="306"/>
      <c r="E74" s="306"/>
      <c r="F74" s="36">
        <f t="shared" ref="F74:F109" si="1">SUM(B74:E74)</f>
        <v>0</v>
      </c>
      <c r="G74" s="4"/>
      <c r="H74" s="177"/>
      <c r="I74" s="177"/>
    </row>
    <row r="75" spans="1:9">
      <c r="A75" s="154">
        <v>66</v>
      </c>
      <c r="B75" s="305"/>
      <c r="C75" s="306"/>
      <c r="D75" s="306"/>
      <c r="E75" s="306"/>
      <c r="F75" s="36">
        <f t="shared" si="1"/>
        <v>0</v>
      </c>
      <c r="G75" s="4"/>
      <c r="H75" s="177"/>
      <c r="I75" s="177"/>
    </row>
    <row r="76" spans="1:9">
      <c r="A76" s="154">
        <v>67</v>
      </c>
      <c r="B76" s="305"/>
      <c r="C76" s="306"/>
      <c r="D76" s="306"/>
      <c r="E76" s="306"/>
      <c r="F76" s="36">
        <f t="shared" si="1"/>
        <v>0</v>
      </c>
      <c r="G76" s="4"/>
      <c r="H76" s="177"/>
      <c r="I76" s="177"/>
    </row>
    <row r="77" spans="1:9">
      <c r="A77" s="154">
        <v>68</v>
      </c>
      <c r="B77" s="305"/>
      <c r="C77" s="306"/>
      <c r="D77" s="306"/>
      <c r="E77" s="306"/>
      <c r="F77" s="36">
        <f t="shared" si="1"/>
        <v>0</v>
      </c>
      <c r="G77" s="4"/>
      <c r="H77" s="177"/>
      <c r="I77" s="177"/>
    </row>
    <row r="78" spans="1:9">
      <c r="A78" s="154">
        <v>69</v>
      </c>
      <c r="B78" s="305"/>
      <c r="C78" s="306"/>
      <c r="D78" s="306"/>
      <c r="E78" s="306"/>
      <c r="F78" s="36">
        <f t="shared" si="1"/>
        <v>0</v>
      </c>
      <c r="G78" s="4"/>
      <c r="H78" s="177"/>
      <c r="I78" s="177"/>
    </row>
    <row r="79" spans="1:9">
      <c r="A79" s="154">
        <v>70</v>
      </c>
      <c r="B79" s="305"/>
      <c r="C79" s="306"/>
      <c r="D79" s="306"/>
      <c r="E79" s="306"/>
      <c r="F79" s="36">
        <f t="shared" si="1"/>
        <v>0</v>
      </c>
      <c r="G79" s="4"/>
      <c r="H79" s="177"/>
      <c r="I79" s="177"/>
    </row>
    <row r="80" spans="1:9">
      <c r="A80" s="154">
        <v>71</v>
      </c>
      <c r="B80" s="305"/>
      <c r="C80" s="306"/>
      <c r="D80" s="306"/>
      <c r="E80" s="306"/>
      <c r="F80" s="36">
        <f t="shared" si="1"/>
        <v>0</v>
      </c>
      <c r="G80" s="4"/>
      <c r="H80" s="177"/>
      <c r="I80" s="177"/>
    </row>
    <row r="81" spans="1:9">
      <c r="A81" s="154">
        <v>72</v>
      </c>
      <c r="B81" s="305"/>
      <c r="C81" s="306"/>
      <c r="D81" s="306"/>
      <c r="E81" s="306"/>
      <c r="F81" s="36">
        <f t="shared" si="1"/>
        <v>0</v>
      </c>
      <c r="G81" s="4"/>
      <c r="H81" s="177"/>
      <c r="I81" s="177"/>
    </row>
    <row r="82" spans="1:9">
      <c r="A82" s="154">
        <v>73</v>
      </c>
      <c r="B82" s="305"/>
      <c r="C82" s="306"/>
      <c r="D82" s="306"/>
      <c r="E82" s="306"/>
      <c r="F82" s="36">
        <f t="shared" si="1"/>
        <v>0</v>
      </c>
      <c r="G82" s="4"/>
      <c r="H82" s="177"/>
      <c r="I82" s="177"/>
    </row>
    <row r="83" spans="1:9">
      <c r="A83" s="154">
        <v>74</v>
      </c>
      <c r="B83" s="305"/>
      <c r="C83" s="306"/>
      <c r="D83" s="306"/>
      <c r="E83" s="306"/>
      <c r="F83" s="36">
        <f t="shared" si="1"/>
        <v>0</v>
      </c>
      <c r="G83" s="4"/>
      <c r="H83" s="177"/>
      <c r="I83" s="177"/>
    </row>
    <row r="84" spans="1:9">
      <c r="A84" s="154">
        <v>75</v>
      </c>
      <c r="B84" s="305"/>
      <c r="C84" s="306"/>
      <c r="D84" s="306"/>
      <c r="E84" s="306"/>
      <c r="F84" s="36">
        <f t="shared" si="1"/>
        <v>0</v>
      </c>
      <c r="G84" s="4"/>
      <c r="H84" s="177"/>
      <c r="I84" s="177"/>
    </row>
    <row r="85" spans="1:9">
      <c r="A85" s="154">
        <v>76</v>
      </c>
      <c r="B85" s="305"/>
      <c r="C85" s="306"/>
      <c r="D85" s="306"/>
      <c r="E85" s="306"/>
      <c r="F85" s="36">
        <f t="shared" si="1"/>
        <v>0</v>
      </c>
      <c r="G85" s="4"/>
      <c r="H85" s="177"/>
      <c r="I85" s="177"/>
    </row>
    <row r="86" spans="1:9">
      <c r="A86" s="154">
        <v>77</v>
      </c>
      <c r="B86" s="305"/>
      <c r="C86" s="306"/>
      <c r="D86" s="306"/>
      <c r="E86" s="306"/>
      <c r="F86" s="36">
        <f t="shared" si="1"/>
        <v>0</v>
      </c>
      <c r="G86" s="4"/>
      <c r="H86" s="177"/>
      <c r="I86" s="177"/>
    </row>
    <row r="87" spans="1:9">
      <c r="A87" s="154">
        <v>78</v>
      </c>
      <c r="B87" s="305"/>
      <c r="C87" s="306"/>
      <c r="D87" s="306"/>
      <c r="E87" s="306"/>
      <c r="F87" s="36">
        <f t="shared" si="1"/>
        <v>0</v>
      </c>
      <c r="G87" s="4"/>
      <c r="H87" s="177"/>
      <c r="I87" s="177"/>
    </row>
    <row r="88" spans="1:9">
      <c r="A88" s="154">
        <v>79</v>
      </c>
      <c r="B88" s="305"/>
      <c r="C88" s="306"/>
      <c r="D88" s="306"/>
      <c r="E88" s="306"/>
      <c r="F88" s="36">
        <f t="shared" si="1"/>
        <v>0</v>
      </c>
      <c r="G88" s="4"/>
      <c r="H88" s="177"/>
      <c r="I88" s="177"/>
    </row>
    <row r="89" spans="1:9">
      <c r="A89" s="154">
        <v>80</v>
      </c>
      <c r="B89" s="305"/>
      <c r="C89" s="306"/>
      <c r="D89" s="306"/>
      <c r="E89" s="306"/>
      <c r="F89" s="36">
        <f t="shared" si="1"/>
        <v>0</v>
      </c>
      <c r="G89" s="4"/>
      <c r="H89" s="177"/>
      <c r="I89" s="177"/>
    </row>
    <row r="90" spans="1:9">
      <c r="A90" s="154">
        <v>81</v>
      </c>
      <c r="B90" s="305"/>
      <c r="C90" s="306"/>
      <c r="D90" s="306"/>
      <c r="E90" s="306"/>
      <c r="F90" s="36">
        <f t="shared" si="1"/>
        <v>0</v>
      </c>
      <c r="G90" s="4"/>
      <c r="H90" s="177"/>
      <c r="I90" s="177"/>
    </row>
    <row r="91" spans="1:9">
      <c r="A91" s="154">
        <v>82</v>
      </c>
      <c r="B91" s="305"/>
      <c r="C91" s="306"/>
      <c r="D91" s="306"/>
      <c r="E91" s="306"/>
      <c r="F91" s="36">
        <f t="shared" si="1"/>
        <v>0</v>
      </c>
      <c r="G91" s="4"/>
      <c r="H91" s="177"/>
      <c r="I91" s="177"/>
    </row>
    <row r="92" spans="1:9">
      <c r="A92" s="154">
        <v>83</v>
      </c>
      <c r="B92" s="305"/>
      <c r="C92" s="306"/>
      <c r="D92" s="306"/>
      <c r="E92" s="306"/>
      <c r="F92" s="36">
        <f t="shared" si="1"/>
        <v>0</v>
      </c>
      <c r="G92" s="4"/>
      <c r="H92" s="177"/>
      <c r="I92" s="177"/>
    </row>
    <row r="93" spans="1:9">
      <c r="A93" s="154">
        <v>84</v>
      </c>
      <c r="B93" s="305"/>
      <c r="C93" s="306"/>
      <c r="D93" s="306"/>
      <c r="E93" s="306"/>
      <c r="F93" s="36">
        <f t="shared" si="1"/>
        <v>0</v>
      </c>
      <c r="G93" s="4"/>
      <c r="H93" s="177"/>
      <c r="I93" s="177"/>
    </row>
    <row r="94" spans="1:9">
      <c r="A94" s="154">
        <v>85</v>
      </c>
      <c r="B94" s="305"/>
      <c r="C94" s="306"/>
      <c r="D94" s="306"/>
      <c r="E94" s="306"/>
      <c r="F94" s="36">
        <f t="shared" si="1"/>
        <v>0</v>
      </c>
      <c r="G94" s="4"/>
      <c r="H94" s="177"/>
      <c r="I94" s="177"/>
    </row>
    <row r="95" spans="1:9">
      <c r="A95" s="154">
        <v>86</v>
      </c>
      <c r="B95" s="305"/>
      <c r="C95" s="306"/>
      <c r="D95" s="306"/>
      <c r="E95" s="306"/>
      <c r="F95" s="36">
        <f t="shared" si="1"/>
        <v>0</v>
      </c>
      <c r="G95" s="4"/>
      <c r="H95" s="177"/>
      <c r="I95" s="177"/>
    </row>
    <row r="96" spans="1:9">
      <c r="A96" s="154">
        <v>87</v>
      </c>
      <c r="B96" s="305"/>
      <c r="C96" s="306"/>
      <c r="D96" s="306"/>
      <c r="E96" s="306"/>
      <c r="F96" s="36">
        <f t="shared" si="1"/>
        <v>0</v>
      </c>
      <c r="G96" s="4"/>
      <c r="H96" s="177"/>
      <c r="I96" s="177"/>
    </row>
    <row r="97" spans="1:9">
      <c r="A97" s="154">
        <v>88</v>
      </c>
      <c r="B97" s="305"/>
      <c r="C97" s="306"/>
      <c r="D97" s="306"/>
      <c r="E97" s="306"/>
      <c r="F97" s="36">
        <f t="shared" si="1"/>
        <v>0</v>
      </c>
      <c r="G97" s="4"/>
      <c r="H97" s="177"/>
      <c r="I97" s="177"/>
    </row>
    <row r="98" spans="1:9">
      <c r="A98" s="154">
        <v>89</v>
      </c>
      <c r="B98" s="305"/>
      <c r="C98" s="306"/>
      <c r="D98" s="306"/>
      <c r="E98" s="306"/>
      <c r="F98" s="36">
        <f t="shared" si="1"/>
        <v>0</v>
      </c>
      <c r="G98" s="4"/>
      <c r="H98" s="177"/>
      <c r="I98" s="177"/>
    </row>
    <row r="99" spans="1:9">
      <c r="A99" s="154">
        <v>90</v>
      </c>
      <c r="B99" s="305"/>
      <c r="C99" s="306"/>
      <c r="D99" s="306"/>
      <c r="E99" s="306"/>
      <c r="F99" s="36">
        <f t="shared" si="1"/>
        <v>0</v>
      </c>
      <c r="G99" s="4"/>
      <c r="H99" s="177"/>
      <c r="I99" s="177"/>
    </row>
    <row r="100" spans="1:9">
      <c r="A100" s="154">
        <v>91</v>
      </c>
      <c r="B100" s="305"/>
      <c r="C100" s="306"/>
      <c r="D100" s="306"/>
      <c r="E100" s="306"/>
      <c r="F100" s="36">
        <f t="shared" si="1"/>
        <v>0</v>
      </c>
      <c r="G100" s="4"/>
      <c r="H100" s="177"/>
      <c r="I100" s="177"/>
    </row>
    <row r="101" spans="1:9">
      <c r="A101" s="154">
        <v>92</v>
      </c>
      <c r="B101" s="305"/>
      <c r="C101" s="306"/>
      <c r="D101" s="306"/>
      <c r="E101" s="306"/>
      <c r="F101" s="36">
        <f t="shared" si="1"/>
        <v>0</v>
      </c>
      <c r="G101" s="4"/>
      <c r="H101" s="177"/>
      <c r="I101" s="177"/>
    </row>
    <row r="102" spans="1:9">
      <c r="A102" s="154">
        <v>93</v>
      </c>
      <c r="B102" s="305"/>
      <c r="C102" s="306"/>
      <c r="D102" s="306"/>
      <c r="E102" s="306"/>
      <c r="F102" s="36">
        <f t="shared" si="1"/>
        <v>0</v>
      </c>
      <c r="G102" s="4"/>
      <c r="H102" s="177"/>
      <c r="I102" s="177"/>
    </row>
    <row r="103" spans="1:9">
      <c r="A103" s="154">
        <v>94</v>
      </c>
      <c r="B103" s="305"/>
      <c r="C103" s="306"/>
      <c r="D103" s="306"/>
      <c r="E103" s="306"/>
      <c r="F103" s="36">
        <f t="shared" si="1"/>
        <v>0</v>
      </c>
      <c r="G103" s="4"/>
      <c r="H103" s="177"/>
      <c r="I103" s="177"/>
    </row>
    <row r="104" spans="1:9">
      <c r="A104" s="154">
        <v>95</v>
      </c>
      <c r="B104" s="305"/>
      <c r="C104" s="306"/>
      <c r="D104" s="306"/>
      <c r="E104" s="306"/>
      <c r="F104" s="36">
        <f t="shared" si="1"/>
        <v>0</v>
      </c>
      <c r="G104" s="4"/>
      <c r="H104" s="177"/>
      <c r="I104" s="177"/>
    </row>
    <row r="105" spans="1:9">
      <c r="A105" s="154">
        <v>96</v>
      </c>
      <c r="B105" s="305"/>
      <c r="C105" s="306"/>
      <c r="D105" s="306"/>
      <c r="E105" s="306"/>
      <c r="F105" s="36">
        <f t="shared" si="1"/>
        <v>0</v>
      </c>
      <c r="G105" s="4"/>
      <c r="H105" s="177"/>
      <c r="I105" s="177"/>
    </row>
    <row r="106" spans="1:9">
      <c r="A106" s="154">
        <v>97</v>
      </c>
      <c r="B106" s="305"/>
      <c r="C106" s="306"/>
      <c r="D106" s="306"/>
      <c r="E106" s="306"/>
      <c r="F106" s="36">
        <f t="shared" si="1"/>
        <v>0</v>
      </c>
      <c r="G106" s="4"/>
      <c r="H106" s="177"/>
      <c r="I106" s="177"/>
    </row>
    <row r="107" spans="1:9">
      <c r="A107" s="154">
        <v>98</v>
      </c>
      <c r="B107" s="305"/>
      <c r="C107" s="306"/>
      <c r="D107" s="306"/>
      <c r="E107" s="306"/>
      <c r="F107" s="36">
        <f t="shared" si="1"/>
        <v>0</v>
      </c>
      <c r="G107" s="4"/>
      <c r="H107" s="177"/>
      <c r="I107" s="177"/>
    </row>
    <row r="108" spans="1:9">
      <c r="A108" s="154">
        <v>99</v>
      </c>
      <c r="B108" s="305"/>
      <c r="C108" s="306"/>
      <c r="D108" s="306"/>
      <c r="E108" s="306"/>
      <c r="F108" s="36">
        <f t="shared" si="1"/>
        <v>0</v>
      </c>
      <c r="G108" s="4"/>
      <c r="H108" s="177"/>
      <c r="I108" s="177"/>
    </row>
    <row r="109" spans="1:9">
      <c r="A109" s="154">
        <v>100</v>
      </c>
      <c r="B109" s="305"/>
      <c r="C109" s="306"/>
      <c r="D109" s="306"/>
      <c r="E109" s="306"/>
      <c r="F109" s="36">
        <f t="shared" si="1"/>
        <v>0</v>
      </c>
      <c r="G109" s="4"/>
      <c r="H109" s="177"/>
      <c r="I109" s="177"/>
    </row>
    <row r="110" spans="1:9">
      <c r="A110" s="179" t="s">
        <v>61</v>
      </c>
      <c r="B110" s="175">
        <f>SUM(B10:B109)</f>
        <v>0</v>
      </c>
      <c r="C110" s="175">
        <f>SUM(C10:C109)</f>
        <v>0</v>
      </c>
      <c r="D110" s="175">
        <f>SUM(D10:D109)</f>
        <v>0</v>
      </c>
      <c r="E110" s="175">
        <f>SUM(E10:E109)</f>
        <v>0</v>
      </c>
      <c r="F110" s="175">
        <f>SUM(F10:F109)</f>
        <v>0</v>
      </c>
      <c r="G110" s="4"/>
      <c r="H110" s="177"/>
      <c r="I110" s="177"/>
    </row>
    <row r="111" spans="1:9">
      <c r="A111" s="3"/>
      <c r="B111" s="30"/>
      <c r="C111" s="31"/>
      <c r="D111" s="31"/>
      <c r="E111" s="31"/>
      <c r="F111" s="31"/>
      <c r="G111" s="4"/>
      <c r="H111" s="177"/>
      <c r="I111" s="177"/>
    </row>
    <row r="112" spans="1:9">
      <c r="A112" s="4"/>
      <c r="B112" s="3"/>
      <c r="C112" s="4"/>
      <c r="D112" s="4"/>
      <c r="E112" s="4"/>
      <c r="F112" s="4"/>
      <c r="G112" s="4"/>
      <c r="H112" s="177"/>
      <c r="I112" s="177"/>
    </row>
    <row r="113" spans="1:9">
      <c r="A113" s="32"/>
      <c r="B113" s="3"/>
      <c r="C113" s="4"/>
      <c r="D113" s="4"/>
      <c r="E113" s="4"/>
      <c r="F113" s="4"/>
      <c r="G113" s="4"/>
      <c r="H113" s="177"/>
      <c r="I113" s="177"/>
    </row>
    <row r="114" spans="1:9">
      <c r="A114" s="4"/>
      <c r="B114" s="4"/>
      <c r="C114" s="4"/>
      <c r="D114" s="4"/>
      <c r="E114" s="4"/>
      <c r="F114" s="4"/>
      <c r="G114" s="4"/>
      <c r="H114" s="177"/>
      <c r="I114" s="177"/>
    </row>
  </sheetData>
  <sheetProtection scenarios="1"/>
  <mergeCells count="5">
    <mergeCell ref="B3:C3"/>
    <mergeCell ref="F3:H3"/>
    <mergeCell ref="B4:C4"/>
    <mergeCell ref="F6:G6"/>
    <mergeCell ref="F5:H5"/>
  </mergeCells>
  <conditionalFormatting sqref="A2:I4 A6:I114 A5:F5 I5">
    <cfRule type="expression" dxfId="14" priority="1" stopIfTrue="1">
      <formula>CELL("Protect",A2)=1</formula>
    </cfRule>
  </conditionalFormatting>
  <dataValidations count="1">
    <dataValidation type="list" allowBlank="1" showInputMessage="1" showErrorMessage="1" sqref="F5:H5" xr:uid="{00000000-0002-0000-0500-000000000000}">
      <formula1>Units</formula1>
    </dataValidation>
  </dataValidations>
  <pageMargins left="0.78740157499999996" right="0.78740157499999996" top="0.984251969" bottom="0.984251969" header="0.4921259845" footer="0.4921259845"/>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9">
    <tabColor theme="6" tint="0.59999389629810485"/>
  </sheetPr>
  <dimension ref="A1:I114"/>
  <sheetViews>
    <sheetView workbookViewId="0">
      <pane ySplit="9" topLeftCell="A79" activePane="bottomLeft" state="frozen"/>
      <selection activeCell="G5" sqref="G5:J5"/>
      <selection pane="bottomLeft" sqref="A1:I1"/>
    </sheetView>
  </sheetViews>
  <sheetFormatPr defaultColWidth="11.5703125" defaultRowHeight="12.75"/>
  <cols>
    <col min="1" max="1" width="15.7109375" style="1" customWidth="1"/>
    <col min="2" max="2" width="11.85546875" style="1" customWidth="1"/>
    <col min="3" max="8" width="11.85546875" customWidth="1"/>
  </cols>
  <sheetData>
    <row r="1" spans="1:9" s="7" customFormat="1" ht="19.5" customHeight="1">
      <c r="A1" s="343" t="s">
        <v>113</v>
      </c>
      <c r="B1" s="343"/>
      <c r="C1" s="343"/>
      <c r="D1" s="343"/>
      <c r="E1" s="343"/>
      <c r="F1" s="343"/>
      <c r="G1" s="343"/>
      <c r="H1" s="343"/>
      <c r="I1" s="343"/>
    </row>
    <row r="2" spans="1:9" s="7" customFormat="1" ht="19.5" customHeight="1" thickBot="1">
      <c r="A2" s="261" t="s">
        <v>114</v>
      </c>
      <c r="B2" s="6"/>
      <c r="C2" s="11"/>
      <c r="D2" s="6"/>
      <c r="E2" s="6"/>
      <c r="F2" s="6"/>
      <c r="G2" s="6"/>
      <c r="H2" s="6"/>
      <c r="I2" s="6"/>
    </row>
    <row r="3" spans="1:9" s="7" customFormat="1" ht="18" customHeight="1" thickBot="1">
      <c r="A3" s="259" t="s">
        <v>106</v>
      </c>
      <c r="B3" s="375" t="str">
        <f>'START HERE'!F6</f>
        <v>EU</v>
      </c>
      <c r="C3" s="376"/>
      <c r="D3" s="6"/>
      <c r="E3" s="30" t="s">
        <v>38</v>
      </c>
      <c r="F3" s="372" t="s">
        <v>83</v>
      </c>
      <c r="G3" s="373"/>
      <c r="H3" s="374"/>
      <c r="I3" s="35"/>
    </row>
    <row r="4" spans="1:9" s="7" customFormat="1" ht="18" customHeight="1">
      <c r="A4" s="12" t="s">
        <v>18</v>
      </c>
      <c r="B4" s="375" t="str">
        <f>'START HERE'!F5</f>
        <v>Jack mackerel</v>
      </c>
      <c r="C4" s="376"/>
      <c r="D4" s="26"/>
      <c r="E4" s="13"/>
      <c r="F4" s="73"/>
      <c r="G4" s="161"/>
      <c r="H4" s="74"/>
      <c r="I4" s="35"/>
    </row>
    <row r="5" spans="1:9" s="7" customFormat="1" ht="18" customHeight="1">
      <c r="A5" s="12" t="s">
        <v>13</v>
      </c>
      <c r="B5" s="118">
        <f>'START HERE'!$K$3</f>
        <v>2010</v>
      </c>
      <c r="C5" s="258"/>
      <c r="D5" s="6"/>
      <c r="E5" s="34" t="s">
        <v>39</v>
      </c>
      <c r="F5" s="377" t="s">
        <v>104</v>
      </c>
      <c r="G5" s="378"/>
      <c r="H5" s="379"/>
      <c r="I5" s="35"/>
    </row>
    <row r="6" spans="1:9" s="7" customFormat="1" ht="18" customHeight="1" thickBot="1">
      <c r="A6" s="12"/>
      <c r="B6" s="71"/>
      <c r="C6" s="72"/>
      <c r="D6" s="6"/>
      <c r="E6" s="34" t="s">
        <v>14</v>
      </c>
      <c r="F6" s="380" t="str">
        <f>'START HERE'!$F8</f>
        <v>13/6/2022</v>
      </c>
      <c r="G6" s="381"/>
      <c r="H6" s="304"/>
      <c r="I6" s="35"/>
    </row>
    <row r="7" spans="1:9" s="7" customFormat="1" ht="9.75" customHeight="1">
      <c r="A7" s="6"/>
      <c r="B7" s="6"/>
      <c r="C7" s="6"/>
      <c r="D7" s="6"/>
      <c r="E7" s="6"/>
      <c r="F7" s="6"/>
      <c r="G7" s="6"/>
      <c r="H7" s="6"/>
      <c r="I7" s="6"/>
    </row>
    <row r="8" spans="1:9" ht="18" customHeight="1">
      <c r="A8" s="27" t="str">
        <f>'START HERE'!$F$13</f>
        <v>fork length</v>
      </c>
      <c r="B8" s="27" t="s">
        <v>51</v>
      </c>
      <c r="C8" s="27" t="s">
        <v>30</v>
      </c>
      <c r="D8" s="27" t="s">
        <v>31</v>
      </c>
      <c r="E8" s="27" t="s">
        <v>32</v>
      </c>
      <c r="F8" s="27" t="s">
        <v>41</v>
      </c>
      <c r="G8" s="4"/>
      <c r="H8" s="177"/>
      <c r="I8" s="177"/>
    </row>
    <row r="9" spans="1:9" ht="18">
      <c r="A9" s="28" t="s">
        <v>42</v>
      </c>
      <c r="B9" s="181">
        <f>'START HERE'!$K$3</f>
        <v>2010</v>
      </c>
      <c r="C9" s="181">
        <f>'START HERE'!$K$3</f>
        <v>2010</v>
      </c>
      <c r="D9" s="181">
        <f>'START HERE'!$K$3</f>
        <v>2010</v>
      </c>
      <c r="E9" s="181">
        <f>'START HERE'!$K$3</f>
        <v>2010</v>
      </c>
      <c r="F9" s="180">
        <f>'START HERE'!$K$3</f>
        <v>2010</v>
      </c>
      <c r="G9" s="4"/>
      <c r="H9" s="177"/>
      <c r="I9" s="177"/>
    </row>
    <row r="10" spans="1:9">
      <c r="A10" s="154">
        <v>1</v>
      </c>
      <c r="B10" s="305"/>
      <c r="C10" s="306"/>
      <c r="D10" s="306"/>
      <c r="E10" s="306"/>
      <c r="F10" s="36">
        <f t="shared" ref="F10:F73" si="0">SUM(B10:E10)</f>
        <v>0</v>
      </c>
      <c r="G10" s="4"/>
      <c r="H10" s="177"/>
      <c r="I10" s="177"/>
    </row>
    <row r="11" spans="1:9">
      <c r="A11" s="154">
        <v>2</v>
      </c>
      <c r="B11" s="305"/>
      <c r="C11" s="306"/>
      <c r="D11" s="306"/>
      <c r="E11" s="306"/>
      <c r="F11" s="36">
        <f t="shared" si="0"/>
        <v>0</v>
      </c>
      <c r="G11" s="4"/>
      <c r="H11" s="177"/>
      <c r="I11" s="177"/>
    </row>
    <row r="12" spans="1:9">
      <c r="A12" s="154">
        <v>3</v>
      </c>
      <c r="B12" s="305"/>
      <c r="C12" s="306"/>
      <c r="D12" s="306"/>
      <c r="E12" s="306"/>
      <c r="F12" s="36">
        <f t="shared" si="0"/>
        <v>0</v>
      </c>
      <c r="G12" s="4"/>
      <c r="H12" s="177"/>
      <c r="I12" s="177"/>
    </row>
    <row r="13" spans="1:9">
      <c r="A13" s="154">
        <v>4</v>
      </c>
      <c r="B13" s="305"/>
      <c r="C13" s="306"/>
      <c r="D13" s="306"/>
      <c r="E13" s="306"/>
      <c r="F13" s="36">
        <f t="shared" si="0"/>
        <v>0</v>
      </c>
      <c r="G13" s="4"/>
      <c r="H13" s="177"/>
      <c r="I13" s="177"/>
    </row>
    <row r="14" spans="1:9">
      <c r="A14" s="154">
        <v>5</v>
      </c>
      <c r="B14" s="305"/>
      <c r="C14" s="306"/>
      <c r="D14" s="306"/>
      <c r="E14" s="306"/>
      <c r="F14" s="36">
        <f t="shared" si="0"/>
        <v>0</v>
      </c>
      <c r="G14" s="4"/>
      <c r="H14" s="177"/>
      <c r="I14" s="177"/>
    </row>
    <row r="15" spans="1:9">
      <c r="A15" s="154">
        <v>6</v>
      </c>
      <c r="B15" s="305"/>
      <c r="C15" s="306"/>
      <c r="D15" s="306"/>
      <c r="E15" s="306"/>
      <c r="F15" s="36">
        <f t="shared" si="0"/>
        <v>0</v>
      </c>
      <c r="G15" s="4"/>
      <c r="H15" s="177"/>
      <c r="I15" s="177"/>
    </row>
    <row r="16" spans="1:9">
      <c r="A16" s="154">
        <v>7</v>
      </c>
      <c r="B16" s="305"/>
      <c r="C16" s="306"/>
      <c r="D16" s="306"/>
      <c r="E16" s="306"/>
      <c r="F16" s="36">
        <f t="shared" si="0"/>
        <v>0</v>
      </c>
      <c r="G16" s="4"/>
      <c r="H16" s="177"/>
      <c r="I16" s="177"/>
    </row>
    <row r="17" spans="1:9">
      <c r="A17" s="154">
        <v>8</v>
      </c>
      <c r="B17" s="305"/>
      <c r="C17" s="306"/>
      <c r="D17" s="306"/>
      <c r="E17" s="306"/>
      <c r="F17" s="36">
        <f t="shared" si="0"/>
        <v>0</v>
      </c>
      <c r="G17" s="4"/>
      <c r="H17" s="177"/>
      <c r="I17" s="177"/>
    </row>
    <row r="18" spans="1:9">
      <c r="A18" s="154">
        <v>9</v>
      </c>
      <c r="B18" s="305"/>
      <c r="C18" s="306"/>
      <c r="D18" s="306"/>
      <c r="E18" s="306"/>
      <c r="F18" s="36">
        <f t="shared" si="0"/>
        <v>0</v>
      </c>
      <c r="G18" s="4"/>
      <c r="H18" s="177"/>
      <c r="I18" s="177"/>
    </row>
    <row r="19" spans="1:9">
      <c r="A19" s="154">
        <v>10</v>
      </c>
      <c r="B19" s="305"/>
      <c r="C19" s="306"/>
      <c r="D19" s="306"/>
      <c r="E19" s="306"/>
      <c r="F19" s="36">
        <f t="shared" si="0"/>
        <v>0</v>
      </c>
      <c r="G19" s="4"/>
      <c r="H19" s="177"/>
      <c r="I19" s="177"/>
    </row>
    <row r="20" spans="1:9">
      <c r="A20" s="154">
        <v>11</v>
      </c>
      <c r="B20" s="305"/>
      <c r="C20" s="306"/>
      <c r="D20" s="306"/>
      <c r="E20" s="306"/>
      <c r="F20" s="36">
        <f t="shared" si="0"/>
        <v>0</v>
      </c>
      <c r="G20" s="4"/>
      <c r="H20" s="177"/>
      <c r="I20" s="177"/>
    </row>
    <row r="21" spans="1:9">
      <c r="A21" s="154">
        <v>12</v>
      </c>
      <c r="B21" s="305"/>
      <c r="C21" s="306"/>
      <c r="D21" s="306"/>
      <c r="E21" s="306"/>
      <c r="F21" s="36">
        <f t="shared" si="0"/>
        <v>0</v>
      </c>
      <c r="G21" s="4"/>
      <c r="H21" s="177"/>
      <c r="I21" s="177"/>
    </row>
    <row r="22" spans="1:9">
      <c r="A22" s="154">
        <v>13</v>
      </c>
      <c r="B22" s="305"/>
      <c r="C22" s="306"/>
      <c r="D22" s="306"/>
      <c r="E22" s="306"/>
      <c r="F22" s="36">
        <f t="shared" si="0"/>
        <v>0</v>
      </c>
      <c r="G22" s="4"/>
      <c r="H22" s="177"/>
      <c r="I22" s="177"/>
    </row>
    <row r="23" spans="1:9">
      <c r="A23" s="154">
        <v>14</v>
      </c>
      <c r="B23" s="305"/>
      <c r="C23" s="306"/>
      <c r="D23" s="306"/>
      <c r="E23" s="306"/>
      <c r="F23" s="36">
        <f t="shared" si="0"/>
        <v>0</v>
      </c>
      <c r="G23" s="4"/>
      <c r="H23" s="177"/>
      <c r="I23" s="177"/>
    </row>
    <row r="24" spans="1:9">
      <c r="A24" s="154">
        <v>15</v>
      </c>
      <c r="B24" s="305"/>
      <c r="C24" s="306"/>
      <c r="D24" s="306"/>
      <c r="E24" s="306"/>
      <c r="F24" s="36">
        <f t="shared" si="0"/>
        <v>0</v>
      </c>
      <c r="G24" s="29"/>
      <c r="H24" s="177"/>
      <c r="I24" s="177"/>
    </row>
    <row r="25" spans="1:9">
      <c r="A25" s="154">
        <v>16</v>
      </c>
      <c r="B25" s="305"/>
      <c r="C25" s="306"/>
      <c r="D25" s="306"/>
      <c r="E25" s="306"/>
      <c r="F25" s="36">
        <f t="shared" si="0"/>
        <v>0</v>
      </c>
      <c r="G25" s="4"/>
      <c r="H25" s="177"/>
      <c r="I25" s="177"/>
    </row>
    <row r="26" spans="1:9">
      <c r="A26" s="154">
        <v>17</v>
      </c>
      <c r="B26" s="305"/>
      <c r="C26" s="306"/>
      <c r="D26" s="306"/>
      <c r="E26" s="306"/>
      <c r="F26" s="36">
        <f t="shared" si="0"/>
        <v>0</v>
      </c>
      <c r="G26" s="4"/>
      <c r="H26" s="177"/>
      <c r="I26" s="177"/>
    </row>
    <row r="27" spans="1:9">
      <c r="A27" s="154">
        <v>18</v>
      </c>
      <c r="B27" s="305"/>
      <c r="C27" s="306"/>
      <c r="D27" s="306"/>
      <c r="E27" s="306"/>
      <c r="F27" s="36">
        <f t="shared" si="0"/>
        <v>0</v>
      </c>
      <c r="G27" s="4"/>
      <c r="H27" s="177"/>
      <c r="I27" s="177"/>
    </row>
    <row r="28" spans="1:9">
      <c r="A28" s="154">
        <v>19</v>
      </c>
      <c r="B28" s="305"/>
      <c r="C28" s="306"/>
      <c r="D28" s="306"/>
      <c r="E28" s="306"/>
      <c r="F28" s="36">
        <f t="shared" si="0"/>
        <v>0</v>
      </c>
      <c r="G28" s="4"/>
      <c r="H28" s="177"/>
      <c r="I28" s="177"/>
    </row>
    <row r="29" spans="1:9">
      <c r="A29" s="154">
        <v>20</v>
      </c>
      <c r="B29" s="305"/>
      <c r="C29" s="306"/>
      <c r="D29" s="306"/>
      <c r="E29" s="306"/>
      <c r="F29" s="36">
        <f t="shared" si="0"/>
        <v>0</v>
      </c>
      <c r="G29" s="4"/>
      <c r="H29" s="177"/>
      <c r="I29" s="177"/>
    </row>
    <row r="30" spans="1:9">
      <c r="A30" s="154">
        <v>21</v>
      </c>
      <c r="B30" s="305"/>
      <c r="C30" s="306"/>
      <c r="D30" s="306"/>
      <c r="E30" s="306"/>
      <c r="F30" s="36">
        <f t="shared" si="0"/>
        <v>0</v>
      </c>
      <c r="G30" s="4"/>
      <c r="H30" s="177"/>
      <c r="I30" s="177"/>
    </row>
    <row r="31" spans="1:9">
      <c r="A31" s="154">
        <v>22</v>
      </c>
      <c r="B31" s="305"/>
      <c r="C31" s="306"/>
      <c r="D31" s="306"/>
      <c r="E31" s="306"/>
      <c r="F31" s="36">
        <f t="shared" si="0"/>
        <v>0</v>
      </c>
      <c r="G31" s="4"/>
      <c r="H31" s="177"/>
      <c r="I31" s="177"/>
    </row>
    <row r="32" spans="1:9">
      <c r="A32" s="154">
        <v>23</v>
      </c>
      <c r="B32" s="305"/>
      <c r="C32" s="306"/>
      <c r="D32" s="306"/>
      <c r="E32" s="306"/>
      <c r="F32" s="36">
        <f t="shared" si="0"/>
        <v>0</v>
      </c>
      <c r="G32" s="4"/>
      <c r="H32" s="177"/>
      <c r="I32" s="177"/>
    </row>
    <row r="33" spans="1:9">
      <c r="A33" s="154">
        <v>24</v>
      </c>
      <c r="B33" s="305"/>
      <c r="C33" s="306"/>
      <c r="D33" s="306"/>
      <c r="E33" s="306"/>
      <c r="F33" s="36">
        <f t="shared" si="0"/>
        <v>0</v>
      </c>
      <c r="G33" s="4"/>
      <c r="H33" s="177"/>
      <c r="I33" s="177"/>
    </row>
    <row r="34" spans="1:9">
      <c r="A34" s="154">
        <v>25</v>
      </c>
      <c r="B34" s="305"/>
      <c r="C34" s="306"/>
      <c r="D34" s="306"/>
      <c r="E34" s="306"/>
      <c r="F34" s="36">
        <f t="shared" si="0"/>
        <v>0</v>
      </c>
      <c r="G34" s="4"/>
      <c r="H34" s="177"/>
      <c r="I34" s="177"/>
    </row>
    <row r="35" spans="1:9">
      <c r="A35" s="154">
        <v>26</v>
      </c>
      <c r="B35" s="305"/>
      <c r="C35" s="306"/>
      <c r="D35" s="306"/>
      <c r="E35" s="306"/>
      <c r="F35" s="36">
        <f t="shared" si="0"/>
        <v>0</v>
      </c>
      <c r="G35" s="4"/>
      <c r="H35" s="177"/>
      <c r="I35" s="177"/>
    </row>
    <row r="36" spans="1:9">
      <c r="A36" s="154">
        <v>27</v>
      </c>
      <c r="B36" s="305"/>
      <c r="C36" s="306"/>
      <c r="D36" s="306"/>
      <c r="E36" s="306"/>
      <c r="F36" s="36">
        <f t="shared" si="0"/>
        <v>0</v>
      </c>
      <c r="G36" s="4"/>
      <c r="H36" s="177"/>
      <c r="I36" s="177"/>
    </row>
    <row r="37" spans="1:9">
      <c r="A37" s="154">
        <v>28</v>
      </c>
      <c r="B37" s="305"/>
      <c r="C37" s="306"/>
      <c r="D37" s="306"/>
      <c r="E37" s="306"/>
      <c r="F37" s="36">
        <f t="shared" si="0"/>
        <v>0</v>
      </c>
      <c r="G37" s="4"/>
      <c r="H37" s="177"/>
      <c r="I37" s="177"/>
    </row>
    <row r="38" spans="1:9">
      <c r="A38" s="154">
        <v>29</v>
      </c>
      <c r="B38" s="305"/>
      <c r="C38" s="306"/>
      <c r="D38" s="306"/>
      <c r="E38" s="306"/>
      <c r="F38" s="36">
        <f t="shared" si="0"/>
        <v>0</v>
      </c>
      <c r="G38" s="4"/>
      <c r="H38" s="177"/>
      <c r="I38" s="177"/>
    </row>
    <row r="39" spans="1:9">
      <c r="A39" s="154">
        <v>30</v>
      </c>
      <c r="B39" s="305"/>
      <c r="C39" s="306"/>
      <c r="D39" s="306"/>
      <c r="E39" s="306"/>
      <c r="F39" s="36">
        <f t="shared" si="0"/>
        <v>0</v>
      </c>
      <c r="G39" s="4"/>
      <c r="H39" s="177"/>
      <c r="I39" s="177"/>
    </row>
    <row r="40" spans="1:9">
      <c r="A40" s="154">
        <v>31</v>
      </c>
      <c r="B40" s="305"/>
      <c r="C40" s="306"/>
      <c r="D40" s="306"/>
      <c r="E40" s="306"/>
      <c r="F40" s="36">
        <f t="shared" si="0"/>
        <v>0</v>
      </c>
      <c r="G40" s="4"/>
      <c r="H40" s="177"/>
      <c r="I40" s="177"/>
    </row>
    <row r="41" spans="1:9">
      <c r="A41" s="154">
        <v>32</v>
      </c>
      <c r="B41" s="305"/>
      <c r="C41" s="306"/>
      <c r="D41" s="306"/>
      <c r="E41" s="306"/>
      <c r="F41" s="36">
        <f t="shared" si="0"/>
        <v>0</v>
      </c>
      <c r="G41" s="4"/>
      <c r="H41" s="177"/>
      <c r="I41" s="177"/>
    </row>
    <row r="42" spans="1:9">
      <c r="A42" s="154">
        <v>33</v>
      </c>
      <c r="B42" s="305"/>
      <c r="C42" s="306"/>
      <c r="D42" s="306"/>
      <c r="E42" s="306"/>
      <c r="F42" s="36">
        <f t="shared" si="0"/>
        <v>0</v>
      </c>
      <c r="G42" s="4"/>
      <c r="H42" s="177"/>
      <c r="I42" s="177"/>
    </row>
    <row r="43" spans="1:9">
      <c r="A43" s="154">
        <v>34</v>
      </c>
      <c r="B43" s="305"/>
      <c r="C43" s="306"/>
      <c r="D43" s="306"/>
      <c r="E43" s="306"/>
      <c r="F43" s="36">
        <f t="shared" si="0"/>
        <v>0</v>
      </c>
      <c r="G43" s="4"/>
      <c r="H43" s="177"/>
      <c r="I43" s="177"/>
    </row>
    <row r="44" spans="1:9">
      <c r="A44" s="154">
        <v>35</v>
      </c>
      <c r="B44" s="305"/>
      <c r="C44" s="306"/>
      <c r="D44" s="306"/>
      <c r="E44" s="306"/>
      <c r="F44" s="36">
        <f t="shared" si="0"/>
        <v>0</v>
      </c>
      <c r="G44" s="4"/>
      <c r="H44" s="177"/>
      <c r="I44" s="177"/>
    </row>
    <row r="45" spans="1:9">
      <c r="A45" s="154">
        <v>36</v>
      </c>
      <c r="B45" s="305"/>
      <c r="C45" s="306"/>
      <c r="D45" s="306"/>
      <c r="E45" s="306"/>
      <c r="F45" s="36">
        <f t="shared" si="0"/>
        <v>0</v>
      </c>
      <c r="G45" s="4"/>
      <c r="H45" s="177"/>
      <c r="I45" s="177"/>
    </row>
    <row r="46" spans="1:9">
      <c r="A46" s="154">
        <v>37</v>
      </c>
      <c r="B46" s="305"/>
      <c r="C46" s="306"/>
      <c r="D46" s="306"/>
      <c r="E46" s="306"/>
      <c r="F46" s="36">
        <f t="shared" si="0"/>
        <v>0</v>
      </c>
      <c r="G46" s="4"/>
      <c r="H46" s="177"/>
      <c r="I46" s="177"/>
    </row>
    <row r="47" spans="1:9">
      <c r="A47" s="154">
        <v>38</v>
      </c>
      <c r="B47" s="305"/>
      <c r="C47" s="306"/>
      <c r="D47" s="306"/>
      <c r="E47" s="306"/>
      <c r="F47" s="36">
        <f t="shared" si="0"/>
        <v>0</v>
      </c>
      <c r="G47" s="4"/>
      <c r="H47" s="177"/>
      <c r="I47" s="177"/>
    </row>
    <row r="48" spans="1:9">
      <c r="A48" s="154">
        <v>39</v>
      </c>
      <c r="B48" s="305"/>
      <c r="C48" s="306"/>
      <c r="D48" s="306"/>
      <c r="E48" s="306"/>
      <c r="F48" s="36">
        <f t="shared" si="0"/>
        <v>0</v>
      </c>
      <c r="G48" s="4"/>
      <c r="H48" s="177"/>
      <c r="I48" s="177"/>
    </row>
    <row r="49" spans="1:9">
      <c r="A49" s="154">
        <v>40</v>
      </c>
      <c r="B49" s="305"/>
      <c r="C49" s="306"/>
      <c r="D49" s="306"/>
      <c r="E49" s="306"/>
      <c r="F49" s="36">
        <f t="shared" si="0"/>
        <v>0</v>
      </c>
      <c r="G49" s="4"/>
      <c r="H49" s="177"/>
      <c r="I49" s="177"/>
    </row>
    <row r="50" spans="1:9">
      <c r="A50" s="154">
        <v>41</v>
      </c>
      <c r="B50" s="305"/>
      <c r="C50" s="306"/>
      <c r="D50" s="306"/>
      <c r="E50" s="306"/>
      <c r="F50" s="36">
        <f t="shared" si="0"/>
        <v>0</v>
      </c>
      <c r="G50" s="4"/>
      <c r="H50" s="177"/>
      <c r="I50" s="177"/>
    </row>
    <row r="51" spans="1:9">
      <c r="A51" s="154">
        <v>42</v>
      </c>
      <c r="B51" s="305"/>
      <c r="C51" s="306"/>
      <c r="D51" s="306"/>
      <c r="E51" s="306"/>
      <c r="F51" s="36">
        <f t="shared" si="0"/>
        <v>0</v>
      </c>
      <c r="G51" s="4"/>
      <c r="H51" s="177"/>
      <c r="I51" s="177"/>
    </row>
    <row r="52" spans="1:9">
      <c r="A52" s="154">
        <v>43</v>
      </c>
      <c r="B52" s="305"/>
      <c r="C52" s="306"/>
      <c r="D52" s="306"/>
      <c r="E52" s="306"/>
      <c r="F52" s="36">
        <f t="shared" si="0"/>
        <v>0</v>
      </c>
      <c r="G52" s="4"/>
      <c r="H52" s="177"/>
      <c r="I52" s="177"/>
    </row>
    <row r="53" spans="1:9">
      <c r="A53" s="154">
        <v>44</v>
      </c>
      <c r="B53" s="305"/>
      <c r="C53" s="306"/>
      <c r="D53" s="306"/>
      <c r="E53" s="306"/>
      <c r="F53" s="36">
        <f t="shared" si="0"/>
        <v>0</v>
      </c>
      <c r="G53" s="4"/>
      <c r="H53" s="177"/>
      <c r="I53" s="177"/>
    </row>
    <row r="54" spans="1:9">
      <c r="A54" s="154">
        <v>45</v>
      </c>
      <c r="B54" s="305"/>
      <c r="C54" s="306"/>
      <c r="D54" s="306"/>
      <c r="E54" s="306"/>
      <c r="F54" s="36">
        <f t="shared" si="0"/>
        <v>0</v>
      </c>
      <c r="G54" s="4"/>
      <c r="H54" s="177"/>
      <c r="I54" s="177"/>
    </row>
    <row r="55" spans="1:9">
      <c r="A55" s="154">
        <v>46</v>
      </c>
      <c r="B55" s="305"/>
      <c r="C55" s="306"/>
      <c r="D55" s="306"/>
      <c r="E55" s="306"/>
      <c r="F55" s="36">
        <f t="shared" si="0"/>
        <v>0</v>
      </c>
      <c r="G55" s="4"/>
      <c r="H55" s="177"/>
      <c r="I55" s="177"/>
    </row>
    <row r="56" spans="1:9">
      <c r="A56" s="154">
        <v>47</v>
      </c>
      <c r="B56" s="305"/>
      <c r="C56" s="306"/>
      <c r="D56" s="306"/>
      <c r="E56" s="306"/>
      <c r="F56" s="36">
        <f t="shared" si="0"/>
        <v>0</v>
      </c>
      <c r="G56" s="4"/>
      <c r="H56" s="177"/>
      <c r="I56" s="177"/>
    </row>
    <row r="57" spans="1:9">
      <c r="A57" s="154">
        <v>48</v>
      </c>
      <c r="B57" s="305"/>
      <c r="C57" s="306"/>
      <c r="D57" s="306"/>
      <c r="E57" s="306"/>
      <c r="F57" s="36">
        <f t="shared" si="0"/>
        <v>0</v>
      </c>
      <c r="G57" s="4"/>
      <c r="H57" s="177"/>
      <c r="I57" s="177"/>
    </row>
    <row r="58" spans="1:9">
      <c r="A58" s="154">
        <v>49</v>
      </c>
      <c r="B58" s="305"/>
      <c r="C58" s="306"/>
      <c r="D58" s="306"/>
      <c r="E58" s="306"/>
      <c r="F58" s="36">
        <f t="shared" si="0"/>
        <v>0</v>
      </c>
      <c r="G58" s="4"/>
      <c r="H58" s="177"/>
      <c r="I58" s="177"/>
    </row>
    <row r="59" spans="1:9">
      <c r="A59" s="154">
        <v>50</v>
      </c>
      <c r="B59" s="305"/>
      <c r="C59" s="306"/>
      <c r="D59" s="306"/>
      <c r="E59" s="306"/>
      <c r="F59" s="36">
        <f t="shared" si="0"/>
        <v>0</v>
      </c>
      <c r="G59" s="4"/>
      <c r="H59" s="177"/>
      <c r="I59" s="177"/>
    </row>
    <row r="60" spans="1:9">
      <c r="A60" s="154">
        <v>51</v>
      </c>
      <c r="B60" s="305"/>
      <c r="C60" s="306"/>
      <c r="D60" s="306"/>
      <c r="E60" s="306"/>
      <c r="F60" s="36">
        <f t="shared" si="0"/>
        <v>0</v>
      </c>
      <c r="G60" s="4"/>
      <c r="H60" s="177"/>
      <c r="I60" s="177"/>
    </row>
    <row r="61" spans="1:9">
      <c r="A61" s="154">
        <v>52</v>
      </c>
      <c r="B61" s="305"/>
      <c r="C61" s="306"/>
      <c r="D61" s="306"/>
      <c r="E61" s="306"/>
      <c r="F61" s="36">
        <f t="shared" si="0"/>
        <v>0</v>
      </c>
      <c r="G61" s="4"/>
      <c r="H61" s="177"/>
      <c r="I61" s="177"/>
    </row>
    <row r="62" spans="1:9">
      <c r="A62" s="154">
        <v>53</v>
      </c>
      <c r="B62" s="305"/>
      <c r="C62" s="306"/>
      <c r="D62" s="306"/>
      <c r="E62" s="306"/>
      <c r="F62" s="36">
        <f t="shared" si="0"/>
        <v>0</v>
      </c>
      <c r="G62" s="4"/>
      <c r="H62" s="177"/>
      <c r="I62" s="177"/>
    </row>
    <row r="63" spans="1:9">
      <c r="A63" s="154">
        <v>54</v>
      </c>
      <c r="B63" s="305"/>
      <c r="C63" s="306"/>
      <c r="D63" s="306"/>
      <c r="E63" s="306"/>
      <c r="F63" s="36">
        <f t="shared" si="0"/>
        <v>0</v>
      </c>
      <c r="G63" s="4"/>
      <c r="H63" s="177"/>
      <c r="I63" s="177"/>
    </row>
    <row r="64" spans="1:9">
      <c r="A64" s="154">
        <v>55</v>
      </c>
      <c r="B64" s="305"/>
      <c r="C64" s="306"/>
      <c r="D64" s="306"/>
      <c r="E64" s="306"/>
      <c r="F64" s="36">
        <f t="shared" si="0"/>
        <v>0</v>
      </c>
      <c r="G64" s="4"/>
      <c r="H64" s="177"/>
      <c r="I64" s="177"/>
    </row>
    <row r="65" spans="1:9">
      <c r="A65" s="154">
        <v>56</v>
      </c>
      <c r="B65" s="305"/>
      <c r="C65" s="306"/>
      <c r="D65" s="306"/>
      <c r="E65" s="306"/>
      <c r="F65" s="36">
        <f t="shared" si="0"/>
        <v>0</v>
      </c>
      <c r="G65" s="4"/>
      <c r="H65" s="177"/>
      <c r="I65" s="177"/>
    </row>
    <row r="66" spans="1:9">
      <c r="A66" s="154">
        <v>57</v>
      </c>
      <c r="B66" s="305"/>
      <c r="C66" s="306"/>
      <c r="D66" s="306"/>
      <c r="E66" s="306"/>
      <c r="F66" s="36">
        <f t="shared" si="0"/>
        <v>0</v>
      </c>
      <c r="G66" s="4"/>
      <c r="H66" s="177"/>
      <c r="I66" s="177"/>
    </row>
    <row r="67" spans="1:9">
      <c r="A67" s="154">
        <v>58</v>
      </c>
      <c r="B67" s="305"/>
      <c r="C67" s="306"/>
      <c r="D67" s="306"/>
      <c r="E67" s="306"/>
      <c r="F67" s="36">
        <f t="shared" si="0"/>
        <v>0</v>
      </c>
      <c r="G67" s="4"/>
      <c r="H67" s="177"/>
      <c r="I67" s="177"/>
    </row>
    <row r="68" spans="1:9">
      <c r="A68" s="154">
        <v>59</v>
      </c>
      <c r="B68" s="305"/>
      <c r="C68" s="306"/>
      <c r="D68" s="306"/>
      <c r="E68" s="306"/>
      <c r="F68" s="36">
        <f t="shared" si="0"/>
        <v>0</v>
      </c>
      <c r="G68" s="4"/>
      <c r="H68" s="177"/>
      <c r="I68" s="177"/>
    </row>
    <row r="69" spans="1:9">
      <c r="A69" s="154">
        <v>60</v>
      </c>
      <c r="B69" s="305"/>
      <c r="C69" s="306"/>
      <c r="D69" s="306"/>
      <c r="E69" s="306"/>
      <c r="F69" s="36">
        <f t="shared" si="0"/>
        <v>0</v>
      </c>
      <c r="G69" s="4"/>
      <c r="H69" s="177"/>
      <c r="I69" s="177"/>
    </row>
    <row r="70" spans="1:9">
      <c r="A70" s="154">
        <v>61</v>
      </c>
      <c r="B70" s="305"/>
      <c r="C70" s="306"/>
      <c r="D70" s="306"/>
      <c r="E70" s="306"/>
      <c r="F70" s="36">
        <f t="shared" si="0"/>
        <v>0</v>
      </c>
      <c r="G70" s="4"/>
      <c r="H70" s="177"/>
      <c r="I70" s="177"/>
    </row>
    <row r="71" spans="1:9">
      <c r="A71" s="154">
        <v>62</v>
      </c>
      <c r="B71" s="305"/>
      <c r="C71" s="306"/>
      <c r="D71" s="306"/>
      <c r="E71" s="306"/>
      <c r="F71" s="36">
        <f t="shared" si="0"/>
        <v>0</v>
      </c>
      <c r="G71" s="4"/>
      <c r="H71" s="177"/>
      <c r="I71" s="177"/>
    </row>
    <row r="72" spans="1:9">
      <c r="A72" s="154">
        <v>63</v>
      </c>
      <c r="B72" s="305"/>
      <c r="C72" s="306"/>
      <c r="D72" s="306"/>
      <c r="E72" s="306"/>
      <c r="F72" s="36">
        <f t="shared" si="0"/>
        <v>0</v>
      </c>
      <c r="G72" s="4"/>
      <c r="H72" s="177"/>
      <c r="I72" s="177"/>
    </row>
    <row r="73" spans="1:9">
      <c r="A73" s="154">
        <v>64</v>
      </c>
      <c r="B73" s="305"/>
      <c r="C73" s="306"/>
      <c r="D73" s="306"/>
      <c r="E73" s="306"/>
      <c r="F73" s="36">
        <f t="shared" si="0"/>
        <v>0</v>
      </c>
      <c r="G73" s="4"/>
      <c r="H73" s="177"/>
      <c r="I73" s="177"/>
    </row>
    <row r="74" spans="1:9">
      <c r="A74" s="154">
        <v>65</v>
      </c>
      <c r="B74" s="305"/>
      <c r="C74" s="306"/>
      <c r="D74" s="306"/>
      <c r="E74" s="306"/>
      <c r="F74" s="36">
        <f t="shared" ref="F74:F109" si="1">SUM(B74:E74)</f>
        <v>0</v>
      </c>
      <c r="G74" s="4"/>
      <c r="H74" s="177"/>
      <c r="I74" s="177"/>
    </row>
    <row r="75" spans="1:9">
      <c r="A75" s="154">
        <v>66</v>
      </c>
      <c r="B75" s="305"/>
      <c r="C75" s="306"/>
      <c r="D75" s="306"/>
      <c r="E75" s="306"/>
      <c r="F75" s="36">
        <f t="shared" si="1"/>
        <v>0</v>
      </c>
      <c r="G75" s="4"/>
      <c r="H75" s="177"/>
      <c r="I75" s="177"/>
    </row>
    <row r="76" spans="1:9">
      <c r="A76" s="154">
        <v>67</v>
      </c>
      <c r="B76" s="305"/>
      <c r="C76" s="306"/>
      <c r="D76" s="306"/>
      <c r="E76" s="306"/>
      <c r="F76" s="36">
        <f t="shared" si="1"/>
        <v>0</v>
      </c>
      <c r="G76" s="4"/>
      <c r="H76" s="177"/>
      <c r="I76" s="177"/>
    </row>
    <row r="77" spans="1:9">
      <c r="A77" s="154">
        <v>68</v>
      </c>
      <c r="B77" s="305"/>
      <c r="C77" s="306"/>
      <c r="D77" s="306"/>
      <c r="E77" s="306"/>
      <c r="F77" s="36">
        <f t="shared" si="1"/>
        <v>0</v>
      </c>
      <c r="G77" s="4"/>
      <c r="H77" s="177"/>
      <c r="I77" s="177"/>
    </row>
    <row r="78" spans="1:9">
      <c r="A78" s="154">
        <v>69</v>
      </c>
      <c r="B78" s="305"/>
      <c r="C78" s="306"/>
      <c r="D78" s="306"/>
      <c r="E78" s="306"/>
      <c r="F78" s="36">
        <f t="shared" si="1"/>
        <v>0</v>
      </c>
      <c r="G78" s="4"/>
      <c r="H78" s="177"/>
      <c r="I78" s="177"/>
    </row>
    <row r="79" spans="1:9">
      <c r="A79" s="154">
        <v>70</v>
      </c>
      <c r="B79" s="305"/>
      <c r="C79" s="306"/>
      <c r="D79" s="306"/>
      <c r="E79" s="306"/>
      <c r="F79" s="36">
        <f t="shared" si="1"/>
        <v>0</v>
      </c>
      <c r="G79" s="4"/>
      <c r="H79" s="177"/>
      <c r="I79" s="177"/>
    </row>
    <row r="80" spans="1:9">
      <c r="A80" s="154">
        <v>71</v>
      </c>
      <c r="B80" s="305"/>
      <c r="C80" s="306"/>
      <c r="D80" s="306"/>
      <c r="E80" s="306"/>
      <c r="F80" s="36">
        <f t="shared" si="1"/>
        <v>0</v>
      </c>
      <c r="G80" s="4"/>
      <c r="H80" s="177"/>
      <c r="I80" s="177"/>
    </row>
    <row r="81" spans="1:9">
      <c r="A81" s="154">
        <v>72</v>
      </c>
      <c r="B81" s="305"/>
      <c r="C81" s="306"/>
      <c r="D81" s="306"/>
      <c r="E81" s="306"/>
      <c r="F81" s="36">
        <f t="shared" si="1"/>
        <v>0</v>
      </c>
      <c r="G81" s="4"/>
      <c r="H81" s="177"/>
      <c r="I81" s="177"/>
    </row>
    <row r="82" spans="1:9">
      <c r="A82" s="154">
        <v>73</v>
      </c>
      <c r="B82" s="305"/>
      <c r="C82" s="306"/>
      <c r="D82" s="306"/>
      <c r="E82" s="306"/>
      <c r="F82" s="36">
        <f t="shared" si="1"/>
        <v>0</v>
      </c>
      <c r="G82" s="4"/>
      <c r="H82" s="177"/>
      <c r="I82" s="177"/>
    </row>
    <row r="83" spans="1:9">
      <c r="A83" s="154">
        <v>74</v>
      </c>
      <c r="B83" s="305"/>
      <c r="C83" s="306"/>
      <c r="D83" s="306"/>
      <c r="E83" s="306"/>
      <c r="F83" s="36">
        <f t="shared" si="1"/>
        <v>0</v>
      </c>
      <c r="G83" s="4"/>
      <c r="H83" s="177"/>
      <c r="I83" s="177"/>
    </row>
    <row r="84" spans="1:9">
      <c r="A84" s="154">
        <v>75</v>
      </c>
      <c r="B84" s="305"/>
      <c r="C84" s="306"/>
      <c r="D84" s="306"/>
      <c r="E84" s="306"/>
      <c r="F84" s="36">
        <f t="shared" si="1"/>
        <v>0</v>
      </c>
      <c r="G84" s="4"/>
      <c r="H84" s="177"/>
      <c r="I84" s="177"/>
    </row>
    <row r="85" spans="1:9">
      <c r="A85" s="154">
        <v>76</v>
      </c>
      <c r="B85" s="305"/>
      <c r="C85" s="306"/>
      <c r="D85" s="306"/>
      <c r="E85" s="306"/>
      <c r="F85" s="36">
        <f t="shared" si="1"/>
        <v>0</v>
      </c>
      <c r="G85" s="4"/>
      <c r="H85" s="177"/>
      <c r="I85" s="177"/>
    </row>
    <row r="86" spans="1:9">
      <c r="A86" s="154">
        <v>77</v>
      </c>
      <c r="B86" s="305"/>
      <c r="C86" s="306"/>
      <c r="D86" s="306"/>
      <c r="E86" s="306"/>
      <c r="F86" s="36">
        <f t="shared" si="1"/>
        <v>0</v>
      </c>
      <c r="G86" s="4"/>
      <c r="H86" s="177"/>
      <c r="I86" s="177"/>
    </row>
    <row r="87" spans="1:9">
      <c r="A87" s="154">
        <v>78</v>
      </c>
      <c r="B87" s="305"/>
      <c r="C87" s="306"/>
      <c r="D87" s="306"/>
      <c r="E87" s="306"/>
      <c r="F87" s="36">
        <f t="shared" si="1"/>
        <v>0</v>
      </c>
      <c r="G87" s="4"/>
      <c r="H87" s="177"/>
      <c r="I87" s="177"/>
    </row>
    <row r="88" spans="1:9">
      <c r="A88" s="154">
        <v>79</v>
      </c>
      <c r="B88" s="305"/>
      <c r="C88" s="306"/>
      <c r="D88" s="306"/>
      <c r="E88" s="306"/>
      <c r="F88" s="36">
        <f t="shared" si="1"/>
        <v>0</v>
      </c>
      <c r="G88" s="4"/>
      <c r="H88" s="177"/>
      <c r="I88" s="177"/>
    </row>
    <row r="89" spans="1:9">
      <c r="A89" s="154">
        <v>80</v>
      </c>
      <c r="B89" s="305"/>
      <c r="C89" s="306"/>
      <c r="D89" s="306"/>
      <c r="E89" s="306"/>
      <c r="F89" s="36">
        <f t="shared" si="1"/>
        <v>0</v>
      </c>
      <c r="G89" s="4"/>
      <c r="H89" s="177"/>
      <c r="I89" s="177"/>
    </row>
    <row r="90" spans="1:9">
      <c r="A90" s="154">
        <v>81</v>
      </c>
      <c r="B90" s="305"/>
      <c r="C90" s="306"/>
      <c r="D90" s="306"/>
      <c r="E90" s="306"/>
      <c r="F90" s="36">
        <f t="shared" si="1"/>
        <v>0</v>
      </c>
      <c r="G90" s="4"/>
      <c r="H90" s="177"/>
      <c r="I90" s="177"/>
    </row>
    <row r="91" spans="1:9">
      <c r="A91" s="154">
        <v>82</v>
      </c>
      <c r="B91" s="305"/>
      <c r="C91" s="306"/>
      <c r="D91" s="306"/>
      <c r="E91" s="306"/>
      <c r="F91" s="36">
        <f t="shared" si="1"/>
        <v>0</v>
      </c>
      <c r="G91" s="4"/>
      <c r="H91" s="177"/>
      <c r="I91" s="177"/>
    </row>
    <row r="92" spans="1:9">
      <c r="A92" s="154">
        <v>83</v>
      </c>
      <c r="B92" s="305"/>
      <c r="C92" s="306"/>
      <c r="D92" s="306"/>
      <c r="E92" s="306"/>
      <c r="F92" s="36">
        <f t="shared" si="1"/>
        <v>0</v>
      </c>
      <c r="G92" s="4"/>
      <c r="H92" s="177"/>
      <c r="I92" s="177"/>
    </row>
    <row r="93" spans="1:9">
      <c r="A93" s="154">
        <v>84</v>
      </c>
      <c r="B93" s="305"/>
      <c r="C93" s="306"/>
      <c r="D93" s="306"/>
      <c r="E93" s="306"/>
      <c r="F93" s="36">
        <f t="shared" si="1"/>
        <v>0</v>
      </c>
      <c r="G93" s="4"/>
      <c r="H93" s="177"/>
      <c r="I93" s="177"/>
    </row>
    <row r="94" spans="1:9">
      <c r="A94" s="154">
        <v>85</v>
      </c>
      <c r="B94" s="305"/>
      <c r="C94" s="306"/>
      <c r="D94" s="306"/>
      <c r="E94" s="306"/>
      <c r="F94" s="36">
        <f t="shared" si="1"/>
        <v>0</v>
      </c>
      <c r="G94" s="4"/>
      <c r="H94" s="177"/>
      <c r="I94" s="177"/>
    </row>
    <row r="95" spans="1:9">
      <c r="A95" s="154">
        <v>86</v>
      </c>
      <c r="B95" s="305"/>
      <c r="C95" s="306"/>
      <c r="D95" s="306"/>
      <c r="E95" s="306"/>
      <c r="F95" s="36">
        <f t="shared" si="1"/>
        <v>0</v>
      </c>
      <c r="G95" s="4"/>
      <c r="H95" s="177"/>
      <c r="I95" s="177"/>
    </row>
    <row r="96" spans="1:9">
      <c r="A96" s="154">
        <v>87</v>
      </c>
      <c r="B96" s="305"/>
      <c r="C96" s="306"/>
      <c r="D96" s="306"/>
      <c r="E96" s="306"/>
      <c r="F96" s="36">
        <f t="shared" si="1"/>
        <v>0</v>
      </c>
      <c r="G96" s="4"/>
      <c r="H96" s="177"/>
      <c r="I96" s="177"/>
    </row>
    <row r="97" spans="1:9">
      <c r="A97" s="154">
        <v>88</v>
      </c>
      <c r="B97" s="305"/>
      <c r="C97" s="306"/>
      <c r="D97" s="306"/>
      <c r="E97" s="306"/>
      <c r="F97" s="36">
        <f t="shared" si="1"/>
        <v>0</v>
      </c>
      <c r="G97" s="4"/>
      <c r="H97" s="177"/>
      <c r="I97" s="177"/>
    </row>
    <row r="98" spans="1:9">
      <c r="A98" s="154">
        <v>89</v>
      </c>
      <c r="B98" s="305"/>
      <c r="C98" s="306"/>
      <c r="D98" s="306"/>
      <c r="E98" s="306"/>
      <c r="F98" s="36">
        <f t="shared" si="1"/>
        <v>0</v>
      </c>
      <c r="G98" s="4"/>
      <c r="H98" s="177"/>
      <c r="I98" s="177"/>
    </row>
    <row r="99" spans="1:9">
      <c r="A99" s="154">
        <v>90</v>
      </c>
      <c r="B99" s="305"/>
      <c r="C99" s="306"/>
      <c r="D99" s="306"/>
      <c r="E99" s="306"/>
      <c r="F99" s="36">
        <f t="shared" si="1"/>
        <v>0</v>
      </c>
      <c r="G99" s="4"/>
      <c r="H99" s="177"/>
      <c r="I99" s="177"/>
    </row>
    <row r="100" spans="1:9">
      <c r="A100" s="154">
        <v>91</v>
      </c>
      <c r="B100" s="305"/>
      <c r="C100" s="306"/>
      <c r="D100" s="306"/>
      <c r="E100" s="306"/>
      <c r="F100" s="36">
        <f t="shared" si="1"/>
        <v>0</v>
      </c>
      <c r="G100" s="4"/>
      <c r="H100" s="177"/>
      <c r="I100" s="177"/>
    </row>
    <row r="101" spans="1:9">
      <c r="A101" s="154">
        <v>92</v>
      </c>
      <c r="B101" s="305"/>
      <c r="C101" s="306"/>
      <c r="D101" s="306"/>
      <c r="E101" s="306"/>
      <c r="F101" s="36">
        <f t="shared" si="1"/>
        <v>0</v>
      </c>
      <c r="G101" s="4"/>
      <c r="H101" s="177"/>
      <c r="I101" s="177"/>
    </row>
    <row r="102" spans="1:9">
      <c r="A102" s="154">
        <v>93</v>
      </c>
      <c r="B102" s="305"/>
      <c r="C102" s="306"/>
      <c r="D102" s="306"/>
      <c r="E102" s="306"/>
      <c r="F102" s="36">
        <f t="shared" si="1"/>
        <v>0</v>
      </c>
      <c r="G102" s="4"/>
      <c r="H102" s="177"/>
      <c r="I102" s="177"/>
    </row>
    <row r="103" spans="1:9">
      <c r="A103" s="154">
        <v>94</v>
      </c>
      <c r="B103" s="305"/>
      <c r="C103" s="306"/>
      <c r="D103" s="306"/>
      <c r="E103" s="306"/>
      <c r="F103" s="36">
        <f t="shared" si="1"/>
        <v>0</v>
      </c>
      <c r="G103" s="4"/>
      <c r="H103" s="177"/>
      <c r="I103" s="177"/>
    </row>
    <row r="104" spans="1:9">
      <c r="A104" s="154">
        <v>95</v>
      </c>
      <c r="B104" s="305"/>
      <c r="C104" s="306"/>
      <c r="D104" s="306"/>
      <c r="E104" s="306"/>
      <c r="F104" s="36">
        <f t="shared" si="1"/>
        <v>0</v>
      </c>
      <c r="G104" s="4"/>
      <c r="H104" s="177"/>
      <c r="I104" s="177"/>
    </row>
    <row r="105" spans="1:9">
      <c r="A105" s="154">
        <v>96</v>
      </c>
      <c r="B105" s="305"/>
      <c r="C105" s="306"/>
      <c r="D105" s="306"/>
      <c r="E105" s="306"/>
      <c r="F105" s="36">
        <f t="shared" si="1"/>
        <v>0</v>
      </c>
      <c r="G105" s="4"/>
      <c r="H105" s="177"/>
      <c r="I105" s="177"/>
    </row>
    <row r="106" spans="1:9">
      <c r="A106" s="154">
        <v>97</v>
      </c>
      <c r="B106" s="305"/>
      <c r="C106" s="306"/>
      <c r="D106" s="306"/>
      <c r="E106" s="306"/>
      <c r="F106" s="36">
        <f t="shared" si="1"/>
        <v>0</v>
      </c>
      <c r="G106" s="4"/>
      <c r="H106" s="177"/>
      <c r="I106" s="177"/>
    </row>
    <row r="107" spans="1:9">
      <c r="A107" s="154">
        <v>98</v>
      </c>
      <c r="B107" s="305"/>
      <c r="C107" s="306"/>
      <c r="D107" s="306"/>
      <c r="E107" s="306"/>
      <c r="F107" s="36">
        <f t="shared" si="1"/>
        <v>0</v>
      </c>
      <c r="G107" s="4"/>
      <c r="H107" s="177"/>
      <c r="I107" s="177"/>
    </row>
    <row r="108" spans="1:9">
      <c r="A108" s="154">
        <v>99</v>
      </c>
      <c r="B108" s="305"/>
      <c r="C108" s="306"/>
      <c r="D108" s="306"/>
      <c r="E108" s="306"/>
      <c r="F108" s="36">
        <f t="shared" si="1"/>
        <v>0</v>
      </c>
      <c r="G108" s="4"/>
      <c r="H108" s="177"/>
      <c r="I108" s="177"/>
    </row>
    <row r="109" spans="1:9">
      <c r="A109" s="154">
        <v>100</v>
      </c>
      <c r="B109" s="305"/>
      <c r="C109" s="306"/>
      <c r="D109" s="306"/>
      <c r="E109" s="306"/>
      <c r="F109" s="36">
        <f t="shared" si="1"/>
        <v>0</v>
      </c>
      <c r="G109" s="4"/>
      <c r="H109" s="177"/>
      <c r="I109" s="177"/>
    </row>
    <row r="110" spans="1:9">
      <c r="A110" s="179" t="s">
        <v>61</v>
      </c>
      <c r="B110" s="175">
        <f>SUM(B10:B109)</f>
        <v>0</v>
      </c>
      <c r="C110" s="175">
        <f>SUM(C10:C109)</f>
        <v>0</v>
      </c>
      <c r="D110" s="175">
        <f>SUM(D10:D109)</f>
        <v>0</v>
      </c>
      <c r="E110" s="175">
        <f>SUM(E10:E109)</f>
        <v>0</v>
      </c>
      <c r="F110" s="175">
        <f>SUM(F10:F109)</f>
        <v>0</v>
      </c>
      <c r="G110" s="4"/>
      <c r="H110" s="177"/>
      <c r="I110" s="177"/>
    </row>
    <row r="111" spans="1:9">
      <c r="A111" s="3"/>
      <c r="B111" s="30"/>
      <c r="C111" s="31"/>
      <c r="D111" s="31"/>
      <c r="E111" s="31"/>
      <c r="F111" s="31"/>
      <c r="G111" s="4"/>
      <c r="H111" s="177"/>
      <c r="I111" s="177"/>
    </row>
    <row r="112" spans="1:9">
      <c r="A112" s="4"/>
      <c r="B112" s="3"/>
      <c r="C112" s="4"/>
      <c r="D112" s="4"/>
      <c r="E112" s="4"/>
      <c r="F112" s="4"/>
      <c r="G112" s="4"/>
      <c r="H112" s="177"/>
      <c r="I112" s="177"/>
    </row>
    <row r="113" spans="1:9">
      <c r="A113" s="32"/>
      <c r="B113" s="3"/>
      <c r="C113" s="4"/>
      <c r="D113" s="4"/>
      <c r="E113" s="4"/>
      <c r="F113" s="4"/>
      <c r="G113" s="4"/>
      <c r="H113" s="177"/>
      <c r="I113" s="177"/>
    </row>
    <row r="114" spans="1:9">
      <c r="A114" s="4"/>
      <c r="B114" s="4"/>
      <c r="C114" s="4"/>
      <c r="D114" s="4"/>
      <c r="E114" s="4"/>
      <c r="F114" s="4"/>
      <c r="G114" s="4"/>
      <c r="H114" s="177"/>
      <c r="I114" s="177"/>
    </row>
  </sheetData>
  <sheetProtection scenarios="1"/>
  <mergeCells count="5">
    <mergeCell ref="B3:C3"/>
    <mergeCell ref="F3:H3"/>
    <mergeCell ref="B4:C4"/>
    <mergeCell ref="F6:G6"/>
    <mergeCell ref="F5:H5"/>
  </mergeCells>
  <conditionalFormatting sqref="A2:I4 A6:I114 A5:F5 I5">
    <cfRule type="expression" dxfId="13" priority="1" stopIfTrue="1">
      <formula>CELL("Protect",A2)=1</formula>
    </cfRule>
  </conditionalFormatting>
  <dataValidations count="1">
    <dataValidation type="list" allowBlank="1" showInputMessage="1" showErrorMessage="1" sqref="F5:H5" xr:uid="{00000000-0002-0000-0600-000000000000}">
      <formula1>Units</formula1>
    </dataValidation>
  </dataValidations>
  <pageMargins left="0.78740157499999996" right="0.78740157499999996" top="0.984251969" bottom="0.984251969" header="0.4921259845" footer="0.492125984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10">
    <tabColor theme="6" tint="0.59999389629810485"/>
  </sheetPr>
  <dimension ref="A1:I114"/>
  <sheetViews>
    <sheetView tabSelected="1" workbookViewId="0">
      <pane ySplit="9" topLeftCell="A91" activePane="bottomLeft" state="frozen"/>
      <selection activeCell="G5" sqref="G5:J5"/>
      <selection pane="bottomLeft" activeCell="H109" sqref="H109"/>
    </sheetView>
  </sheetViews>
  <sheetFormatPr defaultColWidth="11.5703125" defaultRowHeight="12.75"/>
  <cols>
    <col min="1" max="1" width="15.7109375" style="1" customWidth="1"/>
    <col min="2" max="2" width="11.85546875" style="1" customWidth="1"/>
    <col min="3" max="8" width="11.85546875" customWidth="1"/>
  </cols>
  <sheetData>
    <row r="1" spans="1:9" s="7" customFormat="1" ht="19.5" customHeight="1">
      <c r="A1" s="343" t="s">
        <v>113</v>
      </c>
      <c r="B1" s="343"/>
      <c r="C1" s="343"/>
      <c r="D1" s="343"/>
      <c r="E1" s="343"/>
      <c r="F1" s="343"/>
      <c r="G1" s="343"/>
      <c r="H1" s="343"/>
      <c r="I1" s="343"/>
    </row>
    <row r="2" spans="1:9" s="7" customFormat="1" ht="19.5" customHeight="1" thickBot="1">
      <c r="A2" s="261" t="s">
        <v>114</v>
      </c>
      <c r="B2" s="6"/>
      <c r="C2" s="11"/>
      <c r="D2" s="6"/>
      <c r="E2" s="6"/>
      <c r="F2" s="6"/>
      <c r="G2" s="6"/>
      <c r="H2" s="6"/>
      <c r="I2" s="6"/>
    </row>
    <row r="3" spans="1:9" s="7" customFormat="1" ht="18" customHeight="1" thickBot="1">
      <c r="A3" s="259" t="s">
        <v>106</v>
      </c>
      <c r="B3" s="375" t="str">
        <f>'START HERE'!F6</f>
        <v>EU</v>
      </c>
      <c r="C3" s="376"/>
      <c r="D3" s="6"/>
      <c r="E3" s="30" t="s">
        <v>38</v>
      </c>
      <c r="F3" s="372" t="s">
        <v>84</v>
      </c>
      <c r="G3" s="373"/>
      <c r="H3" s="374"/>
      <c r="I3" s="35"/>
    </row>
    <row r="4" spans="1:9" s="7" customFormat="1" ht="18" customHeight="1">
      <c r="A4" s="12" t="s">
        <v>18</v>
      </c>
      <c r="B4" s="375" t="str">
        <f>'START HERE'!F5</f>
        <v>Jack mackerel</v>
      </c>
      <c r="C4" s="376"/>
      <c r="D4" s="26"/>
      <c r="E4" s="13"/>
      <c r="F4" s="73"/>
      <c r="G4" s="161"/>
      <c r="H4" s="74"/>
      <c r="I4" s="35"/>
    </row>
    <row r="5" spans="1:9" s="7" customFormat="1" ht="18" customHeight="1">
      <c r="A5" s="12" t="s">
        <v>13</v>
      </c>
      <c r="B5" s="118">
        <f>'START HERE'!$K$3</f>
        <v>2010</v>
      </c>
      <c r="C5" s="258"/>
      <c r="D5" s="6"/>
      <c r="E5" s="34" t="s">
        <v>39</v>
      </c>
      <c r="F5" s="377" t="s">
        <v>142</v>
      </c>
      <c r="G5" s="378"/>
      <c r="H5" s="379"/>
      <c r="I5" s="35"/>
    </row>
    <row r="6" spans="1:9" s="7" customFormat="1" ht="18" customHeight="1" thickBot="1">
      <c r="A6" s="12"/>
      <c r="B6" s="71"/>
      <c r="C6" s="72"/>
      <c r="D6" s="6"/>
      <c r="E6" s="34" t="s">
        <v>14</v>
      </c>
      <c r="F6" s="380" t="str">
        <f>'START HERE'!$F8</f>
        <v>13/6/2022</v>
      </c>
      <c r="G6" s="381"/>
      <c r="H6" s="304"/>
      <c r="I6" s="35"/>
    </row>
    <row r="7" spans="1:9" s="7" customFormat="1" ht="9.75" customHeight="1">
      <c r="A7" s="6"/>
      <c r="B7" s="6"/>
      <c r="C7" s="6"/>
      <c r="D7" s="6"/>
      <c r="E7" s="6"/>
      <c r="F7" s="6"/>
      <c r="G7" s="6"/>
      <c r="H7" s="6"/>
      <c r="I7" s="6"/>
    </row>
    <row r="8" spans="1:9" ht="18" customHeight="1">
      <c r="A8" s="27" t="str">
        <f>'START HERE'!$F$13</f>
        <v>fork length</v>
      </c>
      <c r="B8" s="27" t="s">
        <v>51</v>
      </c>
      <c r="C8" s="27" t="s">
        <v>30</v>
      </c>
      <c r="D8" s="27" t="s">
        <v>31</v>
      </c>
      <c r="E8" s="27" t="s">
        <v>32</v>
      </c>
      <c r="F8" s="27" t="s">
        <v>41</v>
      </c>
      <c r="G8" s="4"/>
      <c r="H8" s="177"/>
      <c r="I8" s="177"/>
    </row>
    <row r="9" spans="1:9" ht="18">
      <c r="A9" s="28" t="s">
        <v>42</v>
      </c>
      <c r="B9" s="181">
        <f>'START HERE'!$K$3</f>
        <v>2010</v>
      </c>
      <c r="C9" s="181">
        <f>'START HERE'!$K$3</f>
        <v>2010</v>
      </c>
      <c r="D9" s="181">
        <f>'START HERE'!$K$3</f>
        <v>2010</v>
      </c>
      <c r="E9" s="181">
        <f>'START HERE'!$K$3</f>
        <v>2010</v>
      </c>
      <c r="F9" s="180">
        <f>'START HERE'!$K$3</f>
        <v>2010</v>
      </c>
      <c r="G9" s="4"/>
      <c r="H9" s="177"/>
      <c r="I9" s="177"/>
    </row>
    <row r="10" spans="1:9">
      <c r="A10" s="154">
        <v>1</v>
      </c>
      <c r="B10" s="305"/>
      <c r="C10" s="306"/>
      <c r="D10" s="306"/>
      <c r="E10" s="306"/>
      <c r="F10" s="36">
        <f t="shared" ref="F10:F23" si="0">SUM(B10:E10)</f>
        <v>0</v>
      </c>
      <c r="G10" s="4"/>
      <c r="H10" s="177"/>
      <c r="I10" s="177"/>
    </row>
    <row r="11" spans="1:9">
      <c r="A11" s="154">
        <v>2</v>
      </c>
      <c r="B11" s="305"/>
      <c r="C11" s="306"/>
      <c r="D11" s="306"/>
      <c r="E11" s="306"/>
      <c r="F11" s="36">
        <f t="shared" si="0"/>
        <v>0</v>
      </c>
      <c r="G11" s="4"/>
      <c r="H11" s="177"/>
      <c r="I11" s="177"/>
    </row>
    <row r="12" spans="1:9">
      <c r="A12" s="154">
        <v>3</v>
      </c>
      <c r="B12" s="305"/>
      <c r="C12" s="306"/>
      <c r="D12" s="306"/>
      <c r="E12" s="306"/>
      <c r="F12" s="36">
        <f t="shared" si="0"/>
        <v>0</v>
      </c>
      <c r="G12" s="4"/>
      <c r="H12" s="177"/>
      <c r="I12" s="177"/>
    </row>
    <row r="13" spans="1:9">
      <c r="A13" s="154">
        <v>4</v>
      </c>
      <c r="B13" s="305"/>
      <c r="C13" s="306"/>
      <c r="D13" s="306"/>
      <c r="E13" s="306"/>
      <c r="F13" s="36">
        <f t="shared" si="0"/>
        <v>0</v>
      </c>
      <c r="G13" s="4"/>
      <c r="H13" s="177"/>
      <c r="I13" s="177"/>
    </row>
    <row r="14" spans="1:9">
      <c r="A14" s="154">
        <v>5</v>
      </c>
      <c r="B14" s="305"/>
      <c r="C14" s="306"/>
      <c r="D14" s="306"/>
      <c r="E14" s="306"/>
      <c r="F14" s="36">
        <f t="shared" si="0"/>
        <v>0</v>
      </c>
      <c r="G14" s="4"/>
      <c r="H14" s="177"/>
      <c r="I14" s="177"/>
    </row>
    <row r="15" spans="1:9">
      <c r="A15" s="154">
        <v>6</v>
      </c>
      <c r="B15" s="305"/>
      <c r="C15" s="306"/>
      <c r="D15" s="306"/>
      <c r="E15" s="306"/>
      <c r="F15" s="36">
        <f t="shared" si="0"/>
        <v>0</v>
      </c>
      <c r="G15" s="4"/>
      <c r="H15" s="177"/>
      <c r="I15" s="177"/>
    </row>
    <row r="16" spans="1:9">
      <c r="A16" s="154">
        <v>7</v>
      </c>
      <c r="B16" s="305"/>
      <c r="C16" s="306"/>
      <c r="D16" s="306"/>
      <c r="E16" s="306"/>
      <c r="F16" s="36">
        <f t="shared" si="0"/>
        <v>0</v>
      </c>
      <c r="G16" s="4"/>
      <c r="H16" s="177"/>
      <c r="I16" s="177"/>
    </row>
    <row r="17" spans="1:9">
      <c r="A17" s="154">
        <v>8</v>
      </c>
      <c r="B17" s="305"/>
      <c r="C17" s="306"/>
      <c r="D17" s="306"/>
      <c r="E17" s="306"/>
      <c r="F17" s="36">
        <f t="shared" si="0"/>
        <v>0</v>
      </c>
      <c r="G17" s="4"/>
      <c r="H17" s="177"/>
      <c r="I17" s="177"/>
    </row>
    <row r="18" spans="1:9">
      <c r="A18" s="154">
        <v>9</v>
      </c>
      <c r="B18" s="305"/>
      <c r="C18" s="306"/>
      <c r="D18" s="306"/>
      <c r="E18" s="306"/>
      <c r="F18" s="36">
        <f t="shared" si="0"/>
        <v>0</v>
      </c>
      <c r="G18" s="4"/>
      <c r="H18" s="177"/>
      <c r="I18" s="177"/>
    </row>
    <row r="19" spans="1:9">
      <c r="A19" s="154">
        <v>10</v>
      </c>
      <c r="B19" s="305"/>
      <c r="C19" s="306"/>
      <c r="D19" s="306"/>
      <c r="E19" s="306"/>
      <c r="F19" s="36">
        <f t="shared" si="0"/>
        <v>0</v>
      </c>
      <c r="G19" s="4"/>
      <c r="H19" s="177"/>
      <c r="I19" s="177"/>
    </row>
    <row r="20" spans="1:9">
      <c r="A20" s="154">
        <v>11</v>
      </c>
      <c r="B20" s="305"/>
      <c r="C20" s="306"/>
      <c r="D20" s="306"/>
      <c r="E20" s="306"/>
      <c r="F20" s="36">
        <f t="shared" si="0"/>
        <v>0</v>
      </c>
      <c r="G20" s="4"/>
      <c r="H20" s="177"/>
      <c r="I20" s="177"/>
    </row>
    <row r="21" spans="1:9">
      <c r="A21" s="154">
        <v>12</v>
      </c>
      <c r="B21" s="305"/>
      <c r="C21" s="306"/>
      <c r="D21" s="306"/>
      <c r="E21" s="306"/>
      <c r="F21" s="36">
        <f t="shared" si="0"/>
        <v>0</v>
      </c>
      <c r="G21" s="4"/>
      <c r="H21" s="177"/>
      <c r="I21" s="177"/>
    </row>
    <row r="22" spans="1:9">
      <c r="A22" s="154">
        <v>13</v>
      </c>
      <c r="B22" s="305"/>
      <c r="C22" s="306"/>
      <c r="D22" s="306"/>
      <c r="E22" s="306"/>
      <c r="F22" s="36">
        <f t="shared" si="0"/>
        <v>0</v>
      </c>
      <c r="G22" s="4"/>
      <c r="H22" s="177"/>
      <c r="I22" s="177"/>
    </row>
    <row r="23" spans="1:9">
      <c r="A23" s="154">
        <v>14</v>
      </c>
      <c r="B23" s="305"/>
      <c r="C23" s="306"/>
      <c r="D23" s="306"/>
      <c r="E23" s="306"/>
      <c r="F23" s="36">
        <f t="shared" si="0"/>
        <v>0</v>
      </c>
      <c r="G23" s="4"/>
      <c r="H23" s="177"/>
      <c r="I23" s="177"/>
    </row>
    <row r="24" spans="1:9">
      <c r="A24" s="154">
        <v>15</v>
      </c>
      <c r="B24" s="305"/>
      <c r="C24" s="306">
        <v>0</v>
      </c>
      <c r="D24" s="306"/>
      <c r="E24" s="306"/>
      <c r="F24" s="36"/>
      <c r="G24" s="29"/>
      <c r="H24" s="177"/>
      <c r="I24" s="177"/>
    </row>
    <row r="25" spans="1:9">
      <c r="A25" s="154">
        <v>16</v>
      </c>
      <c r="B25" s="305"/>
      <c r="C25" s="306">
        <v>0</v>
      </c>
      <c r="D25" s="306"/>
      <c r="E25" s="306"/>
      <c r="F25" s="36"/>
      <c r="G25" s="4"/>
      <c r="H25" s="177"/>
      <c r="I25" s="177"/>
    </row>
    <row r="26" spans="1:9">
      <c r="A26" s="154">
        <v>17</v>
      </c>
      <c r="B26" s="305"/>
      <c r="C26" s="306">
        <v>1260890.4495485213</v>
      </c>
      <c r="D26" s="306"/>
      <c r="E26" s="306"/>
      <c r="F26" s="36"/>
      <c r="G26" s="4"/>
      <c r="H26" s="177"/>
      <c r="I26" s="177"/>
    </row>
    <row r="27" spans="1:9">
      <c r="A27" s="154">
        <v>18</v>
      </c>
      <c r="B27" s="305"/>
      <c r="C27" s="306">
        <v>12650161.828885822</v>
      </c>
      <c r="D27" s="306"/>
      <c r="E27" s="306"/>
      <c r="F27" s="36"/>
      <c r="G27" s="4"/>
      <c r="H27" s="177"/>
      <c r="I27" s="177"/>
    </row>
    <row r="28" spans="1:9">
      <c r="A28" s="154">
        <v>19</v>
      </c>
      <c r="B28" s="305"/>
      <c r="C28" s="306">
        <v>20530461.537275258</v>
      </c>
      <c r="D28" s="306"/>
      <c r="E28" s="306"/>
      <c r="F28" s="36"/>
      <c r="G28" s="4"/>
      <c r="H28" s="177"/>
      <c r="I28" s="177"/>
    </row>
    <row r="29" spans="1:9">
      <c r="A29" s="154">
        <v>20</v>
      </c>
      <c r="B29" s="305"/>
      <c r="C29" s="306">
        <v>20951582.172210108</v>
      </c>
      <c r="D29" s="306"/>
      <c r="E29" s="306"/>
      <c r="F29" s="36"/>
      <c r="G29" s="4"/>
      <c r="H29" s="177"/>
      <c r="I29" s="177"/>
    </row>
    <row r="30" spans="1:9">
      <c r="A30" s="154">
        <v>21</v>
      </c>
      <c r="B30" s="305"/>
      <c r="C30" s="306">
        <v>16826488.244052518</v>
      </c>
      <c r="D30" s="306"/>
      <c r="E30" s="306"/>
      <c r="F30" s="36"/>
      <c r="G30" s="4"/>
      <c r="H30" s="177"/>
      <c r="I30" s="177"/>
    </row>
    <row r="31" spans="1:9">
      <c r="A31" s="154">
        <v>22</v>
      </c>
      <c r="B31" s="305"/>
      <c r="C31" s="306">
        <v>13598799.75793422</v>
      </c>
      <c r="D31" s="306"/>
      <c r="E31" s="306"/>
      <c r="F31" s="36"/>
      <c r="G31" s="4"/>
      <c r="H31" s="177"/>
      <c r="I31" s="177"/>
    </row>
    <row r="32" spans="1:9">
      <c r="A32" s="154">
        <v>23</v>
      </c>
      <c r="B32" s="305"/>
      <c r="C32" s="306">
        <v>9100871.1334085763</v>
      </c>
      <c r="D32" s="306"/>
      <c r="E32" s="306"/>
      <c r="F32" s="36"/>
      <c r="G32" s="4"/>
      <c r="H32" s="177"/>
      <c r="I32" s="177"/>
    </row>
    <row r="33" spans="1:9">
      <c r="A33" s="154">
        <v>24</v>
      </c>
      <c r="B33" s="305"/>
      <c r="C33" s="306">
        <v>7113940.0548028518</v>
      </c>
      <c r="D33" s="306"/>
      <c r="E33" s="306"/>
      <c r="F33" s="36"/>
      <c r="G33" s="4"/>
      <c r="H33" s="177"/>
      <c r="I33" s="177"/>
    </row>
    <row r="34" spans="1:9">
      <c r="A34" s="154">
        <v>25</v>
      </c>
      <c r="B34" s="305"/>
      <c r="C34" s="306">
        <v>3309008.7555867056</v>
      </c>
      <c r="D34" s="306"/>
      <c r="E34" s="306"/>
      <c r="F34" s="36"/>
      <c r="G34" s="4"/>
      <c r="H34" s="177"/>
      <c r="I34" s="177"/>
    </row>
    <row r="35" spans="1:9">
      <c r="A35" s="154">
        <v>26</v>
      </c>
      <c r="B35" s="305"/>
      <c r="C35" s="306">
        <v>1749841.7276313165</v>
      </c>
      <c r="D35" s="306"/>
      <c r="E35" s="306"/>
      <c r="F35" s="36"/>
      <c r="G35" s="4"/>
      <c r="H35" s="177"/>
      <c r="I35" s="177"/>
    </row>
    <row r="36" spans="1:9">
      <c r="A36" s="154">
        <v>27</v>
      </c>
      <c r="B36" s="305"/>
      <c r="C36" s="306">
        <v>564959.59537247475</v>
      </c>
      <c r="D36" s="306"/>
      <c r="E36" s="306"/>
      <c r="F36" s="36"/>
      <c r="G36" s="4"/>
      <c r="H36" s="177"/>
      <c r="I36" s="177"/>
    </row>
    <row r="37" spans="1:9">
      <c r="A37" s="154">
        <v>28</v>
      </c>
      <c r="B37" s="305"/>
      <c r="C37" s="306">
        <v>81.068727345828407</v>
      </c>
      <c r="D37" s="306"/>
      <c r="E37" s="306"/>
      <c r="F37" s="36"/>
      <c r="G37" s="4"/>
      <c r="H37" s="177"/>
      <c r="I37" s="177"/>
    </row>
    <row r="38" spans="1:9">
      <c r="A38" s="154">
        <v>29</v>
      </c>
      <c r="B38" s="305"/>
      <c r="C38" s="306">
        <v>0</v>
      </c>
      <c r="D38" s="306"/>
      <c r="E38" s="306"/>
      <c r="F38" s="36"/>
      <c r="G38" s="4"/>
      <c r="H38" s="177"/>
      <c r="I38" s="177"/>
    </row>
    <row r="39" spans="1:9">
      <c r="A39" s="154">
        <v>30</v>
      </c>
      <c r="B39" s="305"/>
      <c r="C39" s="306">
        <v>529.631363839247</v>
      </c>
      <c r="D39" s="306"/>
      <c r="E39" s="306"/>
      <c r="F39" s="36"/>
      <c r="G39" s="4"/>
      <c r="H39" s="177"/>
      <c r="I39" s="177"/>
    </row>
    <row r="40" spans="1:9">
      <c r="A40" s="154">
        <v>31</v>
      </c>
      <c r="B40" s="305"/>
      <c r="C40" s="306">
        <v>0</v>
      </c>
      <c r="D40" s="306"/>
      <c r="E40" s="306"/>
      <c r="F40" s="36"/>
      <c r="G40" s="4"/>
      <c r="H40" s="177"/>
      <c r="I40" s="177"/>
    </row>
    <row r="41" spans="1:9">
      <c r="A41" s="154">
        <v>32</v>
      </c>
      <c r="B41" s="305"/>
      <c r="C41" s="306">
        <v>0</v>
      </c>
      <c r="D41" s="306"/>
      <c r="E41" s="306"/>
      <c r="F41" s="36"/>
      <c r="G41" s="4"/>
      <c r="H41" s="177"/>
      <c r="I41" s="177"/>
    </row>
    <row r="42" spans="1:9">
      <c r="A42" s="154">
        <v>33</v>
      </c>
      <c r="B42" s="305"/>
      <c r="C42" s="306">
        <v>26275.038008950891</v>
      </c>
      <c r="D42" s="306"/>
      <c r="E42" s="306"/>
      <c r="F42" s="36"/>
      <c r="G42" s="4"/>
      <c r="H42" s="177"/>
      <c r="I42" s="177"/>
    </row>
    <row r="43" spans="1:9">
      <c r="A43" s="154">
        <v>34</v>
      </c>
      <c r="B43" s="305"/>
      <c r="C43" s="306">
        <v>48171.575603508682</v>
      </c>
      <c r="D43" s="306"/>
      <c r="E43" s="306"/>
      <c r="F43" s="36"/>
      <c r="G43" s="4"/>
      <c r="H43" s="177"/>
      <c r="I43" s="177"/>
    </row>
    <row r="44" spans="1:9">
      <c r="A44" s="154">
        <v>35</v>
      </c>
      <c r="B44" s="305"/>
      <c r="C44" s="306">
        <v>1623821.5888866349</v>
      </c>
      <c r="D44" s="306"/>
      <c r="E44" s="306"/>
      <c r="F44" s="36"/>
      <c r="G44" s="4"/>
      <c r="H44" s="177"/>
      <c r="I44" s="177"/>
    </row>
    <row r="45" spans="1:9">
      <c r="A45" s="154">
        <v>36</v>
      </c>
      <c r="B45" s="305"/>
      <c r="C45" s="306">
        <v>7208518.0377501752</v>
      </c>
      <c r="D45" s="306"/>
      <c r="E45" s="306"/>
      <c r="F45" s="36"/>
      <c r="G45" s="4"/>
      <c r="H45" s="177"/>
      <c r="I45" s="177"/>
    </row>
    <row r="46" spans="1:9">
      <c r="A46" s="154">
        <v>37</v>
      </c>
      <c r="B46" s="305"/>
      <c r="C46" s="306">
        <v>14500427.012898153</v>
      </c>
      <c r="D46" s="306"/>
      <c r="E46" s="306"/>
      <c r="F46" s="36"/>
      <c r="G46" s="4"/>
      <c r="H46" s="177"/>
      <c r="I46" s="177"/>
    </row>
    <row r="47" spans="1:9">
      <c r="A47" s="154">
        <v>38</v>
      </c>
      <c r="B47" s="305"/>
      <c r="C47" s="306">
        <v>12571235.659601793</v>
      </c>
      <c r="D47" s="306"/>
      <c r="E47" s="306"/>
      <c r="F47" s="36"/>
      <c r="G47" s="4"/>
      <c r="H47" s="177"/>
      <c r="I47" s="177"/>
    </row>
    <row r="48" spans="1:9">
      <c r="A48" s="154">
        <v>39</v>
      </c>
      <c r="B48" s="305"/>
      <c r="C48" s="306">
        <v>8419584.3332350198</v>
      </c>
      <c r="D48" s="306"/>
      <c r="E48" s="306"/>
      <c r="F48" s="36"/>
      <c r="G48" s="4"/>
      <c r="H48" s="177"/>
      <c r="I48" s="177"/>
    </row>
    <row r="49" spans="1:9">
      <c r="A49" s="154">
        <v>40</v>
      </c>
      <c r="B49" s="305"/>
      <c r="C49" s="306">
        <v>6860828.700520305</v>
      </c>
      <c r="D49" s="306"/>
      <c r="E49" s="306"/>
      <c r="F49" s="36"/>
      <c r="G49" s="4"/>
      <c r="H49" s="177"/>
      <c r="I49" s="177"/>
    </row>
    <row r="50" spans="1:9">
      <c r="A50" s="154">
        <v>41</v>
      </c>
      <c r="B50" s="305"/>
      <c r="C50" s="306">
        <v>5738577.405984005</v>
      </c>
      <c r="D50" s="306"/>
      <c r="E50" s="306"/>
      <c r="F50" s="36"/>
      <c r="G50" s="4"/>
      <c r="H50" s="177"/>
      <c r="I50" s="177"/>
    </row>
    <row r="51" spans="1:9">
      <c r="A51" s="154">
        <v>42</v>
      </c>
      <c r="B51" s="305"/>
      <c r="C51" s="306">
        <v>3218403.0506412704</v>
      </c>
      <c r="D51" s="306"/>
      <c r="E51" s="306"/>
      <c r="F51" s="36"/>
      <c r="G51" s="4"/>
      <c r="H51" s="177"/>
      <c r="I51" s="177"/>
    </row>
    <row r="52" spans="1:9">
      <c r="A52" s="154">
        <v>43</v>
      </c>
      <c r="B52" s="305"/>
      <c r="C52" s="306">
        <v>3151627.7801206554</v>
      </c>
      <c r="D52" s="306"/>
      <c r="E52" s="306"/>
      <c r="F52" s="36"/>
      <c r="G52" s="4"/>
      <c r="H52" s="177"/>
      <c r="I52" s="177"/>
    </row>
    <row r="53" spans="1:9">
      <c r="A53" s="154">
        <v>44</v>
      </c>
      <c r="B53" s="305"/>
      <c r="C53" s="306">
        <v>2344232.0952176382</v>
      </c>
      <c r="D53" s="306"/>
      <c r="E53" s="306"/>
      <c r="F53" s="36"/>
      <c r="G53" s="4"/>
      <c r="H53" s="177"/>
      <c r="I53" s="177"/>
    </row>
    <row r="54" spans="1:9">
      <c r="A54" s="154">
        <v>45</v>
      </c>
      <c r="B54" s="305"/>
      <c r="C54" s="306">
        <v>1615148.0725314135</v>
      </c>
      <c r="D54" s="306"/>
      <c r="E54" s="306"/>
      <c r="F54" s="36"/>
      <c r="G54" s="4"/>
      <c r="H54" s="177"/>
      <c r="I54" s="177"/>
    </row>
    <row r="55" spans="1:9">
      <c r="A55" s="154">
        <v>46</v>
      </c>
      <c r="B55" s="305"/>
      <c r="C55" s="306">
        <v>1169031.4669291689</v>
      </c>
      <c r="D55" s="306"/>
      <c r="E55" s="306"/>
      <c r="F55" s="36"/>
      <c r="G55" s="4"/>
      <c r="H55" s="177"/>
      <c r="I55" s="177"/>
    </row>
    <row r="56" spans="1:9">
      <c r="A56" s="154">
        <v>47</v>
      </c>
      <c r="B56" s="305"/>
      <c r="C56" s="306">
        <v>1201425.7618594624</v>
      </c>
      <c r="D56" s="306"/>
      <c r="E56" s="306"/>
      <c r="F56" s="36"/>
      <c r="G56" s="4"/>
      <c r="H56" s="177"/>
      <c r="I56" s="177"/>
    </row>
    <row r="57" spans="1:9">
      <c r="A57" s="154">
        <v>48</v>
      </c>
      <c r="B57" s="305"/>
      <c r="C57" s="306">
        <v>1198850.4029934362</v>
      </c>
      <c r="D57" s="306"/>
      <c r="E57" s="306"/>
      <c r="F57" s="36"/>
      <c r="G57" s="4"/>
      <c r="H57" s="177"/>
      <c r="I57" s="177"/>
    </row>
    <row r="58" spans="1:9">
      <c r="A58" s="154">
        <v>49</v>
      </c>
      <c r="B58" s="305"/>
      <c r="C58" s="306">
        <v>751131.36530969839</v>
      </c>
      <c r="D58" s="306"/>
      <c r="E58" s="306"/>
      <c r="F58" s="36"/>
      <c r="G58" s="4"/>
      <c r="H58" s="177"/>
      <c r="I58" s="177"/>
    </row>
    <row r="59" spans="1:9">
      <c r="A59" s="154">
        <v>50</v>
      </c>
      <c r="B59" s="305"/>
      <c r="C59" s="306">
        <v>564141.56557079975</v>
      </c>
      <c r="D59" s="306"/>
      <c r="E59" s="306"/>
      <c r="F59" s="36"/>
      <c r="G59" s="4"/>
      <c r="H59" s="177"/>
      <c r="I59" s="177"/>
    </row>
    <row r="60" spans="1:9">
      <c r="A60" s="154">
        <v>51</v>
      </c>
      <c r="B60" s="305"/>
      <c r="C60" s="306">
        <v>363030.90154517838</v>
      </c>
      <c r="D60" s="306"/>
      <c r="E60" s="306"/>
      <c r="F60" s="36"/>
      <c r="G60" s="4"/>
      <c r="H60" s="177"/>
      <c r="I60" s="177"/>
    </row>
    <row r="61" spans="1:9">
      <c r="A61" s="154">
        <v>52</v>
      </c>
      <c r="B61" s="305"/>
      <c r="C61" s="306">
        <v>135595.36165568818</v>
      </c>
      <c r="D61" s="306"/>
      <c r="E61" s="306"/>
      <c r="F61" s="36"/>
      <c r="G61" s="4"/>
      <c r="H61" s="177"/>
      <c r="I61" s="177"/>
    </row>
    <row r="62" spans="1:9">
      <c r="A62" s="154">
        <v>53</v>
      </c>
      <c r="B62" s="305"/>
      <c r="C62" s="306">
        <v>37400.530302458668</v>
      </c>
      <c r="D62" s="306"/>
      <c r="E62" s="306"/>
      <c r="F62" s="36"/>
      <c r="G62" s="4"/>
      <c r="H62" s="177"/>
      <c r="I62" s="177"/>
    </row>
    <row r="63" spans="1:9">
      <c r="A63" s="154">
        <v>54</v>
      </c>
      <c r="B63" s="305"/>
      <c r="C63" s="306">
        <v>80186.123618501704</v>
      </c>
      <c r="D63" s="306"/>
      <c r="E63" s="306"/>
      <c r="F63" s="36"/>
      <c r="G63" s="4"/>
      <c r="H63" s="177"/>
      <c r="I63" s="177"/>
    </row>
    <row r="64" spans="1:9">
      <c r="A64" s="154">
        <v>55</v>
      </c>
      <c r="B64" s="305"/>
      <c r="C64" s="306">
        <v>6472.7784262408804</v>
      </c>
      <c r="D64" s="306"/>
      <c r="E64" s="306"/>
      <c r="F64" s="36"/>
      <c r="G64" s="4"/>
      <c r="H64" s="177"/>
      <c r="I64" s="177"/>
    </row>
    <row r="65" spans="1:9">
      <c r="A65" s="154">
        <v>56</v>
      </c>
      <c r="B65" s="305"/>
      <c r="C65" s="306"/>
      <c r="D65" s="306"/>
      <c r="E65" s="306"/>
      <c r="F65" s="36"/>
      <c r="G65" s="4"/>
      <c r="H65" s="177"/>
      <c r="I65" s="177"/>
    </row>
    <row r="66" spans="1:9">
      <c r="A66" s="154">
        <v>57</v>
      </c>
      <c r="B66" s="305"/>
      <c r="C66" s="306"/>
      <c r="D66" s="306"/>
      <c r="E66" s="306"/>
      <c r="F66" s="36"/>
      <c r="G66" s="4"/>
      <c r="H66" s="177"/>
      <c r="I66" s="177"/>
    </row>
    <row r="67" spans="1:9">
      <c r="A67" s="154">
        <v>58</v>
      </c>
      <c r="B67" s="305"/>
      <c r="C67" s="306"/>
      <c r="D67" s="306"/>
      <c r="E67" s="306"/>
      <c r="F67" s="36"/>
      <c r="G67" s="4"/>
      <c r="H67" s="177"/>
      <c r="I67" s="177"/>
    </row>
    <row r="68" spans="1:9">
      <c r="A68" s="154">
        <v>59</v>
      </c>
      <c r="B68" s="305"/>
      <c r="C68" s="306"/>
      <c r="D68" s="306"/>
      <c r="E68" s="306"/>
      <c r="F68" s="36"/>
      <c r="G68" s="4"/>
      <c r="H68" s="177"/>
      <c r="I68" s="177"/>
    </row>
    <row r="69" spans="1:9">
      <c r="A69" s="154">
        <v>60</v>
      </c>
      <c r="B69" s="305"/>
      <c r="C69" s="306"/>
      <c r="D69" s="306"/>
      <c r="E69" s="306"/>
      <c r="F69" s="36"/>
      <c r="G69" s="4"/>
      <c r="H69" s="177"/>
      <c r="I69" s="177"/>
    </row>
    <row r="70" spans="1:9">
      <c r="A70" s="154">
        <v>61</v>
      </c>
      <c r="B70" s="305"/>
      <c r="C70" s="306"/>
      <c r="D70" s="306"/>
      <c r="E70" s="306"/>
      <c r="F70" s="36"/>
      <c r="G70" s="4"/>
      <c r="H70" s="177"/>
      <c r="I70" s="177"/>
    </row>
    <row r="71" spans="1:9">
      <c r="A71" s="154">
        <v>62</v>
      </c>
      <c r="B71" s="305"/>
      <c r="C71" s="306"/>
      <c r="D71" s="306"/>
      <c r="E71" s="306"/>
      <c r="F71" s="36"/>
      <c r="G71" s="4"/>
      <c r="H71" s="177"/>
      <c r="I71" s="177"/>
    </row>
    <row r="72" spans="1:9">
      <c r="A72" s="154">
        <v>63</v>
      </c>
      <c r="B72" s="305"/>
      <c r="C72" s="306"/>
      <c r="D72" s="306"/>
      <c r="E72" s="306"/>
      <c r="F72" s="36"/>
      <c r="G72" s="4"/>
      <c r="H72" s="177"/>
      <c r="I72" s="177"/>
    </row>
    <row r="73" spans="1:9">
      <c r="A73" s="154">
        <v>64</v>
      </c>
      <c r="B73" s="305"/>
      <c r="C73" s="306"/>
      <c r="D73" s="306"/>
      <c r="E73" s="306"/>
      <c r="F73" s="36"/>
      <c r="G73" s="4"/>
      <c r="H73" s="177"/>
      <c r="I73" s="177"/>
    </row>
    <row r="74" spans="1:9">
      <c r="A74" s="154">
        <v>65</v>
      </c>
      <c r="B74" s="305"/>
      <c r="C74" s="306"/>
      <c r="D74" s="306"/>
      <c r="E74" s="306"/>
      <c r="F74" s="36"/>
      <c r="G74" s="4"/>
      <c r="H74" s="177"/>
      <c r="I74" s="177"/>
    </row>
    <row r="75" spans="1:9">
      <c r="A75" s="154">
        <v>66</v>
      </c>
      <c r="B75" s="305"/>
      <c r="C75" s="306"/>
      <c r="D75" s="306"/>
      <c r="E75" s="306"/>
      <c r="F75" s="36"/>
      <c r="G75" s="4"/>
      <c r="H75" s="177"/>
      <c r="I75" s="177"/>
    </row>
    <row r="76" spans="1:9">
      <c r="A76" s="154">
        <v>67</v>
      </c>
      <c r="B76" s="305"/>
      <c r="C76" s="306"/>
      <c r="D76" s="306"/>
      <c r="E76" s="306"/>
      <c r="F76" s="36"/>
      <c r="G76" s="4"/>
      <c r="H76" s="177"/>
      <c r="I76" s="177"/>
    </row>
    <row r="77" spans="1:9">
      <c r="A77" s="154">
        <v>68</v>
      </c>
      <c r="B77" s="305"/>
      <c r="C77" s="306"/>
      <c r="D77" s="306"/>
      <c r="E77" s="306"/>
      <c r="F77" s="36"/>
      <c r="G77" s="4"/>
      <c r="H77" s="177"/>
      <c r="I77" s="177"/>
    </row>
    <row r="78" spans="1:9">
      <c r="A78" s="154">
        <v>69</v>
      </c>
      <c r="B78" s="305"/>
      <c r="C78" s="306"/>
      <c r="D78" s="306"/>
      <c r="E78" s="306"/>
      <c r="F78" s="36"/>
      <c r="G78" s="4"/>
      <c r="H78" s="177"/>
      <c r="I78" s="177"/>
    </row>
    <row r="79" spans="1:9">
      <c r="A79" s="154">
        <v>70</v>
      </c>
      <c r="B79" s="305"/>
      <c r="C79" s="306"/>
      <c r="D79" s="306"/>
      <c r="E79" s="306"/>
      <c r="F79" s="36"/>
      <c r="G79" s="4"/>
      <c r="H79" s="177"/>
      <c r="I79" s="177"/>
    </row>
    <row r="80" spans="1:9">
      <c r="A80" s="154">
        <v>71</v>
      </c>
      <c r="B80" s="305"/>
      <c r="C80" s="306"/>
      <c r="D80" s="306"/>
      <c r="E80" s="306"/>
      <c r="F80" s="36"/>
      <c r="G80" s="4"/>
      <c r="H80" s="177"/>
      <c r="I80" s="177"/>
    </row>
    <row r="81" spans="1:9">
      <c r="A81" s="154">
        <v>72</v>
      </c>
      <c r="B81" s="305"/>
      <c r="C81" s="306"/>
      <c r="D81" s="306"/>
      <c r="E81" s="306"/>
      <c r="F81" s="36"/>
      <c r="G81" s="4"/>
      <c r="H81" s="177"/>
      <c r="I81" s="177"/>
    </row>
    <row r="82" spans="1:9">
      <c r="A82" s="154">
        <v>73</v>
      </c>
      <c r="B82" s="305"/>
      <c r="C82" s="306"/>
      <c r="D82" s="306"/>
      <c r="E82" s="306"/>
      <c r="F82" s="36"/>
      <c r="G82" s="4"/>
      <c r="H82" s="177"/>
      <c r="I82" s="177"/>
    </row>
    <row r="83" spans="1:9">
      <c r="A83" s="154">
        <v>74</v>
      </c>
      <c r="B83" s="305"/>
      <c r="C83" s="306"/>
      <c r="D83" s="306"/>
      <c r="E83" s="306"/>
      <c r="F83" s="36"/>
      <c r="G83" s="4"/>
      <c r="H83" s="177"/>
      <c r="I83" s="177"/>
    </row>
    <row r="84" spans="1:9">
      <c r="A84" s="154">
        <v>75</v>
      </c>
      <c r="B84" s="305"/>
      <c r="C84" s="306"/>
      <c r="D84" s="306"/>
      <c r="E84" s="306"/>
      <c r="F84" s="36"/>
      <c r="G84" s="4"/>
      <c r="H84" s="177"/>
      <c r="I84" s="177"/>
    </row>
    <row r="85" spans="1:9">
      <c r="A85" s="154">
        <v>76</v>
      </c>
      <c r="B85" s="305"/>
      <c r="C85" s="306"/>
      <c r="D85" s="306"/>
      <c r="E85" s="306"/>
      <c r="F85" s="36"/>
      <c r="G85" s="4"/>
      <c r="H85" s="177"/>
      <c r="I85" s="177"/>
    </row>
    <row r="86" spans="1:9">
      <c r="A86" s="154">
        <v>77</v>
      </c>
      <c r="B86" s="305"/>
      <c r="C86" s="306"/>
      <c r="D86" s="306"/>
      <c r="E86" s="306"/>
      <c r="F86" s="36"/>
      <c r="G86" s="4"/>
      <c r="H86" s="177"/>
      <c r="I86" s="177"/>
    </row>
    <row r="87" spans="1:9">
      <c r="A87" s="154">
        <v>78</v>
      </c>
      <c r="B87" s="305"/>
      <c r="C87" s="306"/>
      <c r="D87" s="306"/>
      <c r="E87" s="306"/>
      <c r="F87" s="36"/>
      <c r="G87" s="4"/>
      <c r="H87" s="177"/>
      <c r="I87" s="177"/>
    </row>
    <row r="88" spans="1:9">
      <c r="A88" s="154">
        <v>79</v>
      </c>
      <c r="B88" s="305"/>
      <c r="C88" s="306"/>
      <c r="D88" s="306"/>
      <c r="E88" s="306"/>
      <c r="F88" s="36"/>
      <c r="G88" s="4"/>
      <c r="H88" s="177"/>
      <c r="I88" s="177"/>
    </row>
    <row r="89" spans="1:9">
      <c r="A89" s="154">
        <v>80</v>
      </c>
      <c r="B89" s="305"/>
      <c r="C89" s="306"/>
      <c r="D89" s="306"/>
      <c r="E89" s="306"/>
      <c r="F89" s="36"/>
      <c r="G89" s="4"/>
      <c r="H89" s="177"/>
      <c r="I89" s="177"/>
    </row>
    <row r="90" spans="1:9">
      <c r="A90" s="154">
        <v>81</v>
      </c>
      <c r="B90" s="305"/>
      <c r="C90" s="306"/>
      <c r="D90" s="306"/>
      <c r="E90" s="306"/>
      <c r="F90" s="36"/>
      <c r="G90" s="4"/>
      <c r="H90" s="177"/>
      <c r="I90" s="177"/>
    </row>
    <row r="91" spans="1:9">
      <c r="A91" s="154">
        <v>82</v>
      </c>
      <c r="B91" s="305"/>
      <c r="C91" s="306"/>
      <c r="D91" s="306"/>
      <c r="E91" s="306"/>
      <c r="F91" s="36"/>
      <c r="G91" s="4"/>
      <c r="H91" s="177"/>
      <c r="I91" s="177"/>
    </row>
    <row r="92" spans="1:9">
      <c r="A92" s="154">
        <v>83</v>
      </c>
      <c r="B92" s="305"/>
      <c r="C92" s="306"/>
      <c r="D92" s="306"/>
      <c r="E92" s="306"/>
      <c r="F92" s="36"/>
      <c r="G92" s="4"/>
      <c r="H92" s="177"/>
      <c r="I92" s="177"/>
    </row>
    <row r="93" spans="1:9">
      <c r="A93" s="154">
        <v>84</v>
      </c>
      <c r="B93" s="305"/>
      <c r="C93" s="306"/>
      <c r="D93" s="306"/>
      <c r="E93" s="306"/>
      <c r="F93" s="36"/>
      <c r="G93" s="4"/>
      <c r="H93" s="177"/>
      <c r="I93" s="177"/>
    </row>
    <row r="94" spans="1:9">
      <c r="A94" s="154">
        <v>85</v>
      </c>
      <c r="B94" s="305"/>
      <c r="C94" s="306"/>
      <c r="D94" s="306"/>
      <c r="E94" s="306"/>
      <c r="F94" s="36"/>
      <c r="G94" s="4"/>
      <c r="H94" s="177"/>
      <c r="I94" s="177"/>
    </row>
    <row r="95" spans="1:9">
      <c r="A95" s="154">
        <v>86</v>
      </c>
      <c r="B95" s="305"/>
      <c r="C95" s="306"/>
      <c r="D95" s="306"/>
      <c r="E95" s="306"/>
      <c r="F95" s="36"/>
      <c r="G95" s="4"/>
      <c r="H95" s="177"/>
      <c r="I95" s="177"/>
    </row>
    <row r="96" spans="1:9">
      <c r="A96" s="154">
        <v>87</v>
      </c>
      <c r="B96" s="305"/>
      <c r="C96" s="306"/>
      <c r="D96" s="306"/>
      <c r="E96" s="306"/>
      <c r="F96" s="36"/>
      <c r="G96" s="4"/>
      <c r="H96" s="177"/>
      <c r="I96" s="177"/>
    </row>
    <row r="97" spans="1:9">
      <c r="A97" s="154">
        <v>88</v>
      </c>
      <c r="B97" s="305"/>
      <c r="C97" s="306"/>
      <c r="D97" s="306"/>
      <c r="E97" s="306"/>
      <c r="F97" s="36"/>
      <c r="G97" s="4"/>
      <c r="H97" s="177"/>
      <c r="I97" s="177"/>
    </row>
    <row r="98" spans="1:9">
      <c r="A98" s="154">
        <v>89</v>
      </c>
      <c r="B98" s="305"/>
      <c r="C98" s="306"/>
      <c r="D98" s="306"/>
      <c r="E98" s="306"/>
      <c r="F98" s="36"/>
      <c r="G98" s="4"/>
      <c r="H98" s="177"/>
      <c r="I98" s="177"/>
    </row>
    <row r="99" spans="1:9">
      <c r="A99" s="154">
        <v>90</v>
      </c>
      <c r="B99" s="305"/>
      <c r="C99" s="306"/>
      <c r="D99" s="306"/>
      <c r="E99" s="306"/>
      <c r="F99" s="36"/>
      <c r="G99" s="4"/>
      <c r="H99" s="177"/>
      <c r="I99" s="177"/>
    </row>
    <row r="100" spans="1:9">
      <c r="A100" s="154">
        <v>91</v>
      </c>
      <c r="B100" s="305"/>
      <c r="C100" s="306"/>
      <c r="D100" s="306"/>
      <c r="E100" s="306"/>
      <c r="F100" s="36"/>
      <c r="G100" s="4"/>
      <c r="H100" s="177"/>
      <c r="I100" s="177"/>
    </row>
    <row r="101" spans="1:9">
      <c r="A101" s="154">
        <v>92</v>
      </c>
      <c r="B101" s="305"/>
      <c r="C101" s="306"/>
      <c r="D101" s="306"/>
      <c r="E101" s="306"/>
      <c r="F101" s="36"/>
      <c r="G101" s="4"/>
      <c r="H101" s="177"/>
      <c r="I101" s="177"/>
    </row>
    <row r="102" spans="1:9">
      <c r="A102" s="154">
        <v>93</v>
      </c>
      <c r="B102" s="305"/>
      <c r="C102" s="306"/>
      <c r="D102" s="306"/>
      <c r="E102" s="306"/>
      <c r="F102" s="36"/>
      <c r="G102" s="4"/>
      <c r="H102" s="177"/>
      <c r="I102" s="177"/>
    </row>
    <row r="103" spans="1:9">
      <c r="A103" s="154">
        <v>94</v>
      </c>
      <c r="B103" s="305"/>
      <c r="C103" s="306"/>
      <c r="D103" s="306"/>
      <c r="E103" s="306"/>
      <c r="F103" s="36"/>
      <c r="G103" s="4"/>
      <c r="H103" s="177"/>
      <c r="I103" s="177"/>
    </row>
    <row r="104" spans="1:9">
      <c r="A104" s="154">
        <v>95</v>
      </c>
      <c r="B104" s="305"/>
      <c r="C104" s="306"/>
      <c r="D104" s="306"/>
      <c r="E104" s="306"/>
      <c r="F104" s="36"/>
      <c r="G104" s="4"/>
      <c r="H104" s="177"/>
      <c r="I104" s="177"/>
    </row>
    <row r="105" spans="1:9">
      <c r="A105" s="154">
        <v>96</v>
      </c>
      <c r="B105" s="305"/>
      <c r="C105" s="306"/>
      <c r="D105" s="306"/>
      <c r="E105" s="306"/>
      <c r="F105" s="36"/>
      <c r="G105" s="4"/>
      <c r="H105" s="177"/>
      <c r="I105" s="177"/>
    </row>
    <row r="106" spans="1:9">
      <c r="A106" s="154">
        <v>97</v>
      </c>
      <c r="B106" s="305"/>
      <c r="C106" s="306"/>
      <c r="D106" s="306"/>
      <c r="E106" s="306"/>
      <c r="F106" s="36"/>
      <c r="G106" s="4"/>
      <c r="H106" s="177"/>
      <c r="I106" s="177"/>
    </row>
    <row r="107" spans="1:9">
      <c r="A107" s="154">
        <v>98</v>
      </c>
      <c r="B107" s="305"/>
      <c r="C107" s="306"/>
      <c r="D107" s="306"/>
      <c r="E107" s="306"/>
      <c r="F107" s="36"/>
      <c r="G107" s="4"/>
      <c r="H107" s="177"/>
      <c r="I107" s="177"/>
    </row>
    <row r="108" spans="1:9">
      <c r="A108" s="154">
        <v>99</v>
      </c>
      <c r="B108" s="305"/>
      <c r="C108" s="306"/>
      <c r="D108" s="306"/>
      <c r="E108" s="306"/>
      <c r="F108" s="36"/>
      <c r="G108" s="4"/>
      <c r="H108" s="177"/>
      <c r="I108" s="177"/>
    </row>
    <row r="109" spans="1:9">
      <c r="A109" s="154">
        <v>100</v>
      </c>
      <c r="B109" s="305"/>
      <c r="C109" s="306"/>
      <c r="D109" s="306"/>
      <c r="E109" s="306"/>
      <c r="F109" s="36"/>
      <c r="G109" s="4"/>
      <c r="H109" s="177"/>
      <c r="I109" s="177"/>
    </row>
    <row r="110" spans="1:9">
      <c r="A110" s="179" t="s">
        <v>61</v>
      </c>
      <c r="B110" s="175">
        <f>SUM(B10:B109)</f>
        <v>0</v>
      </c>
      <c r="C110" s="175">
        <f>SUM(C10:C109)</f>
        <v>180491732.5660097</v>
      </c>
      <c r="D110" s="175">
        <f>SUM(D10:D109)</f>
        <v>0</v>
      </c>
      <c r="E110" s="175">
        <f>SUM(E10:E109)</f>
        <v>0</v>
      </c>
      <c r="F110" s="175"/>
      <c r="G110" s="4"/>
      <c r="H110" s="177"/>
      <c r="I110" s="177"/>
    </row>
    <row r="111" spans="1:9">
      <c r="A111" s="3"/>
      <c r="B111" s="30"/>
      <c r="C111" s="31"/>
      <c r="D111" s="31"/>
      <c r="E111" s="31"/>
      <c r="F111" s="31"/>
      <c r="G111" s="4"/>
      <c r="H111" s="177"/>
      <c r="I111" s="177"/>
    </row>
    <row r="112" spans="1:9">
      <c r="A112" s="4"/>
      <c r="B112" s="3"/>
      <c r="C112" s="4"/>
      <c r="D112" s="4"/>
      <c r="E112" s="4"/>
      <c r="F112" s="4"/>
      <c r="G112" s="4"/>
      <c r="H112" s="177"/>
      <c r="I112" s="177"/>
    </row>
    <row r="113" spans="1:9">
      <c r="A113" s="32"/>
      <c r="B113" s="3"/>
      <c r="C113" s="4"/>
      <c r="D113" s="4"/>
      <c r="E113" s="4"/>
      <c r="F113" s="4"/>
      <c r="G113" s="4"/>
      <c r="H113" s="177"/>
      <c r="I113" s="177"/>
    </row>
    <row r="114" spans="1:9">
      <c r="A114" s="4"/>
      <c r="B114" s="4"/>
      <c r="C114" s="4"/>
      <c r="D114" s="4"/>
      <c r="E114" s="4"/>
      <c r="F114" s="4"/>
      <c r="G114" s="4"/>
      <c r="H114" s="177"/>
      <c r="I114" s="177"/>
    </row>
  </sheetData>
  <sheetProtection scenarios="1"/>
  <mergeCells count="5">
    <mergeCell ref="B3:C3"/>
    <mergeCell ref="F3:H3"/>
    <mergeCell ref="B4:C4"/>
    <mergeCell ref="F6:G6"/>
    <mergeCell ref="F5:H5"/>
  </mergeCells>
  <conditionalFormatting sqref="A2:I4 A6:I114 A5:F5 I5">
    <cfRule type="expression" dxfId="12" priority="1" stopIfTrue="1">
      <formula>CELL("Protect",A2)=1</formula>
    </cfRule>
  </conditionalFormatting>
  <dataValidations count="1">
    <dataValidation type="list" allowBlank="1" showInputMessage="1" showErrorMessage="1" sqref="F5:H5" xr:uid="{00000000-0002-0000-0700-000000000000}">
      <formula1>Units</formula1>
    </dataValidation>
  </dataValidations>
  <pageMargins left="0.78740157499999996" right="0.78740157499999996" top="0.984251969" bottom="0.984251969" header="0.4921259845" footer="0.4921259845"/>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theme="8" tint="0.59999389629810485"/>
  </sheetPr>
  <dimension ref="A1:BH112"/>
  <sheetViews>
    <sheetView workbookViewId="0">
      <selection sqref="A1:BH1"/>
    </sheetView>
  </sheetViews>
  <sheetFormatPr defaultRowHeight="12.75"/>
  <cols>
    <col min="1" max="1" width="12.42578125" customWidth="1"/>
    <col min="2" max="14" width="6.7109375" customWidth="1"/>
    <col min="15" max="15" width="3.7109375" customWidth="1"/>
    <col min="16" max="16" width="12.42578125" customWidth="1"/>
    <col min="17" max="29" width="6.7109375" customWidth="1"/>
    <col min="30" max="30" width="3.7109375" customWidth="1"/>
    <col min="31" max="31" width="12.42578125" customWidth="1"/>
    <col min="32" max="44" width="6.7109375" customWidth="1"/>
    <col min="45" max="45" width="3.7109375" customWidth="1"/>
    <col min="46" max="46" width="12.42578125" customWidth="1"/>
    <col min="47" max="59" width="6.7109375" customWidth="1"/>
  </cols>
  <sheetData>
    <row r="1" spans="1:60" ht="18.75">
      <c r="A1" s="343" t="s">
        <v>115</v>
      </c>
      <c r="B1" s="343"/>
      <c r="C1" s="343"/>
      <c r="D1" s="343"/>
      <c r="E1" s="343"/>
      <c r="F1" s="343"/>
      <c r="G1" s="343"/>
      <c r="H1" s="343"/>
      <c r="I1" s="343"/>
      <c r="J1" s="343"/>
      <c r="K1" s="343"/>
      <c r="L1" s="343"/>
      <c r="M1" s="343"/>
      <c r="N1" s="343"/>
      <c r="O1" s="343"/>
      <c r="P1" s="343"/>
      <c r="Q1" s="343"/>
      <c r="R1" s="343"/>
      <c r="S1" s="343"/>
      <c r="T1" s="343"/>
      <c r="U1" s="343"/>
      <c r="V1" s="343"/>
      <c r="W1" s="343"/>
      <c r="X1" s="343"/>
      <c r="Y1" s="343"/>
      <c r="Z1" s="343"/>
      <c r="AA1" s="343"/>
      <c r="AB1" s="343"/>
      <c r="AC1" s="343"/>
      <c r="AD1" s="343"/>
      <c r="AE1" s="343"/>
      <c r="AF1" s="343"/>
      <c r="AG1" s="343"/>
      <c r="AH1" s="343"/>
      <c r="AI1" s="343"/>
      <c r="AJ1" s="343"/>
      <c r="AK1" s="343"/>
      <c r="AL1" s="343"/>
      <c r="AM1" s="343"/>
      <c r="AN1" s="343"/>
      <c r="AO1" s="343"/>
      <c r="AP1" s="343"/>
      <c r="AQ1" s="343"/>
      <c r="AR1" s="343"/>
      <c r="AS1" s="343"/>
      <c r="AT1" s="343"/>
      <c r="AU1" s="343"/>
      <c r="AV1" s="343"/>
      <c r="AW1" s="343"/>
      <c r="AX1" s="343"/>
      <c r="AY1" s="343"/>
      <c r="AZ1" s="343"/>
      <c r="BA1" s="343"/>
      <c r="BB1" s="343"/>
      <c r="BC1" s="343"/>
      <c r="BD1" s="343"/>
      <c r="BE1" s="343"/>
      <c r="BF1" s="343"/>
      <c r="BG1" s="343"/>
      <c r="BH1" s="343"/>
    </row>
    <row r="2" spans="1:60" ht="16.5" thickBot="1">
      <c r="A2" s="261" t="s">
        <v>114</v>
      </c>
      <c r="B2" s="6"/>
      <c r="C2" s="11"/>
      <c r="D2" s="6"/>
      <c r="E2" s="6"/>
      <c r="F2" s="6"/>
      <c r="G2" s="6"/>
      <c r="H2" s="6"/>
      <c r="I2" s="6"/>
      <c r="J2" s="177"/>
      <c r="K2" s="177"/>
    </row>
    <row r="3" spans="1:60" ht="16.5" thickBot="1">
      <c r="A3" s="259" t="s">
        <v>106</v>
      </c>
      <c r="B3" s="375" t="str">
        <f>'START HERE'!F6</f>
        <v>EU</v>
      </c>
      <c r="C3" s="386"/>
      <c r="D3" s="376"/>
      <c r="E3" s="177"/>
      <c r="F3" s="30" t="s">
        <v>38</v>
      </c>
      <c r="G3" s="392" t="str">
        <f>'LEN F1'!F3</f>
        <v>Fleet 1 Northern Chile</v>
      </c>
      <c r="H3" s="393"/>
      <c r="I3" s="393"/>
      <c r="J3" s="394"/>
      <c r="K3" s="177"/>
    </row>
    <row r="4" spans="1:60" ht="15.75">
      <c r="A4" s="12" t="s">
        <v>18</v>
      </c>
      <c r="B4" s="375" t="str">
        <f>'START HERE'!F5</f>
        <v>Jack mackerel</v>
      </c>
      <c r="C4" s="386"/>
      <c r="D4" s="376"/>
      <c r="E4" s="177"/>
      <c r="F4" s="13"/>
      <c r="G4" s="317"/>
      <c r="H4" s="318"/>
      <c r="I4" s="319"/>
      <c r="J4" s="320"/>
      <c r="K4" s="177"/>
    </row>
    <row r="5" spans="1:60" ht="18">
      <c r="A5" s="12" t="s">
        <v>13</v>
      </c>
      <c r="B5" s="387">
        <f>'START HERE'!K3</f>
        <v>2010</v>
      </c>
      <c r="C5" s="388"/>
      <c r="D5" s="389"/>
      <c r="E5" s="177"/>
      <c r="F5" s="34" t="s">
        <v>39</v>
      </c>
      <c r="G5" s="377" t="s">
        <v>116</v>
      </c>
      <c r="H5" s="378"/>
      <c r="I5" s="378"/>
      <c r="J5" s="379"/>
      <c r="K5" s="177"/>
    </row>
    <row r="6" spans="1:60" ht="16.5" thickBot="1">
      <c r="A6" s="12"/>
      <c r="B6" s="71"/>
      <c r="C6" s="72"/>
      <c r="D6" s="6"/>
      <c r="F6" s="34" t="s">
        <v>14</v>
      </c>
      <c r="G6" s="380" t="str">
        <f>'START HERE'!$F8</f>
        <v>13/6/2022</v>
      </c>
      <c r="H6" s="381"/>
      <c r="I6" s="381"/>
      <c r="J6" s="382"/>
      <c r="K6" s="177"/>
    </row>
    <row r="7" spans="1:60">
      <c r="A7" s="6"/>
      <c r="B7" s="6"/>
      <c r="C7" s="6"/>
      <c r="D7" s="6"/>
      <c r="E7" s="6"/>
      <c r="F7" s="6"/>
      <c r="G7" s="6"/>
      <c r="H7" s="6"/>
      <c r="I7" s="6"/>
      <c r="J7" s="177"/>
      <c r="K7" s="177"/>
    </row>
    <row r="8" spans="1:60" ht="13.5" thickBot="1">
      <c r="A8" s="6"/>
      <c r="B8" s="6"/>
      <c r="C8" s="6"/>
      <c r="D8" s="6"/>
      <c r="E8" s="6"/>
      <c r="F8" s="6"/>
      <c r="G8" s="6"/>
      <c r="H8" s="6"/>
      <c r="I8" s="6"/>
      <c r="J8" s="177"/>
      <c r="K8" s="177"/>
    </row>
    <row r="9" spans="1:60" ht="15.75">
      <c r="A9" s="191"/>
      <c r="B9" s="390" t="s">
        <v>52</v>
      </c>
      <c r="C9" s="390"/>
      <c r="D9" s="390"/>
      <c r="E9" s="390"/>
      <c r="F9" s="390"/>
      <c r="G9" s="390"/>
      <c r="H9" s="390"/>
      <c r="I9" s="390"/>
      <c r="J9" s="390"/>
      <c r="K9" s="390"/>
      <c r="L9" s="390"/>
      <c r="M9" s="390"/>
      <c r="N9" s="391"/>
      <c r="P9" s="191"/>
      <c r="Q9" s="390" t="s">
        <v>30</v>
      </c>
      <c r="R9" s="390"/>
      <c r="S9" s="390"/>
      <c r="T9" s="390"/>
      <c r="U9" s="390"/>
      <c r="V9" s="390"/>
      <c r="W9" s="390"/>
      <c r="X9" s="390"/>
      <c r="Y9" s="390"/>
      <c r="Z9" s="390"/>
      <c r="AA9" s="390"/>
      <c r="AB9" s="390"/>
      <c r="AC9" s="391"/>
      <c r="AE9" s="191"/>
      <c r="AF9" s="390" t="s">
        <v>31</v>
      </c>
      <c r="AG9" s="390"/>
      <c r="AH9" s="390"/>
      <c r="AI9" s="390"/>
      <c r="AJ9" s="390"/>
      <c r="AK9" s="390"/>
      <c r="AL9" s="390"/>
      <c r="AM9" s="390"/>
      <c r="AN9" s="390"/>
      <c r="AO9" s="390"/>
      <c r="AP9" s="390"/>
      <c r="AQ9" s="390"/>
      <c r="AR9" s="391"/>
      <c r="AT9" s="191"/>
      <c r="AU9" s="390" t="s">
        <v>32</v>
      </c>
      <c r="AV9" s="390"/>
      <c r="AW9" s="390"/>
      <c r="AX9" s="390"/>
      <c r="AY9" s="390"/>
      <c r="AZ9" s="390"/>
      <c r="BA9" s="390"/>
      <c r="BB9" s="390"/>
      <c r="BC9" s="390"/>
      <c r="BD9" s="390"/>
      <c r="BE9" s="390"/>
      <c r="BF9" s="390"/>
      <c r="BG9" s="391"/>
    </row>
    <row r="10" spans="1:60">
      <c r="A10" s="192" t="str">
        <f>'START HERE'!$F$13</f>
        <v>fork length</v>
      </c>
      <c r="B10" s="383" t="s">
        <v>78</v>
      </c>
      <c r="C10" s="384"/>
      <c r="D10" s="384"/>
      <c r="E10" s="384"/>
      <c r="F10" s="384"/>
      <c r="G10" s="384"/>
      <c r="H10" s="384"/>
      <c r="I10" s="384"/>
      <c r="J10" s="384"/>
      <c r="K10" s="384"/>
      <c r="L10" s="384"/>
      <c r="M10" s="384"/>
      <c r="N10" s="385"/>
      <c r="P10" s="192" t="str">
        <f>A10</f>
        <v>fork length</v>
      </c>
      <c r="Q10" s="383" t="s">
        <v>78</v>
      </c>
      <c r="R10" s="384"/>
      <c r="S10" s="384"/>
      <c r="T10" s="384"/>
      <c r="U10" s="384"/>
      <c r="V10" s="384"/>
      <c r="W10" s="384"/>
      <c r="X10" s="384"/>
      <c r="Y10" s="384"/>
      <c r="Z10" s="384"/>
      <c r="AA10" s="384"/>
      <c r="AB10" s="384"/>
      <c r="AC10" s="385"/>
      <c r="AE10" s="192" t="str">
        <f>A10</f>
        <v>fork length</v>
      </c>
      <c r="AF10" s="383" t="s">
        <v>78</v>
      </c>
      <c r="AG10" s="384"/>
      <c r="AH10" s="384"/>
      <c r="AI10" s="384"/>
      <c r="AJ10" s="384"/>
      <c r="AK10" s="384"/>
      <c r="AL10" s="384"/>
      <c r="AM10" s="384"/>
      <c r="AN10" s="384"/>
      <c r="AO10" s="384"/>
      <c r="AP10" s="384"/>
      <c r="AQ10" s="384"/>
      <c r="AR10" s="385"/>
      <c r="AT10" s="192" t="str">
        <f>A10</f>
        <v>fork length</v>
      </c>
      <c r="AU10" s="383" t="s">
        <v>78</v>
      </c>
      <c r="AV10" s="384"/>
      <c r="AW10" s="384"/>
      <c r="AX10" s="384"/>
      <c r="AY10" s="384"/>
      <c r="AZ10" s="384"/>
      <c r="BA10" s="384"/>
      <c r="BB10" s="384"/>
      <c r="BC10" s="384"/>
      <c r="BD10" s="384"/>
      <c r="BE10" s="384"/>
      <c r="BF10" s="384"/>
      <c r="BG10" s="385"/>
    </row>
    <row r="11" spans="1:60">
      <c r="A11" s="193" t="s">
        <v>42</v>
      </c>
      <c r="B11" s="189">
        <v>0</v>
      </c>
      <c r="C11" s="190">
        <v>1</v>
      </c>
      <c r="D11" s="190">
        <v>2</v>
      </c>
      <c r="E11" s="190">
        <v>3</v>
      </c>
      <c r="F11" s="190">
        <v>4</v>
      </c>
      <c r="G11" s="190">
        <v>5</v>
      </c>
      <c r="H11" s="190">
        <v>6</v>
      </c>
      <c r="I11" s="190">
        <v>7</v>
      </c>
      <c r="J11" s="190">
        <v>8</v>
      </c>
      <c r="K11" s="190">
        <v>9</v>
      </c>
      <c r="L11" s="190">
        <v>10</v>
      </c>
      <c r="M11" s="190">
        <v>11</v>
      </c>
      <c r="N11" s="194">
        <v>12</v>
      </c>
      <c r="P11" s="193" t="s">
        <v>42</v>
      </c>
      <c r="Q11" s="189">
        <v>0</v>
      </c>
      <c r="R11" s="190">
        <v>1</v>
      </c>
      <c r="S11" s="190">
        <v>2</v>
      </c>
      <c r="T11" s="190">
        <v>3</v>
      </c>
      <c r="U11" s="190">
        <v>4</v>
      </c>
      <c r="V11" s="190">
        <v>5</v>
      </c>
      <c r="W11" s="190">
        <v>6</v>
      </c>
      <c r="X11" s="190">
        <v>7</v>
      </c>
      <c r="Y11" s="190">
        <v>8</v>
      </c>
      <c r="Z11" s="190">
        <v>9</v>
      </c>
      <c r="AA11" s="190">
        <v>10</v>
      </c>
      <c r="AB11" s="190">
        <v>11</v>
      </c>
      <c r="AC11" s="194">
        <v>12</v>
      </c>
      <c r="AE11" s="193" t="s">
        <v>42</v>
      </c>
      <c r="AF11" s="189">
        <v>0</v>
      </c>
      <c r="AG11" s="190">
        <v>1</v>
      </c>
      <c r="AH11" s="190">
        <v>2</v>
      </c>
      <c r="AI11" s="190">
        <v>3</v>
      </c>
      <c r="AJ11" s="190">
        <v>4</v>
      </c>
      <c r="AK11" s="190">
        <v>5</v>
      </c>
      <c r="AL11" s="190">
        <v>6</v>
      </c>
      <c r="AM11" s="190">
        <v>7</v>
      </c>
      <c r="AN11" s="190">
        <v>8</v>
      </c>
      <c r="AO11" s="190">
        <v>9</v>
      </c>
      <c r="AP11" s="190">
        <v>10</v>
      </c>
      <c r="AQ11" s="190">
        <v>11</v>
      </c>
      <c r="AR11" s="194">
        <v>12</v>
      </c>
      <c r="AT11" s="193" t="s">
        <v>42</v>
      </c>
      <c r="AU11" s="189">
        <v>0</v>
      </c>
      <c r="AV11" s="190">
        <v>1</v>
      </c>
      <c r="AW11" s="190">
        <v>2</v>
      </c>
      <c r="AX11" s="190">
        <v>3</v>
      </c>
      <c r="AY11" s="190">
        <v>4</v>
      </c>
      <c r="AZ11" s="190">
        <v>5</v>
      </c>
      <c r="BA11" s="190">
        <v>6</v>
      </c>
      <c r="BB11" s="190">
        <v>7</v>
      </c>
      <c r="BC11" s="190">
        <v>8</v>
      </c>
      <c r="BD11" s="190">
        <v>9</v>
      </c>
      <c r="BE11" s="190">
        <v>10</v>
      </c>
      <c r="BF11" s="190">
        <v>11</v>
      </c>
      <c r="BG11" s="194">
        <v>12</v>
      </c>
    </row>
    <row r="12" spans="1:60">
      <c r="A12" s="195">
        <v>1</v>
      </c>
      <c r="B12" s="308"/>
      <c r="C12" s="309"/>
      <c r="D12" s="309"/>
      <c r="E12" s="309"/>
      <c r="F12" s="309"/>
      <c r="G12" s="309"/>
      <c r="H12" s="309"/>
      <c r="I12" s="309"/>
      <c r="J12" s="309"/>
      <c r="K12" s="309"/>
      <c r="L12" s="309"/>
      <c r="M12" s="309"/>
      <c r="N12" s="310"/>
      <c r="P12" s="195">
        <v>1</v>
      </c>
      <c r="Q12" s="308"/>
      <c r="R12" s="309"/>
      <c r="S12" s="309"/>
      <c r="T12" s="309"/>
      <c r="U12" s="309"/>
      <c r="V12" s="309"/>
      <c r="W12" s="309"/>
      <c r="X12" s="309"/>
      <c r="Y12" s="309"/>
      <c r="Z12" s="309"/>
      <c r="AA12" s="309"/>
      <c r="AB12" s="309"/>
      <c r="AC12" s="310"/>
      <c r="AE12" s="195">
        <v>1</v>
      </c>
      <c r="AF12" s="308"/>
      <c r="AG12" s="309"/>
      <c r="AH12" s="309"/>
      <c r="AI12" s="309"/>
      <c r="AJ12" s="309"/>
      <c r="AK12" s="309"/>
      <c r="AL12" s="309"/>
      <c r="AM12" s="309"/>
      <c r="AN12" s="309"/>
      <c r="AO12" s="309"/>
      <c r="AP12" s="309"/>
      <c r="AQ12" s="309"/>
      <c r="AR12" s="310"/>
      <c r="AT12" s="195">
        <v>1</v>
      </c>
      <c r="AU12" s="308"/>
      <c r="AV12" s="309"/>
      <c r="AW12" s="309"/>
      <c r="AX12" s="309"/>
      <c r="AY12" s="309"/>
      <c r="AZ12" s="309"/>
      <c r="BA12" s="309"/>
      <c r="BB12" s="309"/>
      <c r="BC12" s="309"/>
      <c r="BD12" s="309"/>
      <c r="BE12" s="309"/>
      <c r="BF12" s="309"/>
      <c r="BG12" s="310"/>
    </row>
    <row r="13" spans="1:60">
      <c r="A13" s="195">
        <v>2</v>
      </c>
      <c r="B13" s="311"/>
      <c r="C13" s="312"/>
      <c r="D13" s="312"/>
      <c r="E13" s="312"/>
      <c r="F13" s="312"/>
      <c r="G13" s="312"/>
      <c r="H13" s="312"/>
      <c r="I13" s="312"/>
      <c r="J13" s="312"/>
      <c r="K13" s="312"/>
      <c r="L13" s="312"/>
      <c r="M13" s="312"/>
      <c r="N13" s="313"/>
      <c r="P13" s="195">
        <v>2</v>
      </c>
      <c r="Q13" s="311"/>
      <c r="R13" s="312"/>
      <c r="S13" s="312"/>
      <c r="T13" s="312"/>
      <c r="U13" s="312"/>
      <c r="V13" s="312"/>
      <c r="W13" s="312"/>
      <c r="X13" s="312"/>
      <c r="Y13" s="312"/>
      <c r="Z13" s="312"/>
      <c r="AA13" s="312"/>
      <c r="AB13" s="312"/>
      <c r="AC13" s="313"/>
      <c r="AE13" s="195">
        <v>2</v>
      </c>
      <c r="AF13" s="311"/>
      <c r="AG13" s="312"/>
      <c r="AH13" s="312"/>
      <c r="AI13" s="312"/>
      <c r="AJ13" s="312"/>
      <c r="AK13" s="312"/>
      <c r="AL13" s="312"/>
      <c r="AM13" s="312"/>
      <c r="AN13" s="312"/>
      <c r="AO13" s="312"/>
      <c r="AP13" s="312"/>
      <c r="AQ13" s="312"/>
      <c r="AR13" s="313"/>
      <c r="AT13" s="195">
        <v>2</v>
      </c>
      <c r="AU13" s="311"/>
      <c r="AV13" s="312"/>
      <c r="AW13" s="312"/>
      <c r="AX13" s="312"/>
      <c r="AY13" s="312"/>
      <c r="AZ13" s="312"/>
      <c r="BA13" s="312"/>
      <c r="BB13" s="312"/>
      <c r="BC13" s="312"/>
      <c r="BD13" s="312"/>
      <c r="BE13" s="312"/>
      <c r="BF13" s="312"/>
      <c r="BG13" s="313"/>
    </row>
    <row r="14" spans="1:60">
      <c r="A14" s="195">
        <v>3</v>
      </c>
      <c r="B14" s="311"/>
      <c r="C14" s="312"/>
      <c r="D14" s="312"/>
      <c r="E14" s="312"/>
      <c r="F14" s="312"/>
      <c r="G14" s="312"/>
      <c r="H14" s="312"/>
      <c r="I14" s="312"/>
      <c r="J14" s="312"/>
      <c r="K14" s="312"/>
      <c r="L14" s="312"/>
      <c r="M14" s="312"/>
      <c r="N14" s="313"/>
      <c r="P14" s="195">
        <v>3</v>
      </c>
      <c r="Q14" s="311"/>
      <c r="R14" s="312"/>
      <c r="S14" s="312"/>
      <c r="T14" s="312"/>
      <c r="U14" s="312"/>
      <c r="V14" s="312"/>
      <c r="W14" s="312"/>
      <c r="X14" s="312"/>
      <c r="Y14" s="312"/>
      <c r="Z14" s="312"/>
      <c r="AA14" s="312"/>
      <c r="AB14" s="312"/>
      <c r="AC14" s="313"/>
      <c r="AE14" s="195">
        <v>3</v>
      </c>
      <c r="AF14" s="311"/>
      <c r="AG14" s="312"/>
      <c r="AH14" s="312"/>
      <c r="AI14" s="312"/>
      <c r="AJ14" s="312"/>
      <c r="AK14" s="312"/>
      <c r="AL14" s="312"/>
      <c r="AM14" s="312"/>
      <c r="AN14" s="312"/>
      <c r="AO14" s="312"/>
      <c r="AP14" s="312"/>
      <c r="AQ14" s="312"/>
      <c r="AR14" s="313"/>
      <c r="AT14" s="195">
        <v>3</v>
      </c>
      <c r="AU14" s="311"/>
      <c r="AV14" s="312"/>
      <c r="AW14" s="312"/>
      <c r="AX14" s="312"/>
      <c r="AY14" s="312"/>
      <c r="AZ14" s="312"/>
      <c r="BA14" s="312"/>
      <c r="BB14" s="312"/>
      <c r="BC14" s="312"/>
      <c r="BD14" s="312"/>
      <c r="BE14" s="312"/>
      <c r="BF14" s="312"/>
      <c r="BG14" s="313"/>
    </row>
    <row r="15" spans="1:60">
      <c r="A15" s="195">
        <v>4</v>
      </c>
      <c r="B15" s="311"/>
      <c r="C15" s="312"/>
      <c r="D15" s="312"/>
      <c r="E15" s="312"/>
      <c r="F15" s="312"/>
      <c r="G15" s="312"/>
      <c r="H15" s="312"/>
      <c r="I15" s="312"/>
      <c r="J15" s="312"/>
      <c r="K15" s="312"/>
      <c r="L15" s="312"/>
      <c r="M15" s="312"/>
      <c r="N15" s="313"/>
      <c r="P15" s="195">
        <v>4</v>
      </c>
      <c r="Q15" s="311"/>
      <c r="R15" s="312"/>
      <c r="S15" s="312"/>
      <c r="T15" s="312"/>
      <c r="U15" s="312"/>
      <c r="V15" s="312"/>
      <c r="W15" s="312"/>
      <c r="X15" s="312"/>
      <c r="Y15" s="312"/>
      <c r="Z15" s="312"/>
      <c r="AA15" s="312"/>
      <c r="AB15" s="312"/>
      <c r="AC15" s="313"/>
      <c r="AE15" s="195">
        <v>4</v>
      </c>
      <c r="AF15" s="311"/>
      <c r="AG15" s="312"/>
      <c r="AH15" s="312"/>
      <c r="AI15" s="312"/>
      <c r="AJ15" s="312"/>
      <c r="AK15" s="312"/>
      <c r="AL15" s="312"/>
      <c r="AM15" s="312"/>
      <c r="AN15" s="312"/>
      <c r="AO15" s="312"/>
      <c r="AP15" s="312"/>
      <c r="AQ15" s="312"/>
      <c r="AR15" s="313"/>
      <c r="AT15" s="195">
        <v>4</v>
      </c>
      <c r="AU15" s="311"/>
      <c r="AV15" s="312"/>
      <c r="AW15" s="312"/>
      <c r="AX15" s="312"/>
      <c r="AY15" s="312"/>
      <c r="AZ15" s="312"/>
      <c r="BA15" s="312"/>
      <c r="BB15" s="312"/>
      <c r="BC15" s="312"/>
      <c r="BD15" s="312"/>
      <c r="BE15" s="312"/>
      <c r="BF15" s="312"/>
      <c r="BG15" s="313"/>
    </row>
    <row r="16" spans="1:60">
      <c r="A16" s="195">
        <v>5</v>
      </c>
      <c r="B16" s="311"/>
      <c r="C16" s="312"/>
      <c r="D16" s="312"/>
      <c r="E16" s="312"/>
      <c r="F16" s="312"/>
      <c r="G16" s="312"/>
      <c r="H16" s="312"/>
      <c r="I16" s="312"/>
      <c r="J16" s="312"/>
      <c r="K16" s="312"/>
      <c r="L16" s="312"/>
      <c r="M16" s="312"/>
      <c r="N16" s="313"/>
      <c r="P16" s="195">
        <v>5</v>
      </c>
      <c r="Q16" s="311"/>
      <c r="R16" s="312"/>
      <c r="S16" s="312"/>
      <c r="T16" s="312"/>
      <c r="U16" s="312"/>
      <c r="V16" s="312"/>
      <c r="W16" s="312"/>
      <c r="X16" s="312"/>
      <c r="Y16" s="312"/>
      <c r="Z16" s="312"/>
      <c r="AA16" s="312"/>
      <c r="AB16" s="312"/>
      <c r="AC16" s="313"/>
      <c r="AE16" s="195">
        <v>5</v>
      </c>
      <c r="AF16" s="311"/>
      <c r="AG16" s="312"/>
      <c r="AH16" s="312"/>
      <c r="AI16" s="312"/>
      <c r="AJ16" s="312"/>
      <c r="AK16" s="312"/>
      <c r="AL16" s="312"/>
      <c r="AM16" s="312"/>
      <c r="AN16" s="312"/>
      <c r="AO16" s="312"/>
      <c r="AP16" s="312"/>
      <c r="AQ16" s="312"/>
      <c r="AR16" s="313"/>
      <c r="AT16" s="195">
        <v>5</v>
      </c>
      <c r="AU16" s="311"/>
      <c r="AV16" s="312"/>
      <c r="AW16" s="312"/>
      <c r="AX16" s="312"/>
      <c r="AY16" s="312"/>
      <c r="AZ16" s="312"/>
      <c r="BA16" s="312"/>
      <c r="BB16" s="312"/>
      <c r="BC16" s="312"/>
      <c r="BD16" s="312"/>
      <c r="BE16" s="312"/>
      <c r="BF16" s="312"/>
      <c r="BG16" s="313"/>
    </row>
    <row r="17" spans="1:59">
      <c r="A17" s="195">
        <v>6</v>
      </c>
      <c r="B17" s="311"/>
      <c r="C17" s="312"/>
      <c r="D17" s="312"/>
      <c r="E17" s="312"/>
      <c r="F17" s="312"/>
      <c r="G17" s="312"/>
      <c r="H17" s="312"/>
      <c r="I17" s="312"/>
      <c r="J17" s="312"/>
      <c r="K17" s="312"/>
      <c r="L17" s="312"/>
      <c r="M17" s="312"/>
      <c r="N17" s="313"/>
      <c r="P17" s="195">
        <v>6</v>
      </c>
      <c r="Q17" s="311"/>
      <c r="R17" s="312"/>
      <c r="S17" s="312"/>
      <c r="T17" s="312"/>
      <c r="U17" s="312"/>
      <c r="V17" s="312"/>
      <c r="W17" s="312"/>
      <c r="X17" s="312"/>
      <c r="Y17" s="312"/>
      <c r="Z17" s="312"/>
      <c r="AA17" s="312"/>
      <c r="AB17" s="312"/>
      <c r="AC17" s="313"/>
      <c r="AE17" s="195">
        <v>6</v>
      </c>
      <c r="AF17" s="311"/>
      <c r="AG17" s="312"/>
      <c r="AH17" s="312"/>
      <c r="AI17" s="312"/>
      <c r="AJ17" s="312"/>
      <c r="AK17" s="312"/>
      <c r="AL17" s="312"/>
      <c r="AM17" s="312"/>
      <c r="AN17" s="312"/>
      <c r="AO17" s="312"/>
      <c r="AP17" s="312"/>
      <c r="AQ17" s="312"/>
      <c r="AR17" s="313"/>
      <c r="AT17" s="195">
        <v>6</v>
      </c>
      <c r="AU17" s="311"/>
      <c r="AV17" s="312"/>
      <c r="AW17" s="312"/>
      <c r="AX17" s="312"/>
      <c r="AY17" s="312"/>
      <c r="AZ17" s="312"/>
      <c r="BA17" s="312"/>
      <c r="BB17" s="312"/>
      <c r="BC17" s="312"/>
      <c r="BD17" s="312"/>
      <c r="BE17" s="312"/>
      <c r="BF17" s="312"/>
      <c r="BG17" s="313"/>
    </row>
    <row r="18" spans="1:59">
      <c r="A18" s="195">
        <v>7</v>
      </c>
      <c r="B18" s="311"/>
      <c r="C18" s="312"/>
      <c r="D18" s="312"/>
      <c r="E18" s="312"/>
      <c r="F18" s="312"/>
      <c r="G18" s="312"/>
      <c r="H18" s="312"/>
      <c r="I18" s="312"/>
      <c r="J18" s="312"/>
      <c r="K18" s="312"/>
      <c r="L18" s="312"/>
      <c r="M18" s="312"/>
      <c r="N18" s="313"/>
      <c r="P18" s="195">
        <v>7</v>
      </c>
      <c r="Q18" s="311"/>
      <c r="R18" s="312"/>
      <c r="S18" s="312"/>
      <c r="T18" s="312"/>
      <c r="U18" s="312"/>
      <c r="V18" s="312"/>
      <c r="W18" s="312"/>
      <c r="X18" s="312"/>
      <c r="Y18" s="312"/>
      <c r="Z18" s="312"/>
      <c r="AA18" s="312"/>
      <c r="AB18" s="312"/>
      <c r="AC18" s="313"/>
      <c r="AE18" s="195">
        <v>7</v>
      </c>
      <c r="AF18" s="311"/>
      <c r="AG18" s="312"/>
      <c r="AH18" s="312"/>
      <c r="AI18" s="312"/>
      <c r="AJ18" s="312"/>
      <c r="AK18" s="312"/>
      <c r="AL18" s="312"/>
      <c r="AM18" s="312"/>
      <c r="AN18" s="312"/>
      <c r="AO18" s="312"/>
      <c r="AP18" s="312"/>
      <c r="AQ18" s="312"/>
      <c r="AR18" s="313"/>
      <c r="AT18" s="195">
        <v>7</v>
      </c>
      <c r="AU18" s="311"/>
      <c r="AV18" s="312"/>
      <c r="AW18" s="312"/>
      <c r="AX18" s="312"/>
      <c r="AY18" s="312"/>
      <c r="AZ18" s="312"/>
      <c r="BA18" s="312"/>
      <c r="BB18" s="312"/>
      <c r="BC18" s="312"/>
      <c r="BD18" s="312"/>
      <c r="BE18" s="312"/>
      <c r="BF18" s="312"/>
      <c r="BG18" s="313"/>
    </row>
    <row r="19" spans="1:59">
      <c r="A19" s="195">
        <v>8</v>
      </c>
      <c r="B19" s="311"/>
      <c r="C19" s="312"/>
      <c r="D19" s="312"/>
      <c r="E19" s="312"/>
      <c r="F19" s="312"/>
      <c r="G19" s="312"/>
      <c r="H19" s="312"/>
      <c r="I19" s="312"/>
      <c r="J19" s="312"/>
      <c r="K19" s="312"/>
      <c r="L19" s="312"/>
      <c r="M19" s="312"/>
      <c r="N19" s="313"/>
      <c r="P19" s="195">
        <v>8</v>
      </c>
      <c r="Q19" s="311"/>
      <c r="R19" s="312"/>
      <c r="S19" s="312"/>
      <c r="T19" s="312"/>
      <c r="U19" s="312"/>
      <c r="V19" s="312"/>
      <c r="W19" s="312"/>
      <c r="X19" s="312"/>
      <c r="Y19" s="312"/>
      <c r="Z19" s="312"/>
      <c r="AA19" s="312"/>
      <c r="AB19" s="312"/>
      <c r="AC19" s="313"/>
      <c r="AE19" s="195">
        <v>8</v>
      </c>
      <c r="AF19" s="311"/>
      <c r="AG19" s="312"/>
      <c r="AH19" s="312"/>
      <c r="AI19" s="312"/>
      <c r="AJ19" s="312"/>
      <c r="AK19" s="312"/>
      <c r="AL19" s="312"/>
      <c r="AM19" s="312"/>
      <c r="AN19" s="312"/>
      <c r="AO19" s="312"/>
      <c r="AP19" s="312"/>
      <c r="AQ19" s="312"/>
      <c r="AR19" s="313"/>
      <c r="AT19" s="195">
        <v>8</v>
      </c>
      <c r="AU19" s="311"/>
      <c r="AV19" s="312"/>
      <c r="AW19" s="312"/>
      <c r="AX19" s="312"/>
      <c r="AY19" s="312"/>
      <c r="AZ19" s="312"/>
      <c r="BA19" s="312"/>
      <c r="BB19" s="312"/>
      <c r="BC19" s="312"/>
      <c r="BD19" s="312"/>
      <c r="BE19" s="312"/>
      <c r="BF19" s="312"/>
      <c r="BG19" s="313"/>
    </row>
    <row r="20" spans="1:59">
      <c r="A20" s="195">
        <v>9</v>
      </c>
      <c r="B20" s="311"/>
      <c r="C20" s="312"/>
      <c r="D20" s="312"/>
      <c r="E20" s="312"/>
      <c r="F20" s="312"/>
      <c r="G20" s="312"/>
      <c r="H20" s="312"/>
      <c r="I20" s="312"/>
      <c r="J20" s="312"/>
      <c r="K20" s="312"/>
      <c r="L20" s="312"/>
      <c r="M20" s="312"/>
      <c r="N20" s="313"/>
      <c r="P20" s="195">
        <v>9</v>
      </c>
      <c r="Q20" s="311"/>
      <c r="R20" s="312"/>
      <c r="S20" s="312"/>
      <c r="T20" s="312"/>
      <c r="U20" s="312"/>
      <c r="V20" s="312"/>
      <c r="W20" s="312"/>
      <c r="X20" s="312"/>
      <c r="Y20" s="312"/>
      <c r="Z20" s="312"/>
      <c r="AA20" s="312"/>
      <c r="AB20" s="312"/>
      <c r="AC20" s="313"/>
      <c r="AE20" s="195">
        <v>9</v>
      </c>
      <c r="AF20" s="311"/>
      <c r="AG20" s="312"/>
      <c r="AH20" s="312"/>
      <c r="AI20" s="312"/>
      <c r="AJ20" s="312"/>
      <c r="AK20" s="312"/>
      <c r="AL20" s="312"/>
      <c r="AM20" s="312"/>
      <c r="AN20" s="312"/>
      <c r="AO20" s="312"/>
      <c r="AP20" s="312"/>
      <c r="AQ20" s="312"/>
      <c r="AR20" s="313"/>
      <c r="AT20" s="195">
        <v>9</v>
      </c>
      <c r="AU20" s="311"/>
      <c r="AV20" s="312"/>
      <c r="AW20" s="312"/>
      <c r="AX20" s="312"/>
      <c r="AY20" s="312"/>
      <c r="AZ20" s="312"/>
      <c r="BA20" s="312"/>
      <c r="BB20" s="312"/>
      <c r="BC20" s="312"/>
      <c r="BD20" s="312"/>
      <c r="BE20" s="312"/>
      <c r="BF20" s="312"/>
      <c r="BG20" s="313"/>
    </row>
    <row r="21" spans="1:59">
      <c r="A21" s="195">
        <v>10</v>
      </c>
      <c r="B21" s="311"/>
      <c r="C21" s="312"/>
      <c r="D21" s="312"/>
      <c r="E21" s="312"/>
      <c r="F21" s="312"/>
      <c r="G21" s="312"/>
      <c r="H21" s="312"/>
      <c r="I21" s="312"/>
      <c r="J21" s="312"/>
      <c r="K21" s="312"/>
      <c r="L21" s="312"/>
      <c r="M21" s="312"/>
      <c r="N21" s="313"/>
      <c r="P21" s="195">
        <v>10</v>
      </c>
      <c r="Q21" s="311"/>
      <c r="R21" s="312"/>
      <c r="S21" s="312"/>
      <c r="T21" s="312"/>
      <c r="U21" s="312"/>
      <c r="V21" s="312"/>
      <c r="W21" s="312"/>
      <c r="X21" s="312"/>
      <c r="Y21" s="312"/>
      <c r="Z21" s="312"/>
      <c r="AA21" s="312"/>
      <c r="AB21" s="312"/>
      <c r="AC21" s="313"/>
      <c r="AE21" s="195">
        <v>10</v>
      </c>
      <c r="AF21" s="311"/>
      <c r="AG21" s="312"/>
      <c r="AH21" s="312"/>
      <c r="AI21" s="312"/>
      <c r="AJ21" s="312"/>
      <c r="AK21" s="312"/>
      <c r="AL21" s="312"/>
      <c r="AM21" s="312"/>
      <c r="AN21" s="312"/>
      <c r="AO21" s="312"/>
      <c r="AP21" s="312"/>
      <c r="AQ21" s="312"/>
      <c r="AR21" s="313"/>
      <c r="AT21" s="195">
        <v>10</v>
      </c>
      <c r="AU21" s="311"/>
      <c r="AV21" s="312"/>
      <c r="AW21" s="312"/>
      <c r="AX21" s="312"/>
      <c r="AY21" s="312"/>
      <c r="AZ21" s="312"/>
      <c r="BA21" s="312"/>
      <c r="BB21" s="312"/>
      <c r="BC21" s="312"/>
      <c r="BD21" s="312"/>
      <c r="BE21" s="312"/>
      <c r="BF21" s="312"/>
      <c r="BG21" s="313"/>
    </row>
    <row r="22" spans="1:59">
      <c r="A22" s="195">
        <v>11</v>
      </c>
      <c r="B22" s="311"/>
      <c r="C22" s="312"/>
      <c r="D22" s="312"/>
      <c r="E22" s="312"/>
      <c r="F22" s="312"/>
      <c r="G22" s="312"/>
      <c r="H22" s="312"/>
      <c r="I22" s="312"/>
      <c r="J22" s="312"/>
      <c r="K22" s="312"/>
      <c r="L22" s="312"/>
      <c r="M22" s="312"/>
      <c r="N22" s="313"/>
      <c r="P22" s="195">
        <v>11</v>
      </c>
      <c r="Q22" s="311"/>
      <c r="R22" s="312"/>
      <c r="S22" s="312"/>
      <c r="T22" s="312"/>
      <c r="U22" s="312"/>
      <c r="V22" s="312"/>
      <c r="W22" s="312"/>
      <c r="X22" s="312"/>
      <c r="Y22" s="312"/>
      <c r="Z22" s="312"/>
      <c r="AA22" s="312"/>
      <c r="AB22" s="312"/>
      <c r="AC22" s="313"/>
      <c r="AE22" s="195">
        <v>11</v>
      </c>
      <c r="AF22" s="311"/>
      <c r="AG22" s="312"/>
      <c r="AH22" s="312"/>
      <c r="AI22" s="312"/>
      <c r="AJ22" s="312"/>
      <c r="AK22" s="312"/>
      <c r="AL22" s="312"/>
      <c r="AM22" s="312"/>
      <c r="AN22" s="312"/>
      <c r="AO22" s="312"/>
      <c r="AP22" s="312"/>
      <c r="AQ22" s="312"/>
      <c r="AR22" s="313"/>
      <c r="AT22" s="195">
        <v>11</v>
      </c>
      <c r="AU22" s="311"/>
      <c r="AV22" s="312"/>
      <c r="AW22" s="312"/>
      <c r="AX22" s="312"/>
      <c r="AY22" s="312"/>
      <c r="AZ22" s="312"/>
      <c r="BA22" s="312"/>
      <c r="BB22" s="312"/>
      <c r="BC22" s="312"/>
      <c r="BD22" s="312"/>
      <c r="BE22" s="312"/>
      <c r="BF22" s="312"/>
      <c r="BG22" s="313"/>
    </row>
    <row r="23" spans="1:59">
      <c r="A23" s="195">
        <v>12</v>
      </c>
      <c r="B23" s="311"/>
      <c r="C23" s="312"/>
      <c r="D23" s="312"/>
      <c r="E23" s="312"/>
      <c r="F23" s="312"/>
      <c r="G23" s="312"/>
      <c r="H23" s="312"/>
      <c r="I23" s="312"/>
      <c r="J23" s="312"/>
      <c r="K23" s="312"/>
      <c r="L23" s="312"/>
      <c r="M23" s="312"/>
      <c r="N23" s="313"/>
      <c r="P23" s="195">
        <v>12</v>
      </c>
      <c r="Q23" s="311"/>
      <c r="R23" s="312"/>
      <c r="S23" s="312"/>
      <c r="T23" s="312"/>
      <c r="U23" s="312"/>
      <c r="V23" s="312"/>
      <c r="W23" s="312"/>
      <c r="X23" s="312"/>
      <c r="Y23" s="312"/>
      <c r="Z23" s="312"/>
      <c r="AA23" s="312"/>
      <c r="AB23" s="312"/>
      <c r="AC23" s="313"/>
      <c r="AE23" s="195">
        <v>12</v>
      </c>
      <c r="AF23" s="311"/>
      <c r="AG23" s="312"/>
      <c r="AH23" s="312"/>
      <c r="AI23" s="312"/>
      <c r="AJ23" s="312"/>
      <c r="AK23" s="312"/>
      <c r="AL23" s="312"/>
      <c r="AM23" s="312"/>
      <c r="AN23" s="312"/>
      <c r="AO23" s="312"/>
      <c r="AP23" s="312"/>
      <c r="AQ23" s="312"/>
      <c r="AR23" s="313"/>
      <c r="AT23" s="195">
        <v>12</v>
      </c>
      <c r="AU23" s="311"/>
      <c r="AV23" s="312"/>
      <c r="AW23" s="312"/>
      <c r="AX23" s="312"/>
      <c r="AY23" s="312"/>
      <c r="AZ23" s="312"/>
      <c r="BA23" s="312"/>
      <c r="BB23" s="312"/>
      <c r="BC23" s="312"/>
      <c r="BD23" s="312"/>
      <c r="BE23" s="312"/>
      <c r="BF23" s="312"/>
      <c r="BG23" s="313"/>
    </row>
    <row r="24" spans="1:59">
      <c r="A24" s="195">
        <v>13</v>
      </c>
      <c r="B24" s="311"/>
      <c r="C24" s="312"/>
      <c r="D24" s="312"/>
      <c r="E24" s="312"/>
      <c r="F24" s="312"/>
      <c r="G24" s="312"/>
      <c r="H24" s="312"/>
      <c r="I24" s="312"/>
      <c r="J24" s="312"/>
      <c r="K24" s="312"/>
      <c r="L24" s="312"/>
      <c r="M24" s="312"/>
      <c r="N24" s="313"/>
      <c r="P24" s="195">
        <v>13</v>
      </c>
      <c r="Q24" s="311"/>
      <c r="R24" s="312"/>
      <c r="S24" s="312"/>
      <c r="T24" s="312"/>
      <c r="U24" s="312"/>
      <c r="V24" s="312"/>
      <c r="W24" s="312"/>
      <c r="X24" s="312"/>
      <c r="Y24" s="312"/>
      <c r="Z24" s="312"/>
      <c r="AA24" s="312"/>
      <c r="AB24" s="312"/>
      <c r="AC24" s="313"/>
      <c r="AE24" s="195">
        <v>13</v>
      </c>
      <c r="AF24" s="311"/>
      <c r="AG24" s="312"/>
      <c r="AH24" s="312"/>
      <c r="AI24" s="312"/>
      <c r="AJ24" s="312"/>
      <c r="AK24" s="312"/>
      <c r="AL24" s="312"/>
      <c r="AM24" s="312"/>
      <c r="AN24" s="312"/>
      <c r="AO24" s="312"/>
      <c r="AP24" s="312"/>
      <c r="AQ24" s="312"/>
      <c r="AR24" s="313"/>
      <c r="AT24" s="195">
        <v>13</v>
      </c>
      <c r="AU24" s="311"/>
      <c r="AV24" s="312"/>
      <c r="AW24" s="312"/>
      <c r="AX24" s="312"/>
      <c r="AY24" s="312"/>
      <c r="AZ24" s="312"/>
      <c r="BA24" s="312"/>
      <c r="BB24" s="312"/>
      <c r="BC24" s="312"/>
      <c r="BD24" s="312"/>
      <c r="BE24" s="312"/>
      <c r="BF24" s="312"/>
      <c r="BG24" s="313"/>
    </row>
    <row r="25" spans="1:59">
      <c r="A25" s="195">
        <v>14</v>
      </c>
      <c r="B25" s="311"/>
      <c r="C25" s="312"/>
      <c r="D25" s="312"/>
      <c r="E25" s="312"/>
      <c r="F25" s="312"/>
      <c r="G25" s="312"/>
      <c r="H25" s="312"/>
      <c r="I25" s="312"/>
      <c r="J25" s="312"/>
      <c r="K25" s="312"/>
      <c r="L25" s="312"/>
      <c r="M25" s="312"/>
      <c r="N25" s="313"/>
      <c r="P25" s="195">
        <v>14</v>
      </c>
      <c r="Q25" s="311"/>
      <c r="R25" s="312"/>
      <c r="S25" s="312"/>
      <c r="T25" s="312"/>
      <c r="U25" s="312"/>
      <c r="V25" s="312"/>
      <c r="W25" s="312"/>
      <c r="X25" s="312"/>
      <c r="Y25" s="312"/>
      <c r="Z25" s="312"/>
      <c r="AA25" s="312"/>
      <c r="AB25" s="312"/>
      <c r="AC25" s="313"/>
      <c r="AE25" s="195">
        <v>14</v>
      </c>
      <c r="AF25" s="311"/>
      <c r="AG25" s="312"/>
      <c r="AH25" s="312"/>
      <c r="AI25" s="312"/>
      <c r="AJ25" s="312"/>
      <c r="AK25" s="312"/>
      <c r="AL25" s="312"/>
      <c r="AM25" s="312"/>
      <c r="AN25" s="312"/>
      <c r="AO25" s="312"/>
      <c r="AP25" s="312"/>
      <c r="AQ25" s="312"/>
      <c r="AR25" s="313"/>
      <c r="AT25" s="195">
        <v>14</v>
      </c>
      <c r="AU25" s="311"/>
      <c r="AV25" s="312"/>
      <c r="AW25" s="312"/>
      <c r="AX25" s="312"/>
      <c r="AY25" s="312"/>
      <c r="AZ25" s="312"/>
      <c r="BA25" s="312"/>
      <c r="BB25" s="312"/>
      <c r="BC25" s="312"/>
      <c r="BD25" s="312"/>
      <c r="BE25" s="312"/>
      <c r="BF25" s="312"/>
      <c r="BG25" s="313"/>
    </row>
    <row r="26" spans="1:59">
      <c r="A26" s="195">
        <v>15</v>
      </c>
      <c r="B26" s="311"/>
      <c r="C26" s="312"/>
      <c r="D26" s="312"/>
      <c r="E26" s="312"/>
      <c r="F26" s="312"/>
      <c r="G26" s="312"/>
      <c r="H26" s="312"/>
      <c r="I26" s="312"/>
      <c r="J26" s="312"/>
      <c r="K26" s="312"/>
      <c r="L26" s="312"/>
      <c r="M26" s="312"/>
      <c r="N26" s="313"/>
      <c r="P26" s="195">
        <v>15</v>
      </c>
      <c r="Q26" s="311"/>
      <c r="R26" s="312"/>
      <c r="S26" s="312"/>
      <c r="T26" s="312"/>
      <c r="U26" s="312"/>
      <c r="V26" s="312"/>
      <c r="W26" s="312"/>
      <c r="X26" s="312"/>
      <c r="Y26" s="312"/>
      <c r="Z26" s="312"/>
      <c r="AA26" s="312"/>
      <c r="AB26" s="312"/>
      <c r="AC26" s="313"/>
      <c r="AE26" s="195">
        <v>15</v>
      </c>
      <c r="AF26" s="311"/>
      <c r="AG26" s="312"/>
      <c r="AH26" s="312"/>
      <c r="AI26" s="312"/>
      <c r="AJ26" s="312"/>
      <c r="AK26" s="312"/>
      <c r="AL26" s="312"/>
      <c r="AM26" s="312"/>
      <c r="AN26" s="312"/>
      <c r="AO26" s="312"/>
      <c r="AP26" s="312"/>
      <c r="AQ26" s="312"/>
      <c r="AR26" s="313"/>
      <c r="AT26" s="195">
        <v>15</v>
      </c>
      <c r="AU26" s="311"/>
      <c r="AV26" s="312"/>
      <c r="AW26" s="312"/>
      <c r="AX26" s="312"/>
      <c r="AY26" s="312"/>
      <c r="AZ26" s="312"/>
      <c r="BA26" s="312"/>
      <c r="BB26" s="312"/>
      <c r="BC26" s="312"/>
      <c r="BD26" s="312"/>
      <c r="BE26" s="312"/>
      <c r="BF26" s="312"/>
      <c r="BG26" s="313"/>
    </row>
    <row r="27" spans="1:59">
      <c r="A27" s="195">
        <v>16</v>
      </c>
      <c r="B27" s="311"/>
      <c r="C27" s="312"/>
      <c r="D27" s="312"/>
      <c r="E27" s="312"/>
      <c r="F27" s="312"/>
      <c r="G27" s="312"/>
      <c r="H27" s="312"/>
      <c r="I27" s="312"/>
      <c r="J27" s="312"/>
      <c r="K27" s="312"/>
      <c r="L27" s="312"/>
      <c r="M27" s="312"/>
      <c r="N27" s="313"/>
      <c r="P27" s="195">
        <v>16</v>
      </c>
      <c r="Q27" s="311"/>
      <c r="R27" s="312"/>
      <c r="S27" s="312"/>
      <c r="T27" s="312"/>
      <c r="U27" s="312"/>
      <c r="V27" s="312"/>
      <c r="W27" s="312"/>
      <c r="X27" s="312"/>
      <c r="Y27" s="312"/>
      <c r="Z27" s="312"/>
      <c r="AA27" s="312"/>
      <c r="AB27" s="312"/>
      <c r="AC27" s="313"/>
      <c r="AE27" s="195">
        <v>16</v>
      </c>
      <c r="AF27" s="311"/>
      <c r="AG27" s="312"/>
      <c r="AH27" s="312"/>
      <c r="AI27" s="312"/>
      <c r="AJ27" s="312"/>
      <c r="AK27" s="312"/>
      <c r="AL27" s="312"/>
      <c r="AM27" s="312"/>
      <c r="AN27" s="312"/>
      <c r="AO27" s="312"/>
      <c r="AP27" s="312"/>
      <c r="AQ27" s="312"/>
      <c r="AR27" s="313"/>
      <c r="AT27" s="195">
        <v>16</v>
      </c>
      <c r="AU27" s="311"/>
      <c r="AV27" s="312"/>
      <c r="AW27" s="312"/>
      <c r="AX27" s="312"/>
      <c r="AY27" s="312"/>
      <c r="AZ27" s="312"/>
      <c r="BA27" s="312"/>
      <c r="BB27" s="312"/>
      <c r="BC27" s="312"/>
      <c r="BD27" s="312"/>
      <c r="BE27" s="312"/>
      <c r="BF27" s="312"/>
      <c r="BG27" s="313"/>
    </row>
    <row r="28" spans="1:59">
      <c r="A28" s="195">
        <v>17</v>
      </c>
      <c r="B28" s="311"/>
      <c r="C28" s="312"/>
      <c r="D28" s="312"/>
      <c r="E28" s="312"/>
      <c r="F28" s="312"/>
      <c r="G28" s="312"/>
      <c r="H28" s="312"/>
      <c r="I28" s="312"/>
      <c r="J28" s="312"/>
      <c r="K28" s="312"/>
      <c r="L28" s="312"/>
      <c r="M28" s="312"/>
      <c r="N28" s="313"/>
      <c r="P28" s="195">
        <v>17</v>
      </c>
      <c r="Q28" s="311"/>
      <c r="R28" s="312"/>
      <c r="S28" s="312"/>
      <c r="T28" s="312"/>
      <c r="U28" s="312"/>
      <c r="V28" s="312"/>
      <c r="W28" s="312"/>
      <c r="X28" s="312"/>
      <c r="Y28" s="312"/>
      <c r="Z28" s="312"/>
      <c r="AA28" s="312"/>
      <c r="AB28" s="312"/>
      <c r="AC28" s="313"/>
      <c r="AE28" s="195">
        <v>17</v>
      </c>
      <c r="AF28" s="311"/>
      <c r="AG28" s="312"/>
      <c r="AH28" s="312"/>
      <c r="AI28" s="312"/>
      <c r="AJ28" s="312"/>
      <c r="AK28" s="312"/>
      <c r="AL28" s="312"/>
      <c r="AM28" s="312"/>
      <c r="AN28" s="312"/>
      <c r="AO28" s="312"/>
      <c r="AP28" s="312"/>
      <c r="AQ28" s="312"/>
      <c r="AR28" s="313"/>
      <c r="AT28" s="195">
        <v>17</v>
      </c>
      <c r="AU28" s="311"/>
      <c r="AV28" s="312"/>
      <c r="AW28" s="312"/>
      <c r="AX28" s="312"/>
      <c r="AY28" s="312"/>
      <c r="AZ28" s="312"/>
      <c r="BA28" s="312"/>
      <c r="BB28" s="312"/>
      <c r="BC28" s="312"/>
      <c r="BD28" s="312"/>
      <c r="BE28" s="312"/>
      <c r="BF28" s="312"/>
      <c r="BG28" s="313"/>
    </row>
    <row r="29" spans="1:59">
      <c r="A29" s="195">
        <v>18</v>
      </c>
      <c r="B29" s="311"/>
      <c r="C29" s="312"/>
      <c r="D29" s="312"/>
      <c r="E29" s="312"/>
      <c r="F29" s="312"/>
      <c r="G29" s="312"/>
      <c r="H29" s="312"/>
      <c r="I29" s="312"/>
      <c r="J29" s="312"/>
      <c r="K29" s="312"/>
      <c r="L29" s="312"/>
      <c r="M29" s="312"/>
      <c r="N29" s="313"/>
      <c r="P29" s="195">
        <v>18</v>
      </c>
      <c r="Q29" s="311"/>
      <c r="R29" s="312"/>
      <c r="S29" s="312"/>
      <c r="T29" s="312"/>
      <c r="U29" s="312"/>
      <c r="V29" s="312"/>
      <c r="W29" s="312"/>
      <c r="X29" s="312"/>
      <c r="Y29" s="312"/>
      <c r="Z29" s="312"/>
      <c r="AA29" s="312"/>
      <c r="AB29" s="312"/>
      <c r="AC29" s="313"/>
      <c r="AE29" s="195">
        <v>18</v>
      </c>
      <c r="AF29" s="311"/>
      <c r="AG29" s="312"/>
      <c r="AH29" s="312"/>
      <c r="AI29" s="312"/>
      <c r="AJ29" s="312"/>
      <c r="AK29" s="312"/>
      <c r="AL29" s="312"/>
      <c r="AM29" s="312"/>
      <c r="AN29" s="312"/>
      <c r="AO29" s="312"/>
      <c r="AP29" s="312"/>
      <c r="AQ29" s="312"/>
      <c r="AR29" s="313"/>
      <c r="AT29" s="195">
        <v>18</v>
      </c>
      <c r="AU29" s="311"/>
      <c r="AV29" s="312"/>
      <c r="AW29" s="312"/>
      <c r="AX29" s="312"/>
      <c r="AY29" s="312"/>
      <c r="AZ29" s="312"/>
      <c r="BA29" s="312"/>
      <c r="BB29" s="312"/>
      <c r="BC29" s="312"/>
      <c r="BD29" s="312"/>
      <c r="BE29" s="312"/>
      <c r="BF29" s="312"/>
      <c r="BG29" s="313"/>
    </row>
    <row r="30" spans="1:59">
      <c r="A30" s="195">
        <v>19</v>
      </c>
      <c r="B30" s="311"/>
      <c r="C30" s="312"/>
      <c r="D30" s="312"/>
      <c r="E30" s="312"/>
      <c r="F30" s="312"/>
      <c r="G30" s="312"/>
      <c r="H30" s="312"/>
      <c r="I30" s="312"/>
      <c r="J30" s="312"/>
      <c r="K30" s="312"/>
      <c r="L30" s="312"/>
      <c r="M30" s="312"/>
      <c r="N30" s="313"/>
      <c r="P30" s="195">
        <v>19</v>
      </c>
      <c r="Q30" s="311"/>
      <c r="R30" s="312"/>
      <c r="S30" s="312"/>
      <c r="T30" s="312"/>
      <c r="U30" s="312"/>
      <c r="V30" s="312"/>
      <c r="W30" s="312"/>
      <c r="X30" s="312"/>
      <c r="Y30" s="312"/>
      <c r="Z30" s="312"/>
      <c r="AA30" s="312"/>
      <c r="AB30" s="312"/>
      <c r="AC30" s="313"/>
      <c r="AE30" s="195">
        <v>19</v>
      </c>
      <c r="AF30" s="311"/>
      <c r="AG30" s="312"/>
      <c r="AH30" s="312"/>
      <c r="AI30" s="312"/>
      <c r="AJ30" s="312"/>
      <c r="AK30" s="312"/>
      <c r="AL30" s="312"/>
      <c r="AM30" s="312"/>
      <c r="AN30" s="312"/>
      <c r="AO30" s="312"/>
      <c r="AP30" s="312"/>
      <c r="AQ30" s="312"/>
      <c r="AR30" s="313"/>
      <c r="AT30" s="195">
        <v>19</v>
      </c>
      <c r="AU30" s="311"/>
      <c r="AV30" s="312"/>
      <c r="AW30" s="312"/>
      <c r="AX30" s="312"/>
      <c r="AY30" s="312"/>
      <c r="AZ30" s="312"/>
      <c r="BA30" s="312"/>
      <c r="BB30" s="312"/>
      <c r="BC30" s="312"/>
      <c r="BD30" s="312"/>
      <c r="BE30" s="312"/>
      <c r="BF30" s="312"/>
      <c r="BG30" s="313"/>
    </row>
    <row r="31" spans="1:59">
      <c r="A31" s="195">
        <v>20</v>
      </c>
      <c r="B31" s="311"/>
      <c r="C31" s="312"/>
      <c r="D31" s="312"/>
      <c r="E31" s="312"/>
      <c r="F31" s="312"/>
      <c r="G31" s="312"/>
      <c r="H31" s="312"/>
      <c r="I31" s="312"/>
      <c r="J31" s="312"/>
      <c r="K31" s="312"/>
      <c r="L31" s="312"/>
      <c r="M31" s="312"/>
      <c r="N31" s="313"/>
      <c r="P31" s="195">
        <v>20</v>
      </c>
      <c r="Q31" s="311"/>
      <c r="R31" s="312"/>
      <c r="S31" s="312"/>
      <c r="T31" s="312"/>
      <c r="U31" s="312"/>
      <c r="V31" s="312"/>
      <c r="W31" s="312"/>
      <c r="X31" s="312"/>
      <c r="Y31" s="312"/>
      <c r="Z31" s="312"/>
      <c r="AA31" s="312"/>
      <c r="AB31" s="312"/>
      <c r="AC31" s="313"/>
      <c r="AE31" s="195">
        <v>20</v>
      </c>
      <c r="AF31" s="311"/>
      <c r="AG31" s="312"/>
      <c r="AH31" s="312"/>
      <c r="AI31" s="312"/>
      <c r="AJ31" s="312"/>
      <c r="AK31" s="312"/>
      <c r="AL31" s="312"/>
      <c r="AM31" s="312"/>
      <c r="AN31" s="312"/>
      <c r="AO31" s="312"/>
      <c r="AP31" s="312"/>
      <c r="AQ31" s="312"/>
      <c r="AR31" s="313"/>
      <c r="AT31" s="195">
        <v>20</v>
      </c>
      <c r="AU31" s="311"/>
      <c r="AV31" s="312"/>
      <c r="AW31" s="312"/>
      <c r="AX31" s="312"/>
      <c r="AY31" s="312"/>
      <c r="AZ31" s="312"/>
      <c r="BA31" s="312"/>
      <c r="BB31" s="312"/>
      <c r="BC31" s="312"/>
      <c r="BD31" s="312"/>
      <c r="BE31" s="312"/>
      <c r="BF31" s="312"/>
      <c r="BG31" s="313"/>
    </row>
    <row r="32" spans="1:59">
      <c r="A32" s="195">
        <v>21</v>
      </c>
      <c r="B32" s="311"/>
      <c r="C32" s="312"/>
      <c r="D32" s="312"/>
      <c r="E32" s="312"/>
      <c r="F32" s="312"/>
      <c r="G32" s="312"/>
      <c r="H32" s="312"/>
      <c r="I32" s="312"/>
      <c r="J32" s="312"/>
      <c r="K32" s="312"/>
      <c r="L32" s="312"/>
      <c r="M32" s="312"/>
      <c r="N32" s="313"/>
      <c r="P32" s="195">
        <v>21</v>
      </c>
      <c r="Q32" s="311"/>
      <c r="R32" s="312"/>
      <c r="S32" s="312"/>
      <c r="T32" s="312"/>
      <c r="U32" s="312"/>
      <c r="V32" s="312"/>
      <c r="W32" s="312"/>
      <c r="X32" s="312"/>
      <c r="Y32" s="312"/>
      <c r="Z32" s="312"/>
      <c r="AA32" s="312"/>
      <c r="AB32" s="312"/>
      <c r="AC32" s="313"/>
      <c r="AE32" s="195">
        <v>21</v>
      </c>
      <c r="AF32" s="311"/>
      <c r="AG32" s="312"/>
      <c r="AH32" s="312"/>
      <c r="AI32" s="312"/>
      <c r="AJ32" s="312"/>
      <c r="AK32" s="312"/>
      <c r="AL32" s="312"/>
      <c r="AM32" s="312"/>
      <c r="AN32" s="312"/>
      <c r="AO32" s="312"/>
      <c r="AP32" s="312"/>
      <c r="AQ32" s="312"/>
      <c r="AR32" s="313"/>
      <c r="AT32" s="195">
        <v>21</v>
      </c>
      <c r="AU32" s="311"/>
      <c r="AV32" s="312"/>
      <c r="AW32" s="312"/>
      <c r="AX32" s="312"/>
      <c r="AY32" s="312"/>
      <c r="AZ32" s="312"/>
      <c r="BA32" s="312"/>
      <c r="BB32" s="312"/>
      <c r="BC32" s="312"/>
      <c r="BD32" s="312"/>
      <c r="BE32" s="312"/>
      <c r="BF32" s="312"/>
      <c r="BG32" s="313"/>
    </row>
    <row r="33" spans="1:59">
      <c r="A33" s="195">
        <v>22</v>
      </c>
      <c r="B33" s="311"/>
      <c r="C33" s="312"/>
      <c r="D33" s="312"/>
      <c r="E33" s="312"/>
      <c r="F33" s="312"/>
      <c r="G33" s="312"/>
      <c r="H33" s="312"/>
      <c r="I33" s="312"/>
      <c r="J33" s="312"/>
      <c r="K33" s="312"/>
      <c r="L33" s="312"/>
      <c r="M33" s="312"/>
      <c r="N33" s="313"/>
      <c r="P33" s="195">
        <v>22</v>
      </c>
      <c r="Q33" s="311"/>
      <c r="R33" s="312"/>
      <c r="S33" s="312"/>
      <c r="T33" s="312"/>
      <c r="U33" s="312"/>
      <c r="V33" s="312"/>
      <c r="W33" s="312"/>
      <c r="X33" s="312"/>
      <c r="Y33" s="312"/>
      <c r="Z33" s="312"/>
      <c r="AA33" s="312"/>
      <c r="AB33" s="312"/>
      <c r="AC33" s="313"/>
      <c r="AE33" s="195">
        <v>22</v>
      </c>
      <c r="AF33" s="311"/>
      <c r="AG33" s="312"/>
      <c r="AH33" s="312"/>
      <c r="AI33" s="312"/>
      <c r="AJ33" s="312"/>
      <c r="AK33" s="312"/>
      <c r="AL33" s="312"/>
      <c r="AM33" s="312"/>
      <c r="AN33" s="312"/>
      <c r="AO33" s="312"/>
      <c r="AP33" s="312"/>
      <c r="AQ33" s="312"/>
      <c r="AR33" s="313"/>
      <c r="AT33" s="195">
        <v>22</v>
      </c>
      <c r="AU33" s="311"/>
      <c r="AV33" s="312"/>
      <c r="AW33" s="312"/>
      <c r="AX33" s="312"/>
      <c r="AY33" s="312"/>
      <c r="AZ33" s="312"/>
      <c r="BA33" s="312"/>
      <c r="BB33" s="312"/>
      <c r="BC33" s="312"/>
      <c r="BD33" s="312"/>
      <c r="BE33" s="312"/>
      <c r="BF33" s="312"/>
      <c r="BG33" s="313"/>
    </row>
    <row r="34" spans="1:59">
      <c r="A34" s="195">
        <v>23</v>
      </c>
      <c r="B34" s="311"/>
      <c r="C34" s="312"/>
      <c r="D34" s="312"/>
      <c r="E34" s="312"/>
      <c r="F34" s="312"/>
      <c r="G34" s="312"/>
      <c r="H34" s="312"/>
      <c r="I34" s="312"/>
      <c r="J34" s="312"/>
      <c r="K34" s="312"/>
      <c r="L34" s="312"/>
      <c r="M34" s="312"/>
      <c r="N34" s="313"/>
      <c r="P34" s="195">
        <v>23</v>
      </c>
      <c r="Q34" s="311"/>
      <c r="R34" s="312"/>
      <c r="S34" s="312"/>
      <c r="T34" s="312"/>
      <c r="U34" s="312"/>
      <c r="V34" s="312"/>
      <c r="W34" s="312"/>
      <c r="X34" s="312"/>
      <c r="Y34" s="312"/>
      <c r="Z34" s="312"/>
      <c r="AA34" s="312"/>
      <c r="AB34" s="312"/>
      <c r="AC34" s="313"/>
      <c r="AE34" s="195">
        <v>23</v>
      </c>
      <c r="AF34" s="311"/>
      <c r="AG34" s="312"/>
      <c r="AH34" s="312"/>
      <c r="AI34" s="312"/>
      <c r="AJ34" s="312"/>
      <c r="AK34" s="312"/>
      <c r="AL34" s="312"/>
      <c r="AM34" s="312"/>
      <c r="AN34" s="312"/>
      <c r="AO34" s="312"/>
      <c r="AP34" s="312"/>
      <c r="AQ34" s="312"/>
      <c r="AR34" s="313"/>
      <c r="AT34" s="195">
        <v>23</v>
      </c>
      <c r="AU34" s="311"/>
      <c r="AV34" s="312"/>
      <c r="AW34" s="312"/>
      <c r="AX34" s="312"/>
      <c r="AY34" s="312"/>
      <c r="AZ34" s="312"/>
      <c r="BA34" s="312"/>
      <c r="BB34" s="312"/>
      <c r="BC34" s="312"/>
      <c r="BD34" s="312"/>
      <c r="BE34" s="312"/>
      <c r="BF34" s="312"/>
      <c r="BG34" s="313"/>
    </row>
    <row r="35" spans="1:59">
      <c r="A35" s="195">
        <v>24</v>
      </c>
      <c r="B35" s="311"/>
      <c r="C35" s="312"/>
      <c r="D35" s="312"/>
      <c r="E35" s="312"/>
      <c r="F35" s="312"/>
      <c r="G35" s="312"/>
      <c r="H35" s="312"/>
      <c r="I35" s="312"/>
      <c r="J35" s="312"/>
      <c r="K35" s="312"/>
      <c r="L35" s="312"/>
      <c r="M35" s="312"/>
      <c r="N35" s="313"/>
      <c r="P35" s="195">
        <v>24</v>
      </c>
      <c r="Q35" s="311"/>
      <c r="R35" s="312"/>
      <c r="S35" s="312"/>
      <c r="T35" s="312"/>
      <c r="U35" s="312"/>
      <c r="V35" s="312"/>
      <c r="W35" s="312"/>
      <c r="X35" s="312"/>
      <c r="Y35" s="312"/>
      <c r="Z35" s="312"/>
      <c r="AA35" s="312"/>
      <c r="AB35" s="312"/>
      <c r="AC35" s="313"/>
      <c r="AE35" s="195">
        <v>24</v>
      </c>
      <c r="AF35" s="311"/>
      <c r="AG35" s="312"/>
      <c r="AH35" s="312"/>
      <c r="AI35" s="312"/>
      <c r="AJ35" s="312"/>
      <c r="AK35" s="312"/>
      <c r="AL35" s="312"/>
      <c r="AM35" s="312"/>
      <c r="AN35" s="312"/>
      <c r="AO35" s="312"/>
      <c r="AP35" s="312"/>
      <c r="AQ35" s="312"/>
      <c r="AR35" s="313"/>
      <c r="AT35" s="195">
        <v>24</v>
      </c>
      <c r="AU35" s="311"/>
      <c r="AV35" s="312"/>
      <c r="AW35" s="312"/>
      <c r="AX35" s="312"/>
      <c r="AY35" s="312"/>
      <c r="AZ35" s="312"/>
      <c r="BA35" s="312"/>
      <c r="BB35" s="312"/>
      <c r="BC35" s="312"/>
      <c r="BD35" s="312"/>
      <c r="BE35" s="312"/>
      <c r="BF35" s="312"/>
      <c r="BG35" s="313"/>
    </row>
    <row r="36" spans="1:59">
      <c r="A36" s="195">
        <v>25</v>
      </c>
      <c r="B36" s="311"/>
      <c r="C36" s="312"/>
      <c r="D36" s="312"/>
      <c r="E36" s="312"/>
      <c r="F36" s="312"/>
      <c r="G36" s="312"/>
      <c r="H36" s="312"/>
      <c r="I36" s="312"/>
      <c r="J36" s="312"/>
      <c r="K36" s="312"/>
      <c r="L36" s="312"/>
      <c r="M36" s="312"/>
      <c r="N36" s="313"/>
      <c r="P36" s="195">
        <v>25</v>
      </c>
      <c r="Q36" s="311"/>
      <c r="R36" s="312"/>
      <c r="S36" s="312"/>
      <c r="T36" s="312"/>
      <c r="U36" s="312"/>
      <c r="V36" s="312"/>
      <c r="W36" s="312"/>
      <c r="X36" s="312"/>
      <c r="Y36" s="312"/>
      <c r="Z36" s="312"/>
      <c r="AA36" s="312"/>
      <c r="AB36" s="312"/>
      <c r="AC36" s="313"/>
      <c r="AE36" s="195">
        <v>25</v>
      </c>
      <c r="AF36" s="311"/>
      <c r="AG36" s="312"/>
      <c r="AH36" s="312"/>
      <c r="AI36" s="312"/>
      <c r="AJ36" s="312"/>
      <c r="AK36" s="312"/>
      <c r="AL36" s="312"/>
      <c r="AM36" s="312"/>
      <c r="AN36" s="312"/>
      <c r="AO36" s="312"/>
      <c r="AP36" s="312"/>
      <c r="AQ36" s="312"/>
      <c r="AR36" s="313"/>
      <c r="AT36" s="195">
        <v>25</v>
      </c>
      <c r="AU36" s="311"/>
      <c r="AV36" s="312"/>
      <c r="AW36" s="312"/>
      <c r="AX36" s="312"/>
      <c r="AY36" s="312"/>
      <c r="AZ36" s="312"/>
      <c r="BA36" s="312"/>
      <c r="BB36" s="312"/>
      <c r="BC36" s="312"/>
      <c r="BD36" s="312"/>
      <c r="BE36" s="312"/>
      <c r="BF36" s="312"/>
      <c r="BG36" s="313"/>
    </row>
    <row r="37" spans="1:59">
      <c r="A37" s="195">
        <v>26</v>
      </c>
      <c r="B37" s="311"/>
      <c r="C37" s="312"/>
      <c r="D37" s="312"/>
      <c r="E37" s="312"/>
      <c r="F37" s="312"/>
      <c r="G37" s="312"/>
      <c r="H37" s="312"/>
      <c r="I37" s="312"/>
      <c r="J37" s="312"/>
      <c r="K37" s="312"/>
      <c r="L37" s="312"/>
      <c r="M37" s="312"/>
      <c r="N37" s="313"/>
      <c r="P37" s="195">
        <v>26</v>
      </c>
      <c r="Q37" s="311"/>
      <c r="R37" s="312"/>
      <c r="S37" s="312"/>
      <c r="T37" s="312"/>
      <c r="U37" s="312"/>
      <c r="V37" s="312"/>
      <c r="W37" s="312"/>
      <c r="X37" s="312"/>
      <c r="Y37" s="312"/>
      <c r="Z37" s="312"/>
      <c r="AA37" s="312"/>
      <c r="AB37" s="312"/>
      <c r="AC37" s="313"/>
      <c r="AE37" s="195">
        <v>26</v>
      </c>
      <c r="AF37" s="311"/>
      <c r="AG37" s="312"/>
      <c r="AH37" s="312"/>
      <c r="AI37" s="312"/>
      <c r="AJ37" s="312"/>
      <c r="AK37" s="312"/>
      <c r="AL37" s="312"/>
      <c r="AM37" s="312"/>
      <c r="AN37" s="312"/>
      <c r="AO37" s="312"/>
      <c r="AP37" s="312"/>
      <c r="AQ37" s="312"/>
      <c r="AR37" s="313"/>
      <c r="AT37" s="195">
        <v>26</v>
      </c>
      <c r="AU37" s="311"/>
      <c r="AV37" s="312"/>
      <c r="AW37" s="312"/>
      <c r="AX37" s="312"/>
      <c r="AY37" s="312"/>
      <c r="AZ37" s="312"/>
      <c r="BA37" s="312"/>
      <c r="BB37" s="312"/>
      <c r="BC37" s="312"/>
      <c r="BD37" s="312"/>
      <c r="BE37" s="312"/>
      <c r="BF37" s="312"/>
      <c r="BG37" s="313"/>
    </row>
    <row r="38" spans="1:59">
      <c r="A38" s="195">
        <v>27</v>
      </c>
      <c r="B38" s="311"/>
      <c r="C38" s="312"/>
      <c r="D38" s="312"/>
      <c r="E38" s="312"/>
      <c r="F38" s="312"/>
      <c r="G38" s="312"/>
      <c r="H38" s="312"/>
      <c r="I38" s="312"/>
      <c r="J38" s="312"/>
      <c r="K38" s="312"/>
      <c r="L38" s="312"/>
      <c r="M38" s="312"/>
      <c r="N38" s="313"/>
      <c r="P38" s="195">
        <v>27</v>
      </c>
      <c r="Q38" s="311"/>
      <c r="R38" s="312"/>
      <c r="S38" s="312"/>
      <c r="T38" s="312"/>
      <c r="U38" s="312"/>
      <c r="V38" s="312"/>
      <c r="W38" s="312"/>
      <c r="X38" s="312"/>
      <c r="Y38" s="312"/>
      <c r="Z38" s="312"/>
      <c r="AA38" s="312"/>
      <c r="AB38" s="312"/>
      <c r="AC38" s="313"/>
      <c r="AE38" s="195">
        <v>27</v>
      </c>
      <c r="AF38" s="311"/>
      <c r="AG38" s="312"/>
      <c r="AH38" s="312"/>
      <c r="AI38" s="312"/>
      <c r="AJ38" s="312"/>
      <c r="AK38" s="312"/>
      <c r="AL38" s="312"/>
      <c r="AM38" s="312"/>
      <c r="AN38" s="312"/>
      <c r="AO38" s="312"/>
      <c r="AP38" s="312"/>
      <c r="AQ38" s="312"/>
      <c r="AR38" s="313"/>
      <c r="AT38" s="195">
        <v>27</v>
      </c>
      <c r="AU38" s="311"/>
      <c r="AV38" s="312"/>
      <c r="AW38" s="312"/>
      <c r="AX38" s="312"/>
      <c r="AY38" s="312"/>
      <c r="AZ38" s="312"/>
      <c r="BA38" s="312"/>
      <c r="BB38" s="312"/>
      <c r="BC38" s="312"/>
      <c r="BD38" s="312"/>
      <c r="BE38" s="312"/>
      <c r="BF38" s="312"/>
      <c r="BG38" s="313"/>
    </row>
    <row r="39" spans="1:59">
      <c r="A39" s="195">
        <v>28</v>
      </c>
      <c r="B39" s="311"/>
      <c r="C39" s="312"/>
      <c r="D39" s="312"/>
      <c r="E39" s="312"/>
      <c r="F39" s="312"/>
      <c r="G39" s="312"/>
      <c r="H39" s="312"/>
      <c r="I39" s="312"/>
      <c r="J39" s="312"/>
      <c r="K39" s="312"/>
      <c r="L39" s="312"/>
      <c r="M39" s="312"/>
      <c r="N39" s="313"/>
      <c r="P39" s="195">
        <v>28</v>
      </c>
      <c r="Q39" s="311"/>
      <c r="R39" s="312"/>
      <c r="S39" s="312"/>
      <c r="T39" s="312"/>
      <c r="U39" s="312"/>
      <c r="V39" s="312"/>
      <c r="W39" s="312"/>
      <c r="X39" s="312"/>
      <c r="Y39" s="312"/>
      <c r="Z39" s="312"/>
      <c r="AA39" s="312"/>
      <c r="AB39" s="312"/>
      <c r="AC39" s="313"/>
      <c r="AE39" s="195">
        <v>28</v>
      </c>
      <c r="AF39" s="311"/>
      <c r="AG39" s="312"/>
      <c r="AH39" s="312"/>
      <c r="AI39" s="312"/>
      <c r="AJ39" s="312"/>
      <c r="AK39" s="312"/>
      <c r="AL39" s="312"/>
      <c r="AM39" s="312"/>
      <c r="AN39" s="312"/>
      <c r="AO39" s="312"/>
      <c r="AP39" s="312"/>
      <c r="AQ39" s="312"/>
      <c r="AR39" s="313"/>
      <c r="AT39" s="195">
        <v>28</v>
      </c>
      <c r="AU39" s="311"/>
      <c r="AV39" s="312"/>
      <c r="AW39" s="312"/>
      <c r="AX39" s="312"/>
      <c r="AY39" s="312"/>
      <c r="AZ39" s="312"/>
      <c r="BA39" s="312"/>
      <c r="BB39" s="312"/>
      <c r="BC39" s="312"/>
      <c r="BD39" s="312"/>
      <c r="BE39" s="312"/>
      <c r="BF39" s="312"/>
      <c r="BG39" s="313"/>
    </row>
    <row r="40" spans="1:59">
      <c r="A40" s="195">
        <v>29</v>
      </c>
      <c r="B40" s="311"/>
      <c r="C40" s="312"/>
      <c r="D40" s="312"/>
      <c r="E40" s="312"/>
      <c r="F40" s="312"/>
      <c r="G40" s="312"/>
      <c r="H40" s="312"/>
      <c r="I40" s="312"/>
      <c r="J40" s="312"/>
      <c r="K40" s="312"/>
      <c r="L40" s="312"/>
      <c r="M40" s="312"/>
      <c r="N40" s="313"/>
      <c r="P40" s="195">
        <v>29</v>
      </c>
      <c r="Q40" s="311"/>
      <c r="R40" s="312"/>
      <c r="S40" s="312"/>
      <c r="T40" s="312"/>
      <c r="U40" s="312"/>
      <c r="V40" s="312"/>
      <c r="W40" s="312"/>
      <c r="X40" s="312"/>
      <c r="Y40" s="312"/>
      <c r="Z40" s="312"/>
      <c r="AA40" s="312"/>
      <c r="AB40" s="312"/>
      <c r="AC40" s="313"/>
      <c r="AE40" s="195">
        <v>29</v>
      </c>
      <c r="AF40" s="311"/>
      <c r="AG40" s="312"/>
      <c r="AH40" s="312"/>
      <c r="AI40" s="312"/>
      <c r="AJ40" s="312"/>
      <c r="AK40" s="312"/>
      <c r="AL40" s="312"/>
      <c r="AM40" s="312"/>
      <c r="AN40" s="312"/>
      <c r="AO40" s="312"/>
      <c r="AP40" s="312"/>
      <c r="AQ40" s="312"/>
      <c r="AR40" s="313"/>
      <c r="AT40" s="195">
        <v>29</v>
      </c>
      <c r="AU40" s="311"/>
      <c r="AV40" s="312"/>
      <c r="AW40" s="312"/>
      <c r="AX40" s="312"/>
      <c r="AY40" s="312"/>
      <c r="AZ40" s="312"/>
      <c r="BA40" s="312"/>
      <c r="BB40" s="312"/>
      <c r="BC40" s="312"/>
      <c r="BD40" s="312"/>
      <c r="BE40" s="312"/>
      <c r="BF40" s="312"/>
      <c r="BG40" s="313"/>
    </row>
    <row r="41" spans="1:59">
      <c r="A41" s="195">
        <v>30</v>
      </c>
      <c r="B41" s="311"/>
      <c r="C41" s="312"/>
      <c r="D41" s="312"/>
      <c r="E41" s="312"/>
      <c r="F41" s="312"/>
      <c r="G41" s="312"/>
      <c r="H41" s="312"/>
      <c r="I41" s="312"/>
      <c r="J41" s="312"/>
      <c r="K41" s="312"/>
      <c r="L41" s="312"/>
      <c r="M41" s="312"/>
      <c r="N41" s="313"/>
      <c r="P41" s="195">
        <v>30</v>
      </c>
      <c r="Q41" s="311"/>
      <c r="R41" s="312"/>
      <c r="S41" s="312"/>
      <c r="T41" s="312"/>
      <c r="U41" s="312"/>
      <c r="V41" s="312"/>
      <c r="W41" s="312"/>
      <c r="X41" s="312"/>
      <c r="Y41" s="312"/>
      <c r="Z41" s="312"/>
      <c r="AA41" s="312"/>
      <c r="AB41" s="312"/>
      <c r="AC41" s="313"/>
      <c r="AE41" s="195">
        <v>30</v>
      </c>
      <c r="AF41" s="311"/>
      <c r="AG41" s="312"/>
      <c r="AH41" s="312"/>
      <c r="AI41" s="312"/>
      <c r="AJ41" s="312"/>
      <c r="AK41" s="312"/>
      <c r="AL41" s="312"/>
      <c r="AM41" s="312"/>
      <c r="AN41" s="312"/>
      <c r="AO41" s="312"/>
      <c r="AP41" s="312"/>
      <c r="AQ41" s="312"/>
      <c r="AR41" s="313"/>
      <c r="AT41" s="195">
        <v>30</v>
      </c>
      <c r="AU41" s="311"/>
      <c r="AV41" s="312"/>
      <c r="AW41" s="312"/>
      <c r="AX41" s="312"/>
      <c r="AY41" s="312"/>
      <c r="AZ41" s="312"/>
      <c r="BA41" s="312"/>
      <c r="BB41" s="312"/>
      <c r="BC41" s="312"/>
      <c r="BD41" s="312"/>
      <c r="BE41" s="312"/>
      <c r="BF41" s="312"/>
      <c r="BG41" s="313"/>
    </row>
    <row r="42" spans="1:59">
      <c r="A42" s="195">
        <v>31</v>
      </c>
      <c r="B42" s="311"/>
      <c r="C42" s="312"/>
      <c r="D42" s="312"/>
      <c r="E42" s="312"/>
      <c r="F42" s="312"/>
      <c r="G42" s="312"/>
      <c r="H42" s="312"/>
      <c r="I42" s="312"/>
      <c r="J42" s="312"/>
      <c r="K42" s="312"/>
      <c r="L42" s="312"/>
      <c r="M42" s="312"/>
      <c r="N42" s="313"/>
      <c r="P42" s="195">
        <v>31</v>
      </c>
      <c r="Q42" s="311"/>
      <c r="R42" s="312"/>
      <c r="S42" s="312"/>
      <c r="T42" s="312"/>
      <c r="U42" s="312"/>
      <c r="V42" s="312"/>
      <c r="W42" s="312"/>
      <c r="X42" s="312"/>
      <c r="Y42" s="312"/>
      <c r="Z42" s="312"/>
      <c r="AA42" s="312"/>
      <c r="AB42" s="312"/>
      <c r="AC42" s="313"/>
      <c r="AE42" s="195">
        <v>31</v>
      </c>
      <c r="AF42" s="311"/>
      <c r="AG42" s="312"/>
      <c r="AH42" s="312"/>
      <c r="AI42" s="312"/>
      <c r="AJ42" s="312"/>
      <c r="AK42" s="312"/>
      <c r="AL42" s="312"/>
      <c r="AM42" s="312"/>
      <c r="AN42" s="312"/>
      <c r="AO42" s="312"/>
      <c r="AP42" s="312"/>
      <c r="AQ42" s="312"/>
      <c r="AR42" s="313"/>
      <c r="AT42" s="195">
        <v>31</v>
      </c>
      <c r="AU42" s="311"/>
      <c r="AV42" s="312"/>
      <c r="AW42" s="312"/>
      <c r="AX42" s="312"/>
      <c r="AY42" s="312"/>
      <c r="AZ42" s="312"/>
      <c r="BA42" s="312"/>
      <c r="BB42" s="312"/>
      <c r="BC42" s="312"/>
      <c r="BD42" s="312"/>
      <c r="BE42" s="312"/>
      <c r="BF42" s="312"/>
      <c r="BG42" s="313"/>
    </row>
    <row r="43" spans="1:59">
      <c r="A43" s="195">
        <v>32</v>
      </c>
      <c r="B43" s="311"/>
      <c r="C43" s="312"/>
      <c r="D43" s="312"/>
      <c r="E43" s="312"/>
      <c r="F43" s="312"/>
      <c r="G43" s="312"/>
      <c r="H43" s="312"/>
      <c r="I43" s="312"/>
      <c r="J43" s="312"/>
      <c r="K43" s="312"/>
      <c r="L43" s="312"/>
      <c r="M43" s="312"/>
      <c r="N43" s="313"/>
      <c r="P43" s="195">
        <v>32</v>
      </c>
      <c r="Q43" s="311"/>
      <c r="R43" s="312"/>
      <c r="S43" s="312"/>
      <c r="T43" s="312"/>
      <c r="U43" s="312"/>
      <c r="V43" s="312"/>
      <c r="W43" s="312"/>
      <c r="X43" s="312"/>
      <c r="Y43" s="312"/>
      <c r="Z43" s="312"/>
      <c r="AA43" s="312"/>
      <c r="AB43" s="312"/>
      <c r="AC43" s="313"/>
      <c r="AE43" s="195">
        <v>32</v>
      </c>
      <c r="AF43" s="311"/>
      <c r="AG43" s="312"/>
      <c r="AH43" s="312"/>
      <c r="AI43" s="312"/>
      <c r="AJ43" s="312"/>
      <c r="AK43" s="312"/>
      <c r="AL43" s="312"/>
      <c r="AM43" s="312"/>
      <c r="AN43" s="312"/>
      <c r="AO43" s="312"/>
      <c r="AP43" s="312"/>
      <c r="AQ43" s="312"/>
      <c r="AR43" s="313"/>
      <c r="AT43" s="195">
        <v>32</v>
      </c>
      <c r="AU43" s="311"/>
      <c r="AV43" s="312"/>
      <c r="AW43" s="312"/>
      <c r="AX43" s="312"/>
      <c r="AY43" s="312"/>
      <c r="AZ43" s="312"/>
      <c r="BA43" s="312"/>
      <c r="BB43" s="312"/>
      <c r="BC43" s="312"/>
      <c r="BD43" s="312"/>
      <c r="BE43" s="312"/>
      <c r="BF43" s="312"/>
      <c r="BG43" s="313"/>
    </row>
    <row r="44" spans="1:59">
      <c r="A44" s="195">
        <v>33</v>
      </c>
      <c r="B44" s="311"/>
      <c r="C44" s="312"/>
      <c r="D44" s="312"/>
      <c r="E44" s="312"/>
      <c r="F44" s="312"/>
      <c r="G44" s="312"/>
      <c r="H44" s="312"/>
      <c r="I44" s="312"/>
      <c r="J44" s="312"/>
      <c r="K44" s="312"/>
      <c r="L44" s="312"/>
      <c r="M44" s="312"/>
      <c r="N44" s="313"/>
      <c r="P44" s="195">
        <v>33</v>
      </c>
      <c r="Q44" s="311"/>
      <c r="R44" s="312"/>
      <c r="S44" s="312"/>
      <c r="T44" s="312"/>
      <c r="U44" s="312"/>
      <c r="V44" s="312"/>
      <c r="W44" s="312"/>
      <c r="X44" s="312"/>
      <c r="Y44" s="312"/>
      <c r="Z44" s="312"/>
      <c r="AA44" s="312"/>
      <c r="AB44" s="312"/>
      <c r="AC44" s="313"/>
      <c r="AE44" s="195">
        <v>33</v>
      </c>
      <c r="AF44" s="311"/>
      <c r="AG44" s="312"/>
      <c r="AH44" s="312"/>
      <c r="AI44" s="312"/>
      <c r="AJ44" s="312"/>
      <c r="AK44" s="312"/>
      <c r="AL44" s="312"/>
      <c r="AM44" s="312"/>
      <c r="AN44" s="312"/>
      <c r="AO44" s="312"/>
      <c r="AP44" s="312"/>
      <c r="AQ44" s="312"/>
      <c r="AR44" s="313"/>
      <c r="AT44" s="195">
        <v>33</v>
      </c>
      <c r="AU44" s="311"/>
      <c r="AV44" s="312"/>
      <c r="AW44" s="312"/>
      <c r="AX44" s="312"/>
      <c r="AY44" s="312"/>
      <c r="AZ44" s="312"/>
      <c r="BA44" s="312"/>
      <c r="BB44" s="312"/>
      <c r="BC44" s="312"/>
      <c r="BD44" s="312"/>
      <c r="BE44" s="312"/>
      <c r="BF44" s="312"/>
      <c r="BG44" s="313"/>
    </row>
    <row r="45" spans="1:59">
      <c r="A45" s="195">
        <v>34</v>
      </c>
      <c r="B45" s="311"/>
      <c r="C45" s="312"/>
      <c r="D45" s="312"/>
      <c r="E45" s="312"/>
      <c r="F45" s="312"/>
      <c r="G45" s="312"/>
      <c r="H45" s="312"/>
      <c r="I45" s="312"/>
      <c r="J45" s="312"/>
      <c r="K45" s="312"/>
      <c r="L45" s="312"/>
      <c r="M45" s="312"/>
      <c r="N45" s="313"/>
      <c r="P45" s="195">
        <v>34</v>
      </c>
      <c r="Q45" s="311"/>
      <c r="R45" s="312"/>
      <c r="S45" s="312"/>
      <c r="T45" s="312"/>
      <c r="U45" s="312"/>
      <c r="V45" s="312"/>
      <c r="W45" s="312"/>
      <c r="X45" s="312"/>
      <c r="Y45" s="312"/>
      <c r="Z45" s="312"/>
      <c r="AA45" s="312"/>
      <c r="AB45" s="312"/>
      <c r="AC45" s="313"/>
      <c r="AE45" s="195">
        <v>34</v>
      </c>
      <c r="AF45" s="311"/>
      <c r="AG45" s="312"/>
      <c r="AH45" s="312"/>
      <c r="AI45" s="312"/>
      <c r="AJ45" s="312"/>
      <c r="AK45" s="312"/>
      <c r="AL45" s="312"/>
      <c r="AM45" s="312"/>
      <c r="AN45" s="312"/>
      <c r="AO45" s="312"/>
      <c r="AP45" s="312"/>
      <c r="AQ45" s="312"/>
      <c r="AR45" s="313"/>
      <c r="AT45" s="195">
        <v>34</v>
      </c>
      <c r="AU45" s="311"/>
      <c r="AV45" s="312"/>
      <c r="AW45" s="312"/>
      <c r="AX45" s="312"/>
      <c r="AY45" s="312"/>
      <c r="AZ45" s="312"/>
      <c r="BA45" s="312"/>
      <c r="BB45" s="312"/>
      <c r="BC45" s="312"/>
      <c r="BD45" s="312"/>
      <c r="BE45" s="312"/>
      <c r="BF45" s="312"/>
      <c r="BG45" s="313"/>
    </row>
    <row r="46" spans="1:59">
      <c r="A46" s="195">
        <v>35</v>
      </c>
      <c r="B46" s="311"/>
      <c r="C46" s="312"/>
      <c r="D46" s="312"/>
      <c r="E46" s="312"/>
      <c r="F46" s="312"/>
      <c r="G46" s="312"/>
      <c r="H46" s="312"/>
      <c r="I46" s="312"/>
      <c r="J46" s="312"/>
      <c r="K46" s="312"/>
      <c r="L46" s="312"/>
      <c r="M46" s="312"/>
      <c r="N46" s="313"/>
      <c r="P46" s="195">
        <v>35</v>
      </c>
      <c r="Q46" s="311"/>
      <c r="R46" s="312"/>
      <c r="S46" s="312"/>
      <c r="T46" s="312"/>
      <c r="U46" s="312"/>
      <c r="V46" s="312"/>
      <c r="W46" s="312"/>
      <c r="X46" s="312"/>
      <c r="Y46" s="312"/>
      <c r="Z46" s="312"/>
      <c r="AA46" s="312"/>
      <c r="AB46" s="312"/>
      <c r="AC46" s="313"/>
      <c r="AE46" s="195">
        <v>35</v>
      </c>
      <c r="AF46" s="311"/>
      <c r="AG46" s="312"/>
      <c r="AH46" s="312"/>
      <c r="AI46" s="312"/>
      <c r="AJ46" s="312"/>
      <c r="AK46" s="312"/>
      <c r="AL46" s="312"/>
      <c r="AM46" s="312"/>
      <c r="AN46" s="312"/>
      <c r="AO46" s="312"/>
      <c r="AP46" s="312"/>
      <c r="AQ46" s="312"/>
      <c r="AR46" s="313"/>
      <c r="AT46" s="195">
        <v>35</v>
      </c>
      <c r="AU46" s="311"/>
      <c r="AV46" s="312"/>
      <c r="AW46" s="312"/>
      <c r="AX46" s="312"/>
      <c r="AY46" s="312"/>
      <c r="AZ46" s="312"/>
      <c r="BA46" s="312"/>
      <c r="BB46" s="312"/>
      <c r="BC46" s="312"/>
      <c r="BD46" s="312"/>
      <c r="BE46" s="312"/>
      <c r="BF46" s="312"/>
      <c r="BG46" s="313"/>
    </row>
    <row r="47" spans="1:59">
      <c r="A47" s="195">
        <v>36</v>
      </c>
      <c r="B47" s="311"/>
      <c r="C47" s="312"/>
      <c r="D47" s="312"/>
      <c r="E47" s="312"/>
      <c r="F47" s="312"/>
      <c r="G47" s="312"/>
      <c r="H47" s="312"/>
      <c r="I47" s="312"/>
      <c r="J47" s="312"/>
      <c r="K47" s="312"/>
      <c r="L47" s="312"/>
      <c r="M47" s="312"/>
      <c r="N47" s="313"/>
      <c r="P47" s="195">
        <v>36</v>
      </c>
      <c r="Q47" s="311"/>
      <c r="R47" s="312"/>
      <c r="S47" s="312"/>
      <c r="T47" s="312"/>
      <c r="U47" s="312"/>
      <c r="V47" s="312"/>
      <c r="W47" s="312"/>
      <c r="X47" s="312"/>
      <c r="Y47" s="312"/>
      <c r="Z47" s="312"/>
      <c r="AA47" s="312"/>
      <c r="AB47" s="312"/>
      <c r="AC47" s="313"/>
      <c r="AE47" s="195">
        <v>36</v>
      </c>
      <c r="AF47" s="311"/>
      <c r="AG47" s="312"/>
      <c r="AH47" s="312"/>
      <c r="AI47" s="312"/>
      <c r="AJ47" s="312"/>
      <c r="AK47" s="312"/>
      <c r="AL47" s="312"/>
      <c r="AM47" s="312"/>
      <c r="AN47" s="312"/>
      <c r="AO47" s="312"/>
      <c r="AP47" s="312"/>
      <c r="AQ47" s="312"/>
      <c r="AR47" s="313"/>
      <c r="AT47" s="195">
        <v>36</v>
      </c>
      <c r="AU47" s="311"/>
      <c r="AV47" s="312"/>
      <c r="AW47" s="312"/>
      <c r="AX47" s="312"/>
      <c r="AY47" s="312"/>
      <c r="AZ47" s="312"/>
      <c r="BA47" s="312"/>
      <c r="BB47" s="312"/>
      <c r="BC47" s="312"/>
      <c r="BD47" s="312"/>
      <c r="BE47" s="312"/>
      <c r="BF47" s="312"/>
      <c r="BG47" s="313"/>
    </row>
    <row r="48" spans="1:59">
      <c r="A48" s="195">
        <v>37</v>
      </c>
      <c r="B48" s="311"/>
      <c r="C48" s="312"/>
      <c r="D48" s="312"/>
      <c r="E48" s="312"/>
      <c r="F48" s="312"/>
      <c r="G48" s="312"/>
      <c r="H48" s="312"/>
      <c r="I48" s="312"/>
      <c r="J48" s="312"/>
      <c r="K48" s="312"/>
      <c r="L48" s="312"/>
      <c r="M48" s="312"/>
      <c r="N48" s="313"/>
      <c r="P48" s="195">
        <v>37</v>
      </c>
      <c r="Q48" s="311"/>
      <c r="R48" s="312"/>
      <c r="S48" s="312"/>
      <c r="T48" s="312"/>
      <c r="U48" s="312"/>
      <c r="V48" s="312"/>
      <c r="W48" s="312"/>
      <c r="X48" s="312"/>
      <c r="Y48" s="312"/>
      <c r="Z48" s="312"/>
      <c r="AA48" s="312"/>
      <c r="AB48" s="312"/>
      <c r="AC48" s="313"/>
      <c r="AE48" s="195">
        <v>37</v>
      </c>
      <c r="AF48" s="311"/>
      <c r="AG48" s="312"/>
      <c r="AH48" s="312"/>
      <c r="AI48" s="312"/>
      <c r="AJ48" s="312"/>
      <c r="AK48" s="312"/>
      <c r="AL48" s="312"/>
      <c r="AM48" s="312"/>
      <c r="AN48" s="312"/>
      <c r="AO48" s="312"/>
      <c r="AP48" s="312"/>
      <c r="AQ48" s="312"/>
      <c r="AR48" s="313"/>
      <c r="AT48" s="195">
        <v>37</v>
      </c>
      <c r="AU48" s="311"/>
      <c r="AV48" s="312"/>
      <c r="AW48" s="312"/>
      <c r="AX48" s="312"/>
      <c r="AY48" s="312"/>
      <c r="AZ48" s="312"/>
      <c r="BA48" s="312"/>
      <c r="BB48" s="312"/>
      <c r="BC48" s="312"/>
      <c r="BD48" s="312"/>
      <c r="BE48" s="312"/>
      <c r="BF48" s="312"/>
      <c r="BG48" s="313"/>
    </row>
    <row r="49" spans="1:59">
      <c r="A49" s="195">
        <v>38</v>
      </c>
      <c r="B49" s="311"/>
      <c r="C49" s="312"/>
      <c r="D49" s="312"/>
      <c r="E49" s="312"/>
      <c r="F49" s="312"/>
      <c r="G49" s="312"/>
      <c r="H49" s="312"/>
      <c r="I49" s="312"/>
      <c r="J49" s="312"/>
      <c r="K49" s="312"/>
      <c r="L49" s="312"/>
      <c r="M49" s="312"/>
      <c r="N49" s="313"/>
      <c r="P49" s="195">
        <v>38</v>
      </c>
      <c r="Q49" s="311"/>
      <c r="R49" s="312"/>
      <c r="S49" s="312"/>
      <c r="T49" s="312"/>
      <c r="U49" s="312"/>
      <c r="V49" s="312"/>
      <c r="W49" s="312"/>
      <c r="X49" s="312"/>
      <c r="Y49" s="312"/>
      <c r="Z49" s="312"/>
      <c r="AA49" s="312"/>
      <c r="AB49" s="312"/>
      <c r="AC49" s="313"/>
      <c r="AE49" s="195">
        <v>38</v>
      </c>
      <c r="AF49" s="311"/>
      <c r="AG49" s="312"/>
      <c r="AH49" s="312"/>
      <c r="AI49" s="312"/>
      <c r="AJ49" s="312"/>
      <c r="AK49" s="312"/>
      <c r="AL49" s="312"/>
      <c r="AM49" s="312"/>
      <c r="AN49" s="312"/>
      <c r="AO49" s="312"/>
      <c r="AP49" s="312"/>
      <c r="AQ49" s="312"/>
      <c r="AR49" s="313"/>
      <c r="AT49" s="195">
        <v>38</v>
      </c>
      <c r="AU49" s="311"/>
      <c r="AV49" s="312"/>
      <c r="AW49" s="312"/>
      <c r="AX49" s="312"/>
      <c r="AY49" s="312"/>
      <c r="AZ49" s="312"/>
      <c r="BA49" s="312"/>
      <c r="BB49" s="312"/>
      <c r="BC49" s="312"/>
      <c r="BD49" s="312"/>
      <c r="BE49" s="312"/>
      <c r="BF49" s="312"/>
      <c r="BG49" s="313"/>
    </row>
    <row r="50" spans="1:59">
      <c r="A50" s="195">
        <v>39</v>
      </c>
      <c r="B50" s="311"/>
      <c r="C50" s="312"/>
      <c r="D50" s="312"/>
      <c r="E50" s="312"/>
      <c r="F50" s="312"/>
      <c r="G50" s="312"/>
      <c r="H50" s="312"/>
      <c r="I50" s="312"/>
      <c r="J50" s="312"/>
      <c r="K50" s="312"/>
      <c r="L50" s="312"/>
      <c r="M50" s="312"/>
      <c r="N50" s="313"/>
      <c r="P50" s="195">
        <v>39</v>
      </c>
      <c r="Q50" s="311"/>
      <c r="R50" s="312"/>
      <c r="S50" s="312"/>
      <c r="T50" s="312"/>
      <c r="U50" s="312"/>
      <c r="V50" s="312"/>
      <c r="W50" s="312"/>
      <c r="X50" s="312"/>
      <c r="Y50" s="312"/>
      <c r="Z50" s="312"/>
      <c r="AA50" s="312"/>
      <c r="AB50" s="312"/>
      <c r="AC50" s="313"/>
      <c r="AE50" s="195">
        <v>39</v>
      </c>
      <c r="AF50" s="311"/>
      <c r="AG50" s="312"/>
      <c r="AH50" s="312"/>
      <c r="AI50" s="312"/>
      <c r="AJ50" s="312"/>
      <c r="AK50" s="312"/>
      <c r="AL50" s="312"/>
      <c r="AM50" s="312"/>
      <c r="AN50" s="312"/>
      <c r="AO50" s="312"/>
      <c r="AP50" s="312"/>
      <c r="AQ50" s="312"/>
      <c r="AR50" s="313"/>
      <c r="AT50" s="195">
        <v>39</v>
      </c>
      <c r="AU50" s="311"/>
      <c r="AV50" s="312"/>
      <c r="AW50" s="312"/>
      <c r="AX50" s="312"/>
      <c r="AY50" s="312"/>
      <c r="AZ50" s="312"/>
      <c r="BA50" s="312"/>
      <c r="BB50" s="312"/>
      <c r="BC50" s="312"/>
      <c r="BD50" s="312"/>
      <c r="BE50" s="312"/>
      <c r="BF50" s="312"/>
      <c r="BG50" s="313"/>
    </row>
    <row r="51" spans="1:59">
      <c r="A51" s="195">
        <v>40</v>
      </c>
      <c r="B51" s="311"/>
      <c r="C51" s="312"/>
      <c r="D51" s="312"/>
      <c r="E51" s="312"/>
      <c r="F51" s="312"/>
      <c r="G51" s="312"/>
      <c r="H51" s="312"/>
      <c r="I51" s="312"/>
      <c r="J51" s="312"/>
      <c r="K51" s="312"/>
      <c r="L51" s="312"/>
      <c r="M51" s="312"/>
      <c r="N51" s="313"/>
      <c r="P51" s="195">
        <v>40</v>
      </c>
      <c r="Q51" s="311"/>
      <c r="R51" s="312"/>
      <c r="S51" s="312"/>
      <c r="T51" s="312"/>
      <c r="U51" s="312"/>
      <c r="V51" s="312"/>
      <c r="W51" s="312"/>
      <c r="X51" s="312"/>
      <c r="Y51" s="312"/>
      <c r="Z51" s="312"/>
      <c r="AA51" s="312"/>
      <c r="AB51" s="312"/>
      <c r="AC51" s="313"/>
      <c r="AE51" s="195">
        <v>40</v>
      </c>
      <c r="AF51" s="311"/>
      <c r="AG51" s="312"/>
      <c r="AH51" s="312"/>
      <c r="AI51" s="312"/>
      <c r="AJ51" s="312"/>
      <c r="AK51" s="312"/>
      <c r="AL51" s="312"/>
      <c r="AM51" s="312"/>
      <c r="AN51" s="312"/>
      <c r="AO51" s="312"/>
      <c r="AP51" s="312"/>
      <c r="AQ51" s="312"/>
      <c r="AR51" s="313"/>
      <c r="AT51" s="195">
        <v>40</v>
      </c>
      <c r="AU51" s="311"/>
      <c r="AV51" s="312"/>
      <c r="AW51" s="312"/>
      <c r="AX51" s="312"/>
      <c r="AY51" s="312"/>
      <c r="AZ51" s="312"/>
      <c r="BA51" s="312"/>
      <c r="BB51" s="312"/>
      <c r="BC51" s="312"/>
      <c r="BD51" s="312"/>
      <c r="BE51" s="312"/>
      <c r="BF51" s="312"/>
      <c r="BG51" s="313"/>
    </row>
    <row r="52" spans="1:59">
      <c r="A52" s="195">
        <v>41</v>
      </c>
      <c r="B52" s="311"/>
      <c r="C52" s="312"/>
      <c r="D52" s="312"/>
      <c r="E52" s="312"/>
      <c r="F52" s="312"/>
      <c r="G52" s="312"/>
      <c r="H52" s="312"/>
      <c r="I52" s="312"/>
      <c r="J52" s="312"/>
      <c r="K52" s="312"/>
      <c r="L52" s="312"/>
      <c r="M52" s="312"/>
      <c r="N52" s="313"/>
      <c r="P52" s="195">
        <v>41</v>
      </c>
      <c r="Q52" s="311"/>
      <c r="R52" s="312"/>
      <c r="S52" s="312"/>
      <c r="T52" s="312"/>
      <c r="U52" s="312"/>
      <c r="V52" s="312"/>
      <c r="W52" s="312"/>
      <c r="X52" s="312"/>
      <c r="Y52" s="312"/>
      <c r="Z52" s="312"/>
      <c r="AA52" s="312"/>
      <c r="AB52" s="312"/>
      <c r="AC52" s="313"/>
      <c r="AE52" s="195">
        <v>41</v>
      </c>
      <c r="AF52" s="311"/>
      <c r="AG52" s="312"/>
      <c r="AH52" s="312"/>
      <c r="AI52" s="312"/>
      <c r="AJ52" s="312"/>
      <c r="AK52" s="312"/>
      <c r="AL52" s="312"/>
      <c r="AM52" s="312"/>
      <c r="AN52" s="312"/>
      <c r="AO52" s="312"/>
      <c r="AP52" s="312"/>
      <c r="AQ52" s="312"/>
      <c r="AR52" s="313"/>
      <c r="AT52" s="195">
        <v>41</v>
      </c>
      <c r="AU52" s="311"/>
      <c r="AV52" s="312"/>
      <c r="AW52" s="312"/>
      <c r="AX52" s="312"/>
      <c r="AY52" s="312"/>
      <c r="AZ52" s="312"/>
      <c r="BA52" s="312"/>
      <c r="BB52" s="312"/>
      <c r="BC52" s="312"/>
      <c r="BD52" s="312"/>
      <c r="BE52" s="312"/>
      <c r="BF52" s="312"/>
      <c r="BG52" s="313"/>
    </row>
    <row r="53" spans="1:59">
      <c r="A53" s="195">
        <v>42</v>
      </c>
      <c r="B53" s="311"/>
      <c r="C53" s="312"/>
      <c r="D53" s="312"/>
      <c r="E53" s="312"/>
      <c r="F53" s="312"/>
      <c r="G53" s="312"/>
      <c r="H53" s="312"/>
      <c r="I53" s="312"/>
      <c r="J53" s="312"/>
      <c r="K53" s="312"/>
      <c r="L53" s="312"/>
      <c r="M53" s="312"/>
      <c r="N53" s="313"/>
      <c r="P53" s="195">
        <v>42</v>
      </c>
      <c r="Q53" s="311"/>
      <c r="R53" s="312"/>
      <c r="S53" s="312"/>
      <c r="T53" s="312"/>
      <c r="U53" s="312"/>
      <c r="V53" s="312"/>
      <c r="W53" s="312"/>
      <c r="X53" s="312"/>
      <c r="Y53" s="312"/>
      <c r="Z53" s="312"/>
      <c r="AA53" s="312"/>
      <c r="AB53" s="312"/>
      <c r="AC53" s="313"/>
      <c r="AE53" s="195">
        <v>42</v>
      </c>
      <c r="AF53" s="311"/>
      <c r="AG53" s="312"/>
      <c r="AH53" s="312"/>
      <c r="AI53" s="312"/>
      <c r="AJ53" s="312"/>
      <c r="AK53" s="312"/>
      <c r="AL53" s="312"/>
      <c r="AM53" s="312"/>
      <c r="AN53" s="312"/>
      <c r="AO53" s="312"/>
      <c r="AP53" s="312"/>
      <c r="AQ53" s="312"/>
      <c r="AR53" s="313"/>
      <c r="AT53" s="195">
        <v>42</v>
      </c>
      <c r="AU53" s="311"/>
      <c r="AV53" s="312"/>
      <c r="AW53" s="312"/>
      <c r="AX53" s="312"/>
      <c r="AY53" s="312"/>
      <c r="AZ53" s="312"/>
      <c r="BA53" s="312"/>
      <c r="BB53" s="312"/>
      <c r="BC53" s="312"/>
      <c r="BD53" s="312"/>
      <c r="BE53" s="312"/>
      <c r="BF53" s="312"/>
      <c r="BG53" s="313"/>
    </row>
    <row r="54" spans="1:59">
      <c r="A54" s="195">
        <v>43</v>
      </c>
      <c r="B54" s="311"/>
      <c r="C54" s="312"/>
      <c r="D54" s="312"/>
      <c r="E54" s="312"/>
      <c r="F54" s="312"/>
      <c r="G54" s="312"/>
      <c r="H54" s="312"/>
      <c r="I54" s="312"/>
      <c r="J54" s="312"/>
      <c r="K54" s="312"/>
      <c r="L54" s="312"/>
      <c r="M54" s="312"/>
      <c r="N54" s="313"/>
      <c r="P54" s="195">
        <v>43</v>
      </c>
      <c r="Q54" s="311"/>
      <c r="R54" s="312"/>
      <c r="S54" s="312"/>
      <c r="T54" s="312"/>
      <c r="U54" s="312"/>
      <c r="V54" s="312"/>
      <c r="W54" s="312"/>
      <c r="X54" s="312"/>
      <c r="Y54" s="312"/>
      <c r="Z54" s="312"/>
      <c r="AA54" s="312"/>
      <c r="AB54" s="312"/>
      <c r="AC54" s="313"/>
      <c r="AE54" s="195">
        <v>43</v>
      </c>
      <c r="AF54" s="311"/>
      <c r="AG54" s="312"/>
      <c r="AH54" s="312"/>
      <c r="AI54" s="312"/>
      <c r="AJ54" s="312"/>
      <c r="AK54" s="312"/>
      <c r="AL54" s="312"/>
      <c r="AM54" s="312"/>
      <c r="AN54" s="312"/>
      <c r="AO54" s="312"/>
      <c r="AP54" s="312"/>
      <c r="AQ54" s="312"/>
      <c r="AR54" s="313"/>
      <c r="AT54" s="195">
        <v>43</v>
      </c>
      <c r="AU54" s="311"/>
      <c r="AV54" s="312"/>
      <c r="AW54" s="312"/>
      <c r="AX54" s="312"/>
      <c r="AY54" s="312"/>
      <c r="AZ54" s="312"/>
      <c r="BA54" s="312"/>
      <c r="BB54" s="312"/>
      <c r="BC54" s="312"/>
      <c r="BD54" s="312"/>
      <c r="BE54" s="312"/>
      <c r="BF54" s="312"/>
      <c r="BG54" s="313"/>
    </row>
    <row r="55" spans="1:59">
      <c r="A55" s="195">
        <v>44</v>
      </c>
      <c r="B55" s="311"/>
      <c r="C55" s="312"/>
      <c r="D55" s="312"/>
      <c r="E55" s="312"/>
      <c r="F55" s="312"/>
      <c r="G55" s="312"/>
      <c r="H55" s="312"/>
      <c r="I55" s="312"/>
      <c r="J55" s="312"/>
      <c r="K55" s="312"/>
      <c r="L55" s="312"/>
      <c r="M55" s="312"/>
      <c r="N55" s="313"/>
      <c r="P55" s="195">
        <v>44</v>
      </c>
      <c r="Q55" s="311"/>
      <c r="R55" s="312"/>
      <c r="S55" s="312"/>
      <c r="T55" s="312"/>
      <c r="U55" s="312"/>
      <c r="V55" s="312"/>
      <c r="W55" s="312"/>
      <c r="X55" s="312"/>
      <c r="Y55" s="312"/>
      <c r="Z55" s="312"/>
      <c r="AA55" s="312"/>
      <c r="AB55" s="312"/>
      <c r="AC55" s="313"/>
      <c r="AE55" s="195">
        <v>44</v>
      </c>
      <c r="AF55" s="311"/>
      <c r="AG55" s="312"/>
      <c r="AH55" s="312"/>
      <c r="AI55" s="312"/>
      <c r="AJ55" s="312"/>
      <c r="AK55" s="312"/>
      <c r="AL55" s="312"/>
      <c r="AM55" s="312"/>
      <c r="AN55" s="312"/>
      <c r="AO55" s="312"/>
      <c r="AP55" s="312"/>
      <c r="AQ55" s="312"/>
      <c r="AR55" s="313"/>
      <c r="AT55" s="195">
        <v>44</v>
      </c>
      <c r="AU55" s="311"/>
      <c r="AV55" s="312"/>
      <c r="AW55" s="312"/>
      <c r="AX55" s="312"/>
      <c r="AY55" s="312"/>
      <c r="AZ55" s="312"/>
      <c r="BA55" s="312"/>
      <c r="BB55" s="312"/>
      <c r="BC55" s="312"/>
      <c r="BD55" s="312"/>
      <c r="BE55" s="312"/>
      <c r="BF55" s="312"/>
      <c r="BG55" s="313"/>
    </row>
    <row r="56" spans="1:59">
      <c r="A56" s="195">
        <v>45</v>
      </c>
      <c r="B56" s="311"/>
      <c r="C56" s="312"/>
      <c r="D56" s="312"/>
      <c r="E56" s="312"/>
      <c r="F56" s="312"/>
      <c r="G56" s="312"/>
      <c r="H56" s="312"/>
      <c r="I56" s="312"/>
      <c r="J56" s="312"/>
      <c r="K56" s="312"/>
      <c r="L56" s="312"/>
      <c r="M56" s="312"/>
      <c r="N56" s="313"/>
      <c r="P56" s="195">
        <v>45</v>
      </c>
      <c r="Q56" s="311"/>
      <c r="R56" s="312"/>
      <c r="S56" s="312"/>
      <c r="T56" s="312"/>
      <c r="U56" s="312"/>
      <c r="V56" s="312"/>
      <c r="W56" s="312"/>
      <c r="X56" s="312"/>
      <c r="Y56" s="312"/>
      <c r="Z56" s="312"/>
      <c r="AA56" s="312"/>
      <c r="AB56" s="312"/>
      <c r="AC56" s="313"/>
      <c r="AE56" s="195">
        <v>45</v>
      </c>
      <c r="AF56" s="311"/>
      <c r="AG56" s="312"/>
      <c r="AH56" s="312"/>
      <c r="AI56" s="312"/>
      <c r="AJ56" s="312"/>
      <c r="AK56" s="312"/>
      <c r="AL56" s="312"/>
      <c r="AM56" s="312"/>
      <c r="AN56" s="312"/>
      <c r="AO56" s="312"/>
      <c r="AP56" s="312"/>
      <c r="AQ56" s="312"/>
      <c r="AR56" s="313"/>
      <c r="AT56" s="195">
        <v>45</v>
      </c>
      <c r="AU56" s="311"/>
      <c r="AV56" s="312"/>
      <c r="AW56" s="312"/>
      <c r="AX56" s="312"/>
      <c r="AY56" s="312"/>
      <c r="AZ56" s="312"/>
      <c r="BA56" s="312"/>
      <c r="BB56" s="312"/>
      <c r="BC56" s="312"/>
      <c r="BD56" s="312"/>
      <c r="BE56" s="312"/>
      <c r="BF56" s="312"/>
      <c r="BG56" s="313"/>
    </row>
    <row r="57" spans="1:59">
      <c r="A57" s="195">
        <v>46</v>
      </c>
      <c r="B57" s="311"/>
      <c r="C57" s="312"/>
      <c r="D57" s="312"/>
      <c r="E57" s="312"/>
      <c r="F57" s="312"/>
      <c r="G57" s="312"/>
      <c r="H57" s="312"/>
      <c r="I57" s="312"/>
      <c r="J57" s="312"/>
      <c r="K57" s="312"/>
      <c r="L57" s="312"/>
      <c r="M57" s="312"/>
      <c r="N57" s="313"/>
      <c r="P57" s="195">
        <v>46</v>
      </c>
      <c r="Q57" s="311"/>
      <c r="R57" s="312"/>
      <c r="S57" s="312"/>
      <c r="T57" s="312"/>
      <c r="U57" s="312"/>
      <c r="V57" s="312"/>
      <c r="W57" s="312"/>
      <c r="X57" s="312"/>
      <c r="Y57" s="312"/>
      <c r="Z57" s="312"/>
      <c r="AA57" s="312"/>
      <c r="AB57" s="312"/>
      <c r="AC57" s="313"/>
      <c r="AE57" s="195">
        <v>46</v>
      </c>
      <c r="AF57" s="311"/>
      <c r="AG57" s="312"/>
      <c r="AH57" s="312"/>
      <c r="AI57" s="312"/>
      <c r="AJ57" s="312"/>
      <c r="AK57" s="312"/>
      <c r="AL57" s="312"/>
      <c r="AM57" s="312"/>
      <c r="AN57" s="312"/>
      <c r="AO57" s="312"/>
      <c r="AP57" s="312"/>
      <c r="AQ57" s="312"/>
      <c r="AR57" s="313"/>
      <c r="AT57" s="195">
        <v>46</v>
      </c>
      <c r="AU57" s="311"/>
      <c r="AV57" s="312"/>
      <c r="AW57" s="312"/>
      <c r="AX57" s="312"/>
      <c r="AY57" s="312"/>
      <c r="AZ57" s="312"/>
      <c r="BA57" s="312"/>
      <c r="BB57" s="312"/>
      <c r="BC57" s="312"/>
      <c r="BD57" s="312"/>
      <c r="BE57" s="312"/>
      <c r="BF57" s="312"/>
      <c r="BG57" s="313"/>
    </row>
    <row r="58" spans="1:59">
      <c r="A58" s="195">
        <v>47</v>
      </c>
      <c r="B58" s="311"/>
      <c r="C58" s="312"/>
      <c r="D58" s="312"/>
      <c r="E58" s="312"/>
      <c r="F58" s="312"/>
      <c r="G58" s="312"/>
      <c r="H58" s="312"/>
      <c r="I58" s="312"/>
      <c r="J58" s="312"/>
      <c r="K58" s="312"/>
      <c r="L58" s="312"/>
      <c r="M58" s="312"/>
      <c r="N58" s="313"/>
      <c r="P58" s="195">
        <v>47</v>
      </c>
      <c r="Q58" s="311"/>
      <c r="R58" s="312"/>
      <c r="S58" s="312"/>
      <c r="T58" s="312"/>
      <c r="U58" s="312"/>
      <c r="V58" s="312"/>
      <c r="W58" s="312"/>
      <c r="X58" s="312"/>
      <c r="Y58" s="312"/>
      <c r="Z58" s="312"/>
      <c r="AA58" s="312"/>
      <c r="AB58" s="312"/>
      <c r="AC58" s="313"/>
      <c r="AE58" s="195">
        <v>47</v>
      </c>
      <c r="AF58" s="311"/>
      <c r="AG58" s="312"/>
      <c r="AH58" s="312"/>
      <c r="AI58" s="312"/>
      <c r="AJ58" s="312"/>
      <c r="AK58" s="312"/>
      <c r="AL58" s="312"/>
      <c r="AM58" s="312"/>
      <c r="AN58" s="312"/>
      <c r="AO58" s="312"/>
      <c r="AP58" s="312"/>
      <c r="AQ58" s="312"/>
      <c r="AR58" s="313"/>
      <c r="AT58" s="195">
        <v>47</v>
      </c>
      <c r="AU58" s="311"/>
      <c r="AV58" s="312"/>
      <c r="AW58" s="312"/>
      <c r="AX58" s="312"/>
      <c r="AY58" s="312"/>
      <c r="AZ58" s="312"/>
      <c r="BA58" s="312"/>
      <c r="BB58" s="312"/>
      <c r="BC58" s="312"/>
      <c r="BD58" s="312"/>
      <c r="BE58" s="312"/>
      <c r="BF58" s="312"/>
      <c r="BG58" s="313"/>
    </row>
    <row r="59" spans="1:59">
      <c r="A59" s="195">
        <v>48</v>
      </c>
      <c r="B59" s="311"/>
      <c r="C59" s="312"/>
      <c r="D59" s="312"/>
      <c r="E59" s="312"/>
      <c r="F59" s="312"/>
      <c r="G59" s="312"/>
      <c r="H59" s="312"/>
      <c r="I59" s="312"/>
      <c r="J59" s="312"/>
      <c r="K59" s="312"/>
      <c r="L59" s="312"/>
      <c r="M59" s="312"/>
      <c r="N59" s="313"/>
      <c r="P59" s="195">
        <v>48</v>
      </c>
      <c r="Q59" s="311"/>
      <c r="R59" s="312"/>
      <c r="S59" s="312"/>
      <c r="T59" s="312"/>
      <c r="U59" s="312"/>
      <c r="V59" s="312"/>
      <c r="W59" s="312"/>
      <c r="X59" s="312"/>
      <c r="Y59" s="312"/>
      <c r="Z59" s="312"/>
      <c r="AA59" s="312"/>
      <c r="AB59" s="312"/>
      <c r="AC59" s="313"/>
      <c r="AE59" s="195">
        <v>48</v>
      </c>
      <c r="AF59" s="311"/>
      <c r="AG59" s="312"/>
      <c r="AH59" s="312"/>
      <c r="AI59" s="312"/>
      <c r="AJ59" s="312"/>
      <c r="AK59" s="312"/>
      <c r="AL59" s="312"/>
      <c r="AM59" s="312"/>
      <c r="AN59" s="312"/>
      <c r="AO59" s="312"/>
      <c r="AP59" s="312"/>
      <c r="AQ59" s="312"/>
      <c r="AR59" s="313"/>
      <c r="AT59" s="195">
        <v>48</v>
      </c>
      <c r="AU59" s="311"/>
      <c r="AV59" s="312"/>
      <c r="AW59" s="312"/>
      <c r="AX59" s="312"/>
      <c r="AY59" s="312"/>
      <c r="AZ59" s="312"/>
      <c r="BA59" s="312"/>
      <c r="BB59" s="312"/>
      <c r="BC59" s="312"/>
      <c r="BD59" s="312"/>
      <c r="BE59" s="312"/>
      <c r="BF59" s="312"/>
      <c r="BG59" s="313"/>
    </row>
    <row r="60" spans="1:59">
      <c r="A60" s="195">
        <v>49</v>
      </c>
      <c r="B60" s="311"/>
      <c r="C60" s="312"/>
      <c r="D60" s="312"/>
      <c r="E60" s="312"/>
      <c r="F60" s="312"/>
      <c r="G60" s="312"/>
      <c r="H60" s="312"/>
      <c r="I60" s="312"/>
      <c r="J60" s="312"/>
      <c r="K60" s="312"/>
      <c r="L60" s="312"/>
      <c r="M60" s="312"/>
      <c r="N60" s="313"/>
      <c r="P60" s="195">
        <v>49</v>
      </c>
      <c r="Q60" s="311"/>
      <c r="R60" s="312"/>
      <c r="S60" s="312"/>
      <c r="T60" s="312"/>
      <c r="U60" s="312"/>
      <c r="V60" s="312"/>
      <c r="W60" s="312"/>
      <c r="X60" s="312"/>
      <c r="Y60" s="312"/>
      <c r="Z60" s="312"/>
      <c r="AA60" s="312"/>
      <c r="AB60" s="312"/>
      <c r="AC60" s="313"/>
      <c r="AE60" s="195">
        <v>49</v>
      </c>
      <c r="AF60" s="311"/>
      <c r="AG60" s="312"/>
      <c r="AH60" s="312"/>
      <c r="AI60" s="312"/>
      <c r="AJ60" s="312"/>
      <c r="AK60" s="312"/>
      <c r="AL60" s="312"/>
      <c r="AM60" s="312"/>
      <c r="AN60" s="312"/>
      <c r="AO60" s="312"/>
      <c r="AP60" s="312"/>
      <c r="AQ60" s="312"/>
      <c r="AR60" s="313"/>
      <c r="AT60" s="195">
        <v>49</v>
      </c>
      <c r="AU60" s="311"/>
      <c r="AV60" s="312"/>
      <c r="AW60" s="312"/>
      <c r="AX60" s="312"/>
      <c r="AY60" s="312"/>
      <c r="AZ60" s="312"/>
      <c r="BA60" s="312"/>
      <c r="BB60" s="312"/>
      <c r="BC60" s="312"/>
      <c r="BD60" s="312"/>
      <c r="BE60" s="312"/>
      <c r="BF60" s="312"/>
      <c r="BG60" s="313"/>
    </row>
    <row r="61" spans="1:59">
      <c r="A61" s="195">
        <v>50</v>
      </c>
      <c r="B61" s="311"/>
      <c r="C61" s="312"/>
      <c r="D61" s="312"/>
      <c r="E61" s="312"/>
      <c r="F61" s="312"/>
      <c r="G61" s="312"/>
      <c r="H61" s="312"/>
      <c r="I61" s="312"/>
      <c r="J61" s="312"/>
      <c r="K61" s="312"/>
      <c r="L61" s="312"/>
      <c r="M61" s="312"/>
      <c r="N61" s="313"/>
      <c r="P61" s="195">
        <v>50</v>
      </c>
      <c r="Q61" s="311"/>
      <c r="R61" s="312"/>
      <c r="S61" s="312"/>
      <c r="T61" s="312"/>
      <c r="U61" s="312"/>
      <c r="V61" s="312"/>
      <c r="W61" s="312"/>
      <c r="X61" s="312"/>
      <c r="Y61" s="312"/>
      <c r="Z61" s="312"/>
      <c r="AA61" s="312"/>
      <c r="AB61" s="312"/>
      <c r="AC61" s="313"/>
      <c r="AE61" s="195">
        <v>50</v>
      </c>
      <c r="AF61" s="311"/>
      <c r="AG61" s="312"/>
      <c r="AH61" s="312"/>
      <c r="AI61" s="312"/>
      <c r="AJ61" s="312"/>
      <c r="AK61" s="312"/>
      <c r="AL61" s="312"/>
      <c r="AM61" s="312"/>
      <c r="AN61" s="312"/>
      <c r="AO61" s="312"/>
      <c r="AP61" s="312"/>
      <c r="AQ61" s="312"/>
      <c r="AR61" s="313"/>
      <c r="AT61" s="195">
        <v>50</v>
      </c>
      <c r="AU61" s="311"/>
      <c r="AV61" s="312"/>
      <c r="AW61" s="312"/>
      <c r="AX61" s="312"/>
      <c r="AY61" s="312"/>
      <c r="AZ61" s="312"/>
      <c r="BA61" s="312"/>
      <c r="BB61" s="312"/>
      <c r="BC61" s="312"/>
      <c r="BD61" s="312"/>
      <c r="BE61" s="312"/>
      <c r="BF61" s="312"/>
      <c r="BG61" s="313"/>
    </row>
    <row r="62" spans="1:59">
      <c r="A62" s="195">
        <v>51</v>
      </c>
      <c r="B62" s="311"/>
      <c r="C62" s="312"/>
      <c r="D62" s="312"/>
      <c r="E62" s="312"/>
      <c r="F62" s="312"/>
      <c r="G62" s="312"/>
      <c r="H62" s="312"/>
      <c r="I62" s="312"/>
      <c r="J62" s="312"/>
      <c r="K62" s="312"/>
      <c r="L62" s="312"/>
      <c r="M62" s="312"/>
      <c r="N62" s="313"/>
      <c r="P62" s="195">
        <v>51</v>
      </c>
      <c r="Q62" s="311"/>
      <c r="R62" s="312"/>
      <c r="S62" s="312"/>
      <c r="T62" s="312"/>
      <c r="U62" s="312"/>
      <c r="V62" s="312"/>
      <c r="W62" s="312"/>
      <c r="X62" s="312"/>
      <c r="Y62" s="312"/>
      <c r="Z62" s="312"/>
      <c r="AA62" s="312"/>
      <c r="AB62" s="312"/>
      <c r="AC62" s="313"/>
      <c r="AE62" s="195">
        <v>51</v>
      </c>
      <c r="AF62" s="311"/>
      <c r="AG62" s="312"/>
      <c r="AH62" s="312"/>
      <c r="AI62" s="312"/>
      <c r="AJ62" s="312"/>
      <c r="AK62" s="312"/>
      <c r="AL62" s="312"/>
      <c r="AM62" s="312"/>
      <c r="AN62" s="312"/>
      <c r="AO62" s="312"/>
      <c r="AP62" s="312"/>
      <c r="AQ62" s="312"/>
      <c r="AR62" s="313"/>
      <c r="AT62" s="195">
        <v>51</v>
      </c>
      <c r="AU62" s="311"/>
      <c r="AV62" s="312"/>
      <c r="AW62" s="312"/>
      <c r="AX62" s="312"/>
      <c r="AY62" s="312"/>
      <c r="AZ62" s="312"/>
      <c r="BA62" s="312"/>
      <c r="BB62" s="312"/>
      <c r="BC62" s="312"/>
      <c r="BD62" s="312"/>
      <c r="BE62" s="312"/>
      <c r="BF62" s="312"/>
      <c r="BG62" s="313"/>
    </row>
    <row r="63" spans="1:59">
      <c r="A63" s="195">
        <v>52</v>
      </c>
      <c r="B63" s="311"/>
      <c r="C63" s="312"/>
      <c r="D63" s="312"/>
      <c r="E63" s="312"/>
      <c r="F63" s="312"/>
      <c r="G63" s="312"/>
      <c r="H63" s="312"/>
      <c r="I63" s="312"/>
      <c r="J63" s="312"/>
      <c r="K63" s="312"/>
      <c r="L63" s="312"/>
      <c r="M63" s="312"/>
      <c r="N63" s="313"/>
      <c r="P63" s="195">
        <v>52</v>
      </c>
      <c r="Q63" s="311"/>
      <c r="R63" s="312"/>
      <c r="S63" s="312"/>
      <c r="T63" s="312"/>
      <c r="U63" s="312"/>
      <c r="V63" s="312"/>
      <c r="W63" s="312"/>
      <c r="X63" s="312"/>
      <c r="Y63" s="312"/>
      <c r="Z63" s="312"/>
      <c r="AA63" s="312"/>
      <c r="AB63" s="312"/>
      <c r="AC63" s="313"/>
      <c r="AE63" s="195">
        <v>52</v>
      </c>
      <c r="AF63" s="311"/>
      <c r="AG63" s="312"/>
      <c r="AH63" s="312"/>
      <c r="AI63" s="312"/>
      <c r="AJ63" s="312"/>
      <c r="AK63" s="312"/>
      <c r="AL63" s="312"/>
      <c r="AM63" s="312"/>
      <c r="AN63" s="312"/>
      <c r="AO63" s="312"/>
      <c r="AP63" s="312"/>
      <c r="AQ63" s="312"/>
      <c r="AR63" s="313"/>
      <c r="AT63" s="195">
        <v>52</v>
      </c>
      <c r="AU63" s="311"/>
      <c r="AV63" s="312"/>
      <c r="AW63" s="312"/>
      <c r="AX63" s="312"/>
      <c r="AY63" s="312"/>
      <c r="AZ63" s="312"/>
      <c r="BA63" s="312"/>
      <c r="BB63" s="312"/>
      <c r="BC63" s="312"/>
      <c r="BD63" s="312"/>
      <c r="BE63" s="312"/>
      <c r="BF63" s="312"/>
      <c r="BG63" s="313"/>
    </row>
    <row r="64" spans="1:59">
      <c r="A64" s="195">
        <v>53</v>
      </c>
      <c r="B64" s="311"/>
      <c r="C64" s="312"/>
      <c r="D64" s="312"/>
      <c r="E64" s="312"/>
      <c r="F64" s="312"/>
      <c r="G64" s="312"/>
      <c r="H64" s="312"/>
      <c r="I64" s="312"/>
      <c r="J64" s="312"/>
      <c r="K64" s="312"/>
      <c r="L64" s="312"/>
      <c r="M64" s="312"/>
      <c r="N64" s="313"/>
      <c r="P64" s="195">
        <v>53</v>
      </c>
      <c r="Q64" s="311"/>
      <c r="R64" s="312"/>
      <c r="S64" s="312"/>
      <c r="T64" s="312"/>
      <c r="U64" s="312"/>
      <c r="V64" s="312"/>
      <c r="W64" s="312"/>
      <c r="X64" s="312"/>
      <c r="Y64" s="312"/>
      <c r="Z64" s="312"/>
      <c r="AA64" s="312"/>
      <c r="AB64" s="312"/>
      <c r="AC64" s="313"/>
      <c r="AE64" s="195">
        <v>53</v>
      </c>
      <c r="AF64" s="311"/>
      <c r="AG64" s="312"/>
      <c r="AH64" s="312"/>
      <c r="AI64" s="312"/>
      <c r="AJ64" s="312"/>
      <c r="AK64" s="312"/>
      <c r="AL64" s="312"/>
      <c r="AM64" s="312"/>
      <c r="AN64" s="312"/>
      <c r="AO64" s="312"/>
      <c r="AP64" s="312"/>
      <c r="AQ64" s="312"/>
      <c r="AR64" s="313"/>
      <c r="AT64" s="195">
        <v>53</v>
      </c>
      <c r="AU64" s="311"/>
      <c r="AV64" s="312"/>
      <c r="AW64" s="312"/>
      <c r="AX64" s="312"/>
      <c r="AY64" s="312"/>
      <c r="AZ64" s="312"/>
      <c r="BA64" s="312"/>
      <c r="BB64" s="312"/>
      <c r="BC64" s="312"/>
      <c r="BD64" s="312"/>
      <c r="BE64" s="312"/>
      <c r="BF64" s="312"/>
      <c r="BG64" s="313"/>
    </row>
    <row r="65" spans="1:59">
      <c r="A65" s="195">
        <v>54</v>
      </c>
      <c r="B65" s="311"/>
      <c r="C65" s="312"/>
      <c r="D65" s="312"/>
      <c r="E65" s="312"/>
      <c r="F65" s="312"/>
      <c r="G65" s="312"/>
      <c r="H65" s="312"/>
      <c r="I65" s="312"/>
      <c r="J65" s="312"/>
      <c r="K65" s="312"/>
      <c r="L65" s="312"/>
      <c r="M65" s="312"/>
      <c r="N65" s="313"/>
      <c r="P65" s="195">
        <v>54</v>
      </c>
      <c r="Q65" s="311"/>
      <c r="R65" s="312"/>
      <c r="S65" s="312"/>
      <c r="T65" s="312"/>
      <c r="U65" s="312"/>
      <c r="V65" s="312"/>
      <c r="W65" s="312"/>
      <c r="X65" s="312"/>
      <c r="Y65" s="312"/>
      <c r="Z65" s="312"/>
      <c r="AA65" s="312"/>
      <c r="AB65" s="312"/>
      <c r="AC65" s="313"/>
      <c r="AE65" s="195">
        <v>54</v>
      </c>
      <c r="AF65" s="311"/>
      <c r="AG65" s="312"/>
      <c r="AH65" s="312"/>
      <c r="AI65" s="312"/>
      <c r="AJ65" s="312"/>
      <c r="AK65" s="312"/>
      <c r="AL65" s="312"/>
      <c r="AM65" s="312"/>
      <c r="AN65" s="312"/>
      <c r="AO65" s="312"/>
      <c r="AP65" s="312"/>
      <c r="AQ65" s="312"/>
      <c r="AR65" s="313"/>
      <c r="AT65" s="195">
        <v>54</v>
      </c>
      <c r="AU65" s="311"/>
      <c r="AV65" s="312"/>
      <c r="AW65" s="312"/>
      <c r="AX65" s="312"/>
      <c r="AY65" s="312"/>
      <c r="AZ65" s="312"/>
      <c r="BA65" s="312"/>
      <c r="BB65" s="312"/>
      <c r="BC65" s="312"/>
      <c r="BD65" s="312"/>
      <c r="BE65" s="312"/>
      <c r="BF65" s="312"/>
      <c r="BG65" s="313"/>
    </row>
    <row r="66" spans="1:59">
      <c r="A66" s="195">
        <v>55</v>
      </c>
      <c r="B66" s="311"/>
      <c r="C66" s="312"/>
      <c r="D66" s="312"/>
      <c r="E66" s="312"/>
      <c r="F66" s="312"/>
      <c r="G66" s="312"/>
      <c r="H66" s="312"/>
      <c r="I66" s="312"/>
      <c r="J66" s="312"/>
      <c r="K66" s="312"/>
      <c r="L66" s="312"/>
      <c r="M66" s="312"/>
      <c r="N66" s="313"/>
      <c r="P66" s="195">
        <v>55</v>
      </c>
      <c r="Q66" s="311"/>
      <c r="R66" s="312"/>
      <c r="S66" s="312"/>
      <c r="T66" s="312"/>
      <c r="U66" s="312"/>
      <c r="V66" s="312"/>
      <c r="W66" s="312"/>
      <c r="X66" s="312"/>
      <c r="Y66" s="312"/>
      <c r="Z66" s="312"/>
      <c r="AA66" s="312"/>
      <c r="AB66" s="312"/>
      <c r="AC66" s="313"/>
      <c r="AE66" s="195">
        <v>55</v>
      </c>
      <c r="AF66" s="311"/>
      <c r="AG66" s="312"/>
      <c r="AH66" s="312"/>
      <c r="AI66" s="312"/>
      <c r="AJ66" s="312"/>
      <c r="AK66" s="312"/>
      <c r="AL66" s="312"/>
      <c r="AM66" s="312"/>
      <c r="AN66" s="312"/>
      <c r="AO66" s="312"/>
      <c r="AP66" s="312"/>
      <c r="AQ66" s="312"/>
      <c r="AR66" s="313"/>
      <c r="AT66" s="195">
        <v>55</v>
      </c>
      <c r="AU66" s="311"/>
      <c r="AV66" s="312"/>
      <c r="AW66" s="312"/>
      <c r="AX66" s="312"/>
      <c r="AY66" s="312"/>
      <c r="AZ66" s="312"/>
      <c r="BA66" s="312"/>
      <c r="BB66" s="312"/>
      <c r="BC66" s="312"/>
      <c r="BD66" s="312"/>
      <c r="BE66" s="312"/>
      <c r="BF66" s="312"/>
      <c r="BG66" s="313"/>
    </row>
    <row r="67" spans="1:59">
      <c r="A67" s="195">
        <v>56</v>
      </c>
      <c r="B67" s="311"/>
      <c r="C67" s="312"/>
      <c r="D67" s="312"/>
      <c r="E67" s="312"/>
      <c r="F67" s="312"/>
      <c r="G67" s="312"/>
      <c r="H67" s="312"/>
      <c r="I67" s="312"/>
      <c r="J67" s="312"/>
      <c r="K67" s="312"/>
      <c r="L67" s="312"/>
      <c r="M67" s="312"/>
      <c r="N67" s="313"/>
      <c r="P67" s="195">
        <v>56</v>
      </c>
      <c r="Q67" s="311"/>
      <c r="R67" s="312"/>
      <c r="S67" s="312"/>
      <c r="T67" s="312"/>
      <c r="U67" s="312"/>
      <c r="V67" s="312"/>
      <c r="W67" s="312"/>
      <c r="X67" s="312"/>
      <c r="Y67" s="312"/>
      <c r="Z67" s="312"/>
      <c r="AA67" s="312"/>
      <c r="AB67" s="312"/>
      <c r="AC67" s="313"/>
      <c r="AE67" s="195">
        <v>56</v>
      </c>
      <c r="AF67" s="311"/>
      <c r="AG67" s="312"/>
      <c r="AH67" s="312"/>
      <c r="AI67" s="312"/>
      <c r="AJ67" s="312"/>
      <c r="AK67" s="312"/>
      <c r="AL67" s="312"/>
      <c r="AM67" s="312"/>
      <c r="AN67" s="312"/>
      <c r="AO67" s="312"/>
      <c r="AP67" s="312"/>
      <c r="AQ67" s="312"/>
      <c r="AR67" s="313"/>
      <c r="AT67" s="195">
        <v>56</v>
      </c>
      <c r="AU67" s="311"/>
      <c r="AV67" s="312"/>
      <c r="AW67" s="312"/>
      <c r="AX67" s="312"/>
      <c r="AY67" s="312"/>
      <c r="AZ67" s="312"/>
      <c r="BA67" s="312"/>
      <c r="BB67" s="312"/>
      <c r="BC67" s="312"/>
      <c r="BD67" s="312"/>
      <c r="BE67" s="312"/>
      <c r="BF67" s="312"/>
      <c r="BG67" s="313"/>
    </row>
    <row r="68" spans="1:59">
      <c r="A68" s="195">
        <v>57</v>
      </c>
      <c r="B68" s="311"/>
      <c r="C68" s="312"/>
      <c r="D68" s="312"/>
      <c r="E68" s="312"/>
      <c r="F68" s="312"/>
      <c r="G68" s="312"/>
      <c r="H68" s="312"/>
      <c r="I68" s="312"/>
      <c r="J68" s="312"/>
      <c r="K68" s="312"/>
      <c r="L68" s="312"/>
      <c r="M68" s="312"/>
      <c r="N68" s="313"/>
      <c r="P68" s="195">
        <v>57</v>
      </c>
      <c r="Q68" s="311"/>
      <c r="R68" s="312"/>
      <c r="S68" s="312"/>
      <c r="T68" s="312"/>
      <c r="U68" s="312"/>
      <c r="V68" s="312"/>
      <c r="W68" s="312"/>
      <c r="X68" s="312"/>
      <c r="Y68" s="312"/>
      <c r="Z68" s="312"/>
      <c r="AA68" s="312"/>
      <c r="AB68" s="312"/>
      <c r="AC68" s="313"/>
      <c r="AE68" s="195">
        <v>57</v>
      </c>
      <c r="AF68" s="311"/>
      <c r="AG68" s="312"/>
      <c r="AH68" s="312"/>
      <c r="AI68" s="312"/>
      <c r="AJ68" s="312"/>
      <c r="AK68" s="312"/>
      <c r="AL68" s="312"/>
      <c r="AM68" s="312"/>
      <c r="AN68" s="312"/>
      <c r="AO68" s="312"/>
      <c r="AP68" s="312"/>
      <c r="AQ68" s="312"/>
      <c r="AR68" s="313"/>
      <c r="AT68" s="195">
        <v>57</v>
      </c>
      <c r="AU68" s="311"/>
      <c r="AV68" s="312"/>
      <c r="AW68" s="312"/>
      <c r="AX68" s="312"/>
      <c r="AY68" s="312"/>
      <c r="AZ68" s="312"/>
      <c r="BA68" s="312"/>
      <c r="BB68" s="312"/>
      <c r="BC68" s="312"/>
      <c r="BD68" s="312"/>
      <c r="BE68" s="312"/>
      <c r="BF68" s="312"/>
      <c r="BG68" s="313"/>
    </row>
    <row r="69" spans="1:59">
      <c r="A69" s="195">
        <v>58</v>
      </c>
      <c r="B69" s="311"/>
      <c r="C69" s="312"/>
      <c r="D69" s="312"/>
      <c r="E69" s="312"/>
      <c r="F69" s="312"/>
      <c r="G69" s="312"/>
      <c r="H69" s="312"/>
      <c r="I69" s="312"/>
      <c r="J69" s="312"/>
      <c r="K69" s="312"/>
      <c r="L69" s="312"/>
      <c r="M69" s="312"/>
      <c r="N69" s="313"/>
      <c r="P69" s="195">
        <v>58</v>
      </c>
      <c r="Q69" s="311"/>
      <c r="R69" s="312"/>
      <c r="S69" s="312"/>
      <c r="T69" s="312"/>
      <c r="U69" s="312"/>
      <c r="V69" s="312"/>
      <c r="W69" s="312"/>
      <c r="X69" s="312"/>
      <c r="Y69" s="312"/>
      <c r="Z69" s="312"/>
      <c r="AA69" s="312"/>
      <c r="AB69" s="312"/>
      <c r="AC69" s="313"/>
      <c r="AE69" s="195">
        <v>58</v>
      </c>
      <c r="AF69" s="311"/>
      <c r="AG69" s="312"/>
      <c r="AH69" s="312"/>
      <c r="AI69" s="312"/>
      <c r="AJ69" s="312"/>
      <c r="AK69" s="312"/>
      <c r="AL69" s="312"/>
      <c r="AM69" s="312"/>
      <c r="AN69" s="312"/>
      <c r="AO69" s="312"/>
      <c r="AP69" s="312"/>
      <c r="AQ69" s="312"/>
      <c r="AR69" s="313"/>
      <c r="AT69" s="195">
        <v>58</v>
      </c>
      <c r="AU69" s="311"/>
      <c r="AV69" s="312"/>
      <c r="AW69" s="312"/>
      <c r="AX69" s="312"/>
      <c r="AY69" s="312"/>
      <c r="AZ69" s="312"/>
      <c r="BA69" s="312"/>
      <c r="BB69" s="312"/>
      <c r="BC69" s="312"/>
      <c r="BD69" s="312"/>
      <c r="BE69" s="312"/>
      <c r="BF69" s="312"/>
      <c r="BG69" s="313"/>
    </row>
    <row r="70" spans="1:59">
      <c r="A70" s="195">
        <v>59</v>
      </c>
      <c r="B70" s="311"/>
      <c r="C70" s="312"/>
      <c r="D70" s="312"/>
      <c r="E70" s="312"/>
      <c r="F70" s="312"/>
      <c r="G70" s="312"/>
      <c r="H70" s="312"/>
      <c r="I70" s="312"/>
      <c r="J70" s="312"/>
      <c r="K70" s="312"/>
      <c r="L70" s="312"/>
      <c r="M70" s="312"/>
      <c r="N70" s="313"/>
      <c r="P70" s="195">
        <v>59</v>
      </c>
      <c r="Q70" s="311"/>
      <c r="R70" s="312"/>
      <c r="S70" s="312"/>
      <c r="T70" s="312"/>
      <c r="U70" s="312"/>
      <c r="V70" s="312"/>
      <c r="W70" s="312"/>
      <c r="X70" s="312"/>
      <c r="Y70" s="312"/>
      <c r="Z70" s="312"/>
      <c r="AA70" s="312"/>
      <c r="AB70" s="312"/>
      <c r="AC70" s="313"/>
      <c r="AE70" s="195">
        <v>59</v>
      </c>
      <c r="AF70" s="311"/>
      <c r="AG70" s="312"/>
      <c r="AH70" s="312"/>
      <c r="AI70" s="312"/>
      <c r="AJ70" s="312"/>
      <c r="AK70" s="312"/>
      <c r="AL70" s="312"/>
      <c r="AM70" s="312"/>
      <c r="AN70" s="312"/>
      <c r="AO70" s="312"/>
      <c r="AP70" s="312"/>
      <c r="AQ70" s="312"/>
      <c r="AR70" s="313"/>
      <c r="AT70" s="195">
        <v>59</v>
      </c>
      <c r="AU70" s="311"/>
      <c r="AV70" s="312"/>
      <c r="AW70" s="312"/>
      <c r="AX70" s="312"/>
      <c r="AY70" s="312"/>
      <c r="AZ70" s="312"/>
      <c r="BA70" s="312"/>
      <c r="BB70" s="312"/>
      <c r="BC70" s="312"/>
      <c r="BD70" s="312"/>
      <c r="BE70" s="312"/>
      <c r="BF70" s="312"/>
      <c r="BG70" s="313"/>
    </row>
    <row r="71" spans="1:59">
      <c r="A71" s="195">
        <v>60</v>
      </c>
      <c r="B71" s="311"/>
      <c r="C71" s="312"/>
      <c r="D71" s="312"/>
      <c r="E71" s="312"/>
      <c r="F71" s="312"/>
      <c r="G71" s="312"/>
      <c r="H71" s="312"/>
      <c r="I71" s="312"/>
      <c r="J71" s="312"/>
      <c r="K71" s="312"/>
      <c r="L71" s="312"/>
      <c r="M71" s="312"/>
      <c r="N71" s="313"/>
      <c r="P71" s="195">
        <v>60</v>
      </c>
      <c r="Q71" s="311"/>
      <c r="R71" s="312"/>
      <c r="S71" s="312"/>
      <c r="T71" s="312"/>
      <c r="U71" s="312"/>
      <c r="V71" s="312"/>
      <c r="W71" s="312"/>
      <c r="X71" s="312"/>
      <c r="Y71" s="312"/>
      <c r="Z71" s="312"/>
      <c r="AA71" s="312"/>
      <c r="AB71" s="312"/>
      <c r="AC71" s="313"/>
      <c r="AE71" s="195">
        <v>60</v>
      </c>
      <c r="AF71" s="311"/>
      <c r="AG71" s="312"/>
      <c r="AH71" s="312"/>
      <c r="AI71" s="312"/>
      <c r="AJ71" s="312"/>
      <c r="AK71" s="312"/>
      <c r="AL71" s="312"/>
      <c r="AM71" s="312"/>
      <c r="AN71" s="312"/>
      <c r="AO71" s="312"/>
      <c r="AP71" s="312"/>
      <c r="AQ71" s="312"/>
      <c r="AR71" s="313"/>
      <c r="AT71" s="195">
        <v>60</v>
      </c>
      <c r="AU71" s="311"/>
      <c r="AV71" s="312"/>
      <c r="AW71" s="312"/>
      <c r="AX71" s="312"/>
      <c r="AY71" s="312"/>
      <c r="AZ71" s="312"/>
      <c r="BA71" s="312"/>
      <c r="BB71" s="312"/>
      <c r="BC71" s="312"/>
      <c r="BD71" s="312"/>
      <c r="BE71" s="312"/>
      <c r="BF71" s="312"/>
      <c r="BG71" s="313"/>
    </row>
    <row r="72" spans="1:59">
      <c r="A72" s="195">
        <v>61</v>
      </c>
      <c r="B72" s="311"/>
      <c r="C72" s="312"/>
      <c r="D72" s="312"/>
      <c r="E72" s="312"/>
      <c r="F72" s="312"/>
      <c r="G72" s="312"/>
      <c r="H72" s="312"/>
      <c r="I72" s="312"/>
      <c r="J72" s="312"/>
      <c r="K72" s="312"/>
      <c r="L72" s="312"/>
      <c r="M72" s="312"/>
      <c r="N72" s="313"/>
      <c r="P72" s="195">
        <v>61</v>
      </c>
      <c r="Q72" s="311"/>
      <c r="R72" s="312"/>
      <c r="S72" s="312"/>
      <c r="T72" s="312"/>
      <c r="U72" s="312"/>
      <c r="V72" s="312"/>
      <c r="W72" s="312"/>
      <c r="X72" s="312"/>
      <c r="Y72" s="312"/>
      <c r="Z72" s="312"/>
      <c r="AA72" s="312"/>
      <c r="AB72" s="312"/>
      <c r="AC72" s="313"/>
      <c r="AE72" s="195">
        <v>61</v>
      </c>
      <c r="AF72" s="311"/>
      <c r="AG72" s="312"/>
      <c r="AH72" s="312"/>
      <c r="AI72" s="312"/>
      <c r="AJ72" s="312"/>
      <c r="AK72" s="312"/>
      <c r="AL72" s="312"/>
      <c r="AM72" s="312"/>
      <c r="AN72" s="312"/>
      <c r="AO72" s="312"/>
      <c r="AP72" s="312"/>
      <c r="AQ72" s="312"/>
      <c r="AR72" s="313"/>
      <c r="AT72" s="195">
        <v>61</v>
      </c>
      <c r="AU72" s="311"/>
      <c r="AV72" s="312"/>
      <c r="AW72" s="312"/>
      <c r="AX72" s="312"/>
      <c r="AY72" s="312"/>
      <c r="AZ72" s="312"/>
      <c r="BA72" s="312"/>
      <c r="BB72" s="312"/>
      <c r="BC72" s="312"/>
      <c r="BD72" s="312"/>
      <c r="BE72" s="312"/>
      <c r="BF72" s="312"/>
      <c r="BG72" s="313"/>
    </row>
    <row r="73" spans="1:59">
      <c r="A73" s="195">
        <v>62</v>
      </c>
      <c r="B73" s="311"/>
      <c r="C73" s="312"/>
      <c r="D73" s="312"/>
      <c r="E73" s="312"/>
      <c r="F73" s="312"/>
      <c r="G73" s="312"/>
      <c r="H73" s="312"/>
      <c r="I73" s="312"/>
      <c r="J73" s="312"/>
      <c r="K73" s="312"/>
      <c r="L73" s="312"/>
      <c r="M73" s="312"/>
      <c r="N73" s="313"/>
      <c r="P73" s="195">
        <v>62</v>
      </c>
      <c r="Q73" s="311"/>
      <c r="R73" s="312"/>
      <c r="S73" s="312"/>
      <c r="T73" s="312"/>
      <c r="U73" s="312"/>
      <c r="V73" s="312"/>
      <c r="W73" s="312"/>
      <c r="X73" s="312"/>
      <c r="Y73" s="312"/>
      <c r="Z73" s="312"/>
      <c r="AA73" s="312"/>
      <c r="AB73" s="312"/>
      <c r="AC73" s="313"/>
      <c r="AE73" s="195">
        <v>62</v>
      </c>
      <c r="AF73" s="311"/>
      <c r="AG73" s="312"/>
      <c r="AH73" s="312"/>
      <c r="AI73" s="312"/>
      <c r="AJ73" s="312"/>
      <c r="AK73" s="312"/>
      <c r="AL73" s="312"/>
      <c r="AM73" s="312"/>
      <c r="AN73" s="312"/>
      <c r="AO73" s="312"/>
      <c r="AP73" s="312"/>
      <c r="AQ73" s="312"/>
      <c r="AR73" s="313"/>
      <c r="AT73" s="195">
        <v>62</v>
      </c>
      <c r="AU73" s="311"/>
      <c r="AV73" s="312"/>
      <c r="AW73" s="312"/>
      <c r="AX73" s="312"/>
      <c r="AY73" s="312"/>
      <c r="AZ73" s="312"/>
      <c r="BA73" s="312"/>
      <c r="BB73" s="312"/>
      <c r="BC73" s="312"/>
      <c r="BD73" s="312"/>
      <c r="BE73" s="312"/>
      <c r="BF73" s="312"/>
      <c r="BG73" s="313"/>
    </row>
    <row r="74" spans="1:59">
      <c r="A74" s="195">
        <v>63</v>
      </c>
      <c r="B74" s="311"/>
      <c r="C74" s="312"/>
      <c r="D74" s="312"/>
      <c r="E74" s="312"/>
      <c r="F74" s="312"/>
      <c r="G74" s="312"/>
      <c r="H74" s="312"/>
      <c r="I74" s="312"/>
      <c r="J74" s="312"/>
      <c r="K74" s="312"/>
      <c r="L74" s="312"/>
      <c r="M74" s="312"/>
      <c r="N74" s="313"/>
      <c r="P74" s="195">
        <v>63</v>
      </c>
      <c r="Q74" s="311"/>
      <c r="R74" s="312"/>
      <c r="S74" s="312"/>
      <c r="T74" s="312"/>
      <c r="U74" s="312"/>
      <c r="V74" s="312"/>
      <c r="W74" s="312"/>
      <c r="X74" s="312"/>
      <c r="Y74" s="312"/>
      <c r="Z74" s="312"/>
      <c r="AA74" s="312"/>
      <c r="AB74" s="312"/>
      <c r="AC74" s="313"/>
      <c r="AE74" s="195">
        <v>63</v>
      </c>
      <c r="AF74" s="311"/>
      <c r="AG74" s="312"/>
      <c r="AH74" s="312"/>
      <c r="AI74" s="312"/>
      <c r="AJ74" s="312"/>
      <c r="AK74" s="312"/>
      <c r="AL74" s="312"/>
      <c r="AM74" s="312"/>
      <c r="AN74" s="312"/>
      <c r="AO74" s="312"/>
      <c r="AP74" s="312"/>
      <c r="AQ74" s="312"/>
      <c r="AR74" s="313"/>
      <c r="AT74" s="195">
        <v>63</v>
      </c>
      <c r="AU74" s="311"/>
      <c r="AV74" s="312"/>
      <c r="AW74" s="312"/>
      <c r="AX74" s="312"/>
      <c r="AY74" s="312"/>
      <c r="AZ74" s="312"/>
      <c r="BA74" s="312"/>
      <c r="BB74" s="312"/>
      <c r="BC74" s="312"/>
      <c r="BD74" s="312"/>
      <c r="BE74" s="312"/>
      <c r="BF74" s="312"/>
      <c r="BG74" s="313"/>
    </row>
    <row r="75" spans="1:59">
      <c r="A75" s="195">
        <v>64</v>
      </c>
      <c r="B75" s="311"/>
      <c r="C75" s="312"/>
      <c r="D75" s="312"/>
      <c r="E75" s="312"/>
      <c r="F75" s="312"/>
      <c r="G75" s="312"/>
      <c r="H75" s="312"/>
      <c r="I75" s="312"/>
      <c r="J75" s="312"/>
      <c r="K75" s="312"/>
      <c r="L75" s="312"/>
      <c r="M75" s="312"/>
      <c r="N75" s="313"/>
      <c r="P75" s="195">
        <v>64</v>
      </c>
      <c r="Q75" s="311"/>
      <c r="R75" s="312"/>
      <c r="S75" s="312"/>
      <c r="T75" s="312"/>
      <c r="U75" s="312"/>
      <c r="V75" s="312"/>
      <c r="W75" s="312"/>
      <c r="X75" s="312"/>
      <c r="Y75" s="312"/>
      <c r="Z75" s="312"/>
      <c r="AA75" s="312"/>
      <c r="AB75" s="312"/>
      <c r="AC75" s="313"/>
      <c r="AE75" s="195">
        <v>64</v>
      </c>
      <c r="AF75" s="311"/>
      <c r="AG75" s="312"/>
      <c r="AH75" s="312"/>
      <c r="AI75" s="312"/>
      <c r="AJ75" s="312"/>
      <c r="AK75" s="312"/>
      <c r="AL75" s="312"/>
      <c r="AM75" s="312"/>
      <c r="AN75" s="312"/>
      <c r="AO75" s="312"/>
      <c r="AP75" s="312"/>
      <c r="AQ75" s="312"/>
      <c r="AR75" s="313"/>
      <c r="AT75" s="195">
        <v>64</v>
      </c>
      <c r="AU75" s="311"/>
      <c r="AV75" s="312"/>
      <c r="AW75" s="312"/>
      <c r="AX75" s="312"/>
      <c r="AY75" s="312"/>
      <c r="AZ75" s="312"/>
      <c r="BA75" s="312"/>
      <c r="BB75" s="312"/>
      <c r="BC75" s="312"/>
      <c r="BD75" s="312"/>
      <c r="BE75" s="312"/>
      <c r="BF75" s="312"/>
      <c r="BG75" s="313"/>
    </row>
    <row r="76" spans="1:59">
      <c r="A76" s="195">
        <v>65</v>
      </c>
      <c r="B76" s="311"/>
      <c r="C76" s="312"/>
      <c r="D76" s="312"/>
      <c r="E76" s="312"/>
      <c r="F76" s="312"/>
      <c r="G76" s="312"/>
      <c r="H76" s="312"/>
      <c r="I76" s="312"/>
      <c r="J76" s="312"/>
      <c r="K76" s="312"/>
      <c r="L76" s="312"/>
      <c r="M76" s="312"/>
      <c r="N76" s="313"/>
      <c r="P76" s="195">
        <v>65</v>
      </c>
      <c r="Q76" s="311"/>
      <c r="R76" s="312"/>
      <c r="S76" s="312"/>
      <c r="T76" s="312"/>
      <c r="U76" s="312"/>
      <c r="V76" s="312"/>
      <c r="W76" s="312"/>
      <c r="X76" s="312"/>
      <c r="Y76" s="312"/>
      <c r="Z76" s="312"/>
      <c r="AA76" s="312"/>
      <c r="AB76" s="312"/>
      <c r="AC76" s="313"/>
      <c r="AE76" s="195">
        <v>65</v>
      </c>
      <c r="AF76" s="311"/>
      <c r="AG76" s="312"/>
      <c r="AH76" s="312"/>
      <c r="AI76" s="312"/>
      <c r="AJ76" s="312"/>
      <c r="AK76" s="312"/>
      <c r="AL76" s="312"/>
      <c r="AM76" s="312"/>
      <c r="AN76" s="312"/>
      <c r="AO76" s="312"/>
      <c r="AP76" s="312"/>
      <c r="AQ76" s="312"/>
      <c r="AR76" s="313"/>
      <c r="AT76" s="195">
        <v>65</v>
      </c>
      <c r="AU76" s="311"/>
      <c r="AV76" s="312"/>
      <c r="AW76" s="312"/>
      <c r="AX76" s="312"/>
      <c r="AY76" s="312"/>
      <c r="AZ76" s="312"/>
      <c r="BA76" s="312"/>
      <c r="BB76" s="312"/>
      <c r="BC76" s="312"/>
      <c r="BD76" s="312"/>
      <c r="BE76" s="312"/>
      <c r="BF76" s="312"/>
      <c r="BG76" s="313"/>
    </row>
    <row r="77" spans="1:59">
      <c r="A77" s="195">
        <v>66</v>
      </c>
      <c r="B77" s="311"/>
      <c r="C77" s="312"/>
      <c r="D77" s="312"/>
      <c r="E77" s="312"/>
      <c r="F77" s="312"/>
      <c r="G77" s="312"/>
      <c r="H77" s="312"/>
      <c r="I77" s="312"/>
      <c r="J77" s="312"/>
      <c r="K77" s="312"/>
      <c r="L77" s="312"/>
      <c r="M77" s="312"/>
      <c r="N77" s="313"/>
      <c r="P77" s="195">
        <v>66</v>
      </c>
      <c r="Q77" s="311"/>
      <c r="R77" s="312"/>
      <c r="S77" s="312"/>
      <c r="T77" s="312"/>
      <c r="U77" s="312"/>
      <c r="V77" s="312"/>
      <c r="W77" s="312"/>
      <c r="X77" s="312"/>
      <c r="Y77" s="312"/>
      <c r="Z77" s="312"/>
      <c r="AA77" s="312"/>
      <c r="AB77" s="312"/>
      <c r="AC77" s="313"/>
      <c r="AE77" s="195">
        <v>66</v>
      </c>
      <c r="AF77" s="311"/>
      <c r="AG77" s="312"/>
      <c r="AH77" s="312"/>
      <c r="AI77" s="312"/>
      <c r="AJ77" s="312"/>
      <c r="AK77" s="312"/>
      <c r="AL77" s="312"/>
      <c r="AM77" s="312"/>
      <c r="AN77" s="312"/>
      <c r="AO77" s="312"/>
      <c r="AP77" s="312"/>
      <c r="AQ77" s="312"/>
      <c r="AR77" s="313"/>
      <c r="AT77" s="195">
        <v>66</v>
      </c>
      <c r="AU77" s="311"/>
      <c r="AV77" s="312"/>
      <c r="AW77" s="312"/>
      <c r="AX77" s="312"/>
      <c r="AY77" s="312"/>
      <c r="AZ77" s="312"/>
      <c r="BA77" s="312"/>
      <c r="BB77" s="312"/>
      <c r="BC77" s="312"/>
      <c r="BD77" s="312"/>
      <c r="BE77" s="312"/>
      <c r="BF77" s="312"/>
      <c r="BG77" s="313"/>
    </row>
    <row r="78" spans="1:59">
      <c r="A78" s="195">
        <v>67</v>
      </c>
      <c r="B78" s="311"/>
      <c r="C78" s="312"/>
      <c r="D78" s="312"/>
      <c r="E78" s="312"/>
      <c r="F78" s="312"/>
      <c r="G78" s="312"/>
      <c r="H78" s="312"/>
      <c r="I78" s="312"/>
      <c r="J78" s="312"/>
      <c r="K78" s="312"/>
      <c r="L78" s="312"/>
      <c r="M78" s="312"/>
      <c r="N78" s="313"/>
      <c r="P78" s="195">
        <v>67</v>
      </c>
      <c r="Q78" s="311"/>
      <c r="R78" s="312"/>
      <c r="S78" s="312"/>
      <c r="T78" s="312"/>
      <c r="U78" s="312"/>
      <c r="V78" s="312"/>
      <c r="W78" s="312"/>
      <c r="X78" s="312"/>
      <c r="Y78" s="312"/>
      <c r="Z78" s="312"/>
      <c r="AA78" s="312"/>
      <c r="AB78" s="312"/>
      <c r="AC78" s="313"/>
      <c r="AE78" s="195">
        <v>67</v>
      </c>
      <c r="AF78" s="311"/>
      <c r="AG78" s="312"/>
      <c r="AH78" s="312"/>
      <c r="AI78" s="312"/>
      <c r="AJ78" s="312"/>
      <c r="AK78" s="312"/>
      <c r="AL78" s="312"/>
      <c r="AM78" s="312"/>
      <c r="AN78" s="312"/>
      <c r="AO78" s="312"/>
      <c r="AP78" s="312"/>
      <c r="AQ78" s="312"/>
      <c r="AR78" s="313"/>
      <c r="AT78" s="195">
        <v>67</v>
      </c>
      <c r="AU78" s="311"/>
      <c r="AV78" s="312"/>
      <c r="AW78" s="312"/>
      <c r="AX78" s="312"/>
      <c r="AY78" s="312"/>
      <c r="AZ78" s="312"/>
      <c r="BA78" s="312"/>
      <c r="BB78" s="312"/>
      <c r="BC78" s="312"/>
      <c r="BD78" s="312"/>
      <c r="BE78" s="312"/>
      <c r="BF78" s="312"/>
      <c r="BG78" s="313"/>
    </row>
    <row r="79" spans="1:59">
      <c r="A79" s="195">
        <v>68</v>
      </c>
      <c r="B79" s="311"/>
      <c r="C79" s="312"/>
      <c r="D79" s="312"/>
      <c r="E79" s="312"/>
      <c r="F79" s="312"/>
      <c r="G79" s="312"/>
      <c r="H79" s="312"/>
      <c r="I79" s="312"/>
      <c r="J79" s="312"/>
      <c r="K79" s="312"/>
      <c r="L79" s="312"/>
      <c r="M79" s="312"/>
      <c r="N79" s="313"/>
      <c r="P79" s="195">
        <v>68</v>
      </c>
      <c r="Q79" s="311"/>
      <c r="R79" s="312"/>
      <c r="S79" s="312"/>
      <c r="T79" s="312"/>
      <c r="U79" s="312"/>
      <c r="V79" s="312"/>
      <c r="W79" s="312"/>
      <c r="X79" s="312"/>
      <c r="Y79" s="312"/>
      <c r="Z79" s="312"/>
      <c r="AA79" s="312"/>
      <c r="AB79" s="312"/>
      <c r="AC79" s="313"/>
      <c r="AE79" s="195">
        <v>68</v>
      </c>
      <c r="AF79" s="311"/>
      <c r="AG79" s="312"/>
      <c r="AH79" s="312"/>
      <c r="AI79" s="312"/>
      <c r="AJ79" s="312"/>
      <c r="AK79" s="312"/>
      <c r="AL79" s="312"/>
      <c r="AM79" s="312"/>
      <c r="AN79" s="312"/>
      <c r="AO79" s="312"/>
      <c r="AP79" s="312"/>
      <c r="AQ79" s="312"/>
      <c r="AR79" s="313"/>
      <c r="AT79" s="195">
        <v>68</v>
      </c>
      <c r="AU79" s="311"/>
      <c r="AV79" s="312"/>
      <c r="AW79" s="312"/>
      <c r="AX79" s="312"/>
      <c r="AY79" s="312"/>
      <c r="AZ79" s="312"/>
      <c r="BA79" s="312"/>
      <c r="BB79" s="312"/>
      <c r="BC79" s="312"/>
      <c r="BD79" s="312"/>
      <c r="BE79" s="312"/>
      <c r="BF79" s="312"/>
      <c r="BG79" s="313"/>
    </row>
    <row r="80" spans="1:59">
      <c r="A80" s="195">
        <v>69</v>
      </c>
      <c r="B80" s="311"/>
      <c r="C80" s="312"/>
      <c r="D80" s="312"/>
      <c r="E80" s="312"/>
      <c r="F80" s="312"/>
      <c r="G80" s="312"/>
      <c r="H80" s="312"/>
      <c r="I80" s="312"/>
      <c r="J80" s="312"/>
      <c r="K80" s="312"/>
      <c r="L80" s="312"/>
      <c r="M80" s="312"/>
      <c r="N80" s="313"/>
      <c r="P80" s="195">
        <v>69</v>
      </c>
      <c r="Q80" s="311"/>
      <c r="R80" s="312"/>
      <c r="S80" s="312"/>
      <c r="T80" s="312"/>
      <c r="U80" s="312"/>
      <c r="V80" s="312"/>
      <c r="W80" s="312"/>
      <c r="X80" s="312"/>
      <c r="Y80" s="312"/>
      <c r="Z80" s="312"/>
      <c r="AA80" s="312"/>
      <c r="AB80" s="312"/>
      <c r="AC80" s="313"/>
      <c r="AE80" s="195">
        <v>69</v>
      </c>
      <c r="AF80" s="311"/>
      <c r="AG80" s="312"/>
      <c r="AH80" s="312"/>
      <c r="AI80" s="312"/>
      <c r="AJ80" s="312"/>
      <c r="AK80" s="312"/>
      <c r="AL80" s="312"/>
      <c r="AM80" s="312"/>
      <c r="AN80" s="312"/>
      <c r="AO80" s="312"/>
      <c r="AP80" s="312"/>
      <c r="AQ80" s="312"/>
      <c r="AR80" s="313"/>
      <c r="AT80" s="195">
        <v>69</v>
      </c>
      <c r="AU80" s="311"/>
      <c r="AV80" s="312"/>
      <c r="AW80" s="312"/>
      <c r="AX80" s="312"/>
      <c r="AY80" s="312"/>
      <c r="AZ80" s="312"/>
      <c r="BA80" s="312"/>
      <c r="BB80" s="312"/>
      <c r="BC80" s="312"/>
      <c r="BD80" s="312"/>
      <c r="BE80" s="312"/>
      <c r="BF80" s="312"/>
      <c r="BG80" s="313"/>
    </row>
    <row r="81" spans="1:59">
      <c r="A81" s="195">
        <v>70</v>
      </c>
      <c r="B81" s="311"/>
      <c r="C81" s="312"/>
      <c r="D81" s="312"/>
      <c r="E81" s="312"/>
      <c r="F81" s="312"/>
      <c r="G81" s="312"/>
      <c r="H81" s="312"/>
      <c r="I81" s="312"/>
      <c r="J81" s="312"/>
      <c r="K81" s="312"/>
      <c r="L81" s="312"/>
      <c r="M81" s="312"/>
      <c r="N81" s="313"/>
      <c r="P81" s="195">
        <v>70</v>
      </c>
      <c r="Q81" s="311"/>
      <c r="R81" s="312"/>
      <c r="S81" s="312"/>
      <c r="T81" s="312"/>
      <c r="U81" s="312"/>
      <c r="V81" s="312"/>
      <c r="W81" s="312"/>
      <c r="X81" s="312"/>
      <c r="Y81" s="312"/>
      <c r="Z81" s="312"/>
      <c r="AA81" s="312"/>
      <c r="AB81" s="312"/>
      <c r="AC81" s="313"/>
      <c r="AE81" s="195">
        <v>70</v>
      </c>
      <c r="AF81" s="311"/>
      <c r="AG81" s="312"/>
      <c r="AH81" s="312"/>
      <c r="AI81" s="312"/>
      <c r="AJ81" s="312"/>
      <c r="AK81" s="312"/>
      <c r="AL81" s="312"/>
      <c r="AM81" s="312"/>
      <c r="AN81" s="312"/>
      <c r="AO81" s="312"/>
      <c r="AP81" s="312"/>
      <c r="AQ81" s="312"/>
      <c r="AR81" s="313"/>
      <c r="AT81" s="195">
        <v>70</v>
      </c>
      <c r="AU81" s="311"/>
      <c r="AV81" s="312"/>
      <c r="AW81" s="312"/>
      <c r="AX81" s="312"/>
      <c r="AY81" s="312"/>
      <c r="AZ81" s="312"/>
      <c r="BA81" s="312"/>
      <c r="BB81" s="312"/>
      <c r="BC81" s="312"/>
      <c r="BD81" s="312"/>
      <c r="BE81" s="312"/>
      <c r="BF81" s="312"/>
      <c r="BG81" s="313"/>
    </row>
    <row r="82" spans="1:59">
      <c r="A82" s="195">
        <v>71</v>
      </c>
      <c r="B82" s="311"/>
      <c r="C82" s="312"/>
      <c r="D82" s="312"/>
      <c r="E82" s="312"/>
      <c r="F82" s="312"/>
      <c r="G82" s="312"/>
      <c r="H82" s="312"/>
      <c r="I82" s="312"/>
      <c r="J82" s="312"/>
      <c r="K82" s="312"/>
      <c r="L82" s="312"/>
      <c r="M82" s="312"/>
      <c r="N82" s="313"/>
      <c r="P82" s="195">
        <v>71</v>
      </c>
      <c r="Q82" s="311"/>
      <c r="R82" s="312"/>
      <c r="S82" s="312"/>
      <c r="T82" s="312"/>
      <c r="U82" s="312"/>
      <c r="V82" s="312"/>
      <c r="W82" s="312"/>
      <c r="X82" s="312"/>
      <c r="Y82" s="312"/>
      <c r="Z82" s="312"/>
      <c r="AA82" s="312"/>
      <c r="AB82" s="312"/>
      <c r="AC82" s="313"/>
      <c r="AE82" s="195">
        <v>71</v>
      </c>
      <c r="AF82" s="311"/>
      <c r="AG82" s="312"/>
      <c r="AH82" s="312"/>
      <c r="AI82" s="312"/>
      <c r="AJ82" s="312"/>
      <c r="AK82" s="312"/>
      <c r="AL82" s="312"/>
      <c r="AM82" s="312"/>
      <c r="AN82" s="312"/>
      <c r="AO82" s="312"/>
      <c r="AP82" s="312"/>
      <c r="AQ82" s="312"/>
      <c r="AR82" s="313"/>
      <c r="AT82" s="195">
        <v>71</v>
      </c>
      <c r="AU82" s="311"/>
      <c r="AV82" s="312"/>
      <c r="AW82" s="312"/>
      <c r="AX82" s="312"/>
      <c r="AY82" s="312"/>
      <c r="AZ82" s="312"/>
      <c r="BA82" s="312"/>
      <c r="BB82" s="312"/>
      <c r="BC82" s="312"/>
      <c r="BD82" s="312"/>
      <c r="BE82" s="312"/>
      <c r="BF82" s="312"/>
      <c r="BG82" s="313"/>
    </row>
    <row r="83" spans="1:59">
      <c r="A83" s="195">
        <v>72</v>
      </c>
      <c r="B83" s="311"/>
      <c r="C83" s="312"/>
      <c r="D83" s="312"/>
      <c r="E83" s="312"/>
      <c r="F83" s="312"/>
      <c r="G83" s="312"/>
      <c r="H83" s="312"/>
      <c r="I83" s="312"/>
      <c r="J83" s="312"/>
      <c r="K83" s="312"/>
      <c r="L83" s="312"/>
      <c r="M83" s="312"/>
      <c r="N83" s="313"/>
      <c r="P83" s="195">
        <v>72</v>
      </c>
      <c r="Q83" s="311"/>
      <c r="R83" s="312"/>
      <c r="S83" s="312"/>
      <c r="T83" s="312"/>
      <c r="U83" s="312"/>
      <c r="V83" s="312"/>
      <c r="W83" s="312"/>
      <c r="X83" s="312"/>
      <c r="Y83" s="312"/>
      <c r="Z83" s="312"/>
      <c r="AA83" s="312"/>
      <c r="AB83" s="312"/>
      <c r="AC83" s="313"/>
      <c r="AE83" s="195">
        <v>72</v>
      </c>
      <c r="AF83" s="311"/>
      <c r="AG83" s="312"/>
      <c r="AH83" s="312"/>
      <c r="AI83" s="312"/>
      <c r="AJ83" s="312"/>
      <c r="AK83" s="312"/>
      <c r="AL83" s="312"/>
      <c r="AM83" s="312"/>
      <c r="AN83" s="312"/>
      <c r="AO83" s="312"/>
      <c r="AP83" s="312"/>
      <c r="AQ83" s="312"/>
      <c r="AR83" s="313"/>
      <c r="AT83" s="195">
        <v>72</v>
      </c>
      <c r="AU83" s="311"/>
      <c r="AV83" s="312"/>
      <c r="AW83" s="312"/>
      <c r="AX83" s="312"/>
      <c r="AY83" s="312"/>
      <c r="AZ83" s="312"/>
      <c r="BA83" s="312"/>
      <c r="BB83" s="312"/>
      <c r="BC83" s="312"/>
      <c r="BD83" s="312"/>
      <c r="BE83" s="312"/>
      <c r="BF83" s="312"/>
      <c r="BG83" s="313"/>
    </row>
    <row r="84" spans="1:59">
      <c r="A84" s="195">
        <v>73</v>
      </c>
      <c r="B84" s="311"/>
      <c r="C84" s="312"/>
      <c r="D84" s="312"/>
      <c r="E84" s="312"/>
      <c r="F84" s="312"/>
      <c r="G84" s="312"/>
      <c r="H84" s="312"/>
      <c r="I84" s="312"/>
      <c r="J84" s="312"/>
      <c r="K84" s="312"/>
      <c r="L84" s="312"/>
      <c r="M84" s="312"/>
      <c r="N84" s="313"/>
      <c r="P84" s="195">
        <v>73</v>
      </c>
      <c r="Q84" s="311"/>
      <c r="R84" s="312"/>
      <c r="S84" s="312"/>
      <c r="T84" s="312"/>
      <c r="U84" s="312"/>
      <c r="V84" s="312"/>
      <c r="W84" s="312"/>
      <c r="X84" s="312"/>
      <c r="Y84" s="312"/>
      <c r="Z84" s="312"/>
      <c r="AA84" s="312"/>
      <c r="AB84" s="312"/>
      <c r="AC84" s="313"/>
      <c r="AE84" s="195">
        <v>73</v>
      </c>
      <c r="AF84" s="311"/>
      <c r="AG84" s="312"/>
      <c r="AH84" s="312"/>
      <c r="AI84" s="312"/>
      <c r="AJ84" s="312"/>
      <c r="AK84" s="312"/>
      <c r="AL84" s="312"/>
      <c r="AM84" s="312"/>
      <c r="AN84" s="312"/>
      <c r="AO84" s="312"/>
      <c r="AP84" s="312"/>
      <c r="AQ84" s="312"/>
      <c r="AR84" s="313"/>
      <c r="AT84" s="195">
        <v>73</v>
      </c>
      <c r="AU84" s="311"/>
      <c r="AV84" s="312"/>
      <c r="AW84" s="312"/>
      <c r="AX84" s="312"/>
      <c r="AY84" s="312"/>
      <c r="AZ84" s="312"/>
      <c r="BA84" s="312"/>
      <c r="BB84" s="312"/>
      <c r="BC84" s="312"/>
      <c r="BD84" s="312"/>
      <c r="BE84" s="312"/>
      <c r="BF84" s="312"/>
      <c r="BG84" s="313"/>
    </row>
    <row r="85" spans="1:59">
      <c r="A85" s="195">
        <v>74</v>
      </c>
      <c r="B85" s="311"/>
      <c r="C85" s="312"/>
      <c r="D85" s="312"/>
      <c r="E85" s="312"/>
      <c r="F85" s="312"/>
      <c r="G85" s="312"/>
      <c r="H85" s="312"/>
      <c r="I85" s="312"/>
      <c r="J85" s="312"/>
      <c r="K85" s="312"/>
      <c r="L85" s="312"/>
      <c r="M85" s="312"/>
      <c r="N85" s="313"/>
      <c r="P85" s="195">
        <v>74</v>
      </c>
      <c r="Q85" s="311"/>
      <c r="R85" s="312"/>
      <c r="S85" s="312"/>
      <c r="T85" s="312"/>
      <c r="U85" s="312"/>
      <c r="V85" s="312"/>
      <c r="W85" s="312"/>
      <c r="X85" s="312"/>
      <c r="Y85" s="312"/>
      <c r="Z85" s="312"/>
      <c r="AA85" s="312"/>
      <c r="AB85" s="312"/>
      <c r="AC85" s="313"/>
      <c r="AE85" s="195">
        <v>74</v>
      </c>
      <c r="AF85" s="311"/>
      <c r="AG85" s="312"/>
      <c r="AH85" s="312"/>
      <c r="AI85" s="312"/>
      <c r="AJ85" s="312"/>
      <c r="AK85" s="312"/>
      <c r="AL85" s="312"/>
      <c r="AM85" s="312"/>
      <c r="AN85" s="312"/>
      <c r="AO85" s="312"/>
      <c r="AP85" s="312"/>
      <c r="AQ85" s="312"/>
      <c r="AR85" s="313"/>
      <c r="AT85" s="195">
        <v>74</v>
      </c>
      <c r="AU85" s="311"/>
      <c r="AV85" s="312"/>
      <c r="AW85" s="312"/>
      <c r="AX85" s="312"/>
      <c r="AY85" s="312"/>
      <c r="AZ85" s="312"/>
      <c r="BA85" s="312"/>
      <c r="BB85" s="312"/>
      <c r="BC85" s="312"/>
      <c r="BD85" s="312"/>
      <c r="BE85" s="312"/>
      <c r="BF85" s="312"/>
      <c r="BG85" s="313"/>
    </row>
    <row r="86" spans="1:59">
      <c r="A86" s="195">
        <v>75</v>
      </c>
      <c r="B86" s="311"/>
      <c r="C86" s="312"/>
      <c r="D86" s="312"/>
      <c r="E86" s="312"/>
      <c r="F86" s="312"/>
      <c r="G86" s="312"/>
      <c r="H86" s="312"/>
      <c r="I86" s="312"/>
      <c r="J86" s="312"/>
      <c r="K86" s="312"/>
      <c r="L86" s="312"/>
      <c r="M86" s="312"/>
      <c r="N86" s="313"/>
      <c r="P86" s="195">
        <v>75</v>
      </c>
      <c r="Q86" s="311"/>
      <c r="R86" s="312"/>
      <c r="S86" s="312"/>
      <c r="T86" s="312"/>
      <c r="U86" s="312"/>
      <c r="V86" s="312"/>
      <c r="W86" s="312"/>
      <c r="X86" s="312"/>
      <c r="Y86" s="312"/>
      <c r="Z86" s="312"/>
      <c r="AA86" s="312"/>
      <c r="AB86" s="312"/>
      <c r="AC86" s="313"/>
      <c r="AE86" s="195">
        <v>75</v>
      </c>
      <c r="AF86" s="311"/>
      <c r="AG86" s="312"/>
      <c r="AH86" s="312"/>
      <c r="AI86" s="312"/>
      <c r="AJ86" s="312"/>
      <c r="AK86" s="312"/>
      <c r="AL86" s="312"/>
      <c r="AM86" s="312"/>
      <c r="AN86" s="312"/>
      <c r="AO86" s="312"/>
      <c r="AP86" s="312"/>
      <c r="AQ86" s="312"/>
      <c r="AR86" s="313"/>
      <c r="AT86" s="195">
        <v>75</v>
      </c>
      <c r="AU86" s="311"/>
      <c r="AV86" s="312"/>
      <c r="AW86" s="312"/>
      <c r="AX86" s="312"/>
      <c r="AY86" s="312"/>
      <c r="AZ86" s="312"/>
      <c r="BA86" s="312"/>
      <c r="BB86" s="312"/>
      <c r="BC86" s="312"/>
      <c r="BD86" s="312"/>
      <c r="BE86" s="312"/>
      <c r="BF86" s="312"/>
      <c r="BG86" s="313"/>
    </row>
    <row r="87" spans="1:59">
      <c r="A87" s="195">
        <v>76</v>
      </c>
      <c r="B87" s="311"/>
      <c r="C87" s="312"/>
      <c r="D87" s="312"/>
      <c r="E87" s="312"/>
      <c r="F87" s="312"/>
      <c r="G87" s="312"/>
      <c r="H87" s="312"/>
      <c r="I87" s="312"/>
      <c r="J87" s="312"/>
      <c r="K87" s="312"/>
      <c r="L87" s="312"/>
      <c r="M87" s="312"/>
      <c r="N87" s="313"/>
      <c r="P87" s="195">
        <v>76</v>
      </c>
      <c r="Q87" s="311"/>
      <c r="R87" s="312"/>
      <c r="S87" s="312"/>
      <c r="T87" s="312"/>
      <c r="U87" s="312"/>
      <c r="V87" s="312"/>
      <c r="W87" s="312"/>
      <c r="X87" s="312"/>
      <c r="Y87" s="312"/>
      <c r="Z87" s="312"/>
      <c r="AA87" s="312"/>
      <c r="AB87" s="312"/>
      <c r="AC87" s="313"/>
      <c r="AE87" s="195">
        <v>76</v>
      </c>
      <c r="AF87" s="311"/>
      <c r="AG87" s="312"/>
      <c r="AH87" s="312"/>
      <c r="AI87" s="312"/>
      <c r="AJ87" s="312"/>
      <c r="AK87" s="312"/>
      <c r="AL87" s="312"/>
      <c r="AM87" s="312"/>
      <c r="AN87" s="312"/>
      <c r="AO87" s="312"/>
      <c r="AP87" s="312"/>
      <c r="AQ87" s="312"/>
      <c r="AR87" s="313"/>
      <c r="AT87" s="195">
        <v>76</v>
      </c>
      <c r="AU87" s="311"/>
      <c r="AV87" s="312"/>
      <c r="AW87" s="312"/>
      <c r="AX87" s="312"/>
      <c r="AY87" s="312"/>
      <c r="AZ87" s="312"/>
      <c r="BA87" s="312"/>
      <c r="BB87" s="312"/>
      <c r="BC87" s="312"/>
      <c r="BD87" s="312"/>
      <c r="BE87" s="312"/>
      <c r="BF87" s="312"/>
      <c r="BG87" s="313"/>
    </row>
    <row r="88" spans="1:59">
      <c r="A88" s="195">
        <v>77</v>
      </c>
      <c r="B88" s="311"/>
      <c r="C88" s="312"/>
      <c r="D88" s="312"/>
      <c r="E88" s="312"/>
      <c r="F88" s="312"/>
      <c r="G88" s="312"/>
      <c r="H88" s="312"/>
      <c r="I88" s="312"/>
      <c r="J88" s="312"/>
      <c r="K88" s="312"/>
      <c r="L88" s="312"/>
      <c r="M88" s="312"/>
      <c r="N88" s="313"/>
      <c r="P88" s="195">
        <v>77</v>
      </c>
      <c r="Q88" s="311"/>
      <c r="R88" s="312"/>
      <c r="S88" s="312"/>
      <c r="T88" s="312"/>
      <c r="U88" s="312"/>
      <c r="V88" s="312"/>
      <c r="W88" s="312"/>
      <c r="X88" s="312"/>
      <c r="Y88" s="312"/>
      <c r="Z88" s="312"/>
      <c r="AA88" s="312"/>
      <c r="AB88" s="312"/>
      <c r="AC88" s="313"/>
      <c r="AE88" s="195">
        <v>77</v>
      </c>
      <c r="AF88" s="311"/>
      <c r="AG88" s="312"/>
      <c r="AH88" s="312"/>
      <c r="AI88" s="312"/>
      <c r="AJ88" s="312"/>
      <c r="AK88" s="312"/>
      <c r="AL88" s="312"/>
      <c r="AM88" s="312"/>
      <c r="AN88" s="312"/>
      <c r="AO88" s="312"/>
      <c r="AP88" s="312"/>
      <c r="AQ88" s="312"/>
      <c r="AR88" s="313"/>
      <c r="AT88" s="195">
        <v>77</v>
      </c>
      <c r="AU88" s="311"/>
      <c r="AV88" s="312"/>
      <c r="AW88" s="312"/>
      <c r="AX88" s="312"/>
      <c r="AY88" s="312"/>
      <c r="AZ88" s="312"/>
      <c r="BA88" s="312"/>
      <c r="BB88" s="312"/>
      <c r="BC88" s="312"/>
      <c r="BD88" s="312"/>
      <c r="BE88" s="312"/>
      <c r="BF88" s="312"/>
      <c r="BG88" s="313"/>
    </row>
    <row r="89" spans="1:59">
      <c r="A89" s="195">
        <v>78</v>
      </c>
      <c r="B89" s="311"/>
      <c r="C89" s="312"/>
      <c r="D89" s="312"/>
      <c r="E89" s="312"/>
      <c r="F89" s="312"/>
      <c r="G89" s="312"/>
      <c r="H89" s="312"/>
      <c r="I89" s="312"/>
      <c r="J89" s="312"/>
      <c r="K89" s="312"/>
      <c r="L89" s="312"/>
      <c r="M89" s="312"/>
      <c r="N89" s="313"/>
      <c r="P89" s="195">
        <v>78</v>
      </c>
      <c r="Q89" s="311"/>
      <c r="R89" s="312"/>
      <c r="S89" s="312"/>
      <c r="T89" s="312"/>
      <c r="U89" s="312"/>
      <c r="V89" s="312"/>
      <c r="W89" s="312"/>
      <c r="X89" s="312"/>
      <c r="Y89" s="312"/>
      <c r="Z89" s="312"/>
      <c r="AA89" s="312"/>
      <c r="AB89" s="312"/>
      <c r="AC89" s="313"/>
      <c r="AE89" s="195">
        <v>78</v>
      </c>
      <c r="AF89" s="311"/>
      <c r="AG89" s="312"/>
      <c r="AH89" s="312"/>
      <c r="AI89" s="312"/>
      <c r="AJ89" s="312"/>
      <c r="AK89" s="312"/>
      <c r="AL89" s="312"/>
      <c r="AM89" s="312"/>
      <c r="AN89" s="312"/>
      <c r="AO89" s="312"/>
      <c r="AP89" s="312"/>
      <c r="AQ89" s="312"/>
      <c r="AR89" s="313"/>
      <c r="AT89" s="195">
        <v>78</v>
      </c>
      <c r="AU89" s="311"/>
      <c r="AV89" s="312"/>
      <c r="AW89" s="312"/>
      <c r="AX89" s="312"/>
      <c r="AY89" s="312"/>
      <c r="AZ89" s="312"/>
      <c r="BA89" s="312"/>
      <c r="BB89" s="312"/>
      <c r="BC89" s="312"/>
      <c r="BD89" s="312"/>
      <c r="BE89" s="312"/>
      <c r="BF89" s="312"/>
      <c r="BG89" s="313"/>
    </row>
    <row r="90" spans="1:59">
      <c r="A90" s="195">
        <v>79</v>
      </c>
      <c r="B90" s="311"/>
      <c r="C90" s="312"/>
      <c r="D90" s="312"/>
      <c r="E90" s="312"/>
      <c r="F90" s="312"/>
      <c r="G90" s="312"/>
      <c r="H90" s="312"/>
      <c r="I90" s="312"/>
      <c r="J90" s="312"/>
      <c r="K90" s="312"/>
      <c r="L90" s="312"/>
      <c r="M90" s="312"/>
      <c r="N90" s="313"/>
      <c r="P90" s="195">
        <v>79</v>
      </c>
      <c r="Q90" s="311"/>
      <c r="R90" s="312"/>
      <c r="S90" s="312"/>
      <c r="T90" s="312"/>
      <c r="U90" s="312"/>
      <c r="V90" s="312"/>
      <c r="W90" s="312"/>
      <c r="X90" s="312"/>
      <c r="Y90" s="312"/>
      <c r="Z90" s="312"/>
      <c r="AA90" s="312"/>
      <c r="AB90" s="312"/>
      <c r="AC90" s="313"/>
      <c r="AE90" s="195">
        <v>79</v>
      </c>
      <c r="AF90" s="311"/>
      <c r="AG90" s="312"/>
      <c r="AH90" s="312"/>
      <c r="AI90" s="312"/>
      <c r="AJ90" s="312"/>
      <c r="AK90" s="312"/>
      <c r="AL90" s="312"/>
      <c r="AM90" s="312"/>
      <c r="AN90" s="312"/>
      <c r="AO90" s="312"/>
      <c r="AP90" s="312"/>
      <c r="AQ90" s="312"/>
      <c r="AR90" s="313"/>
      <c r="AT90" s="195">
        <v>79</v>
      </c>
      <c r="AU90" s="311"/>
      <c r="AV90" s="312"/>
      <c r="AW90" s="312"/>
      <c r="AX90" s="312"/>
      <c r="AY90" s="312"/>
      <c r="AZ90" s="312"/>
      <c r="BA90" s="312"/>
      <c r="BB90" s="312"/>
      <c r="BC90" s="312"/>
      <c r="BD90" s="312"/>
      <c r="BE90" s="312"/>
      <c r="BF90" s="312"/>
      <c r="BG90" s="313"/>
    </row>
    <row r="91" spans="1:59">
      <c r="A91" s="195">
        <v>80</v>
      </c>
      <c r="B91" s="311"/>
      <c r="C91" s="312"/>
      <c r="D91" s="312"/>
      <c r="E91" s="312"/>
      <c r="F91" s="312"/>
      <c r="G91" s="312"/>
      <c r="H91" s="312"/>
      <c r="I91" s="312"/>
      <c r="J91" s="312"/>
      <c r="K91" s="312"/>
      <c r="L91" s="312"/>
      <c r="M91" s="312"/>
      <c r="N91" s="313"/>
      <c r="P91" s="195">
        <v>80</v>
      </c>
      <c r="Q91" s="311"/>
      <c r="R91" s="312"/>
      <c r="S91" s="312"/>
      <c r="T91" s="312"/>
      <c r="U91" s="312"/>
      <c r="V91" s="312"/>
      <c r="W91" s="312"/>
      <c r="X91" s="312"/>
      <c r="Y91" s="312"/>
      <c r="Z91" s="312"/>
      <c r="AA91" s="312"/>
      <c r="AB91" s="312"/>
      <c r="AC91" s="313"/>
      <c r="AE91" s="195">
        <v>80</v>
      </c>
      <c r="AF91" s="311"/>
      <c r="AG91" s="312"/>
      <c r="AH91" s="312"/>
      <c r="AI91" s="312"/>
      <c r="AJ91" s="312"/>
      <c r="AK91" s="312"/>
      <c r="AL91" s="312"/>
      <c r="AM91" s="312"/>
      <c r="AN91" s="312"/>
      <c r="AO91" s="312"/>
      <c r="AP91" s="312"/>
      <c r="AQ91" s="312"/>
      <c r="AR91" s="313"/>
      <c r="AT91" s="195">
        <v>80</v>
      </c>
      <c r="AU91" s="311"/>
      <c r="AV91" s="312"/>
      <c r="AW91" s="312"/>
      <c r="AX91" s="312"/>
      <c r="AY91" s="312"/>
      <c r="AZ91" s="312"/>
      <c r="BA91" s="312"/>
      <c r="BB91" s="312"/>
      <c r="BC91" s="312"/>
      <c r="BD91" s="312"/>
      <c r="BE91" s="312"/>
      <c r="BF91" s="312"/>
      <c r="BG91" s="313"/>
    </row>
    <row r="92" spans="1:59">
      <c r="A92" s="195">
        <v>81</v>
      </c>
      <c r="B92" s="311"/>
      <c r="C92" s="312"/>
      <c r="D92" s="312"/>
      <c r="E92" s="312"/>
      <c r="F92" s="312"/>
      <c r="G92" s="312"/>
      <c r="H92" s="312"/>
      <c r="I92" s="312"/>
      <c r="J92" s="312"/>
      <c r="K92" s="312"/>
      <c r="L92" s="312"/>
      <c r="M92" s="312"/>
      <c r="N92" s="313"/>
      <c r="P92" s="195">
        <v>81</v>
      </c>
      <c r="Q92" s="311"/>
      <c r="R92" s="312"/>
      <c r="S92" s="312"/>
      <c r="T92" s="312"/>
      <c r="U92" s="312"/>
      <c r="V92" s="312"/>
      <c r="W92" s="312"/>
      <c r="X92" s="312"/>
      <c r="Y92" s="312"/>
      <c r="Z92" s="312"/>
      <c r="AA92" s="312"/>
      <c r="AB92" s="312"/>
      <c r="AC92" s="313"/>
      <c r="AE92" s="195">
        <v>81</v>
      </c>
      <c r="AF92" s="311"/>
      <c r="AG92" s="312"/>
      <c r="AH92" s="312"/>
      <c r="AI92" s="312"/>
      <c r="AJ92" s="312"/>
      <c r="AK92" s="312"/>
      <c r="AL92" s="312"/>
      <c r="AM92" s="312"/>
      <c r="AN92" s="312"/>
      <c r="AO92" s="312"/>
      <c r="AP92" s="312"/>
      <c r="AQ92" s="312"/>
      <c r="AR92" s="313"/>
      <c r="AT92" s="195">
        <v>81</v>
      </c>
      <c r="AU92" s="311"/>
      <c r="AV92" s="312"/>
      <c r="AW92" s="312"/>
      <c r="AX92" s="312"/>
      <c r="AY92" s="312"/>
      <c r="AZ92" s="312"/>
      <c r="BA92" s="312"/>
      <c r="BB92" s="312"/>
      <c r="BC92" s="312"/>
      <c r="BD92" s="312"/>
      <c r="BE92" s="312"/>
      <c r="BF92" s="312"/>
      <c r="BG92" s="313"/>
    </row>
    <row r="93" spans="1:59">
      <c r="A93" s="195">
        <v>82</v>
      </c>
      <c r="B93" s="311"/>
      <c r="C93" s="312"/>
      <c r="D93" s="312"/>
      <c r="E93" s="312"/>
      <c r="F93" s="312"/>
      <c r="G93" s="312"/>
      <c r="H93" s="312"/>
      <c r="I93" s="312"/>
      <c r="J93" s="312"/>
      <c r="K93" s="312"/>
      <c r="L93" s="312"/>
      <c r="M93" s="312"/>
      <c r="N93" s="313"/>
      <c r="P93" s="195">
        <v>82</v>
      </c>
      <c r="Q93" s="311"/>
      <c r="R93" s="312"/>
      <c r="S93" s="312"/>
      <c r="T93" s="312"/>
      <c r="U93" s="312"/>
      <c r="V93" s="312"/>
      <c r="W93" s="312"/>
      <c r="X93" s="312"/>
      <c r="Y93" s="312"/>
      <c r="Z93" s="312"/>
      <c r="AA93" s="312"/>
      <c r="AB93" s="312"/>
      <c r="AC93" s="313"/>
      <c r="AE93" s="195">
        <v>82</v>
      </c>
      <c r="AF93" s="311"/>
      <c r="AG93" s="312"/>
      <c r="AH93" s="312"/>
      <c r="AI93" s="312"/>
      <c r="AJ93" s="312"/>
      <c r="AK93" s="312"/>
      <c r="AL93" s="312"/>
      <c r="AM93" s="312"/>
      <c r="AN93" s="312"/>
      <c r="AO93" s="312"/>
      <c r="AP93" s="312"/>
      <c r="AQ93" s="312"/>
      <c r="AR93" s="313"/>
      <c r="AT93" s="195">
        <v>82</v>
      </c>
      <c r="AU93" s="311"/>
      <c r="AV93" s="312"/>
      <c r="AW93" s="312"/>
      <c r="AX93" s="312"/>
      <c r="AY93" s="312"/>
      <c r="AZ93" s="312"/>
      <c r="BA93" s="312"/>
      <c r="BB93" s="312"/>
      <c r="BC93" s="312"/>
      <c r="BD93" s="312"/>
      <c r="BE93" s="312"/>
      <c r="BF93" s="312"/>
      <c r="BG93" s="313"/>
    </row>
    <row r="94" spans="1:59">
      <c r="A94" s="195">
        <v>83</v>
      </c>
      <c r="B94" s="311"/>
      <c r="C94" s="312"/>
      <c r="D94" s="312"/>
      <c r="E94" s="312"/>
      <c r="F94" s="312"/>
      <c r="G94" s="312"/>
      <c r="H94" s="312"/>
      <c r="I94" s="312"/>
      <c r="J94" s="312"/>
      <c r="K94" s="312"/>
      <c r="L94" s="312"/>
      <c r="M94" s="312"/>
      <c r="N94" s="313"/>
      <c r="P94" s="195">
        <v>83</v>
      </c>
      <c r="Q94" s="311"/>
      <c r="R94" s="312"/>
      <c r="S94" s="312"/>
      <c r="T94" s="312"/>
      <c r="U94" s="312"/>
      <c r="V94" s="312"/>
      <c r="W94" s="312"/>
      <c r="X94" s="312"/>
      <c r="Y94" s="312"/>
      <c r="Z94" s="312"/>
      <c r="AA94" s="312"/>
      <c r="AB94" s="312"/>
      <c r="AC94" s="313"/>
      <c r="AE94" s="195">
        <v>83</v>
      </c>
      <c r="AF94" s="311"/>
      <c r="AG94" s="312"/>
      <c r="AH94" s="312"/>
      <c r="AI94" s="312"/>
      <c r="AJ94" s="312"/>
      <c r="AK94" s="312"/>
      <c r="AL94" s="312"/>
      <c r="AM94" s="312"/>
      <c r="AN94" s="312"/>
      <c r="AO94" s="312"/>
      <c r="AP94" s="312"/>
      <c r="AQ94" s="312"/>
      <c r="AR94" s="313"/>
      <c r="AT94" s="195">
        <v>83</v>
      </c>
      <c r="AU94" s="311"/>
      <c r="AV94" s="312"/>
      <c r="AW94" s="312"/>
      <c r="AX94" s="312"/>
      <c r="AY94" s="312"/>
      <c r="AZ94" s="312"/>
      <c r="BA94" s="312"/>
      <c r="BB94" s="312"/>
      <c r="BC94" s="312"/>
      <c r="BD94" s="312"/>
      <c r="BE94" s="312"/>
      <c r="BF94" s="312"/>
      <c r="BG94" s="313"/>
    </row>
    <row r="95" spans="1:59">
      <c r="A95" s="195">
        <v>84</v>
      </c>
      <c r="B95" s="311"/>
      <c r="C95" s="312"/>
      <c r="D95" s="312"/>
      <c r="E95" s="312"/>
      <c r="F95" s="312"/>
      <c r="G95" s="312"/>
      <c r="H95" s="312"/>
      <c r="I95" s="312"/>
      <c r="J95" s="312"/>
      <c r="K95" s="312"/>
      <c r="L95" s="312"/>
      <c r="M95" s="312"/>
      <c r="N95" s="313"/>
      <c r="P95" s="195">
        <v>84</v>
      </c>
      <c r="Q95" s="311"/>
      <c r="R95" s="312"/>
      <c r="S95" s="312"/>
      <c r="T95" s="312"/>
      <c r="U95" s="312"/>
      <c r="V95" s="312"/>
      <c r="W95" s="312"/>
      <c r="X95" s="312"/>
      <c r="Y95" s="312"/>
      <c r="Z95" s="312"/>
      <c r="AA95" s="312"/>
      <c r="AB95" s="312"/>
      <c r="AC95" s="313"/>
      <c r="AE95" s="195">
        <v>84</v>
      </c>
      <c r="AF95" s="311"/>
      <c r="AG95" s="312"/>
      <c r="AH95" s="312"/>
      <c r="AI95" s="312"/>
      <c r="AJ95" s="312"/>
      <c r="AK95" s="312"/>
      <c r="AL95" s="312"/>
      <c r="AM95" s="312"/>
      <c r="AN95" s="312"/>
      <c r="AO95" s="312"/>
      <c r="AP95" s="312"/>
      <c r="AQ95" s="312"/>
      <c r="AR95" s="313"/>
      <c r="AT95" s="195">
        <v>84</v>
      </c>
      <c r="AU95" s="311"/>
      <c r="AV95" s="312"/>
      <c r="AW95" s="312"/>
      <c r="AX95" s="312"/>
      <c r="AY95" s="312"/>
      <c r="AZ95" s="312"/>
      <c r="BA95" s="312"/>
      <c r="BB95" s="312"/>
      <c r="BC95" s="312"/>
      <c r="BD95" s="312"/>
      <c r="BE95" s="312"/>
      <c r="BF95" s="312"/>
      <c r="BG95" s="313"/>
    </row>
    <row r="96" spans="1:59">
      <c r="A96" s="195">
        <v>85</v>
      </c>
      <c r="B96" s="311"/>
      <c r="C96" s="312"/>
      <c r="D96" s="312"/>
      <c r="E96" s="312"/>
      <c r="F96" s="312"/>
      <c r="G96" s="312"/>
      <c r="H96" s="312"/>
      <c r="I96" s="312"/>
      <c r="J96" s="312"/>
      <c r="K96" s="312"/>
      <c r="L96" s="312"/>
      <c r="M96" s="312"/>
      <c r="N96" s="313"/>
      <c r="P96" s="195">
        <v>85</v>
      </c>
      <c r="Q96" s="311"/>
      <c r="R96" s="312"/>
      <c r="S96" s="312"/>
      <c r="T96" s="312"/>
      <c r="U96" s="312"/>
      <c r="V96" s="312"/>
      <c r="W96" s="312"/>
      <c r="X96" s="312"/>
      <c r="Y96" s="312"/>
      <c r="Z96" s="312"/>
      <c r="AA96" s="312"/>
      <c r="AB96" s="312"/>
      <c r="AC96" s="313"/>
      <c r="AE96" s="195">
        <v>85</v>
      </c>
      <c r="AF96" s="311"/>
      <c r="AG96" s="312"/>
      <c r="AH96" s="312"/>
      <c r="AI96" s="312"/>
      <c r="AJ96" s="312"/>
      <c r="AK96" s="312"/>
      <c r="AL96" s="312"/>
      <c r="AM96" s="312"/>
      <c r="AN96" s="312"/>
      <c r="AO96" s="312"/>
      <c r="AP96" s="312"/>
      <c r="AQ96" s="312"/>
      <c r="AR96" s="313"/>
      <c r="AT96" s="195">
        <v>85</v>
      </c>
      <c r="AU96" s="311"/>
      <c r="AV96" s="312"/>
      <c r="AW96" s="312"/>
      <c r="AX96" s="312"/>
      <c r="AY96" s="312"/>
      <c r="AZ96" s="312"/>
      <c r="BA96" s="312"/>
      <c r="BB96" s="312"/>
      <c r="BC96" s="312"/>
      <c r="BD96" s="312"/>
      <c r="BE96" s="312"/>
      <c r="BF96" s="312"/>
      <c r="BG96" s="313"/>
    </row>
    <row r="97" spans="1:59">
      <c r="A97" s="195">
        <v>86</v>
      </c>
      <c r="B97" s="311"/>
      <c r="C97" s="312"/>
      <c r="D97" s="312"/>
      <c r="E97" s="312"/>
      <c r="F97" s="312"/>
      <c r="G97" s="312"/>
      <c r="H97" s="312"/>
      <c r="I97" s="312"/>
      <c r="J97" s="312"/>
      <c r="K97" s="312"/>
      <c r="L97" s="312"/>
      <c r="M97" s="312"/>
      <c r="N97" s="313"/>
      <c r="P97" s="195">
        <v>86</v>
      </c>
      <c r="Q97" s="311"/>
      <c r="R97" s="312"/>
      <c r="S97" s="312"/>
      <c r="T97" s="312"/>
      <c r="U97" s="312"/>
      <c r="V97" s="312"/>
      <c r="W97" s="312"/>
      <c r="X97" s="312"/>
      <c r="Y97" s="312"/>
      <c r="Z97" s="312"/>
      <c r="AA97" s="312"/>
      <c r="AB97" s="312"/>
      <c r="AC97" s="313"/>
      <c r="AE97" s="195">
        <v>86</v>
      </c>
      <c r="AF97" s="311"/>
      <c r="AG97" s="312"/>
      <c r="AH97" s="312"/>
      <c r="AI97" s="312"/>
      <c r="AJ97" s="312"/>
      <c r="AK97" s="312"/>
      <c r="AL97" s="312"/>
      <c r="AM97" s="312"/>
      <c r="AN97" s="312"/>
      <c r="AO97" s="312"/>
      <c r="AP97" s="312"/>
      <c r="AQ97" s="312"/>
      <c r="AR97" s="313"/>
      <c r="AT97" s="195">
        <v>86</v>
      </c>
      <c r="AU97" s="311"/>
      <c r="AV97" s="312"/>
      <c r="AW97" s="312"/>
      <c r="AX97" s="312"/>
      <c r="AY97" s="312"/>
      <c r="AZ97" s="312"/>
      <c r="BA97" s="312"/>
      <c r="BB97" s="312"/>
      <c r="BC97" s="312"/>
      <c r="BD97" s="312"/>
      <c r="BE97" s="312"/>
      <c r="BF97" s="312"/>
      <c r="BG97" s="313"/>
    </row>
    <row r="98" spans="1:59">
      <c r="A98" s="195">
        <v>87</v>
      </c>
      <c r="B98" s="311"/>
      <c r="C98" s="312"/>
      <c r="D98" s="312"/>
      <c r="E98" s="312"/>
      <c r="F98" s="312"/>
      <c r="G98" s="312"/>
      <c r="H98" s="312"/>
      <c r="I98" s="312"/>
      <c r="J98" s="312"/>
      <c r="K98" s="312"/>
      <c r="L98" s="312"/>
      <c r="M98" s="312"/>
      <c r="N98" s="313"/>
      <c r="P98" s="195">
        <v>87</v>
      </c>
      <c r="Q98" s="311"/>
      <c r="R98" s="312"/>
      <c r="S98" s="312"/>
      <c r="T98" s="312"/>
      <c r="U98" s="312"/>
      <c r="V98" s="312"/>
      <c r="W98" s="312"/>
      <c r="X98" s="312"/>
      <c r="Y98" s="312"/>
      <c r="Z98" s="312"/>
      <c r="AA98" s="312"/>
      <c r="AB98" s="312"/>
      <c r="AC98" s="313"/>
      <c r="AE98" s="195">
        <v>87</v>
      </c>
      <c r="AF98" s="311"/>
      <c r="AG98" s="312"/>
      <c r="AH98" s="312"/>
      <c r="AI98" s="312"/>
      <c r="AJ98" s="312"/>
      <c r="AK98" s="312"/>
      <c r="AL98" s="312"/>
      <c r="AM98" s="312"/>
      <c r="AN98" s="312"/>
      <c r="AO98" s="312"/>
      <c r="AP98" s="312"/>
      <c r="AQ98" s="312"/>
      <c r="AR98" s="313"/>
      <c r="AT98" s="195">
        <v>87</v>
      </c>
      <c r="AU98" s="311"/>
      <c r="AV98" s="312"/>
      <c r="AW98" s="312"/>
      <c r="AX98" s="312"/>
      <c r="AY98" s="312"/>
      <c r="AZ98" s="312"/>
      <c r="BA98" s="312"/>
      <c r="BB98" s="312"/>
      <c r="BC98" s="312"/>
      <c r="BD98" s="312"/>
      <c r="BE98" s="312"/>
      <c r="BF98" s="312"/>
      <c r="BG98" s="313"/>
    </row>
    <row r="99" spans="1:59">
      <c r="A99" s="195">
        <v>88</v>
      </c>
      <c r="B99" s="311"/>
      <c r="C99" s="312"/>
      <c r="D99" s="312"/>
      <c r="E99" s="312"/>
      <c r="F99" s="312"/>
      <c r="G99" s="312"/>
      <c r="H99" s="312"/>
      <c r="I99" s="312"/>
      <c r="J99" s="312"/>
      <c r="K99" s="312"/>
      <c r="L99" s="312"/>
      <c r="M99" s="312"/>
      <c r="N99" s="313"/>
      <c r="P99" s="195">
        <v>88</v>
      </c>
      <c r="Q99" s="311"/>
      <c r="R99" s="312"/>
      <c r="S99" s="312"/>
      <c r="T99" s="312"/>
      <c r="U99" s="312"/>
      <c r="V99" s="312"/>
      <c r="W99" s="312"/>
      <c r="X99" s="312"/>
      <c r="Y99" s="312"/>
      <c r="Z99" s="312"/>
      <c r="AA99" s="312"/>
      <c r="AB99" s="312"/>
      <c r="AC99" s="313"/>
      <c r="AE99" s="195">
        <v>88</v>
      </c>
      <c r="AF99" s="311"/>
      <c r="AG99" s="312"/>
      <c r="AH99" s="312"/>
      <c r="AI99" s="312"/>
      <c r="AJ99" s="312"/>
      <c r="AK99" s="312"/>
      <c r="AL99" s="312"/>
      <c r="AM99" s="312"/>
      <c r="AN99" s="312"/>
      <c r="AO99" s="312"/>
      <c r="AP99" s="312"/>
      <c r="AQ99" s="312"/>
      <c r="AR99" s="313"/>
      <c r="AT99" s="195">
        <v>88</v>
      </c>
      <c r="AU99" s="311"/>
      <c r="AV99" s="312"/>
      <c r="AW99" s="312"/>
      <c r="AX99" s="312"/>
      <c r="AY99" s="312"/>
      <c r="AZ99" s="312"/>
      <c r="BA99" s="312"/>
      <c r="BB99" s="312"/>
      <c r="BC99" s="312"/>
      <c r="BD99" s="312"/>
      <c r="BE99" s="312"/>
      <c r="BF99" s="312"/>
      <c r="BG99" s="313"/>
    </row>
    <row r="100" spans="1:59">
      <c r="A100" s="195">
        <v>89</v>
      </c>
      <c r="B100" s="311"/>
      <c r="C100" s="312"/>
      <c r="D100" s="312"/>
      <c r="E100" s="312"/>
      <c r="F100" s="312"/>
      <c r="G100" s="312"/>
      <c r="H100" s="312"/>
      <c r="I100" s="312"/>
      <c r="J100" s="312"/>
      <c r="K100" s="312"/>
      <c r="L100" s="312"/>
      <c r="M100" s="312"/>
      <c r="N100" s="313"/>
      <c r="P100" s="195">
        <v>89</v>
      </c>
      <c r="Q100" s="311"/>
      <c r="R100" s="312"/>
      <c r="S100" s="312"/>
      <c r="T100" s="312"/>
      <c r="U100" s="312"/>
      <c r="V100" s="312"/>
      <c r="W100" s="312"/>
      <c r="X100" s="312"/>
      <c r="Y100" s="312"/>
      <c r="Z100" s="312"/>
      <c r="AA100" s="312"/>
      <c r="AB100" s="312"/>
      <c r="AC100" s="313"/>
      <c r="AE100" s="195">
        <v>89</v>
      </c>
      <c r="AF100" s="311"/>
      <c r="AG100" s="312"/>
      <c r="AH100" s="312"/>
      <c r="AI100" s="312"/>
      <c r="AJ100" s="312"/>
      <c r="AK100" s="312"/>
      <c r="AL100" s="312"/>
      <c r="AM100" s="312"/>
      <c r="AN100" s="312"/>
      <c r="AO100" s="312"/>
      <c r="AP100" s="312"/>
      <c r="AQ100" s="312"/>
      <c r="AR100" s="313"/>
      <c r="AT100" s="195">
        <v>89</v>
      </c>
      <c r="AU100" s="311"/>
      <c r="AV100" s="312"/>
      <c r="AW100" s="312"/>
      <c r="AX100" s="312"/>
      <c r="AY100" s="312"/>
      <c r="AZ100" s="312"/>
      <c r="BA100" s="312"/>
      <c r="BB100" s="312"/>
      <c r="BC100" s="312"/>
      <c r="BD100" s="312"/>
      <c r="BE100" s="312"/>
      <c r="BF100" s="312"/>
      <c r="BG100" s="313"/>
    </row>
    <row r="101" spans="1:59">
      <c r="A101" s="195">
        <v>90</v>
      </c>
      <c r="B101" s="311"/>
      <c r="C101" s="312"/>
      <c r="D101" s="312"/>
      <c r="E101" s="312"/>
      <c r="F101" s="312"/>
      <c r="G101" s="312"/>
      <c r="H101" s="312"/>
      <c r="I101" s="312"/>
      <c r="J101" s="312"/>
      <c r="K101" s="312"/>
      <c r="L101" s="312"/>
      <c r="M101" s="312"/>
      <c r="N101" s="313"/>
      <c r="P101" s="195">
        <v>90</v>
      </c>
      <c r="Q101" s="311"/>
      <c r="R101" s="312"/>
      <c r="S101" s="312"/>
      <c r="T101" s="312"/>
      <c r="U101" s="312"/>
      <c r="V101" s="312"/>
      <c r="W101" s="312"/>
      <c r="X101" s="312"/>
      <c r="Y101" s="312"/>
      <c r="Z101" s="312"/>
      <c r="AA101" s="312"/>
      <c r="AB101" s="312"/>
      <c r="AC101" s="313"/>
      <c r="AE101" s="195">
        <v>90</v>
      </c>
      <c r="AF101" s="311"/>
      <c r="AG101" s="312"/>
      <c r="AH101" s="312"/>
      <c r="AI101" s="312"/>
      <c r="AJ101" s="312"/>
      <c r="AK101" s="312"/>
      <c r="AL101" s="312"/>
      <c r="AM101" s="312"/>
      <c r="AN101" s="312"/>
      <c r="AO101" s="312"/>
      <c r="AP101" s="312"/>
      <c r="AQ101" s="312"/>
      <c r="AR101" s="313"/>
      <c r="AT101" s="195">
        <v>90</v>
      </c>
      <c r="AU101" s="311"/>
      <c r="AV101" s="312"/>
      <c r="AW101" s="312"/>
      <c r="AX101" s="312"/>
      <c r="AY101" s="312"/>
      <c r="AZ101" s="312"/>
      <c r="BA101" s="312"/>
      <c r="BB101" s="312"/>
      <c r="BC101" s="312"/>
      <c r="BD101" s="312"/>
      <c r="BE101" s="312"/>
      <c r="BF101" s="312"/>
      <c r="BG101" s="313"/>
    </row>
    <row r="102" spans="1:59">
      <c r="A102" s="195">
        <v>91</v>
      </c>
      <c r="B102" s="311"/>
      <c r="C102" s="312"/>
      <c r="D102" s="312"/>
      <c r="E102" s="312"/>
      <c r="F102" s="312"/>
      <c r="G102" s="312"/>
      <c r="H102" s="312"/>
      <c r="I102" s="312"/>
      <c r="J102" s="312"/>
      <c r="K102" s="312"/>
      <c r="L102" s="312"/>
      <c r="M102" s="312"/>
      <c r="N102" s="313"/>
      <c r="P102" s="195">
        <v>91</v>
      </c>
      <c r="Q102" s="311"/>
      <c r="R102" s="312"/>
      <c r="S102" s="312"/>
      <c r="T102" s="312"/>
      <c r="U102" s="312"/>
      <c r="V102" s="312"/>
      <c r="W102" s="312"/>
      <c r="X102" s="312"/>
      <c r="Y102" s="312"/>
      <c r="Z102" s="312"/>
      <c r="AA102" s="312"/>
      <c r="AB102" s="312"/>
      <c r="AC102" s="313"/>
      <c r="AE102" s="195">
        <v>91</v>
      </c>
      <c r="AF102" s="311"/>
      <c r="AG102" s="312"/>
      <c r="AH102" s="312"/>
      <c r="AI102" s="312"/>
      <c r="AJ102" s="312"/>
      <c r="AK102" s="312"/>
      <c r="AL102" s="312"/>
      <c r="AM102" s="312"/>
      <c r="AN102" s="312"/>
      <c r="AO102" s="312"/>
      <c r="AP102" s="312"/>
      <c r="AQ102" s="312"/>
      <c r="AR102" s="313"/>
      <c r="AT102" s="195">
        <v>91</v>
      </c>
      <c r="AU102" s="311"/>
      <c r="AV102" s="312"/>
      <c r="AW102" s="312"/>
      <c r="AX102" s="312"/>
      <c r="AY102" s="312"/>
      <c r="AZ102" s="312"/>
      <c r="BA102" s="312"/>
      <c r="BB102" s="312"/>
      <c r="BC102" s="312"/>
      <c r="BD102" s="312"/>
      <c r="BE102" s="312"/>
      <c r="BF102" s="312"/>
      <c r="BG102" s="313"/>
    </row>
    <row r="103" spans="1:59">
      <c r="A103" s="195">
        <v>92</v>
      </c>
      <c r="B103" s="311"/>
      <c r="C103" s="312"/>
      <c r="D103" s="312"/>
      <c r="E103" s="312"/>
      <c r="F103" s="312"/>
      <c r="G103" s="312"/>
      <c r="H103" s="312"/>
      <c r="I103" s="312"/>
      <c r="J103" s="312"/>
      <c r="K103" s="312"/>
      <c r="L103" s="312"/>
      <c r="M103" s="312"/>
      <c r="N103" s="313"/>
      <c r="P103" s="195">
        <v>92</v>
      </c>
      <c r="Q103" s="311"/>
      <c r="R103" s="312"/>
      <c r="S103" s="312"/>
      <c r="T103" s="312"/>
      <c r="U103" s="312"/>
      <c r="V103" s="312"/>
      <c r="W103" s="312"/>
      <c r="X103" s="312"/>
      <c r="Y103" s="312"/>
      <c r="Z103" s="312"/>
      <c r="AA103" s="312"/>
      <c r="AB103" s="312"/>
      <c r="AC103" s="313"/>
      <c r="AE103" s="195">
        <v>92</v>
      </c>
      <c r="AF103" s="311"/>
      <c r="AG103" s="312"/>
      <c r="AH103" s="312"/>
      <c r="AI103" s="312"/>
      <c r="AJ103" s="312"/>
      <c r="AK103" s="312"/>
      <c r="AL103" s="312"/>
      <c r="AM103" s="312"/>
      <c r="AN103" s="312"/>
      <c r="AO103" s="312"/>
      <c r="AP103" s="312"/>
      <c r="AQ103" s="312"/>
      <c r="AR103" s="313"/>
      <c r="AT103" s="195">
        <v>92</v>
      </c>
      <c r="AU103" s="311"/>
      <c r="AV103" s="312"/>
      <c r="AW103" s="312"/>
      <c r="AX103" s="312"/>
      <c r="AY103" s="312"/>
      <c r="AZ103" s="312"/>
      <c r="BA103" s="312"/>
      <c r="BB103" s="312"/>
      <c r="BC103" s="312"/>
      <c r="BD103" s="312"/>
      <c r="BE103" s="312"/>
      <c r="BF103" s="312"/>
      <c r="BG103" s="313"/>
    </row>
    <row r="104" spans="1:59">
      <c r="A104" s="195">
        <v>93</v>
      </c>
      <c r="B104" s="311"/>
      <c r="C104" s="312"/>
      <c r="D104" s="312"/>
      <c r="E104" s="312"/>
      <c r="F104" s="312"/>
      <c r="G104" s="312"/>
      <c r="H104" s="312"/>
      <c r="I104" s="312"/>
      <c r="J104" s="312"/>
      <c r="K104" s="312"/>
      <c r="L104" s="312"/>
      <c r="M104" s="312"/>
      <c r="N104" s="313"/>
      <c r="P104" s="195">
        <v>93</v>
      </c>
      <c r="Q104" s="311"/>
      <c r="R104" s="312"/>
      <c r="S104" s="312"/>
      <c r="T104" s="312"/>
      <c r="U104" s="312"/>
      <c r="V104" s="312"/>
      <c r="W104" s="312"/>
      <c r="X104" s="312"/>
      <c r="Y104" s="312"/>
      <c r="Z104" s="312"/>
      <c r="AA104" s="312"/>
      <c r="AB104" s="312"/>
      <c r="AC104" s="313"/>
      <c r="AE104" s="195">
        <v>93</v>
      </c>
      <c r="AF104" s="311"/>
      <c r="AG104" s="312"/>
      <c r="AH104" s="312"/>
      <c r="AI104" s="312"/>
      <c r="AJ104" s="312"/>
      <c r="AK104" s="312"/>
      <c r="AL104" s="312"/>
      <c r="AM104" s="312"/>
      <c r="AN104" s="312"/>
      <c r="AO104" s="312"/>
      <c r="AP104" s="312"/>
      <c r="AQ104" s="312"/>
      <c r="AR104" s="313"/>
      <c r="AT104" s="195">
        <v>93</v>
      </c>
      <c r="AU104" s="311"/>
      <c r="AV104" s="312"/>
      <c r="AW104" s="312"/>
      <c r="AX104" s="312"/>
      <c r="AY104" s="312"/>
      <c r="AZ104" s="312"/>
      <c r="BA104" s="312"/>
      <c r="BB104" s="312"/>
      <c r="BC104" s="312"/>
      <c r="BD104" s="312"/>
      <c r="BE104" s="312"/>
      <c r="BF104" s="312"/>
      <c r="BG104" s="313"/>
    </row>
    <row r="105" spans="1:59">
      <c r="A105" s="195">
        <v>94</v>
      </c>
      <c r="B105" s="311"/>
      <c r="C105" s="312"/>
      <c r="D105" s="312"/>
      <c r="E105" s="312"/>
      <c r="F105" s="312"/>
      <c r="G105" s="312"/>
      <c r="H105" s="312"/>
      <c r="I105" s="312"/>
      <c r="J105" s="312"/>
      <c r="K105" s="312"/>
      <c r="L105" s="312"/>
      <c r="M105" s="312"/>
      <c r="N105" s="313"/>
      <c r="P105" s="195">
        <v>94</v>
      </c>
      <c r="Q105" s="311"/>
      <c r="R105" s="312"/>
      <c r="S105" s="312"/>
      <c r="T105" s="312"/>
      <c r="U105" s="312"/>
      <c r="V105" s="312"/>
      <c r="W105" s="312"/>
      <c r="X105" s="312"/>
      <c r="Y105" s="312"/>
      <c r="Z105" s="312"/>
      <c r="AA105" s="312"/>
      <c r="AB105" s="312"/>
      <c r="AC105" s="313"/>
      <c r="AE105" s="195">
        <v>94</v>
      </c>
      <c r="AF105" s="311"/>
      <c r="AG105" s="312"/>
      <c r="AH105" s="312"/>
      <c r="AI105" s="312"/>
      <c r="AJ105" s="312"/>
      <c r="AK105" s="312"/>
      <c r="AL105" s="312"/>
      <c r="AM105" s="312"/>
      <c r="AN105" s="312"/>
      <c r="AO105" s="312"/>
      <c r="AP105" s="312"/>
      <c r="AQ105" s="312"/>
      <c r="AR105" s="313"/>
      <c r="AT105" s="195">
        <v>94</v>
      </c>
      <c r="AU105" s="311"/>
      <c r="AV105" s="312"/>
      <c r="AW105" s="312"/>
      <c r="AX105" s="312"/>
      <c r="AY105" s="312"/>
      <c r="AZ105" s="312"/>
      <c r="BA105" s="312"/>
      <c r="BB105" s="312"/>
      <c r="BC105" s="312"/>
      <c r="BD105" s="312"/>
      <c r="BE105" s="312"/>
      <c r="BF105" s="312"/>
      <c r="BG105" s="313"/>
    </row>
    <row r="106" spans="1:59">
      <c r="A106" s="195">
        <v>95</v>
      </c>
      <c r="B106" s="311"/>
      <c r="C106" s="312"/>
      <c r="D106" s="312"/>
      <c r="E106" s="312"/>
      <c r="F106" s="312"/>
      <c r="G106" s="312"/>
      <c r="H106" s="312"/>
      <c r="I106" s="312"/>
      <c r="J106" s="312"/>
      <c r="K106" s="312"/>
      <c r="L106" s="312"/>
      <c r="M106" s="312"/>
      <c r="N106" s="313"/>
      <c r="P106" s="195">
        <v>95</v>
      </c>
      <c r="Q106" s="311"/>
      <c r="R106" s="312"/>
      <c r="S106" s="312"/>
      <c r="T106" s="312"/>
      <c r="U106" s="312"/>
      <c r="V106" s="312"/>
      <c r="W106" s="312"/>
      <c r="X106" s="312"/>
      <c r="Y106" s="312"/>
      <c r="Z106" s="312"/>
      <c r="AA106" s="312"/>
      <c r="AB106" s="312"/>
      <c r="AC106" s="313"/>
      <c r="AE106" s="195">
        <v>95</v>
      </c>
      <c r="AF106" s="311"/>
      <c r="AG106" s="312"/>
      <c r="AH106" s="312"/>
      <c r="AI106" s="312"/>
      <c r="AJ106" s="312"/>
      <c r="AK106" s="312"/>
      <c r="AL106" s="312"/>
      <c r="AM106" s="312"/>
      <c r="AN106" s="312"/>
      <c r="AO106" s="312"/>
      <c r="AP106" s="312"/>
      <c r="AQ106" s="312"/>
      <c r="AR106" s="313"/>
      <c r="AT106" s="195">
        <v>95</v>
      </c>
      <c r="AU106" s="311"/>
      <c r="AV106" s="312"/>
      <c r="AW106" s="312"/>
      <c r="AX106" s="312"/>
      <c r="AY106" s="312"/>
      <c r="AZ106" s="312"/>
      <c r="BA106" s="312"/>
      <c r="BB106" s="312"/>
      <c r="BC106" s="312"/>
      <c r="BD106" s="312"/>
      <c r="BE106" s="312"/>
      <c r="BF106" s="312"/>
      <c r="BG106" s="313"/>
    </row>
    <row r="107" spans="1:59">
      <c r="A107" s="195">
        <v>96</v>
      </c>
      <c r="B107" s="311"/>
      <c r="C107" s="312"/>
      <c r="D107" s="312"/>
      <c r="E107" s="312"/>
      <c r="F107" s="312"/>
      <c r="G107" s="312"/>
      <c r="H107" s="312"/>
      <c r="I107" s="312"/>
      <c r="J107" s="312"/>
      <c r="K107" s="312"/>
      <c r="L107" s="312"/>
      <c r="M107" s="312"/>
      <c r="N107" s="313"/>
      <c r="P107" s="195">
        <v>96</v>
      </c>
      <c r="Q107" s="311"/>
      <c r="R107" s="312"/>
      <c r="S107" s="312"/>
      <c r="T107" s="312"/>
      <c r="U107" s="312"/>
      <c r="V107" s="312"/>
      <c r="W107" s="312"/>
      <c r="X107" s="312"/>
      <c r="Y107" s="312"/>
      <c r="Z107" s="312"/>
      <c r="AA107" s="312"/>
      <c r="AB107" s="312"/>
      <c r="AC107" s="313"/>
      <c r="AE107" s="195">
        <v>96</v>
      </c>
      <c r="AF107" s="311"/>
      <c r="AG107" s="312"/>
      <c r="AH107" s="312"/>
      <c r="AI107" s="312"/>
      <c r="AJ107" s="312"/>
      <c r="AK107" s="312"/>
      <c r="AL107" s="312"/>
      <c r="AM107" s="312"/>
      <c r="AN107" s="312"/>
      <c r="AO107" s="312"/>
      <c r="AP107" s="312"/>
      <c r="AQ107" s="312"/>
      <c r="AR107" s="313"/>
      <c r="AT107" s="195">
        <v>96</v>
      </c>
      <c r="AU107" s="311"/>
      <c r="AV107" s="312"/>
      <c r="AW107" s="312"/>
      <c r="AX107" s="312"/>
      <c r="AY107" s="312"/>
      <c r="AZ107" s="312"/>
      <c r="BA107" s="312"/>
      <c r="BB107" s="312"/>
      <c r="BC107" s="312"/>
      <c r="BD107" s="312"/>
      <c r="BE107" s="312"/>
      <c r="BF107" s="312"/>
      <c r="BG107" s="313"/>
    </row>
    <row r="108" spans="1:59">
      <c r="A108" s="195">
        <v>97</v>
      </c>
      <c r="B108" s="311"/>
      <c r="C108" s="312"/>
      <c r="D108" s="312"/>
      <c r="E108" s="312"/>
      <c r="F108" s="312"/>
      <c r="G108" s="312"/>
      <c r="H108" s="312"/>
      <c r="I108" s="312"/>
      <c r="J108" s="312"/>
      <c r="K108" s="312"/>
      <c r="L108" s="312"/>
      <c r="M108" s="312"/>
      <c r="N108" s="313"/>
      <c r="P108" s="195">
        <v>97</v>
      </c>
      <c r="Q108" s="311"/>
      <c r="R108" s="312"/>
      <c r="S108" s="312"/>
      <c r="T108" s="312"/>
      <c r="U108" s="312"/>
      <c r="V108" s="312"/>
      <c r="W108" s="312"/>
      <c r="X108" s="312"/>
      <c r="Y108" s="312"/>
      <c r="Z108" s="312"/>
      <c r="AA108" s="312"/>
      <c r="AB108" s="312"/>
      <c r="AC108" s="313"/>
      <c r="AE108" s="195">
        <v>97</v>
      </c>
      <c r="AF108" s="311"/>
      <c r="AG108" s="312"/>
      <c r="AH108" s="312"/>
      <c r="AI108" s="312"/>
      <c r="AJ108" s="312"/>
      <c r="AK108" s="312"/>
      <c r="AL108" s="312"/>
      <c r="AM108" s="312"/>
      <c r="AN108" s="312"/>
      <c r="AO108" s="312"/>
      <c r="AP108" s="312"/>
      <c r="AQ108" s="312"/>
      <c r="AR108" s="313"/>
      <c r="AT108" s="195">
        <v>97</v>
      </c>
      <c r="AU108" s="311"/>
      <c r="AV108" s="312"/>
      <c r="AW108" s="312"/>
      <c r="AX108" s="312"/>
      <c r="AY108" s="312"/>
      <c r="AZ108" s="312"/>
      <c r="BA108" s="312"/>
      <c r="BB108" s="312"/>
      <c r="BC108" s="312"/>
      <c r="BD108" s="312"/>
      <c r="BE108" s="312"/>
      <c r="BF108" s="312"/>
      <c r="BG108" s="313"/>
    </row>
    <row r="109" spans="1:59">
      <c r="A109" s="195">
        <v>98</v>
      </c>
      <c r="B109" s="311"/>
      <c r="C109" s="312"/>
      <c r="D109" s="312"/>
      <c r="E109" s="312"/>
      <c r="F109" s="312"/>
      <c r="G109" s="312"/>
      <c r="H109" s="312"/>
      <c r="I109" s="312"/>
      <c r="J109" s="312"/>
      <c r="K109" s="312"/>
      <c r="L109" s="312"/>
      <c r="M109" s="312"/>
      <c r="N109" s="313"/>
      <c r="P109" s="195">
        <v>98</v>
      </c>
      <c r="Q109" s="311"/>
      <c r="R109" s="312"/>
      <c r="S109" s="312"/>
      <c r="T109" s="312"/>
      <c r="U109" s="312"/>
      <c r="V109" s="312"/>
      <c r="W109" s="312"/>
      <c r="X109" s="312"/>
      <c r="Y109" s="312"/>
      <c r="Z109" s="312"/>
      <c r="AA109" s="312"/>
      <c r="AB109" s="312"/>
      <c r="AC109" s="313"/>
      <c r="AE109" s="195">
        <v>98</v>
      </c>
      <c r="AF109" s="311"/>
      <c r="AG109" s="312"/>
      <c r="AH109" s="312"/>
      <c r="AI109" s="312"/>
      <c r="AJ109" s="312"/>
      <c r="AK109" s="312"/>
      <c r="AL109" s="312"/>
      <c r="AM109" s="312"/>
      <c r="AN109" s="312"/>
      <c r="AO109" s="312"/>
      <c r="AP109" s="312"/>
      <c r="AQ109" s="312"/>
      <c r="AR109" s="313"/>
      <c r="AT109" s="195">
        <v>98</v>
      </c>
      <c r="AU109" s="311"/>
      <c r="AV109" s="312"/>
      <c r="AW109" s="312"/>
      <c r="AX109" s="312"/>
      <c r="AY109" s="312"/>
      <c r="AZ109" s="312"/>
      <c r="BA109" s="312"/>
      <c r="BB109" s="312"/>
      <c r="BC109" s="312"/>
      <c r="BD109" s="312"/>
      <c r="BE109" s="312"/>
      <c r="BF109" s="312"/>
      <c r="BG109" s="313"/>
    </row>
    <row r="110" spans="1:59">
      <c r="A110" s="195">
        <v>99</v>
      </c>
      <c r="B110" s="311"/>
      <c r="C110" s="312"/>
      <c r="D110" s="312"/>
      <c r="E110" s="312"/>
      <c r="F110" s="312"/>
      <c r="G110" s="312"/>
      <c r="H110" s="312"/>
      <c r="I110" s="312"/>
      <c r="J110" s="312"/>
      <c r="K110" s="312"/>
      <c r="L110" s="312"/>
      <c r="M110" s="312"/>
      <c r="N110" s="313"/>
      <c r="P110" s="195">
        <v>99</v>
      </c>
      <c r="Q110" s="311"/>
      <c r="R110" s="312"/>
      <c r="S110" s="312"/>
      <c r="T110" s="312"/>
      <c r="U110" s="312"/>
      <c r="V110" s="312"/>
      <c r="W110" s="312"/>
      <c r="X110" s="312"/>
      <c r="Y110" s="312"/>
      <c r="Z110" s="312"/>
      <c r="AA110" s="312"/>
      <c r="AB110" s="312"/>
      <c r="AC110" s="313"/>
      <c r="AE110" s="195">
        <v>99</v>
      </c>
      <c r="AF110" s="311"/>
      <c r="AG110" s="312"/>
      <c r="AH110" s="312"/>
      <c r="AI110" s="312"/>
      <c r="AJ110" s="312"/>
      <c r="AK110" s="312"/>
      <c r="AL110" s="312"/>
      <c r="AM110" s="312"/>
      <c r="AN110" s="312"/>
      <c r="AO110" s="312"/>
      <c r="AP110" s="312"/>
      <c r="AQ110" s="312"/>
      <c r="AR110" s="313"/>
      <c r="AT110" s="195">
        <v>99</v>
      </c>
      <c r="AU110" s="311"/>
      <c r="AV110" s="312"/>
      <c r="AW110" s="312"/>
      <c r="AX110" s="312"/>
      <c r="AY110" s="312"/>
      <c r="AZ110" s="312"/>
      <c r="BA110" s="312"/>
      <c r="BB110" s="312"/>
      <c r="BC110" s="312"/>
      <c r="BD110" s="312"/>
      <c r="BE110" s="312"/>
      <c r="BF110" s="312"/>
      <c r="BG110" s="313"/>
    </row>
    <row r="111" spans="1:59">
      <c r="A111" s="196">
        <v>100</v>
      </c>
      <c r="B111" s="314"/>
      <c r="C111" s="315"/>
      <c r="D111" s="315"/>
      <c r="E111" s="315"/>
      <c r="F111" s="315"/>
      <c r="G111" s="315"/>
      <c r="H111" s="315"/>
      <c r="I111" s="315"/>
      <c r="J111" s="315"/>
      <c r="K111" s="315"/>
      <c r="L111" s="315"/>
      <c r="M111" s="315"/>
      <c r="N111" s="316"/>
      <c r="P111" s="196">
        <v>100</v>
      </c>
      <c r="Q111" s="314"/>
      <c r="R111" s="315"/>
      <c r="S111" s="315"/>
      <c r="T111" s="315"/>
      <c r="U111" s="315"/>
      <c r="V111" s="315"/>
      <c r="W111" s="315"/>
      <c r="X111" s="315"/>
      <c r="Y111" s="315"/>
      <c r="Z111" s="315"/>
      <c r="AA111" s="315"/>
      <c r="AB111" s="315"/>
      <c r="AC111" s="316"/>
      <c r="AE111" s="196">
        <v>100</v>
      </c>
      <c r="AF111" s="314"/>
      <c r="AG111" s="315"/>
      <c r="AH111" s="315"/>
      <c r="AI111" s="315"/>
      <c r="AJ111" s="315"/>
      <c r="AK111" s="315"/>
      <c r="AL111" s="315"/>
      <c r="AM111" s="315"/>
      <c r="AN111" s="315"/>
      <c r="AO111" s="315"/>
      <c r="AP111" s="315"/>
      <c r="AQ111" s="315"/>
      <c r="AR111" s="316"/>
      <c r="AT111" s="196">
        <v>100</v>
      </c>
      <c r="AU111" s="314"/>
      <c r="AV111" s="315"/>
      <c r="AW111" s="315"/>
      <c r="AX111" s="315"/>
      <c r="AY111" s="315"/>
      <c r="AZ111" s="315"/>
      <c r="BA111" s="315"/>
      <c r="BB111" s="315"/>
      <c r="BC111" s="315"/>
      <c r="BD111" s="315"/>
      <c r="BE111" s="315"/>
      <c r="BF111" s="315"/>
      <c r="BG111" s="316"/>
    </row>
    <row r="112" spans="1:59" ht="13.5" thickBot="1">
      <c r="A112" s="197" t="s">
        <v>29</v>
      </c>
      <c r="B112" s="198">
        <f>SUM(B12:B111)</f>
        <v>0</v>
      </c>
      <c r="C112" s="199">
        <f t="shared" ref="C112:M112" si="0">SUM(C12:C111)</f>
        <v>0</v>
      </c>
      <c r="D112" s="199">
        <f t="shared" si="0"/>
        <v>0</v>
      </c>
      <c r="E112" s="199">
        <f t="shared" si="0"/>
        <v>0</v>
      </c>
      <c r="F112" s="199">
        <f t="shared" si="0"/>
        <v>0</v>
      </c>
      <c r="G112" s="199">
        <f t="shared" si="0"/>
        <v>0</v>
      </c>
      <c r="H112" s="199">
        <f t="shared" si="0"/>
        <v>0</v>
      </c>
      <c r="I112" s="199">
        <f t="shared" si="0"/>
        <v>0</v>
      </c>
      <c r="J112" s="199">
        <f t="shared" si="0"/>
        <v>0</v>
      </c>
      <c r="K112" s="199">
        <f t="shared" si="0"/>
        <v>0</v>
      </c>
      <c r="L112" s="199">
        <f t="shared" si="0"/>
        <v>0</v>
      </c>
      <c r="M112" s="199">
        <f t="shared" si="0"/>
        <v>0</v>
      </c>
      <c r="N112" s="200">
        <f>SUM(N12:N111)</f>
        <v>0</v>
      </c>
      <c r="O112" s="174"/>
      <c r="P112" s="197" t="s">
        <v>29</v>
      </c>
      <c r="Q112" s="198">
        <f>SUM(Q12:Q111)</f>
        <v>0</v>
      </c>
      <c r="R112" s="199">
        <f t="shared" ref="R112:AB112" si="1">SUM(R12:R111)</f>
        <v>0</v>
      </c>
      <c r="S112" s="199">
        <f t="shared" si="1"/>
        <v>0</v>
      </c>
      <c r="T112" s="199">
        <f t="shared" si="1"/>
        <v>0</v>
      </c>
      <c r="U112" s="199">
        <f t="shared" si="1"/>
        <v>0</v>
      </c>
      <c r="V112" s="199">
        <f t="shared" si="1"/>
        <v>0</v>
      </c>
      <c r="W112" s="199">
        <f t="shared" si="1"/>
        <v>0</v>
      </c>
      <c r="X112" s="199">
        <f t="shared" si="1"/>
        <v>0</v>
      </c>
      <c r="Y112" s="199">
        <f t="shared" si="1"/>
        <v>0</v>
      </c>
      <c r="Z112" s="199">
        <f t="shared" si="1"/>
        <v>0</v>
      </c>
      <c r="AA112" s="199">
        <f t="shared" si="1"/>
        <v>0</v>
      </c>
      <c r="AB112" s="199">
        <f t="shared" si="1"/>
        <v>0</v>
      </c>
      <c r="AC112" s="200">
        <f>SUM(AC12:AC111)</f>
        <v>0</v>
      </c>
      <c r="AE112" s="197" t="s">
        <v>29</v>
      </c>
      <c r="AF112" s="198">
        <f>SUM(AF12:AF111)</f>
        <v>0</v>
      </c>
      <c r="AG112" s="199">
        <f t="shared" ref="AG112:AQ112" si="2">SUM(AG12:AG111)</f>
        <v>0</v>
      </c>
      <c r="AH112" s="199">
        <f t="shared" si="2"/>
        <v>0</v>
      </c>
      <c r="AI112" s="199">
        <f t="shared" si="2"/>
        <v>0</v>
      </c>
      <c r="AJ112" s="199">
        <f t="shared" si="2"/>
        <v>0</v>
      </c>
      <c r="AK112" s="199">
        <f t="shared" si="2"/>
        <v>0</v>
      </c>
      <c r="AL112" s="199">
        <f t="shared" si="2"/>
        <v>0</v>
      </c>
      <c r="AM112" s="199">
        <f t="shared" si="2"/>
        <v>0</v>
      </c>
      <c r="AN112" s="199">
        <f t="shared" si="2"/>
        <v>0</v>
      </c>
      <c r="AO112" s="199">
        <f t="shared" si="2"/>
        <v>0</v>
      </c>
      <c r="AP112" s="199">
        <f t="shared" si="2"/>
        <v>0</v>
      </c>
      <c r="AQ112" s="199">
        <f t="shared" si="2"/>
        <v>0</v>
      </c>
      <c r="AR112" s="200">
        <f>SUM(AR12:AR111)</f>
        <v>0</v>
      </c>
      <c r="AT112" s="197" t="s">
        <v>29</v>
      </c>
      <c r="AU112" s="198">
        <f>SUM(AU12:AU111)</f>
        <v>0</v>
      </c>
      <c r="AV112" s="199">
        <f t="shared" ref="AV112:BF112" si="3">SUM(AV12:AV111)</f>
        <v>0</v>
      </c>
      <c r="AW112" s="199">
        <f t="shared" si="3"/>
        <v>0</v>
      </c>
      <c r="AX112" s="199">
        <f t="shared" si="3"/>
        <v>0</v>
      </c>
      <c r="AY112" s="199">
        <f t="shared" si="3"/>
        <v>0</v>
      </c>
      <c r="AZ112" s="199">
        <f t="shared" si="3"/>
        <v>0</v>
      </c>
      <c r="BA112" s="199">
        <f t="shared" si="3"/>
        <v>0</v>
      </c>
      <c r="BB112" s="199">
        <f t="shared" si="3"/>
        <v>0</v>
      </c>
      <c r="BC112" s="199">
        <f t="shared" si="3"/>
        <v>0</v>
      </c>
      <c r="BD112" s="199">
        <f t="shared" si="3"/>
        <v>0</v>
      </c>
      <c r="BE112" s="199">
        <f t="shared" si="3"/>
        <v>0</v>
      </c>
      <c r="BF112" s="199">
        <f t="shared" si="3"/>
        <v>0</v>
      </c>
      <c r="BG112" s="200">
        <f>SUM(BG12:BG111)</f>
        <v>0</v>
      </c>
    </row>
  </sheetData>
  <sheetProtection scenarios="1"/>
  <mergeCells count="14">
    <mergeCell ref="AU10:BG10"/>
    <mergeCell ref="B10:N10"/>
    <mergeCell ref="Q10:AC10"/>
    <mergeCell ref="AF10:AR10"/>
    <mergeCell ref="B3:D3"/>
    <mergeCell ref="B4:D4"/>
    <mergeCell ref="B5:D5"/>
    <mergeCell ref="AU9:BG9"/>
    <mergeCell ref="AF9:AR9"/>
    <mergeCell ref="G5:J5"/>
    <mergeCell ref="G6:J6"/>
    <mergeCell ref="G3:J3"/>
    <mergeCell ref="Q9:AC9"/>
    <mergeCell ref="B9:N9"/>
  </mergeCells>
  <conditionalFormatting sqref="A2:BH2 A7:BH113 A5:G6 K5:BH6 A4:BH4 A3:G3 K3:BH3">
    <cfRule type="expression" dxfId="11" priority="1" stopIfTrue="1">
      <formula>CELL("Protect",A2)=1</formula>
    </cfRule>
  </conditionalFormatting>
  <dataValidations count="1">
    <dataValidation type="list" allowBlank="1" showInputMessage="1" showErrorMessage="1" sqref="G5:J5" xr:uid="{00000000-0002-0000-0800-000000000000}">
      <formula1>Units</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theme="8" tint="0.59999389629810485"/>
  </sheetPr>
  <dimension ref="A1:BH112"/>
  <sheetViews>
    <sheetView topLeftCell="H17" workbookViewId="0">
      <selection activeCell="S26" sqref="S26:AC66"/>
    </sheetView>
  </sheetViews>
  <sheetFormatPr defaultRowHeight="12.75"/>
  <cols>
    <col min="1" max="1" width="12.42578125" customWidth="1"/>
    <col min="2" max="14" width="6.7109375" customWidth="1"/>
    <col min="15" max="15" width="3.7109375" customWidth="1"/>
    <col min="16" max="16" width="12.42578125" customWidth="1"/>
    <col min="17" max="29" width="6.7109375" customWidth="1"/>
    <col min="30" max="30" width="3.7109375" customWidth="1"/>
    <col min="31" max="31" width="12.42578125" customWidth="1"/>
    <col min="32" max="44" width="6.7109375" customWidth="1"/>
    <col min="45" max="45" width="3.7109375" customWidth="1"/>
    <col min="46" max="46" width="12.42578125" customWidth="1"/>
    <col min="47" max="59" width="6.7109375" customWidth="1"/>
  </cols>
  <sheetData>
    <row r="1" spans="1:60" ht="18.75">
      <c r="A1" s="343" t="s">
        <v>115</v>
      </c>
      <c r="B1" s="343"/>
      <c r="C1" s="343"/>
      <c r="D1" s="343"/>
      <c r="E1" s="343"/>
      <c r="F1" s="343"/>
      <c r="G1" s="343"/>
      <c r="H1" s="343"/>
      <c r="I1" s="343"/>
      <c r="J1" s="343"/>
      <c r="K1" s="343"/>
      <c r="L1" s="343"/>
      <c r="M1" s="343"/>
      <c r="N1" s="343"/>
      <c r="O1" s="343"/>
      <c r="P1" s="343"/>
      <c r="Q1" s="343"/>
      <c r="R1" s="343"/>
      <c r="S1" s="343"/>
      <c r="T1" s="343"/>
      <c r="U1" s="343"/>
      <c r="V1" s="343"/>
      <c r="W1" s="343"/>
      <c r="X1" s="343"/>
      <c r="Y1" s="343"/>
      <c r="Z1" s="343"/>
      <c r="AA1" s="343"/>
      <c r="AB1" s="343"/>
      <c r="AC1" s="343"/>
      <c r="AD1" s="343"/>
      <c r="AE1" s="343"/>
      <c r="AF1" s="343"/>
      <c r="AG1" s="343"/>
      <c r="AH1" s="343"/>
      <c r="AI1" s="343"/>
      <c r="AJ1" s="343"/>
      <c r="AK1" s="343"/>
      <c r="AL1" s="343"/>
      <c r="AM1" s="343"/>
      <c r="AN1" s="343"/>
      <c r="AO1" s="343"/>
      <c r="AP1" s="343"/>
      <c r="AQ1" s="343"/>
      <c r="AR1" s="343"/>
      <c r="AS1" s="343"/>
      <c r="AT1" s="343"/>
      <c r="AU1" s="343"/>
      <c r="AV1" s="343"/>
      <c r="AW1" s="343"/>
      <c r="AX1" s="343"/>
      <c r="AY1" s="343"/>
      <c r="AZ1" s="343"/>
      <c r="BA1" s="343"/>
      <c r="BB1" s="343"/>
      <c r="BC1" s="343"/>
      <c r="BD1" s="343"/>
      <c r="BE1" s="343"/>
      <c r="BF1" s="343"/>
      <c r="BG1" s="343"/>
      <c r="BH1" s="343"/>
    </row>
    <row r="2" spans="1:60" ht="16.5" thickBot="1">
      <c r="A2" s="261" t="s">
        <v>114</v>
      </c>
      <c r="B2" s="6"/>
      <c r="C2" s="11"/>
      <c r="D2" s="6"/>
      <c r="E2" s="6"/>
      <c r="F2" s="6"/>
      <c r="G2" s="6"/>
      <c r="H2" s="6"/>
      <c r="I2" s="6"/>
      <c r="J2" s="177"/>
      <c r="K2" s="177"/>
    </row>
    <row r="3" spans="1:60" ht="16.5" thickBot="1">
      <c r="A3" s="259" t="s">
        <v>106</v>
      </c>
      <c r="B3" s="375" t="str">
        <f>'START HERE'!F6</f>
        <v>EU</v>
      </c>
      <c r="C3" s="386"/>
      <c r="D3" s="376"/>
      <c r="E3" s="177"/>
      <c r="F3" s="30" t="s">
        <v>38</v>
      </c>
      <c r="G3" s="372" t="str">
        <f>'LEN F2'!F3</f>
        <v>Fleet 2 South-Central Chile</v>
      </c>
      <c r="H3" s="373"/>
      <c r="I3" s="373"/>
      <c r="J3" s="374"/>
      <c r="K3" s="177"/>
    </row>
    <row r="4" spans="1:60" ht="15.75">
      <c r="A4" s="12" t="s">
        <v>18</v>
      </c>
      <c r="B4" s="375" t="str">
        <f>'START HERE'!F5</f>
        <v>Jack mackerel</v>
      </c>
      <c r="C4" s="386"/>
      <c r="D4" s="376"/>
      <c r="E4" s="177"/>
      <c r="F4" s="13"/>
      <c r="G4" s="317"/>
      <c r="H4" s="318"/>
      <c r="I4" s="319"/>
      <c r="J4" s="320"/>
      <c r="K4" s="177"/>
    </row>
    <row r="5" spans="1:60" ht="18">
      <c r="A5" s="12" t="s">
        <v>13</v>
      </c>
      <c r="B5" s="387">
        <f>'START HERE'!K3</f>
        <v>2010</v>
      </c>
      <c r="C5" s="388"/>
      <c r="D5" s="389"/>
      <c r="E5" s="177"/>
      <c r="F5" s="34" t="s">
        <v>39</v>
      </c>
      <c r="G5" s="377" t="s">
        <v>116</v>
      </c>
      <c r="H5" s="378"/>
      <c r="I5" s="378"/>
      <c r="J5" s="379"/>
      <c r="K5" s="177"/>
    </row>
    <row r="6" spans="1:60" ht="16.5" thickBot="1">
      <c r="A6" s="12"/>
      <c r="B6" s="71"/>
      <c r="C6" s="72"/>
      <c r="D6" s="6"/>
      <c r="F6" s="34" t="s">
        <v>14</v>
      </c>
      <c r="G6" s="380" t="str">
        <f>'START HERE'!$F8</f>
        <v>13/6/2022</v>
      </c>
      <c r="H6" s="381"/>
      <c r="I6" s="381"/>
      <c r="J6" s="382"/>
      <c r="K6" s="177"/>
    </row>
    <row r="7" spans="1:60">
      <c r="A7" s="6"/>
      <c r="B7" s="6"/>
      <c r="C7" s="6"/>
      <c r="D7" s="6"/>
      <c r="E7" s="6"/>
      <c r="F7" s="6"/>
      <c r="G7" s="6"/>
      <c r="H7" s="6"/>
      <c r="I7" s="6"/>
      <c r="J7" s="177"/>
      <c r="K7" s="177"/>
    </row>
    <row r="8" spans="1:60" ht="13.5" thickBot="1">
      <c r="A8" s="6"/>
      <c r="B8" s="6"/>
      <c r="C8" s="6"/>
      <c r="D8" s="6"/>
      <c r="E8" s="6"/>
      <c r="F8" s="6"/>
      <c r="G8" s="6"/>
      <c r="H8" s="6"/>
      <c r="I8" s="6"/>
      <c r="J8" s="177"/>
      <c r="K8" s="177"/>
    </row>
    <row r="9" spans="1:60" ht="15.75">
      <c r="A9" s="191"/>
      <c r="B9" s="390" t="s">
        <v>52</v>
      </c>
      <c r="C9" s="390"/>
      <c r="D9" s="390"/>
      <c r="E9" s="390"/>
      <c r="F9" s="390"/>
      <c r="G9" s="390"/>
      <c r="H9" s="390"/>
      <c r="I9" s="390"/>
      <c r="J9" s="390"/>
      <c r="K9" s="390"/>
      <c r="L9" s="390"/>
      <c r="M9" s="390"/>
      <c r="N9" s="391"/>
      <c r="P9" s="191"/>
      <c r="Q9" s="390" t="s">
        <v>30</v>
      </c>
      <c r="R9" s="390"/>
      <c r="S9" s="390"/>
      <c r="T9" s="390"/>
      <c r="U9" s="390"/>
      <c r="V9" s="390"/>
      <c r="W9" s="390"/>
      <c r="X9" s="390"/>
      <c r="Y9" s="390"/>
      <c r="Z9" s="390"/>
      <c r="AA9" s="390"/>
      <c r="AB9" s="390"/>
      <c r="AC9" s="391"/>
      <c r="AE9" s="191"/>
      <c r="AF9" s="390" t="s">
        <v>31</v>
      </c>
      <c r="AG9" s="390"/>
      <c r="AH9" s="390"/>
      <c r="AI9" s="390"/>
      <c r="AJ9" s="390"/>
      <c r="AK9" s="390"/>
      <c r="AL9" s="390"/>
      <c r="AM9" s="390"/>
      <c r="AN9" s="390"/>
      <c r="AO9" s="390"/>
      <c r="AP9" s="390"/>
      <c r="AQ9" s="390"/>
      <c r="AR9" s="391"/>
      <c r="AT9" s="191"/>
      <c r="AU9" s="390" t="s">
        <v>32</v>
      </c>
      <c r="AV9" s="390"/>
      <c r="AW9" s="390"/>
      <c r="AX9" s="390"/>
      <c r="AY9" s="390"/>
      <c r="AZ9" s="390"/>
      <c r="BA9" s="390"/>
      <c r="BB9" s="390"/>
      <c r="BC9" s="390"/>
      <c r="BD9" s="390"/>
      <c r="BE9" s="390"/>
      <c r="BF9" s="390"/>
      <c r="BG9" s="391"/>
    </row>
    <row r="10" spans="1:60">
      <c r="A10" s="192" t="str">
        <f>'START HERE'!$F$13</f>
        <v>fork length</v>
      </c>
      <c r="B10" s="383" t="s">
        <v>78</v>
      </c>
      <c r="C10" s="384"/>
      <c r="D10" s="384"/>
      <c r="E10" s="384"/>
      <c r="F10" s="384"/>
      <c r="G10" s="384"/>
      <c r="H10" s="384"/>
      <c r="I10" s="384"/>
      <c r="J10" s="384"/>
      <c r="K10" s="384"/>
      <c r="L10" s="384"/>
      <c r="M10" s="384"/>
      <c r="N10" s="385"/>
      <c r="P10" s="192" t="str">
        <f>A10</f>
        <v>fork length</v>
      </c>
      <c r="Q10" s="383" t="s">
        <v>78</v>
      </c>
      <c r="R10" s="384"/>
      <c r="S10" s="384"/>
      <c r="T10" s="384"/>
      <c r="U10" s="384"/>
      <c r="V10" s="384"/>
      <c r="W10" s="384"/>
      <c r="X10" s="384"/>
      <c r="Y10" s="384"/>
      <c r="Z10" s="384"/>
      <c r="AA10" s="384"/>
      <c r="AB10" s="384"/>
      <c r="AC10" s="385"/>
      <c r="AE10" s="192" t="str">
        <f>A10</f>
        <v>fork length</v>
      </c>
      <c r="AF10" s="383" t="s">
        <v>78</v>
      </c>
      <c r="AG10" s="384"/>
      <c r="AH10" s="384"/>
      <c r="AI10" s="384"/>
      <c r="AJ10" s="384"/>
      <c r="AK10" s="384"/>
      <c r="AL10" s="384"/>
      <c r="AM10" s="384"/>
      <c r="AN10" s="384"/>
      <c r="AO10" s="384"/>
      <c r="AP10" s="384"/>
      <c r="AQ10" s="384"/>
      <c r="AR10" s="385"/>
      <c r="AT10" s="192" t="str">
        <f>A10</f>
        <v>fork length</v>
      </c>
      <c r="AU10" s="383" t="s">
        <v>78</v>
      </c>
      <c r="AV10" s="384"/>
      <c r="AW10" s="384"/>
      <c r="AX10" s="384"/>
      <c r="AY10" s="384"/>
      <c r="AZ10" s="384"/>
      <c r="BA10" s="384"/>
      <c r="BB10" s="384"/>
      <c r="BC10" s="384"/>
      <c r="BD10" s="384"/>
      <c r="BE10" s="384"/>
      <c r="BF10" s="384"/>
      <c r="BG10" s="385"/>
    </row>
    <row r="11" spans="1:60">
      <c r="A11" s="193" t="s">
        <v>42</v>
      </c>
      <c r="B11" s="189">
        <v>0</v>
      </c>
      <c r="C11" s="190">
        <v>1</v>
      </c>
      <c r="D11" s="190">
        <v>2</v>
      </c>
      <c r="E11" s="190">
        <v>3</v>
      </c>
      <c r="F11" s="190">
        <v>4</v>
      </c>
      <c r="G11" s="190">
        <v>5</v>
      </c>
      <c r="H11" s="190">
        <v>6</v>
      </c>
      <c r="I11" s="190">
        <v>7</v>
      </c>
      <c r="J11" s="190">
        <v>8</v>
      </c>
      <c r="K11" s="190">
        <v>9</v>
      </c>
      <c r="L11" s="190">
        <v>10</v>
      </c>
      <c r="M11" s="190">
        <v>11</v>
      </c>
      <c r="N11" s="194">
        <v>12</v>
      </c>
      <c r="P11" s="193" t="s">
        <v>42</v>
      </c>
      <c r="Q11" s="189">
        <v>0</v>
      </c>
      <c r="R11" s="190">
        <v>1</v>
      </c>
      <c r="S11" s="190">
        <v>2</v>
      </c>
      <c r="T11" s="190">
        <v>3</v>
      </c>
      <c r="U11" s="190">
        <v>4</v>
      </c>
      <c r="V11" s="190">
        <v>5</v>
      </c>
      <c r="W11" s="190">
        <v>6</v>
      </c>
      <c r="X11" s="190">
        <v>7</v>
      </c>
      <c r="Y11" s="190">
        <v>8</v>
      </c>
      <c r="Z11" s="190">
        <v>9</v>
      </c>
      <c r="AA11" s="190">
        <v>10</v>
      </c>
      <c r="AB11" s="190">
        <v>11</v>
      </c>
      <c r="AC11" s="194">
        <v>12</v>
      </c>
      <c r="AE11" s="193" t="s">
        <v>42</v>
      </c>
      <c r="AF11" s="189">
        <v>0</v>
      </c>
      <c r="AG11" s="190">
        <v>1</v>
      </c>
      <c r="AH11" s="190">
        <v>2</v>
      </c>
      <c r="AI11" s="190">
        <v>3</v>
      </c>
      <c r="AJ11" s="190">
        <v>4</v>
      </c>
      <c r="AK11" s="190">
        <v>5</v>
      </c>
      <c r="AL11" s="190">
        <v>6</v>
      </c>
      <c r="AM11" s="190">
        <v>7</v>
      </c>
      <c r="AN11" s="190">
        <v>8</v>
      </c>
      <c r="AO11" s="190">
        <v>9</v>
      </c>
      <c r="AP11" s="190">
        <v>10</v>
      </c>
      <c r="AQ11" s="190">
        <v>11</v>
      </c>
      <c r="AR11" s="194">
        <v>12</v>
      </c>
      <c r="AT11" s="193" t="s">
        <v>42</v>
      </c>
      <c r="AU11" s="189">
        <v>0</v>
      </c>
      <c r="AV11" s="190">
        <v>1</v>
      </c>
      <c r="AW11" s="190">
        <v>2</v>
      </c>
      <c r="AX11" s="190">
        <v>3</v>
      </c>
      <c r="AY11" s="190">
        <v>4</v>
      </c>
      <c r="AZ11" s="190">
        <v>5</v>
      </c>
      <c r="BA11" s="190">
        <v>6</v>
      </c>
      <c r="BB11" s="190">
        <v>7</v>
      </c>
      <c r="BC11" s="190">
        <v>8</v>
      </c>
      <c r="BD11" s="190">
        <v>9</v>
      </c>
      <c r="BE11" s="190">
        <v>10</v>
      </c>
      <c r="BF11" s="190">
        <v>11</v>
      </c>
      <c r="BG11" s="194">
        <v>12</v>
      </c>
    </row>
    <row r="12" spans="1:60">
      <c r="A12" s="195">
        <v>1</v>
      </c>
      <c r="B12" s="308"/>
      <c r="C12" s="309"/>
      <c r="D12" s="309"/>
      <c r="E12" s="309"/>
      <c r="F12" s="309"/>
      <c r="G12" s="309"/>
      <c r="H12" s="309"/>
      <c r="I12" s="309"/>
      <c r="J12" s="309"/>
      <c r="K12" s="309"/>
      <c r="L12" s="309"/>
      <c r="M12" s="309"/>
      <c r="N12" s="310"/>
      <c r="P12" s="195">
        <v>1</v>
      </c>
      <c r="Q12" s="308"/>
      <c r="R12" s="309"/>
      <c r="S12" s="309"/>
      <c r="T12" s="309"/>
      <c r="U12" s="309"/>
      <c r="V12" s="309"/>
      <c r="W12" s="309"/>
      <c r="X12" s="309"/>
      <c r="Y12" s="309"/>
      <c r="Z12" s="309"/>
      <c r="AA12" s="309"/>
      <c r="AB12" s="309"/>
      <c r="AC12" s="310"/>
      <c r="AE12" s="195">
        <v>1</v>
      </c>
      <c r="AF12" s="308"/>
      <c r="AG12" s="309"/>
      <c r="AH12" s="309"/>
      <c r="AI12" s="309"/>
      <c r="AJ12" s="309"/>
      <c r="AK12" s="309"/>
      <c r="AL12" s="309"/>
      <c r="AM12" s="309"/>
      <c r="AN12" s="309"/>
      <c r="AO12" s="309"/>
      <c r="AP12" s="309"/>
      <c r="AQ12" s="309"/>
      <c r="AR12" s="310"/>
      <c r="AT12" s="195">
        <v>1</v>
      </c>
      <c r="AU12" s="308"/>
      <c r="AV12" s="309"/>
      <c r="AW12" s="309"/>
      <c r="AX12" s="309"/>
      <c r="AY12" s="309"/>
      <c r="AZ12" s="309"/>
      <c r="BA12" s="309"/>
      <c r="BB12" s="309"/>
      <c r="BC12" s="309"/>
      <c r="BD12" s="309"/>
      <c r="BE12" s="309"/>
      <c r="BF12" s="309"/>
      <c r="BG12" s="310"/>
    </row>
    <row r="13" spans="1:60">
      <c r="A13" s="195">
        <v>2</v>
      </c>
      <c r="B13" s="311"/>
      <c r="C13" s="312"/>
      <c r="D13" s="312"/>
      <c r="E13" s="312"/>
      <c r="F13" s="312"/>
      <c r="G13" s="312"/>
      <c r="H13" s="312"/>
      <c r="I13" s="312"/>
      <c r="J13" s="312"/>
      <c r="K13" s="312"/>
      <c r="L13" s="312"/>
      <c r="M13" s="312"/>
      <c r="N13" s="313"/>
      <c r="P13" s="195">
        <v>2</v>
      </c>
      <c r="Q13" s="311"/>
      <c r="R13" s="312"/>
      <c r="S13" s="312"/>
      <c r="T13" s="312"/>
      <c r="U13" s="312"/>
      <c r="V13" s="312"/>
      <c r="W13" s="312"/>
      <c r="X13" s="312"/>
      <c r="Y13" s="312"/>
      <c r="Z13" s="312"/>
      <c r="AA13" s="312"/>
      <c r="AB13" s="312"/>
      <c r="AC13" s="313"/>
      <c r="AE13" s="195">
        <v>2</v>
      </c>
      <c r="AF13" s="311"/>
      <c r="AG13" s="312"/>
      <c r="AH13" s="312"/>
      <c r="AI13" s="312"/>
      <c r="AJ13" s="312"/>
      <c r="AK13" s="312"/>
      <c r="AL13" s="312"/>
      <c r="AM13" s="312"/>
      <c r="AN13" s="312"/>
      <c r="AO13" s="312"/>
      <c r="AP13" s="312"/>
      <c r="AQ13" s="312"/>
      <c r="AR13" s="313"/>
      <c r="AT13" s="195">
        <v>2</v>
      </c>
      <c r="AU13" s="311"/>
      <c r="AV13" s="312"/>
      <c r="AW13" s="312"/>
      <c r="AX13" s="312"/>
      <c r="AY13" s="312"/>
      <c r="AZ13" s="312"/>
      <c r="BA13" s="312"/>
      <c r="BB13" s="312"/>
      <c r="BC13" s="312"/>
      <c r="BD13" s="312"/>
      <c r="BE13" s="312"/>
      <c r="BF13" s="312"/>
      <c r="BG13" s="313"/>
    </row>
    <row r="14" spans="1:60">
      <c r="A14" s="195">
        <v>3</v>
      </c>
      <c r="B14" s="311"/>
      <c r="C14" s="312"/>
      <c r="D14" s="312"/>
      <c r="E14" s="312"/>
      <c r="F14" s="312"/>
      <c r="G14" s="312"/>
      <c r="H14" s="312"/>
      <c r="I14" s="312"/>
      <c r="J14" s="312"/>
      <c r="K14" s="312"/>
      <c r="L14" s="312"/>
      <c r="M14" s="312"/>
      <c r="N14" s="313"/>
      <c r="P14" s="195">
        <v>3</v>
      </c>
      <c r="Q14" s="311"/>
      <c r="R14" s="312"/>
      <c r="S14" s="312"/>
      <c r="T14" s="312"/>
      <c r="U14" s="312"/>
      <c r="V14" s="312"/>
      <c r="W14" s="312"/>
      <c r="X14" s="312"/>
      <c r="Y14" s="312"/>
      <c r="Z14" s="312"/>
      <c r="AA14" s="312"/>
      <c r="AB14" s="312"/>
      <c r="AC14" s="313"/>
      <c r="AE14" s="195">
        <v>3</v>
      </c>
      <c r="AF14" s="311"/>
      <c r="AG14" s="312"/>
      <c r="AH14" s="312"/>
      <c r="AI14" s="312"/>
      <c r="AJ14" s="312"/>
      <c r="AK14" s="312"/>
      <c r="AL14" s="312"/>
      <c r="AM14" s="312"/>
      <c r="AN14" s="312"/>
      <c r="AO14" s="312"/>
      <c r="AP14" s="312"/>
      <c r="AQ14" s="312"/>
      <c r="AR14" s="313"/>
      <c r="AT14" s="195">
        <v>3</v>
      </c>
      <c r="AU14" s="311"/>
      <c r="AV14" s="312"/>
      <c r="AW14" s="312"/>
      <c r="AX14" s="312"/>
      <c r="AY14" s="312"/>
      <c r="AZ14" s="312"/>
      <c r="BA14" s="312"/>
      <c r="BB14" s="312"/>
      <c r="BC14" s="312"/>
      <c r="BD14" s="312"/>
      <c r="BE14" s="312"/>
      <c r="BF14" s="312"/>
      <c r="BG14" s="313"/>
    </row>
    <row r="15" spans="1:60">
      <c r="A15" s="195">
        <v>4</v>
      </c>
      <c r="B15" s="311"/>
      <c r="C15" s="312"/>
      <c r="D15" s="312"/>
      <c r="E15" s="312"/>
      <c r="F15" s="312"/>
      <c r="G15" s="312"/>
      <c r="H15" s="312"/>
      <c r="I15" s="312"/>
      <c r="J15" s="312"/>
      <c r="K15" s="312"/>
      <c r="L15" s="312"/>
      <c r="M15" s="312"/>
      <c r="N15" s="313"/>
      <c r="P15" s="195">
        <v>4</v>
      </c>
      <c r="Q15" s="311"/>
      <c r="R15" s="312"/>
      <c r="S15" s="312"/>
      <c r="T15" s="312"/>
      <c r="U15" s="312"/>
      <c r="V15" s="312"/>
      <c r="W15" s="312"/>
      <c r="X15" s="312"/>
      <c r="Y15" s="312"/>
      <c r="Z15" s="312"/>
      <c r="AA15" s="312"/>
      <c r="AB15" s="312"/>
      <c r="AC15" s="313"/>
      <c r="AE15" s="195">
        <v>4</v>
      </c>
      <c r="AF15" s="311"/>
      <c r="AG15" s="312"/>
      <c r="AH15" s="312"/>
      <c r="AI15" s="312"/>
      <c r="AJ15" s="312"/>
      <c r="AK15" s="312"/>
      <c r="AL15" s="312"/>
      <c r="AM15" s="312"/>
      <c r="AN15" s="312"/>
      <c r="AO15" s="312"/>
      <c r="AP15" s="312"/>
      <c r="AQ15" s="312"/>
      <c r="AR15" s="313"/>
      <c r="AT15" s="195">
        <v>4</v>
      </c>
      <c r="AU15" s="311"/>
      <c r="AV15" s="312"/>
      <c r="AW15" s="312"/>
      <c r="AX15" s="312"/>
      <c r="AY15" s="312"/>
      <c r="AZ15" s="312"/>
      <c r="BA15" s="312"/>
      <c r="BB15" s="312"/>
      <c r="BC15" s="312"/>
      <c r="BD15" s="312"/>
      <c r="BE15" s="312"/>
      <c r="BF15" s="312"/>
      <c r="BG15" s="313"/>
    </row>
    <row r="16" spans="1:60">
      <c r="A16" s="195">
        <v>5</v>
      </c>
      <c r="B16" s="311"/>
      <c r="C16" s="312"/>
      <c r="D16" s="312"/>
      <c r="E16" s="312"/>
      <c r="F16" s="312"/>
      <c r="G16" s="312"/>
      <c r="H16" s="312"/>
      <c r="I16" s="312"/>
      <c r="J16" s="312"/>
      <c r="K16" s="312"/>
      <c r="L16" s="312"/>
      <c r="M16" s="312"/>
      <c r="N16" s="313"/>
      <c r="P16" s="195">
        <v>5</v>
      </c>
      <c r="Q16" s="311"/>
      <c r="R16" s="312"/>
      <c r="S16" s="312"/>
      <c r="T16" s="312"/>
      <c r="U16" s="312"/>
      <c r="V16" s="312"/>
      <c r="W16" s="312"/>
      <c r="X16" s="312"/>
      <c r="Y16" s="312"/>
      <c r="Z16" s="312"/>
      <c r="AA16" s="312"/>
      <c r="AB16" s="312"/>
      <c r="AC16" s="313"/>
      <c r="AE16" s="195">
        <v>5</v>
      </c>
      <c r="AF16" s="311"/>
      <c r="AG16" s="312"/>
      <c r="AH16" s="312"/>
      <c r="AI16" s="312"/>
      <c r="AJ16" s="312"/>
      <c r="AK16" s="312"/>
      <c r="AL16" s="312"/>
      <c r="AM16" s="312"/>
      <c r="AN16" s="312"/>
      <c r="AO16" s="312"/>
      <c r="AP16" s="312"/>
      <c r="AQ16" s="312"/>
      <c r="AR16" s="313"/>
      <c r="AT16" s="195">
        <v>5</v>
      </c>
      <c r="AU16" s="311"/>
      <c r="AV16" s="312"/>
      <c r="AW16" s="312"/>
      <c r="AX16" s="312"/>
      <c r="AY16" s="312"/>
      <c r="AZ16" s="312"/>
      <c r="BA16" s="312"/>
      <c r="BB16" s="312"/>
      <c r="BC16" s="312"/>
      <c r="BD16" s="312"/>
      <c r="BE16" s="312"/>
      <c r="BF16" s="312"/>
      <c r="BG16" s="313"/>
    </row>
    <row r="17" spans="1:59">
      <c r="A17" s="195">
        <v>6</v>
      </c>
      <c r="B17" s="311"/>
      <c r="C17" s="312"/>
      <c r="D17" s="312"/>
      <c r="E17" s="312"/>
      <c r="F17" s="312"/>
      <c r="G17" s="312"/>
      <c r="H17" s="312"/>
      <c r="I17" s="312"/>
      <c r="J17" s="312"/>
      <c r="K17" s="312"/>
      <c r="L17" s="312"/>
      <c r="M17" s="312"/>
      <c r="N17" s="313"/>
      <c r="P17" s="195">
        <v>6</v>
      </c>
      <c r="Q17" s="311"/>
      <c r="R17" s="312"/>
      <c r="S17" s="312"/>
      <c r="T17" s="312"/>
      <c r="U17" s="312"/>
      <c r="V17" s="312"/>
      <c r="W17" s="312"/>
      <c r="X17" s="312"/>
      <c r="Y17" s="312"/>
      <c r="Z17" s="312"/>
      <c r="AA17" s="312"/>
      <c r="AB17" s="312"/>
      <c r="AC17" s="313"/>
      <c r="AE17" s="195">
        <v>6</v>
      </c>
      <c r="AF17" s="311"/>
      <c r="AG17" s="312"/>
      <c r="AH17" s="312"/>
      <c r="AI17" s="312"/>
      <c r="AJ17" s="312"/>
      <c r="AK17" s="312"/>
      <c r="AL17" s="312"/>
      <c r="AM17" s="312"/>
      <c r="AN17" s="312"/>
      <c r="AO17" s="312"/>
      <c r="AP17" s="312"/>
      <c r="AQ17" s="312"/>
      <c r="AR17" s="313"/>
      <c r="AT17" s="195">
        <v>6</v>
      </c>
      <c r="AU17" s="311"/>
      <c r="AV17" s="312"/>
      <c r="AW17" s="312"/>
      <c r="AX17" s="312"/>
      <c r="AY17" s="312"/>
      <c r="AZ17" s="312"/>
      <c r="BA17" s="312"/>
      <c r="BB17" s="312"/>
      <c r="BC17" s="312"/>
      <c r="BD17" s="312"/>
      <c r="BE17" s="312"/>
      <c r="BF17" s="312"/>
      <c r="BG17" s="313"/>
    </row>
    <row r="18" spans="1:59">
      <c r="A18" s="195">
        <v>7</v>
      </c>
      <c r="B18" s="311"/>
      <c r="C18" s="312"/>
      <c r="D18" s="312"/>
      <c r="E18" s="312"/>
      <c r="F18" s="312"/>
      <c r="G18" s="312"/>
      <c r="H18" s="312"/>
      <c r="I18" s="312"/>
      <c r="J18" s="312"/>
      <c r="K18" s="312"/>
      <c r="L18" s="312"/>
      <c r="M18" s="312"/>
      <c r="N18" s="313"/>
      <c r="P18" s="195">
        <v>7</v>
      </c>
      <c r="Q18" s="311"/>
      <c r="R18" s="312"/>
      <c r="S18" s="312"/>
      <c r="T18" s="312"/>
      <c r="U18" s="312"/>
      <c r="V18" s="312"/>
      <c r="W18" s="312"/>
      <c r="X18" s="312"/>
      <c r="Y18" s="312"/>
      <c r="Z18" s="312"/>
      <c r="AA18" s="312"/>
      <c r="AB18" s="312"/>
      <c r="AC18" s="313"/>
      <c r="AE18" s="195">
        <v>7</v>
      </c>
      <c r="AF18" s="311"/>
      <c r="AG18" s="312"/>
      <c r="AH18" s="312"/>
      <c r="AI18" s="312"/>
      <c r="AJ18" s="312"/>
      <c r="AK18" s="312"/>
      <c r="AL18" s="312"/>
      <c r="AM18" s="312"/>
      <c r="AN18" s="312"/>
      <c r="AO18" s="312"/>
      <c r="AP18" s="312"/>
      <c r="AQ18" s="312"/>
      <c r="AR18" s="313"/>
      <c r="AT18" s="195">
        <v>7</v>
      </c>
      <c r="AU18" s="311"/>
      <c r="AV18" s="312"/>
      <c r="AW18" s="312"/>
      <c r="AX18" s="312"/>
      <c r="AY18" s="312"/>
      <c r="AZ18" s="312"/>
      <c r="BA18" s="312"/>
      <c r="BB18" s="312"/>
      <c r="BC18" s="312"/>
      <c r="BD18" s="312"/>
      <c r="BE18" s="312"/>
      <c r="BF18" s="312"/>
      <c r="BG18" s="313"/>
    </row>
    <row r="19" spans="1:59">
      <c r="A19" s="195">
        <v>8</v>
      </c>
      <c r="B19" s="311"/>
      <c r="C19" s="312"/>
      <c r="D19" s="312"/>
      <c r="E19" s="312"/>
      <c r="F19" s="312"/>
      <c r="G19" s="312"/>
      <c r="H19" s="312"/>
      <c r="I19" s="312"/>
      <c r="J19" s="312"/>
      <c r="K19" s="312"/>
      <c r="L19" s="312"/>
      <c r="M19" s="312"/>
      <c r="N19" s="313"/>
      <c r="P19" s="195">
        <v>8</v>
      </c>
      <c r="Q19" s="311"/>
      <c r="R19" s="312"/>
      <c r="S19" s="312"/>
      <c r="T19" s="312"/>
      <c r="U19" s="312"/>
      <c r="V19" s="312"/>
      <c r="W19" s="312"/>
      <c r="X19" s="312"/>
      <c r="Y19" s="312"/>
      <c r="Z19" s="312"/>
      <c r="AA19" s="312"/>
      <c r="AB19" s="312"/>
      <c r="AC19" s="313"/>
      <c r="AE19" s="195">
        <v>8</v>
      </c>
      <c r="AF19" s="311"/>
      <c r="AG19" s="312"/>
      <c r="AH19" s="312"/>
      <c r="AI19" s="312"/>
      <c r="AJ19" s="312"/>
      <c r="AK19" s="312"/>
      <c r="AL19" s="312"/>
      <c r="AM19" s="312"/>
      <c r="AN19" s="312"/>
      <c r="AO19" s="312"/>
      <c r="AP19" s="312"/>
      <c r="AQ19" s="312"/>
      <c r="AR19" s="313"/>
      <c r="AT19" s="195">
        <v>8</v>
      </c>
      <c r="AU19" s="311"/>
      <c r="AV19" s="312"/>
      <c r="AW19" s="312"/>
      <c r="AX19" s="312"/>
      <c r="AY19" s="312"/>
      <c r="AZ19" s="312"/>
      <c r="BA19" s="312"/>
      <c r="BB19" s="312"/>
      <c r="BC19" s="312"/>
      <c r="BD19" s="312"/>
      <c r="BE19" s="312"/>
      <c r="BF19" s="312"/>
      <c r="BG19" s="313"/>
    </row>
    <row r="20" spans="1:59">
      <c r="A20" s="195">
        <v>9</v>
      </c>
      <c r="B20" s="311"/>
      <c r="C20" s="312"/>
      <c r="D20" s="312"/>
      <c r="E20" s="312"/>
      <c r="F20" s="312"/>
      <c r="G20" s="312"/>
      <c r="H20" s="312"/>
      <c r="I20" s="312"/>
      <c r="J20" s="312"/>
      <c r="K20" s="312"/>
      <c r="L20" s="312"/>
      <c r="M20" s="312"/>
      <c r="N20" s="313"/>
      <c r="P20" s="195">
        <v>9</v>
      </c>
      <c r="Q20" s="311"/>
      <c r="R20" s="312"/>
      <c r="S20" s="312"/>
      <c r="T20" s="312"/>
      <c r="U20" s="312"/>
      <c r="V20" s="312"/>
      <c r="W20" s="312"/>
      <c r="X20" s="312"/>
      <c r="Y20" s="312"/>
      <c r="Z20" s="312"/>
      <c r="AA20" s="312"/>
      <c r="AB20" s="312"/>
      <c r="AC20" s="313"/>
      <c r="AE20" s="195">
        <v>9</v>
      </c>
      <c r="AF20" s="311"/>
      <c r="AG20" s="312"/>
      <c r="AH20" s="312"/>
      <c r="AI20" s="312"/>
      <c r="AJ20" s="312"/>
      <c r="AK20" s="312"/>
      <c r="AL20" s="312"/>
      <c r="AM20" s="312"/>
      <c r="AN20" s="312"/>
      <c r="AO20" s="312"/>
      <c r="AP20" s="312"/>
      <c r="AQ20" s="312"/>
      <c r="AR20" s="313"/>
      <c r="AT20" s="195">
        <v>9</v>
      </c>
      <c r="AU20" s="311"/>
      <c r="AV20" s="312"/>
      <c r="AW20" s="312"/>
      <c r="AX20" s="312"/>
      <c r="AY20" s="312"/>
      <c r="AZ20" s="312"/>
      <c r="BA20" s="312"/>
      <c r="BB20" s="312"/>
      <c r="BC20" s="312"/>
      <c r="BD20" s="312"/>
      <c r="BE20" s="312"/>
      <c r="BF20" s="312"/>
      <c r="BG20" s="313"/>
    </row>
    <row r="21" spans="1:59">
      <c r="A21" s="195">
        <v>10</v>
      </c>
      <c r="B21" s="311"/>
      <c r="C21" s="312"/>
      <c r="D21" s="312"/>
      <c r="E21" s="312"/>
      <c r="F21" s="312"/>
      <c r="G21" s="312"/>
      <c r="H21" s="312"/>
      <c r="I21" s="312"/>
      <c r="J21" s="312"/>
      <c r="K21" s="312"/>
      <c r="L21" s="312"/>
      <c r="M21" s="312"/>
      <c r="N21" s="313"/>
      <c r="P21" s="195">
        <v>10</v>
      </c>
      <c r="Q21" s="311"/>
      <c r="R21" s="312"/>
      <c r="S21" s="312"/>
      <c r="T21" s="312"/>
      <c r="U21" s="312"/>
      <c r="V21" s="312"/>
      <c r="W21" s="312"/>
      <c r="X21" s="312"/>
      <c r="Y21" s="312"/>
      <c r="Z21" s="312"/>
      <c r="AA21" s="312"/>
      <c r="AB21" s="312"/>
      <c r="AC21" s="313"/>
      <c r="AE21" s="195">
        <v>10</v>
      </c>
      <c r="AF21" s="311"/>
      <c r="AG21" s="312"/>
      <c r="AH21" s="312"/>
      <c r="AI21" s="312"/>
      <c r="AJ21" s="312"/>
      <c r="AK21" s="312"/>
      <c r="AL21" s="312"/>
      <c r="AM21" s="312"/>
      <c r="AN21" s="312"/>
      <c r="AO21" s="312"/>
      <c r="AP21" s="312"/>
      <c r="AQ21" s="312"/>
      <c r="AR21" s="313"/>
      <c r="AT21" s="195">
        <v>10</v>
      </c>
      <c r="AU21" s="311"/>
      <c r="AV21" s="312"/>
      <c r="AW21" s="312"/>
      <c r="AX21" s="312"/>
      <c r="AY21" s="312"/>
      <c r="AZ21" s="312"/>
      <c r="BA21" s="312"/>
      <c r="BB21" s="312"/>
      <c r="BC21" s="312"/>
      <c r="BD21" s="312"/>
      <c r="BE21" s="312"/>
      <c r="BF21" s="312"/>
      <c r="BG21" s="313"/>
    </row>
    <row r="22" spans="1:59">
      <c r="A22" s="195">
        <v>11</v>
      </c>
      <c r="B22" s="311"/>
      <c r="C22" s="312"/>
      <c r="D22" s="312"/>
      <c r="E22" s="312"/>
      <c r="F22" s="312"/>
      <c r="G22" s="312"/>
      <c r="H22" s="312"/>
      <c r="I22" s="312"/>
      <c r="J22" s="312"/>
      <c r="K22" s="312"/>
      <c r="L22" s="312"/>
      <c r="M22" s="312"/>
      <c r="N22" s="313"/>
      <c r="P22" s="195">
        <v>11</v>
      </c>
      <c r="Q22" s="311"/>
      <c r="R22" s="312"/>
      <c r="S22" s="312"/>
      <c r="T22" s="312"/>
      <c r="U22" s="312"/>
      <c r="V22" s="312"/>
      <c r="W22" s="312"/>
      <c r="X22" s="312"/>
      <c r="Y22" s="312"/>
      <c r="Z22" s="312"/>
      <c r="AA22" s="312"/>
      <c r="AB22" s="312"/>
      <c r="AC22" s="313"/>
      <c r="AE22" s="195">
        <v>11</v>
      </c>
      <c r="AF22" s="311"/>
      <c r="AG22" s="312"/>
      <c r="AH22" s="312"/>
      <c r="AI22" s="312"/>
      <c r="AJ22" s="312"/>
      <c r="AK22" s="312"/>
      <c r="AL22" s="312"/>
      <c r="AM22" s="312"/>
      <c r="AN22" s="312"/>
      <c r="AO22" s="312"/>
      <c r="AP22" s="312"/>
      <c r="AQ22" s="312"/>
      <c r="AR22" s="313"/>
      <c r="AT22" s="195">
        <v>11</v>
      </c>
      <c r="AU22" s="311"/>
      <c r="AV22" s="312"/>
      <c r="AW22" s="312"/>
      <c r="AX22" s="312"/>
      <c r="AY22" s="312"/>
      <c r="AZ22" s="312"/>
      <c r="BA22" s="312"/>
      <c r="BB22" s="312"/>
      <c r="BC22" s="312"/>
      <c r="BD22" s="312"/>
      <c r="BE22" s="312"/>
      <c r="BF22" s="312"/>
      <c r="BG22" s="313"/>
    </row>
    <row r="23" spans="1:59">
      <c r="A23" s="195">
        <v>12</v>
      </c>
      <c r="B23" s="311"/>
      <c r="C23" s="312"/>
      <c r="D23" s="312"/>
      <c r="E23" s="312"/>
      <c r="F23" s="312"/>
      <c r="G23" s="312"/>
      <c r="H23" s="312"/>
      <c r="I23" s="312"/>
      <c r="J23" s="312"/>
      <c r="K23" s="312"/>
      <c r="L23" s="312"/>
      <c r="M23" s="312"/>
      <c r="N23" s="313"/>
      <c r="P23" s="195">
        <v>12</v>
      </c>
      <c r="Q23" s="311"/>
      <c r="R23" s="312"/>
      <c r="S23" s="312"/>
      <c r="T23" s="312"/>
      <c r="U23" s="312"/>
      <c r="V23" s="312"/>
      <c r="W23" s="312"/>
      <c r="X23" s="312"/>
      <c r="Y23" s="312"/>
      <c r="Z23" s="312"/>
      <c r="AA23" s="312"/>
      <c r="AB23" s="312"/>
      <c r="AC23" s="313"/>
      <c r="AE23" s="195">
        <v>12</v>
      </c>
      <c r="AF23" s="311"/>
      <c r="AG23" s="312"/>
      <c r="AH23" s="312"/>
      <c r="AI23" s="312"/>
      <c r="AJ23" s="312"/>
      <c r="AK23" s="312"/>
      <c r="AL23" s="312"/>
      <c r="AM23" s="312"/>
      <c r="AN23" s="312"/>
      <c r="AO23" s="312"/>
      <c r="AP23" s="312"/>
      <c r="AQ23" s="312"/>
      <c r="AR23" s="313"/>
      <c r="AT23" s="195">
        <v>12</v>
      </c>
      <c r="AU23" s="311"/>
      <c r="AV23" s="312"/>
      <c r="AW23" s="312"/>
      <c r="AX23" s="312"/>
      <c r="AY23" s="312"/>
      <c r="AZ23" s="312"/>
      <c r="BA23" s="312"/>
      <c r="BB23" s="312"/>
      <c r="BC23" s="312"/>
      <c r="BD23" s="312"/>
      <c r="BE23" s="312"/>
      <c r="BF23" s="312"/>
      <c r="BG23" s="313"/>
    </row>
    <row r="24" spans="1:59">
      <c r="A24" s="195">
        <v>13</v>
      </c>
      <c r="B24" s="311"/>
      <c r="C24" s="312"/>
      <c r="D24" s="312"/>
      <c r="E24" s="312"/>
      <c r="F24" s="312"/>
      <c r="G24" s="312"/>
      <c r="H24" s="312"/>
      <c r="I24" s="312"/>
      <c r="J24" s="312"/>
      <c r="K24" s="312"/>
      <c r="L24" s="312"/>
      <c r="M24" s="312"/>
      <c r="N24" s="313"/>
      <c r="P24" s="195">
        <v>13</v>
      </c>
      <c r="Q24" s="311"/>
      <c r="R24" s="312"/>
      <c r="S24" s="312"/>
      <c r="T24" s="312"/>
      <c r="U24" s="312"/>
      <c r="V24" s="312"/>
      <c r="W24" s="312"/>
      <c r="X24" s="312"/>
      <c r="Y24" s="312"/>
      <c r="Z24" s="312"/>
      <c r="AA24" s="312"/>
      <c r="AB24" s="312"/>
      <c r="AC24" s="313"/>
      <c r="AE24" s="195">
        <v>13</v>
      </c>
      <c r="AF24" s="311"/>
      <c r="AG24" s="312"/>
      <c r="AH24" s="312"/>
      <c r="AI24" s="312"/>
      <c r="AJ24" s="312"/>
      <c r="AK24" s="312"/>
      <c r="AL24" s="312"/>
      <c r="AM24" s="312"/>
      <c r="AN24" s="312"/>
      <c r="AO24" s="312"/>
      <c r="AP24" s="312"/>
      <c r="AQ24" s="312"/>
      <c r="AR24" s="313"/>
      <c r="AT24" s="195">
        <v>13</v>
      </c>
      <c r="AU24" s="311"/>
      <c r="AV24" s="312"/>
      <c r="AW24" s="312"/>
      <c r="AX24" s="312"/>
      <c r="AY24" s="312"/>
      <c r="AZ24" s="312"/>
      <c r="BA24" s="312"/>
      <c r="BB24" s="312"/>
      <c r="BC24" s="312"/>
      <c r="BD24" s="312"/>
      <c r="BE24" s="312"/>
      <c r="BF24" s="312"/>
      <c r="BG24" s="313"/>
    </row>
    <row r="25" spans="1:59">
      <c r="A25" s="195">
        <v>14</v>
      </c>
      <c r="B25" s="311"/>
      <c r="C25" s="312"/>
      <c r="D25" s="312"/>
      <c r="E25" s="312"/>
      <c r="F25" s="312"/>
      <c r="G25" s="312"/>
      <c r="H25" s="312"/>
      <c r="I25" s="312"/>
      <c r="J25" s="312"/>
      <c r="K25" s="312"/>
      <c r="L25" s="312"/>
      <c r="M25" s="312"/>
      <c r="N25" s="313"/>
      <c r="P25" s="195">
        <v>14</v>
      </c>
      <c r="Q25" s="311"/>
      <c r="R25" s="312"/>
      <c r="S25" s="312"/>
      <c r="T25" s="312"/>
      <c r="U25" s="312"/>
      <c r="V25" s="312"/>
      <c r="W25" s="312"/>
      <c r="X25" s="312"/>
      <c r="Y25" s="312"/>
      <c r="Z25" s="312"/>
      <c r="AA25" s="312"/>
      <c r="AB25" s="312"/>
      <c r="AC25" s="313"/>
      <c r="AE25" s="195">
        <v>14</v>
      </c>
      <c r="AF25" s="311"/>
      <c r="AG25" s="312"/>
      <c r="AH25" s="312"/>
      <c r="AI25" s="312"/>
      <c r="AJ25" s="312"/>
      <c r="AK25" s="312"/>
      <c r="AL25" s="312"/>
      <c r="AM25" s="312"/>
      <c r="AN25" s="312"/>
      <c r="AO25" s="312"/>
      <c r="AP25" s="312"/>
      <c r="AQ25" s="312"/>
      <c r="AR25" s="313"/>
      <c r="AT25" s="195">
        <v>14</v>
      </c>
      <c r="AU25" s="311"/>
      <c r="AV25" s="312"/>
      <c r="AW25" s="312"/>
      <c r="AX25" s="312"/>
      <c r="AY25" s="312"/>
      <c r="AZ25" s="312"/>
      <c r="BA25" s="312"/>
      <c r="BB25" s="312"/>
      <c r="BC25" s="312"/>
      <c r="BD25" s="312"/>
      <c r="BE25" s="312"/>
      <c r="BF25" s="312"/>
      <c r="BG25" s="313"/>
    </row>
    <row r="26" spans="1:59">
      <c r="A26" s="195">
        <v>15</v>
      </c>
      <c r="B26" s="311"/>
      <c r="C26" s="312"/>
      <c r="D26" s="312"/>
      <c r="E26" s="312"/>
      <c r="F26" s="312"/>
      <c r="G26" s="312"/>
      <c r="H26" s="312"/>
      <c r="I26" s="312"/>
      <c r="J26" s="312"/>
      <c r="K26" s="312"/>
      <c r="L26" s="312"/>
      <c r="M26" s="312"/>
      <c r="N26" s="313"/>
      <c r="P26" s="195">
        <v>15</v>
      </c>
      <c r="Q26" s="311"/>
      <c r="R26" s="312"/>
      <c r="S26" s="312"/>
      <c r="T26" s="312"/>
      <c r="U26" s="312"/>
      <c r="V26" s="312"/>
      <c r="W26" s="312"/>
      <c r="X26" s="312"/>
      <c r="Y26" s="312"/>
      <c r="Z26" s="312"/>
      <c r="AA26" s="312"/>
      <c r="AB26" s="312"/>
      <c r="AC26" s="313"/>
      <c r="AE26" s="195">
        <v>15</v>
      </c>
      <c r="AF26" s="311"/>
      <c r="AG26" s="312"/>
      <c r="AH26" s="312"/>
      <c r="AI26" s="312"/>
      <c r="AJ26" s="312"/>
      <c r="AK26" s="312"/>
      <c r="AL26" s="312"/>
      <c r="AM26" s="312"/>
      <c r="AN26" s="312"/>
      <c r="AO26" s="312"/>
      <c r="AP26" s="312"/>
      <c r="AQ26" s="312"/>
      <c r="AR26" s="313"/>
      <c r="AT26" s="195">
        <v>15</v>
      </c>
      <c r="AU26" s="311"/>
      <c r="AV26" s="312"/>
      <c r="AW26" s="312"/>
      <c r="AX26" s="312"/>
      <c r="AY26" s="312"/>
      <c r="AZ26" s="312"/>
      <c r="BA26" s="312"/>
      <c r="BB26" s="312"/>
      <c r="BC26" s="312"/>
      <c r="BD26" s="312"/>
      <c r="BE26" s="312"/>
      <c r="BF26" s="312"/>
      <c r="BG26" s="313"/>
    </row>
    <row r="27" spans="1:59">
      <c r="A27" s="195">
        <v>16</v>
      </c>
      <c r="B27" s="311"/>
      <c r="C27" s="312"/>
      <c r="D27" s="312"/>
      <c r="E27" s="312"/>
      <c r="F27" s="312"/>
      <c r="G27" s="312"/>
      <c r="H27" s="312"/>
      <c r="I27" s="312"/>
      <c r="J27" s="312"/>
      <c r="K27" s="312"/>
      <c r="L27" s="312"/>
      <c r="M27" s="312"/>
      <c r="N27" s="313"/>
      <c r="P27" s="195">
        <v>16</v>
      </c>
      <c r="Q27" s="311"/>
      <c r="R27" s="312"/>
      <c r="S27" s="312"/>
      <c r="T27" s="312"/>
      <c r="U27" s="312"/>
      <c r="V27" s="312"/>
      <c r="W27" s="312"/>
      <c r="X27" s="312"/>
      <c r="Y27" s="312"/>
      <c r="Z27" s="312"/>
      <c r="AA27" s="312"/>
      <c r="AB27" s="312"/>
      <c r="AC27" s="313"/>
      <c r="AE27" s="195">
        <v>16</v>
      </c>
      <c r="AF27" s="311"/>
      <c r="AG27" s="312"/>
      <c r="AH27" s="312"/>
      <c r="AI27" s="312"/>
      <c r="AJ27" s="312"/>
      <c r="AK27" s="312"/>
      <c r="AL27" s="312"/>
      <c r="AM27" s="312"/>
      <c r="AN27" s="312"/>
      <c r="AO27" s="312"/>
      <c r="AP27" s="312"/>
      <c r="AQ27" s="312"/>
      <c r="AR27" s="313"/>
      <c r="AT27" s="195">
        <v>16</v>
      </c>
      <c r="AU27" s="311"/>
      <c r="AV27" s="312"/>
      <c r="AW27" s="312"/>
      <c r="AX27" s="312"/>
      <c r="AY27" s="312"/>
      <c r="AZ27" s="312"/>
      <c r="BA27" s="312"/>
      <c r="BB27" s="312"/>
      <c r="BC27" s="312"/>
      <c r="BD27" s="312"/>
      <c r="BE27" s="312"/>
      <c r="BF27" s="312"/>
      <c r="BG27" s="313"/>
    </row>
    <row r="28" spans="1:59">
      <c r="A28" s="195">
        <v>17</v>
      </c>
      <c r="B28" s="311"/>
      <c r="C28" s="312"/>
      <c r="D28" s="312"/>
      <c r="E28" s="312"/>
      <c r="F28" s="312"/>
      <c r="G28" s="312"/>
      <c r="H28" s="312"/>
      <c r="I28" s="312"/>
      <c r="J28" s="312"/>
      <c r="K28" s="312"/>
      <c r="L28" s="312"/>
      <c r="M28" s="312"/>
      <c r="N28" s="313"/>
      <c r="P28" s="195">
        <v>17</v>
      </c>
      <c r="Q28" s="311"/>
      <c r="R28" s="312"/>
      <c r="S28" s="312"/>
      <c r="T28" s="312"/>
      <c r="U28" s="312"/>
      <c r="V28" s="312"/>
      <c r="W28" s="312"/>
      <c r="X28" s="312"/>
      <c r="Y28" s="312"/>
      <c r="Z28" s="312"/>
      <c r="AA28" s="312"/>
      <c r="AB28" s="312"/>
      <c r="AC28" s="313"/>
      <c r="AE28" s="195">
        <v>17</v>
      </c>
      <c r="AF28" s="311"/>
      <c r="AG28" s="312"/>
      <c r="AH28" s="312"/>
      <c r="AI28" s="312"/>
      <c r="AJ28" s="312"/>
      <c r="AK28" s="312"/>
      <c r="AL28" s="312"/>
      <c r="AM28" s="312"/>
      <c r="AN28" s="312"/>
      <c r="AO28" s="312"/>
      <c r="AP28" s="312"/>
      <c r="AQ28" s="312"/>
      <c r="AR28" s="313"/>
      <c r="AT28" s="195">
        <v>17</v>
      </c>
      <c r="AU28" s="311"/>
      <c r="AV28" s="312"/>
      <c r="AW28" s="312"/>
      <c r="AX28" s="312"/>
      <c r="AY28" s="312"/>
      <c r="AZ28" s="312"/>
      <c r="BA28" s="312"/>
      <c r="BB28" s="312"/>
      <c r="BC28" s="312"/>
      <c r="BD28" s="312"/>
      <c r="BE28" s="312"/>
      <c r="BF28" s="312"/>
      <c r="BG28" s="313"/>
    </row>
    <row r="29" spans="1:59">
      <c r="A29" s="195">
        <v>18</v>
      </c>
      <c r="B29" s="311"/>
      <c r="C29" s="312"/>
      <c r="D29" s="312"/>
      <c r="E29" s="312"/>
      <c r="F29" s="312"/>
      <c r="G29" s="312"/>
      <c r="H29" s="312"/>
      <c r="I29" s="312"/>
      <c r="J29" s="312"/>
      <c r="K29" s="312"/>
      <c r="L29" s="312"/>
      <c r="M29" s="312"/>
      <c r="N29" s="313"/>
      <c r="P29" s="195">
        <v>18</v>
      </c>
      <c r="Q29" s="311"/>
      <c r="R29" s="312"/>
      <c r="S29" s="312"/>
      <c r="T29" s="312"/>
      <c r="U29" s="312"/>
      <c r="V29" s="312"/>
      <c r="W29" s="312"/>
      <c r="X29" s="312"/>
      <c r="Y29" s="312"/>
      <c r="Z29" s="312"/>
      <c r="AA29" s="312"/>
      <c r="AB29" s="312"/>
      <c r="AC29" s="313"/>
      <c r="AE29" s="195">
        <v>18</v>
      </c>
      <c r="AF29" s="311"/>
      <c r="AG29" s="312"/>
      <c r="AH29" s="312"/>
      <c r="AI29" s="312"/>
      <c r="AJ29" s="312"/>
      <c r="AK29" s="312"/>
      <c r="AL29" s="312"/>
      <c r="AM29" s="312"/>
      <c r="AN29" s="312"/>
      <c r="AO29" s="312"/>
      <c r="AP29" s="312"/>
      <c r="AQ29" s="312"/>
      <c r="AR29" s="313"/>
      <c r="AT29" s="195">
        <v>18</v>
      </c>
      <c r="AU29" s="311"/>
      <c r="AV29" s="312"/>
      <c r="AW29" s="312"/>
      <c r="AX29" s="312"/>
      <c r="AY29" s="312"/>
      <c r="AZ29" s="312"/>
      <c r="BA29" s="312"/>
      <c r="BB29" s="312"/>
      <c r="BC29" s="312"/>
      <c r="BD29" s="312"/>
      <c r="BE29" s="312"/>
      <c r="BF29" s="312"/>
      <c r="BG29" s="313"/>
    </row>
    <row r="30" spans="1:59">
      <c r="A30" s="195">
        <v>19</v>
      </c>
      <c r="B30" s="311"/>
      <c r="C30" s="312"/>
      <c r="D30" s="312"/>
      <c r="E30" s="312"/>
      <c r="F30" s="312"/>
      <c r="G30" s="312"/>
      <c r="H30" s="312"/>
      <c r="I30" s="312"/>
      <c r="J30" s="312"/>
      <c r="K30" s="312"/>
      <c r="L30" s="312"/>
      <c r="M30" s="312"/>
      <c r="N30" s="313"/>
      <c r="P30" s="195">
        <v>19</v>
      </c>
      <c r="Q30" s="311"/>
      <c r="R30" s="312"/>
      <c r="S30" s="312"/>
      <c r="T30" s="312"/>
      <c r="U30" s="312"/>
      <c r="V30" s="312"/>
      <c r="W30" s="312"/>
      <c r="X30" s="312"/>
      <c r="Y30" s="312"/>
      <c r="Z30" s="312"/>
      <c r="AA30" s="312"/>
      <c r="AB30" s="312"/>
      <c r="AC30" s="313"/>
      <c r="AE30" s="195">
        <v>19</v>
      </c>
      <c r="AF30" s="311"/>
      <c r="AG30" s="312"/>
      <c r="AH30" s="312"/>
      <c r="AI30" s="312"/>
      <c r="AJ30" s="312"/>
      <c r="AK30" s="312"/>
      <c r="AL30" s="312"/>
      <c r="AM30" s="312"/>
      <c r="AN30" s="312"/>
      <c r="AO30" s="312"/>
      <c r="AP30" s="312"/>
      <c r="AQ30" s="312"/>
      <c r="AR30" s="313"/>
      <c r="AT30" s="195">
        <v>19</v>
      </c>
      <c r="AU30" s="311"/>
      <c r="AV30" s="312"/>
      <c r="AW30" s="312"/>
      <c r="AX30" s="312"/>
      <c r="AY30" s="312"/>
      <c r="AZ30" s="312"/>
      <c r="BA30" s="312"/>
      <c r="BB30" s="312"/>
      <c r="BC30" s="312"/>
      <c r="BD30" s="312"/>
      <c r="BE30" s="312"/>
      <c r="BF30" s="312"/>
      <c r="BG30" s="313"/>
    </row>
    <row r="31" spans="1:59">
      <c r="A31" s="195">
        <v>20</v>
      </c>
      <c r="B31" s="311"/>
      <c r="C31" s="312"/>
      <c r="D31" s="312"/>
      <c r="E31" s="312"/>
      <c r="F31" s="312"/>
      <c r="G31" s="312"/>
      <c r="H31" s="312"/>
      <c r="I31" s="312"/>
      <c r="J31" s="312"/>
      <c r="K31" s="312"/>
      <c r="L31" s="312"/>
      <c r="M31" s="312"/>
      <c r="N31" s="313"/>
      <c r="P31" s="195">
        <v>20</v>
      </c>
      <c r="Q31" s="311"/>
      <c r="R31" s="312"/>
      <c r="S31" s="312"/>
      <c r="T31" s="312"/>
      <c r="U31" s="312"/>
      <c r="V31" s="312"/>
      <c r="W31" s="312"/>
      <c r="X31" s="312"/>
      <c r="Y31" s="312"/>
      <c r="Z31" s="312"/>
      <c r="AA31" s="312"/>
      <c r="AB31" s="312"/>
      <c r="AC31" s="313"/>
      <c r="AE31" s="195">
        <v>20</v>
      </c>
      <c r="AF31" s="311"/>
      <c r="AG31" s="312"/>
      <c r="AH31" s="312"/>
      <c r="AI31" s="312"/>
      <c r="AJ31" s="312"/>
      <c r="AK31" s="312"/>
      <c r="AL31" s="312"/>
      <c r="AM31" s="312"/>
      <c r="AN31" s="312"/>
      <c r="AO31" s="312"/>
      <c r="AP31" s="312"/>
      <c r="AQ31" s="312"/>
      <c r="AR31" s="313"/>
      <c r="AT31" s="195">
        <v>20</v>
      </c>
      <c r="AU31" s="311"/>
      <c r="AV31" s="312"/>
      <c r="AW31" s="312"/>
      <c r="AX31" s="312"/>
      <c r="AY31" s="312"/>
      <c r="AZ31" s="312"/>
      <c r="BA31" s="312"/>
      <c r="BB31" s="312"/>
      <c r="BC31" s="312"/>
      <c r="BD31" s="312"/>
      <c r="BE31" s="312"/>
      <c r="BF31" s="312"/>
      <c r="BG31" s="313"/>
    </row>
    <row r="32" spans="1:59">
      <c r="A32" s="195">
        <v>21</v>
      </c>
      <c r="B32" s="311"/>
      <c r="C32" s="312"/>
      <c r="D32" s="312"/>
      <c r="E32" s="312"/>
      <c r="F32" s="312"/>
      <c r="G32" s="312"/>
      <c r="H32" s="312"/>
      <c r="I32" s="312"/>
      <c r="J32" s="312"/>
      <c r="K32" s="312"/>
      <c r="L32" s="312"/>
      <c r="M32" s="312"/>
      <c r="N32" s="313"/>
      <c r="P32" s="195">
        <v>21</v>
      </c>
      <c r="Q32" s="311"/>
      <c r="R32" s="312"/>
      <c r="S32" s="312"/>
      <c r="T32" s="312"/>
      <c r="U32" s="312"/>
      <c r="V32" s="312"/>
      <c r="W32" s="312"/>
      <c r="X32" s="312"/>
      <c r="Y32" s="312"/>
      <c r="Z32" s="312"/>
      <c r="AA32" s="312"/>
      <c r="AB32" s="312"/>
      <c r="AC32" s="313"/>
      <c r="AE32" s="195">
        <v>21</v>
      </c>
      <c r="AF32" s="311"/>
      <c r="AG32" s="312"/>
      <c r="AH32" s="312"/>
      <c r="AI32" s="312"/>
      <c r="AJ32" s="312"/>
      <c r="AK32" s="312"/>
      <c r="AL32" s="312"/>
      <c r="AM32" s="312"/>
      <c r="AN32" s="312"/>
      <c r="AO32" s="312"/>
      <c r="AP32" s="312"/>
      <c r="AQ32" s="312"/>
      <c r="AR32" s="313"/>
      <c r="AT32" s="195">
        <v>21</v>
      </c>
      <c r="AU32" s="311"/>
      <c r="AV32" s="312"/>
      <c r="AW32" s="312"/>
      <c r="AX32" s="312"/>
      <c r="AY32" s="312"/>
      <c r="AZ32" s="312"/>
      <c r="BA32" s="312"/>
      <c r="BB32" s="312"/>
      <c r="BC32" s="312"/>
      <c r="BD32" s="312"/>
      <c r="BE32" s="312"/>
      <c r="BF32" s="312"/>
      <c r="BG32" s="313"/>
    </row>
    <row r="33" spans="1:59">
      <c r="A33" s="195">
        <v>22</v>
      </c>
      <c r="B33" s="311"/>
      <c r="C33" s="312"/>
      <c r="D33" s="312"/>
      <c r="E33" s="312"/>
      <c r="F33" s="312"/>
      <c r="G33" s="312"/>
      <c r="H33" s="312"/>
      <c r="I33" s="312"/>
      <c r="J33" s="312"/>
      <c r="K33" s="312"/>
      <c r="L33" s="312"/>
      <c r="M33" s="312"/>
      <c r="N33" s="313"/>
      <c r="P33" s="195">
        <v>22</v>
      </c>
      <c r="Q33" s="311"/>
      <c r="R33" s="312"/>
      <c r="S33" s="312"/>
      <c r="T33" s="312"/>
      <c r="U33" s="312"/>
      <c r="V33" s="312"/>
      <c r="W33" s="312"/>
      <c r="X33" s="312"/>
      <c r="Y33" s="312"/>
      <c r="Z33" s="312"/>
      <c r="AA33" s="312"/>
      <c r="AB33" s="312"/>
      <c r="AC33" s="313"/>
      <c r="AE33" s="195">
        <v>22</v>
      </c>
      <c r="AF33" s="311"/>
      <c r="AG33" s="312"/>
      <c r="AH33" s="312"/>
      <c r="AI33" s="312"/>
      <c r="AJ33" s="312"/>
      <c r="AK33" s="312"/>
      <c r="AL33" s="312"/>
      <c r="AM33" s="312"/>
      <c r="AN33" s="312"/>
      <c r="AO33" s="312"/>
      <c r="AP33" s="312"/>
      <c r="AQ33" s="312"/>
      <c r="AR33" s="313"/>
      <c r="AT33" s="195">
        <v>22</v>
      </c>
      <c r="AU33" s="311"/>
      <c r="AV33" s="312"/>
      <c r="AW33" s="312"/>
      <c r="AX33" s="312"/>
      <c r="AY33" s="312"/>
      <c r="AZ33" s="312"/>
      <c r="BA33" s="312"/>
      <c r="BB33" s="312"/>
      <c r="BC33" s="312"/>
      <c r="BD33" s="312"/>
      <c r="BE33" s="312"/>
      <c r="BF33" s="312"/>
      <c r="BG33" s="313"/>
    </row>
    <row r="34" spans="1:59">
      <c r="A34" s="195">
        <v>23</v>
      </c>
      <c r="B34" s="311"/>
      <c r="C34" s="312"/>
      <c r="D34" s="312"/>
      <c r="E34" s="312"/>
      <c r="F34" s="312"/>
      <c r="G34" s="312"/>
      <c r="H34" s="312"/>
      <c r="I34" s="312"/>
      <c r="J34" s="312"/>
      <c r="K34" s="312"/>
      <c r="L34" s="312"/>
      <c r="M34" s="312"/>
      <c r="N34" s="313"/>
      <c r="P34" s="195">
        <v>23</v>
      </c>
      <c r="Q34" s="311"/>
      <c r="R34" s="312"/>
      <c r="S34" s="312"/>
      <c r="T34" s="312"/>
      <c r="U34" s="312"/>
      <c r="V34" s="312"/>
      <c r="W34" s="312"/>
      <c r="X34" s="312"/>
      <c r="Y34" s="312"/>
      <c r="Z34" s="312"/>
      <c r="AA34" s="312"/>
      <c r="AB34" s="312"/>
      <c r="AC34" s="313"/>
      <c r="AE34" s="195">
        <v>23</v>
      </c>
      <c r="AF34" s="311"/>
      <c r="AG34" s="312"/>
      <c r="AH34" s="312"/>
      <c r="AI34" s="312"/>
      <c r="AJ34" s="312"/>
      <c r="AK34" s="312"/>
      <c r="AL34" s="312"/>
      <c r="AM34" s="312"/>
      <c r="AN34" s="312"/>
      <c r="AO34" s="312"/>
      <c r="AP34" s="312"/>
      <c r="AQ34" s="312"/>
      <c r="AR34" s="313"/>
      <c r="AT34" s="195">
        <v>23</v>
      </c>
      <c r="AU34" s="311"/>
      <c r="AV34" s="312"/>
      <c r="AW34" s="312"/>
      <c r="AX34" s="312"/>
      <c r="AY34" s="312"/>
      <c r="AZ34" s="312"/>
      <c r="BA34" s="312"/>
      <c r="BB34" s="312"/>
      <c r="BC34" s="312"/>
      <c r="BD34" s="312"/>
      <c r="BE34" s="312"/>
      <c r="BF34" s="312"/>
      <c r="BG34" s="313"/>
    </row>
    <row r="35" spans="1:59">
      <c r="A35" s="195">
        <v>24</v>
      </c>
      <c r="B35" s="311"/>
      <c r="C35" s="312"/>
      <c r="D35" s="312"/>
      <c r="E35" s="312"/>
      <c r="F35" s="312"/>
      <c r="G35" s="312"/>
      <c r="H35" s="312"/>
      <c r="I35" s="312"/>
      <c r="J35" s="312"/>
      <c r="K35" s="312"/>
      <c r="L35" s="312"/>
      <c r="M35" s="312"/>
      <c r="N35" s="313"/>
      <c r="P35" s="195">
        <v>24</v>
      </c>
      <c r="Q35" s="311"/>
      <c r="R35" s="312"/>
      <c r="S35" s="312"/>
      <c r="T35" s="312"/>
      <c r="U35" s="312"/>
      <c r="V35" s="312"/>
      <c r="W35" s="312"/>
      <c r="X35" s="312"/>
      <c r="Y35" s="312"/>
      <c r="Z35" s="312"/>
      <c r="AA35" s="312"/>
      <c r="AB35" s="312"/>
      <c r="AC35" s="313"/>
      <c r="AE35" s="195">
        <v>24</v>
      </c>
      <c r="AF35" s="311"/>
      <c r="AG35" s="312"/>
      <c r="AH35" s="312"/>
      <c r="AI35" s="312"/>
      <c r="AJ35" s="312"/>
      <c r="AK35" s="312"/>
      <c r="AL35" s="312"/>
      <c r="AM35" s="312"/>
      <c r="AN35" s="312"/>
      <c r="AO35" s="312"/>
      <c r="AP35" s="312"/>
      <c r="AQ35" s="312"/>
      <c r="AR35" s="313"/>
      <c r="AT35" s="195">
        <v>24</v>
      </c>
      <c r="AU35" s="311"/>
      <c r="AV35" s="312"/>
      <c r="AW35" s="312"/>
      <c r="AX35" s="312"/>
      <c r="AY35" s="312"/>
      <c r="AZ35" s="312"/>
      <c r="BA35" s="312"/>
      <c r="BB35" s="312"/>
      <c r="BC35" s="312"/>
      <c r="BD35" s="312"/>
      <c r="BE35" s="312"/>
      <c r="BF35" s="312"/>
      <c r="BG35" s="313"/>
    </row>
    <row r="36" spans="1:59">
      <c r="A36" s="195">
        <v>25</v>
      </c>
      <c r="B36" s="311"/>
      <c r="C36" s="312"/>
      <c r="D36" s="312"/>
      <c r="E36" s="312"/>
      <c r="F36" s="312"/>
      <c r="G36" s="312"/>
      <c r="H36" s="312"/>
      <c r="I36" s="312"/>
      <c r="J36" s="312"/>
      <c r="K36" s="312"/>
      <c r="L36" s="312"/>
      <c r="M36" s="312"/>
      <c r="N36" s="313"/>
      <c r="P36" s="195">
        <v>25</v>
      </c>
      <c r="Q36" s="311"/>
      <c r="R36" s="312"/>
      <c r="S36" s="312"/>
      <c r="T36" s="312"/>
      <c r="U36" s="312"/>
      <c r="V36" s="312"/>
      <c r="W36" s="312"/>
      <c r="X36" s="312"/>
      <c r="Y36" s="312"/>
      <c r="Z36" s="312"/>
      <c r="AA36" s="312"/>
      <c r="AB36" s="312"/>
      <c r="AC36" s="313"/>
      <c r="AE36" s="195">
        <v>25</v>
      </c>
      <c r="AF36" s="311"/>
      <c r="AG36" s="312"/>
      <c r="AH36" s="312"/>
      <c r="AI36" s="312"/>
      <c r="AJ36" s="312"/>
      <c r="AK36" s="312"/>
      <c r="AL36" s="312"/>
      <c r="AM36" s="312"/>
      <c r="AN36" s="312"/>
      <c r="AO36" s="312"/>
      <c r="AP36" s="312"/>
      <c r="AQ36" s="312"/>
      <c r="AR36" s="313"/>
      <c r="AT36" s="195">
        <v>25</v>
      </c>
      <c r="AU36" s="311"/>
      <c r="AV36" s="312"/>
      <c r="AW36" s="312"/>
      <c r="AX36" s="312"/>
      <c r="AY36" s="312"/>
      <c r="AZ36" s="312"/>
      <c r="BA36" s="312"/>
      <c r="BB36" s="312"/>
      <c r="BC36" s="312"/>
      <c r="BD36" s="312"/>
      <c r="BE36" s="312"/>
      <c r="BF36" s="312"/>
      <c r="BG36" s="313"/>
    </row>
    <row r="37" spans="1:59">
      <c r="A37" s="195">
        <v>26</v>
      </c>
      <c r="B37" s="311"/>
      <c r="C37" s="312"/>
      <c r="D37" s="312"/>
      <c r="E37" s="312"/>
      <c r="F37" s="312"/>
      <c r="G37" s="312"/>
      <c r="H37" s="312"/>
      <c r="I37" s="312"/>
      <c r="J37" s="312"/>
      <c r="K37" s="312"/>
      <c r="L37" s="312"/>
      <c r="M37" s="312"/>
      <c r="N37" s="313"/>
      <c r="P37" s="195">
        <v>26</v>
      </c>
      <c r="Q37" s="311"/>
      <c r="R37" s="312"/>
      <c r="S37" s="312"/>
      <c r="T37" s="312"/>
      <c r="U37" s="312"/>
      <c r="V37" s="312"/>
      <c r="W37" s="312"/>
      <c r="X37" s="312"/>
      <c r="Y37" s="312"/>
      <c r="Z37" s="312"/>
      <c r="AA37" s="312"/>
      <c r="AB37" s="312"/>
      <c r="AC37" s="313"/>
      <c r="AE37" s="195">
        <v>26</v>
      </c>
      <c r="AF37" s="311"/>
      <c r="AG37" s="312"/>
      <c r="AH37" s="312"/>
      <c r="AI37" s="312"/>
      <c r="AJ37" s="312"/>
      <c r="AK37" s="312"/>
      <c r="AL37" s="312"/>
      <c r="AM37" s="312"/>
      <c r="AN37" s="312"/>
      <c r="AO37" s="312"/>
      <c r="AP37" s="312"/>
      <c r="AQ37" s="312"/>
      <c r="AR37" s="313"/>
      <c r="AT37" s="195">
        <v>26</v>
      </c>
      <c r="AU37" s="311"/>
      <c r="AV37" s="312"/>
      <c r="AW37" s="312"/>
      <c r="AX37" s="312"/>
      <c r="AY37" s="312"/>
      <c r="AZ37" s="312"/>
      <c r="BA37" s="312"/>
      <c r="BB37" s="312"/>
      <c r="BC37" s="312"/>
      <c r="BD37" s="312"/>
      <c r="BE37" s="312"/>
      <c r="BF37" s="312"/>
      <c r="BG37" s="313"/>
    </row>
    <row r="38" spans="1:59">
      <c r="A38" s="195">
        <v>27</v>
      </c>
      <c r="B38" s="311"/>
      <c r="C38" s="312"/>
      <c r="D38" s="312"/>
      <c r="E38" s="312"/>
      <c r="F38" s="312"/>
      <c r="G38" s="312"/>
      <c r="H38" s="312"/>
      <c r="I38" s="312"/>
      <c r="J38" s="312"/>
      <c r="K38" s="312"/>
      <c r="L38" s="312"/>
      <c r="M38" s="312"/>
      <c r="N38" s="313"/>
      <c r="P38" s="195">
        <v>27</v>
      </c>
      <c r="Q38" s="311"/>
      <c r="R38" s="312"/>
      <c r="S38" s="312"/>
      <c r="T38" s="312"/>
      <c r="U38" s="312"/>
      <c r="V38" s="312"/>
      <c r="W38" s="312"/>
      <c r="X38" s="312"/>
      <c r="Y38" s="312"/>
      <c r="Z38" s="312"/>
      <c r="AA38" s="312"/>
      <c r="AB38" s="312"/>
      <c r="AC38" s="313"/>
      <c r="AE38" s="195">
        <v>27</v>
      </c>
      <c r="AF38" s="311"/>
      <c r="AG38" s="312"/>
      <c r="AH38" s="312"/>
      <c r="AI38" s="312"/>
      <c r="AJ38" s="312"/>
      <c r="AK38" s="312"/>
      <c r="AL38" s="312"/>
      <c r="AM38" s="312"/>
      <c r="AN38" s="312"/>
      <c r="AO38" s="312"/>
      <c r="AP38" s="312"/>
      <c r="AQ38" s="312"/>
      <c r="AR38" s="313"/>
      <c r="AT38" s="195">
        <v>27</v>
      </c>
      <c r="AU38" s="311"/>
      <c r="AV38" s="312"/>
      <c r="AW38" s="312"/>
      <c r="AX38" s="312"/>
      <c r="AY38" s="312"/>
      <c r="AZ38" s="312"/>
      <c r="BA38" s="312"/>
      <c r="BB38" s="312"/>
      <c r="BC38" s="312"/>
      <c r="BD38" s="312"/>
      <c r="BE38" s="312"/>
      <c r="BF38" s="312"/>
      <c r="BG38" s="313"/>
    </row>
    <row r="39" spans="1:59">
      <c r="A39" s="195">
        <v>28</v>
      </c>
      <c r="B39" s="311"/>
      <c r="C39" s="312"/>
      <c r="D39" s="312"/>
      <c r="E39" s="312"/>
      <c r="F39" s="312"/>
      <c r="G39" s="312"/>
      <c r="H39" s="312"/>
      <c r="I39" s="312"/>
      <c r="J39" s="312"/>
      <c r="K39" s="312"/>
      <c r="L39" s="312"/>
      <c r="M39" s="312"/>
      <c r="N39" s="313"/>
      <c r="P39" s="195">
        <v>28</v>
      </c>
      <c r="Q39" s="311"/>
      <c r="R39" s="312"/>
      <c r="S39" s="312"/>
      <c r="T39" s="312"/>
      <c r="U39" s="312"/>
      <c r="V39" s="312"/>
      <c r="W39" s="312"/>
      <c r="X39" s="312"/>
      <c r="Y39" s="312"/>
      <c r="Z39" s="312"/>
      <c r="AA39" s="312"/>
      <c r="AB39" s="312"/>
      <c r="AC39" s="313"/>
      <c r="AE39" s="195">
        <v>28</v>
      </c>
      <c r="AF39" s="311"/>
      <c r="AG39" s="312"/>
      <c r="AH39" s="312"/>
      <c r="AI39" s="312"/>
      <c r="AJ39" s="312"/>
      <c r="AK39" s="312"/>
      <c r="AL39" s="312"/>
      <c r="AM39" s="312"/>
      <c r="AN39" s="312"/>
      <c r="AO39" s="312"/>
      <c r="AP39" s="312"/>
      <c r="AQ39" s="312"/>
      <c r="AR39" s="313"/>
      <c r="AT39" s="195">
        <v>28</v>
      </c>
      <c r="AU39" s="311"/>
      <c r="AV39" s="312"/>
      <c r="AW39" s="312"/>
      <c r="AX39" s="312"/>
      <c r="AY39" s="312"/>
      <c r="AZ39" s="312"/>
      <c r="BA39" s="312"/>
      <c r="BB39" s="312"/>
      <c r="BC39" s="312"/>
      <c r="BD39" s="312"/>
      <c r="BE39" s="312"/>
      <c r="BF39" s="312"/>
      <c r="BG39" s="313"/>
    </row>
    <row r="40" spans="1:59">
      <c r="A40" s="195">
        <v>29</v>
      </c>
      <c r="B40" s="311"/>
      <c r="C40" s="312"/>
      <c r="D40" s="312"/>
      <c r="E40" s="312"/>
      <c r="F40" s="312"/>
      <c r="G40" s="312"/>
      <c r="H40" s="312"/>
      <c r="I40" s="312"/>
      <c r="J40" s="312"/>
      <c r="K40" s="312"/>
      <c r="L40" s="312"/>
      <c r="M40" s="312"/>
      <c r="N40" s="313"/>
      <c r="P40" s="195">
        <v>29</v>
      </c>
      <c r="Q40" s="311"/>
      <c r="R40" s="312"/>
      <c r="S40" s="312"/>
      <c r="T40" s="312"/>
      <c r="U40" s="312"/>
      <c r="V40" s="312"/>
      <c r="W40" s="312"/>
      <c r="X40" s="312"/>
      <c r="Y40" s="312"/>
      <c r="Z40" s="312"/>
      <c r="AA40" s="312"/>
      <c r="AB40" s="312"/>
      <c r="AC40" s="313"/>
      <c r="AE40" s="195">
        <v>29</v>
      </c>
      <c r="AF40" s="311"/>
      <c r="AG40" s="312"/>
      <c r="AH40" s="312"/>
      <c r="AI40" s="312"/>
      <c r="AJ40" s="312"/>
      <c r="AK40" s="312"/>
      <c r="AL40" s="312"/>
      <c r="AM40" s="312"/>
      <c r="AN40" s="312"/>
      <c r="AO40" s="312"/>
      <c r="AP40" s="312"/>
      <c r="AQ40" s="312"/>
      <c r="AR40" s="313"/>
      <c r="AT40" s="195">
        <v>29</v>
      </c>
      <c r="AU40" s="311"/>
      <c r="AV40" s="312"/>
      <c r="AW40" s="312"/>
      <c r="AX40" s="312"/>
      <c r="AY40" s="312"/>
      <c r="AZ40" s="312"/>
      <c r="BA40" s="312"/>
      <c r="BB40" s="312"/>
      <c r="BC40" s="312"/>
      <c r="BD40" s="312"/>
      <c r="BE40" s="312"/>
      <c r="BF40" s="312"/>
      <c r="BG40" s="313"/>
    </row>
    <row r="41" spans="1:59">
      <c r="A41" s="195">
        <v>30</v>
      </c>
      <c r="B41" s="311"/>
      <c r="C41" s="312"/>
      <c r="D41" s="312"/>
      <c r="E41" s="312"/>
      <c r="F41" s="312"/>
      <c r="G41" s="312"/>
      <c r="H41" s="312"/>
      <c r="I41" s="312"/>
      <c r="J41" s="312"/>
      <c r="K41" s="312"/>
      <c r="L41" s="312"/>
      <c r="M41" s="312"/>
      <c r="N41" s="313"/>
      <c r="P41" s="195">
        <v>30</v>
      </c>
      <c r="Q41" s="311"/>
      <c r="R41" s="312"/>
      <c r="S41" s="312"/>
      <c r="T41" s="312"/>
      <c r="U41" s="312"/>
      <c r="V41" s="312"/>
      <c r="W41" s="312"/>
      <c r="X41" s="312"/>
      <c r="Y41" s="312"/>
      <c r="Z41" s="312"/>
      <c r="AA41" s="312"/>
      <c r="AB41" s="312"/>
      <c r="AC41" s="313"/>
      <c r="AE41" s="195">
        <v>30</v>
      </c>
      <c r="AF41" s="311"/>
      <c r="AG41" s="312"/>
      <c r="AH41" s="312"/>
      <c r="AI41" s="312"/>
      <c r="AJ41" s="312"/>
      <c r="AK41" s="312"/>
      <c r="AL41" s="312"/>
      <c r="AM41" s="312"/>
      <c r="AN41" s="312"/>
      <c r="AO41" s="312"/>
      <c r="AP41" s="312"/>
      <c r="AQ41" s="312"/>
      <c r="AR41" s="313"/>
      <c r="AT41" s="195">
        <v>30</v>
      </c>
      <c r="AU41" s="311"/>
      <c r="AV41" s="312"/>
      <c r="AW41" s="312"/>
      <c r="AX41" s="312"/>
      <c r="AY41" s="312"/>
      <c r="AZ41" s="312"/>
      <c r="BA41" s="312"/>
      <c r="BB41" s="312"/>
      <c r="BC41" s="312"/>
      <c r="BD41" s="312"/>
      <c r="BE41" s="312"/>
      <c r="BF41" s="312"/>
      <c r="BG41" s="313"/>
    </row>
    <row r="42" spans="1:59">
      <c r="A42" s="195">
        <v>31</v>
      </c>
      <c r="B42" s="311"/>
      <c r="C42" s="312"/>
      <c r="D42" s="312"/>
      <c r="E42" s="312"/>
      <c r="F42" s="312"/>
      <c r="G42" s="312"/>
      <c r="H42" s="312"/>
      <c r="I42" s="312"/>
      <c r="J42" s="312"/>
      <c r="K42" s="312"/>
      <c r="L42" s="312"/>
      <c r="M42" s="312"/>
      <c r="N42" s="313"/>
      <c r="P42" s="195">
        <v>31</v>
      </c>
      <c r="Q42" s="311"/>
      <c r="R42" s="312"/>
      <c r="S42" s="312"/>
      <c r="T42" s="312"/>
      <c r="U42" s="312"/>
      <c r="V42" s="312"/>
      <c r="W42" s="312"/>
      <c r="X42" s="312"/>
      <c r="Y42" s="312"/>
      <c r="Z42" s="312"/>
      <c r="AA42" s="312"/>
      <c r="AB42" s="312"/>
      <c r="AC42" s="313"/>
      <c r="AE42" s="195">
        <v>31</v>
      </c>
      <c r="AF42" s="311"/>
      <c r="AG42" s="312"/>
      <c r="AH42" s="312"/>
      <c r="AI42" s="312"/>
      <c r="AJ42" s="312"/>
      <c r="AK42" s="312"/>
      <c r="AL42" s="312"/>
      <c r="AM42" s="312"/>
      <c r="AN42" s="312"/>
      <c r="AO42" s="312"/>
      <c r="AP42" s="312"/>
      <c r="AQ42" s="312"/>
      <c r="AR42" s="313"/>
      <c r="AT42" s="195">
        <v>31</v>
      </c>
      <c r="AU42" s="311"/>
      <c r="AV42" s="312"/>
      <c r="AW42" s="312"/>
      <c r="AX42" s="312"/>
      <c r="AY42" s="312"/>
      <c r="AZ42" s="312"/>
      <c r="BA42" s="312"/>
      <c r="BB42" s="312"/>
      <c r="BC42" s="312"/>
      <c r="BD42" s="312"/>
      <c r="BE42" s="312"/>
      <c r="BF42" s="312"/>
      <c r="BG42" s="313"/>
    </row>
    <row r="43" spans="1:59">
      <c r="A43" s="195">
        <v>32</v>
      </c>
      <c r="B43" s="311"/>
      <c r="C43" s="312"/>
      <c r="D43" s="312"/>
      <c r="E43" s="312"/>
      <c r="F43" s="312"/>
      <c r="G43" s="312"/>
      <c r="H43" s="312"/>
      <c r="I43" s="312"/>
      <c r="J43" s="312"/>
      <c r="K43" s="312"/>
      <c r="L43" s="312"/>
      <c r="M43" s="312"/>
      <c r="N43" s="313"/>
      <c r="P43" s="195">
        <v>32</v>
      </c>
      <c r="Q43" s="311"/>
      <c r="R43" s="312"/>
      <c r="S43" s="312"/>
      <c r="T43" s="312"/>
      <c r="U43" s="312"/>
      <c r="V43" s="312"/>
      <c r="W43" s="312"/>
      <c r="X43" s="312"/>
      <c r="Y43" s="312"/>
      <c r="Z43" s="312"/>
      <c r="AA43" s="312"/>
      <c r="AB43" s="312"/>
      <c r="AC43" s="313"/>
      <c r="AE43" s="195">
        <v>32</v>
      </c>
      <c r="AF43" s="311"/>
      <c r="AG43" s="312"/>
      <c r="AH43" s="312"/>
      <c r="AI43" s="312"/>
      <c r="AJ43" s="312"/>
      <c r="AK43" s="312"/>
      <c r="AL43" s="312"/>
      <c r="AM43" s="312"/>
      <c r="AN43" s="312"/>
      <c r="AO43" s="312"/>
      <c r="AP43" s="312"/>
      <c r="AQ43" s="312"/>
      <c r="AR43" s="313"/>
      <c r="AT43" s="195">
        <v>32</v>
      </c>
      <c r="AU43" s="311"/>
      <c r="AV43" s="312"/>
      <c r="AW43" s="312"/>
      <c r="AX43" s="312"/>
      <c r="AY43" s="312"/>
      <c r="AZ43" s="312"/>
      <c r="BA43" s="312"/>
      <c r="BB43" s="312"/>
      <c r="BC43" s="312"/>
      <c r="BD43" s="312"/>
      <c r="BE43" s="312"/>
      <c r="BF43" s="312"/>
      <c r="BG43" s="313"/>
    </row>
    <row r="44" spans="1:59">
      <c r="A44" s="195">
        <v>33</v>
      </c>
      <c r="B44" s="311"/>
      <c r="C44" s="312"/>
      <c r="D44" s="312"/>
      <c r="E44" s="312"/>
      <c r="F44" s="312"/>
      <c r="G44" s="312"/>
      <c r="H44" s="312"/>
      <c r="I44" s="312"/>
      <c r="J44" s="312"/>
      <c r="K44" s="312"/>
      <c r="L44" s="312"/>
      <c r="M44" s="312"/>
      <c r="N44" s="313"/>
      <c r="P44" s="195">
        <v>33</v>
      </c>
      <c r="Q44" s="311"/>
      <c r="R44" s="312"/>
      <c r="S44" s="312"/>
      <c r="T44" s="312"/>
      <c r="U44" s="312"/>
      <c r="V44" s="312"/>
      <c r="W44" s="312"/>
      <c r="X44" s="312"/>
      <c r="Y44" s="312"/>
      <c r="Z44" s="312"/>
      <c r="AA44" s="312"/>
      <c r="AB44" s="312"/>
      <c r="AC44" s="313"/>
      <c r="AE44" s="195">
        <v>33</v>
      </c>
      <c r="AF44" s="311"/>
      <c r="AG44" s="312"/>
      <c r="AH44" s="312"/>
      <c r="AI44" s="312"/>
      <c r="AJ44" s="312"/>
      <c r="AK44" s="312"/>
      <c r="AL44" s="312"/>
      <c r="AM44" s="312"/>
      <c r="AN44" s="312"/>
      <c r="AO44" s="312"/>
      <c r="AP44" s="312"/>
      <c r="AQ44" s="312"/>
      <c r="AR44" s="313"/>
      <c r="AT44" s="195">
        <v>33</v>
      </c>
      <c r="AU44" s="311"/>
      <c r="AV44" s="312"/>
      <c r="AW44" s="312"/>
      <c r="AX44" s="312"/>
      <c r="AY44" s="312"/>
      <c r="AZ44" s="312"/>
      <c r="BA44" s="312"/>
      <c r="BB44" s="312"/>
      <c r="BC44" s="312"/>
      <c r="BD44" s="312"/>
      <c r="BE44" s="312"/>
      <c r="BF44" s="312"/>
      <c r="BG44" s="313"/>
    </row>
    <row r="45" spans="1:59">
      <c r="A45" s="195">
        <v>34</v>
      </c>
      <c r="B45" s="311"/>
      <c r="C45" s="312"/>
      <c r="D45" s="312"/>
      <c r="E45" s="312"/>
      <c r="F45" s="312"/>
      <c r="G45" s="312"/>
      <c r="H45" s="312"/>
      <c r="I45" s="312"/>
      <c r="J45" s="312"/>
      <c r="K45" s="312"/>
      <c r="L45" s="312"/>
      <c r="M45" s="312"/>
      <c r="N45" s="313"/>
      <c r="P45" s="195">
        <v>34</v>
      </c>
      <c r="Q45" s="311"/>
      <c r="R45" s="312"/>
      <c r="S45" s="312"/>
      <c r="T45" s="312"/>
      <c r="U45" s="312"/>
      <c r="V45" s="312"/>
      <c r="W45" s="312"/>
      <c r="X45" s="312"/>
      <c r="Y45" s="312"/>
      <c r="Z45" s="312"/>
      <c r="AA45" s="312"/>
      <c r="AB45" s="312"/>
      <c r="AC45" s="313"/>
      <c r="AE45" s="195">
        <v>34</v>
      </c>
      <c r="AF45" s="311"/>
      <c r="AG45" s="312"/>
      <c r="AH45" s="312"/>
      <c r="AI45" s="312"/>
      <c r="AJ45" s="312"/>
      <c r="AK45" s="312"/>
      <c r="AL45" s="312"/>
      <c r="AM45" s="312"/>
      <c r="AN45" s="312"/>
      <c r="AO45" s="312"/>
      <c r="AP45" s="312"/>
      <c r="AQ45" s="312"/>
      <c r="AR45" s="313"/>
      <c r="AT45" s="195">
        <v>34</v>
      </c>
      <c r="AU45" s="311"/>
      <c r="AV45" s="312"/>
      <c r="AW45" s="312"/>
      <c r="AX45" s="312"/>
      <c r="AY45" s="312"/>
      <c r="AZ45" s="312"/>
      <c r="BA45" s="312"/>
      <c r="BB45" s="312"/>
      <c r="BC45" s="312"/>
      <c r="BD45" s="312"/>
      <c r="BE45" s="312"/>
      <c r="BF45" s="312"/>
      <c r="BG45" s="313"/>
    </row>
    <row r="46" spans="1:59">
      <c r="A46" s="195">
        <v>35</v>
      </c>
      <c r="B46" s="311"/>
      <c r="C46" s="312"/>
      <c r="D46" s="312"/>
      <c r="E46" s="312"/>
      <c r="F46" s="312"/>
      <c r="G46" s="312"/>
      <c r="H46" s="312"/>
      <c r="I46" s="312"/>
      <c r="J46" s="312"/>
      <c r="K46" s="312"/>
      <c r="L46" s="312"/>
      <c r="M46" s="312"/>
      <c r="N46" s="313"/>
      <c r="P46" s="195">
        <v>35</v>
      </c>
      <c r="Q46" s="311"/>
      <c r="R46" s="312"/>
      <c r="S46" s="312"/>
      <c r="T46" s="312"/>
      <c r="U46" s="312"/>
      <c r="V46" s="312"/>
      <c r="W46" s="312"/>
      <c r="X46" s="312"/>
      <c r="Y46" s="312"/>
      <c r="Z46" s="312"/>
      <c r="AA46" s="312"/>
      <c r="AB46" s="312"/>
      <c r="AC46" s="313"/>
      <c r="AE46" s="195">
        <v>35</v>
      </c>
      <c r="AF46" s="311"/>
      <c r="AG46" s="312"/>
      <c r="AH46" s="312"/>
      <c r="AI46" s="312"/>
      <c r="AJ46" s="312"/>
      <c r="AK46" s="312"/>
      <c r="AL46" s="312"/>
      <c r="AM46" s="312"/>
      <c r="AN46" s="312"/>
      <c r="AO46" s="312"/>
      <c r="AP46" s="312"/>
      <c r="AQ46" s="312"/>
      <c r="AR46" s="313"/>
      <c r="AT46" s="195">
        <v>35</v>
      </c>
      <c r="AU46" s="311"/>
      <c r="AV46" s="312"/>
      <c r="AW46" s="312"/>
      <c r="AX46" s="312"/>
      <c r="AY46" s="312"/>
      <c r="AZ46" s="312"/>
      <c r="BA46" s="312"/>
      <c r="BB46" s="312"/>
      <c r="BC46" s="312"/>
      <c r="BD46" s="312"/>
      <c r="BE46" s="312"/>
      <c r="BF46" s="312"/>
      <c r="BG46" s="313"/>
    </row>
    <row r="47" spans="1:59">
      <c r="A47" s="195">
        <v>36</v>
      </c>
      <c r="B47" s="311"/>
      <c r="C47" s="312"/>
      <c r="D47" s="312"/>
      <c r="E47" s="312"/>
      <c r="F47" s="312"/>
      <c r="G47" s="312"/>
      <c r="H47" s="312"/>
      <c r="I47" s="312"/>
      <c r="J47" s="312"/>
      <c r="K47" s="312"/>
      <c r="L47" s="312"/>
      <c r="M47" s="312"/>
      <c r="N47" s="313"/>
      <c r="P47" s="195">
        <v>36</v>
      </c>
      <c r="Q47" s="311"/>
      <c r="R47" s="312"/>
      <c r="S47" s="312"/>
      <c r="T47" s="312"/>
      <c r="U47" s="312"/>
      <c r="V47" s="312"/>
      <c r="W47" s="312"/>
      <c r="X47" s="312"/>
      <c r="Y47" s="312"/>
      <c r="Z47" s="312"/>
      <c r="AA47" s="312"/>
      <c r="AB47" s="312"/>
      <c r="AC47" s="313"/>
      <c r="AE47" s="195">
        <v>36</v>
      </c>
      <c r="AF47" s="311"/>
      <c r="AG47" s="312"/>
      <c r="AH47" s="312"/>
      <c r="AI47" s="312"/>
      <c r="AJ47" s="312"/>
      <c r="AK47" s="312"/>
      <c r="AL47" s="312"/>
      <c r="AM47" s="312"/>
      <c r="AN47" s="312"/>
      <c r="AO47" s="312"/>
      <c r="AP47" s="312"/>
      <c r="AQ47" s="312"/>
      <c r="AR47" s="313"/>
      <c r="AT47" s="195">
        <v>36</v>
      </c>
      <c r="AU47" s="311"/>
      <c r="AV47" s="312"/>
      <c r="AW47" s="312"/>
      <c r="AX47" s="312"/>
      <c r="AY47" s="312"/>
      <c r="AZ47" s="312"/>
      <c r="BA47" s="312"/>
      <c r="BB47" s="312"/>
      <c r="BC47" s="312"/>
      <c r="BD47" s="312"/>
      <c r="BE47" s="312"/>
      <c r="BF47" s="312"/>
      <c r="BG47" s="313"/>
    </row>
    <row r="48" spans="1:59">
      <c r="A48" s="195">
        <v>37</v>
      </c>
      <c r="B48" s="311"/>
      <c r="C48" s="312"/>
      <c r="D48" s="312"/>
      <c r="E48" s="312"/>
      <c r="F48" s="312"/>
      <c r="G48" s="312"/>
      <c r="H48" s="312"/>
      <c r="I48" s="312"/>
      <c r="J48" s="312"/>
      <c r="K48" s="312"/>
      <c r="L48" s="312"/>
      <c r="M48" s="312"/>
      <c r="N48" s="313"/>
      <c r="P48" s="195">
        <v>37</v>
      </c>
      <c r="Q48" s="311"/>
      <c r="R48" s="312"/>
      <c r="S48" s="312"/>
      <c r="T48" s="312"/>
      <c r="U48" s="312"/>
      <c r="V48" s="312"/>
      <c r="W48" s="312"/>
      <c r="X48" s="312"/>
      <c r="Y48" s="312"/>
      <c r="Z48" s="312"/>
      <c r="AA48" s="312"/>
      <c r="AB48" s="312"/>
      <c r="AC48" s="313"/>
      <c r="AE48" s="195">
        <v>37</v>
      </c>
      <c r="AF48" s="311"/>
      <c r="AG48" s="312"/>
      <c r="AH48" s="312"/>
      <c r="AI48" s="312"/>
      <c r="AJ48" s="312"/>
      <c r="AK48" s="312"/>
      <c r="AL48" s="312"/>
      <c r="AM48" s="312"/>
      <c r="AN48" s="312"/>
      <c r="AO48" s="312"/>
      <c r="AP48" s="312"/>
      <c r="AQ48" s="312"/>
      <c r="AR48" s="313"/>
      <c r="AT48" s="195">
        <v>37</v>
      </c>
      <c r="AU48" s="311"/>
      <c r="AV48" s="312"/>
      <c r="AW48" s="312"/>
      <c r="AX48" s="312"/>
      <c r="AY48" s="312"/>
      <c r="AZ48" s="312"/>
      <c r="BA48" s="312"/>
      <c r="BB48" s="312"/>
      <c r="BC48" s="312"/>
      <c r="BD48" s="312"/>
      <c r="BE48" s="312"/>
      <c r="BF48" s="312"/>
      <c r="BG48" s="313"/>
    </row>
    <row r="49" spans="1:59">
      <c r="A49" s="195">
        <v>38</v>
      </c>
      <c r="B49" s="311"/>
      <c r="C49" s="312"/>
      <c r="D49" s="312"/>
      <c r="E49" s="312"/>
      <c r="F49" s="312"/>
      <c r="G49" s="312"/>
      <c r="H49" s="312"/>
      <c r="I49" s="312"/>
      <c r="J49" s="312"/>
      <c r="K49" s="312"/>
      <c r="L49" s="312"/>
      <c r="M49" s="312"/>
      <c r="N49" s="313"/>
      <c r="P49" s="195">
        <v>38</v>
      </c>
      <c r="Q49" s="311"/>
      <c r="R49" s="312"/>
      <c r="S49" s="312"/>
      <c r="T49" s="312"/>
      <c r="U49" s="312"/>
      <c r="V49" s="312"/>
      <c r="W49" s="312"/>
      <c r="X49" s="312"/>
      <c r="Y49" s="312"/>
      <c r="Z49" s="312"/>
      <c r="AA49" s="312"/>
      <c r="AB49" s="312"/>
      <c r="AC49" s="313"/>
      <c r="AE49" s="195">
        <v>38</v>
      </c>
      <c r="AF49" s="311"/>
      <c r="AG49" s="312"/>
      <c r="AH49" s="312"/>
      <c r="AI49" s="312"/>
      <c r="AJ49" s="312"/>
      <c r="AK49" s="312"/>
      <c r="AL49" s="312"/>
      <c r="AM49" s="312"/>
      <c r="AN49" s="312"/>
      <c r="AO49" s="312"/>
      <c r="AP49" s="312"/>
      <c r="AQ49" s="312"/>
      <c r="AR49" s="313"/>
      <c r="AT49" s="195">
        <v>38</v>
      </c>
      <c r="AU49" s="311"/>
      <c r="AV49" s="312"/>
      <c r="AW49" s="312"/>
      <c r="AX49" s="312"/>
      <c r="AY49" s="312"/>
      <c r="AZ49" s="312"/>
      <c r="BA49" s="312"/>
      <c r="BB49" s="312"/>
      <c r="BC49" s="312"/>
      <c r="BD49" s="312"/>
      <c r="BE49" s="312"/>
      <c r="BF49" s="312"/>
      <c r="BG49" s="313"/>
    </row>
    <row r="50" spans="1:59">
      <c r="A50" s="195">
        <v>39</v>
      </c>
      <c r="B50" s="311"/>
      <c r="C50" s="312"/>
      <c r="D50" s="312"/>
      <c r="E50" s="312"/>
      <c r="F50" s="312"/>
      <c r="G50" s="312"/>
      <c r="H50" s="312"/>
      <c r="I50" s="312"/>
      <c r="J50" s="312"/>
      <c r="K50" s="312"/>
      <c r="L50" s="312"/>
      <c r="M50" s="312"/>
      <c r="N50" s="313"/>
      <c r="P50" s="195">
        <v>39</v>
      </c>
      <c r="Q50" s="311"/>
      <c r="R50" s="312"/>
      <c r="S50" s="312"/>
      <c r="T50" s="312"/>
      <c r="U50" s="312"/>
      <c r="V50" s="312"/>
      <c r="W50" s="312"/>
      <c r="X50" s="312"/>
      <c r="Y50" s="312"/>
      <c r="Z50" s="312"/>
      <c r="AA50" s="312"/>
      <c r="AB50" s="312"/>
      <c r="AC50" s="313"/>
      <c r="AE50" s="195">
        <v>39</v>
      </c>
      <c r="AF50" s="311"/>
      <c r="AG50" s="312"/>
      <c r="AH50" s="312"/>
      <c r="AI50" s="312"/>
      <c r="AJ50" s="312"/>
      <c r="AK50" s="312"/>
      <c r="AL50" s="312"/>
      <c r="AM50" s="312"/>
      <c r="AN50" s="312"/>
      <c r="AO50" s="312"/>
      <c r="AP50" s="312"/>
      <c r="AQ50" s="312"/>
      <c r="AR50" s="313"/>
      <c r="AT50" s="195">
        <v>39</v>
      </c>
      <c r="AU50" s="311"/>
      <c r="AV50" s="312"/>
      <c r="AW50" s="312"/>
      <c r="AX50" s="312"/>
      <c r="AY50" s="312"/>
      <c r="AZ50" s="312"/>
      <c r="BA50" s="312"/>
      <c r="BB50" s="312"/>
      <c r="BC50" s="312"/>
      <c r="BD50" s="312"/>
      <c r="BE50" s="312"/>
      <c r="BF50" s="312"/>
      <c r="BG50" s="313"/>
    </row>
    <row r="51" spans="1:59">
      <c r="A51" s="195">
        <v>40</v>
      </c>
      <c r="B51" s="311"/>
      <c r="C51" s="312"/>
      <c r="D51" s="312"/>
      <c r="E51" s="312"/>
      <c r="F51" s="312"/>
      <c r="G51" s="312"/>
      <c r="H51" s="312"/>
      <c r="I51" s="312"/>
      <c r="J51" s="312"/>
      <c r="K51" s="312"/>
      <c r="L51" s="312"/>
      <c r="M51" s="312"/>
      <c r="N51" s="313"/>
      <c r="P51" s="195">
        <v>40</v>
      </c>
      <c r="Q51" s="311"/>
      <c r="R51" s="312"/>
      <c r="S51" s="312"/>
      <c r="T51" s="312"/>
      <c r="U51" s="312"/>
      <c r="V51" s="312"/>
      <c r="W51" s="312"/>
      <c r="X51" s="312"/>
      <c r="Y51" s="312"/>
      <c r="Z51" s="312"/>
      <c r="AA51" s="312"/>
      <c r="AB51" s="312"/>
      <c r="AC51" s="313"/>
      <c r="AE51" s="195">
        <v>40</v>
      </c>
      <c r="AF51" s="311"/>
      <c r="AG51" s="312"/>
      <c r="AH51" s="312"/>
      <c r="AI51" s="312"/>
      <c r="AJ51" s="312"/>
      <c r="AK51" s="312"/>
      <c r="AL51" s="312"/>
      <c r="AM51" s="312"/>
      <c r="AN51" s="312"/>
      <c r="AO51" s="312"/>
      <c r="AP51" s="312"/>
      <c r="AQ51" s="312"/>
      <c r="AR51" s="313"/>
      <c r="AT51" s="195">
        <v>40</v>
      </c>
      <c r="AU51" s="311"/>
      <c r="AV51" s="312"/>
      <c r="AW51" s="312"/>
      <c r="AX51" s="312"/>
      <c r="AY51" s="312"/>
      <c r="AZ51" s="312"/>
      <c r="BA51" s="312"/>
      <c r="BB51" s="312"/>
      <c r="BC51" s="312"/>
      <c r="BD51" s="312"/>
      <c r="BE51" s="312"/>
      <c r="BF51" s="312"/>
      <c r="BG51" s="313"/>
    </row>
    <row r="52" spans="1:59">
      <c r="A52" s="195">
        <v>41</v>
      </c>
      <c r="B52" s="311"/>
      <c r="C52" s="312"/>
      <c r="D52" s="312"/>
      <c r="E52" s="312"/>
      <c r="F52" s="312"/>
      <c r="G52" s="312"/>
      <c r="H52" s="312"/>
      <c r="I52" s="312"/>
      <c r="J52" s="312"/>
      <c r="K52" s="312"/>
      <c r="L52" s="312"/>
      <c r="M52" s="312"/>
      <c r="N52" s="313"/>
      <c r="P52" s="195">
        <v>41</v>
      </c>
      <c r="Q52" s="311"/>
      <c r="R52" s="312"/>
      <c r="S52" s="312"/>
      <c r="T52" s="312"/>
      <c r="U52" s="312"/>
      <c r="V52" s="312"/>
      <c r="W52" s="312"/>
      <c r="X52" s="312"/>
      <c r="Y52" s="312"/>
      <c r="Z52" s="312"/>
      <c r="AA52" s="312"/>
      <c r="AB52" s="312"/>
      <c r="AC52" s="313"/>
      <c r="AE52" s="195">
        <v>41</v>
      </c>
      <c r="AF52" s="311"/>
      <c r="AG52" s="312"/>
      <c r="AH52" s="312"/>
      <c r="AI52" s="312"/>
      <c r="AJ52" s="312"/>
      <c r="AK52" s="312"/>
      <c r="AL52" s="312"/>
      <c r="AM52" s="312"/>
      <c r="AN52" s="312"/>
      <c r="AO52" s="312"/>
      <c r="AP52" s="312"/>
      <c r="AQ52" s="312"/>
      <c r="AR52" s="313"/>
      <c r="AT52" s="195">
        <v>41</v>
      </c>
      <c r="AU52" s="311"/>
      <c r="AV52" s="312"/>
      <c r="AW52" s="312"/>
      <c r="AX52" s="312"/>
      <c r="AY52" s="312"/>
      <c r="AZ52" s="312"/>
      <c r="BA52" s="312"/>
      <c r="BB52" s="312"/>
      <c r="BC52" s="312"/>
      <c r="BD52" s="312"/>
      <c r="BE52" s="312"/>
      <c r="BF52" s="312"/>
      <c r="BG52" s="313"/>
    </row>
    <row r="53" spans="1:59">
      <c r="A53" s="195">
        <v>42</v>
      </c>
      <c r="B53" s="311"/>
      <c r="C53" s="312"/>
      <c r="D53" s="312"/>
      <c r="E53" s="312"/>
      <c r="F53" s="312"/>
      <c r="G53" s="312"/>
      <c r="H53" s="312"/>
      <c r="I53" s="312"/>
      <c r="J53" s="312"/>
      <c r="K53" s="312"/>
      <c r="L53" s="312"/>
      <c r="M53" s="312"/>
      <c r="N53" s="313"/>
      <c r="P53" s="195">
        <v>42</v>
      </c>
      <c r="Q53" s="311"/>
      <c r="R53" s="312"/>
      <c r="S53" s="312"/>
      <c r="T53" s="312"/>
      <c r="U53" s="312"/>
      <c r="V53" s="312"/>
      <c r="W53" s="312"/>
      <c r="X53" s="312"/>
      <c r="Y53" s="312"/>
      <c r="Z53" s="312"/>
      <c r="AA53" s="312"/>
      <c r="AB53" s="312"/>
      <c r="AC53" s="313"/>
      <c r="AE53" s="195">
        <v>42</v>
      </c>
      <c r="AF53" s="311"/>
      <c r="AG53" s="312"/>
      <c r="AH53" s="312"/>
      <c r="AI53" s="312"/>
      <c r="AJ53" s="312"/>
      <c r="AK53" s="312"/>
      <c r="AL53" s="312"/>
      <c r="AM53" s="312"/>
      <c r="AN53" s="312"/>
      <c r="AO53" s="312"/>
      <c r="AP53" s="312"/>
      <c r="AQ53" s="312"/>
      <c r="AR53" s="313"/>
      <c r="AT53" s="195">
        <v>42</v>
      </c>
      <c r="AU53" s="311"/>
      <c r="AV53" s="312"/>
      <c r="AW53" s="312"/>
      <c r="AX53" s="312"/>
      <c r="AY53" s="312"/>
      <c r="AZ53" s="312"/>
      <c r="BA53" s="312"/>
      <c r="BB53" s="312"/>
      <c r="BC53" s="312"/>
      <c r="BD53" s="312"/>
      <c r="BE53" s="312"/>
      <c r="BF53" s="312"/>
      <c r="BG53" s="313"/>
    </row>
    <row r="54" spans="1:59">
      <c r="A54" s="195">
        <v>43</v>
      </c>
      <c r="B54" s="311"/>
      <c r="C54" s="312"/>
      <c r="D54" s="312"/>
      <c r="E54" s="312"/>
      <c r="F54" s="312"/>
      <c r="G54" s="312"/>
      <c r="H54" s="312"/>
      <c r="I54" s="312"/>
      <c r="J54" s="312"/>
      <c r="K54" s="312"/>
      <c r="L54" s="312"/>
      <c r="M54" s="312"/>
      <c r="N54" s="313"/>
      <c r="P54" s="195">
        <v>43</v>
      </c>
      <c r="Q54" s="311"/>
      <c r="R54" s="312"/>
      <c r="S54" s="312"/>
      <c r="T54" s="312"/>
      <c r="U54" s="312"/>
      <c r="V54" s="312"/>
      <c r="W54" s="312"/>
      <c r="X54" s="312"/>
      <c r="Y54" s="312"/>
      <c r="Z54" s="312"/>
      <c r="AA54" s="312"/>
      <c r="AB54" s="312"/>
      <c r="AC54" s="313"/>
      <c r="AE54" s="195">
        <v>43</v>
      </c>
      <c r="AF54" s="311"/>
      <c r="AG54" s="312"/>
      <c r="AH54" s="312"/>
      <c r="AI54" s="312"/>
      <c r="AJ54" s="312"/>
      <c r="AK54" s="312"/>
      <c r="AL54" s="312"/>
      <c r="AM54" s="312"/>
      <c r="AN54" s="312"/>
      <c r="AO54" s="312"/>
      <c r="AP54" s="312"/>
      <c r="AQ54" s="312"/>
      <c r="AR54" s="313"/>
      <c r="AT54" s="195">
        <v>43</v>
      </c>
      <c r="AU54" s="311"/>
      <c r="AV54" s="312"/>
      <c r="AW54" s="312"/>
      <c r="AX54" s="312"/>
      <c r="AY54" s="312"/>
      <c r="AZ54" s="312"/>
      <c r="BA54" s="312"/>
      <c r="BB54" s="312"/>
      <c r="BC54" s="312"/>
      <c r="BD54" s="312"/>
      <c r="BE54" s="312"/>
      <c r="BF54" s="312"/>
      <c r="BG54" s="313"/>
    </row>
    <row r="55" spans="1:59">
      <c r="A55" s="195">
        <v>44</v>
      </c>
      <c r="B55" s="311"/>
      <c r="C55" s="312"/>
      <c r="D55" s="312"/>
      <c r="E55" s="312"/>
      <c r="F55" s="312"/>
      <c r="G55" s="312"/>
      <c r="H55" s="312"/>
      <c r="I55" s="312"/>
      <c r="J55" s="312"/>
      <c r="K55" s="312"/>
      <c r="L55" s="312"/>
      <c r="M55" s="312"/>
      <c r="N55" s="313"/>
      <c r="P55" s="195">
        <v>44</v>
      </c>
      <c r="Q55" s="311"/>
      <c r="R55" s="312"/>
      <c r="S55" s="312"/>
      <c r="T55" s="312"/>
      <c r="U55" s="312"/>
      <c r="V55" s="312"/>
      <c r="W55" s="312"/>
      <c r="X55" s="312"/>
      <c r="Y55" s="312"/>
      <c r="Z55" s="312"/>
      <c r="AA55" s="312"/>
      <c r="AB55" s="312"/>
      <c r="AC55" s="313"/>
      <c r="AE55" s="195">
        <v>44</v>
      </c>
      <c r="AF55" s="311"/>
      <c r="AG55" s="312"/>
      <c r="AH55" s="312"/>
      <c r="AI55" s="312"/>
      <c r="AJ55" s="312"/>
      <c r="AK55" s="312"/>
      <c r="AL55" s="312"/>
      <c r="AM55" s="312"/>
      <c r="AN55" s="312"/>
      <c r="AO55" s="312"/>
      <c r="AP55" s="312"/>
      <c r="AQ55" s="312"/>
      <c r="AR55" s="313"/>
      <c r="AT55" s="195">
        <v>44</v>
      </c>
      <c r="AU55" s="311"/>
      <c r="AV55" s="312"/>
      <c r="AW55" s="312"/>
      <c r="AX55" s="312"/>
      <c r="AY55" s="312"/>
      <c r="AZ55" s="312"/>
      <c r="BA55" s="312"/>
      <c r="BB55" s="312"/>
      <c r="BC55" s="312"/>
      <c r="BD55" s="312"/>
      <c r="BE55" s="312"/>
      <c r="BF55" s="312"/>
      <c r="BG55" s="313"/>
    </row>
    <row r="56" spans="1:59">
      <c r="A56" s="195">
        <v>45</v>
      </c>
      <c r="B56" s="311"/>
      <c r="C56" s="312"/>
      <c r="D56" s="312"/>
      <c r="E56" s="312"/>
      <c r="F56" s="312"/>
      <c r="G56" s="312"/>
      <c r="H56" s="312"/>
      <c r="I56" s="312"/>
      <c r="J56" s="312"/>
      <c r="K56" s="312"/>
      <c r="L56" s="312"/>
      <c r="M56" s="312"/>
      <c r="N56" s="313"/>
      <c r="P56" s="195">
        <v>45</v>
      </c>
      <c r="Q56" s="311"/>
      <c r="R56" s="312"/>
      <c r="S56" s="312"/>
      <c r="T56" s="312"/>
      <c r="U56" s="312"/>
      <c r="V56" s="312"/>
      <c r="W56" s="312"/>
      <c r="X56" s="312"/>
      <c r="Y56" s="312"/>
      <c r="Z56" s="312"/>
      <c r="AA56" s="312"/>
      <c r="AB56" s="312"/>
      <c r="AC56" s="313"/>
      <c r="AE56" s="195">
        <v>45</v>
      </c>
      <c r="AF56" s="311"/>
      <c r="AG56" s="312"/>
      <c r="AH56" s="312"/>
      <c r="AI56" s="312"/>
      <c r="AJ56" s="312"/>
      <c r="AK56" s="312"/>
      <c r="AL56" s="312"/>
      <c r="AM56" s="312"/>
      <c r="AN56" s="312"/>
      <c r="AO56" s="312"/>
      <c r="AP56" s="312"/>
      <c r="AQ56" s="312"/>
      <c r="AR56" s="313"/>
      <c r="AT56" s="195">
        <v>45</v>
      </c>
      <c r="AU56" s="311"/>
      <c r="AV56" s="312"/>
      <c r="AW56" s="312"/>
      <c r="AX56" s="312"/>
      <c r="AY56" s="312"/>
      <c r="AZ56" s="312"/>
      <c r="BA56" s="312"/>
      <c r="BB56" s="312"/>
      <c r="BC56" s="312"/>
      <c r="BD56" s="312"/>
      <c r="BE56" s="312"/>
      <c r="BF56" s="312"/>
      <c r="BG56" s="313"/>
    </row>
    <row r="57" spans="1:59">
      <c r="A57" s="195">
        <v>46</v>
      </c>
      <c r="B57" s="311"/>
      <c r="C57" s="312"/>
      <c r="D57" s="312"/>
      <c r="E57" s="312"/>
      <c r="F57" s="312"/>
      <c r="G57" s="312"/>
      <c r="H57" s="312"/>
      <c r="I57" s="312"/>
      <c r="J57" s="312"/>
      <c r="K57" s="312"/>
      <c r="L57" s="312"/>
      <c r="M57" s="312"/>
      <c r="N57" s="313"/>
      <c r="P57" s="195">
        <v>46</v>
      </c>
      <c r="Q57" s="311"/>
      <c r="R57" s="312"/>
      <c r="S57" s="312"/>
      <c r="T57" s="312"/>
      <c r="U57" s="312"/>
      <c r="V57" s="312"/>
      <c r="W57" s="312"/>
      <c r="X57" s="312"/>
      <c r="Y57" s="312"/>
      <c r="Z57" s="312"/>
      <c r="AA57" s="312"/>
      <c r="AB57" s="312"/>
      <c r="AC57" s="313"/>
      <c r="AE57" s="195">
        <v>46</v>
      </c>
      <c r="AF57" s="311"/>
      <c r="AG57" s="312"/>
      <c r="AH57" s="312"/>
      <c r="AI57" s="312"/>
      <c r="AJ57" s="312"/>
      <c r="AK57" s="312"/>
      <c r="AL57" s="312"/>
      <c r="AM57" s="312"/>
      <c r="AN57" s="312"/>
      <c r="AO57" s="312"/>
      <c r="AP57" s="312"/>
      <c r="AQ57" s="312"/>
      <c r="AR57" s="313"/>
      <c r="AT57" s="195">
        <v>46</v>
      </c>
      <c r="AU57" s="311"/>
      <c r="AV57" s="312"/>
      <c r="AW57" s="312"/>
      <c r="AX57" s="312"/>
      <c r="AY57" s="312"/>
      <c r="AZ57" s="312"/>
      <c r="BA57" s="312"/>
      <c r="BB57" s="312"/>
      <c r="BC57" s="312"/>
      <c r="BD57" s="312"/>
      <c r="BE57" s="312"/>
      <c r="BF57" s="312"/>
      <c r="BG57" s="313"/>
    </row>
    <row r="58" spans="1:59">
      <c r="A58" s="195">
        <v>47</v>
      </c>
      <c r="B58" s="311"/>
      <c r="C58" s="312"/>
      <c r="D58" s="312"/>
      <c r="E58" s="312"/>
      <c r="F58" s="312"/>
      <c r="G58" s="312"/>
      <c r="H58" s="312"/>
      <c r="I58" s="312"/>
      <c r="J58" s="312"/>
      <c r="K58" s="312"/>
      <c r="L58" s="312"/>
      <c r="M58" s="312"/>
      <c r="N58" s="313"/>
      <c r="P58" s="195">
        <v>47</v>
      </c>
      <c r="Q58" s="311"/>
      <c r="R58" s="312"/>
      <c r="S58" s="312"/>
      <c r="T58" s="312"/>
      <c r="U58" s="312"/>
      <c r="V58" s="312"/>
      <c r="W58" s="312"/>
      <c r="X58" s="312"/>
      <c r="Y58" s="312"/>
      <c r="Z58" s="312"/>
      <c r="AA58" s="312"/>
      <c r="AB58" s="312"/>
      <c r="AC58" s="313"/>
      <c r="AE58" s="195">
        <v>47</v>
      </c>
      <c r="AF58" s="311"/>
      <c r="AG58" s="312"/>
      <c r="AH58" s="312"/>
      <c r="AI58" s="312"/>
      <c r="AJ58" s="312"/>
      <c r="AK58" s="312"/>
      <c r="AL58" s="312"/>
      <c r="AM58" s="312"/>
      <c r="AN58" s="312"/>
      <c r="AO58" s="312"/>
      <c r="AP58" s="312"/>
      <c r="AQ58" s="312"/>
      <c r="AR58" s="313"/>
      <c r="AT58" s="195">
        <v>47</v>
      </c>
      <c r="AU58" s="311"/>
      <c r="AV58" s="312"/>
      <c r="AW58" s="312"/>
      <c r="AX58" s="312"/>
      <c r="AY58" s="312"/>
      <c r="AZ58" s="312"/>
      <c r="BA58" s="312"/>
      <c r="BB58" s="312"/>
      <c r="BC58" s="312"/>
      <c r="BD58" s="312"/>
      <c r="BE58" s="312"/>
      <c r="BF58" s="312"/>
      <c r="BG58" s="313"/>
    </row>
    <row r="59" spans="1:59">
      <c r="A59" s="195">
        <v>48</v>
      </c>
      <c r="B59" s="311"/>
      <c r="C59" s="312"/>
      <c r="D59" s="312"/>
      <c r="E59" s="312"/>
      <c r="F59" s="312"/>
      <c r="G59" s="312"/>
      <c r="H59" s="312"/>
      <c r="I59" s="312"/>
      <c r="J59" s="312"/>
      <c r="K59" s="312"/>
      <c r="L59" s="312"/>
      <c r="M59" s="312"/>
      <c r="N59" s="313"/>
      <c r="P59" s="195">
        <v>48</v>
      </c>
      <c r="Q59" s="311"/>
      <c r="R59" s="312"/>
      <c r="S59" s="312"/>
      <c r="T59" s="312"/>
      <c r="U59" s="312"/>
      <c r="V59" s="312"/>
      <c r="W59" s="312"/>
      <c r="X59" s="312"/>
      <c r="Y59" s="312"/>
      <c r="Z59" s="312"/>
      <c r="AA59" s="312"/>
      <c r="AB59" s="312"/>
      <c r="AC59" s="313"/>
      <c r="AE59" s="195">
        <v>48</v>
      </c>
      <c r="AF59" s="311"/>
      <c r="AG59" s="312"/>
      <c r="AH59" s="312"/>
      <c r="AI59" s="312"/>
      <c r="AJ59" s="312"/>
      <c r="AK59" s="312"/>
      <c r="AL59" s="312"/>
      <c r="AM59" s="312"/>
      <c r="AN59" s="312"/>
      <c r="AO59" s="312"/>
      <c r="AP59" s="312"/>
      <c r="AQ59" s="312"/>
      <c r="AR59" s="313"/>
      <c r="AT59" s="195">
        <v>48</v>
      </c>
      <c r="AU59" s="311"/>
      <c r="AV59" s="312"/>
      <c r="AW59" s="312"/>
      <c r="AX59" s="312"/>
      <c r="AY59" s="312"/>
      <c r="AZ59" s="312"/>
      <c r="BA59" s="312"/>
      <c r="BB59" s="312"/>
      <c r="BC59" s="312"/>
      <c r="BD59" s="312"/>
      <c r="BE59" s="312"/>
      <c r="BF59" s="312"/>
      <c r="BG59" s="313"/>
    </row>
    <row r="60" spans="1:59">
      <c r="A60" s="195">
        <v>49</v>
      </c>
      <c r="B60" s="311"/>
      <c r="C60" s="312"/>
      <c r="D60" s="312"/>
      <c r="E60" s="312"/>
      <c r="F60" s="312"/>
      <c r="G60" s="312"/>
      <c r="H60" s="312"/>
      <c r="I60" s="312"/>
      <c r="J60" s="312"/>
      <c r="K60" s="312"/>
      <c r="L60" s="312"/>
      <c r="M60" s="312"/>
      <c r="N60" s="313"/>
      <c r="P60" s="195">
        <v>49</v>
      </c>
      <c r="Q60" s="311"/>
      <c r="R60" s="312"/>
      <c r="S60" s="312"/>
      <c r="T60" s="312"/>
      <c r="U60" s="312"/>
      <c r="V60" s="312"/>
      <c r="W60" s="312"/>
      <c r="X60" s="312"/>
      <c r="Y60" s="312"/>
      <c r="Z60" s="312"/>
      <c r="AA60" s="312"/>
      <c r="AB60" s="312"/>
      <c r="AC60" s="313"/>
      <c r="AE60" s="195">
        <v>49</v>
      </c>
      <c r="AF60" s="311"/>
      <c r="AG60" s="312"/>
      <c r="AH60" s="312"/>
      <c r="AI60" s="312"/>
      <c r="AJ60" s="312"/>
      <c r="AK60" s="312"/>
      <c r="AL60" s="312"/>
      <c r="AM60" s="312"/>
      <c r="AN60" s="312"/>
      <c r="AO60" s="312"/>
      <c r="AP60" s="312"/>
      <c r="AQ60" s="312"/>
      <c r="AR60" s="313"/>
      <c r="AT60" s="195">
        <v>49</v>
      </c>
      <c r="AU60" s="311"/>
      <c r="AV60" s="312"/>
      <c r="AW60" s="312"/>
      <c r="AX60" s="312"/>
      <c r="AY60" s="312"/>
      <c r="AZ60" s="312"/>
      <c r="BA60" s="312"/>
      <c r="BB60" s="312"/>
      <c r="BC60" s="312"/>
      <c r="BD60" s="312"/>
      <c r="BE60" s="312"/>
      <c r="BF60" s="312"/>
      <c r="BG60" s="313"/>
    </row>
    <row r="61" spans="1:59">
      <c r="A61" s="195">
        <v>50</v>
      </c>
      <c r="B61" s="311"/>
      <c r="C61" s="312"/>
      <c r="D61" s="312"/>
      <c r="E61" s="312"/>
      <c r="F61" s="312"/>
      <c r="G61" s="312"/>
      <c r="H61" s="312"/>
      <c r="I61" s="312"/>
      <c r="J61" s="312"/>
      <c r="K61" s="312"/>
      <c r="L61" s="312"/>
      <c r="M61" s="312"/>
      <c r="N61" s="313"/>
      <c r="P61" s="195">
        <v>50</v>
      </c>
      <c r="Q61" s="311"/>
      <c r="R61" s="312"/>
      <c r="S61" s="312"/>
      <c r="T61" s="312"/>
      <c r="U61" s="312"/>
      <c r="V61" s="312"/>
      <c r="W61" s="312"/>
      <c r="X61" s="312"/>
      <c r="Y61" s="312"/>
      <c r="Z61" s="312"/>
      <c r="AA61" s="312"/>
      <c r="AB61" s="312"/>
      <c r="AC61" s="313"/>
      <c r="AE61" s="195">
        <v>50</v>
      </c>
      <c r="AF61" s="311"/>
      <c r="AG61" s="312"/>
      <c r="AH61" s="312"/>
      <c r="AI61" s="312"/>
      <c r="AJ61" s="312"/>
      <c r="AK61" s="312"/>
      <c r="AL61" s="312"/>
      <c r="AM61" s="312"/>
      <c r="AN61" s="312"/>
      <c r="AO61" s="312"/>
      <c r="AP61" s="312"/>
      <c r="AQ61" s="312"/>
      <c r="AR61" s="313"/>
      <c r="AT61" s="195">
        <v>50</v>
      </c>
      <c r="AU61" s="311"/>
      <c r="AV61" s="312"/>
      <c r="AW61" s="312"/>
      <c r="AX61" s="312"/>
      <c r="AY61" s="312"/>
      <c r="AZ61" s="312"/>
      <c r="BA61" s="312"/>
      <c r="BB61" s="312"/>
      <c r="BC61" s="312"/>
      <c r="BD61" s="312"/>
      <c r="BE61" s="312"/>
      <c r="BF61" s="312"/>
      <c r="BG61" s="313"/>
    </row>
    <row r="62" spans="1:59">
      <c r="A62" s="195">
        <v>51</v>
      </c>
      <c r="B62" s="311"/>
      <c r="C62" s="312"/>
      <c r="D62" s="312"/>
      <c r="E62" s="312"/>
      <c r="F62" s="312"/>
      <c r="G62" s="312"/>
      <c r="H62" s="312"/>
      <c r="I62" s="312"/>
      <c r="J62" s="312"/>
      <c r="K62" s="312"/>
      <c r="L62" s="312"/>
      <c r="M62" s="312"/>
      <c r="N62" s="313"/>
      <c r="P62" s="195">
        <v>51</v>
      </c>
      <c r="Q62" s="311"/>
      <c r="R62" s="312"/>
      <c r="S62" s="312"/>
      <c r="T62" s="312"/>
      <c r="U62" s="312"/>
      <c r="V62" s="312"/>
      <c r="W62" s="312"/>
      <c r="X62" s="312"/>
      <c r="Y62" s="312"/>
      <c r="Z62" s="312"/>
      <c r="AA62" s="312"/>
      <c r="AB62" s="312"/>
      <c r="AC62" s="313"/>
      <c r="AE62" s="195">
        <v>51</v>
      </c>
      <c r="AF62" s="311"/>
      <c r="AG62" s="312"/>
      <c r="AH62" s="312"/>
      <c r="AI62" s="312"/>
      <c r="AJ62" s="312"/>
      <c r="AK62" s="312"/>
      <c r="AL62" s="312"/>
      <c r="AM62" s="312"/>
      <c r="AN62" s="312"/>
      <c r="AO62" s="312"/>
      <c r="AP62" s="312"/>
      <c r="AQ62" s="312"/>
      <c r="AR62" s="313"/>
      <c r="AT62" s="195">
        <v>51</v>
      </c>
      <c r="AU62" s="311"/>
      <c r="AV62" s="312"/>
      <c r="AW62" s="312"/>
      <c r="AX62" s="312"/>
      <c r="AY62" s="312"/>
      <c r="AZ62" s="312"/>
      <c r="BA62" s="312"/>
      <c r="BB62" s="312"/>
      <c r="BC62" s="312"/>
      <c r="BD62" s="312"/>
      <c r="BE62" s="312"/>
      <c r="BF62" s="312"/>
      <c r="BG62" s="313"/>
    </row>
    <row r="63" spans="1:59">
      <c r="A63" s="195">
        <v>52</v>
      </c>
      <c r="B63" s="311"/>
      <c r="C63" s="312"/>
      <c r="D63" s="312"/>
      <c r="E63" s="312"/>
      <c r="F63" s="312"/>
      <c r="G63" s="312"/>
      <c r="H63" s="312"/>
      <c r="I63" s="312"/>
      <c r="J63" s="312"/>
      <c r="K63" s="312"/>
      <c r="L63" s="312"/>
      <c r="M63" s="312"/>
      <c r="N63" s="313"/>
      <c r="P63" s="195">
        <v>52</v>
      </c>
      <c r="Q63" s="311"/>
      <c r="R63" s="312"/>
      <c r="S63" s="312"/>
      <c r="T63" s="312"/>
      <c r="U63" s="312"/>
      <c r="V63" s="312"/>
      <c r="W63" s="312"/>
      <c r="X63" s="312"/>
      <c r="Y63" s="312"/>
      <c r="Z63" s="312"/>
      <c r="AA63" s="312"/>
      <c r="AB63" s="312"/>
      <c r="AC63" s="313"/>
      <c r="AE63" s="195">
        <v>52</v>
      </c>
      <c r="AF63" s="311"/>
      <c r="AG63" s="312"/>
      <c r="AH63" s="312"/>
      <c r="AI63" s="312"/>
      <c r="AJ63" s="312"/>
      <c r="AK63" s="312"/>
      <c r="AL63" s="312"/>
      <c r="AM63" s="312"/>
      <c r="AN63" s="312"/>
      <c r="AO63" s="312"/>
      <c r="AP63" s="312"/>
      <c r="AQ63" s="312"/>
      <c r="AR63" s="313"/>
      <c r="AT63" s="195">
        <v>52</v>
      </c>
      <c r="AU63" s="311"/>
      <c r="AV63" s="312"/>
      <c r="AW63" s="312"/>
      <c r="AX63" s="312"/>
      <c r="AY63" s="312"/>
      <c r="AZ63" s="312"/>
      <c r="BA63" s="312"/>
      <c r="BB63" s="312"/>
      <c r="BC63" s="312"/>
      <c r="BD63" s="312"/>
      <c r="BE63" s="312"/>
      <c r="BF63" s="312"/>
      <c r="BG63" s="313"/>
    </row>
    <row r="64" spans="1:59">
      <c r="A64" s="195">
        <v>53</v>
      </c>
      <c r="B64" s="311"/>
      <c r="C64" s="312"/>
      <c r="D64" s="312"/>
      <c r="E64" s="312"/>
      <c r="F64" s="312"/>
      <c r="G64" s="312"/>
      <c r="H64" s="312"/>
      <c r="I64" s="312"/>
      <c r="J64" s="312"/>
      <c r="K64" s="312"/>
      <c r="L64" s="312"/>
      <c r="M64" s="312"/>
      <c r="N64" s="313"/>
      <c r="P64" s="195">
        <v>53</v>
      </c>
      <c r="Q64" s="311"/>
      <c r="R64" s="312"/>
      <c r="S64" s="312"/>
      <c r="T64" s="312"/>
      <c r="U64" s="312"/>
      <c r="V64" s="312"/>
      <c r="W64" s="312"/>
      <c r="X64" s="312"/>
      <c r="Y64" s="312"/>
      <c r="Z64" s="312"/>
      <c r="AA64" s="312"/>
      <c r="AB64" s="312"/>
      <c r="AC64" s="313"/>
      <c r="AE64" s="195">
        <v>53</v>
      </c>
      <c r="AF64" s="311"/>
      <c r="AG64" s="312"/>
      <c r="AH64" s="312"/>
      <c r="AI64" s="312"/>
      <c r="AJ64" s="312"/>
      <c r="AK64" s="312"/>
      <c r="AL64" s="312"/>
      <c r="AM64" s="312"/>
      <c r="AN64" s="312"/>
      <c r="AO64" s="312"/>
      <c r="AP64" s="312"/>
      <c r="AQ64" s="312"/>
      <c r="AR64" s="313"/>
      <c r="AT64" s="195">
        <v>53</v>
      </c>
      <c r="AU64" s="311"/>
      <c r="AV64" s="312"/>
      <c r="AW64" s="312"/>
      <c r="AX64" s="312"/>
      <c r="AY64" s="312"/>
      <c r="AZ64" s="312"/>
      <c r="BA64" s="312"/>
      <c r="BB64" s="312"/>
      <c r="BC64" s="312"/>
      <c r="BD64" s="312"/>
      <c r="BE64" s="312"/>
      <c r="BF64" s="312"/>
      <c r="BG64" s="313"/>
    </row>
    <row r="65" spans="1:59">
      <c r="A65" s="195">
        <v>54</v>
      </c>
      <c r="B65" s="311"/>
      <c r="C65" s="312"/>
      <c r="D65" s="312"/>
      <c r="E65" s="312"/>
      <c r="F65" s="312"/>
      <c r="G65" s="312"/>
      <c r="H65" s="312"/>
      <c r="I65" s="312"/>
      <c r="J65" s="312"/>
      <c r="K65" s="312"/>
      <c r="L65" s="312"/>
      <c r="M65" s="312"/>
      <c r="N65" s="313"/>
      <c r="P65" s="195">
        <v>54</v>
      </c>
      <c r="Q65" s="311"/>
      <c r="R65" s="312"/>
      <c r="S65" s="312"/>
      <c r="T65" s="312"/>
      <c r="U65" s="312"/>
      <c r="V65" s="312"/>
      <c r="W65" s="312"/>
      <c r="X65" s="312"/>
      <c r="Y65" s="312"/>
      <c r="Z65" s="312"/>
      <c r="AA65" s="312"/>
      <c r="AB65" s="312"/>
      <c r="AC65" s="313"/>
      <c r="AE65" s="195">
        <v>54</v>
      </c>
      <c r="AF65" s="311"/>
      <c r="AG65" s="312"/>
      <c r="AH65" s="312"/>
      <c r="AI65" s="312"/>
      <c r="AJ65" s="312"/>
      <c r="AK65" s="312"/>
      <c r="AL65" s="312"/>
      <c r="AM65" s="312"/>
      <c r="AN65" s="312"/>
      <c r="AO65" s="312"/>
      <c r="AP65" s="312"/>
      <c r="AQ65" s="312"/>
      <c r="AR65" s="313"/>
      <c r="AT65" s="195">
        <v>54</v>
      </c>
      <c r="AU65" s="311"/>
      <c r="AV65" s="312"/>
      <c r="AW65" s="312"/>
      <c r="AX65" s="312"/>
      <c r="AY65" s="312"/>
      <c r="AZ65" s="312"/>
      <c r="BA65" s="312"/>
      <c r="BB65" s="312"/>
      <c r="BC65" s="312"/>
      <c r="BD65" s="312"/>
      <c r="BE65" s="312"/>
      <c r="BF65" s="312"/>
      <c r="BG65" s="313"/>
    </row>
    <row r="66" spans="1:59">
      <c r="A66" s="195">
        <v>55</v>
      </c>
      <c r="B66" s="311"/>
      <c r="C66" s="312"/>
      <c r="D66" s="312"/>
      <c r="E66" s="312"/>
      <c r="F66" s="312"/>
      <c r="G66" s="312"/>
      <c r="H66" s="312"/>
      <c r="I66" s="312"/>
      <c r="J66" s="312"/>
      <c r="K66" s="312"/>
      <c r="L66" s="312"/>
      <c r="M66" s="312"/>
      <c r="N66" s="313"/>
      <c r="P66" s="195">
        <v>55</v>
      </c>
      <c r="Q66" s="311"/>
      <c r="R66" s="312"/>
      <c r="S66" s="312"/>
      <c r="T66" s="312"/>
      <c r="U66" s="312"/>
      <c r="V66" s="312"/>
      <c r="W66" s="312"/>
      <c r="X66" s="312"/>
      <c r="Y66" s="312"/>
      <c r="Z66" s="312"/>
      <c r="AA66" s="312"/>
      <c r="AB66" s="312"/>
      <c r="AC66" s="313"/>
      <c r="AE66" s="195">
        <v>55</v>
      </c>
      <c r="AF66" s="311"/>
      <c r="AG66" s="312"/>
      <c r="AH66" s="312"/>
      <c r="AI66" s="312"/>
      <c r="AJ66" s="312"/>
      <c r="AK66" s="312"/>
      <c r="AL66" s="312"/>
      <c r="AM66" s="312"/>
      <c r="AN66" s="312"/>
      <c r="AO66" s="312"/>
      <c r="AP66" s="312"/>
      <c r="AQ66" s="312"/>
      <c r="AR66" s="313"/>
      <c r="AT66" s="195">
        <v>55</v>
      </c>
      <c r="AU66" s="311"/>
      <c r="AV66" s="312"/>
      <c r="AW66" s="312"/>
      <c r="AX66" s="312"/>
      <c r="AY66" s="312"/>
      <c r="AZ66" s="312"/>
      <c r="BA66" s="312"/>
      <c r="BB66" s="312"/>
      <c r="BC66" s="312"/>
      <c r="BD66" s="312"/>
      <c r="BE66" s="312"/>
      <c r="BF66" s="312"/>
      <c r="BG66" s="313"/>
    </row>
    <row r="67" spans="1:59">
      <c r="A67" s="195">
        <v>56</v>
      </c>
      <c r="B67" s="311"/>
      <c r="C67" s="312"/>
      <c r="D67" s="312"/>
      <c r="E67" s="312"/>
      <c r="F67" s="312"/>
      <c r="G67" s="312"/>
      <c r="H67" s="312"/>
      <c r="I67" s="312"/>
      <c r="J67" s="312"/>
      <c r="K67" s="312"/>
      <c r="L67" s="312"/>
      <c r="M67" s="312"/>
      <c r="N67" s="313"/>
      <c r="P67" s="195">
        <v>56</v>
      </c>
      <c r="Q67" s="311"/>
      <c r="R67" s="312"/>
      <c r="S67" s="312"/>
      <c r="T67" s="312"/>
      <c r="U67" s="312"/>
      <c r="V67" s="312"/>
      <c r="W67" s="312"/>
      <c r="X67" s="312"/>
      <c r="Y67" s="312"/>
      <c r="Z67" s="312"/>
      <c r="AA67" s="312"/>
      <c r="AB67" s="312"/>
      <c r="AC67" s="313"/>
      <c r="AE67" s="195">
        <v>56</v>
      </c>
      <c r="AF67" s="311"/>
      <c r="AG67" s="312"/>
      <c r="AH67" s="312"/>
      <c r="AI67" s="312"/>
      <c r="AJ67" s="312"/>
      <c r="AK67" s="312"/>
      <c r="AL67" s="312"/>
      <c r="AM67" s="312"/>
      <c r="AN67" s="312"/>
      <c r="AO67" s="312"/>
      <c r="AP67" s="312"/>
      <c r="AQ67" s="312"/>
      <c r="AR67" s="313"/>
      <c r="AT67" s="195">
        <v>56</v>
      </c>
      <c r="AU67" s="311"/>
      <c r="AV67" s="312"/>
      <c r="AW67" s="312"/>
      <c r="AX67" s="312"/>
      <c r="AY67" s="312"/>
      <c r="AZ67" s="312"/>
      <c r="BA67" s="312"/>
      <c r="BB67" s="312"/>
      <c r="BC67" s="312"/>
      <c r="BD67" s="312"/>
      <c r="BE67" s="312"/>
      <c r="BF67" s="312"/>
      <c r="BG67" s="313"/>
    </row>
    <row r="68" spans="1:59">
      <c r="A68" s="195">
        <v>57</v>
      </c>
      <c r="B68" s="311"/>
      <c r="C68" s="312"/>
      <c r="D68" s="312"/>
      <c r="E68" s="312"/>
      <c r="F68" s="312"/>
      <c r="G68" s="312"/>
      <c r="H68" s="312"/>
      <c r="I68" s="312"/>
      <c r="J68" s="312"/>
      <c r="K68" s="312"/>
      <c r="L68" s="312"/>
      <c r="M68" s="312"/>
      <c r="N68" s="313"/>
      <c r="P68" s="195">
        <v>57</v>
      </c>
      <c r="Q68" s="311"/>
      <c r="R68" s="312"/>
      <c r="S68" s="312"/>
      <c r="T68" s="312"/>
      <c r="U68" s="312"/>
      <c r="V68" s="312"/>
      <c r="W68" s="312"/>
      <c r="X68" s="312"/>
      <c r="Y68" s="312"/>
      <c r="Z68" s="312"/>
      <c r="AA68" s="312"/>
      <c r="AB68" s="312"/>
      <c r="AC68" s="313"/>
      <c r="AE68" s="195">
        <v>57</v>
      </c>
      <c r="AF68" s="311"/>
      <c r="AG68" s="312"/>
      <c r="AH68" s="312"/>
      <c r="AI68" s="312"/>
      <c r="AJ68" s="312"/>
      <c r="AK68" s="312"/>
      <c r="AL68" s="312"/>
      <c r="AM68" s="312"/>
      <c r="AN68" s="312"/>
      <c r="AO68" s="312"/>
      <c r="AP68" s="312"/>
      <c r="AQ68" s="312"/>
      <c r="AR68" s="313"/>
      <c r="AT68" s="195">
        <v>57</v>
      </c>
      <c r="AU68" s="311"/>
      <c r="AV68" s="312"/>
      <c r="AW68" s="312"/>
      <c r="AX68" s="312"/>
      <c r="AY68" s="312"/>
      <c r="AZ68" s="312"/>
      <c r="BA68" s="312"/>
      <c r="BB68" s="312"/>
      <c r="BC68" s="312"/>
      <c r="BD68" s="312"/>
      <c r="BE68" s="312"/>
      <c r="BF68" s="312"/>
      <c r="BG68" s="313"/>
    </row>
    <row r="69" spans="1:59">
      <c r="A69" s="195">
        <v>58</v>
      </c>
      <c r="B69" s="311"/>
      <c r="C69" s="312"/>
      <c r="D69" s="312"/>
      <c r="E69" s="312"/>
      <c r="F69" s="312"/>
      <c r="G69" s="312"/>
      <c r="H69" s="312"/>
      <c r="I69" s="312"/>
      <c r="J69" s="312"/>
      <c r="K69" s="312"/>
      <c r="L69" s="312"/>
      <c r="M69" s="312"/>
      <c r="N69" s="313"/>
      <c r="P69" s="195">
        <v>58</v>
      </c>
      <c r="Q69" s="311"/>
      <c r="R69" s="312"/>
      <c r="S69" s="312"/>
      <c r="T69" s="312"/>
      <c r="U69" s="312"/>
      <c r="V69" s="312"/>
      <c r="W69" s="312"/>
      <c r="X69" s="312"/>
      <c r="Y69" s="312"/>
      <c r="Z69" s="312"/>
      <c r="AA69" s="312"/>
      <c r="AB69" s="312"/>
      <c r="AC69" s="313"/>
      <c r="AE69" s="195">
        <v>58</v>
      </c>
      <c r="AF69" s="311"/>
      <c r="AG69" s="312"/>
      <c r="AH69" s="312"/>
      <c r="AI69" s="312"/>
      <c r="AJ69" s="312"/>
      <c r="AK69" s="312"/>
      <c r="AL69" s="312"/>
      <c r="AM69" s="312"/>
      <c r="AN69" s="312"/>
      <c r="AO69" s="312"/>
      <c r="AP69" s="312"/>
      <c r="AQ69" s="312"/>
      <c r="AR69" s="313"/>
      <c r="AT69" s="195">
        <v>58</v>
      </c>
      <c r="AU69" s="311"/>
      <c r="AV69" s="312"/>
      <c r="AW69" s="312"/>
      <c r="AX69" s="312"/>
      <c r="AY69" s="312"/>
      <c r="AZ69" s="312"/>
      <c r="BA69" s="312"/>
      <c r="BB69" s="312"/>
      <c r="BC69" s="312"/>
      <c r="BD69" s="312"/>
      <c r="BE69" s="312"/>
      <c r="BF69" s="312"/>
      <c r="BG69" s="313"/>
    </row>
    <row r="70" spans="1:59">
      <c r="A70" s="195">
        <v>59</v>
      </c>
      <c r="B70" s="311"/>
      <c r="C70" s="312"/>
      <c r="D70" s="312"/>
      <c r="E70" s="312"/>
      <c r="F70" s="312"/>
      <c r="G70" s="312"/>
      <c r="H70" s="312"/>
      <c r="I70" s="312"/>
      <c r="J70" s="312"/>
      <c r="K70" s="312"/>
      <c r="L70" s="312"/>
      <c r="M70" s="312"/>
      <c r="N70" s="313"/>
      <c r="P70" s="195">
        <v>59</v>
      </c>
      <c r="Q70" s="311"/>
      <c r="R70" s="312"/>
      <c r="S70" s="312"/>
      <c r="T70" s="312"/>
      <c r="U70" s="312"/>
      <c r="V70" s="312"/>
      <c r="W70" s="312"/>
      <c r="X70" s="312"/>
      <c r="Y70" s="312"/>
      <c r="Z70" s="312"/>
      <c r="AA70" s="312"/>
      <c r="AB70" s="312"/>
      <c r="AC70" s="313"/>
      <c r="AE70" s="195">
        <v>59</v>
      </c>
      <c r="AF70" s="311"/>
      <c r="AG70" s="312"/>
      <c r="AH70" s="312"/>
      <c r="AI70" s="312"/>
      <c r="AJ70" s="312"/>
      <c r="AK70" s="312"/>
      <c r="AL70" s="312"/>
      <c r="AM70" s="312"/>
      <c r="AN70" s="312"/>
      <c r="AO70" s="312"/>
      <c r="AP70" s="312"/>
      <c r="AQ70" s="312"/>
      <c r="AR70" s="313"/>
      <c r="AT70" s="195">
        <v>59</v>
      </c>
      <c r="AU70" s="311"/>
      <c r="AV70" s="312"/>
      <c r="AW70" s="312"/>
      <c r="AX70" s="312"/>
      <c r="AY70" s="312"/>
      <c r="AZ70" s="312"/>
      <c r="BA70" s="312"/>
      <c r="BB70" s="312"/>
      <c r="BC70" s="312"/>
      <c r="BD70" s="312"/>
      <c r="BE70" s="312"/>
      <c r="BF70" s="312"/>
      <c r="BG70" s="313"/>
    </row>
    <row r="71" spans="1:59">
      <c r="A71" s="195">
        <v>60</v>
      </c>
      <c r="B71" s="311"/>
      <c r="C71" s="312"/>
      <c r="D71" s="312"/>
      <c r="E71" s="312"/>
      <c r="F71" s="312"/>
      <c r="G71" s="312"/>
      <c r="H71" s="312"/>
      <c r="I71" s="312"/>
      <c r="J71" s="312"/>
      <c r="K71" s="312"/>
      <c r="L71" s="312"/>
      <c r="M71" s="312"/>
      <c r="N71" s="313"/>
      <c r="P71" s="195">
        <v>60</v>
      </c>
      <c r="Q71" s="311"/>
      <c r="R71" s="312"/>
      <c r="S71" s="312"/>
      <c r="T71" s="312"/>
      <c r="U71" s="312"/>
      <c r="V71" s="312"/>
      <c r="W71" s="312"/>
      <c r="X71" s="312"/>
      <c r="Y71" s="312"/>
      <c r="Z71" s="312"/>
      <c r="AA71" s="312"/>
      <c r="AB71" s="312"/>
      <c r="AC71" s="313"/>
      <c r="AE71" s="195">
        <v>60</v>
      </c>
      <c r="AF71" s="311"/>
      <c r="AG71" s="312"/>
      <c r="AH71" s="312"/>
      <c r="AI71" s="312"/>
      <c r="AJ71" s="312"/>
      <c r="AK71" s="312"/>
      <c r="AL71" s="312"/>
      <c r="AM71" s="312"/>
      <c r="AN71" s="312"/>
      <c r="AO71" s="312"/>
      <c r="AP71" s="312"/>
      <c r="AQ71" s="312"/>
      <c r="AR71" s="313"/>
      <c r="AT71" s="195">
        <v>60</v>
      </c>
      <c r="AU71" s="311"/>
      <c r="AV71" s="312"/>
      <c r="AW71" s="312"/>
      <c r="AX71" s="312"/>
      <c r="AY71" s="312"/>
      <c r="AZ71" s="312"/>
      <c r="BA71" s="312"/>
      <c r="BB71" s="312"/>
      <c r="BC71" s="312"/>
      <c r="BD71" s="312"/>
      <c r="BE71" s="312"/>
      <c r="BF71" s="312"/>
      <c r="BG71" s="313"/>
    </row>
    <row r="72" spans="1:59">
      <c r="A72" s="195">
        <v>61</v>
      </c>
      <c r="B72" s="311"/>
      <c r="C72" s="312"/>
      <c r="D72" s="312"/>
      <c r="E72" s="312"/>
      <c r="F72" s="312"/>
      <c r="G72" s="312"/>
      <c r="H72" s="312"/>
      <c r="I72" s="312"/>
      <c r="J72" s="312"/>
      <c r="K72" s="312"/>
      <c r="L72" s="312"/>
      <c r="M72" s="312"/>
      <c r="N72" s="313"/>
      <c r="P72" s="195">
        <v>61</v>
      </c>
      <c r="Q72" s="311"/>
      <c r="R72" s="312"/>
      <c r="S72" s="312"/>
      <c r="T72" s="312"/>
      <c r="U72" s="312"/>
      <c r="V72" s="312"/>
      <c r="W72" s="312"/>
      <c r="X72" s="312"/>
      <c r="Y72" s="312"/>
      <c r="Z72" s="312"/>
      <c r="AA72" s="312"/>
      <c r="AB72" s="312"/>
      <c r="AC72" s="313"/>
      <c r="AE72" s="195">
        <v>61</v>
      </c>
      <c r="AF72" s="311"/>
      <c r="AG72" s="312"/>
      <c r="AH72" s="312"/>
      <c r="AI72" s="312"/>
      <c r="AJ72" s="312"/>
      <c r="AK72" s="312"/>
      <c r="AL72" s="312"/>
      <c r="AM72" s="312"/>
      <c r="AN72" s="312"/>
      <c r="AO72" s="312"/>
      <c r="AP72" s="312"/>
      <c r="AQ72" s="312"/>
      <c r="AR72" s="313"/>
      <c r="AT72" s="195">
        <v>61</v>
      </c>
      <c r="AU72" s="311"/>
      <c r="AV72" s="312"/>
      <c r="AW72" s="312"/>
      <c r="AX72" s="312"/>
      <c r="AY72" s="312"/>
      <c r="AZ72" s="312"/>
      <c r="BA72" s="312"/>
      <c r="BB72" s="312"/>
      <c r="BC72" s="312"/>
      <c r="BD72" s="312"/>
      <c r="BE72" s="312"/>
      <c r="BF72" s="312"/>
      <c r="BG72" s="313"/>
    </row>
    <row r="73" spans="1:59">
      <c r="A73" s="195">
        <v>62</v>
      </c>
      <c r="B73" s="311"/>
      <c r="C73" s="312"/>
      <c r="D73" s="312"/>
      <c r="E73" s="312"/>
      <c r="F73" s="312"/>
      <c r="G73" s="312"/>
      <c r="H73" s="312"/>
      <c r="I73" s="312"/>
      <c r="J73" s="312"/>
      <c r="K73" s="312"/>
      <c r="L73" s="312"/>
      <c r="M73" s="312"/>
      <c r="N73" s="313"/>
      <c r="P73" s="195">
        <v>62</v>
      </c>
      <c r="Q73" s="311"/>
      <c r="R73" s="312"/>
      <c r="S73" s="312"/>
      <c r="T73" s="312"/>
      <c r="U73" s="312"/>
      <c r="V73" s="312"/>
      <c r="W73" s="312"/>
      <c r="X73" s="312"/>
      <c r="Y73" s="312"/>
      <c r="Z73" s="312"/>
      <c r="AA73" s="312"/>
      <c r="AB73" s="312"/>
      <c r="AC73" s="313"/>
      <c r="AE73" s="195">
        <v>62</v>
      </c>
      <c r="AF73" s="311"/>
      <c r="AG73" s="312"/>
      <c r="AH73" s="312"/>
      <c r="AI73" s="312"/>
      <c r="AJ73" s="312"/>
      <c r="AK73" s="312"/>
      <c r="AL73" s="312"/>
      <c r="AM73" s="312"/>
      <c r="AN73" s="312"/>
      <c r="AO73" s="312"/>
      <c r="AP73" s="312"/>
      <c r="AQ73" s="312"/>
      <c r="AR73" s="313"/>
      <c r="AT73" s="195">
        <v>62</v>
      </c>
      <c r="AU73" s="311"/>
      <c r="AV73" s="312"/>
      <c r="AW73" s="312"/>
      <c r="AX73" s="312"/>
      <c r="AY73" s="312"/>
      <c r="AZ73" s="312"/>
      <c r="BA73" s="312"/>
      <c r="BB73" s="312"/>
      <c r="BC73" s="312"/>
      <c r="BD73" s="312"/>
      <c r="BE73" s="312"/>
      <c r="BF73" s="312"/>
      <c r="BG73" s="313"/>
    </row>
    <row r="74" spans="1:59">
      <c r="A74" s="195">
        <v>63</v>
      </c>
      <c r="B74" s="311"/>
      <c r="C74" s="312"/>
      <c r="D74" s="312"/>
      <c r="E74" s="312"/>
      <c r="F74" s="312"/>
      <c r="G74" s="312"/>
      <c r="H74" s="312"/>
      <c r="I74" s="312"/>
      <c r="J74" s="312"/>
      <c r="K74" s="312"/>
      <c r="L74" s="312"/>
      <c r="M74" s="312"/>
      <c r="N74" s="313"/>
      <c r="P74" s="195">
        <v>63</v>
      </c>
      <c r="Q74" s="311"/>
      <c r="R74" s="312"/>
      <c r="S74" s="312"/>
      <c r="T74" s="312"/>
      <c r="U74" s="312"/>
      <c r="V74" s="312"/>
      <c r="W74" s="312"/>
      <c r="X74" s="312"/>
      <c r="Y74" s="312"/>
      <c r="Z74" s="312"/>
      <c r="AA74" s="312"/>
      <c r="AB74" s="312"/>
      <c r="AC74" s="313"/>
      <c r="AE74" s="195">
        <v>63</v>
      </c>
      <c r="AF74" s="311"/>
      <c r="AG74" s="312"/>
      <c r="AH74" s="312"/>
      <c r="AI74" s="312"/>
      <c r="AJ74" s="312"/>
      <c r="AK74" s="312"/>
      <c r="AL74" s="312"/>
      <c r="AM74" s="312"/>
      <c r="AN74" s="312"/>
      <c r="AO74" s="312"/>
      <c r="AP74" s="312"/>
      <c r="AQ74" s="312"/>
      <c r="AR74" s="313"/>
      <c r="AT74" s="195">
        <v>63</v>
      </c>
      <c r="AU74" s="311"/>
      <c r="AV74" s="312"/>
      <c r="AW74" s="312"/>
      <c r="AX74" s="312"/>
      <c r="AY74" s="312"/>
      <c r="AZ74" s="312"/>
      <c r="BA74" s="312"/>
      <c r="BB74" s="312"/>
      <c r="BC74" s="312"/>
      <c r="BD74" s="312"/>
      <c r="BE74" s="312"/>
      <c r="BF74" s="312"/>
      <c r="BG74" s="313"/>
    </row>
    <row r="75" spans="1:59">
      <c r="A75" s="195">
        <v>64</v>
      </c>
      <c r="B75" s="311"/>
      <c r="C75" s="312"/>
      <c r="D75" s="312"/>
      <c r="E75" s="312"/>
      <c r="F75" s="312"/>
      <c r="G75" s="312"/>
      <c r="H75" s="312"/>
      <c r="I75" s="312"/>
      <c r="J75" s="312"/>
      <c r="K75" s="312"/>
      <c r="L75" s="312"/>
      <c r="M75" s="312"/>
      <c r="N75" s="313"/>
      <c r="P75" s="195">
        <v>64</v>
      </c>
      <c r="Q75" s="311"/>
      <c r="R75" s="312"/>
      <c r="S75" s="312"/>
      <c r="T75" s="312"/>
      <c r="U75" s="312"/>
      <c r="V75" s="312"/>
      <c r="W75" s="312"/>
      <c r="X75" s="312"/>
      <c r="Y75" s="312"/>
      <c r="Z75" s="312"/>
      <c r="AA75" s="312"/>
      <c r="AB75" s="312"/>
      <c r="AC75" s="313"/>
      <c r="AE75" s="195">
        <v>64</v>
      </c>
      <c r="AF75" s="311"/>
      <c r="AG75" s="312"/>
      <c r="AH75" s="312"/>
      <c r="AI75" s="312"/>
      <c r="AJ75" s="312"/>
      <c r="AK75" s="312"/>
      <c r="AL75" s="312"/>
      <c r="AM75" s="312"/>
      <c r="AN75" s="312"/>
      <c r="AO75" s="312"/>
      <c r="AP75" s="312"/>
      <c r="AQ75" s="312"/>
      <c r="AR75" s="313"/>
      <c r="AT75" s="195">
        <v>64</v>
      </c>
      <c r="AU75" s="311"/>
      <c r="AV75" s="312"/>
      <c r="AW75" s="312"/>
      <c r="AX75" s="312"/>
      <c r="AY75" s="312"/>
      <c r="AZ75" s="312"/>
      <c r="BA75" s="312"/>
      <c r="BB75" s="312"/>
      <c r="BC75" s="312"/>
      <c r="BD75" s="312"/>
      <c r="BE75" s="312"/>
      <c r="BF75" s="312"/>
      <c r="BG75" s="313"/>
    </row>
    <row r="76" spans="1:59">
      <c r="A76" s="195">
        <v>65</v>
      </c>
      <c r="B76" s="311"/>
      <c r="C76" s="312"/>
      <c r="D76" s="312"/>
      <c r="E76" s="312"/>
      <c r="F76" s="312"/>
      <c r="G76" s="312"/>
      <c r="H76" s="312"/>
      <c r="I76" s="312"/>
      <c r="J76" s="312"/>
      <c r="K76" s="312"/>
      <c r="L76" s="312"/>
      <c r="M76" s="312"/>
      <c r="N76" s="313"/>
      <c r="P76" s="195">
        <v>65</v>
      </c>
      <c r="Q76" s="311"/>
      <c r="R76" s="312"/>
      <c r="S76" s="312"/>
      <c r="T76" s="312"/>
      <c r="U76" s="312"/>
      <c r="V76" s="312"/>
      <c r="W76" s="312"/>
      <c r="X76" s="312"/>
      <c r="Y76" s="312"/>
      <c r="Z76" s="312"/>
      <c r="AA76" s="312"/>
      <c r="AB76" s="312"/>
      <c r="AC76" s="313"/>
      <c r="AE76" s="195">
        <v>65</v>
      </c>
      <c r="AF76" s="311"/>
      <c r="AG76" s="312"/>
      <c r="AH76" s="312"/>
      <c r="AI76" s="312"/>
      <c r="AJ76" s="312"/>
      <c r="AK76" s="312"/>
      <c r="AL76" s="312"/>
      <c r="AM76" s="312"/>
      <c r="AN76" s="312"/>
      <c r="AO76" s="312"/>
      <c r="AP76" s="312"/>
      <c r="AQ76" s="312"/>
      <c r="AR76" s="313"/>
      <c r="AT76" s="195">
        <v>65</v>
      </c>
      <c r="AU76" s="311"/>
      <c r="AV76" s="312"/>
      <c r="AW76" s="312"/>
      <c r="AX76" s="312"/>
      <c r="AY76" s="312"/>
      <c r="AZ76" s="312"/>
      <c r="BA76" s="312"/>
      <c r="BB76" s="312"/>
      <c r="BC76" s="312"/>
      <c r="BD76" s="312"/>
      <c r="BE76" s="312"/>
      <c r="BF76" s="312"/>
      <c r="BG76" s="313"/>
    </row>
    <row r="77" spans="1:59">
      <c r="A77" s="195">
        <v>66</v>
      </c>
      <c r="B77" s="311"/>
      <c r="C77" s="312"/>
      <c r="D77" s="312"/>
      <c r="E77" s="312"/>
      <c r="F77" s="312"/>
      <c r="G77" s="312"/>
      <c r="H77" s="312"/>
      <c r="I77" s="312"/>
      <c r="J77" s="312"/>
      <c r="K77" s="312"/>
      <c r="L77" s="312"/>
      <c r="M77" s="312"/>
      <c r="N77" s="313"/>
      <c r="P77" s="195">
        <v>66</v>
      </c>
      <c r="Q77" s="311"/>
      <c r="R77" s="312"/>
      <c r="S77" s="312"/>
      <c r="T77" s="312"/>
      <c r="U77" s="312"/>
      <c r="V77" s="312"/>
      <c r="W77" s="312"/>
      <c r="X77" s="312"/>
      <c r="Y77" s="312"/>
      <c r="Z77" s="312"/>
      <c r="AA77" s="312"/>
      <c r="AB77" s="312"/>
      <c r="AC77" s="313"/>
      <c r="AE77" s="195">
        <v>66</v>
      </c>
      <c r="AF77" s="311"/>
      <c r="AG77" s="312"/>
      <c r="AH77" s="312"/>
      <c r="AI77" s="312"/>
      <c r="AJ77" s="312"/>
      <c r="AK77" s="312"/>
      <c r="AL77" s="312"/>
      <c r="AM77" s="312"/>
      <c r="AN77" s="312"/>
      <c r="AO77" s="312"/>
      <c r="AP77" s="312"/>
      <c r="AQ77" s="312"/>
      <c r="AR77" s="313"/>
      <c r="AT77" s="195">
        <v>66</v>
      </c>
      <c r="AU77" s="311"/>
      <c r="AV77" s="312"/>
      <c r="AW77" s="312"/>
      <c r="AX77" s="312"/>
      <c r="AY77" s="312"/>
      <c r="AZ77" s="312"/>
      <c r="BA77" s="312"/>
      <c r="BB77" s="312"/>
      <c r="BC77" s="312"/>
      <c r="BD77" s="312"/>
      <c r="BE77" s="312"/>
      <c r="BF77" s="312"/>
      <c r="BG77" s="313"/>
    </row>
    <row r="78" spans="1:59">
      <c r="A78" s="195">
        <v>67</v>
      </c>
      <c r="B78" s="311"/>
      <c r="C78" s="312"/>
      <c r="D78" s="312"/>
      <c r="E78" s="312"/>
      <c r="F78" s="312"/>
      <c r="G78" s="312"/>
      <c r="H78" s="312"/>
      <c r="I78" s="312"/>
      <c r="J78" s="312"/>
      <c r="K78" s="312"/>
      <c r="L78" s="312"/>
      <c r="M78" s="312"/>
      <c r="N78" s="313"/>
      <c r="P78" s="195">
        <v>67</v>
      </c>
      <c r="Q78" s="311"/>
      <c r="R78" s="312"/>
      <c r="S78" s="312"/>
      <c r="T78" s="312"/>
      <c r="U78" s="312"/>
      <c r="V78" s="312"/>
      <c r="W78" s="312"/>
      <c r="X78" s="312"/>
      <c r="Y78" s="312"/>
      <c r="Z78" s="312"/>
      <c r="AA78" s="312"/>
      <c r="AB78" s="312"/>
      <c r="AC78" s="313"/>
      <c r="AE78" s="195">
        <v>67</v>
      </c>
      <c r="AF78" s="311"/>
      <c r="AG78" s="312"/>
      <c r="AH78" s="312"/>
      <c r="AI78" s="312"/>
      <c r="AJ78" s="312"/>
      <c r="AK78" s="312"/>
      <c r="AL78" s="312"/>
      <c r="AM78" s="312"/>
      <c r="AN78" s="312"/>
      <c r="AO78" s="312"/>
      <c r="AP78" s="312"/>
      <c r="AQ78" s="312"/>
      <c r="AR78" s="313"/>
      <c r="AT78" s="195">
        <v>67</v>
      </c>
      <c r="AU78" s="311"/>
      <c r="AV78" s="312"/>
      <c r="AW78" s="312"/>
      <c r="AX78" s="312"/>
      <c r="AY78" s="312"/>
      <c r="AZ78" s="312"/>
      <c r="BA78" s="312"/>
      <c r="BB78" s="312"/>
      <c r="BC78" s="312"/>
      <c r="BD78" s="312"/>
      <c r="BE78" s="312"/>
      <c r="BF78" s="312"/>
      <c r="BG78" s="313"/>
    </row>
    <row r="79" spans="1:59">
      <c r="A79" s="195">
        <v>68</v>
      </c>
      <c r="B79" s="311"/>
      <c r="C79" s="312"/>
      <c r="D79" s="312"/>
      <c r="E79" s="312"/>
      <c r="F79" s="312"/>
      <c r="G79" s="312"/>
      <c r="H79" s="312"/>
      <c r="I79" s="312"/>
      <c r="J79" s="312"/>
      <c r="K79" s="312"/>
      <c r="L79" s="312"/>
      <c r="M79" s="312"/>
      <c r="N79" s="313"/>
      <c r="P79" s="195">
        <v>68</v>
      </c>
      <c r="Q79" s="311"/>
      <c r="R79" s="312"/>
      <c r="S79" s="312"/>
      <c r="T79" s="312"/>
      <c r="U79" s="312"/>
      <c r="V79" s="312"/>
      <c r="W79" s="312"/>
      <c r="X79" s="312"/>
      <c r="Y79" s="312"/>
      <c r="Z79" s="312"/>
      <c r="AA79" s="312"/>
      <c r="AB79" s="312"/>
      <c r="AC79" s="313"/>
      <c r="AE79" s="195">
        <v>68</v>
      </c>
      <c r="AF79" s="311"/>
      <c r="AG79" s="312"/>
      <c r="AH79" s="312"/>
      <c r="AI79" s="312"/>
      <c r="AJ79" s="312"/>
      <c r="AK79" s="312"/>
      <c r="AL79" s="312"/>
      <c r="AM79" s="312"/>
      <c r="AN79" s="312"/>
      <c r="AO79" s="312"/>
      <c r="AP79" s="312"/>
      <c r="AQ79" s="312"/>
      <c r="AR79" s="313"/>
      <c r="AT79" s="195">
        <v>68</v>
      </c>
      <c r="AU79" s="311"/>
      <c r="AV79" s="312"/>
      <c r="AW79" s="312"/>
      <c r="AX79" s="312"/>
      <c r="AY79" s="312"/>
      <c r="AZ79" s="312"/>
      <c r="BA79" s="312"/>
      <c r="BB79" s="312"/>
      <c r="BC79" s="312"/>
      <c r="BD79" s="312"/>
      <c r="BE79" s="312"/>
      <c r="BF79" s="312"/>
      <c r="BG79" s="313"/>
    </row>
    <row r="80" spans="1:59">
      <c r="A80" s="195">
        <v>69</v>
      </c>
      <c r="B80" s="311"/>
      <c r="C80" s="312"/>
      <c r="D80" s="312"/>
      <c r="E80" s="312"/>
      <c r="F80" s="312"/>
      <c r="G80" s="312"/>
      <c r="H80" s="312"/>
      <c r="I80" s="312"/>
      <c r="J80" s="312"/>
      <c r="K80" s="312"/>
      <c r="L80" s="312"/>
      <c r="M80" s="312"/>
      <c r="N80" s="313"/>
      <c r="P80" s="195">
        <v>69</v>
      </c>
      <c r="Q80" s="311"/>
      <c r="R80" s="312"/>
      <c r="S80" s="312"/>
      <c r="T80" s="312"/>
      <c r="U80" s="312"/>
      <c r="V80" s="312"/>
      <c r="W80" s="312"/>
      <c r="X80" s="312"/>
      <c r="Y80" s="312"/>
      <c r="Z80" s="312"/>
      <c r="AA80" s="312"/>
      <c r="AB80" s="312"/>
      <c r="AC80" s="313"/>
      <c r="AE80" s="195">
        <v>69</v>
      </c>
      <c r="AF80" s="311"/>
      <c r="AG80" s="312"/>
      <c r="AH80" s="312"/>
      <c r="AI80" s="312"/>
      <c r="AJ80" s="312"/>
      <c r="AK80" s="312"/>
      <c r="AL80" s="312"/>
      <c r="AM80" s="312"/>
      <c r="AN80" s="312"/>
      <c r="AO80" s="312"/>
      <c r="AP80" s="312"/>
      <c r="AQ80" s="312"/>
      <c r="AR80" s="313"/>
      <c r="AT80" s="195">
        <v>69</v>
      </c>
      <c r="AU80" s="311"/>
      <c r="AV80" s="312"/>
      <c r="AW80" s="312"/>
      <c r="AX80" s="312"/>
      <c r="AY80" s="312"/>
      <c r="AZ80" s="312"/>
      <c r="BA80" s="312"/>
      <c r="BB80" s="312"/>
      <c r="BC80" s="312"/>
      <c r="BD80" s="312"/>
      <c r="BE80" s="312"/>
      <c r="BF80" s="312"/>
      <c r="BG80" s="313"/>
    </row>
    <row r="81" spans="1:59">
      <c r="A81" s="195">
        <v>70</v>
      </c>
      <c r="B81" s="311"/>
      <c r="C81" s="312"/>
      <c r="D81" s="312"/>
      <c r="E81" s="312"/>
      <c r="F81" s="312"/>
      <c r="G81" s="312"/>
      <c r="H81" s="312"/>
      <c r="I81" s="312"/>
      <c r="J81" s="312"/>
      <c r="K81" s="312"/>
      <c r="L81" s="312"/>
      <c r="M81" s="312"/>
      <c r="N81" s="313"/>
      <c r="P81" s="195">
        <v>70</v>
      </c>
      <c r="Q81" s="311"/>
      <c r="R81" s="312"/>
      <c r="S81" s="312"/>
      <c r="T81" s="312"/>
      <c r="U81" s="312"/>
      <c r="V81" s="312"/>
      <c r="W81" s="312"/>
      <c r="X81" s="312"/>
      <c r="Y81" s="312"/>
      <c r="Z81" s="312"/>
      <c r="AA81" s="312"/>
      <c r="AB81" s="312"/>
      <c r="AC81" s="313"/>
      <c r="AE81" s="195">
        <v>70</v>
      </c>
      <c r="AF81" s="311"/>
      <c r="AG81" s="312"/>
      <c r="AH81" s="312"/>
      <c r="AI81" s="312"/>
      <c r="AJ81" s="312"/>
      <c r="AK81" s="312"/>
      <c r="AL81" s="312"/>
      <c r="AM81" s="312"/>
      <c r="AN81" s="312"/>
      <c r="AO81" s="312"/>
      <c r="AP81" s="312"/>
      <c r="AQ81" s="312"/>
      <c r="AR81" s="313"/>
      <c r="AT81" s="195">
        <v>70</v>
      </c>
      <c r="AU81" s="311"/>
      <c r="AV81" s="312"/>
      <c r="AW81" s="312"/>
      <c r="AX81" s="312"/>
      <c r="AY81" s="312"/>
      <c r="AZ81" s="312"/>
      <c r="BA81" s="312"/>
      <c r="BB81" s="312"/>
      <c r="BC81" s="312"/>
      <c r="BD81" s="312"/>
      <c r="BE81" s="312"/>
      <c r="BF81" s="312"/>
      <c r="BG81" s="313"/>
    </row>
    <row r="82" spans="1:59">
      <c r="A82" s="195">
        <v>71</v>
      </c>
      <c r="B82" s="311"/>
      <c r="C82" s="312"/>
      <c r="D82" s="312"/>
      <c r="E82" s="312"/>
      <c r="F82" s="312"/>
      <c r="G82" s="312"/>
      <c r="H82" s="312"/>
      <c r="I82" s="312"/>
      <c r="J82" s="312"/>
      <c r="K82" s="312"/>
      <c r="L82" s="312"/>
      <c r="M82" s="312"/>
      <c r="N82" s="313"/>
      <c r="P82" s="195">
        <v>71</v>
      </c>
      <c r="Q82" s="311"/>
      <c r="R82" s="312"/>
      <c r="S82" s="312"/>
      <c r="T82" s="312"/>
      <c r="U82" s="312"/>
      <c r="V82" s="312"/>
      <c r="W82" s="312"/>
      <c r="X82" s="312"/>
      <c r="Y82" s="312"/>
      <c r="Z82" s="312"/>
      <c r="AA82" s="312"/>
      <c r="AB82" s="312"/>
      <c r="AC82" s="313"/>
      <c r="AE82" s="195">
        <v>71</v>
      </c>
      <c r="AF82" s="311"/>
      <c r="AG82" s="312"/>
      <c r="AH82" s="312"/>
      <c r="AI82" s="312"/>
      <c r="AJ82" s="312"/>
      <c r="AK82" s="312"/>
      <c r="AL82" s="312"/>
      <c r="AM82" s="312"/>
      <c r="AN82" s="312"/>
      <c r="AO82" s="312"/>
      <c r="AP82" s="312"/>
      <c r="AQ82" s="312"/>
      <c r="AR82" s="313"/>
      <c r="AT82" s="195">
        <v>71</v>
      </c>
      <c r="AU82" s="311"/>
      <c r="AV82" s="312"/>
      <c r="AW82" s="312"/>
      <c r="AX82" s="312"/>
      <c r="AY82" s="312"/>
      <c r="AZ82" s="312"/>
      <c r="BA82" s="312"/>
      <c r="BB82" s="312"/>
      <c r="BC82" s="312"/>
      <c r="BD82" s="312"/>
      <c r="BE82" s="312"/>
      <c r="BF82" s="312"/>
      <c r="BG82" s="313"/>
    </row>
    <row r="83" spans="1:59">
      <c r="A83" s="195">
        <v>72</v>
      </c>
      <c r="B83" s="311"/>
      <c r="C83" s="312"/>
      <c r="D83" s="312"/>
      <c r="E83" s="312"/>
      <c r="F83" s="312"/>
      <c r="G83" s="312"/>
      <c r="H83" s="312"/>
      <c r="I83" s="312"/>
      <c r="J83" s="312"/>
      <c r="K83" s="312"/>
      <c r="L83" s="312"/>
      <c r="M83" s="312"/>
      <c r="N83" s="313"/>
      <c r="P83" s="195">
        <v>72</v>
      </c>
      <c r="Q83" s="311"/>
      <c r="R83" s="312"/>
      <c r="S83" s="312"/>
      <c r="T83" s="312"/>
      <c r="U83" s="312"/>
      <c r="V83" s="312"/>
      <c r="W83" s="312"/>
      <c r="X83" s="312"/>
      <c r="Y83" s="312"/>
      <c r="Z83" s="312"/>
      <c r="AA83" s="312"/>
      <c r="AB83" s="312"/>
      <c r="AC83" s="313"/>
      <c r="AE83" s="195">
        <v>72</v>
      </c>
      <c r="AF83" s="311"/>
      <c r="AG83" s="312"/>
      <c r="AH83" s="312"/>
      <c r="AI83" s="312"/>
      <c r="AJ83" s="312"/>
      <c r="AK83" s="312"/>
      <c r="AL83" s="312"/>
      <c r="AM83" s="312"/>
      <c r="AN83" s="312"/>
      <c r="AO83" s="312"/>
      <c r="AP83" s="312"/>
      <c r="AQ83" s="312"/>
      <c r="AR83" s="313"/>
      <c r="AT83" s="195">
        <v>72</v>
      </c>
      <c r="AU83" s="311"/>
      <c r="AV83" s="312"/>
      <c r="AW83" s="312"/>
      <c r="AX83" s="312"/>
      <c r="AY83" s="312"/>
      <c r="AZ83" s="312"/>
      <c r="BA83" s="312"/>
      <c r="BB83" s="312"/>
      <c r="BC83" s="312"/>
      <c r="BD83" s="312"/>
      <c r="BE83" s="312"/>
      <c r="BF83" s="312"/>
      <c r="BG83" s="313"/>
    </row>
    <row r="84" spans="1:59">
      <c r="A84" s="195">
        <v>73</v>
      </c>
      <c r="B84" s="311"/>
      <c r="C84" s="312"/>
      <c r="D84" s="312"/>
      <c r="E84" s="312"/>
      <c r="F84" s="312"/>
      <c r="G84" s="312"/>
      <c r="H84" s="312"/>
      <c r="I84" s="312"/>
      <c r="J84" s="312"/>
      <c r="K84" s="312"/>
      <c r="L84" s="312"/>
      <c r="M84" s="312"/>
      <c r="N84" s="313"/>
      <c r="P84" s="195">
        <v>73</v>
      </c>
      <c r="Q84" s="311"/>
      <c r="R84" s="312"/>
      <c r="S84" s="312"/>
      <c r="T84" s="312"/>
      <c r="U84" s="312"/>
      <c r="V84" s="312"/>
      <c r="W84" s="312"/>
      <c r="X84" s="312"/>
      <c r="Y84" s="312"/>
      <c r="Z84" s="312"/>
      <c r="AA84" s="312"/>
      <c r="AB84" s="312"/>
      <c r="AC84" s="313"/>
      <c r="AE84" s="195">
        <v>73</v>
      </c>
      <c r="AF84" s="311"/>
      <c r="AG84" s="312"/>
      <c r="AH84" s="312"/>
      <c r="AI84" s="312"/>
      <c r="AJ84" s="312"/>
      <c r="AK84" s="312"/>
      <c r="AL84" s="312"/>
      <c r="AM84" s="312"/>
      <c r="AN84" s="312"/>
      <c r="AO84" s="312"/>
      <c r="AP84" s="312"/>
      <c r="AQ84" s="312"/>
      <c r="AR84" s="313"/>
      <c r="AT84" s="195">
        <v>73</v>
      </c>
      <c r="AU84" s="311"/>
      <c r="AV84" s="312"/>
      <c r="AW84" s="312"/>
      <c r="AX84" s="312"/>
      <c r="AY84" s="312"/>
      <c r="AZ84" s="312"/>
      <c r="BA84" s="312"/>
      <c r="BB84" s="312"/>
      <c r="BC84" s="312"/>
      <c r="BD84" s="312"/>
      <c r="BE84" s="312"/>
      <c r="BF84" s="312"/>
      <c r="BG84" s="313"/>
    </row>
    <row r="85" spans="1:59">
      <c r="A85" s="195">
        <v>74</v>
      </c>
      <c r="B85" s="311"/>
      <c r="C85" s="312"/>
      <c r="D85" s="312"/>
      <c r="E85" s="312"/>
      <c r="F85" s="312"/>
      <c r="G85" s="312"/>
      <c r="H85" s="312"/>
      <c r="I85" s="312"/>
      <c r="J85" s="312"/>
      <c r="K85" s="312"/>
      <c r="L85" s="312"/>
      <c r="M85" s="312"/>
      <c r="N85" s="313"/>
      <c r="P85" s="195">
        <v>74</v>
      </c>
      <c r="Q85" s="311"/>
      <c r="R85" s="312"/>
      <c r="S85" s="312"/>
      <c r="T85" s="312"/>
      <c r="U85" s="312"/>
      <c r="V85" s="312"/>
      <c r="W85" s="312"/>
      <c r="X85" s="312"/>
      <c r="Y85" s="312"/>
      <c r="Z85" s="312"/>
      <c r="AA85" s="312"/>
      <c r="AB85" s="312"/>
      <c r="AC85" s="313"/>
      <c r="AE85" s="195">
        <v>74</v>
      </c>
      <c r="AF85" s="311"/>
      <c r="AG85" s="312"/>
      <c r="AH85" s="312"/>
      <c r="AI85" s="312"/>
      <c r="AJ85" s="312"/>
      <c r="AK85" s="312"/>
      <c r="AL85" s="312"/>
      <c r="AM85" s="312"/>
      <c r="AN85" s="312"/>
      <c r="AO85" s="312"/>
      <c r="AP85" s="312"/>
      <c r="AQ85" s="312"/>
      <c r="AR85" s="313"/>
      <c r="AT85" s="195">
        <v>74</v>
      </c>
      <c r="AU85" s="311"/>
      <c r="AV85" s="312"/>
      <c r="AW85" s="312"/>
      <c r="AX85" s="312"/>
      <c r="AY85" s="312"/>
      <c r="AZ85" s="312"/>
      <c r="BA85" s="312"/>
      <c r="BB85" s="312"/>
      <c r="BC85" s="312"/>
      <c r="BD85" s="312"/>
      <c r="BE85" s="312"/>
      <c r="BF85" s="312"/>
      <c r="BG85" s="313"/>
    </row>
    <row r="86" spans="1:59">
      <c r="A86" s="195">
        <v>75</v>
      </c>
      <c r="B86" s="311"/>
      <c r="C86" s="312"/>
      <c r="D86" s="312"/>
      <c r="E86" s="312"/>
      <c r="F86" s="312"/>
      <c r="G86" s="312"/>
      <c r="H86" s="312"/>
      <c r="I86" s="312"/>
      <c r="J86" s="312"/>
      <c r="K86" s="312"/>
      <c r="L86" s="312"/>
      <c r="M86" s="312"/>
      <c r="N86" s="313"/>
      <c r="P86" s="195">
        <v>75</v>
      </c>
      <c r="Q86" s="311"/>
      <c r="R86" s="312"/>
      <c r="S86" s="312"/>
      <c r="T86" s="312"/>
      <c r="U86" s="312"/>
      <c r="V86" s="312"/>
      <c r="W86" s="312"/>
      <c r="X86" s="312"/>
      <c r="Y86" s="312"/>
      <c r="Z86" s="312"/>
      <c r="AA86" s="312"/>
      <c r="AB86" s="312"/>
      <c r="AC86" s="313"/>
      <c r="AE86" s="195">
        <v>75</v>
      </c>
      <c r="AF86" s="311"/>
      <c r="AG86" s="312"/>
      <c r="AH86" s="312"/>
      <c r="AI86" s="312"/>
      <c r="AJ86" s="312"/>
      <c r="AK86" s="312"/>
      <c r="AL86" s="312"/>
      <c r="AM86" s="312"/>
      <c r="AN86" s="312"/>
      <c r="AO86" s="312"/>
      <c r="AP86" s="312"/>
      <c r="AQ86" s="312"/>
      <c r="AR86" s="313"/>
      <c r="AT86" s="195">
        <v>75</v>
      </c>
      <c r="AU86" s="311"/>
      <c r="AV86" s="312"/>
      <c r="AW86" s="312"/>
      <c r="AX86" s="312"/>
      <c r="AY86" s="312"/>
      <c r="AZ86" s="312"/>
      <c r="BA86" s="312"/>
      <c r="BB86" s="312"/>
      <c r="BC86" s="312"/>
      <c r="BD86" s="312"/>
      <c r="BE86" s="312"/>
      <c r="BF86" s="312"/>
      <c r="BG86" s="313"/>
    </row>
    <row r="87" spans="1:59">
      <c r="A87" s="195">
        <v>76</v>
      </c>
      <c r="B87" s="311"/>
      <c r="C87" s="312"/>
      <c r="D87" s="312"/>
      <c r="E87" s="312"/>
      <c r="F87" s="312"/>
      <c r="G87" s="312"/>
      <c r="H87" s="312"/>
      <c r="I87" s="312"/>
      <c r="J87" s="312"/>
      <c r="K87" s="312"/>
      <c r="L87" s="312"/>
      <c r="M87" s="312"/>
      <c r="N87" s="313"/>
      <c r="P87" s="195">
        <v>76</v>
      </c>
      <c r="Q87" s="311"/>
      <c r="R87" s="312"/>
      <c r="S87" s="312"/>
      <c r="T87" s="312"/>
      <c r="U87" s="312"/>
      <c r="V87" s="312"/>
      <c r="W87" s="312"/>
      <c r="X87" s="312"/>
      <c r="Y87" s="312"/>
      <c r="Z87" s="312"/>
      <c r="AA87" s="312"/>
      <c r="AB87" s="312"/>
      <c r="AC87" s="313"/>
      <c r="AE87" s="195">
        <v>76</v>
      </c>
      <c r="AF87" s="311"/>
      <c r="AG87" s="312"/>
      <c r="AH87" s="312"/>
      <c r="AI87" s="312"/>
      <c r="AJ87" s="312"/>
      <c r="AK87" s="312"/>
      <c r="AL87" s="312"/>
      <c r="AM87" s="312"/>
      <c r="AN87" s="312"/>
      <c r="AO87" s="312"/>
      <c r="AP87" s="312"/>
      <c r="AQ87" s="312"/>
      <c r="AR87" s="313"/>
      <c r="AT87" s="195">
        <v>76</v>
      </c>
      <c r="AU87" s="311"/>
      <c r="AV87" s="312"/>
      <c r="AW87" s="312"/>
      <c r="AX87" s="312"/>
      <c r="AY87" s="312"/>
      <c r="AZ87" s="312"/>
      <c r="BA87" s="312"/>
      <c r="BB87" s="312"/>
      <c r="BC87" s="312"/>
      <c r="BD87" s="312"/>
      <c r="BE87" s="312"/>
      <c r="BF87" s="312"/>
      <c r="BG87" s="313"/>
    </row>
    <row r="88" spans="1:59">
      <c r="A88" s="195">
        <v>77</v>
      </c>
      <c r="B88" s="311"/>
      <c r="C88" s="312"/>
      <c r="D88" s="312"/>
      <c r="E88" s="312"/>
      <c r="F88" s="312"/>
      <c r="G88" s="312"/>
      <c r="H88" s="312"/>
      <c r="I88" s="312"/>
      <c r="J88" s="312"/>
      <c r="K88" s="312"/>
      <c r="L88" s="312"/>
      <c r="M88" s="312"/>
      <c r="N88" s="313"/>
      <c r="P88" s="195">
        <v>77</v>
      </c>
      <c r="Q88" s="311"/>
      <c r="R88" s="312"/>
      <c r="S88" s="312"/>
      <c r="T88" s="312"/>
      <c r="U88" s="312"/>
      <c r="V88" s="312"/>
      <c r="W88" s="312"/>
      <c r="X88" s="312"/>
      <c r="Y88" s="312"/>
      <c r="Z88" s="312"/>
      <c r="AA88" s="312"/>
      <c r="AB88" s="312"/>
      <c r="AC88" s="313"/>
      <c r="AE88" s="195">
        <v>77</v>
      </c>
      <c r="AF88" s="311"/>
      <c r="AG88" s="312"/>
      <c r="AH88" s="312"/>
      <c r="AI88" s="312"/>
      <c r="AJ88" s="312"/>
      <c r="AK88" s="312"/>
      <c r="AL88" s="312"/>
      <c r="AM88" s="312"/>
      <c r="AN88" s="312"/>
      <c r="AO88" s="312"/>
      <c r="AP88" s="312"/>
      <c r="AQ88" s="312"/>
      <c r="AR88" s="313"/>
      <c r="AT88" s="195">
        <v>77</v>
      </c>
      <c r="AU88" s="311"/>
      <c r="AV88" s="312"/>
      <c r="AW88" s="312"/>
      <c r="AX88" s="312"/>
      <c r="AY88" s="312"/>
      <c r="AZ88" s="312"/>
      <c r="BA88" s="312"/>
      <c r="BB88" s="312"/>
      <c r="BC88" s="312"/>
      <c r="BD88" s="312"/>
      <c r="BE88" s="312"/>
      <c r="BF88" s="312"/>
      <c r="BG88" s="313"/>
    </row>
    <row r="89" spans="1:59">
      <c r="A89" s="195">
        <v>78</v>
      </c>
      <c r="B89" s="311"/>
      <c r="C89" s="312"/>
      <c r="D89" s="312"/>
      <c r="E89" s="312"/>
      <c r="F89" s="312"/>
      <c r="G89" s="312"/>
      <c r="H89" s="312"/>
      <c r="I89" s="312"/>
      <c r="J89" s="312"/>
      <c r="K89" s="312"/>
      <c r="L89" s="312"/>
      <c r="M89" s="312"/>
      <c r="N89" s="313"/>
      <c r="P89" s="195">
        <v>78</v>
      </c>
      <c r="Q89" s="311"/>
      <c r="R89" s="312"/>
      <c r="S89" s="312"/>
      <c r="T89" s="312"/>
      <c r="U89" s="312"/>
      <c r="V89" s="312"/>
      <c r="W89" s="312"/>
      <c r="X89" s="312"/>
      <c r="Y89" s="312"/>
      <c r="Z89" s="312"/>
      <c r="AA89" s="312"/>
      <c r="AB89" s="312"/>
      <c r="AC89" s="313"/>
      <c r="AE89" s="195">
        <v>78</v>
      </c>
      <c r="AF89" s="311"/>
      <c r="AG89" s="312"/>
      <c r="AH89" s="312"/>
      <c r="AI89" s="312"/>
      <c r="AJ89" s="312"/>
      <c r="AK89" s="312"/>
      <c r="AL89" s="312"/>
      <c r="AM89" s="312"/>
      <c r="AN89" s="312"/>
      <c r="AO89" s="312"/>
      <c r="AP89" s="312"/>
      <c r="AQ89" s="312"/>
      <c r="AR89" s="313"/>
      <c r="AT89" s="195">
        <v>78</v>
      </c>
      <c r="AU89" s="311"/>
      <c r="AV89" s="312"/>
      <c r="AW89" s="312"/>
      <c r="AX89" s="312"/>
      <c r="AY89" s="312"/>
      <c r="AZ89" s="312"/>
      <c r="BA89" s="312"/>
      <c r="BB89" s="312"/>
      <c r="BC89" s="312"/>
      <c r="BD89" s="312"/>
      <c r="BE89" s="312"/>
      <c r="BF89" s="312"/>
      <c r="BG89" s="313"/>
    </row>
    <row r="90" spans="1:59">
      <c r="A90" s="195">
        <v>79</v>
      </c>
      <c r="B90" s="311"/>
      <c r="C90" s="312"/>
      <c r="D90" s="312"/>
      <c r="E90" s="312"/>
      <c r="F90" s="312"/>
      <c r="G90" s="312"/>
      <c r="H90" s="312"/>
      <c r="I90" s="312"/>
      <c r="J90" s="312"/>
      <c r="K90" s="312"/>
      <c r="L90" s="312"/>
      <c r="M90" s="312"/>
      <c r="N90" s="313"/>
      <c r="P90" s="195">
        <v>79</v>
      </c>
      <c r="Q90" s="311"/>
      <c r="R90" s="312"/>
      <c r="S90" s="312"/>
      <c r="T90" s="312"/>
      <c r="U90" s="312"/>
      <c r="V90" s="312"/>
      <c r="W90" s="312"/>
      <c r="X90" s="312"/>
      <c r="Y90" s="312"/>
      <c r="Z90" s="312"/>
      <c r="AA90" s="312"/>
      <c r="AB90" s="312"/>
      <c r="AC90" s="313"/>
      <c r="AE90" s="195">
        <v>79</v>
      </c>
      <c r="AF90" s="311"/>
      <c r="AG90" s="312"/>
      <c r="AH90" s="312"/>
      <c r="AI90" s="312"/>
      <c r="AJ90" s="312"/>
      <c r="AK90" s="312"/>
      <c r="AL90" s="312"/>
      <c r="AM90" s="312"/>
      <c r="AN90" s="312"/>
      <c r="AO90" s="312"/>
      <c r="AP90" s="312"/>
      <c r="AQ90" s="312"/>
      <c r="AR90" s="313"/>
      <c r="AT90" s="195">
        <v>79</v>
      </c>
      <c r="AU90" s="311"/>
      <c r="AV90" s="312"/>
      <c r="AW90" s="312"/>
      <c r="AX90" s="312"/>
      <c r="AY90" s="312"/>
      <c r="AZ90" s="312"/>
      <c r="BA90" s="312"/>
      <c r="BB90" s="312"/>
      <c r="BC90" s="312"/>
      <c r="BD90" s="312"/>
      <c r="BE90" s="312"/>
      <c r="BF90" s="312"/>
      <c r="BG90" s="313"/>
    </row>
    <row r="91" spans="1:59">
      <c r="A91" s="195">
        <v>80</v>
      </c>
      <c r="B91" s="311"/>
      <c r="C91" s="312"/>
      <c r="D91" s="312"/>
      <c r="E91" s="312"/>
      <c r="F91" s="312"/>
      <c r="G91" s="312"/>
      <c r="H91" s="312"/>
      <c r="I91" s="312"/>
      <c r="J91" s="312"/>
      <c r="K91" s="312"/>
      <c r="L91" s="312"/>
      <c r="M91" s="312"/>
      <c r="N91" s="313"/>
      <c r="P91" s="195">
        <v>80</v>
      </c>
      <c r="Q91" s="311"/>
      <c r="R91" s="312"/>
      <c r="S91" s="312"/>
      <c r="T91" s="312"/>
      <c r="U91" s="312"/>
      <c r="V91" s="312"/>
      <c r="W91" s="312"/>
      <c r="X91" s="312"/>
      <c r="Y91" s="312"/>
      <c r="Z91" s="312"/>
      <c r="AA91" s="312"/>
      <c r="AB91" s="312"/>
      <c r="AC91" s="313"/>
      <c r="AE91" s="195">
        <v>80</v>
      </c>
      <c r="AF91" s="311"/>
      <c r="AG91" s="312"/>
      <c r="AH91" s="312"/>
      <c r="AI91" s="312"/>
      <c r="AJ91" s="312"/>
      <c r="AK91" s="312"/>
      <c r="AL91" s="312"/>
      <c r="AM91" s="312"/>
      <c r="AN91" s="312"/>
      <c r="AO91" s="312"/>
      <c r="AP91" s="312"/>
      <c r="AQ91" s="312"/>
      <c r="AR91" s="313"/>
      <c r="AT91" s="195">
        <v>80</v>
      </c>
      <c r="AU91" s="311"/>
      <c r="AV91" s="312"/>
      <c r="AW91" s="312"/>
      <c r="AX91" s="312"/>
      <c r="AY91" s="312"/>
      <c r="AZ91" s="312"/>
      <c r="BA91" s="312"/>
      <c r="BB91" s="312"/>
      <c r="BC91" s="312"/>
      <c r="BD91" s="312"/>
      <c r="BE91" s="312"/>
      <c r="BF91" s="312"/>
      <c r="BG91" s="313"/>
    </row>
    <row r="92" spans="1:59">
      <c r="A92" s="195">
        <v>81</v>
      </c>
      <c r="B92" s="311"/>
      <c r="C92" s="312"/>
      <c r="D92" s="312"/>
      <c r="E92" s="312"/>
      <c r="F92" s="312"/>
      <c r="G92" s="312"/>
      <c r="H92" s="312"/>
      <c r="I92" s="312"/>
      <c r="J92" s="312"/>
      <c r="K92" s="312"/>
      <c r="L92" s="312"/>
      <c r="M92" s="312"/>
      <c r="N92" s="313"/>
      <c r="P92" s="195">
        <v>81</v>
      </c>
      <c r="Q92" s="311"/>
      <c r="R92" s="312"/>
      <c r="S92" s="312"/>
      <c r="T92" s="312"/>
      <c r="U92" s="312"/>
      <c r="V92" s="312"/>
      <c r="W92" s="312"/>
      <c r="X92" s="312"/>
      <c r="Y92" s="312"/>
      <c r="Z92" s="312"/>
      <c r="AA92" s="312"/>
      <c r="AB92" s="312"/>
      <c r="AC92" s="313"/>
      <c r="AE92" s="195">
        <v>81</v>
      </c>
      <c r="AF92" s="311"/>
      <c r="AG92" s="312"/>
      <c r="AH92" s="312"/>
      <c r="AI92" s="312"/>
      <c r="AJ92" s="312"/>
      <c r="AK92" s="312"/>
      <c r="AL92" s="312"/>
      <c r="AM92" s="312"/>
      <c r="AN92" s="312"/>
      <c r="AO92" s="312"/>
      <c r="AP92" s="312"/>
      <c r="AQ92" s="312"/>
      <c r="AR92" s="313"/>
      <c r="AT92" s="195">
        <v>81</v>
      </c>
      <c r="AU92" s="311"/>
      <c r="AV92" s="312"/>
      <c r="AW92" s="312"/>
      <c r="AX92" s="312"/>
      <c r="AY92" s="312"/>
      <c r="AZ92" s="312"/>
      <c r="BA92" s="312"/>
      <c r="BB92" s="312"/>
      <c r="BC92" s="312"/>
      <c r="BD92" s="312"/>
      <c r="BE92" s="312"/>
      <c r="BF92" s="312"/>
      <c r="BG92" s="313"/>
    </row>
    <row r="93" spans="1:59">
      <c r="A93" s="195">
        <v>82</v>
      </c>
      <c r="B93" s="311"/>
      <c r="C93" s="312"/>
      <c r="D93" s="312"/>
      <c r="E93" s="312"/>
      <c r="F93" s="312"/>
      <c r="G93" s="312"/>
      <c r="H93" s="312"/>
      <c r="I93" s="312"/>
      <c r="J93" s="312"/>
      <c r="K93" s="312"/>
      <c r="L93" s="312"/>
      <c r="M93" s="312"/>
      <c r="N93" s="313"/>
      <c r="P93" s="195">
        <v>82</v>
      </c>
      <c r="Q93" s="311"/>
      <c r="R93" s="312"/>
      <c r="S93" s="312"/>
      <c r="T93" s="312"/>
      <c r="U93" s="312"/>
      <c r="V93" s="312"/>
      <c r="W93" s="312"/>
      <c r="X93" s="312"/>
      <c r="Y93" s="312"/>
      <c r="Z93" s="312"/>
      <c r="AA93" s="312"/>
      <c r="AB93" s="312"/>
      <c r="AC93" s="313"/>
      <c r="AE93" s="195">
        <v>82</v>
      </c>
      <c r="AF93" s="311"/>
      <c r="AG93" s="312"/>
      <c r="AH93" s="312"/>
      <c r="AI93" s="312"/>
      <c r="AJ93" s="312"/>
      <c r="AK93" s="312"/>
      <c r="AL93" s="312"/>
      <c r="AM93" s="312"/>
      <c r="AN93" s="312"/>
      <c r="AO93" s="312"/>
      <c r="AP93" s="312"/>
      <c r="AQ93" s="312"/>
      <c r="AR93" s="313"/>
      <c r="AT93" s="195">
        <v>82</v>
      </c>
      <c r="AU93" s="311"/>
      <c r="AV93" s="312"/>
      <c r="AW93" s="312"/>
      <c r="AX93" s="312"/>
      <c r="AY93" s="312"/>
      <c r="AZ93" s="312"/>
      <c r="BA93" s="312"/>
      <c r="BB93" s="312"/>
      <c r="BC93" s="312"/>
      <c r="BD93" s="312"/>
      <c r="BE93" s="312"/>
      <c r="BF93" s="312"/>
      <c r="BG93" s="313"/>
    </row>
    <row r="94" spans="1:59">
      <c r="A94" s="195">
        <v>83</v>
      </c>
      <c r="B94" s="311"/>
      <c r="C94" s="312"/>
      <c r="D94" s="312"/>
      <c r="E94" s="312"/>
      <c r="F94" s="312"/>
      <c r="G94" s="312"/>
      <c r="H94" s="312"/>
      <c r="I94" s="312"/>
      <c r="J94" s="312"/>
      <c r="K94" s="312"/>
      <c r="L94" s="312"/>
      <c r="M94" s="312"/>
      <c r="N94" s="313"/>
      <c r="P94" s="195">
        <v>83</v>
      </c>
      <c r="Q94" s="311"/>
      <c r="R94" s="312"/>
      <c r="S94" s="312"/>
      <c r="T94" s="312"/>
      <c r="U94" s="312"/>
      <c r="V94" s="312"/>
      <c r="W94" s="312"/>
      <c r="X94" s="312"/>
      <c r="Y94" s="312"/>
      <c r="Z94" s="312"/>
      <c r="AA94" s="312"/>
      <c r="AB94" s="312"/>
      <c r="AC94" s="313"/>
      <c r="AE94" s="195">
        <v>83</v>
      </c>
      <c r="AF94" s="311"/>
      <c r="AG94" s="312"/>
      <c r="AH94" s="312"/>
      <c r="AI94" s="312"/>
      <c r="AJ94" s="312"/>
      <c r="AK94" s="312"/>
      <c r="AL94" s="312"/>
      <c r="AM94" s="312"/>
      <c r="AN94" s="312"/>
      <c r="AO94" s="312"/>
      <c r="AP94" s="312"/>
      <c r="AQ94" s="312"/>
      <c r="AR94" s="313"/>
      <c r="AT94" s="195">
        <v>83</v>
      </c>
      <c r="AU94" s="311"/>
      <c r="AV94" s="312"/>
      <c r="AW94" s="312"/>
      <c r="AX94" s="312"/>
      <c r="AY94" s="312"/>
      <c r="AZ94" s="312"/>
      <c r="BA94" s="312"/>
      <c r="BB94" s="312"/>
      <c r="BC94" s="312"/>
      <c r="BD94" s="312"/>
      <c r="BE94" s="312"/>
      <c r="BF94" s="312"/>
      <c r="BG94" s="313"/>
    </row>
    <row r="95" spans="1:59">
      <c r="A95" s="195">
        <v>84</v>
      </c>
      <c r="B95" s="311"/>
      <c r="C95" s="312"/>
      <c r="D95" s="312"/>
      <c r="E95" s="312"/>
      <c r="F95" s="312"/>
      <c r="G95" s="312"/>
      <c r="H95" s="312"/>
      <c r="I95" s="312"/>
      <c r="J95" s="312"/>
      <c r="K95" s="312"/>
      <c r="L95" s="312"/>
      <c r="M95" s="312"/>
      <c r="N95" s="313"/>
      <c r="P95" s="195">
        <v>84</v>
      </c>
      <c r="Q95" s="311"/>
      <c r="R95" s="312"/>
      <c r="S95" s="312"/>
      <c r="T95" s="312"/>
      <c r="U95" s="312"/>
      <c r="V95" s="312"/>
      <c r="W95" s="312"/>
      <c r="X95" s="312"/>
      <c r="Y95" s="312"/>
      <c r="Z95" s="312"/>
      <c r="AA95" s="312"/>
      <c r="AB95" s="312"/>
      <c r="AC95" s="313"/>
      <c r="AE95" s="195">
        <v>84</v>
      </c>
      <c r="AF95" s="311"/>
      <c r="AG95" s="312"/>
      <c r="AH95" s="312"/>
      <c r="AI95" s="312"/>
      <c r="AJ95" s="312"/>
      <c r="AK95" s="312"/>
      <c r="AL95" s="312"/>
      <c r="AM95" s="312"/>
      <c r="AN95" s="312"/>
      <c r="AO95" s="312"/>
      <c r="AP95" s="312"/>
      <c r="AQ95" s="312"/>
      <c r="AR95" s="313"/>
      <c r="AT95" s="195">
        <v>84</v>
      </c>
      <c r="AU95" s="311"/>
      <c r="AV95" s="312"/>
      <c r="AW95" s="312"/>
      <c r="AX95" s="312"/>
      <c r="AY95" s="312"/>
      <c r="AZ95" s="312"/>
      <c r="BA95" s="312"/>
      <c r="BB95" s="312"/>
      <c r="BC95" s="312"/>
      <c r="BD95" s="312"/>
      <c r="BE95" s="312"/>
      <c r="BF95" s="312"/>
      <c r="BG95" s="313"/>
    </row>
    <row r="96" spans="1:59">
      <c r="A96" s="195">
        <v>85</v>
      </c>
      <c r="B96" s="311"/>
      <c r="C96" s="312"/>
      <c r="D96" s="312"/>
      <c r="E96" s="312"/>
      <c r="F96" s="312"/>
      <c r="G96" s="312"/>
      <c r="H96" s="312"/>
      <c r="I96" s="312"/>
      <c r="J96" s="312"/>
      <c r="K96" s="312"/>
      <c r="L96" s="312"/>
      <c r="M96" s="312"/>
      <c r="N96" s="313"/>
      <c r="P96" s="195">
        <v>85</v>
      </c>
      <c r="Q96" s="311"/>
      <c r="R96" s="312"/>
      <c r="S96" s="312"/>
      <c r="T96" s="312"/>
      <c r="U96" s="312"/>
      <c r="V96" s="312"/>
      <c r="W96" s="312"/>
      <c r="X96" s="312"/>
      <c r="Y96" s="312"/>
      <c r="Z96" s="312"/>
      <c r="AA96" s="312"/>
      <c r="AB96" s="312"/>
      <c r="AC96" s="313"/>
      <c r="AE96" s="195">
        <v>85</v>
      </c>
      <c r="AF96" s="311"/>
      <c r="AG96" s="312"/>
      <c r="AH96" s="312"/>
      <c r="AI96" s="312"/>
      <c r="AJ96" s="312"/>
      <c r="AK96" s="312"/>
      <c r="AL96" s="312"/>
      <c r="AM96" s="312"/>
      <c r="AN96" s="312"/>
      <c r="AO96" s="312"/>
      <c r="AP96" s="312"/>
      <c r="AQ96" s="312"/>
      <c r="AR96" s="313"/>
      <c r="AT96" s="195">
        <v>85</v>
      </c>
      <c r="AU96" s="311"/>
      <c r="AV96" s="312"/>
      <c r="AW96" s="312"/>
      <c r="AX96" s="312"/>
      <c r="AY96" s="312"/>
      <c r="AZ96" s="312"/>
      <c r="BA96" s="312"/>
      <c r="BB96" s="312"/>
      <c r="BC96" s="312"/>
      <c r="BD96" s="312"/>
      <c r="BE96" s="312"/>
      <c r="BF96" s="312"/>
      <c r="BG96" s="313"/>
    </row>
    <row r="97" spans="1:59">
      <c r="A97" s="195">
        <v>86</v>
      </c>
      <c r="B97" s="311"/>
      <c r="C97" s="312"/>
      <c r="D97" s="312"/>
      <c r="E97" s="312"/>
      <c r="F97" s="312"/>
      <c r="G97" s="312"/>
      <c r="H97" s="312"/>
      <c r="I97" s="312"/>
      <c r="J97" s="312"/>
      <c r="K97" s="312"/>
      <c r="L97" s="312"/>
      <c r="M97" s="312"/>
      <c r="N97" s="313"/>
      <c r="P97" s="195">
        <v>86</v>
      </c>
      <c r="Q97" s="311"/>
      <c r="R97" s="312"/>
      <c r="S97" s="312"/>
      <c r="T97" s="312"/>
      <c r="U97" s="312"/>
      <c r="V97" s="312"/>
      <c r="W97" s="312"/>
      <c r="X97" s="312"/>
      <c r="Y97" s="312"/>
      <c r="Z97" s="312"/>
      <c r="AA97" s="312"/>
      <c r="AB97" s="312"/>
      <c r="AC97" s="313"/>
      <c r="AE97" s="195">
        <v>86</v>
      </c>
      <c r="AF97" s="311"/>
      <c r="AG97" s="312"/>
      <c r="AH97" s="312"/>
      <c r="AI97" s="312"/>
      <c r="AJ97" s="312"/>
      <c r="AK97" s="312"/>
      <c r="AL97" s="312"/>
      <c r="AM97" s="312"/>
      <c r="AN97" s="312"/>
      <c r="AO97" s="312"/>
      <c r="AP97" s="312"/>
      <c r="AQ97" s="312"/>
      <c r="AR97" s="313"/>
      <c r="AT97" s="195">
        <v>86</v>
      </c>
      <c r="AU97" s="311"/>
      <c r="AV97" s="312"/>
      <c r="AW97" s="312"/>
      <c r="AX97" s="312"/>
      <c r="AY97" s="312"/>
      <c r="AZ97" s="312"/>
      <c r="BA97" s="312"/>
      <c r="BB97" s="312"/>
      <c r="BC97" s="312"/>
      <c r="BD97" s="312"/>
      <c r="BE97" s="312"/>
      <c r="BF97" s="312"/>
      <c r="BG97" s="313"/>
    </row>
    <row r="98" spans="1:59">
      <c r="A98" s="195">
        <v>87</v>
      </c>
      <c r="B98" s="311"/>
      <c r="C98" s="312"/>
      <c r="D98" s="312"/>
      <c r="E98" s="312"/>
      <c r="F98" s="312"/>
      <c r="G98" s="312"/>
      <c r="H98" s="312"/>
      <c r="I98" s="312"/>
      <c r="J98" s="312"/>
      <c r="K98" s="312"/>
      <c r="L98" s="312"/>
      <c r="M98" s="312"/>
      <c r="N98" s="313"/>
      <c r="P98" s="195">
        <v>87</v>
      </c>
      <c r="Q98" s="311"/>
      <c r="R98" s="312"/>
      <c r="S98" s="312"/>
      <c r="T98" s="312"/>
      <c r="U98" s="312"/>
      <c r="V98" s="312"/>
      <c r="W98" s="312"/>
      <c r="X98" s="312"/>
      <c r="Y98" s="312"/>
      <c r="Z98" s="312"/>
      <c r="AA98" s="312"/>
      <c r="AB98" s="312"/>
      <c r="AC98" s="313"/>
      <c r="AE98" s="195">
        <v>87</v>
      </c>
      <c r="AF98" s="311"/>
      <c r="AG98" s="312"/>
      <c r="AH98" s="312"/>
      <c r="AI98" s="312"/>
      <c r="AJ98" s="312"/>
      <c r="AK98" s="312"/>
      <c r="AL98" s="312"/>
      <c r="AM98" s="312"/>
      <c r="AN98" s="312"/>
      <c r="AO98" s="312"/>
      <c r="AP98" s="312"/>
      <c r="AQ98" s="312"/>
      <c r="AR98" s="313"/>
      <c r="AT98" s="195">
        <v>87</v>
      </c>
      <c r="AU98" s="311"/>
      <c r="AV98" s="312"/>
      <c r="AW98" s="312"/>
      <c r="AX98" s="312"/>
      <c r="AY98" s="312"/>
      <c r="AZ98" s="312"/>
      <c r="BA98" s="312"/>
      <c r="BB98" s="312"/>
      <c r="BC98" s="312"/>
      <c r="BD98" s="312"/>
      <c r="BE98" s="312"/>
      <c r="BF98" s="312"/>
      <c r="BG98" s="313"/>
    </row>
    <row r="99" spans="1:59">
      <c r="A99" s="195">
        <v>88</v>
      </c>
      <c r="B99" s="311"/>
      <c r="C99" s="312"/>
      <c r="D99" s="312"/>
      <c r="E99" s="312"/>
      <c r="F99" s="312"/>
      <c r="G99" s="312"/>
      <c r="H99" s="312"/>
      <c r="I99" s="312"/>
      <c r="J99" s="312"/>
      <c r="K99" s="312"/>
      <c r="L99" s="312"/>
      <c r="M99" s="312"/>
      <c r="N99" s="313"/>
      <c r="P99" s="195">
        <v>88</v>
      </c>
      <c r="Q99" s="311"/>
      <c r="R99" s="312"/>
      <c r="S99" s="312"/>
      <c r="T99" s="312"/>
      <c r="U99" s="312"/>
      <c r="V99" s="312"/>
      <c r="W99" s="312"/>
      <c r="X99" s="312"/>
      <c r="Y99" s="312"/>
      <c r="Z99" s="312"/>
      <c r="AA99" s="312"/>
      <c r="AB99" s="312"/>
      <c r="AC99" s="313"/>
      <c r="AE99" s="195">
        <v>88</v>
      </c>
      <c r="AF99" s="311"/>
      <c r="AG99" s="312"/>
      <c r="AH99" s="312"/>
      <c r="AI99" s="312"/>
      <c r="AJ99" s="312"/>
      <c r="AK99" s="312"/>
      <c r="AL99" s="312"/>
      <c r="AM99" s="312"/>
      <c r="AN99" s="312"/>
      <c r="AO99" s="312"/>
      <c r="AP99" s="312"/>
      <c r="AQ99" s="312"/>
      <c r="AR99" s="313"/>
      <c r="AT99" s="195">
        <v>88</v>
      </c>
      <c r="AU99" s="311"/>
      <c r="AV99" s="312"/>
      <c r="AW99" s="312"/>
      <c r="AX99" s="312"/>
      <c r="AY99" s="312"/>
      <c r="AZ99" s="312"/>
      <c r="BA99" s="312"/>
      <c r="BB99" s="312"/>
      <c r="BC99" s="312"/>
      <c r="BD99" s="312"/>
      <c r="BE99" s="312"/>
      <c r="BF99" s="312"/>
      <c r="BG99" s="313"/>
    </row>
    <row r="100" spans="1:59">
      <c r="A100" s="195">
        <v>89</v>
      </c>
      <c r="B100" s="311"/>
      <c r="C100" s="312"/>
      <c r="D100" s="312"/>
      <c r="E100" s="312"/>
      <c r="F100" s="312"/>
      <c r="G100" s="312"/>
      <c r="H100" s="312"/>
      <c r="I100" s="312"/>
      <c r="J100" s="312"/>
      <c r="K100" s="312"/>
      <c r="L100" s="312"/>
      <c r="M100" s="312"/>
      <c r="N100" s="313"/>
      <c r="P100" s="195">
        <v>89</v>
      </c>
      <c r="Q100" s="311"/>
      <c r="R100" s="312"/>
      <c r="S100" s="312"/>
      <c r="T100" s="312"/>
      <c r="U100" s="312"/>
      <c r="V100" s="312"/>
      <c r="W100" s="312"/>
      <c r="X100" s="312"/>
      <c r="Y100" s="312"/>
      <c r="Z100" s="312"/>
      <c r="AA100" s="312"/>
      <c r="AB100" s="312"/>
      <c r="AC100" s="313"/>
      <c r="AE100" s="195">
        <v>89</v>
      </c>
      <c r="AF100" s="311"/>
      <c r="AG100" s="312"/>
      <c r="AH100" s="312"/>
      <c r="AI100" s="312"/>
      <c r="AJ100" s="312"/>
      <c r="AK100" s="312"/>
      <c r="AL100" s="312"/>
      <c r="AM100" s="312"/>
      <c r="AN100" s="312"/>
      <c r="AO100" s="312"/>
      <c r="AP100" s="312"/>
      <c r="AQ100" s="312"/>
      <c r="AR100" s="313"/>
      <c r="AT100" s="195">
        <v>89</v>
      </c>
      <c r="AU100" s="311"/>
      <c r="AV100" s="312"/>
      <c r="AW100" s="312"/>
      <c r="AX100" s="312"/>
      <c r="AY100" s="312"/>
      <c r="AZ100" s="312"/>
      <c r="BA100" s="312"/>
      <c r="BB100" s="312"/>
      <c r="BC100" s="312"/>
      <c r="BD100" s="312"/>
      <c r="BE100" s="312"/>
      <c r="BF100" s="312"/>
      <c r="BG100" s="313"/>
    </row>
    <row r="101" spans="1:59">
      <c r="A101" s="195">
        <v>90</v>
      </c>
      <c r="B101" s="311"/>
      <c r="C101" s="312"/>
      <c r="D101" s="312"/>
      <c r="E101" s="312"/>
      <c r="F101" s="312"/>
      <c r="G101" s="312"/>
      <c r="H101" s="312"/>
      <c r="I101" s="312"/>
      <c r="J101" s="312"/>
      <c r="K101" s="312"/>
      <c r="L101" s="312"/>
      <c r="M101" s="312"/>
      <c r="N101" s="313"/>
      <c r="P101" s="195">
        <v>90</v>
      </c>
      <c r="Q101" s="311"/>
      <c r="R101" s="312"/>
      <c r="S101" s="312"/>
      <c r="T101" s="312"/>
      <c r="U101" s="312"/>
      <c r="V101" s="312"/>
      <c r="W101" s="312"/>
      <c r="X101" s="312"/>
      <c r="Y101" s="312"/>
      <c r="Z101" s="312"/>
      <c r="AA101" s="312"/>
      <c r="AB101" s="312"/>
      <c r="AC101" s="313"/>
      <c r="AE101" s="195">
        <v>90</v>
      </c>
      <c r="AF101" s="311"/>
      <c r="AG101" s="312"/>
      <c r="AH101" s="312"/>
      <c r="AI101" s="312"/>
      <c r="AJ101" s="312"/>
      <c r="AK101" s="312"/>
      <c r="AL101" s="312"/>
      <c r="AM101" s="312"/>
      <c r="AN101" s="312"/>
      <c r="AO101" s="312"/>
      <c r="AP101" s="312"/>
      <c r="AQ101" s="312"/>
      <c r="AR101" s="313"/>
      <c r="AT101" s="195">
        <v>90</v>
      </c>
      <c r="AU101" s="311"/>
      <c r="AV101" s="312"/>
      <c r="AW101" s="312"/>
      <c r="AX101" s="312"/>
      <c r="AY101" s="312"/>
      <c r="AZ101" s="312"/>
      <c r="BA101" s="312"/>
      <c r="BB101" s="312"/>
      <c r="BC101" s="312"/>
      <c r="BD101" s="312"/>
      <c r="BE101" s="312"/>
      <c r="BF101" s="312"/>
      <c r="BG101" s="313"/>
    </row>
    <row r="102" spans="1:59">
      <c r="A102" s="195">
        <v>91</v>
      </c>
      <c r="B102" s="311"/>
      <c r="C102" s="312"/>
      <c r="D102" s="312"/>
      <c r="E102" s="312"/>
      <c r="F102" s="312"/>
      <c r="G102" s="312"/>
      <c r="H102" s="312"/>
      <c r="I102" s="312"/>
      <c r="J102" s="312"/>
      <c r="K102" s="312"/>
      <c r="L102" s="312"/>
      <c r="M102" s="312"/>
      <c r="N102" s="313"/>
      <c r="P102" s="195">
        <v>91</v>
      </c>
      <c r="Q102" s="311"/>
      <c r="R102" s="312"/>
      <c r="S102" s="312"/>
      <c r="T102" s="312"/>
      <c r="U102" s="312"/>
      <c r="V102" s="312"/>
      <c r="W102" s="312"/>
      <c r="X102" s="312"/>
      <c r="Y102" s="312"/>
      <c r="Z102" s="312"/>
      <c r="AA102" s="312"/>
      <c r="AB102" s="312"/>
      <c r="AC102" s="313"/>
      <c r="AE102" s="195">
        <v>91</v>
      </c>
      <c r="AF102" s="311"/>
      <c r="AG102" s="312"/>
      <c r="AH102" s="312"/>
      <c r="AI102" s="312"/>
      <c r="AJ102" s="312"/>
      <c r="AK102" s="312"/>
      <c r="AL102" s="312"/>
      <c r="AM102" s="312"/>
      <c r="AN102" s="312"/>
      <c r="AO102" s="312"/>
      <c r="AP102" s="312"/>
      <c r="AQ102" s="312"/>
      <c r="AR102" s="313"/>
      <c r="AT102" s="195">
        <v>91</v>
      </c>
      <c r="AU102" s="311"/>
      <c r="AV102" s="312"/>
      <c r="AW102" s="312"/>
      <c r="AX102" s="312"/>
      <c r="AY102" s="312"/>
      <c r="AZ102" s="312"/>
      <c r="BA102" s="312"/>
      <c r="BB102" s="312"/>
      <c r="BC102" s="312"/>
      <c r="BD102" s="312"/>
      <c r="BE102" s="312"/>
      <c r="BF102" s="312"/>
      <c r="BG102" s="313"/>
    </row>
    <row r="103" spans="1:59">
      <c r="A103" s="195">
        <v>92</v>
      </c>
      <c r="B103" s="311"/>
      <c r="C103" s="312"/>
      <c r="D103" s="312"/>
      <c r="E103" s="312"/>
      <c r="F103" s="312"/>
      <c r="G103" s="312"/>
      <c r="H103" s="312"/>
      <c r="I103" s="312"/>
      <c r="J103" s="312"/>
      <c r="K103" s="312"/>
      <c r="L103" s="312"/>
      <c r="M103" s="312"/>
      <c r="N103" s="313"/>
      <c r="P103" s="195">
        <v>92</v>
      </c>
      <c r="Q103" s="311"/>
      <c r="R103" s="312"/>
      <c r="S103" s="312"/>
      <c r="T103" s="312"/>
      <c r="U103" s="312"/>
      <c r="V103" s="312"/>
      <c r="W103" s="312"/>
      <c r="X103" s="312"/>
      <c r="Y103" s="312"/>
      <c r="Z103" s="312"/>
      <c r="AA103" s="312"/>
      <c r="AB103" s="312"/>
      <c r="AC103" s="313"/>
      <c r="AE103" s="195">
        <v>92</v>
      </c>
      <c r="AF103" s="311"/>
      <c r="AG103" s="312"/>
      <c r="AH103" s="312"/>
      <c r="AI103" s="312"/>
      <c r="AJ103" s="312"/>
      <c r="AK103" s="312"/>
      <c r="AL103" s="312"/>
      <c r="AM103" s="312"/>
      <c r="AN103" s="312"/>
      <c r="AO103" s="312"/>
      <c r="AP103" s="312"/>
      <c r="AQ103" s="312"/>
      <c r="AR103" s="313"/>
      <c r="AT103" s="195">
        <v>92</v>
      </c>
      <c r="AU103" s="311"/>
      <c r="AV103" s="312"/>
      <c r="AW103" s="312"/>
      <c r="AX103" s="312"/>
      <c r="AY103" s="312"/>
      <c r="AZ103" s="312"/>
      <c r="BA103" s="312"/>
      <c r="BB103" s="312"/>
      <c r="BC103" s="312"/>
      <c r="BD103" s="312"/>
      <c r="BE103" s="312"/>
      <c r="BF103" s="312"/>
      <c r="BG103" s="313"/>
    </row>
    <row r="104" spans="1:59">
      <c r="A104" s="195">
        <v>93</v>
      </c>
      <c r="B104" s="311"/>
      <c r="C104" s="312"/>
      <c r="D104" s="312"/>
      <c r="E104" s="312"/>
      <c r="F104" s="312"/>
      <c r="G104" s="312"/>
      <c r="H104" s="312"/>
      <c r="I104" s="312"/>
      <c r="J104" s="312"/>
      <c r="K104" s="312"/>
      <c r="L104" s="312"/>
      <c r="M104" s="312"/>
      <c r="N104" s="313"/>
      <c r="P104" s="195">
        <v>93</v>
      </c>
      <c r="Q104" s="311"/>
      <c r="R104" s="312"/>
      <c r="S104" s="312"/>
      <c r="T104" s="312"/>
      <c r="U104" s="312"/>
      <c r="V104" s="312"/>
      <c r="W104" s="312"/>
      <c r="X104" s="312"/>
      <c r="Y104" s="312"/>
      <c r="Z104" s="312"/>
      <c r="AA104" s="312"/>
      <c r="AB104" s="312"/>
      <c r="AC104" s="313"/>
      <c r="AE104" s="195">
        <v>93</v>
      </c>
      <c r="AF104" s="311"/>
      <c r="AG104" s="312"/>
      <c r="AH104" s="312"/>
      <c r="AI104" s="312"/>
      <c r="AJ104" s="312"/>
      <c r="AK104" s="312"/>
      <c r="AL104" s="312"/>
      <c r="AM104" s="312"/>
      <c r="AN104" s="312"/>
      <c r="AO104" s="312"/>
      <c r="AP104" s="312"/>
      <c r="AQ104" s="312"/>
      <c r="AR104" s="313"/>
      <c r="AT104" s="195">
        <v>93</v>
      </c>
      <c r="AU104" s="311"/>
      <c r="AV104" s="312"/>
      <c r="AW104" s="312"/>
      <c r="AX104" s="312"/>
      <c r="AY104" s="312"/>
      <c r="AZ104" s="312"/>
      <c r="BA104" s="312"/>
      <c r="BB104" s="312"/>
      <c r="BC104" s="312"/>
      <c r="BD104" s="312"/>
      <c r="BE104" s="312"/>
      <c r="BF104" s="312"/>
      <c r="BG104" s="313"/>
    </row>
    <row r="105" spans="1:59">
      <c r="A105" s="195">
        <v>94</v>
      </c>
      <c r="B105" s="311"/>
      <c r="C105" s="312"/>
      <c r="D105" s="312"/>
      <c r="E105" s="312"/>
      <c r="F105" s="312"/>
      <c r="G105" s="312"/>
      <c r="H105" s="312"/>
      <c r="I105" s="312"/>
      <c r="J105" s="312"/>
      <c r="K105" s="312"/>
      <c r="L105" s="312"/>
      <c r="M105" s="312"/>
      <c r="N105" s="313"/>
      <c r="P105" s="195">
        <v>94</v>
      </c>
      <c r="Q105" s="311"/>
      <c r="R105" s="312"/>
      <c r="S105" s="312"/>
      <c r="T105" s="312"/>
      <c r="U105" s="312"/>
      <c r="V105" s="312"/>
      <c r="W105" s="312"/>
      <c r="X105" s="312"/>
      <c r="Y105" s="312"/>
      <c r="Z105" s="312"/>
      <c r="AA105" s="312"/>
      <c r="AB105" s="312"/>
      <c r="AC105" s="313"/>
      <c r="AE105" s="195">
        <v>94</v>
      </c>
      <c r="AF105" s="311"/>
      <c r="AG105" s="312"/>
      <c r="AH105" s="312"/>
      <c r="AI105" s="312"/>
      <c r="AJ105" s="312"/>
      <c r="AK105" s="312"/>
      <c r="AL105" s="312"/>
      <c r="AM105" s="312"/>
      <c r="AN105" s="312"/>
      <c r="AO105" s="312"/>
      <c r="AP105" s="312"/>
      <c r="AQ105" s="312"/>
      <c r="AR105" s="313"/>
      <c r="AT105" s="195">
        <v>94</v>
      </c>
      <c r="AU105" s="311"/>
      <c r="AV105" s="312"/>
      <c r="AW105" s="312"/>
      <c r="AX105" s="312"/>
      <c r="AY105" s="312"/>
      <c r="AZ105" s="312"/>
      <c r="BA105" s="312"/>
      <c r="BB105" s="312"/>
      <c r="BC105" s="312"/>
      <c r="BD105" s="312"/>
      <c r="BE105" s="312"/>
      <c r="BF105" s="312"/>
      <c r="BG105" s="313"/>
    </row>
    <row r="106" spans="1:59">
      <c r="A106" s="195">
        <v>95</v>
      </c>
      <c r="B106" s="311"/>
      <c r="C106" s="312"/>
      <c r="D106" s="312"/>
      <c r="E106" s="312"/>
      <c r="F106" s="312"/>
      <c r="G106" s="312"/>
      <c r="H106" s="312"/>
      <c r="I106" s="312"/>
      <c r="J106" s="312"/>
      <c r="K106" s="312"/>
      <c r="L106" s="312"/>
      <c r="M106" s="312"/>
      <c r="N106" s="313"/>
      <c r="P106" s="195">
        <v>95</v>
      </c>
      <c r="Q106" s="311"/>
      <c r="R106" s="312"/>
      <c r="S106" s="312"/>
      <c r="T106" s="312"/>
      <c r="U106" s="312"/>
      <c r="V106" s="312"/>
      <c r="W106" s="312"/>
      <c r="X106" s="312"/>
      <c r="Y106" s="312"/>
      <c r="Z106" s="312"/>
      <c r="AA106" s="312"/>
      <c r="AB106" s="312"/>
      <c r="AC106" s="313"/>
      <c r="AE106" s="195">
        <v>95</v>
      </c>
      <c r="AF106" s="311"/>
      <c r="AG106" s="312"/>
      <c r="AH106" s="312"/>
      <c r="AI106" s="312"/>
      <c r="AJ106" s="312"/>
      <c r="AK106" s="312"/>
      <c r="AL106" s="312"/>
      <c r="AM106" s="312"/>
      <c r="AN106" s="312"/>
      <c r="AO106" s="312"/>
      <c r="AP106" s="312"/>
      <c r="AQ106" s="312"/>
      <c r="AR106" s="313"/>
      <c r="AT106" s="195">
        <v>95</v>
      </c>
      <c r="AU106" s="311"/>
      <c r="AV106" s="312"/>
      <c r="AW106" s="312"/>
      <c r="AX106" s="312"/>
      <c r="AY106" s="312"/>
      <c r="AZ106" s="312"/>
      <c r="BA106" s="312"/>
      <c r="BB106" s="312"/>
      <c r="BC106" s="312"/>
      <c r="BD106" s="312"/>
      <c r="BE106" s="312"/>
      <c r="BF106" s="312"/>
      <c r="BG106" s="313"/>
    </row>
    <row r="107" spans="1:59">
      <c r="A107" s="195">
        <v>96</v>
      </c>
      <c r="B107" s="311"/>
      <c r="C107" s="312"/>
      <c r="D107" s="312"/>
      <c r="E107" s="312"/>
      <c r="F107" s="312"/>
      <c r="G107" s="312"/>
      <c r="H107" s="312"/>
      <c r="I107" s="312"/>
      <c r="J107" s="312"/>
      <c r="K107" s="312"/>
      <c r="L107" s="312"/>
      <c r="M107" s="312"/>
      <c r="N107" s="313"/>
      <c r="P107" s="195">
        <v>96</v>
      </c>
      <c r="Q107" s="311"/>
      <c r="R107" s="312"/>
      <c r="S107" s="312"/>
      <c r="T107" s="312"/>
      <c r="U107" s="312"/>
      <c r="V107" s="312"/>
      <c r="W107" s="312"/>
      <c r="X107" s="312"/>
      <c r="Y107" s="312"/>
      <c r="Z107" s="312"/>
      <c r="AA107" s="312"/>
      <c r="AB107" s="312"/>
      <c r="AC107" s="313"/>
      <c r="AE107" s="195">
        <v>96</v>
      </c>
      <c r="AF107" s="311"/>
      <c r="AG107" s="312"/>
      <c r="AH107" s="312"/>
      <c r="AI107" s="312"/>
      <c r="AJ107" s="312"/>
      <c r="AK107" s="312"/>
      <c r="AL107" s="312"/>
      <c r="AM107" s="312"/>
      <c r="AN107" s="312"/>
      <c r="AO107" s="312"/>
      <c r="AP107" s="312"/>
      <c r="AQ107" s="312"/>
      <c r="AR107" s="313"/>
      <c r="AT107" s="195">
        <v>96</v>
      </c>
      <c r="AU107" s="311"/>
      <c r="AV107" s="312"/>
      <c r="AW107" s="312"/>
      <c r="AX107" s="312"/>
      <c r="AY107" s="312"/>
      <c r="AZ107" s="312"/>
      <c r="BA107" s="312"/>
      <c r="BB107" s="312"/>
      <c r="BC107" s="312"/>
      <c r="BD107" s="312"/>
      <c r="BE107" s="312"/>
      <c r="BF107" s="312"/>
      <c r="BG107" s="313"/>
    </row>
    <row r="108" spans="1:59">
      <c r="A108" s="195">
        <v>97</v>
      </c>
      <c r="B108" s="311"/>
      <c r="C108" s="312"/>
      <c r="D108" s="312"/>
      <c r="E108" s="312"/>
      <c r="F108" s="312"/>
      <c r="G108" s="312"/>
      <c r="H108" s="312"/>
      <c r="I108" s="312"/>
      <c r="J108" s="312"/>
      <c r="K108" s="312"/>
      <c r="L108" s="312"/>
      <c r="M108" s="312"/>
      <c r="N108" s="313"/>
      <c r="P108" s="195">
        <v>97</v>
      </c>
      <c r="Q108" s="311"/>
      <c r="R108" s="312"/>
      <c r="S108" s="312"/>
      <c r="T108" s="312"/>
      <c r="U108" s="312"/>
      <c r="V108" s="312"/>
      <c r="W108" s="312"/>
      <c r="X108" s="312"/>
      <c r="Y108" s="312"/>
      <c r="Z108" s="312"/>
      <c r="AA108" s="312"/>
      <c r="AB108" s="312"/>
      <c r="AC108" s="313"/>
      <c r="AE108" s="195">
        <v>97</v>
      </c>
      <c r="AF108" s="311"/>
      <c r="AG108" s="312"/>
      <c r="AH108" s="312"/>
      <c r="AI108" s="312"/>
      <c r="AJ108" s="312"/>
      <c r="AK108" s="312"/>
      <c r="AL108" s="312"/>
      <c r="AM108" s="312"/>
      <c r="AN108" s="312"/>
      <c r="AO108" s="312"/>
      <c r="AP108" s="312"/>
      <c r="AQ108" s="312"/>
      <c r="AR108" s="313"/>
      <c r="AT108" s="195">
        <v>97</v>
      </c>
      <c r="AU108" s="311"/>
      <c r="AV108" s="312"/>
      <c r="AW108" s="312"/>
      <c r="AX108" s="312"/>
      <c r="AY108" s="312"/>
      <c r="AZ108" s="312"/>
      <c r="BA108" s="312"/>
      <c r="BB108" s="312"/>
      <c r="BC108" s="312"/>
      <c r="BD108" s="312"/>
      <c r="BE108" s="312"/>
      <c r="BF108" s="312"/>
      <c r="BG108" s="313"/>
    </row>
    <row r="109" spans="1:59">
      <c r="A109" s="195">
        <v>98</v>
      </c>
      <c r="B109" s="311"/>
      <c r="C109" s="312"/>
      <c r="D109" s="312"/>
      <c r="E109" s="312"/>
      <c r="F109" s="312"/>
      <c r="G109" s="312"/>
      <c r="H109" s="312"/>
      <c r="I109" s="312"/>
      <c r="J109" s="312"/>
      <c r="K109" s="312"/>
      <c r="L109" s="312"/>
      <c r="M109" s="312"/>
      <c r="N109" s="313"/>
      <c r="P109" s="195">
        <v>98</v>
      </c>
      <c r="Q109" s="311"/>
      <c r="R109" s="312"/>
      <c r="S109" s="312"/>
      <c r="T109" s="312"/>
      <c r="U109" s="312"/>
      <c r="V109" s="312"/>
      <c r="W109" s="312"/>
      <c r="X109" s="312"/>
      <c r="Y109" s="312"/>
      <c r="Z109" s="312"/>
      <c r="AA109" s="312"/>
      <c r="AB109" s="312"/>
      <c r="AC109" s="313"/>
      <c r="AE109" s="195">
        <v>98</v>
      </c>
      <c r="AF109" s="311"/>
      <c r="AG109" s="312"/>
      <c r="AH109" s="312"/>
      <c r="AI109" s="312"/>
      <c r="AJ109" s="312"/>
      <c r="AK109" s="312"/>
      <c r="AL109" s="312"/>
      <c r="AM109" s="312"/>
      <c r="AN109" s="312"/>
      <c r="AO109" s="312"/>
      <c r="AP109" s="312"/>
      <c r="AQ109" s="312"/>
      <c r="AR109" s="313"/>
      <c r="AT109" s="195">
        <v>98</v>
      </c>
      <c r="AU109" s="311"/>
      <c r="AV109" s="312"/>
      <c r="AW109" s="312"/>
      <c r="AX109" s="312"/>
      <c r="AY109" s="312"/>
      <c r="AZ109" s="312"/>
      <c r="BA109" s="312"/>
      <c r="BB109" s="312"/>
      <c r="BC109" s="312"/>
      <c r="BD109" s="312"/>
      <c r="BE109" s="312"/>
      <c r="BF109" s="312"/>
      <c r="BG109" s="313"/>
    </row>
    <row r="110" spans="1:59">
      <c r="A110" s="195">
        <v>99</v>
      </c>
      <c r="B110" s="311"/>
      <c r="C110" s="312"/>
      <c r="D110" s="312"/>
      <c r="E110" s="312"/>
      <c r="F110" s="312"/>
      <c r="G110" s="312"/>
      <c r="H110" s="312"/>
      <c r="I110" s="312"/>
      <c r="J110" s="312"/>
      <c r="K110" s="312"/>
      <c r="L110" s="312"/>
      <c r="M110" s="312"/>
      <c r="N110" s="313"/>
      <c r="P110" s="195">
        <v>99</v>
      </c>
      <c r="Q110" s="311"/>
      <c r="R110" s="312"/>
      <c r="S110" s="312"/>
      <c r="T110" s="312"/>
      <c r="U110" s="312"/>
      <c r="V110" s="312"/>
      <c r="W110" s="312"/>
      <c r="X110" s="312"/>
      <c r="Y110" s="312"/>
      <c r="Z110" s="312"/>
      <c r="AA110" s="312"/>
      <c r="AB110" s="312"/>
      <c r="AC110" s="313"/>
      <c r="AE110" s="195">
        <v>99</v>
      </c>
      <c r="AF110" s="311"/>
      <c r="AG110" s="312"/>
      <c r="AH110" s="312"/>
      <c r="AI110" s="312"/>
      <c r="AJ110" s="312"/>
      <c r="AK110" s="312"/>
      <c r="AL110" s="312"/>
      <c r="AM110" s="312"/>
      <c r="AN110" s="312"/>
      <c r="AO110" s="312"/>
      <c r="AP110" s="312"/>
      <c r="AQ110" s="312"/>
      <c r="AR110" s="313"/>
      <c r="AT110" s="195">
        <v>99</v>
      </c>
      <c r="AU110" s="311"/>
      <c r="AV110" s="312"/>
      <c r="AW110" s="312"/>
      <c r="AX110" s="312"/>
      <c r="AY110" s="312"/>
      <c r="AZ110" s="312"/>
      <c r="BA110" s="312"/>
      <c r="BB110" s="312"/>
      <c r="BC110" s="312"/>
      <c r="BD110" s="312"/>
      <c r="BE110" s="312"/>
      <c r="BF110" s="312"/>
      <c r="BG110" s="313"/>
    </row>
    <row r="111" spans="1:59">
      <c r="A111" s="196">
        <v>100</v>
      </c>
      <c r="B111" s="314"/>
      <c r="C111" s="315"/>
      <c r="D111" s="315"/>
      <c r="E111" s="315"/>
      <c r="F111" s="315"/>
      <c r="G111" s="315"/>
      <c r="H111" s="315"/>
      <c r="I111" s="315"/>
      <c r="J111" s="315"/>
      <c r="K111" s="315"/>
      <c r="L111" s="315"/>
      <c r="M111" s="315"/>
      <c r="N111" s="316"/>
      <c r="P111" s="196">
        <v>100</v>
      </c>
      <c r="Q111" s="314"/>
      <c r="R111" s="315"/>
      <c r="S111" s="315"/>
      <c r="T111" s="315"/>
      <c r="U111" s="315"/>
      <c r="V111" s="315"/>
      <c r="W111" s="315"/>
      <c r="X111" s="315"/>
      <c r="Y111" s="315"/>
      <c r="Z111" s="315"/>
      <c r="AA111" s="315"/>
      <c r="AB111" s="315"/>
      <c r="AC111" s="316"/>
      <c r="AE111" s="196">
        <v>100</v>
      </c>
      <c r="AF111" s="314"/>
      <c r="AG111" s="315"/>
      <c r="AH111" s="315"/>
      <c r="AI111" s="315"/>
      <c r="AJ111" s="315"/>
      <c r="AK111" s="315"/>
      <c r="AL111" s="315"/>
      <c r="AM111" s="315"/>
      <c r="AN111" s="315"/>
      <c r="AO111" s="315"/>
      <c r="AP111" s="315"/>
      <c r="AQ111" s="315"/>
      <c r="AR111" s="316"/>
      <c r="AT111" s="196">
        <v>100</v>
      </c>
      <c r="AU111" s="314"/>
      <c r="AV111" s="315"/>
      <c r="AW111" s="315"/>
      <c r="AX111" s="315"/>
      <c r="AY111" s="315"/>
      <c r="AZ111" s="315"/>
      <c r="BA111" s="315"/>
      <c r="BB111" s="315"/>
      <c r="BC111" s="315"/>
      <c r="BD111" s="315"/>
      <c r="BE111" s="315"/>
      <c r="BF111" s="315"/>
      <c r="BG111" s="316"/>
    </row>
    <row r="112" spans="1:59" ht="13.5" thickBot="1">
      <c r="A112" s="197" t="s">
        <v>29</v>
      </c>
      <c r="B112" s="198">
        <f>SUM(B12:B111)</f>
        <v>0</v>
      </c>
      <c r="C112" s="199">
        <f t="shared" ref="C112:M112" si="0">SUM(C12:C111)</f>
        <v>0</v>
      </c>
      <c r="D112" s="199">
        <f t="shared" si="0"/>
        <v>0</v>
      </c>
      <c r="E112" s="199">
        <f t="shared" si="0"/>
        <v>0</v>
      </c>
      <c r="F112" s="199">
        <f t="shared" si="0"/>
        <v>0</v>
      </c>
      <c r="G112" s="199">
        <f t="shared" si="0"/>
        <v>0</v>
      </c>
      <c r="H112" s="199">
        <f t="shared" si="0"/>
        <v>0</v>
      </c>
      <c r="I112" s="199">
        <f t="shared" si="0"/>
        <v>0</v>
      </c>
      <c r="J112" s="199">
        <f t="shared" si="0"/>
        <v>0</v>
      </c>
      <c r="K112" s="199">
        <f t="shared" si="0"/>
        <v>0</v>
      </c>
      <c r="L112" s="199">
        <f t="shared" si="0"/>
        <v>0</v>
      </c>
      <c r="M112" s="199">
        <f t="shared" si="0"/>
        <v>0</v>
      </c>
      <c r="N112" s="200">
        <f>SUM(N12:N111)</f>
        <v>0</v>
      </c>
      <c r="O112" s="174"/>
      <c r="P112" s="197" t="s">
        <v>29</v>
      </c>
      <c r="Q112" s="198">
        <f>SUM(Q12:Q111)</f>
        <v>0</v>
      </c>
      <c r="R112" s="199">
        <f t="shared" ref="R112:AB112" si="1">SUM(R12:R111)</f>
        <v>0</v>
      </c>
      <c r="S112" s="199">
        <f t="shared" si="1"/>
        <v>0</v>
      </c>
      <c r="T112" s="199">
        <f t="shared" si="1"/>
        <v>0</v>
      </c>
      <c r="U112" s="199">
        <f t="shared" si="1"/>
        <v>0</v>
      </c>
      <c r="V112" s="199">
        <f t="shared" si="1"/>
        <v>0</v>
      </c>
      <c r="W112" s="199">
        <f t="shared" si="1"/>
        <v>0</v>
      </c>
      <c r="X112" s="199">
        <f t="shared" si="1"/>
        <v>0</v>
      </c>
      <c r="Y112" s="199">
        <f t="shared" si="1"/>
        <v>0</v>
      </c>
      <c r="Z112" s="199">
        <f t="shared" si="1"/>
        <v>0</v>
      </c>
      <c r="AA112" s="199">
        <f t="shared" si="1"/>
        <v>0</v>
      </c>
      <c r="AB112" s="199">
        <f t="shared" si="1"/>
        <v>0</v>
      </c>
      <c r="AC112" s="200">
        <f>SUM(AC12:AC111)</f>
        <v>0</v>
      </c>
      <c r="AE112" s="197" t="s">
        <v>29</v>
      </c>
      <c r="AF112" s="198">
        <f>SUM(AF12:AF111)</f>
        <v>0</v>
      </c>
      <c r="AG112" s="199">
        <f t="shared" ref="AG112:AQ112" si="2">SUM(AG12:AG111)</f>
        <v>0</v>
      </c>
      <c r="AH112" s="199">
        <f t="shared" si="2"/>
        <v>0</v>
      </c>
      <c r="AI112" s="199">
        <f t="shared" si="2"/>
        <v>0</v>
      </c>
      <c r="AJ112" s="199">
        <f t="shared" si="2"/>
        <v>0</v>
      </c>
      <c r="AK112" s="199">
        <f t="shared" si="2"/>
        <v>0</v>
      </c>
      <c r="AL112" s="199">
        <f t="shared" si="2"/>
        <v>0</v>
      </c>
      <c r="AM112" s="199">
        <f t="shared" si="2"/>
        <v>0</v>
      </c>
      <c r="AN112" s="199">
        <f t="shared" si="2"/>
        <v>0</v>
      </c>
      <c r="AO112" s="199">
        <f t="shared" si="2"/>
        <v>0</v>
      </c>
      <c r="AP112" s="199">
        <f t="shared" si="2"/>
        <v>0</v>
      </c>
      <c r="AQ112" s="199">
        <f t="shared" si="2"/>
        <v>0</v>
      </c>
      <c r="AR112" s="200">
        <f>SUM(AR12:AR111)</f>
        <v>0</v>
      </c>
      <c r="AT112" s="197" t="s">
        <v>29</v>
      </c>
      <c r="AU112" s="198">
        <f>SUM(AU12:AU111)</f>
        <v>0</v>
      </c>
      <c r="AV112" s="199">
        <f t="shared" ref="AV112:BF112" si="3">SUM(AV12:AV111)</f>
        <v>0</v>
      </c>
      <c r="AW112" s="199">
        <f t="shared" si="3"/>
        <v>0</v>
      </c>
      <c r="AX112" s="199">
        <f t="shared" si="3"/>
        <v>0</v>
      </c>
      <c r="AY112" s="199">
        <f t="shared" si="3"/>
        <v>0</v>
      </c>
      <c r="AZ112" s="199">
        <f t="shared" si="3"/>
        <v>0</v>
      </c>
      <c r="BA112" s="199">
        <f t="shared" si="3"/>
        <v>0</v>
      </c>
      <c r="BB112" s="199">
        <f t="shared" si="3"/>
        <v>0</v>
      </c>
      <c r="BC112" s="199">
        <f t="shared" si="3"/>
        <v>0</v>
      </c>
      <c r="BD112" s="199">
        <f t="shared" si="3"/>
        <v>0</v>
      </c>
      <c r="BE112" s="199">
        <f t="shared" si="3"/>
        <v>0</v>
      </c>
      <c r="BF112" s="199">
        <f t="shared" si="3"/>
        <v>0</v>
      </c>
      <c r="BG112" s="200">
        <f>SUM(BG12:BG111)</f>
        <v>0</v>
      </c>
    </row>
  </sheetData>
  <sheetProtection scenarios="1"/>
  <mergeCells count="14">
    <mergeCell ref="G6:J6"/>
    <mergeCell ref="B3:D3"/>
    <mergeCell ref="G3:J3"/>
    <mergeCell ref="B4:D4"/>
    <mergeCell ref="B5:D5"/>
    <mergeCell ref="G5:J5"/>
    <mergeCell ref="B9:N9"/>
    <mergeCell ref="Q9:AC9"/>
    <mergeCell ref="AF9:AR9"/>
    <mergeCell ref="AU9:BG9"/>
    <mergeCell ref="B10:N10"/>
    <mergeCell ref="Q10:AC10"/>
    <mergeCell ref="AF10:AR10"/>
    <mergeCell ref="AU10:BG10"/>
  </mergeCells>
  <conditionalFormatting sqref="A2:BH2 A7:BH113 A5:G6 K5:BH6 A4:BH4 A3:G3 K3:BH3">
    <cfRule type="expression" dxfId="10" priority="1" stopIfTrue="1">
      <formula>CELL("Protect",A2)=1</formula>
    </cfRule>
  </conditionalFormatting>
  <dataValidations count="1">
    <dataValidation type="list" allowBlank="1" showInputMessage="1" showErrorMessage="1" sqref="G5:J5" xr:uid="{00000000-0002-0000-0900-000000000000}">
      <formula1>Units</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tabColor theme="8" tint="0.59999389629810485"/>
  </sheetPr>
  <dimension ref="A1:BH112"/>
  <sheetViews>
    <sheetView workbookViewId="0">
      <selection sqref="A1:BH1"/>
    </sheetView>
  </sheetViews>
  <sheetFormatPr defaultRowHeight="12.75"/>
  <cols>
    <col min="1" max="1" width="12.42578125" customWidth="1"/>
    <col min="2" max="14" width="6.7109375" customWidth="1"/>
    <col min="15" max="15" width="3.7109375" customWidth="1"/>
    <col min="16" max="16" width="12.42578125" customWidth="1"/>
    <col min="17" max="29" width="6.7109375" customWidth="1"/>
    <col min="30" max="30" width="3.7109375" customWidth="1"/>
    <col min="31" max="31" width="12.42578125" customWidth="1"/>
    <col min="32" max="44" width="6.7109375" customWidth="1"/>
    <col min="45" max="45" width="3.7109375" customWidth="1"/>
    <col min="46" max="46" width="12.42578125" customWidth="1"/>
    <col min="47" max="59" width="6.7109375" customWidth="1"/>
  </cols>
  <sheetData>
    <row r="1" spans="1:60" ht="18.75">
      <c r="A1" s="343" t="s">
        <v>115</v>
      </c>
      <c r="B1" s="343"/>
      <c r="C1" s="343"/>
      <c r="D1" s="343"/>
      <c r="E1" s="343"/>
      <c r="F1" s="343"/>
      <c r="G1" s="343"/>
      <c r="H1" s="343"/>
      <c r="I1" s="343"/>
      <c r="J1" s="343"/>
      <c r="K1" s="343"/>
      <c r="L1" s="343"/>
      <c r="M1" s="343"/>
      <c r="N1" s="343"/>
      <c r="O1" s="343"/>
      <c r="P1" s="343"/>
      <c r="Q1" s="343"/>
      <c r="R1" s="343"/>
      <c r="S1" s="343"/>
      <c r="T1" s="343"/>
      <c r="U1" s="343"/>
      <c r="V1" s="343"/>
      <c r="W1" s="343"/>
      <c r="X1" s="343"/>
      <c r="Y1" s="343"/>
      <c r="Z1" s="343"/>
      <c r="AA1" s="343"/>
      <c r="AB1" s="343"/>
      <c r="AC1" s="343"/>
      <c r="AD1" s="343"/>
      <c r="AE1" s="343"/>
      <c r="AF1" s="343"/>
      <c r="AG1" s="343"/>
      <c r="AH1" s="343"/>
      <c r="AI1" s="343"/>
      <c r="AJ1" s="343"/>
      <c r="AK1" s="343"/>
      <c r="AL1" s="343"/>
      <c r="AM1" s="343"/>
      <c r="AN1" s="343"/>
      <c r="AO1" s="343"/>
      <c r="AP1" s="343"/>
      <c r="AQ1" s="343"/>
      <c r="AR1" s="343"/>
      <c r="AS1" s="343"/>
      <c r="AT1" s="343"/>
      <c r="AU1" s="343"/>
      <c r="AV1" s="343"/>
      <c r="AW1" s="343"/>
      <c r="AX1" s="343"/>
      <c r="AY1" s="343"/>
      <c r="AZ1" s="343"/>
      <c r="BA1" s="343"/>
      <c r="BB1" s="343"/>
      <c r="BC1" s="343"/>
      <c r="BD1" s="343"/>
      <c r="BE1" s="343"/>
      <c r="BF1" s="343"/>
      <c r="BG1" s="343"/>
      <c r="BH1" s="343"/>
    </row>
    <row r="2" spans="1:60" ht="16.5" thickBot="1">
      <c r="A2" s="261" t="s">
        <v>114</v>
      </c>
      <c r="B2" s="6"/>
      <c r="C2" s="11"/>
      <c r="D2" s="6"/>
      <c r="E2" s="6"/>
      <c r="F2" s="6"/>
      <c r="G2" s="6"/>
      <c r="H2" s="6"/>
      <c r="I2" s="6"/>
      <c r="J2" s="177"/>
      <c r="K2" s="177"/>
    </row>
    <row r="3" spans="1:60" ht="16.5" thickBot="1">
      <c r="A3" s="259" t="s">
        <v>106</v>
      </c>
      <c r="B3" s="375" t="str">
        <f>'START HERE'!F6</f>
        <v>EU</v>
      </c>
      <c r="C3" s="386"/>
      <c r="D3" s="376"/>
      <c r="E3" s="177"/>
      <c r="F3" s="30" t="s">
        <v>38</v>
      </c>
      <c r="G3" s="372" t="str">
        <f>'LEN F3'!F3</f>
        <v>Fleet 3 Peru &amp; Equador</v>
      </c>
      <c r="H3" s="373"/>
      <c r="I3" s="373"/>
      <c r="J3" s="374"/>
      <c r="K3" s="177"/>
    </row>
    <row r="4" spans="1:60" ht="15.75">
      <c r="A4" s="12" t="s">
        <v>18</v>
      </c>
      <c r="B4" s="375" t="str">
        <f>'START HERE'!F5</f>
        <v>Jack mackerel</v>
      </c>
      <c r="C4" s="386"/>
      <c r="D4" s="376"/>
      <c r="E4" s="177"/>
      <c r="F4" s="13"/>
      <c r="G4" s="317"/>
      <c r="H4" s="318"/>
      <c r="I4" s="319"/>
      <c r="J4" s="320"/>
      <c r="K4" s="177"/>
    </row>
    <row r="5" spans="1:60" ht="18">
      <c r="A5" s="12" t="s">
        <v>13</v>
      </c>
      <c r="B5" s="387">
        <f>'START HERE'!K3</f>
        <v>2010</v>
      </c>
      <c r="C5" s="388"/>
      <c r="D5" s="389"/>
      <c r="E5" s="177"/>
      <c r="F5" s="34" t="s">
        <v>39</v>
      </c>
      <c r="G5" s="377" t="s">
        <v>116</v>
      </c>
      <c r="H5" s="378"/>
      <c r="I5" s="378"/>
      <c r="J5" s="379"/>
      <c r="K5" s="177"/>
    </row>
    <row r="6" spans="1:60" ht="16.5" thickBot="1">
      <c r="A6" s="12"/>
      <c r="B6" s="71"/>
      <c r="C6" s="72"/>
      <c r="D6" s="6"/>
      <c r="F6" s="34" t="s">
        <v>14</v>
      </c>
      <c r="G6" s="380" t="str">
        <f>'START HERE'!$F8</f>
        <v>13/6/2022</v>
      </c>
      <c r="H6" s="381"/>
      <c r="I6" s="381"/>
      <c r="J6" s="382"/>
      <c r="K6" s="177"/>
    </row>
    <row r="7" spans="1:60">
      <c r="A7" s="6"/>
      <c r="B7" s="6"/>
      <c r="C7" s="6"/>
      <c r="D7" s="6"/>
      <c r="E7" s="6"/>
      <c r="F7" s="6"/>
      <c r="G7" s="6"/>
      <c r="H7" s="6"/>
      <c r="I7" s="6"/>
      <c r="J7" s="177"/>
      <c r="K7" s="177"/>
    </row>
    <row r="8" spans="1:60" ht="13.5" thickBot="1">
      <c r="A8" s="6"/>
      <c r="B8" s="6"/>
      <c r="C8" s="6"/>
      <c r="D8" s="6"/>
      <c r="E8" s="6"/>
      <c r="F8" s="6"/>
      <c r="G8" s="6"/>
      <c r="H8" s="6"/>
      <c r="I8" s="6"/>
      <c r="J8" s="177"/>
      <c r="K8" s="177"/>
    </row>
    <row r="9" spans="1:60" ht="15.75">
      <c r="A9" s="191"/>
      <c r="B9" s="390" t="s">
        <v>52</v>
      </c>
      <c r="C9" s="390"/>
      <c r="D9" s="390"/>
      <c r="E9" s="390"/>
      <c r="F9" s="390"/>
      <c r="G9" s="390"/>
      <c r="H9" s="390"/>
      <c r="I9" s="390"/>
      <c r="J9" s="390"/>
      <c r="K9" s="390"/>
      <c r="L9" s="390"/>
      <c r="M9" s="390"/>
      <c r="N9" s="391"/>
      <c r="P9" s="191"/>
      <c r="Q9" s="390" t="s">
        <v>30</v>
      </c>
      <c r="R9" s="390"/>
      <c r="S9" s="390"/>
      <c r="T9" s="390"/>
      <c r="U9" s="390"/>
      <c r="V9" s="390"/>
      <c r="W9" s="390"/>
      <c r="X9" s="390"/>
      <c r="Y9" s="390"/>
      <c r="Z9" s="390"/>
      <c r="AA9" s="390"/>
      <c r="AB9" s="390"/>
      <c r="AC9" s="391"/>
      <c r="AE9" s="191"/>
      <c r="AF9" s="390" t="s">
        <v>31</v>
      </c>
      <c r="AG9" s="390"/>
      <c r="AH9" s="390"/>
      <c r="AI9" s="390"/>
      <c r="AJ9" s="390"/>
      <c r="AK9" s="390"/>
      <c r="AL9" s="390"/>
      <c r="AM9" s="390"/>
      <c r="AN9" s="390"/>
      <c r="AO9" s="390"/>
      <c r="AP9" s="390"/>
      <c r="AQ9" s="390"/>
      <c r="AR9" s="391"/>
      <c r="AT9" s="191"/>
      <c r="AU9" s="390" t="s">
        <v>32</v>
      </c>
      <c r="AV9" s="390"/>
      <c r="AW9" s="390"/>
      <c r="AX9" s="390"/>
      <c r="AY9" s="390"/>
      <c r="AZ9" s="390"/>
      <c r="BA9" s="390"/>
      <c r="BB9" s="390"/>
      <c r="BC9" s="390"/>
      <c r="BD9" s="390"/>
      <c r="BE9" s="390"/>
      <c r="BF9" s="390"/>
      <c r="BG9" s="391"/>
    </row>
    <row r="10" spans="1:60">
      <c r="A10" s="192" t="str">
        <f>'START HERE'!$F$13</f>
        <v>fork length</v>
      </c>
      <c r="B10" s="383" t="s">
        <v>78</v>
      </c>
      <c r="C10" s="384"/>
      <c r="D10" s="384"/>
      <c r="E10" s="384"/>
      <c r="F10" s="384"/>
      <c r="G10" s="384"/>
      <c r="H10" s="384"/>
      <c r="I10" s="384"/>
      <c r="J10" s="384"/>
      <c r="K10" s="384"/>
      <c r="L10" s="384"/>
      <c r="M10" s="384"/>
      <c r="N10" s="385"/>
      <c r="P10" s="192" t="str">
        <f>A10</f>
        <v>fork length</v>
      </c>
      <c r="Q10" s="383" t="s">
        <v>78</v>
      </c>
      <c r="R10" s="384"/>
      <c r="S10" s="384"/>
      <c r="T10" s="384"/>
      <c r="U10" s="384"/>
      <c r="V10" s="384"/>
      <c r="W10" s="384"/>
      <c r="X10" s="384"/>
      <c r="Y10" s="384"/>
      <c r="Z10" s="384"/>
      <c r="AA10" s="384"/>
      <c r="AB10" s="384"/>
      <c r="AC10" s="385"/>
      <c r="AE10" s="192" t="str">
        <f>A10</f>
        <v>fork length</v>
      </c>
      <c r="AF10" s="383" t="s">
        <v>78</v>
      </c>
      <c r="AG10" s="384"/>
      <c r="AH10" s="384"/>
      <c r="AI10" s="384"/>
      <c r="AJ10" s="384"/>
      <c r="AK10" s="384"/>
      <c r="AL10" s="384"/>
      <c r="AM10" s="384"/>
      <c r="AN10" s="384"/>
      <c r="AO10" s="384"/>
      <c r="AP10" s="384"/>
      <c r="AQ10" s="384"/>
      <c r="AR10" s="385"/>
      <c r="AT10" s="192" t="str">
        <f>A10</f>
        <v>fork length</v>
      </c>
      <c r="AU10" s="383" t="s">
        <v>78</v>
      </c>
      <c r="AV10" s="384"/>
      <c r="AW10" s="384"/>
      <c r="AX10" s="384"/>
      <c r="AY10" s="384"/>
      <c r="AZ10" s="384"/>
      <c r="BA10" s="384"/>
      <c r="BB10" s="384"/>
      <c r="BC10" s="384"/>
      <c r="BD10" s="384"/>
      <c r="BE10" s="384"/>
      <c r="BF10" s="384"/>
      <c r="BG10" s="385"/>
    </row>
    <row r="11" spans="1:60">
      <c r="A11" s="193" t="s">
        <v>42</v>
      </c>
      <c r="B11" s="189">
        <v>0</v>
      </c>
      <c r="C11" s="190">
        <v>1</v>
      </c>
      <c r="D11" s="190">
        <v>2</v>
      </c>
      <c r="E11" s="190">
        <v>3</v>
      </c>
      <c r="F11" s="190">
        <v>4</v>
      </c>
      <c r="G11" s="190">
        <v>5</v>
      </c>
      <c r="H11" s="190">
        <v>6</v>
      </c>
      <c r="I11" s="190">
        <v>7</v>
      </c>
      <c r="J11" s="190">
        <v>8</v>
      </c>
      <c r="K11" s="190">
        <v>9</v>
      </c>
      <c r="L11" s="190">
        <v>10</v>
      </c>
      <c r="M11" s="190">
        <v>11</v>
      </c>
      <c r="N11" s="194">
        <v>12</v>
      </c>
      <c r="P11" s="193" t="s">
        <v>42</v>
      </c>
      <c r="Q11" s="189">
        <v>0</v>
      </c>
      <c r="R11" s="190">
        <v>1</v>
      </c>
      <c r="S11" s="190">
        <v>2</v>
      </c>
      <c r="T11" s="190">
        <v>3</v>
      </c>
      <c r="U11" s="190">
        <v>4</v>
      </c>
      <c r="V11" s="190">
        <v>5</v>
      </c>
      <c r="W11" s="190">
        <v>6</v>
      </c>
      <c r="X11" s="190">
        <v>7</v>
      </c>
      <c r="Y11" s="190">
        <v>8</v>
      </c>
      <c r="Z11" s="190">
        <v>9</v>
      </c>
      <c r="AA11" s="190">
        <v>10</v>
      </c>
      <c r="AB11" s="190">
        <v>11</v>
      </c>
      <c r="AC11" s="194">
        <v>12</v>
      </c>
      <c r="AE11" s="193" t="s">
        <v>42</v>
      </c>
      <c r="AF11" s="189">
        <v>0</v>
      </c>
      <c r="AG11" s="190">
        <v>1</v>
      </c>
      <c r="AH11" s="190">
        <v>2</v>
      </c>
      <c r="AI11" s="190">
        <v>3</v>
      </c>
      <c r="AJ11" s="190">
        <v>4</v>
      </c>
      <c r="AK11" s="190">
        <v>5</v>
      </c>
      <c r="AL11" s="190">
        <v>6</v>
      </c>
      <c r="AM11" s="190">
        <v>7</v>
      </c>
      <c r="AN11" s="190">
        <v>8</v>
      </c>
      <c r="AO11" s="190">
        <v>9</v>
      </c>
      <c r="AP11" s="190">
        <v>10</v>
      </c>
      <c r="AQ11" s="190">
        <v>11</v>
      </c>
      <c r="AR11" s="194">
        <v>12</v>
      </c>
      <c r="AT11" s="193" t="s">
        <v>42</v>
      </c>
      <c r="AU11" s="189">
        <v>0</v>
      </c>
      <c r="AV11" s="190">
        <v>1</v>
      </c>
      <c r="AW11" s="190">
        <v>2</v>
      </c>
      <c r="AX11" s="190">
        <v>3</v>
      </c>
      <c r="AY11" s="190">
        <v>4</v>
      </c>
      <c r="AZ11" s="190">
        <v>5</v>
      </c>
      <c r="BA11" s="190">
        <v>6</v>
      </c>
      <c r="BB11" s="190">
        <v>7</v>
      </c>
      <c r="BC11" s="190">
        <v>8</v>
      </c>
      <c r="BD11" s="190">
        <v>9</v>
      </c>
      <c r="BE11" s="190">
        <v>10</v>
      </c>
      <c r="BF11" s="190">
        <v>11</v>
      </c>
      <c r="BG11" s="194">
        <v>12</v>
      </c>
    </row>
    <row r="12" spans="1:60">
      <c r="A12" s="195">
        <v>1</v>
      </c>
      <c r="B12" s="308"/>
      <c r="C12" s="309"/>
      <c r="D12" s="309"/>
      <c r="E12" s="309"/>
      <c r="F12" s="309"/>
      <c r="G12" s="309"/>
      <c r="H12" s="309"/>
      <c r="I12" s="309"/>
      <c r="J12" s="309"/>
      <c r="K12" s="309"/>
      <c r="L12" s="309"/>
      <c r="M12" s="309"/>
      <c r="N12" s="310"/>
      <c r="P12" s="195">
        <v>1</v>
      </c>
      <c r="Q12" s="308"/>
      <c r="R12" s="309"/>
      <c r="S12" s="309"/>
      <c r="T12" s="309"/>
      <c r="U12" s="309"/>
      <c r="V12" s="309"/>
      <c r="W12" s="309"/>
      <c r="X12" s="309"/>
      <c r="Y12" s="309"/>
      <c r="Z12" s="309"/>
      <c r="AA12" s="309"/>
      <c r="AB12" s="309"/>
      <c r="AC12" s="310"/>
      <c r="AE12" s="195">
        <v>1</v>
      </c>
      <c r="AF12" s="308"/>
      <c r="AG12" s="309"/>
      <c r="AH12" s="309"/>
      <c r="AI12" s="309"/>
      <c r="AJ12" s="309"/>
      <c r="AK12" s="309"/>
      <c r="AL12" s="309"/>
      <c r="AM12" s="309"/>
      <c r="AN12" s="309"/>
      <c r="AO12" s="309"/>
      <c r="AP12" s="309"/>
      <c r="AQ12" s="309"/>
      <c r="AR12" s="310"/>
      <c r="AT12" s="195">
        <v>1</v>
      </c>
      <c r="AU12" s="308"/>
      <c r="AV12" s="309"/>
      <c r="AW12" s="309"/>
      <c r="AX12" s="309"/>
      <c r="AY12" s="309"/>
      <c r="AZ12" s="309"/>
      <c r="BA12" s="309"/>
      <c r="BB12" s="309"/>
      <c r="BC12" s="309"/>
      <c r="BD12" s="309"/>
      <c r="BE12" s="309"/>
      <c r="BF12" s="309"/>
      <c r="BG12" s="310"/>
    </row>
    <row r="13" spans="1:60">
      <c r="A13" s="195">
        <v>2</v>
      </c>
      <c r="B13" s="311"/>
      <c r="C13" s="312"/>
      <c r="D13" s="312"/>
      <c r="E13" s="312"/>
      <c r="F13" s="312"/>
      <c r="G13" s="312"/>
      <c r="H13" s="312"/>
      <c r="I13" s="312"/>
      <c r="J13" s="312"/>
      <c r="K13" s="312"/>
      <c r="L13" s="312"/>
      <c r="M13" s="312"/>
      <c r="N13" s="313"/>
      <c r="P13" s="195">
        <v>2</v>
      </c>
      <c r="Q13" s="311"/>
      <c r="R13" s="312"/>
      <c r="S13" s="312"/>
      <c r="T13" s="312"/>
      <c r="U13" s="312"/>
      <c r="V13" s="312"/>
      <c r="W13" s="312"/>
      <c r="X13" s="312"/>
      <c r="Y13" s="312"/>
      <c r="Z13" s="312"/>
      <c r="AA13" s="312"/>
      <c r="AB13" s="312"/>
      <c r="AC13" s="313"/>
      <c r="AE13" s="195">
        <v>2</v>
      </c>
      <c r="AF13" s="311"/>
      <c r="AG13" s="312"/>
      <c r="AH13" s="312"/>
      <c r="AI13" s="312"/>
      <c r="AJ13" s="312"/>
      <c r="AK13" s="312"/>
      <c r="AL13" s="312"/>
      <c r="AM13" s="312"/>
      <c r="AN13" s="312"/>
      <c r="AO13" s="312"/>
      <c r="AP13" s="312"/>
      <c r="AQ13" s="312"/>
      <c r="AR13" s="313"/>
      <c r="AT13" s="195">
        <v>2</v>
      </c>
      <c r="AU13" s="311"/>
      <c r="AV13" s="312"/>
      <c r="AW13" s="312"/>
      <c r="AX13" s="312"/>
      <c r="AY13" s="312"/>
      <c r="AZ13" s="312"/>
      <c r="BA13" s="312"/>
      <c r="BB13" s="312"/>
      <c r="BC13" s="312"/>
      <c r="BD13" s="312"/>
      <c r="BE13" s="312"/>
      <c r="BF13" s="312"/>
      <c r="BG13" s="313"/>
    </row>
    <row r="14" spans="1:60">
      <c r="A14" s="195">
        <v>3</v>
      </c>
      <c r="B14" s="311"/>
      <c r="C14" s="312"/>
      <c r="D14" s="312"/>
      <c r="E14" s="312"/>
      <c r="F14" s="312"/>
      <c r="G14" s="312"/>
      <c r="H14" s="312"/>
      <c r="I14" s="312"/>
      <c r="J14" s="312"/>
      <c r="K14" s="312"/>
      <c r="L14" s="312"/>
      <c r="M14" s="312"/>
      <c r="N14" s="313"/>
      <c r="P14" s="195">
        <v>3</v>
      </c>
      <c r="Q14" s="311"/>
      <c r="R14" s="312"/>
      <c r="S14" s="312"/>
      <c r="T14" s="312"/>
      <c r="U14" s="312"/>
      <c r="V14" s="312"/>
      <c r="W14" s="312"/>
      <c r="X14" s="312"/>
      <c r="Y14" s="312"/>
      <c r="Z14" s="312"/>
      <c r="AA14" s="312"/>
      <c r="AB14" s="312"/>
      <c r="AC14" s="313"/>
      <c r="AE14" s="195">
        <v>3</v>
      </c>
      <c r="AF14" s="311"/>
      <c r="AG14" s="312"/>
      <c r="AH14" s="312"/>
      <c r="AI14" s="312"/>
      <c r="AJ14" s="312"/>
      <c r="AK14" s="312"/>
      <c r="AL14" s="312"/>
      <c r="AM14" s="312"/>
      <c r="AN14" s="312"/>
      <c r="AO14" s="312"/>
      <c r="AP14" s="312"/>
      <c r="AQ14" s="312"/>
      <c r="AR14" s="313"/>
      <c r="AT14" s="195">
        <v>3</v>
      </c>
      <c r="AU14" s="311"/>
      <c r="AV14" s="312"/>
      <c r="AW14" s="312"/>
      <c r="AX14" s="312"/>
      <c r="AY14" s="312"/>
      <c r="AZ14" s="312"/>
      <c r="BA14" s="312"/>
      <c r="BB14" s="312"/>
      <c r="BC14" s="312"/>
      <c r="BD14" s="312"/>
      <c r="BE14" s="312"/>
      <c r="BF14" s="312"/>
      <c r="BG14" s="313"/>
    </row>
    <row r="15" spans="1:60">
      <c r="A15" s="195">
        <v>4</v>
      </c>
      <c r="B15" s="311"/>
      <c r="C15" s="312"/>
      <c r="D15" s="312"/>
      <c r="E15" s="312"/>
      <c r="F15" s="312"/>
      <c r="G15" s="312"/>
      <c r="H15" s="312"/>
      <c r="I15" s="312"/>
      <c r="J15" s="312"/>
      <c r="K15" s="312"/>
      <c r="L15" s="312"/>
      <c r="M15" s="312"/>
      <c r="N15" s="313"/>
      <c r="P15" s="195">
        <v>4</v>
      </c>
      <c r="Q15" s="311"/>
      <c r="R15" s="312"/>
      <c r="S15" s="312"/>
      <c r="T15" s="312"/>
      <c r="U15" s="312"/>
      <c r="V15" s="312"/>
      <c r="W15" s="312"/>
      <c r="X15" s="312"/>
      <c r="Y15" s="312"/>
      <c r="Z15" s="312"/>
      <c r="AA15" s="312"/>
      <c r="AB15" s="312"/>
      <c r="AC15" s="313"/>
      <c r="AE15" s="195">
        <v>4</v>
      </c>
      <c r="AF15" s="311"/>
      <c r="AG15" s="312"/>
      <c r="AH15" s="312"/>
      <c r="AI15" s="312"/>
      <c r="AJ15" s="312"/>
      <c r="AK15" s="312"/>
      <c r="AL15" s="312"/>
      <c r="AM15" s="312"/>
      <c r="AN15" s="312"/>
      <c r="AO15" s="312"/>
      <c r="AP15" s="312"/>
      <c r="AQ15" s="312"/>
      <c r="AR15" s="313"/>
      <c r="AT15" s="195">
        <v>4</v>
      </c>
      <c r="AU15" s="311"/>
      <c r="AV15" s="312"/>
      <c r="AW15" s="312"/>
      <c r="AX15" s="312"/>
      <c r="AY15" s="312"/>
      <c r="AZ15" s="312"/>
      <c r="BA15" s="312"/>
      <c r="BB15" s="312"/>
      <c r="BC15" s="312"/>
      <c r="BD15" s="312"/>
      <c r="BE15" s="312"/>
      <c r="BF15" s="312"/>
      <c r="BG15" s="313"/>
    </row>
    <row r="16" spans="1:60">
      <c r="A16" s="195">
        <v>5</v>
      </c>
      <c r="B16" s="311"/>
      <c r="C16" s="312"/>
      <c r="D16" s="312"/>
      <c r="E16" s="312"/>
      <c r="F16" s="312"/>
      <c r="G16" s="312"/>
      <c r="H16" s="312"/>
      <c r="I16" s="312"/>
      <c r="J16" s="312"/>
      <c r="K16" s="312"/>
      <c r="L16" s="312"/>
      <c r="M16" s="312"/>
      <c r="N16" s="313"/>
      <c r="P16" s="195">
        <v>5</v>
      </c>
      <c r="Q16" s="311"/>
      <c r="R16" s="312"/>
      <c r="S16" s="312"/>
      <c r="T16" s="312"/>
      <c r="U16" s="312"/>
      <c r="V16" s="312"/>
      <c r="W16" s="312"/>
      <c r="X16" s="312"/>
      <c r="Y16" s="312"/>
      <c r="Z16" s="312"/>
      <c r="AA16" s="312"/>
      <c r="AB16" s="312"/>
      <c r="AC16" s="313"/>
      <c r="AE16" s="195">
        <v>5</v>
      </c>
      <c r="AF16" s="311"/>
      <c r="AG16" s="312"/>
      <c r="AH16" s="312"/>
      <c r="AI16" s="312"/>
      <c r="AJ16" s="312"/>
      <c r="AK16" s="312"/>
      <c r="AL16" s="312"/>
      <c r="AM16" s="312"/>
      <c r="AN16" s="312"/>
      <c r="AO16" s="312"/>
      <c r="AP16" s="312"/>
      <c r="AQ16" s="312"/>
      <c r="AR16" s="313"/>
      <c r="AT16" s="195">
        <v>5</v>
      </c>
      <c r="AU16" s="311"/>
      <c r="AV16" s="312"/>
      <c r="AW16" s="312"/>
      <c r="AX16" s="312"/>
      <c r="AY16" s="312"/>
      <c r="AZ16" s="312"/>
      <c r="BA16" s="312"/>
      <c r="BB16" s="312"/>
      <c r="BC16" s="312"/>
      <c r="BD16" s="312"/>
      <c r="BE16" s="312"/>
      <c r="BF16" s="312"/>
      <c r="BG16" s="313"/>
    </row>
    <row r="17" spans="1:59">
      <c r="A17" s="195">
        <v>6</v>
      </c>
      <c r="B17" s="311"/>
      <c r="C17" s="312"/>
      <c r="D17" s="312"/>
      <c r="E17" s="312"/>
      <c r="F17" s="312"/>
      <c r="G17" s="312"/>
      <c r="H17" s="312"/>
      <c r="I17" s="312"/>
      <c r="J17" s="312"/>
      <c r="K17" s="312"/>
      <c r="L17" s="312"/>
      <c r="M17" s="312"/>
      <c r="N17" s="313"/>
      <c r="P17" s="195">
        <v>6</v>
      </c>
      <c r="Q17" s="311"/>
      <c r="R17" s="312"/>
      <c r="S17" s="312"/>
      <c r="T17" s="312"/>
      <c r="U17" s="312"/>
      <c r="V17" s="312"/>
      <c r="W17" s="312"/>
      <c r="X17" s="312"/>
      <c r="Y17" s="312"/>
      <c r="Z17" s="312"/>
      <c r="AA17" s="312"/>
      <c r="AB17" s="312"/>
      <c r="AC17" s="313"/>
      <c r="AE17" s="195">
        <v>6</v>
      </c>
      <c r="AF17" s="311"/>
      <c r="AG17" s="312"/>
      <c r="AH17" s="312"/>
      <c r="AI17" s="312"/>
      <c r="AJ17" s="312"/>
      <c r="AK17" s="312"/>
      <c r="AL17" s="312"/>
      <c r="AM17" s="312"/>
      <c r="AN17" s="312"/>
      <c r="AO17" s="312"/>
      <c r="AP17" s="312"/>
      <c r="AQ17" s="312"/>
      <c r="AR17" s="313"/>
      <c r="AT17" s="195">
        <v>6</v>
      </c>
      <c r="AU17" s="311"/>
      <c r="AV17" s="312"/>
      <c r="AW17" s="312"/>
      <c r="AX17" s="312"/>
      <c r="AY17" s="312"/>
      <c r="AZ17" s="312"/>
      <c r="BA17" s="312"/>
      <c r="BB17" s="312"/>
      <c r="BC17" s="312"/>
      <c r="BD17" s="312"/>
      <c r="BE17" s="312"/>
      <c r="BF17" s="312"/>
      <c r="BG17" s="313"/>
    </row>
    <row r="18" spans="1:59">
      <c r="A18" s="195">
        <v>7</v>
      </c>
      <c r="B18" s="311"/>
      <c r="C18" s="312"/>
      <c r="D18" s="312"/>
      <c r="E18" s="312"/>
      <c r="F18" s="312"/>
      <c r="G18" s="312"/>
      <c r="H18" s="312"/>
      <c r="I18" s="312"/>
      <c r="J18" s="312"/>
      <c r="K18" s="312"/>
      <c r="L18" s="312"/>
      <c r="M18" s="312"/>
      <c r="N18" s="313"/>
      <c r="P18" s="195">
        <v>7</v>
      </c>
      <c r="Q18" s="311"/>
      <c r="R18" s="312"/>
      <c r="S18" s="312"/>
      <c r="T18" s="312"/>
      <c r="U18" s="312"/>
      <c r="V18" s="312"/>
      <c r="W18" s="312"/>
      <c r="X18" s="312"/>
      <c r="Y18" s="312"/>
      <c r="Z18" s="312"/>
      <c r="AA18" s="312"/>
      <c r="AB18" s="312"/>
      <c r="AC18" s="313"/>
      <c r="AE18" s="195">
        <v>7</v>
      </c>
      <c r="AF18" s="311"/>
      <c r="AG18" s="312"/>
      <c r="AH18" s="312"/>
      <c r="AI18" s="312"/>
      <c r="AJ18" s="312"/>
      <c r="AK18" s="312"/>
      <c r="AL18" s="312"/>
      <c r="AM18" s="312"/>
      <c r="AN18" s="312"/>
      <c r="AO18" s="312"/>
      <c r="AP18" s="312"/>
      <c r="AQ18" s="312"/>
      <c r="AR18" s="313"/>
      <c r="AT18" s="195">
        <v>7</v>
      </c>
      <c r="AU18" s="311"/>
      <c r="AV18" s="312"/>
      <c r="AW18" s="312"/>
      <c r="AX18" s="312"/>
      <c r="AY18" s="312"/>
      <c r="AZ18" s="312"/>
      <c r="BA18" s="312"/>
      <c r="BB18" s="312"/>
      <c r="BC18" s="312"/>
      <c r="BD18" s="312"/>
      <c r="BE18" s="312"/>
      <c r="BF18" s="312"/>
      <c r="BG18" s="313"/>
    </row>
    <row r="19" spans="1:59">
      <c r="A19" s="195">
        <v>8</v>
      </c>
      <c r="B19" s="311"/>
      <c r="C19" s="312"/>
      <c r="D19" s="312"/>
      <c r="E19" s="312"/>
      <c r="F19" s="312"/>
      <c r="G19" s="312"/>
      <c r="H19" s="312"/>
      <c r="I19" s="312"/>
      <c r="J19" s="312"/>
      <c r="K19" s="312"/>
      <c r="L19" s="312"/>
      <c r="M19" s="312"/>
      <c r="N19" s="313"/>
      <c r="P19" s="195">
        <v>8</v>
      </c>
      <c r="Q19" s="311"/>
      <c r="R19" s="312"/>
      <c r="S19" s="312"/>
      <c r="T19" s="312"/>
      <c r="U19" s="312"/>
      <c r="V19" s="312"/>
      <c r="W19" s="312"/>
      <c r="X19" s="312"/>
      <c r="Y19" s="312"/>
      <c r="Z19" s="312"/>
      <c r="AA19" s="312"/>
      <c r="AB19" s="312"/>
      <c r="AC19" s="313"/>
      <c r="AE19" s="195">
        <v>8</v>
      </c>
      <c r="AF19" s="311"/>
      <c r="AG19" s="312"/>
      <c r="AH19" s="312"/>
      <c r="AI19" s="312"/>
      <c r="AJ19" s="312"/>
      <c r="AK19" s="312"/>
      <c r="AL19" s="312"/>
      <c r="AM19" s="312"/>
      <c r="AN19" s="312"/>
      <c r="AO19" s="312"/>
      <c r="AP19" s="312"/>
      <c r="AQ19" s="312"/>
      <c r="AR19" s="313"/>
      <c r="AT19" s="195">
        <v>8</v>
      </c>
      <c r="AU19" s="311"/>
      <c r="AV19" s="312"/>
      <c r="AW19" s="312"/>
      <c r="AX19" s="312"/>
      <c r="AY19" s="312"/>
      <c r="AZ19" s="312"/>
      <c r="BA19" s="312"/>
      <c r="BB19" s="312"/>
      <c r="BC19" s="312"/>
      <c r="BD19" s="312"/>
      <c r="BE19" s="312"/>
      <c r="BF19" s="312"/>
      <c r="BG19" s="313"/>
    </row>
    <row r="20" spans="1:59">
      <c r="A20" s="195">
        <v>9</v>
      </c>
      <c r="B20" s="311"/>
      <c r="C20" s="312"/>
      <c r="D20" s="312"/>
      <c r="E20" s="312"/>
      <c r="F20" s="312"/>
      <c r="G20" s="312"/>
      <c r="H20" s="312"/>
      <c r="I20" s="312"/>
      <c r="J20" s="312"/>
      <c r="K20" s="312"/>
      <c r="L20" s="312"/>
      <c r="M20" s="312"/>
      <c r="N20" s="313"/>
      <c r="P20" s="195">
        <v>9</v>
      </c>
      <c r="Q20" s="311"/>
      <c r="R20" s="312"/>
      <c r="S20" s="312"/>
      <c r="T20" s="312"/>
      <c r="U20" s="312"/>
      <c r="V20" s="312"/>
      <c r="W20" s="312"/>
      <c r="X20" s="312"/>
      <c r="Y20" s="312"/>
      <c r="Z20" s="312"/>
      <c r="AA20" s="312"/>
      <c r="AB20" s="312"/>
      <c r="AC20" s="313"/>
      <c r="AE20" s="195">
        <v>9</v>
      </c>
      <c r="AF20" s="311"/>
      <c r="AG20" s="312"/>
      <c r="AH20" s="312"/>
      <c r="AI20" s="312"/>
      <c r="AJ20" s="312"/>
      <c r="AK20" s="312"/>
      <c r="AL20" s="312"/>
      <c r="AM20" s="312"/>
      <c r="AN20" s="312"/>
      <c r="AO20" s="312"/>
      <c r="AP20" s="312"/>
      <c r="AQ20" s="312"/>
      <c r="AR20" s="313"/>
      <c r="AT20" s="195">
        <v>9</v>
      </c>
      <c r="AU20" s="311"/>
      <c r="AV20" s="312"/>
      <c r="AW20" s="312"/>
      <c r="AX20" s="312"/>
      <c r="AY20" s="312"/>
      <c r="AZ20" s="312"/>
      <c r="BA20" s="312"/>
      <c r="BB20" s="312"/>
      <c r="BC20" s="312"/>
      <c r="BD20" s="312"/>
      <c r="BE20" s="312"/>
      <c r="BF20" s="312"/>
      <c r="BG20" s="313"/>
    </row>
    <row r="21" spans="1:59">
      <c r="A21" s="195">
        <v>10</v>
      </c>
      <c r="B21" s="311"/>
      <c r="C21" s="312"/>
      <c r="D21" s="312"/>
      <c r="E21" s="312"/>
      <c r="F21" s="312"/>
      <c r="G21" s="312"/>
      <c r="H21" s="312"/>
      <c r="I21" s="312"/>
      <c r="J21" s="312"/>
      <c r="K21" s="312"/>
      <c r="L21" s="312"/>
      <c r="M21" s="312"/>
      <c r="N21" s="313"/>
      <c r="P21" s="195">
        <v>10</v>
      </c>
      <c r="Q21" s="311"/>
      <c r="R21" s="312"/>
      <c r="S21" s="312"/>
      <c r="T21" s="312"/>
      <c r="U21" s="312"/>
      <c r="V21" s="312"/>
      <c r="W21" s="312"/>
      <c r="X21" s="312"/>
      <c r="Y21" s="312"/>
      <c r="Z21" s="312"/>
      <c r="AA21" s="312"/>
      <c r="AB21" s="312"/>
      <c r="AC21" s="313"/>
      <c r="AE21" s="195">
        <v>10</v>
      </c>
      <c r="AF21" s="311"/>
      <c r="AG21" s="312"/>
      <c r="AH21" s="312"/>
      <c r="AI21" s="312"/>
      <c r="AJ21" s="312"/>
      <c r="AK21" s="312"/>
      <c r="AL21" s="312"/>
      <c r="AM21" s="312"/>
      <c r="AN21" s="312"/>
      <c r="AO21" s="312"/>
      <c r="AP21" s="312"/>
      <c r="AQ21" s="312"/>
      <c r="AR21" s="313"/>
      <c r="AT21" s="195">
        <v>10</v>
      </c>
      <c r="AU21" s="311"/>
      <c r="AV21" s="312"/>
      <c r="AW21" s="312"/>
      <c r="AX21" s="312"/>
      <c r="AY21" s="312"/>
      <c r="AZ21" s="312"/>
      <c r="BA21" s="312"/>
      <c r="BB21" s="312"/>
      <c r="BC21" s="312"/>
      <c r="BD21" s="312"/>
      <c r="BE21" s="312"/>
      <c r="BF21" s="312"/>
      <c r="BG21" s="313"/>
    </row>
    <row r="22" spans="1:59">
      <c r="A22" s="195">
        <v>11</v>
      </c>
      <c r="B22" s="311"/>
      <c r="C22" s="312"/>
      <c r="D22" s="312"/>
      <c r="E22" s="312"/>
      <c r="F22" s="312"/>
      <c r="G22" s="312"/>
      <c r="H22" s="312"/>
      <c r="I22" s="312"/>
      <c r="J22" s="312"/>
      <c r="K22" s="312"/>
      <c r="L22" s="312"/>
      <c r="M22" s="312"/>
      <c r="N22" s="313"/>
      <c r="P22" s="195">
        <v>11</v>
      </c>
      <c r="Q22" s="311"/>
      <c r="R22" s="312"/>
      <c r="S22" s="312"/>
      <c r="T22" s="312"/>
      <c r="U22" s="312"/>
      <c r="V22" s="312"/>
      <c r="W22" s="312"/>
      <c r="X22" s="312"/>
      <c r="Y22" s="312"/>
      <c r="Z22" s="312"/>
      <c r="AA22" s="312"/>
      <c r="AB22" s="312"/>
      <c r="AC22" s="313"/>
      <c r="AE22" s="195">
        <v>11</v>
      </c>
      <c r="AF22" s="311"/>
      <c r="AG22" s="312"/>
      <c r="AH22" s="312"/>
      <c r="AI22" s="312"/>
      <c r="AJ22" s="312"/>
      <c r="AK22" s="312"/>
      <c r="AL22" s="312"/>
      <c r="AM22" s="312"/>
      <c r="AN22" s="312"/>
      <c r="AO22" s="312"/>
      <c r="AP22" s="312"/>
      <c r="AQ22" s="312"/>
      <c r="AR22" s="313"/>
      <c r="AT22" s="195">
        <v>11</v>
      </c>
      <c r="AU22" s="311"/>
      <c r="AV22" s="312"/>
      <c r="AW22" s="312"/>
      <c r="AX22" s="312"/>
      <c r="AY22" s="312"/>
      <c r="AZ22" s="312"/>
      <c r="BA22" s="312"/>
      <c r="BB22" s="312"/>
      <c r="BC22" s="312"/>
      <c r="BD22" s="312"/>
      <c r="BE22" s="312"/>
      <c r="BF22" s="312"/>
      <c r="BG22" s="313"/>
    </row>
    <row r="23" spans="1:59">
      <c r="A23" s="195">
        <v>12</v>
      </c>
      <c r="B23" s="311"/>
      <c r="C23" s="312"/>
      <c r="D23" s="312"/>
      <c r="E23" s="312"/>
      <c r="F23" s="312"/>
      <c r="G23" s="312"/>
      <c r="H23" s="312"/>
      <c r="I23" s="312"/>
      <c r="J23" s="312"/>
      <c r="K23" s="312"/>
      <c r="L23" s="312"/>
      <c r="M23" s="312"/>
      <c r="N23" s="313"/>
      <c r="P23" s="195">
        <v>12</v>
      </c>
      <c r="Q23" s="311"/>
      <c r="R23" s="312"/>
      <c r="S23" s="312"/>
      <c r="T23" s="312"/>
      <c r="U23" s="312"/>
      <c r="V23" s="312"/>
      <c r="W23" s="312"/>
      <c r="X23" s="312"/>
      <c r="Y23" s="312"/>
      <c r="Z23" s="312"/>
      <c r="AA23" s="312"/>
      <c r="AB23" s="312"/>
      <c r="AC23" s="313"/>
      <c r="AE23" s="195">
        <v>12</v>
      </c>
      <c r="AF23" s="311"/>
      <c r="AG23" s="312"/>
      <c r="AH23" s="312"/>
      <c r="AI23" s="312"/>
      <c r="AJ23" s="312"/>
      <c r="AK23" s="312"/>
      <c r="AL23" s="312"/>
      <c r="AM23" s="312"/>
      <c r="AN23" s="312"/>
      <c r="AO23" s="312"/>
      <c r="AP23" s="312"/>
      <c r="AQ23" s="312"/>
      <c r="AR23" s="313"/>
      <c r="AT23" s="195">
        <v>12</v>
      </c>
      <c r="AU23" s="311"/>
      <c r="AV23" s="312"/>
      <c r="AW23" s="312"/>
      <c r="AX23" s="312"/>
      <c r="AY23" s="312"/>
      <c r="AZ23" s="312"/>
      <c r="BA23" s="312"/>
      <c r="BB23" s="312"/>
      <c r="BC23" s="312"/>
      <c r="BD23" s="312"/>
      <c r="BE23" s="312"/>
      <c r="BF23" s="312"/>
      <c r="BG23" s="313"/>
    </row>
    <row r="24" spans="1:59">
      <c r="A24" s="195">
        <v>13</v>
      </c>
      <c r="B24" s="311"/>
      <c r="C24" s="312"/>
      <c r="D24" s="312"/>
      <c r="E24" s="312"/>
      <c r="F24" s="312"/>
      <c r="G24" s="312"/>
      <c r="H24" s="312"/>
      <c r="I24" s="312"/>
      <c r="J24" s="312"/>
      <c r="K24" s="312"/>
      <c r="L24" s="312"/>
      <c r="M24" s="312"/>
      <c r="N24" s="313"/>
      <c r="P24" s="195">
        <v>13</v>
      </c>
      <c r="Q24" s="311"/>
      <c r="R24" s="312"/>
      <c r="S24" s="312"/>
      <c r="T24" s="312"/>
      <c r="U24" s="312"/>
      <c r="V24" s="312"/>
      <c r="W24" s="312"/>
      <c r="X24" s="312"/>
      <c r="Y24" s="312"/>
      <c r="Z24" s="312"/>
      <c r="AA24" s="312"/>
      <c r="AB24" s="312"/>
      <c r="AC24" s="313"/>
      <c r="AE24" s="195">
        <v>13</v>
      </c>
      <c r="AF24" s="311"/>
      <c r="AG24" s="312"/>
      <c r="AH24" s="312"/>
      <c r="AI24" s="312"/>
      <c r="AJ24" s="312"/>
      <c r="AK24" s="312"/>
      <c r="AL24" s="312"/>
      <c r="AM24" s="312"/>
      <c r="AN24" s="312"/>
      <c r="AO24" s="312"/>
      <c r="AP24" s="312"/>
      <c r="AQ24" s="312"/>
      <c r="AR24" s="313"/>
      <c r="AT24" s="195">
        <v>13</v>
      </c>
      <c r="AU24" s="311"/>
      <c r="AV24" s="312"/>
      <c r="AW24" s="312"/>
      <c r="AX24" s="312"/>
      <c r="AY24" s="312"/>
      <c r="AZ24" s="312"/>
      <c r="BA24" s="312"/>
      <c r="BB24" s="312"/>
      <c r="BC24" s="312"/>
      <c r="BD24" s="312"/>
      <c r="BE24" s="312"/>
      <c r="BF24" s="312"/>
      <c r="BG24" s="313"/>
    </row>
    <row r="25" spans="1:59">
      <c r="A25" s="195">
        <v>14</v>
      </c>
      <c r="B25" s="311"/>
      <c r="C25" s="312"/>
      <c r="D25" s="312"/>
      <c r="E25" s="312"/>
      <c r="F25" s="312"/>
      <c r="G25" s="312"/>
      <c r="H25" s="312"/>
      <c r="I25" s="312"/>
      <c r="J25" s="312"/>
      <c r="K25" s="312"/>
      <c r="L25" s="312"/>
      <c r="M25" s="312"/>
      <c r="N25" s="313"/>
      <c r="P25" s="195">
        <v>14</v>
      </c>
      <c r="Q25" s="311"/>
      <c r="R25" s="312"/>
      <c r="S25" s="312"/>
      <c r="T25" s="312"/>
      <c r="U25" s="312"/>
      <c r="V25" s="312"/>
      <c r="W25" s="312"/>
      <c r="X25" s="312"/>
      <c r="Y25" s="312"/>
      <c r="Z25" s="312"/>
      <c r="AA25" s="312"/>
      <c r="AB25" s="312"/>
      <c r="AC25" s="313"/>
      <c r="AE25" s="195">
        <v>14</v>
      </c>
      <c r="AF25" s="311"/>
      <c r="AG25" s="312"/>
      <c r="AH25" s="312"/>
      <c r="AI25" s="312"/>
      <c r="AJ25" s="312"/>
      <c r="AK25" s="312"/>
      <c r="AL25" s="312"/>
      <c r="AM25" s="312"/>
      <c r="AN25" s="312"/>
      <c r="AO25" s="312"/>
      <c r="AP25" s="312"/>
      <c r="AQ25" s="312"/>
      <c r="AR25" s="313"/>
      <c r="AT25" s="195">
        <v>14</v>
      </c>
      <c r="AU25" s="311"/>
      <c r="AV25" s="312"/>
      <c r="AW25" s="312"/>
      <c r="AX25" s="312"/>
      <c r="AY25" s="312"/>
      <c r="AZ25" s="312"/>
      <c r="BA25" s="312"/>
      <c r="BB25" s="312"/>
      <c r="BC25" s="312"/>
      <c r="BD25" s="312"/>
      <c r="BE25" s="312"/>
      <c r="BF25" s="312"/>
      <c r="BG25" s="313"/>
    </row>
    <row r="26" spans="1:59">
      <c r="A26" s="195">
        <v>15</v>
      </c>
      <c r="B26" s="311"/>
      <c r="C26" s="312"/>
      <c r="D26" s="312"/>
      <c r="E26" s="312"/>
      <c r="F26" s="312"/>
      <c r="G26" s="312"/>
      <c r="H26" s="312"/>
      <c r="I26" s="312"/>
      <c r="J26" s="312"/>
      <c r="K26" s="312"/>
      <c r="L26" s="312"/>
      <c r="M26" s="312"/>
      <c r="N26" s="313"/>
      <c r="P26" s="195">
        <v>15</v>
      </c>
      <c r="Q26" s="311"/>
      <c r="R26" s="312"/>
      <c r="S26" s="312"/>
      <c r="T26" s="312"/>
      <c r="U26" s="312"/>
      <c r="V26" s="312"/>
      <c r="W26" s="312"/>
      <c r="X26" s="312"/>
      <c r="Y26" s="312"/>
      <c r="Z26" s="312"/>
      <c r="AA26" s="312"/>
      <c r="AB26" s="312"/>
      <c r="AC26" s="313"/>
      <c r="AE26" s="195">
        <v>15</v>
      </c>
      <c r="AF26" s="311"/>
      <c r="AG26" s="312"/>
      <c r="AH26" s="312"/>
      <c r="AI26" s="312"/>
      <c r="AJ26" s="312"/>
      <c r="AK26" s="312"/>
      <c r="AL26" s="312"/>
      <c r="AM26" s="312"/>
      <c r="AN26" s="312"/>
      <c r="AO26" s="312"/>
      <c r="AP26" s="312"/>
      <c r="AQ26" s="312"/>
      <c r="AR26" s="313"/>
      <c r="AT26" s="195">
        <v>15</v>
      </c>
      <c r="AU26" s="311"/>
      <c r="AV26" s="312"/>
      <c r="AW26" s="312"/>
      <c r="AX26" s="312"/>
      <c r="AY26" s="312"/>
      <c r="AZ26" s="312"/>
      <c r="BA26" s="312"/>
      <c r="BB26" s="312"/>
      <c r="BC26" s="312"/>
      <c r="BD26" s="312"/>
      <c r="BE26" s="312"/>
      <c r="BF26" s="312"/>
      <c r="BG26" s="313"/>
    </row>
    <row r="27" spans="1:59">
      <c r="A27" s="195">
        <v>16</v>
      </c>
      <c r="B27" s="311"/>
      <c r="C27" s="312"/>
      <c r="D27" s="312"/>
      <c r="E27" s="312"/>
      <c r="F27" s="312"/>
      <c r="G27" s="312"/>
      <c r="H27" s="312"/>
      <c r="I27" s="312"/>
      <c r="J27" s="312"/>
      <c r="K27" s="312"/>
      <c r="L27" s="312"/>
      <c r="M27" s="312"/>
      <c r="N27" s="313"/>
      <c r="P27" s="195">
        <v>16</v>
      </c>
      <c r="Q27" s="311"/>
      <c r="R27" s="312"/>
      <c r="S27" s="312"/>
      <c r="T27" s="312"/>
      <c r="U27" s="312"/>
      <c r="V27" s="312"/>
      <c r="W27" s="312"/>
      <c r="X27" s="312"/>
      <c r="Y27" s="312"/>
      <c r="Z27" s="312"/>
      <c r="AA27" s="312"/>
      <c r="AB27" s="312"/>
      <c r="AC27" s="313"/>
      <c r="AE27" s="195">
        <v>16</v>
      </c>
      <c r="AF27" s="311"/>
      <c r="AG27" s="312"/>
      <c r="AH27" s="312"/>
      <c r="AI27" s="312"/>
      <c r="AJ27" s="312"/>
      <c r="AK27" s="312"/>
      <c r="AL27" s="312"/>
      <c r="AM27" s="312"/>
      <c r="AN27" s="312"/>
      <c r="AO27" s="312"/>
      <c r="AP27" s="312"/>
      <c r="AQ27" s="312"/>
      <c r="AR27" s="313"/>
      <c r="AT27" s="195">
        <v>16</v>
      </c>
      <c r="AU27" s="311"/>
      <c r="AV27" s="312"/>
      <c r="AW27" s="312"/>
      <c r="AX27" s="312"/>
      <c r="AY27" s="312"/>
      <c r="AZ27" s="312"/>
      <c r="BA27" s="312"/>
      <c r="BB27" s="312"/>
      <c r="BC27" s="312"/>
      <c r="BD27" s="312"/>
      <c r="BE27" s="312"/>
      <c r="BF27" s="312"/>
      <c r="BG27" s="313"/>
    </row>
    <row r="28" spans="1:59">
      <c r="A28" s="195">
        <v>17</v>
      </c>
      <c r="B28" s="311"/>
      <c r="C28" s="312"/>
      <c r="D28" s="312"/>
      <c r="E28" s="312"/>
      <c r="F28" s="312"/>
      <c r="G28" s="312"/>
      <c r="H28" s="312"/>
      <c r="I28" s="312"/>
      <c r="J28" s="312"/>
      <c r="K28" s="312"/>
      <c r="L28" s="312"/>
      <c r="M28" s="312"/>
      <c r="N28" s="313"/>
      <c r="P28" s="195">
        <v>17</v>
      </c>
      <c r="Q28" s="311"/>
      <c r="R28" s="312"/>
      <c r="S28" s="312"/>
      <c r="T28" s="312"/>
      <c r="U28" s="312"/>
      <c r="V28" s="312"/>
      <c r="W28" s="312"/>
      <c r="X28" s="312"/>
      <c r="Y28" s="312"/>
      <c r="Z28" s="312"/>
      <c r="AA28" s="312"/>
      <c r="AB28" s="312"/>
      <c r="AC28" s="313"/>
      <c r="AE28" s="195">
        <v>17</v>
      </c>
      <c r="AF28" s="311"/>
      <c r="AG28" s="312"/>
      <c r="AH28" s="312"/>
      <c r="AI28" s="312"/>
      <c r="AJ28" s="312"/>
      <c r="AK28" s="312"/>
      <c r="AL28" s="312"/>
      <c r="AM28" s="312"/>
      <c r="AN28" s="312"/>
      <c r="AO28" s="312"/>
      <c r="AP28" s="312"/>
      <c r="AQ28" s="312"/>
      <c r="AR28" s="313"/>
      <c r="AT28" s="195">
        <v>17</v>
      </c>
      <c r="AU28" s="311"/>
      <c r="AV28" s="312"/>
      <c r="AW28" s="312"/>
      <c r="AX28" s="312"/>
      <c r="AY28" s="312"/>
      <c r="AZ28" s="312"/>
      <c r="BA28" s="312"/>
      <c r="BB28" s="312"/>
      <c r="BC28" s="312"/>
      <c r="BD28" s="312"/>
      <c r="BE28" s="312"/>
      <c r="BF28" s="312"/>
      <c r="BG28" s="313"/>
    </row>
    <row r="29" spans="1:59">
      <c r="A29" s="195">
        <v>18</v>
      </c>
      <c r="B29" s="311"/>
      <c r="C29" s="312"/>
      <c r="D29" s="312"/>
      <c r="E29" s="312"/>
      <c r="F29" s="312"/>
      <c r="G29" s="312"/>
      <c r="H29" s="312"/>
      <c r="I29" s="312"/>
      <c r="J29" s="312"/>
      <c r="K29" s="312"/>
      <c r="L29" s="312"/>
      <c r="M29" s="312"/>
      <c r="N29" s="313"/>
      <c r="P29" s="195">
        <v>18</v>
      </c>
      <c r="Q29" s="311"/>
      <c r="R29" s="312"/>
      <c r="S29" s="312"/>
      <c r="T29" s="312"/>
      <c r="U29" s="312"/>
      <c r="V29" s="312"/>
      <c r="W29" s="312"/>
      <c r="X29" s="312"/>
      <c r="Y29" s="312"/>
      <c r="Z29" s="312"/>
      <c r="AA29" s="312"/>
      <c r="AB29" s="312"/>
      <c r="AC29" s="313"/>
      <c r="AE29" s="195">
        <v>18</v>
      </c>
      <c r="AF29" s="311"/>
      <c r="AG29" s="312"/>
      <c r="AH29" s="312"/>
      <c r="AI29" s="312"/>
      <c r="AJ29" s="312"/>
      <c r="AK29" s="312"/>
      <c r="AL29" s="312"/>
      <c r="AM29" s="312"/>
      <c r="AN29" s="312"/>
      <c r="AO29" s="312"/>
      <c r="AP29" s="312"/>
      <c r="AQ29" s="312"/>
      <c r="AR29" s="313"/>
      <c r="AT29" s="195">
        <v>18</v>
      </c>
      <c r="AU29" s="311"/>
      <c r="AV29" s="312"/>
      <c r="AW29" s="312"/>
      <c r="AX29" s="312"/>
      <c r="AY29" s="312"/>
      <c r="AZ29" s="312"/>
      <c r="BA29" s="312"/>
      <c r="BB29" s="312"/>
      <c r="BC29" s="312"/>
      <c r="BD29" s="312"/>
      <c r="BE29" s="312"/>
      <c r="BF29" s="312"/>
      <c r="BG29" s="313"/>
    </row>
    <row r="30" spans="1:59">
      <c r="A30" s="195">
        <v>19</v>
      </c>
      <c r="B30" s="311"/>
      <c r="C30" s="312"/>
      <c r="D30" s="312"/>
      <c r="E30" s="312"/>
      <c r="F30" s="312"/>
      <c r="G30" s="312"/>
      <c r="H30" s="312"/>
      <c r="I30" s="312"/>
      <c r="J30" s="312"/>
      <c r="K30" s="312"/>
      <c r="L30" s="312"/>
      <c r="M30" s="312"/>
      <c r="N30" s="313"/>
      <c r="P30" s="195">
        <v>19</v>
      </c>
      <c r="Q30" s="311"/>
      <c r="R30" s="312"/>
      <c r="S30" s="312"/>
      <c r="T30" s="312"/>
      <c r="U30" s="312"/>
      <c r="V30" s="312"/>
      <c r="W30" s="312"/>
      <c r="X30" s="312"/>
      <c r="Y30" s="312"/>
      <c r="Z30" s="312"/>
      <c r="AA30" s="312"/>
      <c r="AB30" s="312"/>
      <c r="AC30" s="313"/>
      <c r="AE30" s="195">
        <v>19</v>
      </c>
      <c r="AF30" s="311"/>
      <c r="AG30" s="312"/>
      <c r="AH30" s="312"/>
      <c r="AI30" s="312"/>
      <c r="AJ30" s="312"/>
      <c r="AK30" s="312"/>
      <c r="AL30" s="312"/>
      <c r="AM30" s="312"/>
      <c r="AN30" s="312"/>
      <c r="AO30" s="312"/>
      <c r="AP30" s="312"/>
      <c r="AQ30" s="312"/>
      <c r="AR30" s="313"/>
      <c r="AT30" s="195">
        <v>19</v>
      </c>
      <c r="AU30" s="311"/>
      <c r="AV30" s="312"/>
      <c r="AW30" s="312"/>
      <c r="AX30" s="312"/>
      <c r="AY30" s="312"/>
      <c r="AZ30" s="312"/>
      <c r="BA30" s="312"/>
      <c r="BB30" s="312"/>
      <c r="BC30" s="312"/>
      <c r="BD30" s="312"/>
      <c r="BE30" s="312"/>
      <c r="BF30" s="312"/>
      <c r="BG30" s="313"/>
    </row>
    <row r="31" spans="1:59">
      <c r="A31" s="195">
        <v>20</v>
      </c>
      <c r="B31" s="311"/>
      <c r="C31" s="312"/>
      <c r="D31" s="312"/>
      <c r="E31" s="312"/>
      <c r="F31" s="312"/>
      <c r="G31" s="312"/>
      <c r="H31" s="312"/>
      <c r="I31" s="312"/>
      <c r="J31" s="312"/>
      <c r="K31" s="312"/>
      <c r="L31" s="312"/>
      <c r="M31" s="312"/>
      <c r="N31" s="313"/>
      <c r="P31" s="195">
        <v>20</v>
      </c>
      <c r="Q31" s="311"/>
      <c r="R31" s="312"/>
      <c r="S31" s="312"/>
      <c r="T31" s="312"/>
      <c r="U31" s="312"/>
      <c r="V31" s="312"/>
      <c r="W31" s="312"/>
      <c r="X31" s="312"/>
      <c r="Y31" s="312"/>
      <c r="Z31" s="312"/>
      <c r="AA31" s="312"/>
      <c r="AB31" s="312"/>
      <c r="AC31" s="313"/>
      <c r="AE31" s="195">
        <v>20</v>
      </c>
      <c r="AF31" s="311"/>
      <c r="AG31" s="312"/>
      <c r="AH31" s="312"/>
      <c r="AI31" s="312"/>
      <c r="AJ31" s="312"/>
      <c r="AK31" s="312"/>
      <c r="AL31" s="312"/>
      <c r="AM31" s="312"/>
      <c r="AN31" s="312"/>
      <c r="AO31" s="312"/>
      <c r="AP31" s="312"/>
      <c r="AQ31" s="312"/>
      <c r="AR31" s="313"/>
      <c r="AT31" s="195">
        <v>20</v>
      </c>
      <c r="AU31" s="311"/>
      <c r="AV31" s="312"/>
      <c r="AW31" s="312"/>
      <c r="AX31" s="312"/>
      <c r="AY31" s="312"/>
      <c r="AZ31" s="312"/>
      <c r="BA31" s="312"/>
      <c r="BB31" s="312"/>
      <c r="BC31" s="312"/>
      <c r="BD31" s="312"/>
      <c r="BE31" s="312"/>
      <c r="BF31" s="312"/>
      <c r="BG31" s="313"/>
    </row>
    <row r="32" spans="1:59">
      <c r="A32" s="195">
        <v>21</v>
      </c>
      <c r="B32" s="311"/>
      <c r="C32" s="312"/>
      <c r="D32" s="312"/>
      <c r="E32" s="312"/>
      <c r="F32" s="312"/>
      <c r="G32" s="312"/>
      <c r="H32" s="312"/>
      <c r="I32" s="312"/>
      <c r="J32" s="312"/>
      <c r="K32" s="312"/>
      <c r="L32" s="312"/>
      <c r="M32" s="312"/>
      <c r="N32" s="313"/>
      <c r="P32" s="195">
        <v>21</v>
      </c>
      <c r="Q32" s="311"/>
      <c r="R32" s="312"/>
      <c r="S32" s="312"/>
      <c r="T32" s="312"/>
      <c r="U32" s="312"/>
      <c r="V32" s="312"/>
      <c r="W32" s="312"/>
      <c r="X32" s="312"/>
      <c r="Y32" s="312"/>
      <c r="Z32" s="312"/>
      <c r="AA32" s="312"/>
      <c r="AB32" s="312"/>
      <c r="AC32" s="313"/>
      <c r="AE32" s="195">
        <v>21</v>
      </c>
      <c r="AF32" s="311"/>
      <c r="AG32" s="312"/>
      <c r="AH32" s="312"/>
      <c r="AI32" s="312"/>
      <c r="AJ32" s="312"/>
      <c r="AK32" s="312"/>
      <c r="AL32" s="312"/>
      <c r="AM32" s="312"/>
      <c r="AN32" s="312"/>
      <c r="AO32" s="312"/>
      <c r="AP32" s="312"/>
      <c r="AQ32" s="312"/>
      <c r="AR32" s="313"/>
      <c r="AT32" s="195">
        <v>21</v>
      </c>
      <c r="AU32" s="311"/>
      <c r="AV32" s="312"/>
      <c r="AW32" s="312"/>
      <c r="AX32" s="312"/>
      <c r="AY32" s="312"/>
      <c r="AZ32" s="312"/>
      <c r="BA32" s="312"/>
      <c r="BB32" s="312"/>
      <c r="BC32" s="312"/>
      <c r="BD32" s="312"/>
      <c r="BE32" s="312"/>
      <c r="BF32" s="312"/>
      <c r="BG32" s="313"/>
    </row>
    <row r="33" spans="1:59">
      <c r="A33" s="195">
        <v>22</v>
      </c>
      <c r="B33" s="311"/>
      <c r="C33" s="312"/>
      <c r="D33" s="312"/>
      <c r="E33" s="312"/>
      <c r="F33" s="312"/>
      <c r="G33" s="312"/>
      <c r="H33" s="312"/>
      <c r="I33" s="312"/>
      <c r="J33" s="312"/>
      <c r="K33" s="312"/>
      <c r="L33" s="312"/>
      <c r="M33" s="312"/>
      <c r="N33" s="313"/>
      <c r="P33" s="195">
        <v>22</v>
      </c>
      <c r="Q33" s="311"/>
      <c r="R33" s="312"/>
      <c r="S33" s="312"/>
      <c r="T33" s="312"/>
      <c r="U33" s="312"/>
      <c r="V33" s="312"/>
      <c r="W33" s="312"/>
      <c r="X33" s="312"/>
      <c r="Y33" s="312"/>
      <c r="Z33" s="312"/>
      <c r="AA33" s="312"/>
      <c r="AB33" s="312"/>
      <c r="AC33" s="313"/>
      <c r="AE33" s="195">
        <v>22</v>
      </c>
      <c r="AF33" s="311"/>
      <c r="AG33" s="312"/>
      <c r="AH33" s="312"/>
      <c r="AI33" s="312"/>
      <c r="AJ33" s="312"/>
      <c r="AK33" s="312"/>
      <c r="AL33" s="312"/>
      <c r="AM33" s="312"/>
      <c r="AN33" s="312"/>
      <c r="AO33" s="312"/>
      <c r="AP33" s="312"/>
      <c r="AQ33" s="312"/>
      <c r="AR33" s="313"/>
      <c r="AT33" s="195">
        <v>22</v>
      </c>
      <c r="AU33" s="311"/>
      <c r="AV33" s="312"/>
      <c r="AW33" s="312"/>
      <c r="AX33" s="312"/>
      <c r="AY33" s="312"/>
      <c r="AZ33" s="312"/>
      <c r="BA33" s="312"/>
      <c r="BB33" s="312"/>
      <c r="BC33" s="312"/>
      <c r="BD33" s="312"/>
      <c r="BE33" s="312"/>
      <c r="BF33" s="312"/>
      <c r="BG33" s="313"/>
    </row>
    <row r="34" spans="1:59">
      <c r="A34" s="195">
        <v>23</v>
      </c>
      <c r="B34" s="311"/>
      <c r="C34" s="312"/>
      <c r="D34" s="312"/>
      <c r="E34" s="312"/>
      <c r="F34" s="312"/>
      <c r="G34" s="312"/>
      <c r="H34" s="312"/>
      <c r="I34" s="312"/>
      <c r="J34" s="312"/>
      <c r="K34" s="312"/>
      <c r="L34" s="312"/>
      <c r="M34" s="312"/>
      <c r="N34" s="313"/>
      <c r="P34" s="195">
        <v>23</v>
      </c>
      <c r="Q34" s="311"/>
      <c r="R34" s="312"/>
      <c r="S34" s="312"/>
      <c r="T34" s="312"/>
      <c r="U34" s="312"/>
      <c r="V34" s="312"/>
      <c r="W34" s="312"/>
      <c r="X34" s="312"/>
      <c r="Y34" s="312"/>
      <c r="Z34" s="312"/>
      <c r="AA34" s="312"/>
      <c r="AB34" s="312"/>
      <c r="AC34" s="313"/>
      <c r="AE34" s="195">
        <v>23</v>
      </c>
      <c r="AF34" s="311"/>
      <c r="AG34" s="312"/>
      <c r="AH34" s="312"/>
      <c r="AI34" s="312"/>
      <c r="AJ34" s="312"/>
      <c r="AK34" s="312"/>
      <c r="AL34" s="312"/>
      <c r="AM34" s="312"/>
      <c r="AN34" s="312"/>
      <c r="AO34" s="312"/>
      <c r="AP34" s="312"/>
      <c r="AQ34" s="312"/>
      <c r="AR34" s="313"/>
      <c r="AT34" s="195">
        <v>23</v>
      </c>
      <c r="AU34" s="311"/>
      <c r="AV34" s="312"/>
      <c r="AW34" s="312"/>
      <c r="AX34" s="312"/>
      <c r="AY34" s="312"/>
      <c r="AZ34" s="312"/>
      <c r="BA34" s="312"/>
      <c r="BB34" s="312"/>
      <c r="BC34" s="312"/>
      <c r="BD34" s="312"/>
      <c r="BE34" s="312"/>
      <c r="BF34" s="312"/>
      <c r="BG34" s="313"/>
    </row>
    <row r="35" spans="1:59">
      <c r="A35" s="195">
        <v>24</v>
      </c>
      <c r="B35" s="311"/>
      <c r="C35" s="312"/>
      <c r="D35" s="312"/>
      <c r="E35" s="312"/>
      <c r="F35" s="312"/>
      <c r="G35" s="312"/>
      <c r="H35" s="312"/>
      <c r="I35" s="312"/>
      <c r="J35" s="312"/>
      <c r="K35" s="312"/>
      <c r="L35" s="312"/>
      <c r="M35" s="312"/>
      <c r="N35" s="313"/>
      <c r="P35" s="195">
        <v>24</v>
      </c>
      <c r="Q35" s="311"/>
      <c r="R35" s="312"/>
      <c r="S35" s="312"/>
      <c r="T35" s="312"/>
      <c r="U35" s="312"/>
      <c r="V35" s="312"/>
      <c r="W35" s="312"/>
      <c r="X35" s="312"/>
      <c r="Y35" s="312"/>
      <c r="Z35" s="312"/>
      <c r="AA35" s="312"/>
      <c r="AB35" s="312"/>
      <c r="AC35" s="313"/>
      <c r="AE35" s="195">
        <v>24</v>
      </c>
      <c r="AF35" s="311"/>
      <c r="AG35" s="312"/>
      <c r="AH35" s="312"/>
      <c r="AI35" s="312"/>
      <c r="AJ35" s="312"/>
      <c r="AK35" s="312"/>
      <c r="AL35" s="312"/>
      <c r="AM35" s="312"/>
      <c r="AN35" s="312"/>
      <c r="AO35" s="312"/>
      <c r="AP35" s="312"/>
      <c r="AQ35" s="312"/>
      <c r="AR35" s="313"/>
      <c r="AT35" s="195">
        <v>24</v>
      </c>
      <c r="AU35" s="311"/>
      <c r="AV35" s="312"/>
      <c r="AW35" s="312"/>
      <c r="AX35" s="312"/>
      <c r="AY35" s="312"/>
      <c r="AZ35" s="312"/>
      <c r="BA35" s="312"/>
      <c r="BB35" s="312"/>
      <c r="BC35" s="312"/>
      <c r="BD35" s="312"/>
      <c r="BE35" s="312"/>
      <c r="BF35" s="312"/>
      <c r="BG35" s="313"/>
    </row>
    <row r="36" spans="1:59">
      <c r="A36" s="195">
        <v>25</v>
      </c>
      <c r="B36" s="311"/>
      <c r="C36" s="312"/>
      <c r="D36" s="312"/>
      <c r="E36" s="312"/>
      <c r="F36" s="312"/>
      <c r="G36" s="312"/>
      <c r="H36" s="312"/>
      <c r="I36" s="312"/>
      <c r="J36" s="312"/>
      <c r="K36" s="312"/>
      <c r="L36" s="312"/>
      <c r="M36" s="312"/>
      <c r="N36" s="313"/>
      <c r="P36" s="195">
        <v>25</v>
      </c>
      <c r="Q36" s="311"/>
      <c r="R36" s="312"/>
      <c r="S36" s="312"/>
      <c r="T36" s="312"/>
      <c r="U36" s="312"/>
      <c r="V36" s="312"/>
      <c r="W36" s="312"/>
      <c r="X36" s="312"/>
      <c r="Y36" s="312"/>
      <c r="Z36" s="312"/>
      <c r="AA36" s="312"/>
      <c r="AB36" s="312"/>
      <c r="AC36" s="313"/>
      <c r="AE36" s="195">
        <v>25</v>
      </c>
      <c r="AF36" s="311"/>
      <c r="AG36" s="312"/>
      <c r="AH36" s="312"/>
      <c r="AI36" s="312"/>
      <c r="AJ36" s="312"/>
      <c r="AK36" s="312"/>
      <c r="AL36" s="312"/>
      <c r="AM36" s="312"/>
      <c r="AN36" s="312"/>
      <c r="AO36" s="312"/>
      <c r="AP36" s="312"/>
      <c r="AQ36" s="312"/>
      <c r="AR36" s="313"/>
      <c r="AT36" s="195">
        <v>25</v>
      </c>
      <c r="AU36" s="311"/>
      <c r="AV36" s="312"/>
      <c r="AW36" s="312"/>
      <c r="AX36" s="312"/>
      <c r="AY36" s="312"/>
      <c r="AZ36" s="312"/>
      <c r="BA36" s="312"/>
      <c r="BB36" s="312"/>
      <c r="BC36" s="312"/>
      <c r="BD36" s="312"/>
      <c r="BE36" s="312"/>
      <c r="BF36" s="312"/>
      <c r="BG36" s="313"/>
    </row>
    <row r="37" spans="1:59">
      <c r="A37" s="195">
        <v>26</v>
      </c>
      <c r="B37" s="311"/>
      <c r="C37" s="312"/>
      <c r="D37" s="312"/>
      <c r="E37" s="312"/>
      <c r="F37" s="312"/>
      <c r="G37" s="312"/>
      <c r="H37" s="312"/>
      <c r="I37" s="312"/>
      <c r="J37" s="312"/>
      <c r="K37" s="312"/>
      <c r="L37" s="312"/>
      <c r="M37" s="312"/>
      <c r="N37" s="313"/>
      <c r="P37" s="195">
        <v>26</v>
      </c>
      <c r="Q37" s="311"/>
      <c r="R37" s="312"/>
      <c r="S37" s="312"/>
      <c r="T37" s="312"/>
      <c r="U37" s="312"/>
      <c r="V37" s="312"/>
      <c r="W37" s="312"/>
      <c r="X37" s="312"/>
      <c r="Y37" s="312"/>
      <c r="Z37" s="312"/>
      <c r="AA37" s="312"/>
      <c r="AB37" s="312"/>
      <c r="AC37" s="313"/>
      <c r="AE37" s="195">
        <v>26</v>
      </c>
      <c r="AF37" s="311"/>
      <c r="AG37" s="312"/>
      <c r="AH37" s="312"/>
      <c r="AI37" s="312"/>
      <c r="AJ37" s="312"/>
      <c r="AK37" s="312"/>
      <c r="AL37" s="312"/>
      <c r="AM37" s="312"/>
      <c r="AN37" s="312"/>
      <c r="AO37" s="312"/>
      <c r="AP37" s="312"/>
      <c r="AQ37" s="312"/>
      <c r="AR37" s="313"/>
      <c r="AT37" s="195">
        <v>26</v>
      </c>
      <c r="AU37" s="311"/>
      <c r="AV37" s="312"/>
      <c r="AW37" s="312"/>
      <c r="AX37" s="312"/>
      <c r="AY37" s="312"/>
      <c r="AZ37" s="312"/>
      <c r="BA37" s="312"/>
      <c r="BB37" s="312"/>
      <c r="BC37" s="312"/>
      <c r="BD37" s="312"/>
      <c r="BE37" s="312"/>
      <c r="BF37" s="312"/>
      <c r="BG37" s="313"/>
    </row>
    <row r="38" spans="1:59">
      <c r="A38" s="195">
        <v>27</v>
      </c>
      <c r="B38" s="311"/>
      <c r="C38" s="312"/>
      <c r="D38" s="312"/>
      <c r="E38" s="312"/>
      <c r="F38" s="312"/>
      <c r="G38" s="312"/>
      <c r="H38" s="312"/>
      <c r="I38" s="312"/>
      <c r="J38" s="312"/>
      <c r="K38" s="312"/>
      <c r="L38" s="312"/>
      <c r="M38" s="312"/>
      <c r="N38" s="313"/>
      <c r="P38" s="195">
        <v>27</v>
      </c>
      <c r="Q38" s="311"/>
      <c r="R38" s="312"/>
      <c r="S38" s="312"/>
      <c r="T38" s="312"/>
      <c r="U38" s="312"/>
      <c r="V38" s="312"/>
      <c r="W38" s="312"/>
      <c r="X38" s="312"/>
      <c r="Y38" s="312"/>
      <c r="Z38" s="312"/>
      <c r="AA38" s="312"/>
      <c r="AB38" s="312"/>
      <c r="AC38" s="313"/>
      <c r="AE38" s="195">
        <v>27</v>
      </c>
      <c r="AF38" s="311"/>
      <c r="AG38" s="312"/>
      <c r="AH38" s="312"/>
      <c r="AI38" s="312"/>
      <c r="AJ38" s="312"/>
      <c r="AK38" s="312"/>
      <c r="AL38" s="312"/>
      <c r="AM38" s="312"/>
      <c r="AN38" s="312"/>
      <c r="AO38" s="312"/>
      <c r="AP38" s="312"/>
      <c r="AQ38" s="312"/>
      <c r="AR38" s="313"/>
      <c r="AT38" s="195">
        <v>27</v>
      </c>
      <c r="AU38" s="311"/>
      <c r="AV38" s="312"/>
      <c r="AW38" s="312"/>
      <c r="AX38" s="312"/>
      <c r="AY38" s="312"/>
      <c r="AZ38" s="312"/>
      <c r="BA38" s="312"/>
      <c r="BB38" s="312"/>
      <c r="BC38" s="312"/>
      <c r="BD38" s="312"/>
      <c r="BE38" s="312"/>
      <c r="BF38" s="312"/>
      <c r="BG38" s="313"/>
    </row>
    <row r="39" spans="1:59">
      <c r="A39" s="195">
        <v>28</v>
      </c>
      <c r="B39" s="311"/>
      <c r="C39" s="312"/>
      <c r="D39" s="312"/>
      <c r="E39" s="312"/>
      <c r="F39" s="312"/>
      <c r="G39" s="312"/>
      <c r="H39" s="312"/>
      <c r="I39" s="312"/>
      <c r="J39" s="312"/>
      <c r="K39" s="312"/>
      <c r="L39" s="312"/>
      <c r="M39" s="312"/>
      <c r="N39" s="313"/>
      <c r="P39" s="195">
        <v>28</v>
      </c>
      <c r="Q39" s="311"/>
      <c r="R39" s="312"/>
      <c r="S39" s="312"/>
      <c r="T39" s="312"/>
      <c r="U39" s="312"/>
      <c r="V39" s="312"/>
      <c r="W39" s="312"/>
      <c r="X39" s="312"/>
      <c r="Y39" s="312"/>
      <c r="Z39" s="312"/>
      <c r="AA39" s="312"/>
      <c r="AB39" s="312"/>
      <c r="AC39" s="313"/>
      <c r="AE39" s="195">
        <v>28</v>
      </c>
      <c r="AF39" s="311"/>
      <c r="AG39" s="312"/>
      <c r="AH39" s="312"/>
      <c r="AI39" s="312"/>
      <c r="AJ39" s="312"/>
      <c r="AK39" s="312"/>
      <c r="AL39" s="312"/>
      <c r="AM39" s="312"/>
      <c r="AN39" s="312"/>
      <c r="AO39" s="312"/>
      <c r="AP39" s="312"/>
      <c r="AQ39" s="312"/>
      <c r="AR39" s="313"/>
      <c r="AT39" s="195">
        <v>28</v>
      </c>
      <c r="AU39" s="311"/>
      <c r="AV39" s="312"/>
      <c r="AW39" s="312"/>
      <c r="AX39" s="312"/>
      <c r="AY39" s="312"/>
      <c r="AZ39" s="312"/>
      <c r="BA39" s="312"/>
      <c r="BB39" s="312"/>
      <c r="BC39" s="312"/>
      <c r="BD39" s="312"/>
      <c r="BE39" s="312"/>
      <c r="BF39" s="312"/>
      <c r="BG39" s="313"/>
    </row>
    <row r="40" spans="1:59">
      <c r="A40" s="195">
        <v>29</v>
      </c>
      <c r="B40" s="311"/>
      <c r="C40" s="312"/>
      <c r="D40" s="312"/>
      <c r="E40" s="312"/>
      <c r="F40" s="312"/>
      <c r="G40" s="312"/>
      <c r="H40" s="312"/>
      <c r="I40" s="312"/>
      <c r="J40" s="312"/>
      <c r="K40" s="312"/>
      <c r="L40" s="312"/>
      <c r="M40" s="312"/>
      <c r="N40" s="313"/>
      <c r="P40" s="195">
        <v>29</v>
      </c>
      <c r="Q40" s="311"/>
      <c r="R40" s="312"/>
      <c r="S40" s="312"/>
      <c r="T40" s="312"/>
      <c r="U40" s="312"/>
      <c r="V40" s="312"/>
      <c r="W40" s="312"/>
      <c r="X40" s="312"/>
      <c r="Y40" s="312"/>
      <c r="Z40" s="312"/>
      <c r="AA40" s="312"/>
      <c r="AB40" s="312"/>
      <c r="AC40" s="313"/>
      <c r="AE40" s="195">
        <v>29</v>
      </c>
      <c r="AF40" s="311"/>
      <c r="AG40" s="312"/>
      <c r="AH40" s="312"/>
      <c r="AI40" s="312"/>
      <c r="AJ40" s="312"/>
      <c r="AK40" s="312"/>
      <c r="AL40" s="312"/>
      <c r="AM40" s="312"/>
      <c r="AN40" s="312"/>
      <c r="AO40" s="312"/>
      <c r="AP40" s="312"/>
      <c r="AQ40" s="312"/>
      <c r="AR40" s="313"/>
      <c r="AT40" s="195">
        <v>29</v>
      </c>
      <c r="AU40" s="311"/>
      <c r="AV40" s="312"/>
      <c r="AW40" s="312"/>
      <c r="AX40" s="312"/>
      <c r="AY40" s="312"/>
      <c r="AZ40" s="312"/>
      <c r="BA40" s="312"/>
      <c r="BB40" s="312"/>
      <c r="BC40" s="312"/>
      <c r="BD40" s="312"/>
      <c r="BE40" s="312"/>
      <c r="BF40" s="312"/>
      <c r="BG40" s="313"/>
    </row>
    <row r="41" spans="1:59">
      <c r="A41" s="195">
        <v>30</v>
      </c>
      <c r="B41" s="311"/>
      <c r="C41" s="312"/>
      <c r="D41" s="312"/>
      <c r="E41" s="312"/>
      <c r="F41" s="312"/>
      <c r="G41" s="312"/>
      <c r="H41" s="312"/>
      <c r="I41" s="312"/>
      <c r="J41" s="312"/>
      <c r="K41" s="312"/>
      <c r="L41" s="312"/>
      <c r="M41" s="312"/>
      <c r="N41" s="313"/>
      <c r="P41" s="195">
        <v>30</v>
      </c>
      <c r="Q41" s="311"/>
      <c r="R41" s="312"/>
      <c r="S41" s="312"/>
      <c r="T41" s="312"/>
      <c r="U41" s="312"/>
      <c r="V41" s="312"/>
      <c r="W41" s="312"/>
      <c r="X41" s="312"/>
      <c r="Y41" s="312"/>
      <c r="Z41" s="312"/>
      <c r="AA41" s="312"/>
      <c r="AB41" s="312"/>
      <c r="AC41" s="313"/>
      <c r="AE41" s="195">
        <v>30</v>
      </c>
      <c r="AF41" s="311"/>
      <c r="AG41" s="312"/>
      <c r="AH41" s="312"/>
      <c r="AI41" s="312"/>
      <c r="AJ41" s="312"/>
      <c r="AK41" s="312"/>
      <c r="AL41" s="312"/>
      <c r="AM41" s="312"/>
      <c r="AN41" s="312"/>
      <c r="AO41" s="312"/>
      <c r="AP41" s="312"/>
      <c r="AQ41" s="312"/>
      <c r="AR41" s="313"/>
      <c r="AT41" s="195">
        <v>30</v>
      </c>
      <c r="AU41" s="311"/>
      <c r="AV41" s="312"/>
      <c r="AW41" s="312"/>
      <c r="AX41" s="312"/>
      <c r="AY41" s="312"/>
      <c r="AZ41" s="312"/>
      <c r="BA41" s="312"/>
      <c r="BB41" s="312"/>
      <c r="BC41" s="312"/>
      <c r="BD41" s="312"/>
      <c r="BE41" s="312"/>
      <c r="BF41" s="312"/>
      <c r="BG41" s="313"/>
    </row>
    <row r="42" spans="1:59">
      <c r="A42" s="195">
        <v>31</v>
      </c>
      <c r="B42" s="311"/>
      <c r="C42" s="312"/>
      <c r="D42" s="312"/>
      <c r="E42" s="312"/>
      <c r="F42" s="312"/>
      <c r="G42" s="312"/>
      <c r="H42" s="312"/>
      <c r="I42" s="312"/>
      <c r="J42" s="312"/>
      <c r="K42" s="312"/>
      <c r="L42" s="312"/>
      <c r="M42" s="312"/>
      <c r="N42" s="313"/>
      <c r="P42" s="195">
        <v>31</v>
      </c>
      <c r="Q42" s="311"/>
      <c r="R42" s="312"/>
      <c r="S42" s="312"/>
      <c r="T42" s="312"/>
      <c r="U42" s="312"/>
      <c r="V42" s="312"/>
      <c r="W42" s="312"/>
      <c r="X42" s="312"/>
      <c r="Y42" s="312"/>
      <c r="Z42" s="312"/>
      <c r="AA42" s="312"/>
      <c r="AB42" s="312"/>
      <c r="AC42" s="313"/>
      <c r="AE42" s="195">
        <v>31</v>
      </c>
      <c r="AF42" s="311"/>
      <c r="AG42" s="312"/>
      <c r="AH42" s="312"/>
      <c r="AI42" s="312"/>
      <c r="AJ42" s="312"/>
      <c r="AK42" s="312"/>
      <c r="AL42" s="312"/>
      <c r="AM42" s="312"/>
      <c r="AN42" s="312"/>
      <c r="AO42" s="312"/>
      <c r="AP42" s="312"/>
      <c r="AQ42" s="312"/>
      <c r="AR42" s="313"/>
      <c r="AT42" s="195">
        <v>31</v>
      </c>
      <c r="AU42" s="311"/>
      <c r="AV42" s="312"/>
      <c r="AW42" s="312"/>
      <c r="AX42" s="312"/>
      <c r="AY42" s="312"/>
      <c r="AZ42" s="312"/>
      <c r="BA42" s="312"/>
      <c r="BB42" s="312"/>
      <c r="BC42" s="312"/>
      <c r="BD42" s="312"/>
      <c r="BE42" s="312"/>
      <c r="BF42" s="312"/>
      <c r="BG42" s="313"/>
    </row>
    <row r="43" spans="1:59">
      <c r="A43" s="195">
        <v>32</v>
      </c>
      <c r="B43" s="311"/>
      <c r="C43" s="312"/>
      <c r="D43" s="312"/>
      <c r="E43" s="312"/>
      <c r="F43" s="312"/>
      <c r="G43" s="312"/>
      <c r="H43" s="312"/>
      <c r="I43" s="312"/>
      <c r="J43" s="312"/>
      <c r="K43" s="312"/>
      <c r="L43" s="312"/>
      <c r="M43" s="312"/>
      <c r="N43" s="313"/>
      <c r="P43" s="195">
        <v>32</v>
      </c>
      <c r="Q43" s="311"/>
      <c r="R43" s="312"/>
      <c r="S43" s="312"/>
      <c r="T43" s="312"/>
      <c r="U43" s="312"/>
      <c r="V43" s="312"/>
      <c r="W43" s="312"/>
      <c r="X43" s="312"/>
      <c r="Y43" s="312"/>
      <c r="Z43" s="312"/>
      <c r="AA43" s="312"/>
      <c r="AB43" s="312"/>
      <c r="AC43" s="313"/>
      <c r="AE43" s="195">
        <v>32</v>
      </c>
      <c r="AF43" s="311"/>
      <c r="AG43" s="312"/>
      <c r="AH43" s="312"/>
      <c r="AI43" s="312"/>
      <c r="AJ43" s="312"/>
      <c r="AK43" s="312"/>
      <c r="AL43" s="312"/>
      <c r="AM43" s="312"/>
      <c r="AN43" s="312"/>
      <c r="AO43" s="312"/>
      <c r="AP43" s="312"/>
      <c r="AQ43" s="312"/>
      <c r="AR43" s="313"/>
      <c r="AT43" s="195">
        <v>32</v>
      </c>
      <c r="AU43" s="311"/>
      <c r="AV43" s="312"/>
      <c r="AW43" s="312"/>
      <c r="AX43" s="312"/>
      <c r="AY43" s="312"/>
      <c r="AZ43" s="312"/>
      <c r="BA43" s="312"/>
      <c r="BB43" s="312"/>
      <c r="BC43" s="312"/>
      <c r="BD43" s="312"/>
      <c r="BE43" s="312"/>
      <c r="BF43" s="312"/>
      <c r="BG43" s="313"/>
    </row>
    <row r="44" spans="1:59">
      <c r="A44" s="195">
        <v>33</v>
      </c>
      <c r="B44" s="311"/>
      <c r="C44" s="312"/>
      <c r="D44" s="312"/>
      <c r="E44" s="312"/>
      <c r="F44" s="312"/>
      <c r="G44" s="312"/>
      <c r="H44" s="312"/>
      <c r="I44" s="312"/>
      <c r="J44" s="312"/>
      <c r="K44" s="312"/>
      <c r="L44" s="312"/>
      <c r="M44" s="312"/>
      <c r="N44" s="313"/>
      <c r="P44" s="195">
        <v>33</v>
      </c>
      <c r="Q44" s="311"/>
      <c r="R44" s="312"/>
      <c r="S44" s="312"/>
      <c r="T44" s="312"/>
      <c r="U44" s="312"/>
      <c r="V44" s="312"/>
      <c r="W44" s="312"/>
      <c r="X44" s="312"/>
      <c r="Y44" s="312"/>
      <c r="Z44" s="312"/>
      <c r="AA44" s="312"/>
      <c r="AB44" s="312"/>
      <c r="AC44" s="313"/>
      <c r="AE44" s="195">
        <v>33</v>
      </c>
      <c r="AF44" s="311"/>
      <c r="AG44" s="312"/>
      <c r="AH44" s="312"/>
      <c r="AI44" s="312"/>
      <c r="AJ44" s="312"/>
      <c r="AK44" s="312"/>
      <c r="AL44" s="312"/>
      <c r="AM44" s="312"/>
      <c r="AN44" s="312"/>
      <c r="AO44" s="312"/>
      <c r="AP44" s="312"/>
      <c r="AQ44" s="312"/>
      <c r="AR44" s="313"/>
      <c r="AT44" s="195">
        <v>33</v>
      </c>
      <c r="AU44" s="311"/>
      <c r="AV44" s="312"/>
      <c r="AW44" s="312"/>
      <c r="AX44" s="312"/>
      <c r="AY44" s="312"/>
      <c r="AZ44" s="312"/>
      <c r="BA44" s="312"/>
      <c r="BB44" s="312"/>
      <c r="BC44" s="312"/>
      <c r="BD44" s="312"/>
      <c r="BE44" s="312"/>
      <c r="BF44" s="312"/>
      <c r="BG44" s="313"/>
    </row>
    <row r="45" spans="1:59">
      <c r="A45" s="195">
        <v>34</v>
      </c>
      <c r="B45" s="311"/>
      <c r="C45" s="312"/>
      <c r="D45" s="312"/>
      <c r="E45" s="312"/>
      <c r="F45" s="312"/>
      <c r="G45" s="312"/>
      <c r="H45" s="312"/>
      <c r="I45" s="312"/>
      <c r="J45" s="312"/>
      <c r="K45" s="312"/>
      <c r="L45" s="312"/>
      <c r="M45" s="312"/>
      <c r="N45" s="313"/>
      <c r="P45" s="195">
        <v>34</v>
      </c>
      <c r="Q45" s="311"/>
      <c r="R45" s="312"/>
      <c r="S45" s="312"/>
      <c r="T45" s="312"/>
      <c r="U45" s="312"/>
      <c r="V45" s="312"/>
      <c r="W45" s="312"/>
      <c r="X45" s="312"/>
      <c r="Y45" s="312"/>
      <c r="Z45" s="312"/>
      <c r="AA45" s="312"/>
      <c r="AB45" s="312"/>
      <c r="AC45" s="313"/>
      <c r="AE45" s="195">
        <v>34</v>
      </c>
      <c r="AF45" s="311"/>
      <c r="AG45" s="312"/>
      <c r="AH45" s="312"/>
      <c r="AI45" s="312"/>
      <c r="AJ45" s="312"/>
      <c r="AK45" s="312"/>
      <c r="AL45" s="312"/>
      <c r="AM45" s="312"/>
      <c r="AN45" s="312"/>
      <c r="AO45" s="312"/>
      <c r="AP45" s="312"/>
      <c r="AQ45" s="312"/>
      <c r="AR45" s="313"/>
      <c r="AT45" s="195">
        <v>34</v>
      </c>
      <c r="AU45" s="311"/>
      <c r="AV45" s="312"/>
      <c r="AW45" s="312"/>
      <c r="AX45" s="312"/>
      <c r="AY45" s="312"/>
      <c r="AZ45" s="312"/>
      <c r="BA45" s="312"/>
      <c r="BB45" s="312"/>
      <c r="BC45" s="312"/>
      <c r="BD45" s="312"/>
      <c r="BE45" s="312"/>
      <c r="BF45" s="312"/>
      <c r="BG45" s="313"/>
    </row>
    <row r="46" spans="1:59">
      <c r="A46" s="195">
        <v>35</v>
      </c>
      <c r="B46" s="311"/>
      <c r="C46" s="312"/>
      <c r="D46" s="312"/>
      <c r="E46" s="312"/>
      <c r="F46" s="312"/>
      <c r="G46" s="312"/>
      <c r="H46" s="312"/>
      <c r="I46" s="312"/>
      <c r="J46" s="312"/>
      <c r="K46" s="312"/>
      <c r="L46" s="312"/>
      <c r="M46" s="312"/>
      <c r="N46" s="313"/>
      <c r="P46" s="195">
        <v>35</v>
      </c>
      <c r="Q46" s="311"/>
      <c r="R46" s="312"/>
      <c r="S46" s="312"/>
      <c r="T46" s="312"/>
      <c r="U46" s="312"/>
      <c r="V46" s="312"/>
      <c r="W46" s="312"/>
      <c r="X46" s="312"/>
      <c r="Y46" s="312"/>
      <c r="Z46" s="312"/>
      <c r="AA46" s="312"/>
      <c r="AB46" s="312"/>
      <c r="AC46" s="313"/>
      <c r="AE46" s="195">
        <v>35</v>
      </c>
      <c r="AF46" s="311"/>
      <c r="AG46" s="312"/>
      <c r="AH46" s="312"/>
      <c r="AI46" s="312"/>
      <c r="AJ46" s="312"/>
      <c r="AK46" s="312"/>
      <c r="AL46" s="312"/>
      <c r="AM46" s="312"/>
      <c r="AN46" s="312"/>
      <c r="AO46" s="312"/>
      <c r="AP46" s="312"/>
      <c r="AQ46" s="312"/>
      <c r="AR46" s="313"/>
      <c r="AT46" s="195">
        <v>35</v>
      </c>
      <c r="AU46" s="311"/>
      <c r="AV46" s="312"/>
      <c r="AW46" s="312"/>
      <c r="AX46" s="312"/>
      <c r="AY46" s="312"/>
      <c r="AZ46" s="312"/>
      <c r="BA46" s="312"/>
      <c r="BB46" s="312"/>
      <c r="BC46" s="312"/>
      <c r="BD46" s="312"/>
      <c r="BE46" s="312"/>
      <c r="BF46" s="312"/>
      <c r="BG46" s="313"/>
    </row>
    <row r="47" spans="1:59">
      <c r="A47" s="195">
        <v>36</v>
      </c>
      <c r="B47" s="311"/>
      <c r="C47" s="312"/>
      <c r="D47" s="312"/>
      <c r="E47" s="312"/>
      <c r="F47" s="312"/>
      <c r="G47" s="312"/>
      <c r="H47" s="312"/>
      <c r="I47" s="312"/>
      <c r="J47" s="312"/>
      <c r="K47" s="312"/>
      <c r="L47" s="312"/>
      <c r="M47" s="312"/>
      <c r="N47" s="313"/>
      <c r="P47" s="195">
        <v>36</v>
      </c>
      <c r="Q47" s="311"/>
      <c r="R47" s="312"/>
      <c r="S47" s="312"/>
      <c r="T47" s="312"/>
      <c r="U47" s="312"/>
      <c r="V47" s="312"/>
      <c r="W47" s="312"/>
      <c r="X47" s="312"/>
      <c r="Y47" s="312"/>
      <c r="Z47" s="312"/>
      <c r="AA47" s="312"/>
      <c r="AB47" s="312"/>
      <c r="AC47" s="313"/>
      <c r="AE47" s="195">
        <v>36</v>
      </c>
      <c r="AF47" s="311"/>
      <c r="AG47" s="312"/>
      <c r="AH47" s="312"/>
      <c r="AI47" s="312"/>
      <c r="AJ47" s="312"/>
      <c r="AK47" s="312"/>
      <c r="AL47" s="312"/>
      <c r="AM47" s="312"/>
      <c r="AN47" s="312"/>
      <c r="AO47" s="312"/>
      <c r="AP47" s="312"/>
      <c r="AQ47" s="312"/>
      <c r="AR47" s="313"/>
      <c r="AT47" s="195">
        <v>36</v>
      </c>
      <c r="AU47" s="311"/>
      <c r="AV47" s="312"/>
      <c r="AW47" s="312"/>
      <c r="AX47" s="312"/>
      <c r="AY47" s="312"/>
      <c r="AZ47" s="312"/>
      <c r="BA47" s="312"/>
      <c r="BB47" s="312"/>
      <c r="BC47" s="312"/>
      <c r="BD47" s="312"/>
      <c r="BE47" s="312"/>
      <c r="BF47" s="312"/>
      <c r="BG47" s="313"/>
    </row>
    <row r="48" spans="1:59">
      <c r="A48" s="195">
        <v>37</v>
      </c>
      <c r="B48" s="311"/>
      <c r="C48" s="312"/>
      <c r="D48" s="312"/>
      <c r="E48" s="312"/>
      <c r="F48" s="312"/>
      <c r="G48" s="312"/>
      <c r="H48" s="312"/>
      <c r="I48" s="312"/>
      <c r="J48" s="312"/>
      <c r="K48" s="312"/>
      <c r="L48" s="312"/>
      <c r="M48" s="312"/>
      <c r="N48" s="313"/>
      <c r="P48" s="195">
        <v>37</v>
      </c>
      <c r="Q48" s="311"/>
      <c r="R48" s="312"/>
      <c r="S48" s="312"/>
      <c r="T48" s="312"/>
      <c r="U48" s="312"/>
      <c r="V48" s="312"/>
      <c r="W48" s="312"/>
      <c r="X48" s="312"/>
      <c r="Y48" s="312"/>
      <c r="Z48" s="312"/>
      <c r="AA48" s="312"/>
      <c r="AB48" s="312"/>
      <c r="AC48" s="313"/>
      <c r="AE48" s="195">
        <v>37</v>
      </c>
      <c r="AF48" s="311"/>
      <c r="AG48" s="312"/>
      <c r="AH48" s="312"/>
      <c r="AI48" s="312"/>
      <c r="AJ48" s="312"/>
      <c r="AK48" s="312"/>
      <c r="AL48" s="312"/>
      <c r="AM48" s="312"/>
      <c r="AN48" s="312"/>
      <c r="AO48" s="312"/>
      <c r="AP48" s="312"/>
      <c r="AQ48" s="312"/>
      <c r="AR48" s="313"/>
      <c r="AT48" s="195">
        <v>37</v>
      </c>
      <c r="AU48" s="311"/>
      <c r="AV48" s="312"/>
      <c r="AW48" s="312"/>
      <c r="AX48" s="312"/>
      <c r="AY48" s="312"/>
      <c r="AZ48" s="312"/>
      <c r="BA48" s="312"/>
      <c r="BB48" s="312"/>
      <c r="BC48" s="312"/>
      <c r="BD48" s="312"/>
      <c r="BE48" s="312"/>
      <c r="BF48" s="312"/>
      <c r="BG48" s="313"/>
    </row>
    <row r="49" spans="1:59">
      <c r="A49" s="195">
        <v>38</v>
      </c>
      <c r="B49" s="311"/>
      <c r="C49" s="312"/>
      <c r="D49" s="312"/>
      <c r="E49" s="312"/>
      <c r="F49" s="312"/>
      <c r="G49" s="312"/>
      <c r="H49" s="312"/>
      <c r="I49" s="312"/>
      <c r="J49" s="312"/>
      <c r="K49" s="312"/>
      <c r="L49" s="312"/>
      <c r="M49" s="312"/>
      <c r="N49" s="313"/>
      <c r="P49" s="195">
        <v>38</v>
      </c>
      <c r="Q49" s="311"/>
      <c r="R49" s="312"/>
      <c r="S49" s="312"/>
      <c r="T49" s="312"/>
      <c r="U49" s="312"/>
      <c r="V49" s="312"/>
      <c r="W49" s="312"/>
      <c r="X49" s="312"/>
      <c r="Y49" s="312"/>
      <c r="Z49" s="312"/>
      <c r="AA49" s="312"/>
      <c r="AB49" s="312"/>
      <c r="AC49" s="313"/>
      <c r="AE49" s="195">
        <v>38</v>
      </c>
      <c r="AF49" s="311"/>
      <c r="AG49" s="312"/>
      <c r="AH49" s="312"/>
      <c r="AI49" s="312"/>
      <c r="AJ49" s="312"/>
      <c r="AK49" s="312"/>
      <c r="AL49" s="312"/>
      <c r="AM49" s="312"/>
      <c r="AN49" s="312"/>
      <c r="AO49" s="312"/>
      <c r="AP49" s="312"/>
      <c r="AQ49" s="312"/>
      <c r="AR49" s="313"/>
      <c r="AT49" s="195">
        <v>38</v>
      </c>
      <c r="AU49" s="311"/>
      <c r="AV49" s="312"/>
      <c r="AW49" s="312"/>
      <c r="AX49" s="312"/>
      <c r="AY49" s="312"/>
      <c r="AZ49" s="312"/>
      <c r="BA49" s="312"/>
      <c r="BB49" s="312"/>
      <c r="BC49" s="312"/>
      <c r="BD49" s="312"/>
      <c r="BE49" s="312"/>
      <c r="BF49" s="312"/>
      <c r="BG49" s="313"/>
    </row>
    <row r="50" spans="1:59">
      <c r="A50" s="195">
        <v>39</v>
      </c>
      <c r="B50" s="311"/>
      <c r="C50" s="312"/>
      <c r="D50" s="312"/>
      <c r="E50" s="312"/>
      <c r="F50" s="312"/>
      <c r="G50" s="312"/>
      <c r="H50" s="312"/>
      <c r="I50" s="312"/>
      <c r="J50" s="312"/>
      <c r="K50" s="312"/>
      <c r="L50" s="312"/>
      <c r="M50" s="312"/>
      <c r="N50" s="313"/>
      <c r="P50" s="195">
        <v>39</v>
      </c>
      <c r="Q50" s="311"/>
      <c r="R50" s="312"/>
      <c r="S50" s="312"/>
      <c r="T50" s="312"/>
      <c r="U50" s="312"/>
      <c r="V50" s="312"/>
      <c r="W50" s="312"/>
      <c r="X50" s="312"/>
      <c r="Y50" s="312"/>
      <c r="Z50" s="312"/>
      <c r="AA50" s="312"/>
      <c r="AB50" s="312"/>
      <c r="AC50" s="313"/>
      <c r="AE50" s="195">
        <v>39</v>
      </c>
      <c r="AF50" s="311"/>
      <c r="AG50" s="312"/>
      <c r="AH50" s="312"/>
      <c r="AI50" s="312"/>
      <c r="AJ50" s="312"/>
      <c r="AK50" s="312"/>
      <c r="AL50" s="312"/>
      <c r="AM50" s="312"/>
      <c r="AN50" s="312"/>
      <c r="AO50" s="312"/>
      <c r="AP50" s="312"/>
      <c r="AQ50" s="312"/>
      <c r="AR50" s="313"/>
      <c r="AT50" s="195">
        <v>39</v>
      </c>
      <c r="AU50" s="311"/>
      <c r="AV50" s="312"/>
      <c r="AW50" s="312"/>
      <c r="AX50" s="312"/>
      <c r="AY50" s="312"/>
      <c r="AZ50" s="312"/>
      <c r="BA50" s="312"/>
      <c r="BB50" s="312"/>
      <c r="BC50" s="312"/>
      <c r="BD50" s="312"/>
      <c r="BE50" s="312"/>
      <c r="BF50" s="312"/>
      <c r="BG50" s="313"/>
    </row>
    <row r="51" spans="1:59">
      <c r="A51" s="195">
        <v>40</v>
      </c>
      <c r="B51" s="311"/>
      <c r="C51" s="312"/>
      <c r="D51" s="312"/>
      <c r="E51" s="312"/>
      <c r="F51" s="312"/>
      <c r="G51" s="312"/>
      <c r="H51" s="312"/>
      <c r="I51" s="312"/>
      <c r="J51" s="312"/>
      <c r="K51" s="312"/>
      <c r="L51" s="312"/>
      <c r="M51" s="312"/>
      <c r="N51" s="313"/>
      <c r="P51" s="195">
        <v>40</v>
      </c>
      <c r="Q51" s="311"/>
      <c r="R51" s="312"/>
      <c r="S51" s="312"/>
      <c r="T51" s="312"/>
      <c r="U51" s="312"/>
      <c r="V51" s="312"/>
      <c r="W51" s="312"/>
      <c r="X51" s="312"/>
      <c r="Y51" s="312"/>
      <c r="Z51" s="312"/>
      <c r="AA51" s="312"/>
      <c r="AB51" s="312"/>
      <c r="AC51" s="313"/>
      <c r="AE51" s="195">
        <v>40</v>
      </c>
      <c r="AF51" s="311"/>
      <c r="AG51" s="312"/>
      <c r="AH51" s="312"/>
      <c r="AI51" s="312"/>
      <c r="AJ51" s="312"/>
      <c r="AK51" s="312"/>
      <c r="AL51" s="312"/>
      <c r="AM51" s="312"/>
      <c r="AN51" s="312"/>
      <c r="AO51" s="312"/>
      <c r="AP51" s="312"/>
      <c r="AQ51" s="312"/>
      <c r="AR51" s="313"/>
      <c r="AT51" s="195">
        <v>40</v>
      </c>
      <c r="AU51" s="311"/>
      <c r="AV51" s="312"/>
      <c r="AW51" s="312"/>
      <c r="AX51" s="312"/>
      <c r="AY51" s="312"/>
      <c r="AZ51" s="312"/>
      <c r="BA51" s="312"/>
      <c r="BB51" s="312"/>
      <c r="BC51" s="312"/>
      <c r="BD51" s="312"/>
      <c r="BE51" s="312"/>
      <c r="BF51" s="312"/>
      <c r="BG51" s="313"/>
    </row>
    <row r="52" spans="1:59">
      <c r="A52" s="195">
        <v>41</v>
      </c>
      <c r="B52" s="311"/>
      <c r="C52" s="312"/>
      <c r="D52" s="312"/>
      <c r="E52" s="312"/>
      <c r="F52" s="312"/>
      <c r="G52" s="312"/>
      <c r="H52" s="312"/>
      <c r="I52" s="312"/>
      <c r="J52" s="312"/>
      <c r="K52" s="312"/>
      <c r="L52" s="312"/>
      <c r="M52" s="312"/>
      <c r="N52" s="313"/>
      <c r="P52" s="195">
        <v>41</v>
      </c>
      <c r="Q52" s="311"/>
      <c r="R52" s="312"/>
      <c r="S52" s="312"/>
      <c r="T52" s="312"/>
      <c r="U52" s="312"/>
      <c r="V52" s="312"/>
      <c r="W52" s="312"/>
      <c r="X52" s="312"/>
      <c r="Y52" s="312"/>
      <c r="Z52" s="312"/>
      <c r="AA52" s="312"/>
      <c r="AB52" s="312"/>
      <c r="AC52" s="313"/>
      <c r="AE52" s="195">
        <v>41</v>
      </c>
      <c r="AF52" s="311"/>
      <c r="AG52" s="312"/>
      <c r="AH52" s="312"/>
      <c r="AI52" s="312"/>
      <c r="AJ52" s="312"/>
      <c r="AK52" s="312"/>
      <c r="AL52" s="312"/>
      <c r="AM52" s="312"/>
      <c r="AN52" s="312"/>
      <c r="AO52" s="312"/>
      <c r="AP52" s="312"/>
      <c r="AQ52" s="312"/>
      <c r="AR52" s="313"/>
      <c r="AT52" s="195">
        <v>41</v>
      </c>
      <c r="AU52" s="311"/>
      <c r="AV52" s="312"/>
      <c r="AW52" s="312"/>
      <c r="AX52" s="312"/>
      <c r="AY52" s="312"/>
      <c r="AZ52" s="312"/>
      <c r="BA52" s="312"/>
      <c r="BB52" s="312"/>
      <c r="BC52" s="312"/>
      <c r="BD52" s="312"/>
      <c r="BE52" s="312"/>
      <c r="BF52" s="312"/>
      <c r="BG52" s="313"/>
    </row>
    <row r="53" spans="1:59">
      <c r="A53" s="195">
        <v>42</v>
      </c>
      <c r="B53" s="311"/>
      <c r="C53" s="312"/>
      <c r="D53" s="312"/>
      <c r="E53" s="312"/>
      <c r="F53" s="312"/>
      <c r="G53" s="312"/>
      <c r="H53" s="312"/>
      <c r="I53" s="312"/>
      <c r="J53" s="312"/>
      <c r="K53" s="312"/>
      <c r="L53" s="312"/>
      <c r="M53" s="312"/>
      <c r="N53" s="313"/>
      <c r="P53" s="195">
        <v>42</v>
      </c>
      <c r="Q53" s="311"/>
      <c r="R53" s="312"/>
      <c r="S53" s="312"/>
      <c r="T53" s="312"/>
      <c r="U53" s="312"/>
      <c r="V53" s="312"/>
      <c r="W53" s="312"/>
      <c r="X53" s="312"/>
      <c r="Y53" s="312"/>
      <c r="Z53" s="312"/>
      <c r="AA53" s="312"/>
      <c r="AB53" s="312"/>
      <c r="AC53" s="313"/>
      <c r="AE53" s="195">
        <v>42</v>
      </c>
      <c r="AF53" s="311"/>
      <c r="AG53" s="312"/>
      <c r="AH53" s="312"/>
      <c r="AI53" s="312"/>
      <c r="AJ53" s="312"/>
      <c r="AK53" s="312"/>
      <c r="AL53" s="312"/>
      <c r="AM53" s="312"/>
      <c r="AN53" s="312"/>
      <c r="AO53" s="312"/>
      <c r="AP53" s="312"/>
      <c r="AQ53" s="312"/>
      <c r="AR53" s="313"/>
      <c r="AT53" s="195">
        <v>42</v>
      </c>
      <c r="AU53" s="311"/>
      <c r="AV53" s="312"/>
      <c r="AW53" s="312"/>
      <c r="AX53" s="312"/>
      <c r="AY53" s="312"/>
      <c r="AZ53" s="312"/>
      <c r="BA53" s="312"/>
      <c r="BB53" s="312"/>
      <c r="BC53" s="312"/>
      <c r="BD53" s="312"/>
      <c r="BE53" s="312"/>
      <c r="BF53" s="312"/>
      <c r="BG53" s="313"/>
    </row>
    <row r="54" spans="1:59">
      <c r="A54" s="195">
        <v>43</v>
      </c>
      <c r="B54" s="311"/>
      <c r="C54" s="312"/>
      <c r="D54" s="312"/>
      <c r="E54" s="312"/>
      <c r="F54" s="312"/>
      <c r="G54" s="312"/>
      <c r="H54" s="312"/>
      <c r="I54" s="312"/>
      <c r="J54" s="312"/>
      <c r="K54" s="312"/>
      <c r="L54" s="312"/>
      <c r="M54" s="312"/>
      <c r="N54" s="313"/>
      <c r="P54" s="195">
        <v>43</v>
      </c>
      <c r="Q54" s="311"/>
      <c r="R54" s="312"/>
      <c r="S54" s="312"/>
      <c r="T54" s="312"/>
      <c r="U54" s="312"/>
      <c r="V54" s="312"/>
      <c r="W54" s="312"/>
      <c r="X54" s="312"/>
      <c r="Y54" s="312"/>
      <c r="Z54" s="312"/>
      <c r="AA54" s="312"/>
      <c r="AB54" s="312"/>
      <c r="AC54" s="313"/>
      <c r="AE54" s="195">
        <v>43</v>
      </c>
      <c r="AF54" s="311"/>
      <c r="AG54" s="312"/>
      <c r="AH54" s="312"/>
      <c r="AI54" s="312"/>
      <c r="AJ54" s="312"/>
      <c r="AK54" s="312"/>
      <c r="AL54" s="312"/>
      <c r="AM54" s="312"/>
      <c r="AN54" s="312"/>
      <c r="AO54" s="312"/>
      <c r="AP54" s="312"/>
      <c r="AQ54" s="312"/>
      <c r="AR54" s="313"/>
      <c r="AT54" s="195">
        <v>43</v>
      </c>
      <c r="AU54" s="311"/>
      <c r="AV54" s="312"/>
      <c r="AW54" s="312"/>
      <c r="AX54" s="312"/>
      <c r="AY54" s="312"/>
      <c r="AZ54" s="312"/>
      <c r="BA54" s="312"/>
      <c r="BB54" s="312"/>
      <c r="BC54" s="312"/>
      <c r="BD54" s="312"/>
      <c r="BE54" s="312"/>
      <c r="BF54" s="312"/>
      <c r="BG54" s="313"/>
    </row>
    <row r="55" spans="1:59">
      <c r="A55" s="195">
        <v>44</v>
      </c>
      <c r="B55" s="311"/>
      <c r="C55" s="312"/>
      <c r="D55" s="312"/>
      <c r="E55" s="312"/>
      <c r="F55" s="312"/>
      <c r="G55" s="312"/>
      <c r="H55" s="312"/>
      <c r="I55" s="312"/>
      <c r="J55" s="312"/>
      <c r="K55" s="312"/>
      <c r="L55" s="312"/>
      <c r="M55" s="312"/>
      <c r="N55" s="313"/>
      <c r="P55" s="195">
        <v>44</v>
      </c>
      <c r="Q55" s="311"/>
      <c r="R55" s="312"/>
      <c r="S55" s="312"/>
      <c r="T55" s="312"/>
      <c r="U55" s="312"/>
      <c r="V55" s="312"/>
      <c r="W55" s="312"/>
      <c r="X55" s="312"/>
      <c r="Y55" s="312"/>
      <c r="Z55" s="312"/>
      <c r="AA55" s="312"/>
      <c r="AB55" s="312"/>
      <c r="AC55" s="313"/>
      <c r="AE55" s="195">
        <v>44</v>
      </c>
      <c r="AF55" s="311"/>
      <c r="AG55" s="312"/>
      <c r="AH55" s="312"/>
      <c r="AI55" s="312"/>
      <c r="AJ55" s="312"/>
      <c r="AK55" s="312"/>
      <c r="AL55" s="312"/>
      <c r="AM55" s="312"/>
      <c r="AN55" s="312"/>
      <c r="AO55" s="312"/>
      <c r="AP55" s="312"/>
      <c r="AQ55" s="312"/>
      <c r="AR55" s="313"/>
      <c r="AT55" s="195">
        <v>44</v>
      </c>
      <c r="AU55" s="311"/>
      <c r="AV55" s="312"/>
      <c r="AW55" s="312"/>
      <c r="AX55" s="312"/>
      <c r="AY55" s="312"/>
      <c r="AZ55" s="312"/>
      <c r="BA55" s="312"/>
      <c r="BB55" s="312"/>
      <c r="BC55" s="312"/>
      <c r="BD55" s="312"/>
      <c r="BE55" s="312"/>
      <c r="BF55" s="312"/>
      <c r="BG55" s="313"/>
    </row>
    <row r="56" spans="1:59">
      <c r="A56" s="195">
        <v>45</v>
      </c>
      <c r="B56" s="311"/>
      <c r="C56" s="312"/>
      <c r="D56" s="312"/>
      <c r="E56" s="312"/>
      <c r="F56" s="312"/>
      <c r="G56" s="312"/>
      <c r="H56" s="312"/>
      <c r="I56" s="312"/>
      <c r="J56" s="312"/>
      <c r="K56" s="312"/>
      <c r="L56" s="312"/>
      <c r="M56" s="312"/>
      <c r="N56" s="313"/>
      <c r="P56" s="195">
        <v>45</v>
      </c>
      <c r="Q56" s="311"/>
      <c r="R56" s="312"/>
      <c r="S56" s="312"/>
      <c r="T56" s="312"/>
      <c r="U56" s="312"/>
      <c r="V56" s="312"/>
      <c r="W56" s="312"/>
      <c r="X56" s="312"/>
      <c r="Y56" s="312"/>
      <c r="Z56" s="312"/>
      <c r="AA56" s="312"/>
      <c r="AB56" s="312"/>
      <c r="AC56" s="313"/>
      <c r="AE56" s="195">
        <v>45</v>
      </c>
      <c r="AF56" s="311"/>
      <c r="AG56" s="312"/>
      <c r="AH56" s="312"/>
      <c r="AI56" s="312"/>
      <c r="AJ56" s="312"/>
      <c r="AK56" s="312"/>
      <c r="AL56" s="312"/>
      <c r="AM56" s="312"/>
      <c r="AN56" s="312"/>
      <c r="AO56" s="312"/>
      <c r="AP56" s="312"/>
      <c r="AQ56" s="312"/>
      <c r="AR56" s="313"/>
      <c r="AT56" s="195">
        <v>45</v>
      </c>
      <c r="AU56" s="311"/>
      <c r="AV56" s="312"/>
      <c r="AW56" s="312"/>
      <c r="AX56" s="312"/>
      <c r="AY56" s="312"/>
      <c r="AZ56" s="312"/>
      <c r="BA56" s="312"/>
      <c r="BB56" s="312"/>
      <c r="BC56" s="312"/>
      <c r="BD56" s="312"/>
      <c r="BE56" s="312"/>
      <c r="BF56" s="312"/>
      <c r="BG56" s="313"/>
    </row>
    <row r="57" spans="1:59">
      <c r="A57" s="195">
        <v>46</v>
      </c>
      <c r="B57" s="311"/>
      <c r="C57" s="312"/>
      <c r="D57" s="312"/>
      <c r="E57" s="312"/>
      <c r="F57" s="312"/>
      <c r="G57" s="312"/>
      <c r="H57" s="312"/>
      <c r="I57" s="312"/>
      <c r="J57" s="312"/>
      <c r="K57" s="312"/>
      <c r="L57" s="312"/>
      <c r="M57" s="312"/>
      <c r="N57" s="313"/>
      <c r="P57" s="195">
        <v>46</v>
      </c>
      <c r="Q57" s="311"/>
      <c r="R57" s="312"/>
      <c r="S57" s="312"/>
      <c r="T57" s="312"/>
      <c r="U57" s="312"/>
      <c r="V57" s="312"/>
      <c r="W57" s="312"/>
      <c r="X57" s="312"/>
      <c r="Y57" s="312"/>
      <c r="Z57" s="312"/>
      <c r="AA57" s="312"/>
      <c r="AB57" s="312"/>
      <c r="AC57" s="313"/>
      <c r="AE57" s="195">
        <v>46</v>
      </c>
      <c r="AF57" s="311"/>
      <c r="AG57" s="312"/>
      <c r="AH57" s="312"/>
      <c r="AI57" s="312"/>
      <c r="AJ57" s="312"/>
      <c r="AK57" s="312"/>
      <c r="AL57" s="312"/>
      <c r="AM57" s="312"/>
      <c r="AN57" s="312"/>
      <c r="AO57" s="312"/>
      <c r="AP57" s="312"/>
      <c r="AQ57" s="312"/>
      <c r="AR57" s="313"/>
      <c r="AT57" s="195">
        <v>46</v>
      </c>
      <c r="AU57" s="311"/>
      <c r="AV57" s="312"/>
      <c r="AW57" s="312"/>
      <c r="AX57" s="312"/>
      <c r="AY57" s="312"/>
      <c r="AZ57" s="312"/>
      <c r="BA57" s="312"/>
      <c r="BB57" s="312"/>
      <c r="BC57" s="312"/>
      <c r="BD57" s="312"/>
      <c r="BE57" s="312"/>
      <c r="BF57" s="312"/>
      <c r="BG57" s="313"/>
    </row>
    <row r="58" spans="1:59">
      <c r="A58" s="195">
        <v>47</v>
      </c>
      <c r="B58" s="311"/>
      <c r="C58" s="312"/>
      <c r="D58" s="312"/>
      <c r="E58" s="312"/>
      <c r="F58" s="312"/>
      <c r="G58" s="312"/>
      <c r="H58" s="312"/>
      <c r="I58" s="312"/>
      <c r="J58" s="312"/>
      <c r="K58" s="312"/>
      <c r="L58" s="312"/>
      <c r="M58" s="312"/>
      <c r="N58" s="313"/>
      <c r="P58" s="195">
        <v>47</v>
      </c>
      <c r="Q58" s="311"/>
      <c r="R58" s="312"/>
      <c r="S58" s="312"/>
      <c r="T58" s="312"/>
      <c r="U58" s="312"/>
      <c r="V58" s="312"/>
      <c r="W58" s="312"/>
      <c r="X58" s="312"/>
      <c r="Y58" s="312"/>
      <c r="Z58" s="312"/>
      <c r="AA58" s="312"/>
      <c r="AB58" s="312"/>
      <c r="AC58" s="313"/>
      <c r="AE58" s="195">
        <v>47</v>
      </c>
      <c r="AF58" s="311"/>
      <c r="AG58" s="312"/>
      <c r="AH58" s="312"/>
      <c r="AI58" s="312"/>
      <c r="AJ58" s="312"/>
      <c r="AK58" s="312"/>
      <c r="AL58" s="312"/>
      <c r="AM58" s="312"/>
      <c r="AN58" s="312"/>
      <c r="AO58" s="312"/>
      <c r="AP58" s="312"/>
      <c r="AQ58" s="312"/>
      <c r="AR58" s="313"/>
      <c r="AT58" s="195">
        <v>47</v>
      </c>
      <c r="AU58" s="311"/>
      <c r="AV58" s="312"/>
      <c r="AW58" s="312"/>
      <c r="AX58" s="312"/>
      <c r="AY58" s="312"/>
      <c r="AZ58" s="312"/>
      <c r="BA58" s="312"/>
      <c r="BB58" s="312"/>
      <c r="BC58" s="312"/>
      <c r="BD58" s="312"/>
      <c r="BE58" s="312"/>
      <c r="BF58" s="312"/>
      <c r="BG58" s="313"/>
    </row>
    <row r="59" spans="1:59">
      <c r="A59" s="195">
        <v>48</v>
      </c>
      <c r="B59" s="311"/>
      <c r="C59" s="312"/>
      <c r="D59" s="312"/>
      <c r="E59" s="312"/>
      <c r="F59" s="312"/>
      <c r="G59" s="312"/>
      <c r="H59" s="312"/>
      <c r="I59" s="312"/>
      <c r="J59" s="312"/>
      <c r="K59" s="312"/>
      <c r="L59" s="312"/>
      <c r="M59" s="312"/>
      <c r="N59" s="313"/>
      <c r="P59" s="195">
        <v>48</v>
      </c>
      <c r="Q59" s="311"/>
      <c r="R59" s="312"/>
      <c r="S59" s="312"/>
      <c r="T59" s="312"/>
      <c r="U59" s="312"/>
      <c r="V59" s="312"/>
      <c r="W59" s="312"/>
      <c r="X59" s="312"/>
      <c r="Y59" s="312"/>
      <c r="Z59" s="312"/>
      <c r="AA59" s="312"/>
      <c r="AB59" s="312"/>
      <c r="AC59" s="313"/>
      <c r="AE59" s="195">
        <v>48</v>
      </c>
      <c r="AF59" s="311"/>
      <c r="AG59" s="312"/>
      <c r="AH59" s="312"/>
      <c r="AI59" s="312"/>
      <c r="AJ59" s="312"/>
      <c r="AK59" s="312"/>
      <c r="AL59" s="312"/>
      <c r="AM59" s="312"/>
      <c r="AN59" s="312"/>
      <c r="AO59" s="312"/>
      <c r="AP59" s="312"/>
      <c r="AQ59" s="312"/>
      <c r="AR59" s="313"/>
      <c r="AT59" s="195">
        <v>48</v>
      </c>
      <c r="AU59" s="311"/>
      <c r="AV59" s="312"/>
      <c r="AW59" s="312"/>
      <c r="AX59" s="312"/>
      <c r="AY59" s="312"/>
      <c r="AZ59" s="312"/>
      <c r="BA59" s="312"/>
      <c r="BB59" s="312"/>
      <c r="BC59" s="312"/>
      <c r="BD59" s="312"/>
      <c r="BE59" s="312"/>
      <c r="BF59" s="312"/>
      <c r="BG59" s="313"/>
    </row>
    <row r="60" spans="1:59">
      <c r="A60" s="195">
        <v>49</v>
      </c>
      <c r="B60" s="311"/>
      <c r="C60" s="312"/>
      <c r="D60" s="312"/>
      <c r="E60" s="312"/>
      <c r="F60" s="312"/>
      <c r="G60" s="312"/>
      <c r="H60" s="312"/>
      <c r="I60" s="312"/>
      <c r="J60" s="312"/>
      <c r="K60" s="312"/>
      <c r="L60" s="312"/>
      <c r="M60" s="312"/>
      <c r="N60" s="313"/>
      <c r="P60" s="195">
        <v>49</v>
      </c>
      <c r="Q60" s="311"/>
      <c r="R60" s="312"/>
      <c r="S60" s="312"/>
      <c r="T60" s="312"/>
      <c r="U60" s="312"/>
      <c r="V60" s="312"/>
      <c r="W60" s="312"/>
      <c r="X60" s="312"/>
      <c r="Y60" s="312"/>
      <c r="Z60" s="312"/>
      <c r="AA60" s="312"/>
      <c r="AB60" s="312"/>
      <c r="AC60" s="313"/>
      <c r="AE60" s="195">
        <v>49</v>
      </c>
      <c r="AF60" s="311"/>
      <c r="AG60" s="312"/>
      <c r="AH60" s="312"/>
      <c r="AI60" s="312"/>
      <c r="AJ60" s="312"/>
      <c r="AK60" s="312"/>
      <c r="AL60" s="312"/>
      <c r="AM60" s="312"/>
      <c r="AN60" s="312"/>
      <c r="AO60" s="312"/>
      <c r="AP60" s="312"/>
      <c r="AQ60" s="312"/>
      <c r="AR60" s="313"/>
      <c r="AT60" s="195">
        <v>49</v>
      </c>
      <c r="AU60" s="311"/>
      <c r="AV60" s="312"/>
      <c r="AW60" s="312"/>
      <c r="AX60" s="312"/>
      <c r="AY60" s="312"/>
      <c r="AZ60" s="312"/>
      <c r="BA60" s="312"/>
      <c r="BB60" s="312"/>
      <c r="BC60" s="312"/>
      <c r="BD60" s="312"/>
      <c r="BE60" s="312"/>
      <c r="BF60" s="312"/>
      <c r="BG60" s="313"/>
    </row>
    <row r="61" spans="1:59">
      <c r="A61" s="195">
        <v>50</v>
      </c>
      <c r="B61" s="311"/>
      <c r="C61" s="312"/>
      <c r="D61" s="312"/>
      <c r="E61" s="312"/>
      <c r="F61" s="312"/>
      <c r="G61" s="312"/>
      <c r="H61" s="312"/>
      <c r="I61" s="312"/>
      <c r="J61" s="312"/>
      <c r="K61" s="312"/>
      <c r="L61" s="312"/>
      <c r="M61" s="312"/>
      <c r="N61" s="313"/>
      <c r="P61" s="195">
        <v>50</v>
      </c>
      <c r="Q61" s="311"/>
      <c r="R61" s="312"/>
      <c r="S61" s="312"/>
      <c r="T61" s="312"/>
      <c r="U61" s="312"/>
      <c r="V61" s="312"/>
      <c r="W61" s="312"/>
      <c r="X61" s="312"/>
      <c r="Y61" s="312"/>
      <c r="Z61" s="312"/>
      <c r="AA61" s="312"/>
      <c r="AB61" s="312"/>
      <c r="AC61" s="313"/>
      <c r="AE61" s="195">
        <v>50</v>
      </c>
      <c r="AF61" s="311"/>
      <c r="AG61" s="312"/>
      <c r="AH61" s="312"/>
      <c r="AI61" s="312"/>
      <c r="AJ61" s="312"/>
      <c r="AK61" s="312"/>
      <c r="AL61" s="312"/>
      <c r="AM61" s="312"/>
      <c r="AN61" s="312"/>
      <c r="AO61" s="312"/>
      <c r="AP61" s="312"/>
      <c r="AQ61" s="312"/>
      <c r="AR61" s="313"/>
      <c r="AT61" s="195">
        <v>50</v>
      </c>
      <c r="AU61" s="311"/>
      <c r="AV61" s="312"/>
      <c r="AW61" s="312"/>
      <c r="AX61" s="312"/>
      <c r="AY61" s="312"/>
      <c r="AZ61" s="312"/>
      <c r="BA61" s="312"/>
      <c r="BB61" s="312"/>
      <c r="BC61" s="312"/>
      <c r="BD61" s="312"/>
      <c r="BE61" s="312"/>
      <c r="BF61" s="312"/>
      <c r="BG61" s="313"/>
    </row>
    <row r="62" spans="1:59">
      <c r="A62" s="195">
        <v>51</v>
      </c>
      <c r="B62" s="311"/>
      <c r="C62" s="312"/>
      <c r="D62" s="312"/>
      <c r="E62" s="312"/>
      <c r="F62" s="312"/>
      <c r="G62" s="312"/>
      <c r="H62" s="312"/>
      <c r="I62" s="312"/>
      <c r="J62" s="312"/>
      <c r="K62" s="312"/>
      <c r="L62" s="312"/>
      <c r="M62" s="312"/>
      <c r="N62" s="313"/>
      <c r="P62" s="195">
        <v>51</v>
      </c>
      <c r="Q62" s="311"/>
      <c r="R62" s="312"/>
      <c r="S62" s="312"/>
      <c r="T62" s="312"/>
      <c r="U62" s="312"/>
      <c r="V62" s="312"/>
      <c r="W62" s="312"/>
      <c r="X62" s="312"/>
      <c r="Y62" s="312"/>
      <c r="Z62" s="312"/>
      <c r="AA62" s="312"/>
      <c r="AB62" s="312"/>
      <c r="AC62" s="313"/>
      <c r="AE62" s="195">
        <v>51</v>
      </c>
      <c r="AF62" s="311"/>
      <c r="AG62" s="312"/>
      <c r="AH62" s="312"/>
      <c r="AI62" s="312"/>
      <c r="AJ62" s="312"/>
      <c r="AK62" s="312"/>
      <c r="AL62" s="312"/>
      <c r="AM62" s="312"/>
      <c r="AN62" s="312"/>
      <c r="AO62" s="312"/>
      <c r="AP62" s="312"/>
      <c r="AQ62" s="312"/>
      <c r="AR62" s="313"/>
      <c r="AT62" s="195">
        <v>51</v>
      </c>
      <c r="AU62" s="311"/>
      <c r="AV62" s="312"/>
      <c r="AW62" s="312"/>
      <c r="AX62" s="312"/>
      <c r="AY62" s="312"/>
      <c r="AZ62" s="312"/>
      <c r="BA62" s="312"/>
      <c r="BB62" s="312"/>
      <c r="BC62" s="312"/>
      <c r="BD62" s="312"/>
      <c r="BE62" s="312"/>
      <c r="BF62" s="312"/>
      <c r="BG62" s="313"/>
    </row>
    <row r="63" spans="1:59">
      <c r="A63" s="195">
        <v>52</v>
      </c>
      <c r="B63" s="311"/>
      <c r="C63" s="312"/>
      <c r="D63" s="312"/>
      <c r="E63" s="312"/>
      <c r="F63" s="312"/>
      <c r="G63" s="312"/>
      <c r="H63" s="312"/>
      <c r="I63" s="312"/>
      <c r="J63" s="312"/>
      <c r="K63" s="312"/>
      <c r="L63" s="312"/>
      <c r="M63" s="312"/>
      <c r="N63" s="313"/>
      <c r="P63" s="195">
        <v>52</v>
      </c>
      <c r="Q63" s="311"/>
      <c r="R63" s="312"/>
      <c r="S63" s="312"/>
      <c r="T63" s="312"/>
      <c r="U63" s="312"/>
      <c r="V63" s="312"/>
      <c r="W63" s="312"/>
      <c r="X63" s="312"/>
      <c r="Y63" s="312"/>
      <c r="Z63" s="312"/>
      <c r="AA63" s="312"/>
      <c r="AB63" s="312"/>
      <c r="AC63" s="313"/>
      <c r="AE63" s="195">
        <v>52</v>
      </c>
      <c r="AF63" s="311"/>
      <c r="AG63" s="312"/>
      <c r="AH63" s="312"/>
      <c r="AI63" s="312"/>
      <c r="AJ63" s="312"/>
      <c r="AK63" s="312"/>
      <c r="AL63" s="312"/>
      <c r="AM63" s="312"/>
      <c r="AN63" s="312"/>
      <c r="AO63" s="312"/>
      <c r="AP63" s="312"/>
      <c r="AQ63" s="312"/>
      <c r="AR63" s="313"/>
      <c r="AT63" s="195">
        <v>52</v>
      </c>
      <c r="AU63" s="311"/>
      <c r="AV63" s="312"/>
      <c r="AW63" s="312"/>
      <c r="AX63" s="312"/>
      <c r="AY63" s="312"/>
      <c r="AZ63" s="312"/>
      <c r="BA63" s="312"/>
      <c r="BB63" s="312"/>
      <c r="BC63" s="312"/>
      <c r="BD63" s="312"/>
      <c r="BE63" s="312"/>
      <c r="BF63" s="312"/>
      <c r="BG63" s="313"/>
    </row>
    <row r="64" spans="1:59">
      <c r="A64" s="195">
        <v>53</v>
      </c>
      <c r="B64" s="311"/>
      <c r="C64" s="312"/>
      <c r="D64" s="312"/>
      <c r="E64" s="312"/>
      <c r="F64" s="312"/>
      <c r="G64" s="312"/>
      <c r="H64" s="312"/>
      <c r="I64" s="312"/>
      <c r="J64" s="312"/>
      <c r="K64" s="312"/>
      <c r="L64" s="312"/>
      <c r="M64" s="312"/>
      <c r="N64" s="313"/>
      <c r="P64" s="195">
        <v>53</v>
      </c>
      <c r="Q64" s="311"/>
      <c r="R64" s="312"/>
      <c r="S64" s="312"/>
      <c r="T64" s="312"/>
      <c r="U64" s="312"/>
      <c r="V64" s="312"/>
      <c r="W64" s="312"/>
      <c r="X64" s="312"/>
      <c r="Y64" s="312"/>
      <c r="Z64" s="312"/>
      <c r="AA64" s="312"/>
      <c r="AB64" s="312"/>
      <c r="AC64" s="313"/>
      <c r="AE64" s="195">
        <v>53</v>
      </c>
      <c r="AF64" s="311"/>
      <c r="AG64" s="312"/>
      <c r="AH64" s="312"/>
      <c r="AI64" s="312"/>
      <c r="AJ64" s="312"/>
      <c r="AK64" s="312"/>
      <c r="AL64" s="312"/>
      <c r="AM64" s="312"/>
      <c r="AN64" s="312"/>
      <c r="AO64" s="312"/>
      <c r="AP64" s="312"/>
      <c r="AQ64" s="312"/>
      <c r="AR64" s="313"/>
      <c r="AT64" s="195">
        <v>53</v>
      </c>
      <c r="AU64" s="311"/>
      <c r="AV64" s="312"/>
      <c r="AW64" s="312"/>
      <c r="AX64" s="312"/>
      <c r="AY64" s="312"/>
      <c r="AZ64" s="312"/>
      <c r="BA64" s="312"/>
      <c r="BB64" s="312"/>
      <c r="BC64" s="312"/>
      <c r="BD64" s="312"/>
      <c r="BE64" s="312"/>
      <c r="BF64" s="312"/>
      <c r="BG64" s="313"/>
    </row>
    <row r="65" spans="1:59">
      <c r="A65" s="195">
        <v>54</v>
      </c>
      <c r="B65" s="311"/>
      <c r="C65" s="312"/>
      <c r="D65" s="312"/>
      <c r="E65" s="312"/>
      <c r="F65" s="312"/>
      <c r="G65" s="312"/>
      <c r="H65" s="312"/>
      <c r="I65" s="312"/>
      <c r="J65" s="312"/>
      <c r="K65" s="312"/>
      <c r="L65" s="312"/>
      <c r="M65" s="312"/>
      <c r="N65" s="313"/>
      <c r="P65" s="195">
        <v>54</v>
      </c>
      <c r="Q65" s="311"/>
      <c r="R65" s="312"/>
      <c r="S65" s="312"/>
      <c r="T65" s="312"/>
      <c r="U65" s="312"/>
      <c r="V65" s="312"/>
      <c r="W65" s="312"/>
      <c r="X65" s="312"/>
      <c r="Y65" s="312"/>
      <c r="Z65" s="312"/>
      <c r="AA65" s="312"/>
      <c r="AB65" s="312"/>
      <c r="AC65" s="313"/>
      <c r="AE65" s="195">
        <v>54</v>
      </c>
      <c r="AF65" s="311"/>
      <c r="AG65" s="312"/>
      <c r="AH65" s="312"/>
      <c r="AI65" s="312"/>
      <c r="AJ65" s="312"/>
      <c r="AK65" s="312"/>
      <c r="AL65" s="312"/>
      <c r="AM65" s="312"/>
      <c r="AN65" s="312"/>
      <c r="AO65" s="312"/>
      <c r="AP65" s="312"/>
      <c r="AQ65" s="312"/>
      <c r="AR65" s="313"/>
      <c r="AT65" s="195">
        <v>54</v>
      </c>
      <c r="AU65" s="311"/>
      <c r="AV65" s="312"/>
      <c r="AW65" s="312"/>
      <c r="AX65" s="312"/>
      <c r="AY65" s="312"/>
      <c r="AZ65" s="312"/>
      <c r="BA65" s="312"/>
      <c r="BB65" s="312"/>
      <c r="BC65" s="312"/>
      <c r="BD65" s="312"/>
      <c r="BE65" s="312"/>
      <c r="BF65" s="312"/>
      <c r="BG65" s="313"/>
    </row>
    <row r="66" spans="1:59">
      <c r="A66" s="195">
        <v>55</v>
      </c>
      <c r="B66" s="311"/>
      <c r="C66" s="312"/>
      <c r="D66" s="312"/>
      <c r="E66" s="312"/>
      <c r="F66" s="312"/>
      <c r="G66" s="312"/>
      <c r="H66" s="312"/>
      <c r="I66" s="312"/>
      <c r="J66" s="312"/>
      <c r="K66" s="312"/>
      <c r="L66" s="312"/>
      <c r="M66" s="312"/>
      <c r="N66" s="313"/>
      <c r="P66" s="195">
        <v>55</v>
      </c>
      <c r="Q66" s="311"/>
      <c r="R66" s="312"/>
      <c r="S66" s="312"/>
      <c r="T66" s="312"/>
      <c r="U66" s="312"/>
      <c r="V66" s="312"/>
      <c r="W66" s="312"/>
      <c r="X66" s="312"/>
      <c r="Y66" s="312"/>
      <c r="Z66" s="312"/>
      <c r="AA66" s="312"/>
      <c r="AB66" s="312"/>
      <c r="AC66" s="313"/>
      <c r="AE66" s="195">
        <v>55</v>
      </c>
      <c r="AF66" s="311"/>
      <c r="AG66" s="312"/>
      <c r="AH66" s="312"/>
      <c r="AI66" s="312"/>
      <c r="AJ66" s="312"/>
      <c r="AK66" s="312"/>
      <c r="AL66" s="312"/>
      <c r="AM66" s="312"/>
      <c r="AN66" s="312"/>
      <c r="AO66" s="312"/>
      <c r="AP66" s="312"/>
      <c r="AQ66" s="312"/>
      <c r="AR66" s="313"/>
      <c r="AT66" s="195">
        <v>55</v>
      </c>
      <c r="AU66" s="311"/>
      <c r="AV66" s="312"/>
      <c r="AW66" s="312"/>
      <c r="AX66" s="312"/>
      <c r="AY66" s="312"/>
      <c r="AZ66" s="312"/>
      <c r="BA66" s="312"/>
      <c r="BB66" s="312"/>
      <c r="BC66" s="312"/>
      <c r="BD66" s="312"/>
      <c r="BE66" s="312"/>
      <c r="BF66" s="312"/>
      <c r="BG66" s="313"/>
    </row>
    <row r="67" spans="1:59">
      <c r="A67" s="195">
        <v>56</v>
      </c>
      <c r="B67" s="311"/>
      <c r="C67" s="312"/>
      <c r="D67" s="312"/>
      <c r="E67" s="312"/>
      <c r="F67" s="312"/>
      <c r="G67" s="312"/>
      <c r="H67" s="312"/>
      <c r="I67" s="312"/>
      <c r="J67" s="312"/>
      <c r="K67" s="312"/>
      <c r="L67" s="312"/>
      <c r="M67" s="312"/>
      <c r="N67" s="313"/>
      <c r="P67" s="195">
        <v>56</v>
      </c>
      <c r="Q67" s="311"/>
      <c r="R67" s="312"/>
      <c r="S67" s="312"/>
      <c r="T67" s="312"/>
      <c r="U67" s="312"/>
      <c r="V67" s="312"/>
      <c r="W67" s="312"/>
      <c r="X67" s="312"/>
      <c r="Y67" s="312"/>
      <c r="Z67" s="312"/>
      <c r="AA67" s="312"/>
      <c r="AB67" s="312"/>
      <c r="AC67" s="313"/>
      <c r="AE67" s="195">
        <v>56</v>
      </c>
      <c r="AF67" s="311"/>
      <c r="AG67" s="312"/>
      <c r="AH67" s="312"/>
      <c r="AI67" s="312"/>
      <c r="AJ67" s="312"/>
      <c r="AK67" s="312"/>
      <c r="AL67" s="312"/>
      <c r="AM67" s="312"/>
      <c r="AN67" s="312"/>
      <c r="AO67" s="312"/>
      <c r="AP67" s="312"/>
      <c r="AQ67" s="312"/>
      <c r="AR67" s="313"/>
      <c r="AT67" s="195">
        <v>56</v>
      </c>
      <c r="AU67" s="311"/>
      <c r="AV67" s="312"/>
      <c r="AW67" s="312"/>
      <c r="AX67" s="312"/>
      <c r="AY67" s="312"/>
      <c r="AZ67" s="312"/>
      <c r="BA67" s="312"/>
      <c r="BB67" s="312"/>
      <c r="BC67" s="312"/>
      <c r="BD67" s="312"/>
      <c r="BE67" s="312"/>
      <c r="BF67" s="312"/>
      <c r="BG67" s="313"/>
    </row>
    <row r="68" spans="1:59">
      <c r="A68" s="195">
        <v>57</v>
      </c>
      <c r="B68" s="311"/>
      <c r="C68" s="312"/>
      <c r="D68" s="312"/>
      <c r="E68" s="312"/>
      <c r="F68" s="312"/>
      <c r="G68" s="312"/>
      <c r="H68" s="312"/>
      <c r="I68" s="312"/>
      <c r="J68" s="312"/>
      <c r="K68" s="312"/>
      <c r="L68" s="312"/>
      <c r="M68" s="312"/>
      <c r="N68" s="313"/>
      <c r="P68" s="195">
        <v>57</v>
      </c>
      <c r="Q68" s="311"/>
      <c r="R68" s="312"/>
      <c r="S68" s="312"/>
      <c r="T68" s="312"/>
      <c r="U68" s="312"/>
      <c r="V68" s="312"/>
      <c r="W68" s="312"/>
      <c r="X68" s="312"/>
      <c r="Y68" s="312"/>
      <c r="Z68" s="312"/>
      <c r="AA68" s="312"/>
      <c r="AB68" s="312"/>
      <c r="AC68" s="313"/>
      <c r="AE68" s="195">
        <v>57</v>
      </c>
      <c r="AF68" s="311"/>
      <c r="AG68" s="312"/>
      <c r="AH68" s="312"/>
      <c r="AI68" s="312"/>
      <c r="AJ68" s="312"/>
      <c r="AK68" s="312"/>
      <c r="AL68" s="312"/>
      <c r="AM68" s="312"/>
      <c r="AN68" s="312"/>
      <c r="AO68" s="312"/>
      <c r="AP68" s="312"/>
      <c r="AQ68" s="312"/>
      <c r="AR68" s="313"/>
      <c r="AT68" s="195">
        <v>57</v>
      </c>
      <c r="AU68" s="311"/>
      <c r="AV68" s="312"/>
      <c r="AW68" s="312"/>
      <c r="AX68" s="312"/>
      <c r="AY68" s="312"/>
      <c r="AZ68" s="312"/>
      <c r="BA68" s="312"/>
      <c r="BB68" s="312"/>
      <c r="BC68" s="312"/>
      <c r="BD68" s="312"/>
      <c r="BE68" s="312"/>
      <c r="BF68" s="312"/>
      <c r="BG68" s="313"/>
    </row>
    <row r="69" spans="1:59">
      <c r="A69" s="195">
        <v>58</v>
      </c>
      <c r="B69" s="311"/>
      <c r="C69" s="312"/>
      <c r="D69" s="312"/>
      <c r="E69" s="312"/>
      <c r="F69" s="312"/>
      <c r="G69" s="312"/>
      <c r="H69" s="312"/>
      <c r="I69" s="312"/>
      <c r="J69" s="312"/>
      <c r="K69" s="312"/>
      <c r="L69" s="312"/>
      <c r="M69" s="312"/>
      <c r="N69" s="313"/>
      <c r="P69" s="195">
        <v>58</v>
      </c>
      <c r="Q69" s="311"/>
      <c r="R69" s="312"/>
      <c r="S69" s="312"/>
      <c r="T69" s="312"/>
      <c r="U69" s="312"/>
      <c r="V69" s="312"/>
      <c r="W69" s="312"/>
      <c r="X69" s="312"/>
      <c r="Y69" s="312"/>
      <c r="Z69" s="312"/>
      <c r="AA69" s="312"/>
      <c r="AB69" s="312"/>
      <c r="AC69" s="313"/>
      <c r="AE69" s="195">
        <v>58</v>
      </c>
      <c r="AF69" s="311"/>
      <c r="AG69" s="312"/>
      <c r="AH69" s="312"/>
      <c r="AI69" s="312"/>
      <c r="AJ69" s="312"/>
      <c r="AK69" s="312"/>
      <c r="AL69" s="312"/>
      <c r="AM69" s="312"/>
      <c r="AN69" s="312"/>
      <c r="AO69" s="312"/>
      <c r="AP69" s="312"/>
      <c r="AQ69" s="312"/>
      <c r="AR69" s="313"/>
      <c r="AT69" s="195">
        <v>58</v>
      </c>
      <c r="AU69" s="311"/>
      <c r="AV69" s="312"/>
      <c r="AW69" s="312"/>
      <c r="AX69" s="312"/>
      <c r="AY69" s="312"/>
      <c r="AZ69" s="312"/>
      <c r="BA69" s="312"/>
      <c r="BB69" s="312"/>
      <c r="BC69" s="312"/>
      <c r="BD69" s="312"/>
      <c r="BE69" s="312"/>
      <c r="BF69" s="312"/>
      <c r="BG69" s="313"/>
    </row>
    <row r="70" spans="1:59">
      <c r="A70" s="195">
        <v>59</v>
      </c>
      <c r="B70" s="311"/>
      <c r="C70" s="312"/>
      <c r="D70" s="312"/>
      <c r="E70" s="312"/>
      <c r="F70" s="312"/>
      <c r="G70" s="312"/>
      <c r="H70" s="312"/>
      <c r="I70" s="312"/>
      <c r="J70" s="312"/>
      <c r="K70" s="312"/>
      <c r="L70" s="312"/>
      <c r="M70" s="312"/>
      <c r="N70" s="313"/>
      <c r="P70" s="195">
        <v>59</v>
      </c>
      <c r="Q70" s="311"/>
      <c r="R70" s="312"/>
      <c r="S70" s="312"/>
      <c r="T70" s="312"/>
      <c r="U70" s="312"/>
      <c r="V70" s="312"/>
      <c r="W70" s="312"/>
      <c r="X70" s="312"/>
      <c r="Y70" s="312"/>
      <c r="Z70" s="312"/>
      <c r="AA70" s="312"/>
      <c r="AB70" s="312"/>
      <c r="AC70" s="313"/>
      <c r="AE70" s="195">
        <v>59</v>
      </c>
      <c r="AF70" s="311"/>
      <c r="AG70" s="312"/>
      <c r="AH70" s="312"/>
      <c r="AI70" s="312"/>
      <c r="AJ70" s="312"/>
      <c r="AK70" s="312"/>
      <c r="AL70" s="312"/>
      <c r="AM70" s="312"/>
      <c r="AN70" s="312"/>
      <c r="AO70" s="312"/>
      <c r="AP70" s="312"/>
      <c r="AQ70" s="312"/>
      <c r="AR70" s="313"/>
      <c r="AT70" s="195">
        <v>59</v>
      </c>
      <c r="AU70" s="311"/>
      <c r="AV70" s="312"/>
      <c r="AW70" s="312"/>
      <c r="AX70" s="312"/>
      <c r="AY70" s="312"/>
      <c r="AZ70" s="312"/>
      <c r="BA70" s="312"/>
      <c r="BB70" s="312"/>
      <c r="BC70" s="312"/>
      <c r="BD70" s="312"/>
      <c r="BE70" s="312"/>
      <c r="BF70" s="312"/>
      <c r="BG70" s="313"/>
    </row>
    <row r="71" spans="1:59">
      <c r="A71" s="195">
        <v>60</v>
      </c>
      <c r="B71" s="311"/>
      <c r="C71" s="312"/>
      <c r="D71" s="312"/>
      <c r="E71" s="312"/>
      <c r="F71" s="312"/>
      <c r="G71" s="312"/>
      <c r="H71" s="312"/>
      <c r="I71" s="312"/>
      <c r="J71" s="312"/>
      <c r="K71" s="312"/>
      <c r="L71" s="312"/>
      <c r="M71" s="312"/>
      <c r="N71" s="313"/>
      <c r="P71" s="195">
        <v>60</v>
      </c>
      <c r="Q71" s="311"/>
      <c r="R71" s="312"/>
      <c r="S71" s="312"/>
      <c r="T71" s="312"/>
      <c r="U71" s="312"/>
      <c r="V71" s="312"/>
      <c r="W71" s="312"/>
      <c r="X71" s="312"/>
      <c r="Y71" s="312"/>
      <c r="Z71" s="312"/>
      <c r="AA71" s="312"/>
      <c r="AB71" s="312"/>
      <c r="AC71" s="313"/>
      <c r="AE71" s="195">
        <v>60</v>
      </c>
      <c r="AF71" s="311"/>
      <c r="AG71" s="312"/>
      <c r="AH71" s="312"/>
      <c r="AI71" s="312"/>
      <c r="AJ71" s="312"/>
      <c r="AK71" s="312"/>
      <c r="AL71" s="312"/>
      <c r="AM71" s="312"/>
      <c r="AN71" s="312"/>
      <c r="AO71" s="312"/>
      <c r="AP71" s="312"/>
      <c r="AQ71" s="312"/>
      <c r="AR71" s="313"/>
      <c r="AT71" s="195">
        <v>60</v>
      </c>
      <c r="AU71" s="311"/>
      <c r="AV71" s="312"/>
      <c r="AW71" s="312"/>
      <c r="AX71" s="312"/>
      <c r="AY71" s="312"/>
      <c r="AZ71" s="312"/>
      <c r="BA71" s="312"/>
      <c r="BB71" s="312"/>
      <c r="BC71" s="312"/>
      <c r="BD71" s="312"/>
      <c r="BE71" s="312"/>
      <c r="BF71" s="312"/>
      <c r="BG71" s="313"/>
    </row>
    <row r="72" spans="1:59">
      <c r="A72" s="195">
        <v>61</v>
      </c>
      <c r="B72" s="311"/>
      <c r="C72" s="312"/>
      <c r="D72" s="312"/>
      <c r="E72" s="312"/>
      <c r="F72" s="312"/>
      <c r="G72" s="312"/>
      <c r="H72" s="312"/>
      <c r="I72" s="312"/>
      <c r="J72" s="312"/>
      <c r="K72" s="312"/>
      <c r="L72" s="312"/>
      <c r="M72" s="312"/>
      <c r="N72" s="313"/>
      <c r="P72" s="195">
        <v>61</v>
      </c>
      <c r="Q72" s="311"/>
      <c r="R72" s="312"/>
      <c r="S72" s="312"/>
      <c r="T72" s="312"/>
      <c r="U72" s="312"/>
      <c r="V72" s="312"/>
      <c r="W72" s="312"/>
      <c r="X72" s="312"/>
      <c r="Y72" s="312"/>
      <c r="Z72" s="312"/>
      <c r="AA72" s="312"/>
      <c r="AB72" s="312"/>
      <c r="AC72" s="313"/>
      <c r="AE72" s="195">
        <v>61</v>
      </c>
      <c r="AF72" s="311"/>
      <c r="AG72" s="312"/>
      <c r="AH72" s="312"/>
      <c r="AI72" s="312"/>
      <c r="AJ72" s="312"/>
      <c r="AK72" s="312"/>
      <c r="AL72" s="312"/>
      <c r="AM72" s="312"/>
      <c r="AN72" s="312"/>
      <c r="AO72" s="312"/>
      <c r="AP72" s="312"/>
      <c r="AQ72" s="312"/>
      <c r="AR72" s="313"/>
      <c r="AT72" s="195">
        <v>61</v>
      </c>
      <c r="AU72" s="311"/>
      <c r="AV72" s="312"/>
      <c r="AW72" s="312"/>
      <c r="AX72" s="312"/>
      <c r="AY72" s="312"/>
      <c r="AZ72" s="312"/>
      <c r="BA72" s="312"/>
      <c r="BB72" s="312"/>
      <c r="BC72" s="312"/>
      <c r="BD72" s="312"/>
      <c r="BE72" s="312"/>
      <c r="BF72" s="312"/>
      <c r="BG72" s="313"/>
    </row>
    <row r="73" spans="1:59">
      <c r="A73" s="195">
        <v>62</v>
      </c>
      <c r="B73" s="311"/>
      <c r="C73" s="312"/>
      <c r="D73" s="312"/>
      <c r="E73" s="312"/>
      <c r="F73" s="312"/>
      <c r="G73" s="312"/>
      <c r="H73" s="312"/>
      <c r="I73" s="312"/>
      <c r="J73" s="312"/>
      <c r="K73" s="312"/>
      <c r="L73" s="312"/>
      <c r="M73" s="312"/>
      <c r="N73" s="313"/>
      <c r="P73" s="195">
        <v>62</v>
      </c>
      <c r="Q73" s="311"/>
      <c r="R73" s="312"/>
      <c r="S73" s="312"/>
      <c r="T73" s="312"/>
      <c r="U73" s="312"/>
      <c r="V73" s="312"/>
      <c r="W73" s="312"/>
      <c r="X73" s="312"/>
      <c r="Y73" s="312"/>
      <c r="Z73" s="312"/>
      <c r="AA73" s="312"/>
      <c r="AB73" s="312"/>
      <c r="AC73" s="313"/>
      <c r="AE73" s="195">
        <v>62</v>
      </c>
      <c r="AF73" s="311"/>
      <c r="AG73" s="312"/>
      <c r="AH73" s="312"/>
      <c r="AI73" s="312"/>
      <c r="AJ73" s="312"/>
      <c r="AK73" s="312"/>
      <c r="AL73" s="312"/>
      <c r="AM73" s="312"/>
      <c r="AN73" s="312"/>
      <c r="AO73" s="312"/>
      <c r="AP73" s="312"/>
      <c r="AQ73" s="312"/>
      <c r="AR73" s="313"/>
      <c r="AT73" s="195">
        <v>62</v>
      </c>
      <c r="AU73" s="311"/>
      <c r="AV73" s="312"/>
      <c r="AW73" s="312"/>
      <c r="AX73" s="312"/>
      <c r="AY73" s="312"/>
      <c r="AZ73" s="312"/>
      <c r="BA73" s="312"/>
      <c r="BB73" s="312"/>
      <c r="BC73" s="312"/>
      <c r="BD73" s="312"/>
      <c r="BE73" s="312"/>
      <c r="BF73" s="312"/>
      <c r="BG73" s="313"/>
    </row>
    <row r="74" spans="1:59">
      <c r="A74" s="195">
        <v>63</v>
      </c>
      <c r="B74" s="311"/>
      <c r="C74" s="312"/>
      <c r="D74" s="312"/>
      <c r="E74" s="312"/>
      <c r="F74" s="312"/>
      <c r="G74" s="312"/>
      <c r="H74" s="312"/>
      <c r="I74" s="312"/>
      <c r="J74" s="312"/>
      <c r="K74" s="312"/>
      <c r="L74" s="312"/>
      <c r="M74" s="312"/>
      <c r="N74" s="313"/>
      <c r="P74" s="195">
        <v>63</v>
      </c>
      <c r="Q74" s="311"/>
      <c r="R74" s="312"/>
      <c r="S74" s="312"/>
      <c r="T74" s="312"/>
      <c r="U74" s="312"/>
      <c r="V74" s="312"/>
      <c r="W74" s="312"/>
      <c r="X74" s="312"/>
      <c r="Y74" s="312"/>
      <c r="Z74" s="312"/>
      <c r="AA74" s="312"/>
      <c r="AB74" s="312"/>
      <c r="AC74" s="313"/>
      <c r="AE74" s="195">
        <v>63</v>
      </c>
      <c r="AF74" s="311"/>
      <c r="AG74" s="312"/>
      <c r="AH74" s="312"/>
      <c r="AI74" s="312"/>
      <c r="AJ74" s="312"/>
      <c r="AK74" s="312"/>
      <c r="AL74" s="312"/>
      <c r="AM74" s="312"/>
      <c r="AN74" s="312"/>
      <c r="AO74" s="312"/>
      <c r="AP74" s="312"/>
      <c r="AQ74" s="312"/>
      <c r="AR74" s="313"/>
      <c r="AT74" s="195">
        <v>63</v>
      </c>
      <c r="AU74" s="311"/>
      <c r="AV74" s="312"/>
      <c r="AW74" s="312"/>
      <c r="AX74" s="312"/>
      <c r="AY74" s="312"/>
      <c r="AZ74" s="312"/>
      <c r="BA74" s="312"/>
      <c r="BB74" s="312"/>
      <c r="BC74" s="312"/>
      <c r="BD74" s="312"/>
      <c r="BE74" s="312"/>
      <c r="BF74" s="312"/>
      <c r="BG74" s="313"/>
    </row>
    <row r="75" spans="1:59">
      <c r="A75" s="195">
        <v>64</v>
      </c>
      <c r="B75" s="311"/>
      <c r="C75" s="312"/>
      <c r="D75" s="312"/>
      <c r="E75" s="312"/>
      <c r="F75" s="312"/>
      <c r="G75" s="312"/>
      <c r="H75" s="312"/>
      <c r="I75" s="312"/>
      <c r="J75" s="312"/>
      <c r="K75" s="312"/>
      <c r="L75" s="312"/>
      <c r="M75" s="312"/>
      <c r="N75" s="313"/>
      <c r="P75" s="195">
        <v>64</v>
      </c>
      <c r="Q75" s="311"/>
      <c r="R75" s="312"/>
      <c r="S75" s="312"/>
      <c r="T75" s="312"/>
      <c r="U75" s="312"/>
      <c r="V75" s="312"/>
      <c r="W75" s="312"/>
      <c r="X75" s="312"/>
      <c r="Y75" s="312"/>
      <c r="Z75" s="312"/>
      <c r="AA75" s="312"/>
      <c r="AB75" s="312"/>
      <c r="AC75" s="313"/>
      <c r="AE75" s="195">
        <v>64</v>
      </c>
      <c r="AF75" s="311"/>
      <c r="AG75" s="312"/>
      <c r="AH75" s="312"/>
      <c r="AI75" s="312"/>
      <c r="AJ75" s="312"/>
      <c r="AK75" s="312"/>
      <c r="AL75" s="312"/>
      <c r="AM75" s="312"/>
      <c r="AN75" s="312"/>
      <c r="AO75" s="312"/>
      <c r="AP75" s="312"/>
      <c r="AQ75" s="312"/>
      <c r="AR75" s="313"/>
      <c r="AT75" s="195">
        <v>64</v>
      </c>
      <c r="AU75" s="311"/>
      <c r="AV75" s="312"/>
      <c r="AW75" s="312"/>
      <c r="AX75" s="312"/>
      <c r="AY75" s="312"/>
      <c r="AZ75" s="312"/>
      <c r="BA75" s="312"/>
      <c r="BB75" s="312"/>
      <c r="BC75" s="312"/>
      <c r="BD75" s="312"/>
      <c r="BE75" s="312"/>
      <c r="BF75" s="312"/>
      <c r="BG75" s="313"/>
    </row>
    <row r="76" spans="1:59">
      <c r="A76" s="195">
        <v>65</v>
      </c>
      <c r="B76" s="311"/>
      <c r="C76" s="312"/>
      <c r="D76" s="312"/>
      <c r="E76" s="312"/>
      <c r="F76" s="312"/>
      <c r="G76" s="312"/>
      <c r="H76" s="312"/>
      <c r="I76" s="312"/>
      <c r="J76" s="312"/>
      <c r="K76" s="312"/>
      <c r="L76" s="312"/>
      <c r="M76" s="312"/>
      <c r="N76" s="313"/>
      <c r="P76" s="195">
        <v>65</v>
      </c>
      <c r="Q76" s="311"/>
      <c r="R76" s="312"/>
      <c r="S76" s="312"/>
      <c r="T76" s="312"/>
      <c r="U76" s="312"/>
      <c r="V76" s="312"/>
      <c r="W76" s="312"/>
      <c r="X76" s="312"/>
      <c r="Y76" s="312"/>
      <c r="Z76" s="312"/>
      <c r="AA76" s="312"/>
      <c r="AB76" s="312"/>
      <c r="AC76" s="313"/>
      <c r="AE76" s="195">
        <v>65</v>
      </c>
      <c r="AF76" s="311"/>
      <c r="AG76" s="312"/>
      <c r="AH76" s="312"/>
      <c r="AI76" s="312"/>
      <c r="AJ76" s="312"/>
      <c r="AK76" s="312"/>
      <c r="AL76" s="312"/>
      <c r="AM76" s="312"/>
      <c r="AN76" s="312"/>
      <c r="AO76" s="312"/>
      <c r="AP76" s="312"/>
      <c r="AQ76" s="312"/>
      <c r="AR76" s="313"/>
      <c r="AT76" s="195">
        <v>65</v>
      </c>
      <c r="AU76" s="311"/>
      <c r="AV76" s="312"/>
      <c r="AW76" s="312"/>
      <c r="AX76" s="312"/>
      <c r="AY76" s="312"/>
      <c r="AZ76" s="312"/>
      <c r="BA76" s="312"/>
      <c r="BB76" s="312"/>
      <c r="BC76" s="312"/>
      <c r="BD76" s="312"/>
      <c r="BE76" s="312"/>
      <c r="BF76" s="312"/>
      <c r="BG76" s="313"/>
    </row>
    <row r="77" spans="1:59">
      <c r="A77" s="195">
        <v>66</v>
      </c>
      <c r="B77" s="311"/>
      <c r="C77" s="312"/>
      <c r="D77" s="312"/>
      <c r="E77" s="312"/>
      <c r="F77" s="312"/>
      <c r="G77" s="312"/>
      <c r="H77" s="312"/>
      <c r="I77" s="312"/>
      <c r="J77" s="312"/>
      <c r="K77" s="312"/>
      <c r="L77" s="312"/>
      <c r="M77" s="312"/>
      <c r="N77" s="313"/>
      <c r="P77" s="195">
        <v>66</v>
      </c>
      <c r="Q77" s="311"/>
      <c r="R77" s="312"/>
      <c r="S77" s="312"/>
      <c r="T77" s="312"/>
      <c r="U77" s="312"/>
      <c r="V77" s="312"/>
      <c r="W77" s="312"/>
      <c r="X77" s="312"/>
      <c r="Y77" s="312"/>
      <c r="Z77" s="312"/>
      <c r="AA77" s="312"/>
      <c r="AB77" s="312"/>
      <c r="AC77" s="313"/>
      <c r="AE77" s="195">
        <v>66</v>
      </c>
      <c r="AF77" s="311"/>
      <c r="AG77" s="312"/>
      <c r="AH77" s="312"/>
      <c r="AI77" s="312"/>
      <c r="AJ77" s="312"/>
      <c r="AK77" s="312"/>
      <c r="AL77" s="312"/>
      <c r="AM77" s="312"/>
      <c r="AN77" s="312"/>
      <c r="AO77" s="312"/>
      <c r="AP77" s="312"/>
      <c r="AQ77" s="312"/>
      <c r="AR77" s="313"/>
      <c r="AT77" s="195">
        <v>66</v>
      </c>
      <c r="AU77" s="311"/>
      <c r="AV77" s="312"/>
      <c r="AW77" s="312"/>
      <c r="AX77" s="312"/>
      <c r="AY77" s="312"/>
      <c r="AZ77" s="312"/>
      <c r="BA77" s="312"/>
      <c r="BB77" s="312"/>
      <c r="BC77" s="312"/>
      <c r="BD77" s="312"/>
      <c r="BE77" s="312"/>
      <c r="BF77" s="312"/>
      <c r="BG77" s="313"/>
    </row>
    <row r="78" spans="1:59">
      <c r="A78" s="195">
        <v>67</v>
      </c>
      <c r="B78" s="311"/>
      <c r="C78" s="312"/>
      <c r="D78" s="312"/>
      <c r="E78" s="312"/>
      <c r="F78" s="312"/>
      <c r="G78" s="312"/>
      <c r="H78" s="312"/>
      <c r="I78" s="312"/>
      <c r="J78" s="312"/>
      <c r="K78" s="312"/>
      <c r="L78" s="312"/>
      <c r="M78" s="312"/>
      <c r="N78" s="313"/>
      <c r="P78" s="195">
        <v>67</v>
      </c>
      <c r="Q78" s="311"/>
      <c r="R78" s="312"/>
      <c r="S78" s="312"/>
      <c r="T78" s="312"/>
      <c r="U78" s="312"/>
      <c r="V78" s="312"/>
      <c r="W78" s="312"/>
      <c r="X78" s="312"/>
      <c r="Y78" s="312"/>
      <c r="Z78" s="312"/>
      <c r="AA78" s="312"/>
      <c r="AB78" s="312"/>
      <c r="AC78" s="313"/>
      <c r="AE78" s="195">
        <v>67</v>
      </c>
      <c r="AF78" s="311"/>
      <c r="AG78" s="312"/>
      <c r="AH78" s="312"/>
      <c r="AI78" s="312"/>
      <c r="AJ78" s="312"/>
      <c r="AK78" s="312"/>
      <c r="AL78" s="312"/>
      <c r="AM78" s="312"/>
      <c r="AN78" s="312"/>
      <c r="AO78" s="312"/>
      <c r="AP78" s="312"/>
      <c r="AQ78" s="312"/>
      <c r="AR78" s="313"/>
      <c r="AT78" s="195">
        <v>67</v>
      </c>
      <c r="AU78" s="311"/>
      <c r="AV78" s="312"/>
      <c r="AW78" s="312"/>
      <c r="AX78" s="312"/>
      <c r="AY78" s="312"/>
      <c r="AZ78" s="312"/>
      <c r="BA78" s="312"/>
      <c r="BB78" s="312"/>
      <c r="BC78" s="312"/>
      <c r="BD78" s="312"/>
      <c r="BE78" s="312"/>
      <c r="BF78" s="312"/>
      <c r="BG78" s="313"/>
    </row>
    <row r="79" spans="1:59">
      <c r="A79" s="195">
        <v>68</v>
      </c>
      <c r="B79" s="311"/>
      <c r="C79" s="312"/>
      <c r="D79" s="312"/>
      <c r="E79" s="312"/>
      <c r="F79" s="312"/>
      <c r="G79" s="312"/>
      <c r="H79" s="312"/>
      <c r="I79" s="312"/>
      <c r="J79" s="312"/>
      <c r="K79" s="312"/>
      <c r="L79" s="312"/>
      <c r="M79" s="312"/>
      <c r="N79" s="313"/>
      <c r="P79" s="195">
        <v>68</v>
      </c>
      <c r="Q79" s="311"/>
      <c r="R79" s="312"/>
      <c r="S79" s="312"/>
      <c r="T79" s="312"/>
      <c r="U79" s="312"/>
      <c r="V79" s="312"/>
      <c r="W79" s="312"/>
      <c r="X79" s="312"/>
      <c r="Y79" s="312"/>
      <c r="Z79" s="312"/>
      <c r="AA79" s="312"/>
      <c r="AB79" s="312"/>
      <c r="AC79" s="313"/>
      <c r="AE79" s="195">
        <v>68</v>
      </c>
      <c r="AF79" s="311"/>
      <c r="AG79" s="312"/>
      <c r="AH79" s="312"/>
      <c r="AI79" s="312"/>
      <c r="AJ79" s="312"/>
      <c r="AK79" s="312"/>
      <c r="AL79" s="312"/>
      <c r="AM79" s="312"/>
      <c r="AN79" s="312"/>
      <c r="AO79" s="312"/>
      <c r="AP79" s="312"/>
      <c r="AQ79" s="312"/>
      <c r="AR79" s="313"/>
      <c r="AT79" s="195">
        <v>68</v>
      </c>
      <c r="AU79" s="311"/>
      <c r="AV79" s="312"/>
      <c r="AW79" s="312"/>
      <c r="AX79" s="312"/>
      <c r="AY79" s="312"/>
      <c r="AZ79" s="312"/>
      <c r="BA79" s="312"/>
      <c r="BB79" s="312"/>
      <c r="BC79" s="312"/>
      <c r="BD79" s="312"/>
      <c r="BE79" s="312"/>
      <c r="BF79" s="312"/>
      <c r="BG79" s="313"/>
    </row>
    <row r="80" spans="1:59">
      <c r="A80" s="195">
        <v>69</v>
      </c>
      <c r="B80" s="311"/>
      <c r="C80" s="312"/>
      <c r="D80" s="312"/>
      <c r="E80" s="312"/>
      <c r="F80" s="312"/>
      <c r="G80" s="312"/>
      <c r="H80" s="312"/>
      <c r="I80" s="312"/>
      <c r="J80" s="312"/>
      <c r="K80" s="312"/>
      <c r="L80" s="312"/>
      <c r="M80" s="312"/>
      <c r="N80" s="313"/>
      <c r="P80" s="195">
        <v>69</v>
      </c>
      <c r="Q80" s="311"/>
      <c r="R80" s="312"/>
      <c r="S80" s="312"/>
      <c r="T80" s="312"/>
      <c r="U80" s="312"/>
      <c r="V80" s="312"/>
      <c r="W80" s="312"/>
      <c r="X80" s="312"/>
      <c r="Y80" s="312"/>
      <c r="Z80" s="312"/>
      <c r="AA80" s="312"/>
      <c r="AB80" s="312"/>
      <c r="AC80" s="313"/>
      <c r="AE80" s="195">
        <v>69</v>
      </c>
      <c r="AF80" s="311"/>
      <c r="AG80" s="312"/>
      <c r="AH80" s="312"/>
      <c r="AI80" s="312"/>
      <c r="AJ80" s="312"/>
      <c r="AK80" s="312"/>
      <c r="AL80" s="312"/>
      <c r="AM80" s="312"/>
      <c r="AN80" s="312"/>
      <c r="AO80" s="312"/>
      <c r="AP80" s="312"/>
      <c r="AQ80" s="312"/>
      <c r="AR80" s="313"/>
      <c r="AT80" s="195">
        <v>69</v>
      </c>
      <c r="AU80" s="311"/>
      <c r="AV80" s="312"/>
      <c r="AW80" s="312"/>
      <c r="AX80" s="312"/>
      <c r="AY80" s="312"/>
      <c r="AZ80" s="312"/>
      <c r="BA80" s="312"/>
      <c r="BB80" s="312"/>
      <c r="BC80" s="312"/>
      <c r="BD80" s="312"/>
      <c r="BE80" s="312"/>
      <c r="BF80" s="312"/>
      <c r="BG80" s="313"/>
    </row>
    <row r="81" spans="1:59">
      <c r="A81" s="195">
        <v>70</v>
      </c>
      <c r="B81" s="311"/>
      <c r="C81" s="312"/>
      <c r="D81" s="312"/>
      <c r="E81" s="312"/>
      <c r="F81" s="312"/>
      <c r="G81" s="312"/>
      <c r="H81" s="312"/>
      <c r="I81" s="312"/>
      <c r="J81" s="312"/>
      <c r="K81" s="312"/>
      <c r="L81" s="312"/>
      <c r="M81" s="312"/>
      <c r="N81" s="313"/>
      <c r="P81" s="195">
        <v>70</v>
      </c>
      <c r="Q81" s="311"/>
      <c r="R81" s="312"/>
      <c r="S81" s="312"/>
      <c r="T81" s="312"/>
      <c r="U81" s="312"/>
      <c r="V81" s="312"/>
      <c r="W81" s="312"/>
      <c r="X81" s="312"/>
      <c r="Y81" s="312"/>
      <c r="Z81" s="312"/>
      <c r="AA81" s="312"/>
      <c r="AB81" s="312"/>
      <c r="AC81" s="313"/>
      <c r="AE81" s="195">
        <v>70</v>
      </c>
      <c r="AF81" s="311"/>
      <c r="AG81" s="312"/>
      <c r="AH81" s="312"/>
      <c r="AI81" s="312"/>
      <c r="AJ81" s="312"/>
      <c r="AK81" s="312"/>
      <c r="AL81" s="312"/>
      <c r="AM81" s="312"/>
      <c r="AN81" s="312"/>
      <c r="AO81" s="312"/>
      <c r="AP81" s="312"/>
      <c r="AQ81" s="312"/>
      <c r="AR81" s="313"/>
      <c r="AT81" s="195">
        <v>70</v>
      </c>
      <c r="AU81" s="311"/>
      <c r="AV81" s="312"/>
      <c r="AW81" s="312"/>
      <c r="AX81" s="312"/>
      <c r="AY81" s="312"/>
      <c r="AZ81" s="312"/>
      <c r="BA81" s="312"/>
      <c r="BB81" s="312"/>
      <c r="BC81" s="312"/>
      <c r="BD81" s="312"/>
      <c r="BE81" s="312"/>
      <c r="BF81" s="312"/>
      <c r="BG81" s="313"/>
    </row>
    <row r="82" spans="1:59">
      <c r="A82" s="195">
        <v>71</v>
      </c>
      <c r="B82" s="311"/>
      <c r="C82" s="312"/>
      <c r="D82" s="312"/>
      <c r="E82" s="312"/>
      <c r="F82" s="312"/>
      <c r="G82" s="312"/>
      <c r="H82" s="312"/>
      <c r="I82" s="312"/>
      <c r="J82" s="312"/>
      <c r="K82" s="312"/>
      <c r="L82" s="312"/>
      <c r="M82" s="312"/>
      <c r="N82" s="313"/>
      <c r="P82" s="195">
        <v>71</v>
      </c>
      <c r="Q82" s="311"/>
      <c r="R82" s="312"/>
      <c r="S82" s="312"/>
      <c r="T82" s="312"/>
      <c r="U82" s="312"/>
      <c r="V82" s="312"/>
      <c r="W82" s="312"/>
      <c r="X82" s="312"/>
      <c r="Y82" s="312"/>
      <c r="Z82" s="312"/>
      <c r="AA82" s="312"/>
      <c r="AB82" s="312"/>
      <c r="AC82" s="313"/>
      <c r="AE82" s="195">
        <v>71</v>
      </c>
      <c r="AF82" s="311"/>
      <c r="AG82" s="312"/>
      <c r="AH82" s="312"/>
      <c r="AI82" s="312"/>
      <c r="AJ82" s="312"/>
      <c r="AK82" s="312"/>
      <c r="AL82" s="312"/>
      <c r="AM82" s="312"/>
      <c r="AN82" s="312"/>
      <c r="AO82" s="312"/>
      <c r="AP82" s="312"/>
      <c r="AQ82" s="312"/>
      <c r="AR82" s="313"/>
      <c r="AT82" s="195">
        <v>71</v>
      </c>
      <c r="AU82" s="311"/>
      <c r="AV82" s="312"/>
      <c r="AW82" s="312"/>
      <c r="AX82" s="312"/>
      <c r="AY82" s="312"/>
      <c r="AZ82" s="312"/>
      <c r="BA82" s="312"/>
      <c r="BB82" s="312"/>
      <c r="BC82" s="312"/>
      <c r="BD82" s="312"/>
      <c r="BE82" s="312"/>
      <c r="BF82" s="312"/>
      <c r="BG82" s="313"/>
    </row>
    <row r="83" spans="1:59">
      <c r="A83" s="195">
        <v>72</v>
      </c>
      <c r="B83" s="311"/>
      <c r="C83" s="312"/>
      <c r="D83" s="312"/>
      <c r="E83" s="312"/>
      <c r="F83" s="312"/>
      <c r="G83" s="312"/>
      <c r="H83" s="312"/>
      <c r="I83" s="312"/>
      <c r="J83" s="312"/>
      <c r="K83" s="312"/>
      <c r="L83" s="312"/>
      <c r="M83" s="312"/>
      <c r="N83" s="313"/>
      <c r="P83" s="195">
        <v>72</v>
      </c>
      <c r="Q83" s="311"/>
      <c r="R83" s="312"/>
      <c r="S83" s="312"/>
      <c r="T83" s="312"/>
      <c r="U83" s="312"/>
      <c r="V83" s="312"/>
      <c r="W83" s="312"/>
      <c r="X83" s="312"/>
      <c r="Y83" s="312"/>
      <c r="Z83" s="312"/>
      <c r="AA83" s="312"/>
      <c r="AB83" s="312"/>
      <c r="AC83" s="313"/>
      <c r="AE83" s="195">
        <v>72</v>
      </c>
      <c r="AF83" s="311"/>
      <c r="AG83" s="312"/>
      <c r="AH83" s="312"/>
      <c r="AI83" s="312"/>
      <c r="AJ83" s="312"/>
      <c r="AK83" s="312"/>
      <c r="AL83" s="312"/>
      <c r="AM83" s="312"/>
      <c r="AN83" s="312"/>
      <c r="AO83" s="312"/>
      <c r="AP83" s="312"/>
      <c r="AQ83" s="312"/>
      <c r="AR83" s="313"/>
      <c r="AT83" s="195">
        <v>72</v>
      </c>
      <c r="AU83" s="311"/>
      <c r="AV83" s="312"/>
      <c r="AW83" s="312"/>
      <c r="AX83" s="312"/>
      <c r="AY83" s="312"/>
      <c r="AZ83" s="312"/>
      <c r="BA83" s="312"/>
      <c r="BB83" s="312"/>
      <c r="BC83" s="312"/>
      <c r="BD83" s="312"/>
      <c r="BE83" s="312"/>
      <c r="BF83" s="312"/>
      <c r="BG83" s="313"/>
    </row>
    <row r="84" spans="1:59">
      <c r="A84" s="195">
        <v>73</v>
      </c>
      <c r="B84" s="311"/>
      <c r="C84" s="312"/>
      <c r="D84" s="312"/>
      <c r="E84" s="312"/>
      <c r="F84" s="312"/>
      <c r="G84" s="312"/>
      <c r="H84" s="312"/>
      <c r="I84" s="312"/>
      <c r="J84" s="312"/>
      <c r="K84" s="312"/>
      <c r="L84" s="312"/>
      <c r="M84" s="312"/>
      <c r="N84" s="313"/>
      <c r="P84" s="195">
        <v>73</v>
      </c>
      <c r="Q84" s="311"/>
      <c r="R84" s="312"/>
      <c r="S84" s="312"/>
      <c r="T84" s="312"/>
      <c r="U84" s="312"/>
      <c r="V84" s="312"/>
      <c r="W84" s="312"/>
      <c r="X84" s="312"/>
      <c r="Y84" s="312"/>
      <c r="Z84" s="312"/>
      <c r="AA84" s="312"/>
      <c r="AB84" s="312"/>
      <c r="AC84" s="313"/>
      <c r="AE84" s="195">
        <v>73</v>
      </c>
      <c r="AF84" s="311"/>
      <c r="AG84" s="312"/>
      <c r="AH84" s="312"/>
      <c r="AI84" s="312"/>
      <c r="AJ84" s="312"/>
      <c r="AK84" s="312"/>
      <c r="AL84" s="312"/>
      <c r="AM84" s="312"/>
      <c r="AN84" s="312"/>
      <c r="AO84" s="312"/>
      <c r="AP84" s="312"/>
      <c r="AQ84" s="312"/>
      <c r="AR84" s="313"/>
      <c r="AT84" s="195">
        <v>73</v>
      </c>
      <c r="AU84" s="311"/>
      <c r="AV84" s="312"/>
      <c r="AW84" s="312"/>
      <c r="AX84" s="312"/>
      <c r="AY84" s="312"/>
      <c r="AZ84" s="312"/>
      <c r="BA84" s="312"/>
      <c r="BB84" s="312"/>
      <c r="BC84" s="312"/>
      <c r="BD84" s="312"/>
      <c r="BE84" s="312"/>
      <c r="BF84" s="312"/>
      <c r="BG84" s="313"/>
    </row>
    <row r="85" spans="1:59">
      <c r="A85" s="195">
        <v>74</v>
      </c>
      <c r="B85" s="311"/>
      <c r="C85" s="312"/>
      <c r="D85" s="312"/>
      <c r="E85" s="312"/>
      <c r="F85" s="312"/>
      <c r="G85" s="312"/>
      <c r="H85" s="312"/>
      <c r="I85" s="312"/>
      <c r="J85" s="312"/>
      <c r="K85" s="312"/>
      <c r="L85" s="312"/>
      <c r="M85" s="312"/>
      <c r="N85" s="313"/>
      <c r="P85" s="195">
        <v>74</v>
      </c>
      <c r="Q85" s="311"/>
      <c r="R85" s="312"/>
      <c r="S85" s="312"/>
      <c r="T85" s="312"/>
      <c r="U85" s="312"/>
      <c r="V85" s="312"/>
      <c r="W85" s="312"/>
      <c r="X85" s="312"/>
      <c r="Y85" s="312"/>
      <c r="Z85" s="312"/>
      <c r="AA85" s="312"/>
      <c r="AB85" s="312"/>
      <c r="AC85" s="313"/>
      <c r="AE85" s="195">
        <v>74</v>
      </c>
      <c r="AF85" s="311"/>
      <c r="AG85" s="312"/>
      <c r="AH85" s="312"/>
      <c r="AI85" s="312"/>
      <c r="AJ85" s="312"/>
      <c r="AK85" s="312"/>
      <c r="AL85" s="312"/>
      <c r="AM85" s="312"/>
      <c r="AN85" s="312"/>
      <c r="AO85" s="312"/>
      <c r="AP85" s="312"/>
      <c r="AQ85" s="312"/>
      <c r="AR85" s="313"/>
      <c r="AT85" s="195">
        <v>74</v>
      </c>
      <c r="AU85" s="311"/>
      <c r="AV85" s="312"/>
      <c r="AW85" s="312"/>
      <c r="AX85" s="312"/>
      <c r="AY85" s="312"/>
      <c r="AZ85" s="312"/>
      <c r="BA85" s="312"/>
      <c r="BB85" s="312"/>
      <c r="BC85" s="312"/>
      <c r="BD85" s="312"/>
      <c r="BE85" s="312"/>
      <c r="BF85" s="312"/>
      <c r="BG85" s="313"/>
    </row>
    <row r="86" spans="1:59">
      <c r="A86" s="195">
        <v>75</v>
      </c>
      <c r="B86" s="311"/>
      <c r="C86" s="312"/>
      <c r="D86" s="312"/>
      <c r="E86" s="312"/>
      <c r="F86" s="312"/>
      <c r="G86" s="312"/>
      <c r="H86" s="312"/>
      <c r="I86" s="312"/>
      <c r="J86" s="312"/>
      <c r="K86" s="312"/>
      <c r="L86" s="312"/>
      <c r="M86" s="312"/>
      <c r="N86" s="313"/>
      <c r="P86" s="195">
        <v>75</v>
      </c>
      <c r="Q86" s="311"/>
      <c r="R86" s="312"/>
      <c r="S86" s="312"/>
      <c r="T86" s="312"/>
      <c r="U86" s="312"/>
      <c r="V86" s="312"/>
      <c r="W86" s="312"/>
      <c r="X86" s="312"/>
      <c r="Y86" s="312"/>
      <c r="Z86" s="312"/>
      <c r="AA86" s="312"/>
      <c r="AB86" s="312"/>
      <c r="AC86" s="313"/>
      <c r="AE86" s="195">
        <v>75</v>
      </c>
      <c r="AF86" s="311"/>
      <c r="AG86" s="312"/>
      <c r="AH86" s="312"/>
      <c r="AI86" s="312"/>
      <c r="AJ86" s="312"/>
      <c r="AK86" s="312"/>
      <c r="AL86" s="312"/>
      <c r="AM86" s="312"/>
      <c r="AN86" s="312"/>
      <c r="AO86" s="312"/>
      <c r="AP86" s="312"/>
      <c r="AQ86" s="312"/>
      <c r="AR86" s="313"/>
      <c r="AT86" s="195">
        <v>75</v>
      </c>
      <c r="AU86" s="311"/>
      <c r="AV86" s="312"/>
      <c r="AW86" s="312"/>
      <c r="AX86" s="312"/>
      <c r="AY86" s="312"/>
      <c r="AZ86" s="312"/>
      <c r="BA86" s="312"/>
      <c r="BB86" s="312"/>
      <c r="BC86" s="312"/>
      <c r="BD86" s="312"/>
      <c r="BE86" s="312"/>
      <c r="BF86" s="312"/>
      <c r="BG86" s="313"/>
    </row>
    <row r="87" spans="1:59">
      <c r="A87" s="195">
        <v>76</v>
      </c>
      <c r="B87" s="311"/>
      <c r="C87" s="312"/>
      <c r="D87" s="312"/>
      <c r="E87" s="312"/>
      <c r="F87" s="312"/>
      <c r="G87" s="312"/>
      <c r="H87" s="312"/>
      <c r="I87" s="312"/>
      <c r="J87" s="312"/>
      <c r="K87" s="312"/>
      <c r="L87" s="312"/>
      <c r="M87" s="312"/>
      <c r="N87" s="313"/>
      <c r="P87" s="195">
        <v>76</v>
      </c>
      <c r="Q87" s="311"/>
      <c r="R87" s="312"/>
      <c r="S87" s="312"/>
      <c r="T87" s="312"/>
      <c r="U87" s="312"/>
      <c r="V87" s="312"/>
      <c r="W87" s="312"/>
      <c r="X87" s="312"/>
      <c r="Y87" s="312"/>
      <c r="Z87" s="312"/>
      <c r="AA87" s="312"/>
      <c r="AB87" s="312"/>
      <c r="AC87" s="313"/>
      <c r="AE87" s="195">
        <v>76</v>
      </c>
      <c r="AF87" s="311"/>
      <c r="AG87" s="312"/>
      <c r="AH87" s="312"/>
      <c r="AI87" s="312"/>
      <c r="AJ87" s="312"/>
      <c r="AK87" s="312"/>
      <c r="AL87" s="312"/>
      <c r="AM87" s="312"/>
      <c r="AN87" s="312"/>
      <c r="AO87" s="312"/>
      <c r="AP87" s="312"/>
      <c r="AQ87" s="312"/>
      <c r="AR87" s="313"/>
      <c r="AT87" s="195">
        <v>76</v>
      </c>
      <c r="AU87" s="311"/>
      <c r="AV87" s="312"/>
      <c r="AW87" s="312"/>
      <c r="AX87" s="312"/>
      <c r="AY87" s="312"/>
      <c r="AZ87" s="312"/>
      <c r="BA87" s="312"/>
      <c r="BB87" s="312"/>
      <c r="BC87" s="312"/>
      <c r="BD87" s="312"/>
      <c r="BE87" s="312"/>
      <c r="BF87" s="312"/>
      <c r="BG87" s="313"/>
    </row>
    <row r="88" spans="1:59">
      <c r="A88" s="195">
        <v>77</v>
      </c>
      <c r="B88" s="311"/>
      <c r="C88" s="312"/>
      <c r="D88" s="312"/>
      <c r="E88" s="312"/>
      <c r="F88" s="312"/>
      <c r="G88" s="312"/>
      <c r="H88" s="312"/>
      <c r="I88" s="312"/>
      <c r="J88" s="312"/>
      <c r="K88" s="312"/>
      <c r="L88" s="312"/>
      <c r="M88" s="312"/>
      <c r="N88" s="313"/>
      <c r="P88" s="195">
        <v>77</v>
      </c>
      <c r="Q88" s="311"/>
      <c r="R88" s="312"/>
      <c r="S88" s="312"/>
      <c r="T88" s="312"/>
      <c r="U88" s="312"/>
      <c r="V88" s="312"/>
      <c r="W88" s="312"/>
      <c r="X88" s="312"/>
      <c r="Y88" s="312"/>
      <c r="Z88" s="312"/>
      <c r="AA88" s="312"/>
      <c r="AB88" s="312"/>
      <c r="AC88" s="313"/>
      <c r="AE88" s="195">
        <v>77</v>
      </c>
      <c r="AF88" s="311"/>
      <c r="AG88" s="312"/>
      <c r="AH88" s="312"/>
      <c r="AI88" s="312"/>
      <c r="AJ88" s="312"/>
      <c r="AK88" s="312"/>
      <c r="AL88" s="312"/>
      <c r="AM88" s="312"/>
      <c r="AN88" s="312"/>
      <c r="AO88" s="312"/>
      <c r="AP88" s="312"/>
      <c r="AQ88" s="312"/>
      <c r="AR88" s="313"/>
      <c r="AT88" s="195">
        <v>77</v>
      </c>
      <c r="AU88" s="311"/>
      <c r="AV88" s="312"/>
      <c r="AW88" s="312"/>
      <c r="AX88" s="312"/>
      <c r="AY88" s="312"/>
      <c r="AZ88" s="312"/>
      <c r="BA88" s="312"/>
      <c r="BB88" s="312"/>
      <c r="BC88" s="312"/>
      <c r="BD88" s="312"/>
      <c r="BE88" s="312"/>
      <c r="BF88" s="312"/>
      <c r="BG88" s="313"/>
    </row>
    <row r="89" spans="1:59">
      <c r="A89" s="195">
        <v>78</v>
      </c>
      <c r="B89" s="311"/>
      <c r="C89" s="312"/>
      <c r="D89" s="312"/>
      <c r="E89" s="312"/>
      <c r="F89" s="312"/>
      <c r="G89" s="312"/>
      <c r="H89" s="312"/>
      <c r="I89" s="312"/>
      <c r="J89" s="312"/>
      <c r="K89" s="312"/>
      <c r="L89" s="312"/>
      <c r="M89" s="312"/>
      <c r="N89" s="313"/>
      <c r="P89" s="195">
        <v>78</v>
      </c>
      <c r="Q89" s="311"/>
      <c r="R89" s="312"/>
      <c r="S89" s="312"/>
      <c r="T89" s="312"/>
      <c r="U89" s="312"/>
      <c r="V89" s="312"/>
      <c r="W89" s="312"/>
      <c r="X89" s="312"/>
      <c r="Y89" s="312"/>
      <c r="Z89" s="312"/>
      <c r="AA89" s="312"/>
      <c r="AB89" s="312"/>
      <c r="AC89" s="313"/>
      <c r="AE89" s="195">
        <v>78</v>
      </c>
      <c r="AF89" s="311"/>
      <c r="AG89" s="312"/>
      <c r="AH89" s="312"/>
      <c r="AI89" s="312"/>
      <c r="AJ89" s="312"/>
      <c r="AK89" s="312"/>
      <c r="AL89" s="312"/>
      <c r="AM89" s="312"/>
      <c r="AN89" s="312"/>
      <c r="AO89" s="312"/>
      <c r="AP89" s="312"/>
      <c r="AQ89" s="312"/>
      <c r="AR89" s="313"/>
      <c r="AT89" s="195">
        <v>78</v>
      </c>
      <c r="AU89" s="311"/>
      <c r="AV89" s="312"/>
      <c r="AW89" s="312"/>
      <c r="AX89" s="312"/>
      <c r="AY89" s="312"/>
      <c r="AZ89" s="312"/>
      <c r="BA89" s="312"/>
      <c r="BB89" s="312"/>
      <c r="BC89" s="312"/>
      <c r="BD89" s="312"/>
      <c r="BE89" s="312"/>
      <c r="BF89" s="312"/>
      <c r="BG89" s="313"/>
    </row>
    <row r="90" spans="1:59">
      <c r="A90" s="195">
        <v>79</v>
      </c>
      <c r="B90" s="311"/>
      <c r="C90" s="312"/>
      <c r="D90" s="312"/>
      <c r="E90" s="312"/>
      <c r="F90" s="312"/>
      <c r="G90" s="312"/>
      <c r="H90" s="312"/>
      <c r="I90" s="312"/>
      <c r="J90" s="312"/>
      <c r="K90" s="312"/>
      <c r="L90" s="312"/>
      <c r="M90" s="312"/>
      <c r="N90" s="313"/>
      <c r="P90" s="195">
        <v>79</v>
      </c>
      <c r="Q90" s="311"/>
      <c r="R90" s="312"/>
      <c r="S90" s="312"/>
      <c r="T90" s="312"/>
      <c r="U90" s="312"/>
      <c r="V90" s="312"/>
      <c r="W90" s="312"/>
      <c r="X90" s="312"/>
      <c r="Y90" s="312"/>
      <c r="Z90" s="312"/>
      <c r="AA90" s="312"/>
      <c r="AB90" s="312"/>
      <c r="AC90" s="313"/>
      <c r="AE90" s="195">
        <v>79</v>
      </c>
      <c r="AF90" s="311"/>
      <c r="AG90" s="312"/>
      <c r="AH90" s="312"/>
      <c r="AI90" s="312"/>
      <c r="AJ90" s="312"/>
      <c r="AK90" s="312"/>
      <c r="AL90" s="312"/>
      <c r="AM90" s="312"/>
      <c r="AN90" s="312"/>
      <c r="AO90" s="312"/>
      <c r="AP90" s="312"/>
      <c r="AQ90" s="312"/>
      <c r="AR90" s="313"/>
      <c r="AT90" s="195">
        <v>79</v>
      </c>
      <c r="AU90" s="311"/>
      <c r="AV90" s="312"/>
      <c r="AW90" s="312"/>
      <c r="AX90" s="312"/>
      <c r="AY90" s="312"/>
      <c r="AZ90" s="312"/>
      <c r="BA90" s="312"/>
      <c r="BB90" s="312"/>
      <c r="BC90" s="312"/>
      <c r="BD90" s="312"/>
      <c r="BE90" s="312"/>
      <c r="BF90" s="312"/>
      <c r="BG90" s="313"/>
    </row>
    <row r="91" spans="1:59">
      <c r="A91" s="195">
        <v>80</v>
      </c>
      <c r="B91" s="311"/>
      <c r="C91" s="312"/>
      <c r="D91" s="312"/>
      <c r="E91" s="312"/>
      <c r="F91" s="312"/>
      <c r="G91" s="312"/>
      <c r="H91" s="312"/>
      <c r="I91" s="312"/>
      <c r="J91" s="312"/>
      <c r="K91" s="312"/>
      <c r="L91" s="312"/>
      <c r="M91" s="312"/>
      <c r="N91" s="313"/>
      <c r="P91" s="195">
        <v>80</v>
      </c>
      <c r="Q91" s="311"/>
      <c r="R91" s="312"/>
      <c r="S91" s="312"/>
      <c r="T91" s="312"/>
      <c r="U91" s="312"/>
      <c r="V91" s="312"/>
      <c r="W91" s="312"/>
      <c r="X91" s="312"/>
      <c r="Y91" s="312"/>
      <c r="Z91" s="312"/>
      <c r="AA91" s="312"/>
      <c r="AB91" s="312"/>
      <c r="AC91" s="313"/>
      <c r="AE91" s="195">
        <v>80</v>
      </c>
      <c r="AF91" s="311"/>
      <c r="AG91" s="312"/>
      <c r="AH91" s="312"/>
      <c r="AI91" s="312"/>
      <c r="AJ91" s="312"/>
      <c r="AK91" s="312"/>
      <c r="AL91" s="312"/>
      <c r="AM91" s="312"/>
      <c r="AN91" s="312"/>
      <c r="AO91" s="312"/>
      <c r="AP91" s="312"/>
      <c r="AQ91" s="312"/>
      <c r="AR91" s="313"/>
      <c r="AT91" s="195">
        <v>80</v>
      </c>
      <c r="AU91" s="311"/>
      <c r="AV91" s="312"/>
      <c r="AW91" s="312"/>
      <c r="AX91" s="312"/>
      <c r="AY91" s="312"/>
      <c r="AZ91" s="312"/>
      <c r="BA91" s="312"/>
      <c r="BB91" s="312"/>
      <c r="BC91" s="312"/>
      <c r="BD91" s="312"/>
      <c r="BE91" s="312"/>
      <c r="BF91" s="312"/>
      <c r="BG91" s="313"/>
    </row>
    <row r="92" spans="1:59">
      <c r="A92" s="195">
        <v>81</v>
      </c>
      <c r="B92" s="311"/>
      <c r="C92" s="312"/>
      <c r="D92" s="312"/>
      <c r="E92" s="312"/>
      <c r="F92" s="312"/>
      <c r="G92" s="312"/>
      <c r="H92" s="312"/>
      <c r="I92" s="312"/>
      <c r="J92" s="312"/>
      <c r="K92" s="312"/>
      <c r="L92" s="312"/>
      <c r="M92" s="312"/>
      <c r="N92" s="313"/>
      <c r="P92" s="195">
        <v>81</v>
      </c>
      <c r="Q92" s="311"/>
      <c r="R92" s="312"/>
      <c r="S92" s="312"/>
      <c r="T92" s="312"/>
      <c r="U92" s="312"/>
      <c r="V92" s="312"/>
      <c r="W92" s="312"/>
      <c r="X92" s="312"/>
      <c r="Y92" s="312"/>
      <c r="Z92" s="312"/>
      <c r="AA92" s="312"/>
      <c r="AB92" s="312"/>
      <c r="AC92" s="313"/>
      <c r="AE92" s="195">
        <v>81</v>
      </c>
      <c r="AF92" s="311"/>
      <c r="AG92" s="312"/>
      <c r="AH92" s="312"/>
      <c r="AI92" s="312"/>
      <c r="AJ92" s="312"/>
      <c r="AK92" s="312"/>
      <c r="AL92" s="312"/>
      <c r="AM92" s="312"/>
      <c r="AN92" s="312"/>
      <c r="AO92" s="312"/>
      <c r="AP92" s="312"/>
      <c r="AQ92" s="312"/>
      <c r="AR92" s="313"/>
      <c r="AT92" s="195">
        <v>81</v>
      </c>
      <c r="AU92" s="311"/>
      <c r="AV92" s="312"/>
      <c r="AW92" s="312"/>
      <c r="AX92" s="312"/>
      <c r="AY92" s="312"/>
      <c r="AZ92" s="312"/>
      <c r="BA92" s="312"/>
      <c r="BB92" s="312"/>
      <c r="BC92" s="312"/>
      <c r="BD92" s="312"/>
      <c r="BE92" s="312"/>
      <c r="BF92" s="312"/>
      <c r="BG92" s="313"/>
    </row>
    <row r="93" spans="1:59">
      <c r="A93" s="195">
        <v>82</v>
      </c>
      <c r="B93" s="311"/>
      <c r="C93" s="312"/>
      <c r="D93" s="312"/>
      <c r="E93" s="312"/>
      <c r="F93" s="312"/>
      <c r="G93" s="312"/>
      <c r="H93" s="312"/>
      <c r="I93" s="312"/>
      <c r="J93" s="312"/>
      <c r="K93" s="312"/>
      <c r="L93" s="312"/>
      <c r="M93" s="312"/>
      <c r="N93" s="313"/>
      <c r="P93" s="195">
        <v>82</v>
      </c>
      <c r="Q93" s="311"/>
      <c r="R93" s="312"/>
      <c r="S93" s="312"/>
      <c r="T93" s="312"/>
      <c r="U93" s="312"/>
      <c r="V93" s="312"/>
      <c r="W93" s="312"/>
      <c r="X93" s="312"/>
      <c r="Y93" s="312"/>
      <c r="Z93" s="312"/>
      <c r="AA93" s="312"/>
      <c r="AB93" s="312"/>
      <c r="AC93" s="313"/>
      <c r="AE93" s="195">
        <v>82</v>
      </c>
      <c r="AF93" s="311"/>
      <c r="AG93" s="312"/>
      <c r="AH93" s="312"/>
      <c r="AI93" s="312"/>
      <c r="AJ93" s="312"/>
      <c r="AK93" s="312"/>
      <c r="AL93" s="312"/>
      <c r="AM93" s="312"/>
      <c r="AN93" s="312"/>
      <c r="AO93" s="312"/>
      <c r="AP93" s="312"/>
      <c r="AQ93" s="312"/>
      <c r="AR93" s="313"/>
      <c r="AT93" s="195">
        <v>82</v>
      </c>
      <c r="AU93" s="311"/>
      <c r="AV93" s="312"/>
      <c r="AW93" s="312"/>
      <c r="AX93" s="312"/>
      <c r="AY93" s="312"/>
      <c r="AZ93" s="312"/>
      <c r="BA93" s="312"/>
      <c r="BB93" s="312"/>
      <c r="BC93" s="312"/>
      <c r="BD93" s="312"/>
      <c r="BE93" s="312"/>
      <c r="BF93" s="312"/>
      <c r="BG93" s="313"/>
    </row>
    <row r="94" spans="1:59">
      <c r="A94" s="195">
        <v>83</v>
      </c>
      <c r="B94" s="311"/>
      <c r="C94" s="312"/>
      <c r="D94" s="312"/>
      <c r="E94" s="312"/>
      <c r="F94" s="312"/>
      <c r="G94" s="312"/>
      <c r="H94" s="312"/>
      <c r="I94" s="312"/>
      <c r="J94" s="312"/>
      <c r="K94" s="312"/>
      <c r="L94" s="312"/>
      <c r="M94" s="312"/>
      <c r="N94" s="313"/>
      <c r="P94" s="195">
        <v>83</v>
      </c>
      <c r="Q94" s="311"/>
      <c r="R94" s="312"/>
      <c r="S94" s="312"/>
      <c r="T94" s="312"/>
      <c r="U94" s="312"/>
      <c r="V94" s="312"/>
      <c r="W94" s="312"/>
      <c r="X94" s="312"/>
      <c r="Y94" s="312"/>
      <c r="Z94" s="312"/>
      <c r="AA94" s="312"/>
      <c r="AB94" s="312"/>
      <c r="AC94" s="313"/>
      <c r="AE94" s="195">
        <v>83</v>
      </c>
      <c r="AF94" s="311"/>
      <c r="AG94" s="312"/>
      <c r="AH94" s="312"/>
      <c r="AI94" s="312"/>
      <c r="AJ94" s="312"/>
      <c r="AK94" s="312"/>
      <c r="AL94" s="312"/>
      <c r="AM94" s="312"/>
      <c r="AN94" s="312"/>
      <c r="AO94" s="312"/>
      <c r="AP94" s="312"/>
      <c r="AQ94" s="312"/>
      <c r="AR94" s="313"/>
      <c r="AT94" s="195">
        <v>83</v>
      </c>
      <c r="AU94" s="311"/>
      <c r="AV94" s="312"/>
      <c r="AW94" s="312"/>
      <c r="AX94" s="312"/>
      <c r="AY94" s="312"/>
      <c r="AZ94" s="312"/>
      <c r="BA94" s="312"/>
      <c r="BB94" s="312"/>
      <c r="BC94" s="312"/>
      <c r="BD94" s="312"/>
      <c r="BE94" s="312"/>
      <c r="BF94" s="312"/>
      <c r="BG94" s="313"/>
    </row>
    <row r="95" spans="1:59">
      <c r="A95" s="195">
        <v>84</v>
      </c>
      <c r="B95" s="311"/>
      <c r="C95" s="312"/>
      <c r="D95" s="312"/>
      <c r="E95" s="312"/>
      <c r="F95" s="312"/>
      <c r="G95" s="312"/>
      <c r="H95" s="312"/>
      <c r="I95" s="312"/>
      <c r="J95" s="312"/>
      <c r="K95" s="312"/>
      <c r="L95" s="312"/>
      <c r="M95" s="312"/>
      <c r="N95" s="313"/>
      <c r="P95" s="195">
        <v>84</v>
      </c>
      <c r="Q95" s="311"/>
      <c r="R95" s="312"/>
      <c r="S95" s="312"/>
      <c r="T95" s="312"/>
      <c r="U95" s="312"/>
      <c r="V95" s="312"/>
      <c r="W95" s="312"/>
      <c r="X95" s="312"/>
      <c r="Y95" s="312"/>
      <c r="Z95" s="312"/>
      <c r="AA95" s="312"/>
      <c r="AB95" s="312"/>
      <c r="AC95" s="313"/>
      <c r="AE95" s="195">
        <v>84</v>
      </c>
      <c r="AF95" s="311"/>
      <c r="AG95" s="312"/>
      <c r="AH95" s="312"/>
      <c r="AI95" s="312"/>
      <c r="AJ95" s="312"/>
      <c r="AK95" s="312"/>
      <c r="AL95" s="312"/>
      <c r="AM95" s="312"/>
      <c r="AN95" s="312"/>
      <c r="AO95" s="312"/>
      <c r="AP95" s="312"/>
      <c r="AQ95" s="312"/>
      <c r="AR95" s="313"/>
      <c r="AT95" s="195">
        <v>84</v>
      </c>
      <c r="AU95" s="311"/>
      <c r="AV95" s="312"/>
      <c r="AW95" s="312"/>
      <c r="AX95" s="312"/>
      <c r="AY95" s="312"/>
      <c r="AZ95" s="312"/>
      <c r="BA95" s="312"/>
      <c r="BB95" s="312"/>
      <c r="BC95" s="312"/>
      <c r="BD95" s="312"/>
      <c r="BE95" s="312"/>
      <c r="BF95" s="312"/>
      <c r="BG95" s="313"/>
    </row>
    <row r="96" spans="1:59">
      <c r="A96" s="195">
        <v>85</v>
      </c>
      <c r="B96" s="311"/>
      <c r="C96" s="312"/>
      <c r="D96" s="312"/>
      <c r="E96" s="312"/>
      <c r="F96" s="312"/>
      <c r="G96" s="312"/>
      <c r="H96" s="312"/>
      <c r="I96" s="312"/>
      <c r="J96" s="312"/>
      <c r="K96" s="312"/>
      <c r="L96" s="312"/>
      <c r="M96" s="312"/>
      <c r="N96" s="313"/>
      <c r="P96" s="195">
        <v>85</v>
      </c>
      <c r="Q96" s="311"/>
      <c r="R96" s="312"/>
      <c r="S96" s="312"/>
      <c r="T96" s="312"/>
      <c r="U96" s="312"/>
      <c r="V96" s="312"/>
      <c r="W96" s="312"/>
      <c r="X96" s="312"/>
      <c r="Y96" s="312"/>
      <c r="Z96" s="312"/>
      <c r="AA96" s="312"/>
      <c r="AB96" s="312"/>
      <c r="AC96" s="313"/>
      <c r="AE96" s="195">
        <v>85</v>
      </c>
      <c r="AF96" s="311"/>
      <c r="AG96" s="312"/>
      <c r="AH96" s="312"/>
      <c r="AI96" s="312"/>
      <c r="AJ96" s="312"/>
      <c r="AK96" s="312"/>
      <c r="AL96" s="312"/>
      <c r="AM96" s="312"/>
      <c r="AN96" s="312"/>
      <c r="AO96" s="312"/>
      <c r="AP96" s="312"/>
      <c r="AQ96" s="312"/>
      <c r="AR96" s="313"/>
      <c r="AT96" s="195">
        <v>85</v>
      </c>
      <c r="AU96" s="311"/>
      <c r="AV96" s="312"/>
      <c r="AW96" s="312"/>
      <c r="AX96" s="312"/>
      <c r="AY96" s="312"/>
      <c r="AZ96" s="312"/>
      <c r="BA96" s="312"/>
      <c r="BB96" s="312"/>
      <c r="BC96" s="312"/>
      <c r="BD96" s="312"/>
      <c r="BE96" s="312"/>
      <c r="BF96" s="312"/>
      <c r="BG96" s="313"/>
    </row>
    <row r="97" spans="1:59">
      <c r="A97" s="195">
        <v>86</v>
      </c>
      <c r="B97" s="311"/>
      <c r="C97" s="312"/>
      <c r="D97" s="312"/>
      <c r="E97" s="312"/>
      <c r="F97" s="312"/>
      <c r="G97" s="312"/>
      <c r="H97" s="312"/>
      <c r="I97" s="312"/>
      <c r="J97" s="312"/>
      <c r="K97" s="312"/>
      <c r="L97" s="312"/>
      <c r="M97" s="312"/>
      <c r="N97" s="313"/>
      <c r="P97" s="195">
        <v>86</v>
      </c>
      <c r="Q97" s="311"/>
      <c r="R97" s="312"/>
      <c r="S97" s="312"/>
      <c r="T97" s="312"/>
      <c r="U97" s="312"/>
      <c r="V97" s="312"/>
      <c r="W97" s="312"/>
      <c r="X97" s="312"/>
      <c r="Y97" s="312"/>
      <c r="Z97" s="312"/>
      <c r="AA97" s="312"/>
      <c r="AB97" s="312"/>
      <c r="AC97" s="313"/>
      <c r="AE97" s="195">
        <v>86</v>
      </c>
      <c r="AF97" s="311"/>
      <c r="AG97" s="312"/>
      <c r="AH97" s="312"/>
      <c r="AI97" s="312"/>
      <c r="AJ97" s="312"/>
      <c r="AK97" s="312"/>
      <c r="AL97" s="312"/>
      <c r="AM97" s="312"/>
      <c r="AN97" s="312"/>
      <c r="AO97" s="312"/>
      <c r="AP97" s="312"/>
      <c r="AQ97" s="312"/>
      <c r="AR97" s="313"/>
      <c r="AT97" s="195">
        <v>86</v>
      </c>
      <c r="AU97" s="311"/>
      <c r="AV97" s="312"/>
      <c r="AW97" s="312"/>
      <c r="AX97" s="312"/>
      <c r="AY97" s="312"/>
      <c r="AZ97" s="312"/>
      <c r="BA97" s="312"/>
      <c r="BB97" s="312"/>
      <c r="BC97" s="312"/>
      <c r="BD97" s="312"/>
      <c r="BE97" s="312"/>
      <c r="BF97" s="312"/>
      <c r="BG97" s="313"/>
    </row>
    <row r="98" spans="1:59">
      <c r="A98" s="195">
        <v>87</v>
      </c>
      <c r="B98" s="311"/>
      <c r="C98" s="312"/>
      <c r="D98" s="312"/>
      <c r="E98" s="312"/>
      <c r="F98" s="312"/>
      <c r="G98" s="312"/>
      <c r="H98" s="312"/>
      <c r="I98" s="312"/>
      <c r="J98" s="312"/>
      <c r="K98" s="312"/>
      <c r="L98" s="312"/>
      <c r="M98" s="312"/>
      <c r="N98" s="313"/>
      <c r="P98" s="195">
        <v>87</v>
      </c>
      <c r="Q98" s="311"/>
      <c r="R98" s="312"/>
      <c r="S98" s="312"/>
      <c r="T98" s="312"/>
      <c r="U98" s="312"/>
      <c r="V98" s="312"/>
      <c r="W98" s="312"/>
      <c r="X98" s="312"/>
      <c r="Y98" s="312"/>
      <c r="Z98" s="312"/>
      <c r="AA98" s="312"/>
      <c r="AB98" s="312"/>
      <c r="AC98" s="313"/>
      <c r="AE98" s="195">
        <v>87</v>
      </c>
      <c r="AF98" s="311"/>
      <c r="AG98" s="312"/>
      <c r="AH98" s="312"/>
      <c r="AI98" s="312"/>
      <c r="AJ98" s="312"/>
      <c r="AK98" s="312"/>
      <c r="AL98" s="312"/>
      <c r="AM98" s="312"/>
      <c r="AN98" s="312"/>
      <c r="AO98" s="312"/>
      <c r="AP98" s="312"/>
      <c r="AQ98" s="312"/>
      <c r="AR98" s="313"/>
      <c r="AT98" s="195">
        <v>87</v>
      </c>
      <c r="AU98" s="311"/>
      <c r="AV98" s="312"/>
      <c r="AW98" s="312"/>
      <c r="AX98" s="312"/>
      <c r="AY98" s="312"/>
      <c r="AZ98" s="312"/>
      <c r="BA98" s="312"/>
      <c r="BB98" s="312"/>
      <c r="BC98" s="312"/>
      <c r="BD98" s="312"/>
      <c r="BE98" s="312"/>
      <c r="BF98" s="312"/>
      <c r="BG98" s="313"/>
    </row>
    <row r="99" spans="1:59">
      <c r="A99" s="195">
        <v>88</v>
      </c>
      <c r="B99" s="311"/>
      <c r="C99" s="312"/>
      <c r="D99" s="312"/>
      <c r="E99" s="312"/>
      <c r="F99" s="312"/>
      <c r="G99" s="312"/>
      <c r="H99" s="312"/>
      <c r="I99" s="312"/>
      <c r="J99" s="312"/>
      <c r="K99" s="312"/>
      <c r="L99" s="312"/>
      <c r="M99" s="312"/>
      <c r="N99" s="313"/>
      <c r="P99" s="195">
        <v>88</v>
      </c>
      <c r="Q99" s="311"/>
      <c r="R99" s="312"/>
      <c r="S99" s="312"/>
      <c r="T99" s="312"/>
      <c r="U99" s="312"/>
      <c r="V99" s="312"/>
      <c r="W99" s="312"/>
      <c r="X99" s="312"/>
      <c r="Y99" s="312"/>
      <c r="Z99" s="312"/>
      <c r="AA99" s="312"/>
      <c r="AB99" s="312"/>
      <c r="AC99" s="313"/>
      <c r="AE99" s="195">
        <v>88</v>
      </c>
      <c r="AF99" s="311"/>
      <c r="AG99" s="312"/>
      <c r="AH99" s="312"/>
      <c r="AI99" s="312"/>
      <c r="AJ99" s="312"/>
      <c r="AK99" s="312"/>
      <c r="AL99" s="312"/>
      <c r="AM99" s="312"/>
      <c r="AN99" s="312"/>
      <c r="AO99" s="312"/>
      <c r="AP99" s="312"/>
      <c r="AQ99" s="312"/>
      <c r="AR99" s="313"/>
      <c r="AT99" s="195">
        <v>88</v>
      </c>
      <c r="AU99" s="311"/>
      <c r="AV99" s="312"/>
      <c r="AW99" s="312"/>
      <c r="AX99" s="312"/>
      <c r="AY99" s="312"/>
      <c r="AZ99" s="312"/>
      <c r="BA99" s="312"/>
      <c r="BB99" s="312"/>
      <c r="BC99" s="312"/>
      <c r="BD99" s="312"/>
      <c r="BE99" s="312"/>
      <c r="BF99" s="312"/>
      <c r="BG99" s="313"/>
    </row>
    <row r="100" spans="1:59">
      <c r="A100" s="195">
        <v>89</v>
      </c>
      <c r="B100" s="311"/>
      <c r="C100" s="312"/>
      <c r="D100" s="312"/>
      <c r="E100" s="312"/>
      <c r="F100" s="312"/>
      <c r="G100" s="312"/>
      <c r="H100" s="312"/>
      <c r="I100" s="312"/>
      <c r="J100" s="312"/>
      <c r="K100" s="312"/>
      <c r="L100" s="312"/>
      <c r="M100" s="312"/>
      <c r="N100" s="313"/>
      <c r="P100" s="195">
        <v>89</v>
      </c>
      <c r="Q100" s="311"/>
      <c r="R100" s="312"/>
      <c r="S100" s="312"/>
      <c r="T100" s="312"/>
      <c r="U100" s="312"/>
      <c r="V100" s="312"/>
      <c r="W100" s="312"/>
      <c r="X100" s="312"/>
      <c r="Y100" s="312"/>
      <c r="Z100" s="312"/>
      <c r="AA100" s="312"/>
      <c r="AB100" s="312"/>
      <c r="AC100" s="313"/>
      <c r="AE100" s="195">
        <v>89</v>
      </c>
      <c r="AF100" s="311"/>
      <c r="AG100" s="312"/>
      <c r="AH100" s="312"/>
      <c r="AI100" s="312"/>
      <c r="AJ100" s="312"/>
      <c r="AK100" s="312"/>
      <c r="AL100" s="312"/>
      <c r="AM100" s="312"/>
      <c r="AN100" s="312"/>
      <c r="AO100" s="312"/>
      <c r="AP100" s="312"/>
      <c r="AQ100" s="312"/>
      <c r="AR100" s="313"/>
      <c r="AT100" s="195">
        <v>89</v>
      </c>
      <c r="AU100" s="311"/>
      <c r="AV100" s="312"/>
      <c r="AW100" s="312"/>
      <c r="AX100" s="312"/>
      <c r="AY100" s="312"/>
      <c r="AZ100" s="312"/>
      <c r="BA100" s="312"/>
      <c r="BB100" s="312"/>
      <c r="BC100" s="312"/>
      <c r="BD100" s="312"/>
      <c r="BE100" s="312"/>
      <c r="BF100" s="312"/>
      <c r="BG100" s="313"/>
    </row>
    <row r="101" spans="1:59">
      <c r="A101" s="195">
        <v>90</v>
      </c>
      <c r="B101" s="311"/>
      <c r="C101" s="312"/>
      <c r="D101" s="312"/>
      <c r="E101" s="312"/>
      <c r="F101" s="312"/>
      <c r="G101" s="312"/>
      <c r="H101" s="312"/>
      <c r="I101" s="312"/>
      <c r="J101" s="312"/>
      <c r="K101" s="312"/>
      <c r="L101" s="312"/>
      <c r="M101" s="312"/>
      <c r="N101" s="313"/>
      <c r="P101" s="195">
        <v>90</v>
      </c>
      <c r="Q101" s="311"/>
      <c r="R101" s="312"/>
      <c r="S101" s="312"/>
      <c r="T101" s="312"/>
      <c r="U101" s="312"/>
      <c r="V101" s="312"/>
      <c r="W101" s="312"/>
      <c r="X101" s="312"/>
      <c r="Y101" s="312"/>
      <c r="Z101" s="312"/>
      <c r="AA101" s="312"/>
      <c r="AB101" s="312"/>
      <c r="AC101" s="313"/>
      <c r="AE101" s="195">
        <v>90</v>
      </c>
      <c r="AF101" s="311"/>
      <c r="AG101" s="312"/>
      <c r="AH101" s="312"/>
      <c r="AI101" s="312"/>
      <c r="AJ101" s="312"/>
      <c r="AK101" s="312"/>
      <c r="AL101" s="312"/>
      <c r="AM101" s="312"/>
      <c r="AN101" s="312"/>
      <c r="AO101" s="312"/>
      <c r="AP101" s="312"/>
      <c r="AQ101" s="312"/>
      <c r="AR101" s="313"/>
      <c r="AT101" s="195">
        <v>90</v>
      </c>
      <c r="AU101" s="311"/>
      <c r="AV101" s="312"/>
      <c r="AW101" s="312"/>
      <c r="AX101" s="312"/>
      <c r="AY101" s="312"/>
      <c r="AZ101" s="312"/>
      <c r="BA101" s="312"/>
      <c r="BB101" s="312"/>
      <c r="BC101" s="312"/>
      <c r="BD101" s="312"/>
      <c r="BE101" s="312"/>
      <c r="BF101" s="312"/>
      <c r="BG101" s="313"/>
    </row>
    <row r="102" spans="1:59">
      <c r="A102" s="195">
        <v>91</v>
      </c>
      <c r="B102" s="311"/>
      <c r="C102" s="312"/>
      <c r="D102" s="312"/>
      <c r="E102" s="312"/>
      <c r="F102" s="312"/>
      <c r="G102" s="312"/>
      <c r="H102" s="312"/>
      <c r="I102" s="312"/>
      <c r="J102" s="312"/>
      <c r="K102" s="312"/>
      <c r="L102" s="312"/>
      <c r="M102" s="312"/>
      <c r="N102" s="313"/>
      <c r="P102" s="195">
        <v>91</v>
      </c>
      <c r="Q102" s="311"/>
      <c r="R102" s="312"/>
      <c r="S102" s="312"/>
      <c r="T102" s="312"/>
      <c r="U102" s="312"/>
      <c r="V102" s="312"/>
      <c r="W102" s="312"/>
      <c r="X102" s="312"/>
      <c r="Y102" s="312"/>
      <c r="Z102" s="312"/>
      <c r="AA102" s="312"/>
      <c r="AB102" s="312"/>
      <c r="AC102" s="313"/>
      <c r="AE102" s="195">
        <v>91</v>
      </c>
      <c r="AF102" s="311"/>
      <c r="AG102" s="312"/>
      <c r="AH102" s="312"/>
      <c r="AI102" s="312"/>
      <c r="AJ102" s="312"/>
      <c r="AK102" s="312"/>
      <c r="AL102" s="312"/>
      <c r="AM102" s="312"/>
      <c r="AN102" s="312"/>
      <c r="AO102" s="312"/>
      <c r="AP102" s="312"/>
      <c r="AQ102" s="312"/>
      <c r="AR102" s="313"/>
      <c r="AT102" s="195">
        <v>91</v>
      </c>
      <c r="AU102" s="311"/>
      <c r="AV102" s="312"/>
      <c r="AW102" s="312"/>
      <c r="AX102" s="312"/>
      <c r="AY102" s="312"/>
      <c r="AZ102" s="312"/>
      <c r="BA102" s="312"/>
      <c r="BB102" s="312"/>
      <c r="BC102" s="312"/>
      <c r="BD102" s="312"/>
      <c r="BE102" s="312"/>
      <c r="BF102" s="312"/>
      <c r="BG102" s="313"/>
    </row>
    <row r="103" spans="1:59">
      <c r="A103" s="195">
        <v>92</v>
      </c>
      <c r="B103" s="311"/>
      <c r="C103" s="312"/>
      <c r="D103" s="312"/>
      <c r="E103" s="312"/>
      <c r="F103" s="312"/>
      <c r="G103" s="312"/>
      <c r="H103" s="312"/>
      <c r="I103" s="312"/>
      <c r="J103" s="312"/>
      <c r="K103" s="312"/>
      <c r="L103" s="312"/>
      <c r="M103" s="312"/>
      <c r="N103" s="313"/>
      <c r="P103" s="195">
        <v>92</v>
      </c>
      <c r="Q103" s="311"/>
      <c r="R103" s="312"/>
      <c r="S103" s="312"/>
      <c r="T103" s="312"/>
      <c r="U103" s="312"/>
      <c r="V103" s="312"/>
      <c r="W103" s="312"/>
      <c r="X103" s="312"/>
      <c r="Y103" s="312"/>
      <c r="Z103" s="312"/>
      <c r="AA103" s="312"/>
      <c r="AB103" s="312"/>
      <c r="AC103" s="313"/>
      <c r="AE103" s="195">
        <v>92</v>
      </c>
      <c r="AF103" s="311"/>
      <c r="AG103" s="312"/>
      <c r="AH103" s="312"/>
      <c r="AI103" s="312"/>
      <c r="AJ103" s="312"/>
      <c r="AK103" s="312"/>
      <c r="AL103" s="312"/>
      <c r="AM103" s="312"/>
      <c r="AN103" s="312"/>
      <c r="AO103" s="312"/>
      <c r="AP103" s="312"/>
      <c r="AQ103" s="312"/>
      <c r="AR103" s="313"/>
      <c r="AT103" s="195">
        <v>92</v>
      </c>
      <c r="AU103" s="311"/>
      <c r="AV103" s="312"/>
      <c r="AW103" s="312"/>
      <c r="AX103" s="312"/>
      <c r="AY103" s="312"/>
      <c r="AZ103" s="312"/>
      <c r="BA103" s="312"/>
      <c r="BB103" s="312"/>
      <c r="BC103" s="312"/>
      <c r="BD103" s="312"/>
      <c r="BE103" s="312"/>
      <c r="BF103" s="312"/>
      <c r="BG103" s="313"/>
    </row>
    <row r="104" spans="1:59">
      <c r="A104" s="195">
        <v>93</v>
      </c>
      <c r="B104" s="311"/>
      <c r="C104" s="312"/>
      <c r="D104" s="312"/>
      <c r="E104" s="312"/>
      <c r="F104" s="312"/>
      <c r="G104" s="312"/>
      <c r="H104" s="312"/>
      <c r="I104" s="312"/>
      <c r="J104" s="312"/>
      <c r="K104" s="312"/>
      <c r="L104" s="312"/>
      <c r="M104" s="312"/>
      <c r="N104" s="313"/>
      <c r="P104" s="195">
        <v>93</v>
      </c>
      <c r="Q104" s="311"/>
      <c r="R104" s="312"/>
      <c r="S104" s="312"/>
      <c r="T104" s="312"/>
      <c r="U104" s="312"/>
      <c r="V104" s="312"/>
      <c r="W104" s="312"/>
      <c r="X104" s="312"/>
      <c r="Y104" s="312"/>
      <c r="Z104" s="312"/>
      <c r="AA104" s="312"/>
      <c r="AB104" s="312"/>
      <c r="AC104" s="313"/>
      <c r="AE104" s="195">
        <v>93</v>
      </c>
      <c r="AF104" s="311"/>
      <c r="AG104" s="312"/>
      <c r="AH104" s="312"/>
      <c r="AI104" s="312"/>
      <c r="AJ104" s="312"/>
      <c r="AK104" s="312"/>
      <c r="AL104" s="312"/>
      <c r="AM104" s="312"/>
      <c r="AN104" s="312"/>
      <c r="AO104" s="312"/>
      <c r="AP104" s="312"/>
      <c r="AQ104" s="312"/>
      <c r="AR104" s="313"/>
      <c r="AT104" s="195">
        <v>93</v>
      </c>
      <c r="AU104" s="311"/>
      <c r="AV104" s="312"/>
      <c r="AW104" s="312"/>
      <c r="AX104" s="312"/>
      <c r="AY104" s="312"/>
      <c r="AZ104" s="312"/>
      <c r="BA104" s="312"/>
      <c r="BB104" s="312"/>
      <c r="BC104" s="312"/>
      <c r="BD104" s="312"/>
      <c r="BE104" s="312"/>
      <c r="BF104" s="312"/>
      <c r="BG104" s="313"/>
    </row>
    <row r="105" spans="1:59">
      <c r="A105" s="195">
        <v>94</v>
      </c>
      <c r="B105" s="311"/>
      <c r="C105" s="312"/>
      <c r="D105" s="312"/>
      <c r="E105" s="312"/>
      <c r="F105" s="312"/>
      <c r="G105" s="312"/>
      <c r="H105" s="312"/>
      <c r="I105" s="312"/>
      <c r="J105" s="312"/>
      <c r="K105" s="312"/>
      <c r="L105" s="312"/>
      <c r="M105" s="312"/>
      <c r="N105" s="313"/>
      <c r="P105" s="195">
        <v>94</v>
      </c>
      <c r="Q105" s="311"/>
      <c r="R105" s="312"/>
      <c r="S105" s="312"/>
      <c r="T105" s="312"/>
      <c r="U105" s="312"/>
      <c r="V105" s="312"/>
      <c r="W105" s="312"/>
      <c r="X105" s="312"/>
      <c r="Y105" s="312"/>
      <c r="Z105" s="312"/>
      <c r="AA105" s="312"/>
      <c r="AB105" s="312"/>
      <c r="AC105" s="313"/>
      <c r="AE105" s="195">
        <v>94</v>
      </c>
      <c r="AF105" s="311"/>
      <c r="AG105" s="312"/>
      <c r="AH105" s="312"/>
      <c r="AI105" s="312"/>
      <c r="AJ105" s="312"/>
      <c r="AK105" s="312"/>
      <c r="AL105" s="312"/>
      <c r="AM105" s="312"/>
      <c r="AN105" s="312"/>
      <c r="AO105" s="312"/>
      <c r="AP105" s="312"/>
      <c r="AQ105" s="312"/>
      <c r="AR105" s="313"/>
      <c r="AT105" s="195">
        <v>94</v>
      </c>
      <c r="AU105" s="311"/>
      <c r="AV105" s="312"/>
      <c r="AW105" s="312"/>
      <c r="AX105" s="312"/>
      <c r="AY105" s="312"/>
      <c r="AZ105" s="312"/>
      <c r="BA105" s="312"/>
      <c r="BB105" s="312"/>
      <c r="BC105" s="312"/>
      <c r="BD105" s="312"/>
      <c r="BE105" s="312"/>
      <c r="BF105" s="312"/>
      <c r="BG105" s="313"/>
    </row>
    <row r="106" spans="1:59">
      <c r="A106" s="195">
        <v>95</v>
      </c>
      <c r="B106" s="311"/>
      <c r="C106" s="312"/>
      <c r="D106" s="312"/>
      <c r="E106" s="312"/>
      <c r="F106" s="312"/>
      <c r="G106" s="312"/>
      <c r="H106" s="312"/>
      <c r="I106" s="312"/>
      <c r="J106" s="312"/>
      <c r="K106" s="312"/>
      <c r="L106" s="312"/>
      <c r="M106" s="312"/>
      <c r="N106" s="313"/>
      <c r="P106" s="195">
        <v>95</v>
      </c>
      <c r="Q106" s="311"/>
      <c r="R106" s="312"/>
      <c r="S106" s="312"/>
      <c r="T106" s="312"/>
      <c r="U106" s="312"/>
      <c r="V106" s="312"/>
      <c r="W106" s="312"/>
      <c r="X106" s="312"/>
      <c r="Y106" s="312"/>
      <c r="Z106" s="312"/>
      <c r="AA106" s="312"/>
      <c r="AB106" s="312"/>
      <c r="AC106" s="313"/>
      <c r="AE106" s="195">
        <v>95</v>
      </c>
      <c r="AF106" s="311"/>
      <c r="AG106" s="312"/>
      <c r="AH106" s="312"/>
      <c r="AI106" s="312"/>
      <c r="AJ106" s="312"/>
      <c r="AK106" s="312"/>
      <c r="AL106" s="312"/>
      <c r="AM106" s="312"/>
      <c r="AN106" s="312"/>
      <c r="AO106" s="312"/>
      <c r="AP106" s="312"/>
      <c r="AQ106" s="312"/>
      <c r="AR106" s="313"/>
      <c r="AT106" s="195">
        <v>95</v>
      </c>
      <c r="AU106" s="311"/>
      <c r="AV106" s="312"/>
      <c r="AW106" s="312"/>
      <c r="AX106" s="312"/>
      <c r="AY106" s="312"/>
      <c r="AZ106" s="312"/>
      <c r="BA106" s="312"/>
      <c r="BB106" s="312"/>
      <c r="BC106" s="312"/>
      <c r="BD106" s="312"/>
      <c r="BE106" s="312"/>
      <c r="BF106" s="312"/>
      <c r="BG106" s="313"/>
    </row>
    <row r="107" spans="1:59">
      <c r="A107" s="195">
        <v>96</v>
      </c>
      <c r="B107" s="311"/>
      <c r="C107" s="312"/>
      <c r="D107" s="312"/>
      <c r="E107" s="312"/>
      <c r="F107" s="312"/>
      <c r="G107" s="312"/>
      <c r="H107" s="312"/>
      <c r="I107" s="312"/>
      <c r="J107" s="312"/>
      <c r="K107" s="312"/>
      <c r="L107" s="312"/>
      <c r="M107" s="312"/>
      <c r="N107" s="313"/>
      <c r="P107" s="195">
        <v>96</v>
      </c>
      <c r="Q107" s="311"/>
      <c r="R107" s="312"/>
      <c r="S107" s="312"/>
      <c r="T107" s="312"/>
      <c r="U107" s="312"/>
      <c r="V107" s="312"/>
      <c r="W107" s="312"/>
      <c r="X107" s="312"/>
      <c r="Y107" s="312"/>
      <c r="Z107" s="312"/>
      <c r="AA107" s="312"/>
      <c r="AB107" s="312"/>
      <c r="AC107" s="313"/>
      <c r="AE107" s="195">
        <v>96</v>
      </c>
      <c r="AF107" s="311"/>
      <c r="AG107" s="312"/>
      <c r="AH107" s="312"/>
      <c r="AI107" s="312"/>
      <c r="AJ107" s="312"/>
      <c r="AK107" s="312"/>
      <c r="AL107" s="312"/>
      <c r="AM107" s="312"/>
      <c r="AN107" s="312"/>
      <c r="AO107" s="312"/>
      <c r="AP107" s="312"/>
      <c r="AQ107" s="312"/>
      <c r="AR107" s="313"/>
      <c r="AT107" s="195">
        <v>96</v>
      </c>
      <c r="AU107" s="311"/>
      <c r="AV107" s="312"/>
      <c r="AW107" s="312"/>
      <c r="AX107" s="312"/>
      <c r="AY107" s="312"/>
      <c r="AZ107" s="312"/>
      <c r="BA107" s="312"/>
      <c r="BB107" s="312"/>
      <c r="BC107" s="312"/>
      <c r="BD107" s="312"/>
      <c r="BE107" s="312"/>
      <c r="BF107" s="312"/>
      <c r="BG107" s="313"/>
    </row>
    <row r="108" spans="1:59">
      <c r="A108" s="195">
        <v>97</v>
      </c>
      <c r="B108" s="311"/>
      <c r="C108" s="312"/>
      <c r="D108" s="312"/>
      <c r="E108" s="312"/>
      <c r="F108" s="312"/>
      <c r="G108" s="312"/>
      <c r="H108" s="312"/>
      <c r="I108" s="312"/>
      <c r="J108" s="312"/>
      <c r="K108" s="312"/>
      <c r="L108" s="312"/>
      <c r="M108" s="312"/>
      <c r="N108" s="313"/>
      <c r="P108" s="195">
        <v>97</v>
      </c>
      <c r="Q108" s="311"/>
      <c r="R108" s="312"/>
      <c r="S108" s="312"/>
      <c r="T108" s="312"/>
      <c r="U108" s="312"/>
      <c r="V108" s="312"/>
      <c r="W108" s="312"/>
      <c r="X108" s="312"/>
      <c r="Y108" s="312"/>
      <c r="Z108" s="312"/>
      <c r="AA108" s="312"/>
      <c r="AB108" s="312"/>
      <c r="AC108" s="313"/>
      <c r="AE108" s="195">
        <v>97</v>
      </c>
      <c r="AF108" s="311"/>
      <c r="AG108" s="312"/>
      <c r="AH108" s="312"/>
      <c r="AI108" s="312"/>
      <c r="AJ108" s="312"/>
      <c r="AK108" s="312"/>
      <c r="AL108" s="312"/>
      <c r="AM108" s="312"/>
      <c r="AN108" s="312"/>
      <c r="AO108" s="312"/>
      <c r="AP108" s="312"/>
      <c r="AQ108" s="312"/>
      <c r="AR108" s="313"/>
      <c r="AT108" s="195">
        <v>97</v>
      </c>
      <c r="AU108" s="311"/>
      <c r="AV108" s="312"/>
      <c r="AW108" s="312"/>
      <c r="AX108" s="312"/>
      <c r="AY108" s="312"/>
      <c r="AZ108" s="312"/>
      <c r="BA108" s="312"/>
      <c r="BB108" s="312"/>
      <c r="BC108" s="312"/>
      <c r="BD108" s="312"/>
      <c r="BE108" s="312"/>
      <c r="BF108" s="312"/>
      <c r="BG108" s="313"/>
    </row>
    <row r="109" spans="1:59">
      <c r="A109" s="195">
        <v>98</v>
      </c>
      <c r="B109" s="311"/>
      <c r="C109" s="312"/>
      <c r="D109" s="312"/>
      <c r="E109" s="312"/>
      <c r="F109" s="312"/>
      <c r="G109" s="312"/>
      <c r="H109" s="312"/>
      <c r="I109" s="312"/>
      <c r="J109" s="312"/>
      <c r="K109" s="312"/>
      <c r="L109" s="312"/>
      <c r="M109" s="312"/>
      <c r="N109" s="313"/>
      <c r="P109" s="195">
        <v>98</v>
      </c>
      <c r="Q109" s="311"/>
      <c r="R109" s="312"/>
      <c r="S109" s="312"/>
      <c r="T109" s="312"/>
      <c r="U109" s="312"/>
      <c r="V109" s="312"/>
      <c r="W109" s="312"/>
      <c r="X109" s="312"/>
      <c r="Y109" s="312"/>
      <c r="Z109" s="312"/>
      <c r="AA109" s="312"/>
      <c r="AB109" s="312"/>
      <c r="AC109" s="313"/>
      <c r="AE109" s="195">
        <v>98</v>
      </c>
      <c r="AF109" s="311"/>
      <c r="AG109" s="312"/>
      <c r="AH109" s="312"/>
      <c r="AI109" s="312"/>
      <c r="AJ109" s="312"/>
      <c r="AK109" s="312"/>
      <c r="AL109" s="312"/>
      <c r="AM109" s="312"/>
      <c r="AN109" s="312"/>
      <c r="AO109" s="312"/>
      <c r="AP109" s="312"/>
      <c r="AQ109" s="312"/>
      <c r="AR109" s="313"/>
      <c r="AT109" s="195">
        <v>98</v>
      </c>
      <c r="AU109" s="311"/>
      <c r="AV109" s="312"/>
      <c r="AW109" s="312"/>
      <c r="AX109" s="312"/>
      <c r="AY109" s="312"/>
      <c r="AZ109" s="312"/>
      <c r="BA109" s="312"/>
      <c r="BB109" s="312"/>
      <c r="BC109" s="312"/>
      <c r="BD109" s="312"/>
      <c r="BE109" s="312"/>
      <c r="BF109" s="312"/>
      <c r="BG109" s="313"/>
    </row>
    <row r="110" spans="1:59">
      <c r="A110" s="195">
        <v>99</v>
      </c>
      <c r="B110" s="311"/>
      <c r="C110" s="312"/>
      <c r="D110" s="312"/>
      <c r="E110" s="312"/>
      <c r="F110" s="312"/>
      <c r="G110" s="312"/>
      <c r="H110" s="312"/>
      <c r="I110" s="312"/>
      <c r="J110" s="312"/>
      <c r="K110" s="312"/>
      <c r="L110" s="312"/>
      <c r="M110" s="312"/>
      <c r="N110" s="313"/>
      <c r="P110" s="195">
        <v>99</v>
      </c>
      <c r="Q110" s="311"/>
      <c r="R110" s="312"/>
      <c r="S110" s="312"/>
      <c r="T110" s="312"/>
      <c r="U110" s="312"/>
      <c r="V110" s="312"/>
      <c r="W110" s="312"/>
      <c r="X110" s="312"/>
      <c r="Y110" s="312"/>
      <c r="Z110" s="312"/>
      <c r="AA110" s="312"/>
      <c r="AB110" s="312"/>
      <c r="AC110" s="313"/>
      <c r="AE110" s="195">
        <v>99</v>
      </c>
      <c r="AF110" s="311"/>
      <c r="AG110" s="312"/>
      <c r="AH110" s="312"/>
      <c r="AI110" s="312"/>
      <c r="AJ110" s="312"/>
      <c r="AK110" s="312"/>
      <c r="AL110" s="312"/>
      <c r="AM110" s="312"/>
      <c r="AN110" s="312"/>
      <c r="AO110" s="312"/>
      <c r="AP110" s="312"/>
      <c r="AQ110" s="312"/>
      <c r="AR110" s="313"/>
      <c r="AT110" s="195">
        <v>99</v>
      </c>
      <c r="AU110" s="311"/>
      <c r="AV110" s="312"/>
      <c r="AW110" s="312"/>
      <c r="AX110" s="312"/>
      <c r="AY110" s="312"/>
      <c r="AZ110" s="312"/>
      <c r="BA110" s="312"/>
      <c r="BB110" s="312"/>
      <c r="BC110" s="312"/>
      <c r="BD110" s="312"/>
      <c r="BE110" s="312"/>
      <c r="BF110" s="312"/>
      <c r="BG110" s="313"/>
    </row>
    <row r="111" spans="1:59">
      <c r="A111" s="196">
        <v>100</v>
      </c>
      <c r="B111" s="314"/>
      <c r="C111" s="315"/>
      <c r="D111" s="315"/>
      <c r="E111" s="315"/>
      <c r="F111" s="315"/>
      <c r="G111" s="315"/>
      <c r="H111" s="315"/>
      <c r="I111" s="315"/>
      <c r="J111" s="315"/>
      <c r="K111" s="315"/>
      <c r="L111" s="315"/>
      <c r="M111" s="315"/>
      <c r="N111" s="316"/>
      <c r="P111" s="196">
        <v>100</v>
      </c>
      <c r="Q111" s="314"/>
      <c r="R111" s="315"/>
      <c r="S111" s="315"/>
      <c r="T111" s="315"/>
      <c r="U111" s="315"/>
      <c r="V111" s="315"/>
      <c r="W111" s="315"/>
      <c r="X111" s="315"/>
      <c r="Y111" s="315"/>
      <c r="Z111" s="315"/>
      <c r="AA111" s="315"/>
      <c r="AB111" s="315"/>
      <c r="AC111" s="316"/>
      <c r="AE111" s="196">
        <v>100</v>
      </c>
      <c r="AF111" s="314"/>
      <c r="AG111" s="315"/>
      <c r="AH111" s="315"/>
      <c r="AI111" s="315"/>
      <c r="AJ111" s="315"/>
      <c r="AK111" s="315"/>
      <c r="AL111" s="315"/>
      <c r="AM111" s="315"/>
      <c r="AN111" s="315"/>
      <c r="AO111" s="315"/>
      <c r="AP111" s="315"/>
      <c r="AQ111" s="315"/>
      <c r="AR111" s="316"/>
      <c r="AT111" s="196">
        <v>100</v>
      </c>
      <c r="AU111" s="314"/>
      <c r="AV111" s="315"/>
      <c r="AW111" s="315"/>
      <c r="AX111" s="315"/>
      <c r="AY111" s="315"/>
      <c r="AZ111" s="315"/>
      <c r="BA111" s="315"/>
      <c r="BB111" s="315"/>
      <c r="BC111" s="315"/>
      <c r="BD111" s="315"/>
      <c r="BE111" s="315"/>
      <c r="BF111" s="315"/>
      <c r="BG111" s="316"/>
    </row>
    <row r="112" spans="1:59" ht="13.5" thickBot="1">
      <c r="A112" s="197" t="s">
        <v>29</v>
      </c>
      <c r="B112" s="198">
        <f>SUM(B12:B111)</f>
        <v>0</v>
      </c>
      <c r="C112" s="199">
        <f t="shared" ref="C112:M112" si="0">SUM(C12:C111)</f>
        <v>0</v>
      </c>
      <c r="D112" s="199">
        <f t="shared" si="0"/>
        <v>0</v>
      </c>
      <c r="E112" s="199">
        <f t="shared" si="0"/>
        <v>0</v>
      </c>
      <c r="F112" s="199">
        <f t="shared" si="0"/>
        <v>0</v>
      </c>
      <c r="G112" s="199">
        <f t="shared" si="0"/>
        <v>0</v>
      </c>
      <c r="H112" s="199">
        <f t="shared" si="0"/>
        <v>0</v>
      </c>
      <c r="I112" s="199">
        <f t="shared" si="0"/>
        <v>0</v>
      </c>
      <c r="J112" s="199">
        <f t="shared" si="0"/>
        <v>0</v>
      </c>
      <c r="K112" s="199">
        <f t="shared" si="0"/>
        <v>0</v>
      </c>
      <c r="L112" s="199">
        <f t="shared" si="0"/>
        <v>0</v>
      </c>
      <c r="M112" s="199">
        <f t="shared" si="0"/>
        <v>0</v>
      </c>
      <c r="N112" s="200">
        <f>SUM(N12:N111)</f>
        <v>0</v>
      </c>
      <c r="O112" s="174"/>
      <c r="P112" s="197" t="s">
        <v>29</v>
      </c>
      <c r="Q112" s="198">
        <f>SUM(Q12:Q111)</f>
        <v>0</v>
      </c>
      <c r="R112" s="199">
        <f t="shared" ref="R112:AB112" si="1">SUM(R12:R111)</f>
        <v>0</v>
      </c>
      <c r="S112" s="199">
        <f t="shared" si="1"/>
        <v>0</v>
      </c>
      <c r="T112" s="199">
        <f t="shared" si="1"/>
        <v>0</v>
      </c>
      <c r="U112" s="199">
        <f t="shared" si="1"/>
        <v>0</v>
      </c>
      <c r="V112" s="199">
        <f t="shared" si="1"/>
        <v>0</v>
      </c>
      <c r="W112" s="199">
        <f t="shared" si="1"/>
        <v>0</v>
      </c>
      <c r="X112" s="199">
        <f t="shared" si="1"/>
        <v>0</v>
      </c>
      <c r="Y112" s="199">
        <f t="shared" si="1"/>
        <v>0</v>
      </c>
      <c r="Z112" s="199">
        <f t="shared" si="1"/>
        <v>0</v>
      </c>
      <c r="AA112" s="199">
        <f t="shared" si="1"/>
        <v>0</v>
      </c>
      <c r="AB112" s="199">
        <f t="shared" si="1"/>
        <v>0</v>
      </c>
      <c r="AC112" s="200">
        <f>SUM(AC12:AC111)</f>
        <v>0</v>
      </c>
      <c r="AE112" s="197" t="s">
        <v>29</v>
      </c>
      <c r="AF112" s="198">
        <f>SUM(AF12:AF111)</f>
        <v>0</v>
      </c>
      <c r="AG112" s="199">
        <f t="shared" ref="AG112:AQ112" si="2">SUM(AG12:AG111)</f>
        <v>0</v>
      </c>
      <c r="AH112" s="199">
        <f t="shared" si="2"/>
        <v>0</v>
      </c>
      <c r="AI112" s="199">
        <f t="shared" si="2"/>
        <v>0</v>
      </c>
      <c r="AJ112" s="199">
        <f t="shared" si="2"/>
        <v>0</v>
      </c>
      <c r="AK112" s="199">
        <f t="shared" si="2"/>
        <v>0</v>
      </c>
      <c r="AL112" s="199">
        <f t="shared" si="2"/>
        <v>0</v>
      </c>
      <c r="AM112" s="199">
        <f t="shared" si="2"/>
        <v>0</v>
      </c>
      <c r="AN112" s="199">
        <f t="shared" si="2"/>
        <v>0</v>
      </c>
      <c r="AO112" s="199">
        <f t="shared" si="2"/>
        <v>0</v>
      </c>
      <c r="AP112" s="199">
        <f t="shared" si="2"/>
        <v>0</v>
      </c>
      <c r="AQ112" s="199">
        <f t="shared" si="2"/>
        <v>0</v>
      </c>
      <c r="AR112" s="200">
        <f>SUM(AR12:AR111)</f>
        <v>0</v>
      </c>
      <c r="AT112" s="197" t="s">
        <v>29</v>
      </c>
      <c r="AU112" s="198">
        <f>SUM(AU12:AU111)</f>
        <v>0</v>
      </c>
      <c r="AV112" s="199">
        <f t="shared" ref="AV112:BF112" si="3">SUM(AV12:AV111)</f>
        <v>0</v>
      </c>
      <c r="AW112" s="199">
        <f t="shared" si="3"/>
        <v>0</v>
      </c>
      <c r="AX112" s="199">
        <f t="shared" si="3"/>
        <v>0</v>
      </c>
      <c r="AY112" s="199">
        <f t="shared" si="3"/>
        <v>0</v>
      </c>
      <c r="AZ112" s="199">
        <f t="shared" si="3"/>
        <v>0</v>
      </c>
      <c r="BA112" s="199">
        <f t="shared" si="3"/>
        <v>0</v>
      </c>
      <c r="BB112" s="199">
        <f t="shared" si="3"/>
        <v>0</v>
      </c>
      <c r="BC112" s="199">
        <f t="shared" si="3"/>
        <v>0</v>
      </c>
      <c r="BD112" s="199">
        <f t="shared" si="3"/>
        <v>0</v>
      </c>
      <c r="BE112" s="199">
        <f t="shared" si="3"/>
        <v>0</v>
      </c>
      <c r="BF112" s="199">
        <f t="shared" si="3"/>
        <v>0</v>
      </c>
      <c r="BG112" s="200">
        <f>SUM(BG12:BG111)</f>
        <v>0</v>
      </c>
    </row>
  </sheetData>
  <sheetProtection scenarios="1"/>
  <mergeCells count="14">
    <mergeCell ref="G6:J6"/>
    <mergeCell ref="B3:D3"/>
    <mergeCell ref="G3:J3"/>
    <mergeCell ref="B4:D4"/>
    <mergeCell ref="B5:D5"/>
    <mergeCell ref="G5:J5"/>
    <mergeCell ref="B9:N9"/>
    <mergeCell ref="Q9:AC9"/>
    <mergeCell ref="AF9:AR9"/>
    <mergeCell ref="AU9:BG9"/>
    <mergeCell ref="B10:N10"/>
    <mergeCell ref="Q10:AC10"/>
    <mergeCell ref="AF10:AR10"/>
    <mergeCell ref="AU10:BG10"/>
  </mergeCells>
  <conditionalFormatting sqref="A2:BH2 A7:BH113 A5:G6 K5:BH6 A4:BH4 A3:G3 K3:BH3">
    <cfRule type="expression" dxfId="9" priority="1" stopIfTrue="1">
      <formula>CELL("Protect",A2)=1</formula>
    </cfRule>
  </conditionalFormatting>
  <dataValidations count="1">
    <dataValidation type="list" allowBlank="1" showInputMessage="1" showErrorMessage="1" sqref="G5:J5" xr:uid="{00000000-0002-0000-0A00-000000000000}">
      <formula1>Units</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tabColor theme="8" tint="0.59999389629810485"/>
  </sheetPr>
  <dimension ref="A1:BH112"/>
  <sheetViews>
    <sheetView topLeftCell="G1" workbookViewId="0">
      <selection activeCell="V22" sqref="V22"/>
    </sheetView>
  </sheetViews>
  <sheetFormatPr defaultRowHeight="12.75"/>
  <cols>
    <col min="1" max="1" width="12.42578125" customWidth="1"/>
    <col min="2" max="14" width="6.7109375" customWidth="1"/>
    <col min="15" max="15" width="3.7109375" customWidth="1"/>
    <col min="16" max="16" width="12.42578125" customWidth="1"/>
    <col min="17" max="29" width="6.7109375" customWidth="1"/>
    <col min="30" max="30" width="3.7109375" customWidth="1"/>
    <col min="31" max="31" width="12.42578125" customWidth="1"/>
    <col min="32" max="44" width="6.7109375" customWidth="1"/>
    <col min="45" max="45" width="3.7109375" customWidth="1"/>
    <col min="46" max="46" width="12.42578125" customWidth="1"/>
    <col min="47" max="59" width="6.7109375" customWidth="1"/>
  </cols>
  <sheetData>
    <row r="1" spans="1:60" s="149" customFormat="1" ht="18.75">
      <c r="A1" s="343" t="s">
        <v>115</v>
      </c>
      <c r="B1" s="343"/>
      <c r="C1" s="343"/>
      <c r="D1" s="343"/>
      <c r="E1" s="343"/>
      <c r="F1" s="343"/>
      <c r="G1" s="343"/>
      <c r="H1" s="343"/>
      <c r="I1" s="343"/>
      <c r="J1" s="343"/>
      <c r="K1" s="343"/>
      <c r="L1" s="343"/>
      <c r="M1" s="343"/>
      <c r="N1" s="343"/>
      <c r="O1" s="343"/>
      <c r="P1" s="343"/>
      <c r="Q1" s="343"/>
      <c r="R1" s="343"/>
      <c r="S1" s="343"/>
      <c r="T1" s="343"/>
      <c r="U1" s="343"/>
      <c r="V1" s="343"/>
      <c r="W1" s="343"/>
      <c r="X1" s="343"/>
      <c r="Y1" s="343"/>
      <c r="Z1" s="343"/>
      <c r="AA1" s="343"/>
      <c r="AB1" s="343"/>
      <c r="AC1" s="343"/>
      <c r="AD1" s="343"/>
      <c r="AE1" s="343"/>
      <c r="AF1" s="343"/>
      <c r="AG1" s="343"/>
      <c r="AH1" s="343"/>
      <c r="AI1" s="343"/>
      <c r="AJ1" s="343"/>
      <c r="AK1" s="343"/>
      <c r="AL1" s="343"/>
      <c r="AM1" s="343"/>
      <c r="AN1" s="343"/>
      <c r="AO1" s="343"/>
      <c r="AP1" s="343"/>
      <c r="AQ1" s="343"/>
      <c r="AR1" s="343"/>
      <c r="AS1" s="343"/>
      <c r="AT1" s="343"/>
      <c r="AU1" s="343"/>
      <c r="AV1" s="343"/>
      <c r="AW1" s="343"/>
      <c r="AX1" s="343"/>
      <c r="AY1" s="343"/>
      <c r="AZ1" s="343"/>
      <c r="BA1" s="343"/>
      <c r="BB1" s="343"/>
      <c r="BC1" s="343"/>
      <c r="BD1" s="343"/>
      <c r="BE1" s="343"/>
      <c r="BF1" s="343"/>
      <c r="BG1" s="343"/>
      <c r="BH1" s="343"/>
    </row>
    <row r="2" spans="1:60" ht="16.5" thickBot="1">
      <c r="A2" s="261" t="s">
        <v>114</v>
      </c>
      <c r="B2" s="6"/>
      <c r="C2" s="11"/>
      <c r="D2" s="6"/>
      <c r="E2" s="6"/>
      <c r="F2" s="6"/>
      <c r="G2" s="6"/>
      <c r="H2" s="6"/>
      <c r="I2" s="6"/>
      <c r="J2" s="177"/>
      <c r="K2" s="177"/>
    </row>
    <row r="3" spans="1:60" ht="16.5" thickBot="1">
      <c r="A3" s="259" t="s">
        <v>106</v>
      </c>
      <c r="B3" s="375" t="str">
        <f>'START HERE'!F6</f>
        <v>EU</v>
      </c>
      <c r="C3" s="386"/>
      <c r="D3" s="376"/>
      <c r="E3" s="177"/>
      <c r="F3" s="30" t="s">
        <v>38</v>
      </c>
      <c r="G3" s="372" t="str">
        <f>'LEN F4'!F3</f>
        <v>Fleet 4 Offshore</v>
      </c>
      <c r="H3" s="373"/>
      <c r="I3" s="373"/>
      <c r="J3" s="374"/>
      <c r="K3" s="177"/>
    </row>
    <row r="4" spans="1:60" ht="15.75">
      <c r="A4" s="12" t="s">
        <v>18</v>
      </c>
      <c r="B4" s="375" t="str">
        <f>'START HERE'!F5</f>
        <v>Jack mackerel</v>
      </c>
      <c r="C4" s="386"/>
      <c r="D4" s="376"/>
      <c r="E4" s="177"/>
      <c r="F4" s="13"/>
      <c r="G4" s="317"/>
      <c r="H4" s="318"/>
      <c r="I4" s="319"/>
      <c r="J4" s="320"/>
      <c r="K4" s="177"/>
    </row>
    <row r="5" spans="1:60" ht="18">
      <c r="A5" s="12" t="s">
        <v>13</v>
      </c>
      <c r="B5" s="387">
        <f>'START HERE'!K3</f>
        <v>2010</v>
      </c>
      <c r="C5" s="388"/>
      <c r="D5" s="389"/>
      <c r="E5" s="177"/>
      <c r="F5" s="34" t="s">
        <v>39</v>
      </c>
      <c r="G5" s="377" t="s">
        <v>142</v>
      </c>
      <c r="H5" s="378"/>
      <c r="I5" s="378"/>
      <c r="J5" s="379"/>
      <c r="K5" s="177"/>
    </row>
    <row r="6" spans="1:60" ht="16.5" thickBot="1">
      <c r="A6" s="12"/>
      <c r="B6" s="71"/>
      <c r="C6" s="72"/>
      <c r="D6" s="6"/>
      <c r="F6" s="34" t="s">
        <v>14</v>
      </c>
      <c r="G6" s="380" t="str">
        <f>'START HERE'!$F8</f>
        <v>13/6/2022</v>
      </c>
      <c r="H6" s="381"/>
      <c r="I6" s="381"/>
      <c r="J6" s="382"/>
      <c r="K6" s="177"/>
    </row>
    <row r="7" spans="1:60">
      <c r="A7" s="6"/>
      <c r="B7" s="6"/>
      <c r="C7" s="6"/>
      <c r="D7" s="6"/>
      <c r="E7" s="6"/>
      <c r="F7" s="6"/>
      <c r="G7" s="6"/>
      <c r="H7" s="6"/>
      <c r="I7" s="6"/>
      <c r="J7" s="177"/>
      <c r="K7" s="177"/>
    </row>
    <row r="8" spans="1:60" ht="13.5" thickBot="1">
      <c r="A8" s="6"/>
      <c r="B8" s="6"/>
      <c r="C8" s="6"/>
      <c r="D8" s="6"/>
      <c r="E8" s="6"/>
      <c r="F8" s="6"/>
      <c r="G8" s="6"/>
      <c r="H8" s="6"/>
      <c r="I8" s="6"/>
      <c r="J8" s="177"/>
      <c r="K8" s="177"/>
    </row>
    <row r="9" spans="1:60" ht="15.75">
      <c r="A9" s="191"/>
      <c r="B9" s="390" t="s">
        <v>52</v>
      </c>
      <c r="C9" s="390"/>
      <c r="D9" s="390"/>
      <c r="E9" s="390"/>
      <c r="F9" s="390"/>
      <c r="G9" s="390"/>
      <c r="H9" s="390"/>
      <c r="I9" s="390"/>
      <c r="J9" s="390"/>
      <c r="K9" s="390"/>
      <c r="L9" s="390"/>
      <c r="M9" s="390"/>
      <c r="N9" s="391"/>
      <c r="P9" s="191"/>
      <c r="Q9" s="390" t="s">
        <v>30</v>
      </c>
      <c r="R9" s="390"/>
      <c r="S9" s="390"/>
      <c r="T9" s="390"/>
      <c r="U9" s="390"/>
      <c r="V9" s="390"/>
      <c r="W9" s="390"/>
      <c r="X9" s="390"/>
      <c r="Y9" s="390"/>
      <c r="Z9" s="390"/>
      <c r="AA9" s="390"/>
      <c r="AB9" s="390"/>
      <c r="AC9" s="391"/>
      <c r="AE9" s="191"/>
      <c r="AF9" s="390" t="s">
        <v>31</v>
      </c>
      <c r="AG9" s="390"/>
      <c r="AH9" s="390"/>
      <c r="AI9" s="390"/>
      <c r="AJ9" s="390"/>
      <c r="AK9" s="390"/>
      <c r="AL9" s="390"/>
      <c r="AM9" s="390"/>
      <c r="AN9" s="390"/>
      <c r="AO9" s="390"/>
      <c r="AP9" s="390"/>
      <c r="AQ9" s="390"/>
      <c r="AR9" s="391"/>
      <c r="AT9" s="191"/>
      <c r="AU9" s="390" t="s">
        <v>32</v>
      </c>
      <c r="AV9" s="390"/>
      <c r="AW9" s="390"/>
      <c r="AX9" s="390"/>
      <c r="AY9" s="390"/>
      <c r="AZ9" s="390"/>
      <c r="BA9" s="390"/>
      <c r="BB9" s="390"/>
      <c r="BC9" s="390"/>
      <c r="BD9" s="390"/>
      <c r="BE9" s="390"/>
      <c r="BF9" s="390"/>
      <c r="BG9" s="391"/>
    </row>
    <row r="10" spans="1:60">
      <c r="A10" s="192" t="str">
        <f>'START HERE'!$F$13</f>
        <v>fork length</v>
      </c>
      <c r="B10" s="383" t="s">
        <v>78</v>
      </c>
      <c r="C10" s="384"/>
      <c r="D10" s="384"/>
      <c r="E10" s="384"/>
      <c r="F10" s="384"/>
      <c r="G10" s="384"/>
      <c r="H10" s="384"/>
      <c r="I10" s="384"/>
      <c r="J10" s="384"/>
      <c r="K10" s="384"/>
      <c r="L10" s="384"/>
      <c r="M10" s="384"/>
      <c r="N10" s="385"/>
      <c r="P10" s="192" t="str">
        <f>A10</f>
        <v>fork length</v>
      </c>
      <c r="Q10" s="383" t="s">
        <v>78</v>
      </c>
      <c r="R10" s="384"/>
      <c r="S10" s="384"/>
      <c r="T10" s="384"/>
      <c r="U10" s="384"/>
      <c r="V10" s="384"/>
      <c r="W10" s="384"/>
      <c r="X10" s="384"/>
      <c r="Y10" s="384"/>
      <c r="Z10" s="384"/>
      <c r="AA10" s="384"/>
      <c r="AB10" s="384"/>
      <c r="AC10" s="385"/>
      <c r="AE10" s="192" t="str">
        <f>A10</f>
        <v>fork length</v>
      </c>
      <c r="AF10" s="383" t="s">
        <v>78</v>
      </c>
      <c r="AG10" s="384"/>
      <c r="AH10" s="384"/>
      <c r="AI10" s="384"/>
      <c r="AJ10" s="384"/>
      <c r="AK10" s="384"/>
      <c r="AL10" s="384"/>
      <c r="AM10" s="384"/>
      <c r="AN10" s="384"/>
      <c r="AO10" s="384"/>
      <c r="AP10" s="384"/>
      <c r="AQ10" s="384"/>
      <c r="AR10" s="385"/>
      <c r="AT10" s="192" t="str">
        <f>A10</f>
        <v>fork length</v>
      </c>
      <c r="AU10" s="383" t="s">
        <v>78</v>
      </c>
      <c r="AV10" s="384"/>
      <c r="AW10" s="384"/>
      <c r="AX10" s="384"/>
      <c r="AY10" s="384"/>
      <c r="AZ10" s="384"/>
      <c r="BA10" s="384"/>
      <c r="BB10" s="384"/>
      <c r="BC10" s="384"/>
      <c r="BD10" s="384"/>
      <c r="BE10" s="384"/>
      <c r="BF10" s="384"/>
      <c r="BG10" s="385"/>
    </row>
    <row r="11" spans="1:60">
      <c r="A11" s="193" t="s">
        <v>42</v>
      </c>
      <c r="B11" s="189">
        <v>0</v>
      </c>
      <c r="C11" s="190">
        <v>1</v>
      </c>
      <c r="D11" s="190">
        <v>2</v>
      </c>
      <c r="E11" s="190">
        <v>3</v>
      </c>
      <c r="F11" s="190">
        <v>4</v>
      </c>
      <c r="G11" s="190">
        <v>5</v>
      </c>
      <c r="H11" s="190">
        <v>6</v>
      </c>
      <c r="I11" s="190">
        <v>7</v>
      </c>
      <c r="J11" s="190">
        <v>8</v>
      </c>
      <c r="K11" s="190">
        <v>9</v>
      </c>
      <c r="L11" s="190">
        <v>10</v>
      </c>
      <c r="M11" s="190">
        <v>11</v>
      </c>
      <c r="N11" s="194">
        <v>12</v>
      </c>
      <c r="P11" s="193" t="s">
        <v>42</v>
      </c>
      <c r="Q11" s="189">
        <v>0</v>
      </c>
      <c r="R11" s="190">
        <v>1</v>
      </c>
      <c r="S11" s="190">
        <v>2</v>
      </c>
      <c r="T11" s="190">
        <v>3</v>
      </c>
      <c r="U11" s="190">
        <v>4</v>
      </c>
      <c r="V11" s="190">
        <v>5</v>
      </c>
      <c r="W11" s="190">
        <v>6</v>
      </c>
      <c r="X11" s="190">
        <v>7</v>
      </c>
      <c r="Y11" s="190">
        <v>8</v>
      </c>
      <c r="Z11" s="190">
        <v>9</v>
      </c>
      <c r="AA11" s="190">
        <v>10</v>
      </c>
      <c r="AB11" s="190">
        <v>11</v>
      </c>
      <c r="AC11" s="194">
        <v>12</v>
      </c>
      <c r="AE11" s="193" t="s">
        <v>42</v>
      </c>
      <c r="AF11" s="189">
        <v>0</v>
      </c>
      <c r="AG11" s="190">
        <v>1</v>
      </c>
      <c r="AH11" s="190">
        <v>2</v>
      </c>
      <c r="AI11" s="190">
        <v>3</v>
      </c>
      <c r="AJ11" s="190">
        <v>4</v>
      </c>
      <c r="AK11" s="190">
        <v>5</v>
      </c>
      <c r="AL11" s="190">
        <v>6</v>
      </c>
      <c r="AM11" s="190">
        <v>7</v>
      </c>
      <c r="AN11" s="190">
        <v>8</v>
      </c>
      <c r="AO11" s="190">
        <v>9</v>
      </c>
      <c r="AP11" s="190">
        <v>10</v>
      </c>
      <c r="AQ11" s="190">
        <v>11</v>
      </c>
      <c r="AR11" s="194">
        <v>12</v>
      </c>
      <c r="AT11" s="193" t="s">
        <v>42</v>
      </c>
      <c r="AU11" s="189">
        <v>0</v>
      </c>
      <c r="AV11" s="190">
        <v>1</v>
      </c>
      <c r="AW11" s="190">
        <v>2</v>
      </c>
      <c r="AX11" s="190">
        <v>3</v>
      </c>
      <c r="AY11" s="190">
        <v>4</v>
      </c>
      <c r="AZ11" s="190">
        <v>5</v>
      </c>
      <c r="BA11" s="190">
        <v>6</v>
      </c>
      <c r="BB11" s="190">
        <v>7</v>
      </c>
      <c r="BC11" s="190">
        <v>8</v>
      </c>
      <c r="BD11" s="190">
        <v>9</v>
      </c>
      <c r="BE11" s="190">
        <v>10</v>
      </c>
      <c r="BF11" s="190">
        <v>11</v>
      </c>
      <c r="BG11" s="194">
        <v>12</v>
      </c>
    </row>
    <row r="12" spans="1:60">
      <c r="A12" s="195">
        <v>1</v>
      </c>
      <c r="B12" s="308"/>
      <c r="C12" s="309"/>
      <c r="D12" s="309"/>
      <c r="E12" s="309"/>
      <c r="F12" s="309"/>
      <c r="G12" s="309"/>
      <c r="H12" s="309"/>
      <c r="I12" s="309"/>
      <c r="J12" s="309"/>
      <c r="K12" s="309"/>
      <c r="L12" s="309"/>
      <c r="M12" s="309"/>
      <c r="N12" s="310"/>
      <c r="P12" s="195">
        <v>1</v>
      </c>
      <c r="Q12" s="308"/>
      <c r="R12" s="309"/>
      <c r="S12" s="309"/>
      <c r="T12" s="309"/>
      <c r="U12" s="309"/>
      <c r="V12" s="309"/>
      <c r="W12" s="309"/>
      <c r="X12" s="309"/>
      <c r="Y12" s="309"/>
      <c r="Z12" s="309"/>
      <c r="AA12" s="309"/>
      <c r="AB12" s="309"/>
      <c r="AC12" s="310"/>
      <c r="AE12" s="195">
        <v>1</v>
      </c>
      <c r="AF12" s="308"/>
      <c r="AG12" s="309"/>
      <c r="AH12" s="309"/>
      <c r="AI12" s="309"/>
      <c r="AJ12" s="309"/>
      <c r="AK12" s="309"/>
      <c r="AL12" s="309"/>
      <c r="AM12" s="309"/>
      <c r="AN12" s="309"/>
      <c r="AO12" s="309"/>
      <c r="AP12" s="309"/>
      <c r="AQ12" s="309"/>
      <c r="AR12" s="310"/>
      <c r="AT12" s="195">
        <v>1</v>
      </c>
      <c r="AU12" s="308"/>
      <c r="AV12" s="309"/>
      <c r="AW12" s="309"/>
      <c r="AX12" s="309"/>
      <c r="AY12" s="309"/>
      <c r="AZ12" s="309"/>
      <c r="BA12" s="309"/>
      <c r="BB12" s="309"/>
      <c r="BC12" s="309"/>
      <c r="BD12" s="309"/>
      <c r="BE12" s="309"/>
      <c r="BF12" s="309"/>
      <c r="BG12" s="310"/>
    </row>
    <row r="13" spans="1:60">
      <c r="A13" s="195">
        <v>2</v>
      </c>
      <c r="B13" s="311"/>
      <c r="C13" s="312"/>
      <c r="D13" s="312"/>
      <c r="E13" s="312"/>
      <c r="F13" s="312"/>
      <c r="G13" s="312"/>
      <c r="H13" s="312"/>
      <c r="I13" s="312"/>
      <c r="J13" s="312"/>
      <c r="K13" s="312"/>
      <c r="L13" s="312"/>
      <c r="M13" s="312"/>
      <c r="N13" s="313"/>
      <c r="P13" s="195">
        <v>2</v>
      </c>
      <c r="Q13" s="311"/>
      <c r="R13" s="312"/>
      <c r="S13" s="312"/>
      <c r="T13" s="312"/>
      <c r="U13" s="312"/>
      <c r="V13" s="312"/>
      <c r="W13" s="312"/>
      <c r="X13" s="312"/>
      <c r="Y13" s="312"/>
      <c r="Z13" s="312"/>
      <c r="AA13" s="312"/>
      <c r="AB13" s="312"/>
      <c r="AC13" s="313"/>
      <c r="AE13" s="195">
        <v>2</v>
      </c>
      <c r="AF13" s="311"/>
      <c r="AG13" s="312"/>
      <c r="AH13" s="312"/>
      <c r="AI13" s="312"/>
      <c r="AJ13" s="312"/>
      <c r="AK13" s="312"/>
      <c r="AL13" s="312"/>
      <c r="AM13" s="312"/>
      <c r="AN13" s="312"/>
      <c r="AO13" s="312"/>
      <c r="AP13" s="312"/>
      <c r="AQ13" s="312"/>
      <c r="AR13" s="313"/>
      <c r="AT13" s="195">
        <v>2</v>
      </c>
      <c r="AU13" s="311"/>
      <c r="AV13" s="312"/>
      <c r="AW13" s="312"/>
      <c r="AX13" s="312"/>
      <c r="AY13" s="312"/>
      <c r="AZ13" s="312"/>
      <c r="BA13" s="312"/>
      <c r="BB13" s="312"/>
      <c r="BC13" s="312"/>
      <c r="BD13" s="312"/>
      <c r="BE13" s="312"/>
      <c r="BF13" s="312"/>
      <c r="BG13" s="313"/>
    </row>
    <row r="14" spans="1:60">
      <c r="A14" s="195">
        <v>3</v>
      </c>
      <c r="B14" s="311"/>
      <c r="C14" s="312"/>
      <c r="D14" s="312"/>
      <c r="E14" s="312"/>
      <c r="F14" s="312"/>
      <c r="G14" s="312"/>
      <c r="H14" s="312"/>
      <c r="I14" s="312"/>
      <c r="J14" s="312"/>
      <c r="K14" s="312"/>
      <c r="L14" s="312"/>
      <c r="M14" s="312"/>
      <c r="N14" s="313"/>
      <c r="P14" s="195">
        <v>3</v>
      </c>
      <c r="Q14" s="311"/>
      <c r="R14" s="312"/>
      <c r="S14" s="312"/>
      <c r="T14" s="312"/>
      <c r="U14" s="312"/>
      <c r="V14" s="312"/>
      <c r="W14" s="312"/>
      <c r="X14" s="312"/>
      <c r="Y14" s="312"/>
      <c r="Z14" s="312"/>
      <c r="AA14" s="312"/>
      <c r="AB14" s="312"/>
      <c r="AC14" s="313"/>
      <c r="AE14" s="195">
        <v>3</v>
      </c>
      <c r="AF14" s="311"/>
      <c r="AG14" s="312"/>
      <c r="AH14" s="312"/>
      <c r="AI14" s="312"/>
      <c r="AJ14" s="312"/>
      <c r="AK14" s="312"/>
      <c r="AL14" s="312"/>
      <c r="AM14" s="312"/>
      <c r="AN14" s="312"/>
      <c r="AO14" s="312"/>
      <c r="AP14" s="312"/>
      <c r="AQ14" s="312"/>
      <c r="AR14" s="313"/>
      <c r="AT14" s="195">
        <v>3</v>
      </c>
      <c r="AU14" s="311"/>
      <c r="AV14" s="312"/>
      <c r="AW14" s="312"/>
      <c r="AX14" s="312"/>
      <c r="AY14" s="312"/>
      <c r="AZ14" s="312"/>
      <c r="BA14" s="312"/>
      <c r="BB14" s="312"/>
      <c r="BC14" s="312"/>
      <c r="BD14" s="312"/>
      <c r="BE14" s="312"/>
      <c r="BF14" s="312"/>
      <c r="BG14" s="313"/>
    </row>
    <row r="15" spans="1:60">
      <c r="A15" s="195">
        <v>4</v>
      </c>
      <c r="B15" s="311"/>
      <c r="C15" s="312"/>
      <c r="D15" s="312"/>
      <c r="E15" s="312"/>
      <c r="F15" s="312"/>
      <c r="G15" s="312"/>
      <c r="H15" s="312"/>
      <c r="I15" s="312"/>
      <c r="J15" s="312"/>
      <c r="K15" s="312"/>
      <c r="L15" s="312"/>
      <c r="M15" s="312"/>
      <c r="N15" s="313"/>
      <c r="P15" s="195">
        <v>4</v>
      </c>
      <c r="Q15" s="311"/>
      <c r="R15" s="312"/>
      <c r="S15" s="312"/>
      <c r="T15" s="312"/>
      <c r="U15" s="312"/>
      <c r="V15" s="312"/>
      <c r="W15" s="312"/>
      <c r="X15" s="312"/>
      <c r="Y15" s="312"/>
      <c r="Z15" s="312"/>
      <c r="AA15" s="312"/>
      <c r="AB15" s="312"/>
      <c r="AC15" s="313"/>
      <c r="AE15" s="195">
        <v>4</v>
      </c>
      <c r="AF15" s="311"/>
      <c r="AG15" s="312"/>
      <c r="AH15" s="312"/>
      <c r="AI15" s="312"/>
      <c r="AJ15" s="312"/>
      <c r="AK15" s="312"/>
      <c r="AL15" s="312"/>
      <c r="AM15" s="312"/>
      <c r="AN15" s="312"/>
      <c r="AO15" s="312"/>
      <c r="AP15" s="312"/>
      <c r="AQ15" s="312"/>
      <c r="AR15" s="313"/>
      <c r="AT15" s="195">
        <v>4</v>
      </c>
      <c r="AU15" s="311"/>
      <c r="AV15" s="312"/>
      <c r="AW15" s="312"/>
      <c r="AX15" s="312"/>
      <c r="AY15" s="312"/>
      <c r="AZ15" s="312"/>
      <c r="BA15" s="312"/>
      <c r="BB15" s="312"/>
      <c r="BC15" s="312"/>
      <c r="BD15" s="312"/>
      <c r="BE15" s="312"/>
      <c r="BF15" s="312"/>
      <c r="BG15" s="313"/>
    </row>
    <row r="16" spans="1:60">
      <c r="A16" s="195">
        <v>5</v>
      </c>
      <c r="B16" s="311"/>
      <c r="C16" s="312"/>
      <c r="D16" s="312"/>
      <c r="E16" s="312"/>
      <c r="F16" s="312"/>
      <c r="G16" s="312"/>
      <c r="H16" s="312"/>
      <c r="I16" s="312"/>
      <c r="J16" s="312"/>
      <c r="K16" s="312"/>
      <c r="L16" s="312"/>
      <c r="M16" s="312"/>
      <c r="N16" s="313"/>
      <c r="P16" s="195">
        <v>5</v>
      </c>
      <c r="Q16" s="311"/>
      <c r="R16" s="312"/>
      <c r="S16" s="312"/>
      <c r="T16" s="312"/>
      <c r="U16" s="312"/>
      <c r="V16" s="312"/>
      <c r="W16" s="312"/>
      <c r="X16" s="312"/>
      <c r="Y16" s="312"/>
      <c r="Z16" s="312"/>
      <c r="AA16" s="312"/>
      <c r="AB16" s="312"/>
      <c r="AC16" s="313"/>
      <c r="AE16" s="195">
        <v>5</v>
      </c>
      <c r="AF16" s="311"/>
      <c r="AG16" s="312"/>
      <c r="AH16" s="312"/>
      <c r="AI16" s="312"/>
      <c r="AJ16" s="312"/>
      <c r="AK16" s="312"/>
      <c r="AL16" s="312"/>
      <c r="AM16" s="312"/>
      <c r="AN16" s="312"/>
      <c r="AO16" s="312"/>
      <c r="AP16" s="312"/>
      <c r="AQ16" s="312"/>
      <c r="AR16" s="313"/>
      <c r="AT16" s="195">
        <v>5</v>
      </c>
      <c r="AU16" s="311"/>
      <c r="AV16" s="312"/>
      <c r="AW16" s="312"/>
      <c r="AX16" s="312"/>
      <c r="AY16" s="312"/>
      <c r="AZ16" s="312"/>
      <c r="BA16" s="312"/>
      <c r="BB16" s="312"/>
      <c r="BC16" s="312"/>
      <c r="BD16" s="312"/>
      <c r="BE16" s="312"/>
      <c r="BF16" s="312"/>
      <c r="BG16" s="313"/>
    </row>
    <row r="17" spans="1:59">
      <c r="A17" s="195">
        <v>6</v>
      </c>
      <c r="B17" s="311"/>
      <c r="C17" s="312"/>
      <c r="D17" s="312"/>
      <c r="E17" s="312"/>
      <c r="F17" s="312"/>
      <c r="G17" s="312"/>
      <c r="H17" s="312"/>
      <c r="I17" s="312"/>
      <c r="J17" s="312"/>
      <c r="K17" s="312"/>
      <c r="L17" s="312"/>
      <c r="M17" s="312"/>
      <c r="N17" s="313"/>
      <c r="P17" s="195">
        <v>6</v>
      </c>
      <c r="Q17" s="311"/>
      <c r="R17" s="312"/>
      <c r="S17" s="312"/>
      <c r="T17" s="312"/>
      <c r="U17" s="312"/>
      <c r="V17" s="312"/>
      <c r="W17" s="312"/>
      <c r="X17" s="312"/>
      <c r="Y17" s="312"/>
      <c r="Z17" s="312"/>
      <c r="AA17" s="312"/>
      <c r="AB17" s="312"/>
      <c r="AC17" s="313"/>
      <c r="AE17" s="195">
        <v>6</v>
      </c>
      <c r="AF17" s="311"/>
      <c r="AG17" s="312"/>
      <c r="AH17" s="312"/>
      <c r="AI17" s="312"/>
      <c r="AJ17" s="312"/>
      <c r="AK17" s="312"/>
      <c r="AL17" s="312"/>
      <c r="AM17" s="312"/>
      <c r="AN17" s="312"/>
      <c r="AO17" s="312"/>
      <c r="AP17" s="312"/>
      <c r="AQ17" s="312"/>
      <c r="AR17" s="313"/>
      <c r="AT17" s="195">
        <v>6</v>
      </c>
      <c r="AU17" s="311"/>
      <c r="AV17" s="312"/>
      <c r="AW17" s="312"/>
      <c r="AX17" s="312"/>
      <c r="AY17" s="312"/>
      <c r="AZ17" s="312"/>
      <c r="BA17" s="312"/>
      <c r="BB17" s="312"/>
      <c r="BC17" s="312"/>
      <c r="BD17" s="312"/>
      <c r="BE17" s="312"/>
      <c r="BF17" s="312"/>
      <c r="BG17" s="313"/>
    </row>
    <row r="18" spans="1:59">
      <c r="A18" s="195">
        <v>7</v>
      </c>
      <c r="B18" s="311"/>
      <c r="C18" s="312"/>
      <c r="D18" s="312"/>
      <c r="E18" s="312"/>
      <c r="F18" s="312"/>
      <c r="G18" s="312"/>
      <c r="H18" s="312"/>
      <c r="I18" s="312"/>
      <c r="J18" s="312"/>
      <c r="K18" s="312"/>
      <c r="L18" s="312"/>
      <c r="M18" s="312"/>
      <c r="N18" s="313"/>
      <c r="P18" s="195">
        <v>7</v>
      </c>
      <c r="Q18" s="311"/>
      <c r="R18" s="312"/>
      <c r="S18" s="312"/>
      <c r="T18" s="312"/>
      <c r="U18" s="312"/>
      <c r="V18" s="312"/>
      <c r="W18" s="312"/>
      <c r="X18" s="312"/>
      <c r="Y18" s="312"/>
      <c r="Z18" s="312"/>
      <c r="AA18" s="312"/>
      <c r="AB18" s="312"/>
      <c r="AC18" s="313"/>
      <c r="AE18" s="195">
        <v>7</v>
      </c>
      <c r="AF18" s="311"/>
      <c r="AG18" s="312"/>
      <c r="AH18" s="312"/>
      <c r="AI18" s="312"/>
      <c r="AJ18" s="312"/>
      <c r="AK18" s="312"/>
      <c r="AL18" s="312"/>
      <c r="AM18" s="312"/>
      <c r="AN18" s="312"/>
      <c r="AO18" s="312"/>
      <c r="AP18" s="312"/>
      <c r="AQ18" s="312"/>
      <c r="AR18" s="313"/>
      <c r="AT18" s="195">
        <v>7</v>
      </c>
      <c r="AU18" s="311"/>
      <c r="AV18" s="312"/>
      <c r="AW18" s="312"/>
      <c r="AX18" s="312"/>
      <c r="AY18" s="312"/>
      <c r="AZ18" s="312"/>
      <c r="BA18" s="312"/>
      <c r="BB18" s="312"/>
      <c r="BC18" s="312"/>
      <c r="BD18" s="312"/>
      <c r="BE18" s="312"/>
      <c r="BF18" s="312"/>
      <c r="BG18" s="313"/>
    </row>
    <row r="19" spans="1:59">
      <c r="A19" s="195">
        <v>8</v>
      </c>
      <c r="B19" s="311"/>
      <c r="C19" s="312"/>
      <c r="D19" s="312"/>
      <c r="E19" s="312"/>
      <c r="F19" s="312"/>
      <c r="G19" s="312"/>
      <c r="H19" s="312"/>
      <c r="I19" s="312"/>
      <c r="J19" s="312"/>
      <c r="K19" s="312"/>
      <c r="L19" s="312"/>
      <c r="M19" s="312"/>
      <c r="N19" s="313"/>
      <c r="P19" s="195">
        <v>8</v>
      </c>
      <c r="Q19" s="311"/>
      <c r="R19" s="312"/>
      <c r="S19" s="312"/>
      <c r="T19" s="312"/>
      <c r="U19" s="312"/>
      <c r="V19" s="312"/>
      <c r="W19" s="312"/>
      <c r="X19" s="312"/>
      <c r="Y19" s="312"/>
      <c r="Z19" s="312"/>
      <c r="AA19" s="312"/>
      <c r="AB19" s="312"/>
      <c r="AC19" s="313"/>
      <c r="AE19" s="195">
        <v>8</v>
      </c>
      <c r="AF19" s="311"/>
      <c r="AG19" s="312"/>
      <c r="AH19" s="312"/>
      <c r="AI19" s="312"/>
      <c r="AJ19" s="312"/>
      <c r="AK19" s="312"/>
      <c r="AL19" s="312"/>
      <c r="AM19" s="312"/>
      <c r="AN19" s="312"/>
      <c r="AO19" s="312"/>
      <c r="AP19" s="312"/>
      <c r="AQ19" s="312"/>
      <c r="AR19" s="313"/>
      <c r="AT19" s="195">
        <v>8</v>
      </c>
      <c r="AU19" s="311"/>
      <c r="AV19" s="312"/>
      <c r="AW19" s="312"/>
      <c r="AX19" s="312"/>
      <c r="AY19" s="312"/>
      <c r="AZ19" s="312"/>
      <c r="BA19" s="312"/>
      <c r="BB19" s="312"/>
      <c r="BC19" s="312"/>
      <c r="BD19" s="312"/>
      <c r="BE19" s="312"/>
      <c r="BF19" s="312"/>
      <c r="BG19" s="313"/>
    </row>
    <row r="20" spans="1:59">
      <c r="A20" s="195">
        <v>9</v>
      </c>
      <c r="B20" s="311"/>
      <c r="C20" s="312"/>
      <c r="D20" s="312"/>
      <c r="E20" s="312"/>
      <c r="F20" s="312"/>
      <c r="G20" s="312"/>
      <c r="H20" s="312"/>
      <c r="I20" s="312"/>
      <c r="J20" s="312"/>
      <c r="K20" s="312"/>
      <c r="L20" s="312"/>
      <c r="M20" s="312"/>
      <c r="N20" s="313"/>
      <c r="P20" s="195">
        <v>9</v>
      </c>
      <c r="Q20" s="311"/>
      <c r="R20" s="312"/>
      <c r="S20" s="312"/>
      <c r="T20" s="312"/>
      <c r="U20" s="312"/>
      <c r="V20" s="312"/>
      <c r="W20" s="312"/>
      <c r="X20" s="312"/>
      <c r="Y20" s="312"/>
      <c r="Z20" s="312"/>
      <c r="AA20" s="312"/>
      <c r="AB20" s="312"/>
      <c r="AC20" s="313"/>
      <c r="AE20" s="195">
        <v>9</v>
      </c>
      <c r="AF20" s="311"/>
      <c r="AG20" s="312"/>
      <c r="AH20" s="312"/>
      <c r="AI20" s="312"/>
      <c r="AJ20" s="312"/>
      <c r="AK20" s="312"/>
      <c r="AL20" s="312"/>
      <c r="AM20" s="312"/>
      <c r="AN20" s="312"/>
      <c r="AO20" s="312"/>
      <c r="AP20" s="312"/>
      <c r="AQ20" s="312"/>
      <c r="AR20" s="313"/>
      <c r="AT20" s="195">
        <v>9</v>
      </c>
      <c r="AU20" s="311"/>
      <c r="AV20" s="312"/>
      <c r="AW20" s="312"/>
      <c r="AX20" s="312"/>
      <c r="AY20" s="312"/>
      <c r="AZ20" s="312"/>
      <c r="BA20" s="312"/>
      <c r="BB20" s="312"/>
      <c r="BC20" s="312"/>
      <c r="BD20" s="312"/>
      <c r="BE20" s="312"/>
      <c r="BF20" s="312"/>
      <c r="BG20" s="313"/>
    </row>
    <row r="21" spans="1:59">
      <c r="A21" s="195">
        <v>10</v>
      </c>
      <c r="B21" s="311"/>
      <c r="C21" s="312"/>
      <c r="D21" s="312"/>
      <c r="E21" s="312"/>
      <c r="F21" s="312"/>
      <c r="G21" s="312"/>
      <c r="H21" s="312"/>
      <c r="I21" s="312"/>
      <c r="J21" s="312"/>
      <c r="K21" s="312"/>
      <c r="L21" s="312"/>
      <c r="M21" s="312"/>
      <c r="N21" s="313"/>
      <c r="P21" s="195">
        <v>10</v>
      </c>
      <c r="Q21" s="311"/>
      <c r="R21" s="312"/>
      <c r="S21" s="312"/>
      <c r="T21" s="312"/>
      <c r="U21" s="312"/>
      <c r="V21" s="312"/>
      <c r="W21" s="312"/>
      <c r="X21" s="312"/>
      <c r="Y21" s="312"/>
      <c r="Z21" s="312"/>
      <c r="AA21" s="312"/>
      <c r="AB21" s="312"/>
      <c r="AC21" s="313"/>
      <c r="AE21" s="195">
        <v>10</v>
      </c>
      <c r="AF21" s="311"/>
      <c r="AG21" s="312"/>
      <c r="AH21" s="312"/>
      <c r="AI21" s="312"/>
      <c r="AJ21" s="312"/>
      <c r="AK21" s="312"/>
      <c r="AL21" s="312"/>
      <c r="AM21" s="312"/>
      <c r="AN21" s="312"/>
      <c r="AO21" s="312"/>
      <c r="AP21" s="312"/>
      <c r="AQ21" s="312"/>
      <c r="AR21" s="313"/>
      <c r="AT21" s="195">
        <v>10</v>
      </c>
      <c r="AU21" s="311"/>
      <c r="AV21" s="312"/>
      <c r="AW21" s="312"/>
      <c r="AX21" s="312"/>
      <c r="AY21" s="312"/>
      <c r="AZ21" s="312"/>
      <c r="BA21" s="312"/>
      <c r="BB21" s="312"/>
      <c r="BC21" s="312"/>
      <c r="BD21" s="312"/>
      <c r="BE21" s="312"/>
      <c r="BF21" s="312"/>
      <c r="BG21" s="313"/>
    </row>
    <row r="22" spans="1:59">
      <c r="A22" s="195">
        <v>11</v>
      </c>
      <c r="B22" s="311"/>
      <c r="C22" s="312"/>
      <c r="D22" s="312"/>
      <c r="E22" s="312"/>
      <c r="F22" s="312"/>
      <c r="G22" s="312"/>
      <c r="H22" s="312"/>
      <c r="I22" s="312"/>
      <c r="J22" s="312"/>
      <c r="K22" s="312"/>
      <c r="L22" s="312"/>
      <c r="M22" s="312"/>
      <c r="N22" s="313"/>
      <c r="P22" s="195">
        <v>11</v>
      </c>
      <c r="Q22" s="311"/>
      <c r="R22" s="312"/>
      <c r="S22" s="312"/>
      <c r="T22" s="312"/>
      <c r="U22" s="312"/>
      <c r="V22" s="312"/>
      <c r="W22" s="312"/>
      <c r="X22" s="312"/>
      <c r="Y22" s="312"/>
      <c r="Z22" s="312"/>
      <c r="AA22" s="312"/>
      <c r="AB22" s="312"/>
      <c r="AC22" s="313"/>
      <c r="AE22" s="195">
        <v>11</v>
      </c>
      <c r="AF22" s="311"/>
      <c r="AG22" s="312"/>
      <c r="AH22" s="312"/>
      <c r="AI22" s="312"/>
      <c r="AJ22" s="312"/>
      <c r="AK22" s="312"/>
      <c r="AL22" s="312"/>
      <c r="AM22" s="312"/>
      <c r="AN22" s="312"/>
      <c r="AO22" s="312"/>
      <c r="AP22" s="312"/>
      <c r="AQ22" s="312"/>
      <c r="AR22" s="313"/>
      <c r="AT22" s="195">
        <v>11</v>
      </c>
      <c r="AU22" s="311"/>
      <c r="AV22" s="312"/>
      <c r="AW22" s="312"/>
      <c r="AX22" s="312"/>
      <c r="AY22" s="312"/>
      <c r="AZ22" s="312"/>
      <c r="BA22" s="312"/>
      <c r="BB22" s="312"/>
      <c r="BC22" s="312"/>
      <c r="BD22" s="312"/>
      <c r="BE22" s="312"/>
      <c r="BF22" s="312"/>
      <c r="BG22" s="313"/>
    </row>
    <row r="23" spans="1:59">
      <c r="A23" s="195">
        <v>12</v>
      </c>
      <c r="B23" s="311"/>
      <c r="C23" s="312"/>
      <c r="D23" s="312"/>
      <c r="E23" s="312"/>
      <c r="F23" s="312"/>
      <c r="G23" s="312"/>
      <c r="H23" s="312"/>
      <c r="I23" s="312"/>
      <c r="J23" s="312"/>
      <c r="K23" s="312"/>
      <c r="L23" s="312"/>
      <c r="M23" s="312"/>
      <c r="N23" s="313"/>
      <c r="P23" s="195">
        <v>12</v>
      </c>
      <c r="Q23" s="311"/>
      <c r="R23" s="312"/>
      <c r="S23" s="312"/>
      <c r="T23" s="312"/>
      <c r="U23" s="312"/>
      <c r="V23" s="312"/>
      <c r="W23" s="312"/>
      <c r="X23" s="312"/>
      <c r="Y23" s="312"/>
      <c r="Z23" s="312"/>
      <c r="AA23" s="312"/>
      <c r="AB23" s="312"/>
      <c r="AC23" s="313"/>
      <c r="AE23" s="195">
        <v>12</v>
      </c>
      <c r="AF23" s="311"/>
      <c r="AG23" s="312"/>
      <c r="AH23" s="312"/>
      <c r="AI23" s="312"/>
      <c r="AJ23" s="312"/>
      <c r="AK23" s="312"/>
      <c r="AL23" s="312"/>
      <c r="AM23" s="312"/>
      <c r="AN23" s="312"/>
      <c r="AO23" s="312"/>
      <c r="AP23" s="312"/>
      <c r="AQ23" s="312"/>
      <c r="AR23" s="313"/>
      <c r="AT23" s="195">
        <v>12</v>
      </c>
      <c r="AU23" s="311"/>
      <c r="AV23" s="312"/>
      <c r="AW23" s="312"/>
      <c r="AX23" s="312"/>
      <c r="AY23" s="312"/>
      <c r="AZ23" s="312"/>
      <c r="BA23" s="312"/>
      <c r="BB23" s="312"/>
      <c r="BC23" s="312"/>
      <c r="BD23" s="312"/>
      <c r="BE23" s="312"/>
      <c r="BF23" s="312"/>
      <c r="BG23" s="313"/>
    </row>
    <row r="24" spans="1:59">
      <c r="A24" s="195">
        <v>13</v>
      </c>
      <c r="B24" s="311"/>
      <c r="C24" s="312"/>
      <c r="D24" s="312"/>
      <c r="E24" s="312"/>
      <c r="F24" s="312"/>
      <c r="G24" s="312"/>
      <c r="H24" s="312"/>
      <c r="I24" s="312"/>
      <c r="J24" s="312"/>
      <c r="K24" s="312"/>
      <c r="L24" s="312"/>
      <c r="M24" s="312"/>
      <c r="N24" s="313"/>
      <c r="P24" s="195">
        <v>13</v>
      </c>
      <c r="Q24" s="311"/>
      <c r="R24" s="312"/>
      <c r="S24" s="312"/>
      <c r="T24" s="312"/>
      <c r="U24" s="312"/>
      <c r="V24" s="312"/>
      <c r="W24" s="312"/>
      <c r="X24" s="312"/>
      <c r="Y24" s="312"/>
      <c r="Z24" s="312"/>
      <c r="AA24" s="312"/>
      <c r="AB24" s="312"/>
      <c r="AC24" s="313"/>
      <c r="AE24" s="195">
        <v>13</v>
      </c>
      <c r="AF24" s="311"/>
      <c r="AG24" s="312"/>
      <c r="AH24" s="312"/>
      <c r="AI24" s="312"/>
      <c r="AJ24" s="312"/>
      <c r="AK24" s="312"/>
      <c r="AL24" s="312"/>
      <c r="AM24" s="312"/>
      <c r="AN24" s="312"/>
      <c r="AO24" s="312"/>
      <c r="AP24" s="312"/>
      <c r="AQ24" s="312"/>
      <c r="AR24" s="313"/>
      <c r="AT24" s="195">
        <v>13</v>
      </c>
      <c r="AU24" s="311"/>
      <c r="AV24" s="312"/>
      <c r="AW24" s="312"/>
      <c r="AX24" s="312"/>
      <c r="AY24" s="312"/>
      <c r="AZ24" s="312"/>
      <c r="BA24" s="312"/>
      <c r="BB24" s="312"/>
      <c r="BC24" s="312"/>
      <c r="BD24" s="312"/>
      <c r="BE24" s="312"/>
      <c r="BF24" s="312"/>
      <c r="BG24" s="313"/>
    </row>
    <row r="25" spans="1:59">
      <c r="A25" s="195">
        <v>14</v>
      </c>
      <c r="B25" s="311"/>
      <c r="C25" s="312"/>
      <c r="D25" s="312"/>
      <c r="E25" s="312"/>
      <c r="F25" s="312"/>
      <c r="G25" s="312"/>
      <c r="H25" s="312"/>
      <c r="I25" s="312"/>
      <c r="J25" s="312"/>
      <c r="K25" s="312"/>
      <c r="L25" s="312"/>
      <c r="M25" s="312"/>
      <c r="N25" s="313"/>
      <c r="P25" s="195">
        <v>14</v>
      </c>
      <c r="Q25" s="311"/>
      <c r="R25" s="312"/>
      <c r="S25" s="312"/>
      <c r="T25" s="312"/>
      <c r="U25" s="312"/>
      <c r="V25" s="312"/>
      <c r="W25" s="312"/>
      <c r="X25" s="312"/>
      <c r="Y25" s="312"/>
      <c r="Z25" s="312"/>
      <c r="AA25" s="312"/>
      <c r="AB25" s="312"/>
      <c r="AC25" s="313"/>
      <c r="AE25" s="195">
        <v>14</v>
      </c>
      <c r="AF25" s="311"/>
      <c r="AG25" s="312"/>
      <c r="AH25" s="312"/>
      <c r="AI25" s="312"/>
      <c r="AJ25" s="312"/>
      <c r="AK25" s="312"/>
      <c r="AL25" s="312"/>
      <c r="AM25" s="312"/>
      <c r="AN25" s="312"/>
      <c r="AO25" s="312"/>
      <c r="AP25" s="312"/>
      <c r="AQ25" s="312"/>
      <c r="AR25" s="313"/>
      <c r="AT25" s="195">
        <v>14</v>
      </c>
      <c r="AU25" s="311"/>
      <c r="AV25" s="312"/>
      <c r="AW25" s="312"/>
      <c r="AX25" s="312"/>
      <c r="AY25" s="312"/>
      <c r="AZ25" s="312"/>
      <c r="BA25" s="312"/>
      <c r="BB25" s="312"/>
      <c r="BC25" s="312"/>
      <c r="BD25" s="312"/>
      <c r="BE25" s="312"/>
      <c r="BF25" s="312"/>
      <c r="BG25" s="313"/>
    </row>
    <row r="26" spans="1:59">
      <c r="A26" s="195">
        <v>15</v>
      </c>
      <c r="B26" s="311"/>
      <c r="C26" s="312"/>
      <c r="D26" s="312"/>
      <c r="E26" s="312"/>
      <c r="F26" s="312"/>
      <c r="G26" s="312"/>
      <c r="H26" s="312"/>
      <c r="I26" s="312"/>
      <c r="J26" s="312"/>
      <c r="K26" s="312"/>
      <c r="L26" s="312"/>
      <c r="M26" s="312"/>
      <c r="N26" s="313"/>
      <c r="P26" s="195">
        <v>15</v>
      </c>
      <c r="Q26" s="311"/>
      <c r="R26" s="312"/>
      <c r="S26" s="312"/>
      <c r="T26" s="312"/>
      <c r="U26" s="312"/>
      <c r="V26" s="312"/>
      <c r="W26" s="312"/>
      <c r="X26" s="312"/>
      <c r="Y26" s="312"/>
      <c r="Z26" s="312"/>
      <c r="AA26" s="312"/>
      <c r="AB26" s="312"/>
      <c r="AC26" s="313"/>
      <c r="AE26" s="195">
        <v>15</v>
      </c>
      <c r="AF26" s="311"/>
      <c r="AG26" s="312"/>
      <c r="AH26" s="312"/>
      <c r="AI26" s="312"/>
      <c r="AJ26" s="312"/>
      <c r="AK26" s="312"/>
      <c r="AL26" s="312"/>
      <c r="AM26" s="312"/>
      <c r="AN26" s="312"/>
      <c r="AO26" s="312"/>
      <c r="AP26" s="312"/>
      <c r="AQ26" s="312"/>
      <c r="AR26" s="313"/>
      <c r="AT26" s="195">
        <v>15</v>
      </c>
      <c r="AU26" s="311"/>
      <c r="AV26" s="312"/>
      <c r="AW26" s="312"/>
      <c r="AX26" s="312"/>
      <c r="AY26" s="312"/>
      <c r="AZ26" s="312"/>
      <c r="BA26" s="312"/>
      <c r="BB26" s="312"/>
      <c r="BC26" s="312"/>
      <c r="BD26" s="312"/>
      <c r="BE26" s="312"/>
      <c r="BF26" s="312"/>
      <c r="BG26" s="313"/>
    </row>
    <row r="27" spans="1:59">
      <c r="A27" s="195">
        <v>16</v>
      </c>
      <c r="B27" s="311"/>
      <c r="C27" s="312"/>
      <c r="D27" s="312"/>
      <c r="E27" s="312"/>
      <c r="F27" s="312"/>
      <c r="G27" s="312"/>
      <c r="H27" s="312"/>
      <c r="I27" s="312"/>
      <c r="J27" s="312"/>
      <c r="K27" s="312"/>
      <c r="L27" s="312"/>
      <c r="M27" s="312"/>
      <c r="N27" s="313"/>
      <c r="P27" s="195">
        <v>16</v>
      </c>
      <c r="Q27" s="311"/>
      <c r="R27" s="312"/>
      <c r="S27" s="312"/>
      <c r="T27" s="312"/>
      <c r="U27" s="312"/>
      <c r="V27" s="312"/>
      <c r="W27" s="312"/>
      <c r="X27" s="312"/>
      <c r="Y27" s="312"/>
      <c r="Z27" s="312"/>
      <c r="AA27" s="312"/>
      <c r="AB27" s="312"/>
      <c r="AC27" s="313"/>
      <c r="AE27" s="195">
        <v>16</v>
      </c>
      <c r="AF27" s="311"/>
      <c r="AG27" s="312"/>
      <c r="AH27" s="312"/>
      <c r="AI27" s="312"/>
      <c r="AJ27" s="312"/>
      <c r="AK27" s="312"/>
      <c r="AL27" s="312"/>
      <c r="AM27" s="312"/>
      <c r="AN27" s="312"/>
      <c r="AO27" s="312"/>
      <c r="AP27" s="312"/>
      <c r="AQ27" s="312"/>
      <c r="AR27" s="313"/>
      <c r="AT27" s="195">
        <v>16</v>
      </c>
      <c r="AU27" s="311"/>
      <c r="AV27" s="312"/>
      <c r="AW27" s="312"/>
      <c r="AX27" s="312"/>
      <c r="AY27" s="312"/>
      <c r="AZ27" s="312"/>
      <c r="BA27" s="312"/>
      <c r="BB27" s="312"/>
      <c r="BC27" s="312"/>
      <c r="BD27" s="312"/>
      <c r="BE27" s="312"/>
      <c r="BF27" s="312"/>
      <c r="BG27" s="313"/>
    </row>
    <row r="28" spans="1:59">
      <c r="A28" s="195">
        <v>17</v>
      </c>
      <c r="B28" s="311"/>
      <c r="C28" s="312"/>
      <c r="D28" s="312"/>
      <c r="E28" s="312"/>
      <c r="F28" s="312"/>
      <c r="G28" s="312"/>
      <c r="H28" s="312"/>
      <c r="I28" s="312"/>
      <c r="J28" s="312"/>
      <c r="K28" s="312"/>
      <c r="L28" s="312"/>
      <c r="M28" s="312"/>
      <c r="N28" s="313"/>
      <c r="P28" s="195">
        <v>17</v>
      </c>
      <c r="Q28" s="311"/>
      <c r="R28" s="312"/>
      <c r="S28" s="312"/>
      <c r="T28" s="312"/>
      <c r="U28" s="312"/>
      <c r="V28" s="312"/>
      <c r="W28" s="312"/>
      <c r="X28" s="312"/>
      <c r="Y28" s="312"/>
      <c r="Z28" s="312"/>
      <c r="AA28" s="312"/>
      <c r="AB28" s="312"/>
      <c r="AC28" s="313"/>
      <c r="AE28" s="195">
        <v>17</v>
      </c>
      <c r="AF28" s="311"/>
      <c r="AG28" s="312"/>
      <c r="AH28" s="312"/>
      <c r="AI28" s="312"/>
      <c r="AJ28" s="312"/>
      <c r="AK28" s="312"/>
      <c r="AL28" s="312"/>
      <c r="AM28" s="312"/>
      <c r="AN28" s="312"/>
      <c r="AO28" s="312"/>
      <c r="AP28" s="312"/>
      <c r="AQ28" s="312"/>
      <c r="AR28" s="313"/>
      <c r="AT28" s="195">
        <v>17</v>
      </c>
      <c r="AU28" s="311"/>
      <c r="AV28" s="312"/>
      <c r="AW28" s="312"/>
      <c r="AX28" s="312"/>
      <c r="AY28" s="312"/>
      <c r="AZ28" s="312"/>
      <c r="BA28" s="312"/>
      <c r="BB28" s="312"/>
      <c r="BC28" s="312"/>
      <c r="BD28" s="312"/>
      <c r="BE28" s="312"/>
      <c r="BF28" s="312"/>
      <c r="BG28" s="313"/>
    </row>
    <row r="29" spans="1:59">
      <c r="A29" s="195">
        <v>18</v>
      </c>
      <c r="B29" s="311"/>
      <c r="C29" s="312"/>
      <c r="D29" s="312"/>
      <c r="E29" s="312"/>
      <c r="F29" s="312"/>
      <c r="G29" s="312"/>
      <c r="H29" s="312"/>
      <c r="I29" s="312"/>
      <c r="J29" s="312"/>
      <c r="K29" s="312"/>
      <c r="L29" s="312"/>
      <c r="M29" s="312"/>
      <c r="N29" s="313"/>
      <c r="P29" s="195">
        <v>18</v>
      </c>
      <c r="Q29" s="311"/>
      <c r="R29" s="312"/>
      <c r="S29" s="312"/>
      <c r="T29" s="312"/>
      <c r="U29" s="312"/>
      <c r="V29" s="312"/>
      <c r="W29" s="312"/>
      <c r="X29" s="312"/>
      <c r="Y29" s="312"/>
      <c r="Z29" s="312"/>
      <c r="AA29" s="312"/>
      <c r="AB29" s="312"/>
      <c r="AC29" s="313"/>
      <c r="AE29" s="195">
        <v>18</v>
      </c>
      <c r="AF29" s="311"/>
      <c r="AG29" s="312"/>
      <c r="AH29" s="312"/>
      <c r="AI29" s="312"/>
      <c r="AJ29" s="312"/>
      <c r="AK29" s="312"/>
      <c r="AL29" s="312"/>
      <c r="AM29" s="312"/>
      <c r="AN29" s="312"/>
      <c r="AO29" s="312"/>
      <c r="AP29" s="312"/>
      <c r="AQ29" s="312"/>
      <c r="AR29" s="313"/>
      <c r="AT29" s="195">
        <v>18</v>
      </c>
      <c r="AU29" s="311"/>
      <c r="AV29" s="312"/>
      <c r="AW29" s="312"/>
      <c r="AX29" s="312"/>
      <c r="AY29" s="312"/>
      <c r="AZ29" s="312"/>
      <c r="BA29" s="312"/>
      <c r="BB29" s="312"/>
      <c r="BC29" s="312"/>
      <c r="BD29" s="312"/>
      <c r="BE29" s="312"/>
      <c r="BF29" s="312"/>
      <c r="BG29" s="313"/>
    </row>
    <row r="30" spans="1:59">
      <c r="A30" s="195">
        <v>19</v>
      </c>
      <c r="B30" s="311"/>
      <c r="C30" s="312"/>
      <c r="D30" s="312"/>
      <c r="E30" s="312"/>
      <c r="F30" s="312"/>
      <c r="G30" s="312"/>
      <c r="H30" s="312"/>
      <c r="I30" s="312"/>
      <c r="J30" s="312"/>
      <c r="K30" s="312"/>
      <c r="L30" s="312"/>
      <c r="M30" s="312"/>
      <c r="N30" s="313"/>
      <c r="P30" s="195">
        <v>19</v>
      </c>
      <c r="Q30" s="311"/>
      <c r="R30" s="312"/>
      <c r="S30" s="312"/>
      <c r="T30" s="312"/>
      <c r="U30" s="312"/>
      <c r="V30" s="312"/>
      <c r="W30" s="312"/>
      <c r="X30" s="312"/>
      <c r="Y30" s="312"/>
      <c r="Z30" s="312"/>
      <c r="AA30" s="312"/>
      <c r="AB30" s="312"/>
      <c r="AC30" s="313"/>
      <c r="AE30" s="195">
        <v>19</v>
      </c>
      <c r="AF30" s="311"/>
      <c r="AG30" s="312"/>
      <c r="AH30" s="312"/>
      <c r="AI30" s="312"/>
      <c r="AJ30" s="312"/>
      <c r="AK30" s="312"/>
      <c r="AL30" s="312"/>
      <c r="AM30" s="312"/>
      <c r="AN30" s="312"/>
      <c r="AO30" s="312"/>
      <c r="AP30" s="312"/>
      <c r="AQ30" s="312"/>
      <c r="AR30" s="313"/>
      <c r="AT30" s="195">
        <v>19</v>
      </c>
      <c r="AU30" s="311"/>
      <c r="AV30" s="312"/>
      <c r="AW30" s="312"/>
      <c r="AX30" s="312"/>
      <c r="AY30" s="312"/>
      <c r="AZ30" s="312"/>
      <c r="BA30" s="312"/>
      <c r="BB30" s="312"/>
      <c r="BC30" s="312"/>
      <c r="BD30" s="312"/>
      <c r="BE30" s="312"/>
      <c r="BF30" s="312"/>
      <c r="BG30" s="313"/>
    </row>
    <row r="31" spans="1:59">
      <c r="A31" s="195">
        <v>20</v>
      </c>
      <c r="B31" s="311"/>
      <c r="C31" s="312"/>
      <c r="D31" s="312"/>
      <c r="E31" s="312"/>
      <c r="F31" s="312"/>
      <c r="G31" s="312"/>
      <c r="H31" s="312"/>
      <c r="I31" s="312"/>
      <c r="J31" s="312"/>
      <c r="K31" s="312"/>
      <c r="L31" s="312"/>
      <c r="M31" s="312"/>
      <c r="N31" s="313"/>
      <c r="P31" s="195">
        <v>20</v>
      </c>
      <c r="Q31" s="311"/>
      <c r="R31" s="312"/>
      <c r="S31" s="312"/>
      <c r="T31" s="312"/>
      <c r="U31" s="312"/>
      <c r="V31" s="312"/>
      <c r="W31" s="312"/>
      <c r="X31" s="312"/>
      <c r="Y31" s="312"/>
      <c r="Z31" s="312"/>
      <c r="AA31" s="312"/>
      <c r="AB31" s="312"/>
      <c r="AC31" s="313"/>
      <c r="AE31" s="195">
        <v>20</v>
      </c>
      <c r="AF31" s="311"/>
      <c r="AG31" s="312"/>
      <c r="AH31" s="312"/>
      <c r="AI31" s="312"/>
      <c r="AJ31" s="312"/>
      <c r="AK31" s="312"/>
      <c r="AL31" s="312"/>
      <c r="AM31" s="312"/>
      <c r="AN31" s="312"/>
      <c r="AO31" s="312"/>
      <c r="AP31" s="312"/>
      <c r="AQ31" s="312"/>
      <c r="AR31" s="313"/>
      <c r="AT31" s="195">
        <v>20</v>
      </c>
      <c r="AU31" s="311"/>
      <c r="AV31" s="312"/>
      <c r="AW31" s="312"/>
      <c r="AX31" s="312"/>
      <c r="AY31" s="312"/>
      <c r="AZ31" s="312"/>
      <c r="BA31" s="312"/>
      <c r="BB31" s="312"/>
      <c r="BC31" s="312"/>
      <c r="BD31" s="312"/>
      <c r="BE31" s="312"/>
      <c r="BF31" s="312"/>
      <c r="BG31" s="313"/>
    </row>
    <row r="32" spans="1:59">
      <c r="A32" s="195">
        <v>21</v>
      </c>
      <c r="B32" s="311"/>
      <c r="C32" s="312"/>
      <c r="D32" s="312"/>
      <c r="E32" s="312"/>
      <c r="F32" s="312"/>
      <c r="G32" s="312"/>
      <c r="H32" s="312"/>
      <c r="I32" s="312"/>
      <c r="J32" s="312"/>
      <c r="K32" s="312"/>
      <c r="L32" s="312"/>
      <c r="M32" s="312"/>
      <c r="N32" s="313"/>
      <c r="P32" s="195">
        <v>21</v>
      </c>
      <c r="Q32" s="311"/>
      <c r="R32" s="312"/>
      <c r="S32" s="312"/>
      <c r="T32" s="312"/>
      <c r="U32" s="312"/>
      <c r="V32" s="312"/>
      <c r="W32" s="312"/>
      <c r="X32" s="312"/>
      <c r="Y32" s="312"/>
      <c r="Z32" s="312"/>
      <c r="AA32" s="312"/>
      <c r="AB32" s="312"/>
      <c r="AC32" s="313"/>
      <c r="AE32" s="195">
        <v>21</v>
      </c>
      <c r="AF32" s="311"/>
      <c r="AG32" s="312"/>
      <c r="AH32" s="312"/>
      <c r="AI32" s="312"/>
      <c r="AJ32" s="312"/>
      <c r="AK32" s="312"/>
      <c r="AL32" s="312"/>
      <c r="AM32" s="312"/>
      <c r="AN32" s="312"/>
      <c r="AO32" s="312"/>
      <c r="AP32" s="312"/>
      <c r="AQ32" s="312"/>
      <c r="AR32" s="313"/>
      <c r="AT32" s="195">
        <v>21</v>
      </c>
      <c r="AU32" s="311"/>
      <c r="AV32" s="312"/>
      <c r="AW32" s="312"/>
      <c r="AX32" s="312"/>
      <c r="AY32" s="312"/>
      <c r="AZ32" s="312"/>
      <c r="BA32" s="312"/>
      <c r="BB32" s="312"/>
      <c r="BC32" s="312"/>
      <c r="BD32" s="312"/>
      <c r="BE32" s="312"/>
      <c r="BF32" s="312"/>
      <c r="BG32" s="313"/>
    </row>
    <row r="33" spans="1:59">
      <c r="A33" s="195">
        <v>22</v>
      </c>
      <c r="B33" s="311"/>
      <c r="C33" s="312"/>
      <c r="D33" s="312"/>
      <c r="E33" s="312"/>
      <c r="F33" s="312"/>
      <c r="G33" s="312"/>
      <c r="H33" s="312"/>
      <c r="I33" s="312"/>
      <c r="J33" s="312"/>
      <c r="K33" s="312"/>
      <c r="L33" s="312"/>
      <c r="M33" s="312"/>
      <c r="N33" s="313"/>
      <c r="P33" s="195">
        <v>22</v>
      </c>
      <c r="Q33" s="311"/>
      <c r="R33" s="312"/>
      <c r="S33" s="312"/>
      <c r="T33" s="312"/>
      <c r="U33" s="312"/>
      <c r="V33" s="312"/>
      <c r="W33" s="312"/>
      <c r="X33" s="312"/>
      <c r="Y33" s="312"/>
      <c r="Z33" s="312"/>
      <c r="AA33" s="312"/>
      <c r="AB33" s="312"/>
      <c r="AC33" s="313"/>
      <c r="AE33" s="195">
        <v>22</v>
      </c>
      <c r="AF33" s="311"/>
      <c r="AG33" s="312"/>
      <c r="AH33" s="312"/>
      <c r="AI33" s="312"/>
      <c r="AJ33" s="312"/>
      <c r="AK33" s="312"/>
      <c r="AL33" s="312"/>
      <c r="AM33" s="312"/>
      <c r="AN33" s="312"/>
      <c r="AO33" s="312"/>
      <c r="AP33" s="312"/>
      <c r="AQ33" s="312"/>
      <c r="AR33" s="313"/>
      <c r="AT33" s="195">
        <v>22</v>
      </c>
      <c r="AU33" s="311"/>
      <c r="AV33" s="312"/>
      <c r="AW33" s="312"/>
      <c r="AX33" s="312"/>
      <c r="AY33" s="312"/>
      <c r="AZ33" s="312"/>
      <c r="BA33" s="312"/>
      <c r="BB33" s="312"/>
      <c r="BC33" s="312"/>
      <c r="BD33" s="312"/>
      <c r="BE33" s="312"/>
      <c r="BF33" s="312"/>
      <c r="BG33" s="313"/>
    </row>
    <row r="34" spans="1:59">
      <c r="A34" s="195">
        <v>23</v>
      </c>
      <c r="B34" s="311"/>
      <c r="C34" s="312"/>
      <c r="D34" s="312"/>
      <c r="E34" s="312"/>
      <c r="F34" s="312"/>
      <c r="G34" s="312"/>
      <c r="H34" s="312"/>
      <c r="I34" s="312"/>
      <c r="J34" s="312"/>
      <c r="K34" s="312"/>
      <c r="L34" s="312"/>
      <c r="M34" s="312"/>
      <c r="N34" s="313"/>
      <c r="P34" s="195">
        <v>23</v>
      </c>
      <c r="Q34" s="311"/>
      <c r="R34" s="312"/>
      <c r="S34" s="312"/>
      <c r="T34" s="312"/>
      <c r="U34" s="312"/>
      <c r="V34" s="312"/>
      <c r="W34" s="312"/>
      <c r="X34" s="312"/>
      <c r="Y34" s="312"/>
      <c r="Z34" s="312"/>
      <c r="AA34" s="312"/>
      <c r="AB34" s="312"/>
      <c r="AC34" s="313"/>
      <c r="AE34" s="195">
        <v>23</v>
      </c>
      <c r="AF34" s="311"/>
      <c r="AG34" s="312"/>
      <c r="AH34" s="312"/>
      <c r="AI34" s="312"/>
      <c r="AJ34" s="312"/>
      <c r="AK34" s="312"/>
      <c r="AL34" s="312"/>
      <c r="AM34" s="312"/>
      <c r="AN34" s="312"/>
      <c r="AO34" s="312"/>
      <c r="AP34" s="312"/>
      <c r="AQ34" s="312"/>
      <c r="AR34" s="313"/>
      <c r="AT34" s="195">
        <v>23</v>
      </c>
      <c r="AU34" s="311"/>
      <c r="AV34" s="312"/>
      <c r="AW34" s="312"/>
      <c r="AX34" s="312"/>
      <c r="AY34" s="312"/>
      <c r="AZ34" s="312"/>
      <c r="BA34" s="312"/>
      <c r="BB34" s="312"/>
      <c r="BC34" s="312"/>
      <c r="BD34" s="312"/>
      <c r="BE34" s="312"/>
      <c r="BF34" s="312"/>
      <c r="BG34" s="313"/>
    </row>
    <row r="35" spans="1:59">
      <c r="A35" s="195">
        <v>24</v>
      </c>
      <c r="B35" s="311"/>
      <c r="C35" s="312"/>
      <c r="D35" s="312"/>
      <c r="E35" s="312"/>
      <c r="F35" s="312"/>
      <c r="G35" s="312"/>
      <c r="H35" s="312"/>
      <c r="I35" s="312"/>
      <c r="J35" s="312"/>
      <c r="K35" s="312"/>
      <c r="L35" s="312"/>
      <c r="M35" s="312"/>
      <c r="N35" s="313"/>
      <c r="P35" s="195">
        <v>24</v>
      </c>
      <c r="Q35" s="311"/>
      <c r="R35" s="312"/>
      <c r="S35" s="312"/>
      <c r="T35" s="312"/>
      <c r="U35" s="312"/>
      <c r="V35" s="312"/>
      <c r="W35" s="312"/>
      <c r="X35" s="312"/>
      <c r="Y35" s="312"/>
      <c r="Z35" s="312"/>
      <c r="AA35" s="312"/>
      <c r="AB35" s="312"/>
      <c r="AC35" s="313"/>
      <c r="AE35" s="195">
        <v>24</v>
      </c>
      <c r="AF35" s="311"/>
      <c r="AG35" s="312"/>
      <c r="AH35" s="312"/>
      <c r="AI35" s="312"/>
      <c r="AJ35" s="312"/>
      <c r="AK35" s="312"/>
      <c r="AL35" s="312"/>
      <c r="AM35" s="312"/>
      <c r="AN35" s="312"/>
      <c r="AO35" s="312"/>
      <c r="AP35" s="312"/>
      <c r="AQ35" s="312"/>
      <c r="AR35" s="313"/>
      <c r="AT35" s="195">
        <v>24</v>
      </c>
      <c r="AU35" s="311"/>
      <c r="AV35" s="312"/>
      <c r="AW35" s="312"/>
      <c r="AX35" s="312"/>
      <c r="AY35" s="312"/>
      <c r="AZ35" s="312"/>
      <c r="BA35" s="312"/>
      <c r="BB35" s="312"/>
      <c r="BC35" s="312"/>
      <c r="BD35" s="312"/>
      <c r="BE35" s="312"/>
      <c r="BF35" s="312"/>
      <c r="BG35" s="313"/>
    </row>
    <row r="36" spans="1:59">
      <c r="A36" s="195">
        <v>25</v>
      </c>
      <c r="B36" s="311"/>
      <c r="C36" s="312"/>
      <c r="D36" s="312"/>
      <c r="E36" s="312"/>
      <c r="F36" s="312"/>
      <c r="G36" s="312"/>
      <c r="H36" s="312"/>
      <c r="I36" s="312"/>
      <c r="J36" s="312"/>
      <c r="K36" s="312"/>
      <c r="L36" s="312"/>
      <c r="M36" s="312"/>
      <c r="N36" s="313"/>
      <c r="P36" s="195">
        <v>25</v>
      </c>
      <c r="Q36" s="311"/>
      <c r="R36" s="312"/>
      <c r="S36" s="312"/>
      <c r="T36" s="312"/>
      <c r="U36" s="312"/>
      <c r="V36" s="312"/>
      <c r="W36" s="312"/>
      <c r="X36" s="312"/>
      <c r="Y36" s="312"/>
      <c r="Z36" s="312"/>
      <c r="AA36" s="312"/>
      <c r="AB36" s="312"/>
      <c r="AC36" s="313"/>
      <c r="AE36" s="195">
        <v>25</v>
      </c>
      <c r="AF36" s="311"/>
      <c r="AG36" s="312"/>
      <c r="AH36" s="312"/>
      <c r="AI36" s="312"/>
      <c r="AJ36" s="312"/>
      <c r="AK36" s="312"/>
      <c r="AL36" s="312"/>
      <c r="AM36" s="312"/>
      <c r="AN36" s="312"/>
      <c r="AO36" s="312"/>
      <c r="AP36" s="312"/>
      <c r="AQ36" s="312"/>
      <c r="AR36" s="313"/>
      <c r="AT36" s="195">
        <v>25</v>
      </c>
      <c r="AU36" s="311"/>
      <c r="AV36" s="312"/>
      <c r="AW36" s="312"/>
      <c r="AX36" s="312"/>
      <c r="AY36" s="312"/>
      <c r="AZ36" s="312"/>
      <c r="BA36" s="312"/>
      <c r="BB36" s="312"/>
      <c r="BC36" s="312"/>
      <c r="BD36" s="312"/>
      <c r="BE36" s="312"/>
      <c r="BF36" s="312"/>
      <c r="BG36" s="313"/>
    </row>
    <row r="37" spans="1:59">
      <c r="A37" s="195">
        <v>26</v>
      </c>
      <c r="B37" s="311"/>
      <c r="C37" s="312"/>
      <c r="D37" s="312"/>
      <c r="E37" s="312"/>
      <c r="F37" s="312"/>
      <c r="G37" s="312"/>
      <c r="H37" s="312"/>
      <c r="I37" s="312"/>
      <c r="J37" s="312"/>
      <c r="K37" s="312"/>
      <c r="L37" s="312"/>
      <c r="M37" s="312"/>
      <c r="N37" s="313"/>
      <c r="P37" s="195">
        <v>26</v>
      </c>
      <c r="Q37" s="311"/>
      <c r="R37" s="312"/>
      <c r="S37" s="312"/>
      <c r="T37" s="312"/>
      <c r="U37" s="312"/>
      <c r="V37" s="312"/>
      <c r="W37" s="312"/>
      <c r="X37" s="312"/>
      <c r="Y37" s="312"/>
      <c r="Z37" s="312"/>
      <c r="AA37" s="312"/>
      <c r="AB37" s="312"/>
      <c r="AC37" s="313"/>
      <c r="AE37" s="195">
        <v>26</v>
      </c>
      <c r="AF37" s="311"/>
      <c r="AG37" s="312"/>
      <c r="AH37" s="312"/>
      <c r="AI37" s="312"/>
      <c r="AJ37" s="312"/>
      <c r="AK37" s="312"/>
      <c r="AL37" s="312"/>
      <c r="AM37" s="312"/>
      <c r="AN37" s="312"/>
      <c r="AO37" s="312"/>
      <c r="AP37" s="312"/>
      <c r="AQ37" s="312"/>
      <c r="AR37" s="313"/>
      <c r="AT37" s="195">
        <v>26</v>
      </c>
      <c r="AU37" s="311"/>
      <c r="AV37" s="312"/>
      <c r="AW37" s="312"/>
      <c r="AX37" s="312"/>
      <c r="AY37" s="312"/>
      <c r="AZ37" s="312"/>
      <c r="BA37" s="312"/>
      <c r="BB37" s="312"/>
      <c r="BC37" s="312"/>
      <c r="BD37" s="312"/>
      <c r="BE37" s="312"/>
      <c r="BF37" s="312"/>
      <c r="BG37" s="313"/>
    </row>
    <row r="38" spans="1:59">
      <c r="A38" s="195">
        <v>27</v>
      </c>
      <c r="B38" s="311"/>
      <c r="C38" s="312"/>
      <c r="D38" s="312"/>
      <c r="E38" s="312"/>
      <c r="F38" s="312"/>
      <c r="G38" s="312"/>
      <c r="H38" s="312"/>
      <c r="I38" s="312"/>
      <c r="J38" s="312"/>
      <c r="K38" s="312"/>
      <c r="L38" s="312"/>
      <c r="M38" s="312"/>
      <c r="N38" s="313"/>
      <c r="P38" s="195">
        <v>27</v>
      </c>
      <c r="Q38" s="311"/>
      <c r="R38" s="312"/>
      <c r="S38" s="312"/>
      <c r="T38" s="312"/>
      <c r="U38" s="312"/>
      <c r="V38" s="312"/>
      <c r="W38" s="312"/>
      <c r="X38" s="312"/>
      <c r="Y38" s="312"/>
      <c r="Z38" s="312"/>
      <c r="AA38" s="312"/>
      <c r="AB38" s="312"/>
      <c r="AC38" s="313"/>
      <c r="AE38" s="195">
        <v>27</v>
      </c>
      <c r="AF38" s="311"/>
      <c r="AG38" s="312"/>
      <c r="AH38" s="312"/>
      <c r="AI38" s="312"/>
      <c r="AJ38" s="312"/>
      <c r="AK38" s="312"/>
      <c r="AL38" s="312"/>
      <c r="AM38" s="312"/>
      <c r="AN38" s="312"/>
      <c r="AO38" s="312"/>
      <c r="AP38" s="312"/>
      <c r="AQ38" s="312"/>
      <c r="AR38" s="313"/>
      <c r="AT38" s="195">
        <v>27</v>
      </c>
      <c r="AU38" s="311"/>
      <c r="AV38" s="312"/>
      <c r="AW38" s="312"/>
      <c r="AX38" s="312"/>
      <c r="AY38" s="312"/>
      <c r="AZ38" s="312"/>
      <c r="BA38" s="312"/>
      <c r="BB38" s="312"/>
      <c r="BC38" s="312"/>
      <c r="BD38" s="312"/>
      <c r="BE38" s="312"/>
      <c r="BF38" s="312"/>
      <c r="BG38" s="313"/>
    </row>
    <row r="39" spans="1:59">
      <c r="A39" s="195">
        <v>28</v>
      </c>
      <c r="B39" s="311"/>
      <c r="C39" s="312"/>
      <c r="D39" s="312"/>
      <c r="E39" s="312"/>
      <c r="F39" s="312"/>
      <c r="G39" s="312"/>
      <c r="H39" s="312"/>
      <c r="I39" s="312"/>
      <c r="J39" s="312"/>
      <c r="K39" s="312"/>
      <c r="L39" s="312"/>
      <c r="M39" s="312"/>
      <c r="N39" s="313"/>
      <c r="P39" s="195">
        <v>28</v>
      </c>
      <c r="Q39" s="311"/>
      <c r="R39" s="312"/>
      <c r="S39" s="312"/>
      <c r="T39" s="312"/>
      <c r="U39" s="312"/>
      <c r="V39" s="312"/>
      <c r="W39" s="312"/>
      <c r="X39" s="312"/>
      <c r="Y39" s="312"/>
      <c r="Z39" s="312"/>
      <c r="AA39" s="312"/>
      <c r="AB39" s="312"/>
      <c r="AC39" s="313"/>
      <c r="AE39" s="195">
        <v>28</v>
      </c>
      <c r="AF39" s="311"/>
      <c r="AG39" s="312"/>
      <c r="AH39" s="312"/>
      <c r="AI39" s="312"/>
      <c r="AJ39" s="312"/>
      <c r="AK39" s="312"/>
      <c r="AL39" s="312"/>
      <c r="AM39" s="312"/>
      <c r="AN39" s="312"/>
      <c r="AO39" s="312"/>
      <c r="AP39" s="312"/>
      <c r="AQ39" s="312"/>
      <c r="AR39" s="313"/>
      <c r="AT39" s="195">
        <v>28</v>
      </c>
      <c r="AU39" s="311"/>
      <c r="AV39" s="312"/>
      <c r="AW39" s="312"/>
      <c r="AX39" s="312"/>
      <c r="AY39" s="312"/>
      <c r="AZ39" s="312"/>
      <c r="BA39" s="312"/>
      <c r="BB39" s="312"/>
      <c r="BC39" s="312"/>
      <c r="BD39" s="312"/>
      <c r="BE39" s="312"/>
      <c r="BF39" s="312"/>
      <c r="BG39" s="313"/>
    </row>
    <row r="40" spans="1:59">
      <c r="A40" s="195">
        <v>29</v>
      </c>
      <c r="B40" s="311"/>
      <c r="C40" s="312"/>
      <c r="D40" s="312"/>
      <c r="E40" s="312"/>
      <c r="F40" s="312"/>
      <c r="G40" s="312"/>
      <c r="H40" s="312"/>
      <c r="I40" s="312"/>
      <c r="J40" s="312"/>
      <c r="K40" s="312"/>
      <c r="L40" s="312"/>
      <c r="M40" s="312"/>
      <c r="N40" s="313"/>
      <c r="P40" s="195">
        <v>29</v>
      </c>
      <c r="Q40" s="311"/>
      <c r="R40" s="312"/>
      <c r="S40" s="312"/>
      <c r="T40" s="312"/>
      <c r="U40" s="312"/>
      <c r="V40" s="312"/>
      <c r="W40" s="312"/>
      <c r="X40" s="312"/>
      <c r="Y40" s="312"/>
      <c r="Z40" s="312"/>
      <c r="AA40" s="312"/>
      <c r="AB40" s="312"/>
      <c r="AC40" s="313"/>
      <c r="AE40" s="195">
        <v>29</v>
      </c>
      <c r="AF40" s="311"/>
      <c r="AG40" s="312"/>
      <c r="AH40" s="312"/>
      <c r="AI40" s="312"/>
      <c r="AJ40" s="312"/>
      <c r="AK40" s="312"/>
      <c r="AL40" s="312"/>
      <c r="AM40" s="312"/>
      <c r="AN40" s="312"/>
      <c r="AO40" s="312"/>
      <c r="AP40" s="312"/>
      <c r="AQ40" s="312"/>
      <c r="AR40" s="313"/>
      <c r="AT40" s="195">
        <v>29</v>
      </c>
      <c r="AU40" s="311"/>
      <c r="AV40" s="312"/>
      <c r="AW40" s="312"/>
      <c r="AX40" s="312"/>
      <c r="AY40" s="312"/>
      <c r="AZ40" s="312"/>
      <c r="BA40" s="312"/>
      <c r="BB40" s="312"/>
      <c r="BC40" s="312"/>
      <c r="BD40" s="312"/>
      <c r="BE40" s="312"/>
      <c r="BF40" s="312"/>
      <c r="BG40" s="313"/>
    </row>
    <row r="41" spans="1:59">
      <c r="A41" s="195">
        <v>30</v>
      </c>
      <c r="B41" s="311"/>
      <c r="C41" s="312"/>
      <c r="D41" s="312"/>
      <c r="E41" s="312"/>
      <c r="F41" s="312"/>
      <c r="G41" s="312"/>
      <c r="H41" s="312"/>
      <c r="I41" s="312"/>
      <c r="J41" s="312"/>
      <c r="K41" s="312"/>
      <c r="L41" s="312"/>
      <c r="M41" s="312"/>
      <c r="N41" s="313"/>
      <c r="P41" s="195">
        <v>30</v>
      </c>
      <c r="Q41" s="311"/>
      <c r="R41" s="312"/>
      <c r="S41" s="312"/>
      <c r="T41" s="312"/>
      <c r="U41" s="312"/>
      <c r="V41" s="312"/>
      <c r="W41" s="312"/>
      <c r="X41" s="312"/>
      <c r="Y41" s="312"/>
      <c r="Z41" s="312"/>
      <c r="AA41" s="312"/>
      <c r="AB41" s="312"/>
      <c r="AC41" s="313"/>
      <c r="AE41" s="195">
        <v>30</v>
      </c>
      <c r="AF41" s="311"/>
      <c r="AG41" s="312"/>
      <c r="AH41" s="312"/>
      <c r="AI41" s="312"/>
      <c r="AJ41" s="312"/>
      <c r="AK41" s="312"/>
      <c r="AL41" s="312"/>
      <c r="AM41" s="312"/>
      <c r="AN41" s="312"/>
      <c r="AO41" s="312"/>
      <c r="AP41" s="312"/>
      <c r="AQ41" s="312"/>
      <c r="AR41" s="313"/>
      <c r="AT41" s="195">
        <v>30</v>
      </c>
      <c r="AU41" s="311"/>
      <c r="AV41" s="312"/>
      <c r="AW41" s="312"/>
      <c r="AX41" s="312"/>
      <c r="AY41" s="312"/>
      <c r="AZ41" s="312"/>
      <c r="BA41" s="312"/>
      <c r="BB41" s="312"/>
      <c r="BC41" s="312"/>
      <c r="BD41" s="312"/>
      <c r="BE41" s="312"/>
      <c r="BF41" s="312"/>
      <c r="BG41" s="313"/>
    </row>
    <row r="42" spans="1:59">
      <c r="A42" s="195">
        <v>31</v>
      </c>
      <c r="B42" s="311"/>
      <c r="C42" s="312"/>
      <c r="D42" s="312"/>
      <c r="E42" s="312"/>
      <c r="F42" s="312"/>
      <c r="G42" s="312"/>
      <c r="H42" s="312"/>
      <c r="I42" s="312"/>
      <c r="J42" s="312"/>
      <c r="K42" s="312"/>
      <c r="L42" s="312"/>
      <c r="M42" s="312"/>
      <c r="N42" s="313"/>
      <c r="P42" s="195">
        <v>31</v>
      </c>
      <c r="Q42" s="311"/>
      <c r="R42" s="312"/>
      <c r="S42" s="312"/>
      <c r="T42" s="312"/>
      <c r="U42" s="312"/>
      <c r="V42" s="312"/>
      <c r="W42" s="312"/>
      <c r="X42" s="312"/>
      <c r="Y42" s="312"/>
      <c r="Z42" s="312"/>
      <c r="AA42" s="312"/>
      <c r="AB42" s="312"/>
      <c r="AC42" s="313"/>
      <c r="AE42" s="195">
        <v>31</v>
      </c>
      <c r="AF42" s="311"/>
      <c r="AG42" s="312"/>
      <c r="AH42" s="312"/>
      <c r="AI42" s="312"/>
      <c r="AJ42" s="312"/>
      <c r="AK42" s="312"/>
      <c r="AL42" s="312"/>
      <c r="AM42" s="312"/>
      <c r="AN42" s="312"/>
      <c r="AO42" s="312"/>
      <c r="AP42" s="312"/>
      <c r="AQ42" s="312"/>
      <c r="AR42" s="313"/>
      <c r="AT42" s="195">
        <v>31</v>
      </c>
      <c r="AU42" s="311"/>
      <c r="AV42" s="312"/>
      <c r="AW42" s="312"/>
      <c r="AX42" s="312"/>
      <c r="AY42" s="312"/>
      <c r="AZ42" s="312"/>
      <c r="BA42" s="312"/>
      <c r="BB42" s="312"/>
      <c r="BC42" s="312"/>
      <c r="BD42" s="312"/>
      <c r="BE42" s="312"/>
      <c r="BF42" s="312"/>
      <c r="BG42" s="313"/>
    </row>
    <row r="43" spans="1:59">
      <c r="A43" s="195">
        <v>32</v>
      </c>
      <c r="B43" s="311"/>
      <c r="C43" s="312"/>
      <c r="D43" s="312"/>
      <c r="E43" s="312"/>
      <c r="F43" s="312"/>
      <c r="G43" s="312"/>
      <c r="H43" s="312"/>
      <c r="I43" s="312"/>
      <c r="J43" s="312"/>
      <c r="K43" s="312"/>
      <c r="L43" s="312"/>
      <c r="M43" s="312"/>
      <c r="N43" s="313"/>
      <c r="P43" s="195">
        <v>32</v>
      </c>
      <c r="Q43" s="311"/>
      <c r="R43" s="312"/>
      <c r="S43" s="312"/>
      <c r="T43" s="312"/>
      <c r="U43" s="312"/>
      <c r="V43" s="312"/>
      <c r="W43" s="312"/>
      <c r="X43" s="312"/>
      <c r="Y43" s="312"/>
      <c r="Z43" s="312"/>
      <c r="AA43" s="312"/>
      <c r="AB43" s="312"/>
      <c r="AC43" s="313"/>
      <c r="AE43" s="195">
        <v>32</v>
      </c>
      <c r="AF43" s="311"/>
      <c r="AG43" s="312"/>
      <c r="AH43" s="312"/>
      <c r="AI43" s="312"/>
      <c r="AJ43" s="312"/>
      <c r="AK43" s="312"/>
      <c r="AL43" s="312"/>
      <c r="AM43" s="312"/>
      <c r="AN43" s="312"/>
      <c r="AO43" s="312"/>
      <c r="AP43" s="312"/>
      <c r="AQ43" s="312"/>
      <c r="AR43" s="313"/>
      <c r="AT43" s="195">
        <v>32</v>
      </c>
      <c r="AU43" s="311"/>
      <c r="AV43" s="312"/>
      <c r="AW43" s="312"/>
      <c r="AX43" s="312"/>
      <c r="AY43" s="312"/>
      <c r="AZ43" s="312"/>
      <c r="BA43" s="312"/>
      <c r="BB43" s="312"/>
      <c r="BC43" s="312"/>
      <c r="BD43" s="312"/>
      <c r="BE43" s="312"/>
      <c r="BF43" s="312"/>
      <c r="BG43" s="313"/>
    </row>
    <row r="44" spans="1:59">
      <c r="A44" s="195">
        <v>33</v>
      </c>
      <c r="B44" s="311"/>
      <c r="C44" s="312"/>
      <c r="D44" s="312"/>
      <c r="E44" s="312"/>
      <c r="F44" s="312"/>
      <c r="G44" s="312"/>
      <c r="H44" s="312"/>
      <c r="I44" s="312"/>
      <c r="J44" s="312"/>
      <c r="K44" s="312"/>
      <c r="L44" s="312"/>
      <c r="M44" s="312"/>
      <c r="N44" s="313"/>
      <c r="P44" s="195">
        <v>33</v>
      </c>
      <c r="Q44" s="311"/>
      <c r="R44" s="312"/>
      <c r="S44" s="312"/>
      <c r="T44" s="312"/>
      <c r="U44" s="312"/>
      <c r="V44" s="312"/>
      <c r="W44" s="312"/>
      <c r="X44" s="312"/>
      <c r="Y44" s="312"/>
      <c r="Z44" s="312"/>
      <c r="AA44" s="312"/>
      <c r="AB44" s="312"/>
      <c r="AC44" s="313"/>
      <c r="AE44" s="195">
        <v>33</v>
      </c>
      <c r="AF44" s="311"/>
      <c r="AG44" s="312"/>
      <c r="AH44" s="312"/>
      <c r="AI44" s="312"/>
      <c r="AJ44" s="312"/>
      <c r="AK44" s="312"/>
      <c r="AL44" s="312"/>
      <c r="AM44" s="312"/>
      <c r="AN44" s="312"/>
      <c r="AO44" s="312"/>
      <c r="AP44" s="312"/>
      <c r="AQ44" s="312"/>
      <c r="AR44" s="313"/>
      <c r="AT44" s="195">
        <v>33</v>
      </c>
      <c r="AU44" s="311"/>
      <c r="AV44" s="312"/>
      <c r="AW44" s="312"/>
      <c r="AX44" s="312"/>
      <c r="AY44" s="312"/>
      <c r="AZ44" s="312"/>
      <c r="BA44" s="312"/>
      <c r="BB44" s="312"/>
      <c r="BC44" s="312"/>
      <c r="BD44" s="312"/>
      <c r="BE44" s="312"/>
      <c r="BF44" s="312"/>
      <c r="BG44" s="313"/>
    </row>
    <row r="45" spans="1:59">
      <c r="A45" s="195">
        <v>34</v>
      </c>
      <c r="B45" s="311"/>
      <c r="C45" s="312"/>
      <c r="D45" s="312"/>
      <c r="E45" s="312"/>
      <c r="F45" s="312"/>
      <c r="G45" s="312"/>
      <c r="H45" s="312"/>
      <c r="I45" s="312"/>
      <c r="J45" s="312"/>
      <c r="K45" s="312"/>
      <c r="L45" s="312"/>
      <c r="M45" s="312"/>
      <c r="N45" s="313"/>
      <c r="P45" s="195">
        <v>34</v>
      </c>
      <c r="Q45" s="311"/>
      <c r="R45" s="312"/>
      <c r="S45" s="312"/>
      <c r="T45" s="312"/>
      <c r="U45" s="312"/>
      <c r="V45" s="312"/>
      <c r="W45" s="312"/>
      <c r="X45" s="312"/>
      <c r="Y45" s="312"/>
      <c r="Z45" s="312"/>
      <c r="AA45" s="312"/>
      <c r="AB45" s="312"/>
      <c r="AC45" s="313"/>
      <c r="AE45" s="195">
        <v>34</v>
      </c>
      <c r="AF45" s="311"/>
      <c r="AG45" s="312"/>
      <c r="AH45" s="312"/>
      <c r="AI45" s="312"/>
      <c r="AJ45" s="312"/>
      <c r="AK45" s="312"/>
      <c r="AL45" s="312"/>
      <c r="AM45" s="312"/>
      <c r="AN45" s="312"/>
      <c r="AO45" s="312"/>
      <c r="AP45" s="312"/>
      <c r="AQ45" s="312"/>
      <c r="AR45" s="313"/>
      <c r="AT45" s="195">
        <v>34</v>
      </c>
      <c r="AU45" s="311"/>
      <c r="AV45" s="312"/>
      <c r="AW45" s="312"/>
      <c r="AX45" s="312"/>
      <c r="AY45" s="312"/>
      <c r="AZ45" s="312"/>
      <c r="BA45" s="312"/>
      <c r="BB45" s="312"/>
      <c r="BC45" s="312"/>
      <c r="BD45" s="312"/>
      <c r="BE45" s="312"/>
      <c r="BF45" s="312"/>
      <c r="BG45" s="313"/>
    </row>
    <row r="46" spans="1:59">
      <c r="A46" s="195">
        <v>35</v>
      </c>
      <c r="B46" s="311"/>
      <c r="C46" s="312"/>
      <c r="D46" s="312"/>
      <c r="E46" s="312"/>
      <c r="F46" s="312"/>
      <c r="G46" s="312"/>
      <c r="H46" s="312"/>
      <c r="I46" s="312"/>
      <c r="J46" s="312"/>
      <c r="K46" s="312"/>
      <c r="L46" s="312"/>
      <c r="M46" s="312"/>
      <c r="N46" s="313"/>
      <c r="P46" s="195">
        <v>35</v>
      </c>
      <c r="Q46" s="311"/>
      <c r="R46" s="312"/>
      <c r="S46" s="312"/>
      <c r="T46" s="312"/>
      <c r="U46" s="312"/>
      <c r="V46" s="312"/>
      <c r="W46" s="312"/>
      <c r="X46" s="312"/>
      <c r="Y46" s="312"/>
      <c r="Z46" s="312"/>
      <c r="AA46" s="312"/>
      <c r="AB46" s="312"/>
      <c r="AC46" s="313"/>
      <c r="AE46" s="195">
        <v>35</v>
      </c>
      <c r="AF46" s="311"/>
      <c r="AG46" s="312"/>
      <c r="AH46" s="312"/>
      <c r="AI46" s="312"/>
      <c r="AJ46" s="312"/>
      <c r="AK46" s="312"/>
      <c r="AL46" s="312"/>
      <c r="AM46" s="312"/>
      <c r="AN46" s="312"/>
      <c r="AO46" s="312"/>
      <c r="AP46" s="312"/>
      <c r="AQ46" s="312"/>
      <c r="AR46" s="313"/>
      <c r="AT46" s="195">
        <v>35</v>
      </c>
      <c r="AU46" s="311"/>
      <c r="AV46" s="312"/>
      <c r="AW46" s="312"/>
      <c r="AX46" s="312"/>
      <c r="AY46" s="312"/>
      <c r="AZ46" s="312"/>
      <c r="BA46" s="312"/>
      <c r="BB46" s="312"/>
      <c r="BC46" s="312"/>
      <c r="BD46" s="312"/>
      <c r="BE46" s="312"/>
      <c r="BF46" s="312"/>
      <c r="BG46" s="313"/>
    </row>
    <row r="47" spans="1:59">
      <c r="A47" s="195">
        <v>36</v>
      </c>
      <c r="B47" s="311"/>
      <c r="C47" s="312"/>
      <c r="D47" s="312"/>
      <c r="E47" s="312"/>
      <c r="F47" s="312"/>
      <c r="G47" s="312"/>
      <c r="H47" s="312"/>
      <c r="I47" s="312"/>
      <c r="J47" s="312"/>
      <c r="K47" s="312"/>
      <c r="L47" s="312"/>
      <c r="M47" s="312"/>
      <c r="N47" s="313"/>
      <c r="P47" s="195">
        <v>36</v>
      </c>
      <c r="Q47" s="311"/>
      <c r="R47" s="312"/>
      <c r="S47" s="312"/>
      <c r="T47" s="312"/>
      <c r="U47" s="312"/>
      <c r="V47" s="312"/>
      <c r="W47" s="312"/>
      <c r="X47" s="312"/>
      <c r="Y47" s="312"/>
      <c r="Z47" s="312"/>
      <c r="AA47" s="312"/>
      <c r="AB47" s="312"/>
      <c r="AC47" s="313"/>
      <c r="AE47" s="195">
        <v>36</v>
      </c>
      <c r="AF47" s="311"/>
      <c r="AG47" s="312"/>
      <c r="AH47" s="312"/>
      <c r="AI47" s="312"/>
      <c r="AJ47" s="312"/>
      <c r="AK47" s="312"/>
      <c r="AL47" s="312"/>
      <c r="AM47" s="312"/>
      <c r="AN47" s="312"/>
      <c r="AO47" s="312"/>
      <c r="AP47" s="312"/>
      <c r="AQ47" s="312"/>
      <c r="AR47" s="313"/>
      <c r="AT47" s="195">
        <v>36</v>
      </c>
      <c r="AU47" s="311"/>
      <c r="AV47" s="312"/>
      <c r="AW47" s="312"/>
      <c r="AX47" s="312"/>
      <c r="AY47" s="312"/>
      <c r="AZ47" s="312"/>
      <c r="BA47" s="312"/>
      <c r="BB47" s="312"/>
      <c r="BC47" s="312"/>
      <c r="BD47" s="312"/>
      <c r="BE47" s="312"/>
      <c r="BF47" s="312"/>
      <c r="BG47" s="313"/>
    </row>
    <row r="48" spans="1:59">
      <c r="A48" s="195">
        <v>37</v>
      </c>
      <c r="B48" s="311"/>
      <c r="C48" s="312"/>
      <c r="D48" s="312"/>
      <c r="E48" s="312"/>
      <c r="F48" s="312"/>
      <c r="G48" s="312"/>
      <c r="H48" s="312"/>
      <c r="I48" s="312"/>
      <c r="J48" s="312"/>
      <c r="K48" s="312"/>
      <c r="L48" s="312"/>
      <c r="M48" s="312"/>
      <c r="N48" s="313"/>
      <c r="P48" s="195">
        <v>37</v>
      </c>
      <c r="Q48" s="311"/>
      <c r="R48" s="312"/>
      <c r="S48" s="312"/>
      <c r="T48" s="312"/>
      <c r="U48" s="312"/>
      <c r="V48" s="312"/>
      <c r="W48" s="312"/>
      <c r="X48" s="312"/>
      <c r="Y48" s="312"/>
      <c r="Z48" s="312"/>
      <c r="AA48" s="312"/>
      <c r="AB48" s="312"/>
      <c r="AC48" s="313"/>
      <c r="AE48" s="195">
        <v>37</v>
      </c>
      <c r="AF48" s="311"/>
      <c r="AG48" s="312"/>
      <c r="AH48" s="312"/>
      <c r="AI48" s="312"/>
      <c r="AJ48" s="312"/>
      <c r="AK48" s="312"/>
      <c r="AL48" s="312"/>
      <c r="AM48" s="312"/>
      <c r="AN48" s="312"/>
      <c r="AO48" s="312"/>
      <c r="AP48" s="312"/>
      <c r="AQ48" s="312"/>
      <c r="AR48" s="313"/>
      <c r="AT48" s="195">
        <v>37</v>
      </c>
      <c r="AU48" s="311"/>
      <c r="AV48" s="312"/>
      <c r="AW48" s="312"/>
      <c r="AX48" s="312"/>
      <c r="AY48" s="312"/>
      <c r="AZ48" s="312"/>
      <c r="BA48" s="312"/>
      <c r="BB48" s="312"/>
      <c r="BC48" s="312"/>
      <c r="BD48" s="312"/>
      <c r="BE48" s="312"/>
      <c r="BF48" s="312"/>
      <c r="BG48" s="313"/>
    </row>
    <row r="49" spans="1:59">
      <c r="A49" s="195">
        <v>38</v>
      </c>
      <c r="B49" s="311"/>
      <c r="C49" s="312"/>
      <c r="D49" s="312"/>
      <c r="E49" s="312"/>
      <c r="F49" s="312"/>
      <c r="G49" s="312"/>
      <c r="H49" s="312"/>
      <c r="I49" s="312"/>
      <c r="J49" s="312"/>
      <c r="K49" s="312"/>
      <c r="L49" s="312"/>
      <c r="M49" s="312"/>
      <c r="N49" s="313"/>
      <c r="P49" s="195">
        <v>38</v>
      </c>
      <c r="Q49" s="311"/>
      <c r="R49" s="312"/>
      <c r="S49" s="312"/>
      <c r="T49" s="312"/>
      <c r="U49" s="312"/>
      <c r="V49" s="312"/>
      <c r="W49" s="312"/>
      <c r="X49" s="312"/>
      <c r="Y49" s="312"/>
      <c r="Z49" s="312"/>
      <c r="AA49" s="312"/>
      <c r="AB49" s="312"/>
      <c r="AC49" s="313"/>
      <c r="AE49" s="195">
        <v>38</v>
      </c>
      <c r="AF49" s="311"/>
      <c r="AG49" s="312"/>
      <c r="AH49" s="312"/>
      <c r="AI49" s="312"/>
      <c r="AJ49" s="312"/>
      <c r="AK49" s="312"/>
      <c r="AL49" s="312"/>
      <c r="AM49" s="312"/>
      <c r="AN49" s="312"/>
      <c r="AO49" s="312"/>
      <c r="AP49" s="312"/>
      <c r="AQ49" s="312"/>
      <c r="AR49" s="313"/>
      <c r="AT49" s="195">
        <v>38</v>
      </c>
      <c r="AU49" s="311"/>
      <c r="AV49" s="312"/>
      <c r="AW49" s="312"/>
      <c r="AX49" s="312"/>
      <c r="AY49" s="312"/>
      <c r="AZ49" s="312"/>
      <c r="BA49" s="312"/>
      <c r="BB49" s="312"/>
      <c r="BC49" s="312"/>
      <c r="BD49" s="312"/>
      <c r="BE49" s="312"/>
      <c r="BF49" s="312"/>
      <c r="BG49" s="313"/>
    </row>
    <row r="50" spans="1:59">
      <c r="A50" s="195">
        <v>39</v>
      </c>
      <c r="B50" s="311"/>
      <c r="C50" s="312"/>
      <c r="D50" s="312"/>
      <c r="E50" s="312"/>
      <c r="F50" s="312"/>
      <c r="G50" s="312"/>
      <c r="H50" s="312"/>
      <c r="I50" s="312"/>
      <c r="J50" s="312"/>
      <c r="K50" s="312"/>
      <c r="L50" s="312"/>
      <c r="M50" s="312"/>
      <c r="N50" s="313"/>
      <c r="P50" s="195">
        <v>39</v>
      </c>
      <c r="Q50" s="311"/>
      <c r="R50" s="312"/>
      <c r="S50" s="312"/>
      <c r="T50" s="312"/>
      <c r="U50" s="312"/>
      <c r="V50" s="312"/>
      <c r="W50" s="312"/>
      <c r="X50" s="312"/>
      <c r="Y50" s="312"/>
      <c r="Z50" s="312"/>
      <c r="AA50" s="312"/>
      <c r="AB50" s="312"/>
      <c r="AC50" s="313"/>
      <c r="AE50" s="195">
        <v>39</v>
      </c>
      <c r="AF50" s="311"/>
      <c r="AG50" s="312"/>
      <c r="AH50" s="312"/>
      <c r="AI50" s="312"/>
      <c r="AJ50" s="312"/>
      <c r="AK50" s="312"/>
      <c r="AL50" s="312"/>
      <c r="AM50" s="312"/>
      <c r="AN50" s="312"/>
      <c r="AO50" s="312"/>
      <c r="AP50" s="312"/>
      <c r="AQ50" s="312"/>
      <c r="AR50" s="313"/>
      <c r="AT50" s="195">
        <v>39</v>
      </c>
      <c r="AU50" s="311"/>
      <c r="AV50" s="312"/>
      <c r="AW50" s="312"/>
      <c r="AX50" s="312"/>
      <c r="AY50" s="312"/>
      <c r="AZ50" s="312"/>
      <c r="BA50" s="312"/>
      <c r="BB50" s="312"/>
      <c r="BC50" s="312"/>
      <c r="BD50" s="312"/>
      <c r="BE50" s="312"/>
      <c r="BF50" s="312"/>
      <c r="BG50" s="313"/>
    </row>
    <row r="51" spans="1:59">
      <c r="A51" s="195">
        <v>40</v>
      </c>
      <c r="B51" s="311"/>
      <c r="C51" s="312"/>
      <c r="D51" s="312"/>
      <c r="E51" s="312"/>
      <c r="F51" s="312"/>
      <c r="G51" s="312"/>
      <c r="H51" s="312"/>
      <c r="I51" s="312"/>
      <c r="J51" s="312"/>
      <c r="K51" s="312"/>
      <c r="L51" s="312"/>
      <c r="M51" s="312"/>
      <c r="N51" s="313"/>
      <c r="P51" s="195">
        <v>40</v>
      </c>
      <c r="Q51" s="311"/>
      <c r="R51" s="312"/>
      <c r="S51" s="312"/>
      <c r="T51" s="312"/>
      <c r="U51" s="312"/>
      <c r="V51" s="312"/>
      <c r="W51" s="312"/>
      <c r="X51" s="312"/>
      <c r="Y51" s="312"/>
      <c r="Z51" s="312"/>
      <c r="AA51" s="312"/>
      <c r="AB51" s="312"/>
      <c r="AC51" s="313"/>
      <c r="AE51" s="195">
        <v>40</v>
      </c>
      <c r="AF51" s="311"/>
      <c r="AG51" s="312"/>
      <c r="AH51" s="312"/>
      <c r="AI51" s="312"/>
      <c r="AJ51" s="312"/>
      <c r="AK51" s="312"/>
      <c r="AL51" s="312"/>
      <c r="AM51" s="312"/>
      <c r="AN51" s="312"/>
      <c r="AO51" s="312"/>
      <c r="AP51" s="312"/>
      <c r="AQ51" s="312"/>
      <c r="AR51" s="313"/>
      <c r="AT51" s="195">
        <v>40</v>
      </c>
      <c r="AU51" s="311"/>
      <c r="AV51" s="312"/>
      <c r="AW51" s="312"/>
      <c r="AX51" s="312"/>
      <c r="AY51" s="312"/>
      <c r="AZ51" s="312"/>
      <c r="BA51" s="312"/>
      <c r="BB51" s="312"/>
      <c r="BC51" s="312"/>
      <c r="BD51" s="312"/>
      <c r="BE51" s="312"/>
      <c r="BF51" s="312"/>
      <c r="BG51" s="313"/>
    </row>
    <row r="52" spans="1:59">
      <c r="A52" s="195">
        <v>41</v>
      </c>
      <c r="B52" s="311"/>
      <c r="C52" s="312"/>
      <c r="D52" s="312"/>
      <c r="E52" s="312"/>
      <c r="F52" s="312"/>
      <c r="G52" s="312"/>
      <c r="H52" s="312"/>
      <c r="I52" s="312"/>
      <c r="J52" s="312"/>
      <c r="K52" s="312"/>
      <c r="L52" s="312"/>
      <c r="M52" s="312"/>
      <c r="N52" s="313"/>
      <c r="P52" s="195">
        <v>41</v>
      </c>
      <c r="Q52" s="311"/>
      <c r="R52" s="312"/>
      <c r="S52" s="312"/>
      <c r="T52" s="312"/>
      <c r="U52" s="312"/>
      <c r="V52" s="312"/>
      <c r="W52" s="312"/>
      <c r="X52" s="312"/>
      <c r="Y52" s="312"/>
      <c r="Z52" s="312"/>
      <c r="AA52" s="312"/>
      <c r="AB52" s="312"/>
      <c r="AC52" s="313"/>
      <c r="AE52" s="195">
        <v>41</v>
      </c>
      <c r="AF52" s="311"/>
      <c r="AG52" s="312"/>
      <c r="AH52" s="312"/>
      <c r="AI52" s="312"/>
      <c r="AJ52" s="312"/>
      <c r="AK52" s="312"/>
      <c r="AL52" s="312"/>
      <c r="AM52" s="312"/>
      <c r="AN52" s="312"/>
      <c r="AO52" s="312"/>
      <c r="AP52" s="312"/>
      <c r="AQ52" s="312"/>
      <c r="AR52" s="313"/>
      <c r="AT52" s="195">
        <v>41</v>
      </c>
      <c r="AU52" s="311"/>
      <c r="AV52" s="312"/>
      <c r="AW52" s="312"/>
      <c r="AX52" s="312"/>
      <c r="AY52" s="312"/>
      <c r="AZ52" s="312"/>
      <c r="BA52" s="312"/>
      <c r="BB52" s="312"/>
      <c r="BC52" s="312"/>
      <c r="BD52" s="312"/>
      <c r="BE52" s="312"/>
      <c r="BF52" s="312"/>
      <c r="BG52" s="313"/>
    </row>
    <row r="53" spans="1:59">
      <c r="A53" s="195">
        <v>42</v>
      </c>
      <c r="B53" s="311"/>
      <c r="C53" s="312"/>
      <c r="D53" s="312"/>
      <c r="E53" s="312"/>
      <c r="F53" s="312"/>
      <c r="G53" s="312"/>
      <c r="H53" s="312"/>
      <c r="I53" s="312"/>
      <c r="J53" s="312"/>
      <c r="K53" s="312"/>
      <c r="L53" s="312"/>
      <c r="M53" s="312"/>
      <c r="N53" s="313"/>
      <c r="P53" s="195">
        <v>42</v>
      </c>
      <c r="Q53" s="311"/>
      <c r="R53" s="312"/>
      <c r="S53" s="312"/>
      <c r="T53" s="312"/>
      <c r="U53" s="312"/>
      <c r="V53" s="312"/>
      <c r="W53" s="312"/>
      <c r="X53" s="312"/>
      <c r="Y53" s="312"/>
      <c r="Z53" s="312"/>
      <c r="AA53" s="312"/>
      <c r="AB53" s="312"/>
      <c r="AC53" s="313"/>
      <c r="AE53" s="195">
        <v>42</v>
      </c>
      <c r="AF53" s="311"/>
      <c r="AG53" s="312"/>
      <c r="AH53" s="312"/>
      <c r="AI53" s="312"/>
      <c r="AJ53" s="312"/>
      <c r="AK53" s="312"/>
      <c r="AL53" s="312"/>
      <c r="AM53" s="312"/>
      <c r="AN53" s="312"/>
      <c r="AO53" s="312"/>
      <c r="AP53" s="312"/>
      <c r="AQ53" s="312"/>
      <c r="AR53" s="313"/>
      <c r="AT53" s="195">
        <v>42</v>
      </c>
      <c r="AU53" s="311"/>
      <c r="AV53" s="312"/>
      <c r="AW53" s="312"/>
      <c r="AX53" s="312"/>
      <c r="AY53" s="312"/>
      <c r="AZ53" s="312"/>
      <c r="BA53" s="312"/>
      <c r="BB53" s="312"/>
      <c r="BC53" s="312"/>
      <c r="BD53" s="312"/>
      <c r="BE53" s="312"/>
      <c r="BF53" s="312"/>
      <c r="BG53" s="313"/>
    </row>
    <row r="54" spans="1:59">
      <c r="A54" s="195">
        <v>43</v>
      </c>
      <c r="B54" s="311"/>
      <c r="C54" s="312"/>
      <c r="D54" s="312"/>
      <c r="E54" s="312"/>
      <c r="F54" s="312"/>
      <c r="G54" s="312"/>
      <c r="H54" s="312"/>
      <c r="I54" s="312"/>
      <c r="J54" s="312"/>
      <c r="K54" s="312"/>
      <c r="L54" s="312"/>
      <c r="M54" s="312"/>
      <c r="N54" s="313"/>
      <c r="P54" s="195">
        <v>43</v>
      </c>
      <c r="Q54" s="311"/>
      <c r="R54" s="312"/>
      <c r="S54" s="312"/>
      <c r="T54" s="312"/>
      <c r="U54" s="312"/>
      <c r="V54" s="312"/>
      <c r="W54" s="312"/>
      <c r="X54" s="312"/>
      <c r="Y54" s="312"/>
      <c r="Z54" s="312"/>
      <c r="AA54" s="312"/>
      <c r="AB54" s="312"/>
      <c r="AC54" s="313"/>
      <c r="AE54" s="195">
        <v>43</v>
      </c>
      <c r="AF54" s="311"/>
      <c r="AG54" s="312"/>
      <c r="AH54" s="312"/>
      <c r="AI54" s="312"/>
      <c r="AJ54" s="312"/>
      <c r="AK54" s="312"/>
      <c r="AL54" s="312"/>
      <c r="AM54" s="312"/>
      <c r="AN54" s="312"/>
      <c r="AO54" s="312"/>
      <c r="AP54" s="312"/>
      <c r="AQ54" s="312"/>
      <c r="AR54" s="313"/>
      <c r="AT54" s="195">
        <v>43</v>
      </c>
      <c r="AU54" s="311"/>
      <c r="AV54" s="312"/>
      <c r="AW54" s="312"/>
      <c r="AX54" s="312"/>
      <c r="AY54" s="312"/>
      <c r="AZ54" s="312"/>
      <c r="BA54" s="312"/>
      <c r="BB54" s="312"/>
      <c r="BC54" s="312"/>
      <c r="BD54" s="312"/>
      <c r="BE54" s="312"/>
      <c r="BF54" s="312"/>
      <c r="BG54" s="313"/>
    </row>
    <row r="55" spans="1:59">
      <c r="A55" s="195">
        <v>44</v>
      </c>
      <c r="B55" s="311"/>
      <c r="C55" s="312"/>
      <c r="D55" s="312"/>
      <c r="E55" s="312"/>
      <c r="F55" s="312"/>
      <c r="G55" s="312"/>
      <c r="H55" s="312"/>
      <c r="I55" s="312"/>
      <c r="J55" s="312"/>
      <c r="K55" s="312"/>
      <c r="L55" s="312"/>
      <c r="M55" s="312"/>
      <c r="N55" s="313"/>
      <c r="P55" s="195">
        <v>44</v>
      </c>
      <c r="Q55" s="311"/>
      <c r="R55" s="312"/>
      <c r="S55" s="312"/>
      <c r="T55" s="312"/>
      <c r="U55" s="312"/>
      <c r="V55" s="312"/>
      <c r="W55" s="312"/>
      <c r="X55" s="312"/>
      <c r="Y55" s="312"/>
      <c r="Z55" s="312"/>
      <c r="AA55" s="312"/>
      <c r="AB55" s="312"/>
      <c r="AC55" s="313"/>
      <c r="AE55" s="195">
        <v>44</v>
      </c>
      <c r="AF55" s="311"/>
      <c r="AG55" s="312"/>
      <c r="AH55" s="312"/>
      <c r="AI55" s="312"/>
      <c r="AJ55" s="312"/>
      <c r="AK55" s="312"/>
      <c r="AL55" s="312"/>
      <c r="AM55" s="312"/>
      <c r="AN55" s="312"/>
      <c r="AO55" s="312"/>
      <c r="AP55" s="312"/>
      <c r="AQ55" s="312"/>
      <c r="AR55" s="313"/>
      <c r="AT55" s="195">
        <v>44</v>
      </c>
      <c r="AU55" s="311"/>
      <c r="AV55" s="312"/>
      <c r="AW55" s="312"/>
      <c r="AX55" s="312"/>
      <c r="AY55" s="312"/>
      <c r="AZ55" s="312"/>
      <c r="BA55" s="312"/>
      <c r="BB55" s="312"/>
      <c r="BC55" s="312"/>
      <c r="BD55" s="312"/>
      <c r="BE55" s="312"/>
      <c r="BF55" s="312"/>
      <c r="BG55" s="313"/>
    </row>
    <row r="56" spans="1:59">
      <c r="A56" s="195">
        <v>45</v>
      </c>
      <c r="B56" s="311"/>
      <c r="C56" s="312"/>
      <c r="D56" s="312"/>
      <c r="E56" s="312"/>
      <c r="F56" s="312"/>
      <c r="G56" s="312"/>
      <c r="H56" s="312"/>
      <c r="I56" s="312"/>
      <c r="J56" s="312"/>
      <c r="K56" s="312"/>
      <c r="L56" s="312"/>
      <c r="M56" s="312"/>
      <c r="N56" s="313"/>
      <c r="P56" s="195">
        <v>45</v>
      </c>
      <c r="Q56" s="311"/>
      <c r="R56" s="312"/>
      <c r="S56" s="312"/>
      <c r="T56" s="312"/>
      <c r="U56" s="312"/>
      <c r="V56" s="312"/>
      <c r="W56" s="312"/>
      <c r="X56" s="312"/>
      <c r="Y56" s="312"/>
      <c r="Z56" s="312"/>
      <c r="AA56" s="312"/>
      <c r="AB56" s="312"/>
      <c r="AC56" s="313"/>
      <c r="AE56" s="195">
        <v>45</v>
      </c>
      <c r="AF56" s="311"/>
      <c r="AG56" s="312"/>
      <c r="AH56" s="312"/>
      <c r="AI56" s="312"/>
      <c r="AJ56" s="312"/>
      <c r="AK56" s="312"/>
      <c r="AL56" s="312"/>
      <c r="AM56" s="312"/>
      <c r="AN56" s="312"/>
      <c r="AO56" s="312"/>
      <c r="AP56" s="312"/>
      <c r="AQ56" s="312"/>
      <c r="AR56" s="313"/>
      <c r="AT56" s="195">
        <v>45</v>
      </c>
      <c r="AU56" s="311"/>
      <c r="AV56" s="312"/>
      <c r="AW56" s="312"/>
      <c r="AX56" s="312"/>
      <c r="AY56" s="312"/>
      <c r="AZ56" s="312"/>
      <c r="BA56" s="312"/>
      <c r="BB56" s="312"/>
      <c r="BC56" s="312"/>
      <c r="BD56" s="312"/>
      <c r="BE56" s="312"/>
      <c r="BF56" s="312"/>
      <c r="BG56" s="313"/>
    </row>
    <row r="57" spans="1:59">
      <c r="A57" s="195">
        <v>46</v>
      </c>
      <c r="B57" s="311"/>
      <c r="C57" s="312"/>
      <c r="D57" s="312"/>
      <c r="E57" s="312"/>
      <c r="F57" s="312"/>
      <c r="G57" s="312"/>
      <c r="H57" s="312"/>
      <c r="I57" s="312"/>
      <c r="J57" s="312"/>
      <c r="K57" s="312"/>
      <c r="L57" s="312"/>
      <c r="M57" s="312"/>
      <c r="N57" s="313"/>
      <c r="P57" s="195">
        <v>46</v>
      </c>
      <c r="Q57" s="311"/>
      <c r="R57" s="312"/>
      <c r="S57" s="312"/>
      <c r="T57" s="312"/>
      <c r="U57" s="312"/>
      <c r="V57" s="312"/>
      <c r="W57" s="312"/>
      <c r="X57" s="312"/>
      <c r="Y57" s="312"/>
      <c r="Z57" s="312"/>
      <c r="AA57" s="312"/>
      <c r="AB57" s="312"/>
      <c r="AC57" s="313"/>
      <c r="AE57" s="195">
        <v>46</v>
      </c>
      <c r="AF57" s="311"/>
      <c r="AG57" s="312"/>
      <c r="AH57" s="312"/>
      <c r="AI57" s="312"/>
      <c r="AJ57" s="312"/>
      <c r="AK57" s="312"/>
      <c r="AL57" s="312"/>
      <c r="AM57" s="312"/>
      <c r="AN57" s="312"/>
      <c r="AO57" s="312"/>
      <c r="AP57" s="312"/>
      <c r="AQ57" s="312"/>
      <c r="AR57" s="313"/>
      <c r="AT57" s="195">
        <v>46</v>
      </c>
      <c r="AU57" s="311"/>
      <c r="AV57" s="312"/>
      <c r="AW57" s="312"/>
      <c r="AX57" s="312"/>
      <c r="AY57" s="312"/>
      <c r="AZ57" s="312"/>
      <c r="BA57" s="312"/>
      <c r="BB57" s="312"/>
      <c r="BC57" s="312"/>
      <c r="BD57" s="312"/>
      <c r="BE57" s="312"/>
      <c r="BF57" s="312"/>
      <c r="BG57" s="313"/>
    </row>
    <row r="58" spans="1:59">
      <c r="A58" s="195">
        <v>47</v>
      </c>
      <c r="B58" s="311"/>
      <c r="C58" s="312"/>
      <c r="D58" s="312"/>
      <c r="E58" s="312"/>
      <c r="F58" s="312"/>
      <c r="G58" s="312"/>
      <c r="H58" s="312"/>
      <c r="I58" s="312"/>
      <c r="J58" s="312"/>
      <c r="K58" s="312"/>
      <c r="L58" s="312"/>
      <c r="M58" s="312"/>
      <c r="N58" s="313"/>
      <c r="P58" s="195">
        <v>47</v>
      </c>
      <c r="Q58" s="311"/>
      <c r="R58" s="312"/>
      <c r="S58" s="312"/>
      <c r="T58" s="312"/>
      <c r="U58" s="312"/>
      <c r="V58" s="312"/>
      <c r="W58" s="312"/>
      <c r="X58" s="312"/>
      <c r="Y58" s="312"/>
      <c r="Z58" s="312"/>
      <c r="AA58" s="312"/>
      <c r="AB58" s="312"/>
      <c r="AC58" s="313"/>
      <c r="AE58" s="195">
        <v>47</v>
      </c>
      <c r="AF58" s="311"/>
      <c r="AG58" s="312"/>
      <c r="AH58" s="312"/>
      <c r="AI58" s="312"/>
      <c r="AJ58" s="312"/>
      <c r="AK58" s="312"/>
      <c r="AL58" s="312"/>
      <c r="AM58" s="312"/>
      <c r="AN58" s="312"/>
      <c r="AO58" s="312"/>
      <c r="AP58" s="312"/>
      <c r="AQ58" s="312"/>
      <c r="AR58" s="313"/>
      <c r="AT58" s="195">
        <v>47</v>
      </c>
      <c r="AU58" s="311"/>
      <c r="AV58" s="312"/>
      <c r="AW58" s="312"/>
      <c r="AX58" s="312"/>
      <c r="AY58" s="312"/>
      <c r="AZ58" s="312"/>
      <c r="BA58" s="312"/>
      <c r="BB58" s="312"/>
      <c r="BC58" s="312"/>
      <c r="BD58" s="312"/>
      <c r="BE58" s="312"/>
      <c r="BF58" s="312"/>
      <c r="BG58" s="313"/>
    </row>
    <row r="59" spans="1:59">
      <c r="A59" s="195">
        <v>48</v>
      </c>
      <c r="B59" s="311"/>
      <c r="C59" s="312"/>
      <c r="D59" s="312"/>
      <c r="E59" s="312"/>
      <c r="F59" s="312"/>
      <c r="G59" s="312"/>
      <c r="H59" s="312"/>
      <c r="I59" s="312"/>
      <c r="J59" s="312"/>
      <c r="K59" s="312"/>
      <c r="L59" s="312"/>
      <c r="M59" s="312"/>
      <c r="N59" s="313"/>
      <c r="P59" s="195">
        <v>48</v>
      </c>
      <c r="Q59" s="311"/>
      <c r="R59" s="312"/>
      <c r="S59" s="312"/>
      <c r="T59" s="312"/>
      <c r="U59" s="312"/>
      <c r="V59" s="312"/>
      <c r="W59" s="312"/>
      <c r="X59" s="312"/>
      <c r="Y59" s="312"/>
      <c r="Z59" s="312"/>
      <c r="AA59" s="312"/>
      <c r="AB59" s="312"/>
      <c r="AC59" s="313"/>
      <c r="AE59" s="195">
        <v>48</v>
      </c>
      <c r="AF59" s="311"/>
      <c r="AG59" s="312"/>
      <c r="AH59" s="312"/>
      <c r="AI59" s="312"/>
      <c r="AJ59" s="312"/>
      <c r="AK59" s="312"/>
      <c r="AL59" s="312"/>
      <c r="AM59" s="312"/>
      <c r="AN59" s="312"/>
      <c r="AO59" s="312"/>
      <c r="AP59" s="312"/>
      <c r="AQ59" s="312"/>
      <c r="AR59" s="313"/>
      <c r="AT59" s="195">
        <v>48</v>
      </c>
      <c r="AU59" s="311"/>
      <c r="AV59" s="312"/>
      <c r="AW59" s="312"/>
      <c r="AX59" s="312"/>
      <c r="AY59" s="312"/>
      <c r="AZ59" s="312"/>
      <c r="BA59" s="312"/>
      <c r="BB59" s="312"/>
      <c r="BC59" s="312"/>
      <c r="BD59" s="312"/>
      <c r="BE59" s="312"/>
      <c r="BF59" s="312"/>
      <c r="BG59" s="313"/>
    </row>
    <row r="60" spans="1:59">
      <c r="A60" s="195">
        <v>49</v>
      </c>
      <c r="B60" s="311"/>
      <c r="C60" s="312"/>
      <c r="D60" s="312"/>
      <c r="E60" s="312"/>
      <c r="F60" s="312"/>
      <c r="G60" s="312"/>
      <c r="H60" s="312"/>
      <c r="I60" s="312"/>
      <c r="J60" s="312"/>
      <c r="K60" s="312"/>
      <c r="L60" s="312"/>
      <c r="M60" s="312"/>
      <c r="N60" s="313"/>
      <c r="P60" s="195">
        <v>49</v>
      </c>
      <c r="Q60" s="311"/>
      <c r="R60" s="312"/>
      <c r="S60" s="312"/>
      <c r="T60" s="312"/>
      <c r="U60" s="312"/>
      <c r="V60" s="312"/>
      <c r="W60" s="312"/>
      <c r="X60" s="312"/>
      <c r="Y60" s="312"/>
      <c r="Z60" s="312"/>
      <c r="AA60" s="312"/>
      <c r="AB60" s="312"/>
      <c r="AC60" s="313"/>
      <c r="AE60" s="195">
        <v>49</v>
      </c>
      <c r="AF60" s="311"/>
      <c r="AG60" s="312"/>
      <c r="AH60" s="312"/>
      <c r="AI60" s="312"/>
      <c r="AJ60" s="312"/>
      <c r="AK60" s="312"/>
      <c r="AL60" s="312"/>
      <c r="AM60" s="312"/>
      <c r="AN60" s="312"/>
      <c r="AO60" s="312"/>
      <c r="AP60" s="312"/>
      <c r="AQ60" s="312"/>
      <c r="AR60" s="313"/>
      <c r="AT60" s="195">
        <v>49</v>
      </c>
      <c r="AU60" s="311"/>
      <c r="AV60" s="312"/>
      <c r="AW60" s="312"/>
      <c r="AX60" s="312"/>
      <c r="AY60" s="312"/>
      <c r="AZ60" s="312"/>
      <c r="BA60" s="312"/>
      <c r="BB60" s="312"/>
      <c r="BC60" s="312"/>
      <c r="BD60" s="312"/>
      <c r="BE60" s="312"/>
      <c r="BF60" s="312"/>
      <c r="BG60" s="313"/>
    </row>
    <row r="61" spans="1:59">
      <c r="A61" s="195">
        <v>50</v>
      </c>
      <c r="B61" s="311"/>
      <c r="C61" s="312"/>
      <c r="D61" s="312"/>
      <c r="E61" s="312"/>
      <c r="F61" s="312"/>
      <c r="G61" s="312"/>
      <c r="H61" s="312"/>
      <c r="I61" s="312"/>
      <c r="J61" s="312"/>
      <c r="K61" s="312"/>
      <c r="L61" s="312"/>
      <c r="M61" s="312"/>
      <c r="N61" s="313"/>
      <c r="P61" s="195">
        <v>50</v>
      </c>
      <c r="Q61" s="311"/>
      <c r="R61" s="312"/>
      <c r="S61" s="312"/>
      <c r="T61" s="312"/>
      <c r="U61" s="312"/>
      <c r="V61" s="312"/>
      <c r="W61" s="312"/>
      <c r="X61" s="312"/>
      <c r="Y61" s="312"/>
      <c r="Z61" s="312"/>
      <c r="AA61" s="312"/>
      <c r="AB61" s="312"/>
      <c r="AC61" s="313"/>
      <c r="AE61" s="195">
        <v>50</v>
      </c>
      <c r="AF61" s="311"/>
      <c r="AG61" s="312"/>
      <c r="AH61" s="312"/>
      <c r="AI61" s="312"/>
      <c r="AJ61" s="312"/>
      <c r="AK61" s="312"/>
      <c r="AL61" s="312"/>
      <c r="AM61" s="312"/>
      <c r="AN61" s="312"/>
      <c r="AO61" s="312"/>
      <c r="AP61" s="312"/>
      <c r="AQ61" s="312"/>
      <c r="AR61" s="313"/>
      <c r="AT61" s="195">
        <v>50</v>
      </c>
      <c r="AU61" s="311"/>
      <c r="AV61" s="312"/>
      <c r="AW61" s="312"/>
      <c r="AX61" s="312"/>
      <c r="AY61" s="312"/>
      <c r="AZ61" s="312"/>
      <c r="BA61" s="312"/>
      <c r="BB61" s="312"/>
      <c r="BC61" s="312"/>
      <c r="BD61" s="312"/>
      <c r="BE61" s="312"/>
      <c r="BF61" s="312"/>
      <c r="BG61" s="313"/>
    </row>
    <row r="62" spans="1:59">
      <c r="A62" s="195">
        <v>51</v>
      </c>
      <c r="B62" s="311"/>
      <c r="C62" s="312"/>
      <c r="D62" s="312"/>
      <c r="E62" s="312"/>
      <c r="F62" s="312"/>
      <c r="G62" s="312"/>
      <c r="H62" s="312"/>
      <c r="I62" s="312"/>
      <c r="J62" s="312"/>
      <c r="K62" s="312"/>
      <c r="L62" s="312"/>
      <c r="M62" s="312"/>
      <c r="N62" s="313"/>
      <c r="P62" s="195">
        <v>51</v>
      </c>
      <c r="Q62" s="311"/>
      <c r="R62" s="312"/>
      <c r="S62" s="312"/>
      <c r="T62" s="312"/>
      <c r="U62" s="312"/>
      <c r="V62" s="312"/>
      <c r="W62" s="312"/>
      <c r="X62" s="312"/>
      <c r="Y62" s="312"/>
      <c r="Z62" s="312"/>
      <c r="AA62" s="312"/>
      <c r="AB62" s="312"/>
      <c r="AC62" s="313"/>
      <c r="AE62" s="195">
        <v>51</v>
      </c>
      <c r="AF62" s="311"/>
      <c r="AG62" s="312"/>
      <c r="AH62" s="312"/>
      <c r="AI62" s="312"/>
      <c r="AJ62" s="312"/>
      <c r="AK62" s="312"/>
      <c r="AL62" s="312"/>
      <c r="AM62" s="312"/>
      <c r="AN62" s="312"/>
      <c r="AO62" s="312"/>
      <c r="AP62" s="312"/>
      <c r="AQ62" s="312"/>
      <c r="AR62" s="313"/>
      <c r="AT62" s="195">
        <v>51</v>
      </c>
      <c r="AU62" s="311"/>
      <c r="AV62" s="312"/>
      <c r="AW62" s="312"/>
      <c r="AX62" s="312"/>
      <c r="AY62" s="312"/>
      <c r="AZ62" s="312"/>
      <c r="BA62" s="312"/>
      <c r="BB62" s="312"/>
      <c r="BC62" s="312"/>
      <c r="BD62" s="312"/>
      <c r="BE62" s="312"/>
      <c r="BF62" s="312"/>
      <c r="BG62" s="313"/>
    </row>
    <row r="63" spans="1:59">
      <c r="A63" s="195">
        <v>52</v>
      </c>
      <c r="B63" s="311"/>
      <c r="C63" s="312"/>
      <c r="D63" s="312"/>
      <c r="E63" s="312"/>
      <c r="F63" s="312"/>
      <c r="G63" s="312"/>
      <c r="H63" s="312"/>
      <c r="I63" s="312"/>
      <c r="J63" s="312"/>
      <c r="K63" s="312"/>
      <c r="L63" s="312"/>
      <c r="M63" s="312"/>
      <c r="N63" s="313"/>
      <c r="P63" s="195">
        <v>52</v>
      </c>
      <c r="Q63" s="311"/>
      <c r="R63" s="312"/>
      <c r="S63" s="312"/>
      <c r="T63" s="312"/>
      <c r="U63" s="312"/>
      <c r="V63" s="312"/>
      <c r="W63" s="312"/>
      <c r="X63" s="312"/>
      <c r="Y63" s="312"/>
      <c r="Z63" s="312"/>
      <c r="AA63" s="312"/>
      <c r="AB63" s="312"/>
      <c r="AC63" s="313"/>
      <c r="AE63" s="195">
        <v>52</v>
      </c>
      <c r="AF63" s="311"/>
      <c r="AG63" s="312"/>
      <c r="AH63" s="312"/>
      <c r="AI63" s="312"/>
      <c r="AJ63" s="312"/>
      <c r="AK63" s="312"/>
      <c r="AL63" s="312"/>
      <c r="AM63" s="312"/>
      <c r="AN63" s="312"/>
      <c r="AO63" s="312"/>
      <c r="AP63" s="312"/>
      <c r="AQ63" s="312"/>
      <c r="AR63" s="313"/>
      <c r="AT63" s="195">
        <v>52</v>
      </c>
      <c r="AU63" s="311"/>
      <c r="AV63" s="312"/>
      <c r="AW63" s="312"/>
      <c r="AX63" s="312"/>
      <c r="AY63" s="312"/>
      <c r="AZ63" s="312"/>
      <c r="BA63" s="312"/>
      <c r="BB63" s="312"/>
      <c r="BC63" s="312"/>
      <c r="BD63" s="312"/>
      <c r="BE63" s="312"/>
      <c r="BF63" s="312"/>
      <c r="BG63" s="313"/>
    </row>
    <row r="64" spans="1:59">
      <c r="A64" s="195">
        <v>53</v>
      </c>
      <c r="B64" s="311"/>
      <c r="C64" s="312"/>
      <c r="D64" s="312"/>
      <c r="E64" s="312"/>
      <c r="F64" s="312"/>
      <c r="G64" s="312"/>
      <c r="H64" s="312"/>
      <c r="I64" s="312"/>
      <c r="J64" s="312"/>
      <c r="K64" s="312"/>
      <c r="L64" s="312"/>
      <c r="M64" s="312"/>
      <c r="N64" s="313"/>
      <c r="P64" s="195">
        <v>53</v>
      </c>
      <c r="Q64" s="311"/>
      <c r="R64" s="312"/>
      <c r="S64" s="312"/>
      <c r="T64" s="312"/>
      <c r="U64" s="312"/>
      <c r="V64" s="312"/>
      <c r="W64" s="312"/>
      <c r="X64" s="312"/>
      <c r="Y64" s="312"/>
      <c r="Z64" s="312"/>
      <c r="AA64" s="312"/>
      <c r="AB64" s="312"/>
      <c r="AC64" s="313"/>
      <c r="AE64" s="195">
        <v>53</v>
      </c>
      <c r="AF64" s="311"/>
      <c r="AG64" s="312"/>
      <c r="AH64" s="312"/>
      <c r="AI64" s="312"/>
      <c r="AJ64" s="312"/>
      <c r="AK64" s="312"/>
      <c r="AL64" s="312"/>
      <c r="AM64" s="312"/>
      <c r="AN64" s="312"/>
      <c r="AO64" s="312"/>
      <c r="AP64" s="312"/>
      <c r="AQ64" s="312"/>
      <c r="AR64" s="313"/>
      <c r="AT64" s="195">
        <v>53</v>
      </c>
      <c r="AU64" s="311"/>
      <c r="AV64" s="312"/>
      <c r="AW64" s="312"/>
      <c r="AX64" s="312"/>
      <c r="AY64" s="312"/>
      <c r="AZ64" s="312"/>
      <c r="BA64" s="312"/>
      <c r="BB64" s="312"/>
      <c r="BC64" s="312"/>
      <c r="BD64" s="312"/>
      <c r="BE64" s="312"/>
      <c r="BF64" s="312"/>
      <c r="BG64" s="313"/>
    </row>
    <row r="65" spans="1:59">
      <c r="A65" s="195">
        <v>54</v>
      </c>
      <c r="B65" s="311"/>
      <c r="C65" s="312"/>
      <c r="D65" s="312"/>
      <c r="E65" s="312"/>
      <c r="F65" s="312"/>
      <c r="G65" s="312"/>
      <c r="H65" s="312"/>
      <c r="I65" s="312"/>
      <c r="J65" s="312"/>
      <c r="K65" s="312"/>
      <c r="L65" s="312"/>
      <c r="M65" s="312"/>
      <c r="N65" s="313"/>
      <c r="P65" s="195">
        <v>54</v>
      </c>
      <c r="Q65" s="311"/>
      <c r="R65" s="312"/>
      <c r="S65" s="312"/>
      <c r="T65" s="312"/>
      <c r="U65" s="312"/>
      <c r="V65" s="312"/>
      <c r="W65" s="312"/>
      <c r="X65" s="312"/>
      <c r="Y65" s="312"/>
      <c r="Z65" s="312"/>
      <c r="AA65" s="312"/>
      <c r="AB65" s="312"/>
      <c r="AC65" s="313"/>
      <c r="AE65" s="195">
        <v>54</v>
      </c>
      <c r="AF65" s="311"/>
      <c r="AG65" s="312"/>
      <c r="AH65" s="312"/>
      <c r="AI65" s="312"/>
      <c r="AJ65" s="312"/>
      <c r="AK65" s="312"/>
      <c r="AL65" s="312"/>
      <c r="AM65" s="312"/>
      <c r="AN65" s="312"/>
      <c r="AO65" s="312"/>
      <c r="AP65" s="312"/>
      <c r="AQ65" s="312"/>
      <c r="AR65" s="313"/>
      <c r="AT65" s="195">
        <v>54</v>
      </c>
      <c r="AU65" s="311"/>
      <c r="AV65" s="312"/>
      <c r="AW65" s="312"/>
      <c r="AX65" s="312"/>
      <c r="AY65" s="312"/>
      <c r="AZ65" s="312"/>
      <c r="BA65" s="312"/>
      <c r="BB65" s="312"/>
      <c r="BC65" s="312"/>
      <c r="BD65" s="312"/>
      <c r="BE65" s="312"/>
      <c r="BF65" s="312"/>
      <c r="BG65" s="313"/>
    </row>
    <row r="66" spans="1:59">
      <c r="A66" s="195">
        <v>55</v>
      </c>
      <c r="B66" s="311"/>
      <c r="C66" s="312"/>
      <c r="D66" s="312"/>
      <c r="E66" s="312"/>
      <c r="F66" s="312"/>
      <c r="G66" s="312"/>
      <c r="H66" s="312"/>
      <c r="I66" s="312"/>
      <c r="J66" s="312"/>
      <c r="K66" s="312"/>
      <c r="L66" s="312"/>
      <c r="M66" s="312"/>
      <c r="N66" s="313"/>
      <c r="P66" s="195">
        <v>55</v>
      </c>
      <c r="Q66" s="311"/>
      <c r="R66" s="312"/>
      <c r="S66" s="312"/>
      <c r="T66" s="312"/>
      <c r="U66" s="312"/>
      <c r="V66" s="312"/>
      <c r="W66" s="312"/>
      <c r="X66" s="312"/>
      <c r="Y66" s="312"/>
      <c r="Z66" s="312"/>
      <c r="AA66" s="312"/>
      <c r="AB66" s="312"/>
      <c r="AC66" s="313"/>
      <c r="AE66" s="195">
        <v>55</v>
      </c>
      <c r="AF66" s="311"/>
      <c r="AG66" s="312"/>
      <c r="AH66" s="312"/>
      <c r="AI66" s="312"/>
      <c r="AJ66" s="312"/>
      <c r="AK66" s="312"/>
      <c r="AL66" s="312"/>
      <c r="AM66" s="312"/>
      <c r="AN66" s="312"/>
      <c r="AO66" s="312"/>
      <c r="AP66" s="312"/>
      <c r="AQ66" s="312"/>
      <c r="AR66" s="313"/>
      <c r="AT66" s="195">
        <v>55</v>
      </c>
      <c r="AU66" s="311"/>
      <c r="AV66" s="312"/>
      <c r="AW66" s="312"/>
      <c r="AX66" s="312"/>
      <c r="AY66" s="312"/>
      <c r="AZ66" s="312"/>
      <c r="BA66" s="312"/>
      <c r="BB66" s="312"/>
      <c r="BC66" s="312"/>
      <c r="BD66" s="312"/>
      <c r="BE66" s="312"/>
      <c r="BF66" s="312"/>
      <c r="BG66" s="313"/>
    </row>
    <row r="67" spans="1:59">
      <c r="A67" s="195">
        <v>56</v>
      </c>
      <c r="B67" s="311"/>
      <c r="C67" s="312"/>
      <c r="D67" s="312"/>
      <c r="E67" s="312"/>
      <c r="F67" s="312"/>
      <c r="G67" s="312"/>
      <c r="H67" s="312"/>
      <c r="I67" s="312"/>
      <c r="J67" s="312"/>
      <c r="K67" s="312"/>
      <c r="L67" s="312"/>
      <c r="M67" s="312"/>
      <c r="N67" s="313"/>
      <c r="P67" s="195">
        <v>56</v>
      </c>
      <c r="Q67" s="311"/>
      <c r="R67" s="312"/>
      <c r="S67" s="312"/>
      <c r="T67" s="312"/>
      <c r="U67" s="312"/>
      <c r="V67" s="312"/>
      <c r="W67" s="312"/>
      <c r="X67" s="312"/>
      <c r="Y67" s="312"/>
      <c r="Z67" s="312"/>
      <c r="AA67" s="312"/>
      <c r="AB67" s="312"/>
      <c r="AC67" s="313"/>
      <c r="AE67" s="195">
        <v>56</v>
      </c>
      <c r="AF67" s="311"/>
      <c r="AG67" s="312"/>
      <c r="AH67" s="312"/>
      <c r="AI67" s="312"/>
      <c r="AJ67" s="312"/>
      <c r="AK67" s="312"/>
      <c r="AL67" s="312"/>
      <c r="AM67" s="312"/>
      <c r="AN67" s="312"/>
      <c r="AO67" s="312"/>
      <c r="AP67" s="312"/>
      <c r="AQ67" s="312"/>
      <c r="AR67" s="313"/>
      <c r="AT67" s="195">
        <v>56</v>
      </c>
      <c r="AU67" s="311"/>
      <c r="AV67" s="312"/>
      <c r="AW67" s="312"/>
      <c r="AX67" s="312"/>
      <c r="AY67" s="312"/>
      <c r="AZ67" s="312"/>
      <c r="BA67" s="312"/>
      <c r="BB67" s="312"/>
      <c r="BC67" s="312"/>
      <c r="BD67" s="312"/>
      <c r="BE67" s="312"/>
      <c r="BF67" s="312"/>
      <c r="BG67" s="313"/>
    </row>
    <row r="68" spans="1:59">
      <c r="A68" s="195">
        <v>57</v>
      </c>
      <c r="B68" s="311"/>
      <c r="C68" s="312"/>
      <c r="D68" s="312"/>
      <c r="E68" s="312"/>
      <c r="F68" s="312"/>
      <c r="G68" s="312"/>
      <c r="H68" s="312"/>
      <c r="I68" s="312"/>
      <c r="J68" s="312"/>
      <c r="K68" s="312"/>
      <c r="L68" s="312"/>
      <c r="M68" s="312"/>
      <c r="N68" s="313"/>
      <c r="P68" s="195">
        <v>57</v>
      </c>
      <c r="Q68" s="311"/>
      <c r="R68" s="312"/>
      <c r="S68" s="312"/>
      <c r="T68" s="312"/>
      <c r="U68" s="312"/>
      <c r="V68" s="312"/>
      <c r="W68" s="312"/>
      <c r="X68" s="312"/>
      <c r="Y68" s="312"/>
      <c r="Z68" s="312"/>
      <c r="AA68" s="312"/>
      <c r="AB68" s="312"/>
      <c r="AC68" s="313"/>
      <c r="AE68" s="195">
        <v>57</v>
      </c>
      <c r="AF68" s="311"/>
      <c r="AG68" s="312"/>
      <c r="AH68" s="312"/>
      <c r="AI68" s="312"/>
      <c r="AJ68" s="312"/>
      <c r="AK68" s="312"/>
      <c r="AL68" s="312"/>
      <c r="AM68" s="312"/>
      <c r="AN68" s="312"/>
      <c r="AO68" s="312"/>
      <c r="AP68" s="312"/>
      <c r="AQ68" s="312"/>
      <c r="AR68" s="313"/>
      <c r="AT68" s="195">
        <v>57</v>
      </c>
      <c r="AU68" s="311"/>
      <c r="AV68" s="312"/>
      <c r="AW68" s="312"/>
      <c r="AX68" s="312"/>
      <c r="AY68" s="312"/>
      <c r="AZ68" s="312"/>
      <c r="BA68" s="312"/>
      <c r="BB68" s="312"/>
      <c r="BC68" s="312"/>
      <c r="BD68" s="312"/>
      <c r="BE68" s="312"/>
      <c r="BF68" s="312"/>
      <c r="BG68" s="313"/>
    </row>
    <row r="69" spans="1:59">
      <c r="A69" s="195">
        <v>58</v>
      </c>
      <c r="B69" s="311"/>
      <c r="C69" s="312"/>
      <c r="D69" s="312"/>
      <c r="E69" s="312"/>
      <c r="F69" s="312"/>
      <c r="G69" s="312"/>
      <c r="H69" s="312"/>
      <c r="I69" s="312"/>
      <c r="J69" s="312"/>
      <c r="K69" s="312"/>
      <c r="L69" s="312"/>
      <c r="M69" s="312"/>
      <c r="N69" s="313"/>
      <c r="P69" s="195">
        <v>58</v>
      </c>
      <c r="Q69" s="311"/>
      <c r="R69" s="312"/>
      <c r="S69" s="312"/>
      <c r="T69" s="312"/>
      <c r="U69" s="312"/>
      <c r="V69" s="312"/>
      <c r="W69" s="312"/>
      <c r="X69" s="312"/>
      <c r="Y69" s="312"/>
      <c r="Z69" s="312"/>
      <c r="AA69" s="312"/>
      <c r="AB69" s="312"/>
      <c r="AC69" s="313"/>
      <c r="AE69" s="195">
        <v>58</v>
      </c>
      <c r="AF69" s="311"/>
      <c r="AG69" s="312"/>
      <c r="AH69" s="312"/>
      <c r="AI69" s="312"/>
      <c r="AJ69" s="312"/>
      <c r="AK69" s="312"/>
      <c r="AL69" s="312"/>
      <c r="AM69" s="312"/>
      <c r="AN69" s="312"/>
      <c r="AO69" s="312"/>
      <c r="AP69" s="312"/>
      <c r="AQ69" s="312"/>
      <c r="AR69" s="313"/>
      <c r="AT69" s="195">
        <v>58</v>
      </c>
      <c r="AU69" s="311"/>
      <c r="AV69" s="312"/>
      <c r="AW69" s="312"/>
      <c r="AX69" s="312"/>
      <c r="AY69" s="312"/>
      <c r="AZ69" s="312"/>
      <c r="BA69" s="312"/>
      <c r="BB69" s="312"/>
      <c r="BC69" s="312"/>
      <c r="BD69" s="312"/>
      <c r="BE69" s="312"/>
      <c r="BF69" s="312"/>
      <c r="BG69" s="313"/>
    </row>
    <row r="70" spans="1:59">
      <c r="A70" s="195">
        <v>59</v>
      </c>
      <c r="B70" s="311"/>
      <c r="C70" s="312"/>
      <c r="D70" s="312"/>
      <c r="E70" s="312"/>
      <c r="F70" s="312"/>
      <c r="G70" s="312"/>
      <c r="H70" s="312"/>
      <c r="I70" s="312"/>
      <c r="J70" s="312"/>
      <c r="K70" s="312"/>
      <c r="L70" s="312"/>
      <c r="M70" s="312"/>
      <c r="N70" s="313"/>
      <c r="P70" s="195">
        <v>59</v>
      </c>
      <c r="Q70" s="311"/>
      <c r="R70" s="312"/>
      <c r="S70" s="312"/>
      <c r="T70" s="312"/>
      <c r="U70" s="312"/>
      <c r="V70" s="312"/>
      <c r="W70" s="312"/>
      <c r="X70" s="312"/>
      <c r="Y70" s="312"/>
      <c r="Z70" s="312"/>
      <c r="AA70" s="312"/>
      <c r="AB70" s="312"/>
      <c r="AC70" s="313"/>
      <c r="AE70" s="195">
        <v>59</v>
      </c>
      <c r="AF70" s="311"/>
      <c r="AG70" s="312"/>
      <c r="AH70" s="312"/>
      <c r="AI70" s="312"/>
      <c r="AJ70" s="312"/>
      <c r="AK70" s="312"/>
      <c r="AL70" s="312"/>
      <c r="AM70" s="312"/>
      <c r="AN70" s="312"/>
      <c r="AO70" s="312"/>
      <c r="AP70" s="312"/>
      <c r="AQ70" s="312"/>
      <c r="AR70" s="313"/>
      <c r="AT70" s="195">
        <v>59</v>
      </c>
      <c r="AU70" s="311"/>
      <c r="AV70" s="312"/>
      <c r="AW70" s="312"/>
      <c r="AX70" s="312"/>
      <c r="AY70" s="312"/>
      <c r="AZ70" s="312"/>
      <c r="BA70" s="312"/>
      <c r="BB70" s="312"/>
      <c r="BC70" s="312"/>
      <c r="BD70" s="312"/>
      <c r="BE70" s="312"/>
      <c r="BF70" s="312"/>
      <c r="BG70" s="313"/>
    </row>
    <row r="71" spans="1:59">
      <c r="A71" s="195">
        <v>60</v>
      </c>
      <c r="B71" s="311"/>
      <c r="C71" s="312"/>
      <c r="D71" s="312"/>
      <c r="E71" s="312"/>
      <c r="F71" s="312"/>
      <c r="G71" s="312"/>
      <c r="H71" s="312"/>
      <c r="I71" s="312"/>
      <c r="J71" s="312"/>
      <c r="K71" s="312"/>
      <c r="L71" s="312"/>
      <c r="M71" s="312"/>
      <c r="N71" s="313"/>
      <c r="P71" s="195">
        <v>60</v>
      </c>
      <c r="Q71" s="311"/>
      <c r="R71" s="312"/>
      <c r="S71" s="312"/>
      <c r="T71" s="312"/>
      <c r="U71" s="312"/>
      <c r="V71" s="312"/>
      <c r="W71" s="312"/>
      <c r="X71" s="312"/>
      <c r="Y71" s="312"/>
      <c r="Z71" s="312"/>
      <c r="AA71" s="312"/>
      <c r="AB71" s="312"/>
      <c r="AC71" s="313"/>
      <c r="AE71" s="195">
        <v>60</v>
      </c>
      <c r="AF71" s="311"/>
      <c r="AG71" s="312"/>
      <c r="AH71" s="312"/>
      <c r="AI71" s="312"/>
      <c r="AJ71" s="312"/>
      <c r="AK71" s="312"/>
      <c r="AL71" s="312"/>
      <c r="AM71" s="312"/>
      <c r="AN71" s="312"/>
      <c r="AO71" s="312"/>
      <c r="AP71" s="312"/>
      <c r="AQ71" s="312"/>
      <c r="AR71" s="313"/>
      <c r="AT71" s="195">
        <v>60</v>
      </c>
      <c r="AU71" s="311"/>
      <c r="AV71" s="312"/>
      <c r="AW71" s="312"/>
      <c r="AX71" s="312"/>
      <c r="AY71" s="312"/>
      <c r="AZ71" s="312"/>
      <c r="BA71" s="312"/>
      <c r="BB71" s="312"/>
      <c r="BC71" s="312"/>
      <c r="BD71" s="312"/>
      <c r="BE71" s="312"/>
      <c r="BF71" s="312"/>
      <c r="BG71" s="313"/>
    </row>
    <row r="72" spans="1:59">
      <c r="A72" s="195">
        <v>61</v>
      </c>
      <c r="B72" s="311"/>
      <c r="C72" s="312"/>
      <c r="D72" s="312"/>
      <c r="E72" s="312"/>
      <c r="F72" s="312"/>
      <c r="G72" s="312"/>
      <c r="H72" s="312"/>
      <c r="I72" s="312"/>
      <c r="J72" s="312"/>
      <c r="K72" s="312"/>
      <c r="L72" s="312"/>
      <c r="M72" s="312"/>
      <c r="N72" s="313"/>
      <c r="P72" s="195">
        <v>61</v>
      </c>
      <c r="Q72" s="311"/>
      <c r="R72" s="312"/>
      <c r="S72" s="312"/>
      <c r="T72" s="312"/>
      <c r="U72" s="312"/>
      <c r="V72" s="312"/>
      <c r="W72" s="312"/>
      <c r="X72" s="312"/>
      <c r="Y72" s="312"/>
      <c r="Z72" s="312"/>
      <c r="AA72" s="312"/>
      <c r="AB72" s="312"/>
      <c r="AC72" s="313"/>
      <c r="AE72" s="195">
        <v>61</v>
      </c>
      <c r="AF72" s="311"/>
      <c r="AG72" s="312"/>
      <c r="AH72" s="312"/>
      <c r="AI72" s="312"/>
      <c r="AJ72" s="312"/>
      <c r="AK72" s="312"/>
      <c r="AL72" s="312"/>
      <c r="AM72" s="312"/>
      <c r="AN72" s="312"/>
      <c r="AO72" s="312"/>
      <c r="AP72" s="312"/>
      <c r="AQ72" s="312"/>
      <c r="AR72" s="313"/>
      <c r="AT72" s="195">
        <v>61</v>
      </c>
      <c r="AU72" s="311"/>
      <c r="AV72" s="312"/>
      <c r="AW72" s="312"/>
      <c r="AX72" s="312"/>
      <c r="AY72" s="312"/>
      <c r="AZ72" s="312"/>
      <c r="BA72" s="312"/>
      <c r="BB72" s="312"/>
      <c r="BC72" s="312"/>
      <c r="BD72" s="312"/>
      <c r="BE72" s="312"/>
      <c r="BF72" s="312"/>
      <c r="BG72" s="313"/>
    </row>
    <row r="73" spans="1:59">
      <c r="A73" s="195">
        <v>62</v>
      </c>
      <c r="B73" s="311"/>
      <c r="C73" s="312"/>
      <c r="D73" s="312"/>
      <c r="E73" s="312"/>
      <c r="F73" s="312"/>
      <c r="G73" s="312"/>
      <c r="H73" s="312"/>
      <c r="I73" s="312"/>
      <c r="J73" s="312"/>
      <c r="K73" s="312"/>
      <c r="L73" s="312"/>
      <c r="M73" s="312"/>
      <c r="N73" s="313"/>
      <c r="P73" s="195">
        <v>62</v>
      </c>
      <c r="Q73" s="311"/>
      <c r="R73" s="312"/>
      <c r="S73" s="312"/>
      <c r="T73" s="312"/>
      <c r="U73" s="312"/>
      <c r="V73" s="312"/>
      <c r="W73" s="312"/>
      <c r="X73" s="312"/>
      <c r="Y73" s="312"/>
      <c r="Z73" s="312"/>
      <c r="AA73" s="312"/>
      <c r="AB73" s="312"/>
      <c r="AC73" s="313"/>
      <c r="AE73" s="195">
        <v>62</v>
      </c>
      <c r="AF73" s="311"/>
      <c r="AG73" s="312"/>
      <c r="AH73" s="312"/>
      <c r="AI73" s="312"/>
      <c r="AJ73" s="312"/>
      <c r="AK73" s="312"/>
      <c r="AL73" s="312"/>
      <c r="AM73" s="312"/>
      <c r="AN73" s="312"/>
      <c r="AO73" s="312"/>
      <c r="AP73" s="312"/>
      <c r="AQ73" s="312"/>
      <c r="AR73" s="313"/>
      <c r="AT73" s="195">
        <v>62</v>
      </c>
      <c r="AU73" s="311"/>
      <c r="AV73" s="312"/>
      <c r="AW73" s="312"/>
      <c r="AX73" s="312"/>
      <c r="AY73" s="312"/>
      <c r="AZ73" s="312"/>
      <c r="BA73" s="312"/>
      <c r="BB73" s="312"/>
      <c r="BC73" s="312"/>
      <c r="BD73" s="312"/>
      <c r="BE73" s="312"/>
      <c r="BF73" s="312"/>
      <c r="BG73" s="313"/>
    </row>
    <row r="74" spans="1:59">
      <c r="A74" s="195">
        <v>63</v>
      </c>
      <c r="B74" s="311"/>
      <c r="C74" s="312"/>
      <c r="D74" s="312"/>
      <c r="E74" s="312"/>
      <c r="F74" s="312"/>
      <c r="G74" s="312"/>
      <c r="H74" s="312"/>
      <c r="I74" s="312"/>
      <c r="J74" s="312"/>
      <c r="K74" s="312"/>
      <c r="L74" s="312"/>
      <c r="M74" s="312"/>
      <c r="N74" s="313"/>
      <c r="P74" s="195">
        <v>63</v>
      </c>
      <c r="Q74" s="311"/>
      <c r="R74" s="312"/>
      <c r="S74" s="312"/>
      <c r="T74" s="312"/>
      <c r="U74" s="312"/>
      <c r="V74" s="312"/>
      <c r="W74" s="312"/>
      <c r="X74" s="312"/>
      <c r="Y74" s="312"/>
      <c r="Z74" s="312"/>
      <c r="AA74" s="312"/>
      <c r="AB74" s="312"/>
      <c r="AC74" s="313"/>
      <c r="AE74" s="195">
        <v>63</v>
      </c>
      <c r="AF74" s="311"/>
      <c r="AG74" s="312"/>
      <c r="AH74" s="312"/>
      <c r="AI74" s="312"/>
      <c r="AJ74" s="312"/>
      <c r="AK74" s="312"/>
      <c r="AL74" s="312"/>
      <c r="AM74" s="312"/>
      <c r="AN74" s="312"/>
      <c r="AO74" s="312"/>
      <c r="AP74" s="312"/>
      <c r="AQ74" s="312"/>
      <c r="AR74" s="313"/>
      <c r="AT74" s="195">
        <v>63</v>
      </c>
      <c r="AU74" s="311"/>
      <c r="AV74" s="312"/>
      <c r="AW74" s="312"/>
      <c r="AX74" s="312"/>
      <c r="AY74" s="312"/>
      <c r="AZ74" s="312"/>
      <c r="BA74" s="312"/>
      <c r="BB74" s="312"/>
      <c r="BC74" s="312"/>
      <c r="BD74" s="312"/>
      <c r="BE74" s="312"/>
      <c r="BF74" s="312"/>
      <c r="BG74" s="313"/>
    </row>
    <row r="75" spans="1:59">
      <c r="A75" s="195">
        <v>64</v>
      </c>
      <c r="B75" s="311"/>
      <c r="C75" s="312"/>
      <c r="D75" s="312"/>
      <c r="E75" s="312"/>
      <c r="F75" s="312"/>
      <c r="G75" s="312"/>
      <c r="H75" s="312"/>
      <c r="I75" s="312"/>
      <c r="J75" s="312"/>
      <c r="K75" s="312"/>
      <c r="L75" s="312"/>
      <c r="M75" s="312"/>
      <c r="N75" s="313"/>
      <c r="P75" s="195">
        <v>64</v>
      </c>
      <c r="Q75" s="311"/>
      <c r="R75" s="312"/>
      <c r="S75" s="312"/>
      <c r="T75" s="312"/>
      <c r="U75" s="312"/>
      <c r="V75" s="312"/>
      <c r="W75" s="312"/>
      <c r="X75" s="312"/>
      <c r="Y75" s="312"/>
      <c r="Z75" s="312"/>
      <c r="AA75" s="312"/>
      <c r="AB75" s="312"/>
      <c r="AC75" s="313"/>
      <c r="AE75" s="195">
        <v>64</v>
      </c>
      <c r="AF75" s="311"/>
      <c r="AG75" s="312"/>
      <c r="AH75" s="312"/>
      <c r="AI75" s="312"/>
      <c r="AJ75" s="312"/>
      <c r="AK75" s="312"/>
      <c r="AL75" s="312"/>
      <c r="AM75" s="312"/>
      <c r="AN75" s="312"/>
      <c r="AO75" s="312"/>
      <c r="AP75" s="312"/>
      <c r="AQ75" s="312"/>
      <c r="AR75" s="313"/>
      <c r="AT75" s="195">
        <v>64</v>
      </c>
      <c r="AU75" s="311"/>
      <c r="AV75" s="312"/>
      <c r="AW75" s="312"/>
      <c r="AX75" s="312"/>
      <c r="AY75" s="312"/>
      <c r="AZ75" s="312"/>
      <c r="BA75" s="312"/>
      <c r="BB75" s="312"/>
      <c r="BC75" s="312"/>
      <c r="BD75" s="312"/>
      <c r="BE75" s="312"/>
      <c r="BF75" s="312"/>
      <c r="BG75" s="313"/>
    </row>
    <row r="76" spans="1:59">
      <c r="A76" s="195">
        <v>65</v>
      </c>
      <c r="B76" s="311"/>
      <c r="C76" s="312"/>
      <c r="D76" s="312"/>
      <c r="E76" s="312"/>
      <c r="F76" s="312"/>
      <c r="G76" s="312"/>
      <c r="H76" s="312"/>
      <c r="I76" s="312"/>
      <c r="J76" s="312"/>
      <c r="K76" s="312"/>
      <c r="L76" s="312"/>
      <c r="M76" s="312"/>
      <c r="N76" s="313"/>
      <c r="P76" s="195">
        <v>65</v>
      </c>
      <c r="Q76" s="311"/>
      <c r="R76" s="312"/>
      <c r="S76" s="312"/>
      <c r="T76" s="312"/>
      <c r="U76" s="312"/>
      <c r="V76" s="312"/>
      <c r="W76" s="312"/>
      <c r="X76" s="312"/>
      <c r="Y76" s="312"/>
      <c r="Z76" s="312"/>
      <c r="AA76" s="312"/>
      <c r="AB76" s="312"/>
      <c r="AC76" s="313"/>
      <c r="AE76" s="195">
        <v>65</v>
      </c>
      <c r="AF76" s="311"/>
      <c r="AG76" s="312"/>
      <c r="AH76" s="312"/>
      <c r="AI76" s="312"/>
      <c r="AJ76" s="312"/>
      <c r="AK76" s="312"/>
      <c r="AL76" s="312"/>
      <c r="AM76" s="312"/>
      <c r="AN76" s="312"/>
      <c r="AO76" s="312"/>
      <c r="AP76" s="312"/>
      <c r="AQ76" s="312"/>
      <c r="AR76" s="313"/>
      <c r="AT76" s="195">
        <v>65</v>
      </c>
      <c r="AU76" s="311"/>
      <c r="AV76" s="312"/>
      <c r="AW76" s="312"/>
      <c r="AX76" s="312"/>
      <c r="AY76" s="312"/>
      <c r="AZ76" s="312"/>
      <c r="BA76" s="312"/>
      <c r="BB76" s="312"/>
      <c r="BC76" s="312"/>
      <c r="BD76" s="312"/>
      <c r="BE76" s="312"/>
      <c r="BF76" s="312"/>
      <c r="BG76" s="313"/>
    </row>
    <row r="77" spans="1:59">
      <c r="A77" s="195">
        <v>66</v>
      </c>
      <c r="B77" s="311"/>
      <c r="C77" s="312"/>
      <c r="D77" s="312"/>
      <c r="E77" s="312"/>
      <c r="F77" s="312"/>
      <c r="G77" s="312"/>
      <c r="H77" s="312"/>
      <c r="I77" s="312"/>
      <c r="J77" s="312"/>
      <c r="K77" s="312"/>
      <c r="L77" s="312"/>
      <c r="M77" s="312"/>
      <c r="N77" s="313"/>
      <c r="P77" s="195">
        <v>66</v>
      </c>
      <c r="Q77" s="311"/>
      <c r="R77" s="312"/>
      <c r="S77" s="312"/>
      <c r="T77" s="312"/>
      <c r="U77" s="312"/>
      <c r="V77" s="312"/>
      <c r="W77" s="312"/>
      <c r="X77" s="312"/>
      <c r="Y77" s="312"/>
      <c r="Z77" s="312"/>
      <c r="AA77" s="312"/>
      <c r="AB77" s="312"/>
      <c r="AC77" s="313"/>
      <c r="AE77" s="195">
        <v>66</v>
      </c>
      <c r="AF77" s="311"/>
      <c r="AG77" s="312"/>
      <c r="AH77" s="312"/>
      <c r="AI77" s="312"/>
      <c r="AJ77" s="312"/>
      <c r="AK77" s="312"/>
      <c r="AL77" s="312"/>
      <c r="AM77" s="312"/>
      <c r="AN77" s="312"/>
      <c r="AO77" s="312"/>
      <c r="AP77" s="312"/>
      <c r="AQ77" s="312"/>
      <c r="AR77" s="313"/>
      <c r="AT77" s="195">
        <v>66</v>
      </c>
      <c r="AU77" s="311"/>
      <c r="AV77" s="312"/>
      <c r="AW77" s="312"/>
      <c r="AX77" s="312"/>
      <c r="AY77" s="312"/>
      <c r="AZ77" s="312"/>
      <c r="BA77" s="312"/>
      <c r="BB77" s="312"/>
      <c r="BC77" s="312"/>
      <c r="BD77" s="312"/>
      <c r="BE77" s="312"/>
      <c r="BF77" s="312"/>
      <c r="BG77" s="313"/>
    </row>
    <row r="78" spans="1:59">
      <c r="A78" s="195">
        <v>67</v>
      </c>
      <c r="B78" s="311"/>
      <c r="C78" s="312"/>
      <c r="D78" s="312"/>
      <c r="E78" s="312"/>
      <c r="F78" s="312"/>
      <c r="G78" s="312"/>
      <c r="H78" s="312"/>
      <c r="I78" s="312"/>
      <c r="J78" s="312"/>
      <c r="K78" s="312"/>
      <c r="L78" s="312"/>
      <c r="M78" s="312"/>
      <c r="N78" s="313"/>
      <c r="P78" s="195">
        <v>67</v>
      </c>
      <c r="Q78" s="311"/>
      <c r="R78" s="312"/>
      <c r="S78" s="312"/>
      <c r="T78" s="312"/>
      <c r="U78" s="312"/>
      <c r="V78" s="312"/>
      <c r="W78" s="312"/>
      <c r="X78" s="312"/>
      <c r="Y78" s="312"/>
      <c r="Z78" s="312"/>
      <c r="AA78" s="312"/>
      <c r="AB78" s="312"/>
      <c r="AC78" s="313"/>
      <c r="AE78" s="195">
        <v>67</v>
      </c>
      <c r="AF78" s="311"/>
      <c r="AG78" s="312"/>
      <c r="AH78" s="312"/>
      <c r="AI78" s="312"/>
      <c r="AJ78" s="312"/>
      <c r="AK78" s="312"/>
      <c r="AL78" s="312"/>
      <c r="AM78" s="312"/>
      <c r="AN78" s="312"/>
      <c r="AO78" s="312"/>
      <c r="AP78" s="312"/>
      <c r="AQ78" s="312"/>
      <c r="AR78" s="313"/>
      <c r="AT78" s="195">
        <v>67</v>
      </c>
      <c r="AU78" s="311"/>
      <c r="AV78" s="312"/>
      <c r="AW78" s="312"/>
      <c r="AX78" s="312"/>
      <c r="AY78" s="312"/>
      <c r="AZ78" s="312"/>
      <c r="BA78" s="312"/>
      <c r="BB78" s="312"/>
      <c r="BC78" s="312"/>
      <c r="BD78" s="312"/>
      <c r="BE78" s="312"/>
      <c r="BF78" s="312"/>
      <c r="BG78" s="313"/>
    </row>
    <row r="79" spans="1:59">
      <c r="A79" s="195">
        <v>68</v>
      </c>
      <c r="B79" s="311"/>
      <c r="C79" s="312"/>
      <c r="D79" s="312"/>
      <c r="E79" s="312"/>
      <c r="F79" s="312"/>
      <c r="G79" s="312"/>
      <c r="H79" s="312"/>
      <c r="I79" s="312"/>
      <c r="J79" s="312"/>
      <c r="K79" s="312"/>
      <c r="L79" s="312"/>
      <c r="M79" s="312"/>
      <c r="N79" s="313"/>
      <c r="P79" s="195">
        <v>68</v>
      </c>
      <c r="Q79" s="311"/>
      <c r="R79" s="312"/>
      <c r="S79" s="312"/>
      <c r="T79" s="312"/>
      <c r="U79" s="312"/>
      <c r="V79" s="312"/>
      <c r="W79" s="312"/>
      <c r="X79" s="312"/>
      <c r="Y79" s="312"/>
      <c r="Z79" s="312"/>
      <c r="AA79" s="312"/>
      <c r="AB79" s="312"/>
      <c r="AC79" s="313"/>
      <c r="AE79" s="195">
        <v>68</v>
      </c>
      <c r="AF79" s="311"/>
      <c r="AG79" s="312"/>
      <c r="AH79" s="312"/>
      <c r="AI79" s="312"/>
      <c r="AJ79" s="312"/>
      <c r="AK79" s="312"/>
      <c r="AL79" s="312"/>
      <c r="AM79" s="312"/>
      <c r="AN79" s="312"/>
      <c r="AO79" s="312"/>
      <c r="AP79" s="312"/>
      <c r="AQ79" s="312"/>
      <c r="AR79" s="313"/>
      <c r="AT79" s="195">
        <v>68</v>
      </c>
      <c r="AU79" s="311"/>
      <c r="AV79" s="312"/>
      <c r="AW79" s="312"/>
      <c r="AX79" s="312"/>
      <c r="AY79" s="312"/>
      <c r="AZ79" s="312"/>
      <c r="BA79" s="312"/>
      <c r="BB79" s="312"/>
      <c r="BC79" s="312"/>
      <c r="BD79" s="312"/>
      <c r="BE79" s="312"/>
      <c r="BF79" s="312"/>
      <c r="BG79" s="313"/>
    </row>
    <row r="80" spans="1:59">
      <c r="A80" s="195">
        <v>69</v>
      </c>
      <c r="B80" s="311"/>
      <c r="C80" s="312"/>
      <c r="D80" s="312"/>
      <c r="E80" s="312"/>
      <c r="F80" s="312"/>
      <c r="G80" s="312"/>
      <c r="H80" s="312"/>
      <c r="I80" s="312"/>
      <c r="J80" s="312"/>
      <c r="K80" s="312"/>
      <c r="L80" s="312"/>
      <c r="M80" s="312"/>
      <c r="N80" s="313"/>
      <c r="P80" s="195">
        <v>69</v>
      </c>
      <c r="Q80" s="311"/>
      <c r="R80" s="312"/>
      <c r="S80" s="312"/>
      <c r="T80" s="312"/>
      <c r="U80" s="312"/>
      <c r="V80" s="312"/>
      <c r="W80" s="312"/>
      <c r="X80" s="312"/>
      <c r="Y80" s="312"/>
      <c r="Z80" s="312"/>
      <c r="AA80" s="312"/>
      <c r="AB80" s="312"/>
      <c r="AC80" s="313"/>
      <c r="AE80" s="195">
        <v>69</v>
      </c>
      <c r="AF80" s="311"/>
      <c r="AG80" s="312"/>
      <c r="AH80" s="312"/>
      <c r="AI80" s="312"/>
      <c r="AJ80" s="312"/>
      <c r="AK80" s="312"/>
      <c r="AL80" s="312"/>
      <c r="AM80" s="312"/>
      <c r="AN80" s="312"/>
      <c r="AO80" s="312"/>
      <c r="AP80" s="312"/>
      <c r="AQ80" s="312"/>
      <c r="AR80" s="313"/>
      <c r="AT80" s="195">
        <v>69</v>
      </c>
      <c r="AU80" s="311"/>
      <c r="AV80" s="312"/>
      <c r="AW80" s="312"/>
      <c r="AX80" s="312"/>
      <c r="AY80" s="312"/>
      <c r="AZ80" s="312"/>
      <c r="BA80" s="312"/>
      <c r="BB80" s="312"/>
      <c r="BC80" s="312"/>
      <c r="BD80" s="312"/>
      <c r="BE80" s="312"/>
      <c r="BF80" s="312"/>
      <c r="BG80" s="313"/>
    </row>
    <row r="81" spans="1:59">
      <c r="A81" s="195">
        <v>70</v>
      </c>
      <c r="B81" s="311"/>
      <c r="C81" s="312"/>
      <c r="D81" s="312"/>
      <c r="E81" s="312"/>
      <c r="F81" s="312"/>
      <c r="G81" s="312"/>
      <c r="H81" s="312"/>
      <c r="I81" s="312"/>
      <c r="J81" s="312"/>
      <c r="K81" s="312"/>
      <c r="L81" s="312"/>
      <c r="M81" s="312"/>
      <c r="N81" s="313"/>
      <c r="P81" s="195">
        <v>70</v>
      </c>
      <c r="Q81" s="311"/>
      <c r="R81" s="312"/>
      <c r="S81" s="312"/>
      <c r="T81" s="312"/>
      <c r="U81" s="312"/>
      <c r="V81" s="312"/>
      <c r="W81" s="312"/>
      <c r="X81" s="312"/>
      <c r="Y81" s="312"/>
      <c r="Z81" s="312"/>
      <c r="AA81" s="312"/>
      <c r="AB81" s="312"/>
      <c r="AC81" s="313"/>
      <c r="AE81" s="195">
        <v>70</v>
      </c>
      <c r="AF81" s="311"/>
      <c r="AG81" s="312"/>
      <c r="AH81" s="312"/>
      <c r="AI81" s="312"/>
      <c r="AJ81" s="312"/>
      <c r="AK81" s="312"/>
      <c r="AL81" s="312"/>
      <c r="AM81" s="312"/>
      <c r="AN81" s="312"/>
      <c r="AO81" s="312"/>
      <c r="AP81" s="312"/>
      <c r="AQ81" s="312"/>
      <c r="AR81" s="313"/>
      <c r="AT81" s="195">
        <v>70</v>
      </c>
      <c r="AU81" s="311"/>
      <c r="AV81" s="312"/>
      <c r="AW81" s="312"/>
      <c r="AX81" s="312"/>
      <c r="AY81" s="312"/>
      <c r="AZ81" s="312"/>
      <c r="BA81" s="312"/>
      <c r="BB81" s="312"/>
      <c r="BC81" s="312"/>
      <c r="BD81" s="312"/>
      <c r="BE81" s="312"/>
      <c r="BF81" s="312"/>
      <c r="BG81" s="313"/>
    </row>
    <row r="82" spans="1:59">
      <c r="A82" s="195">
        <v>71</v>
      </c>
      <c r="B82" s="311"/>
      <c r="C82" s="312"/>
      <c r="D82" s="312"/>
      <c r="E82" s="312"/>
      <c r="F82" s="312"/>
      <c r="G82" s="312"/>
      <c r="H82" s="312"/>
      <c r="I82" s="312"/>
      <c r="J82" s="312"/>
      <c r="K82" s="312"/>
      <c r="L82" s="312"/>
      <c r="M82" s="312"/>
      <c r="N82" s="313"/>
      <c r="P82" s="195">
        <v>71</v>
      </c>
      <c r="Q82" s="311"/>
      <c r="R82" s="312"/>
      <c r="S82" s="312"/>
      <c r="T82" s="312"/>
      <c r="U82" s="312"/>
      <c r="V82" s="312"/>
      <c r="W82" s="312"/>
      <c r="X82" s="312"/>
      <c r="Y82" s="312"/>
      <c r="Z82" s="312"/>
      <c r="AA82" s="312"/>
      <c r="AB82" s="312"/>
      <c r="AC82" s="313"/>
      <c r="AE82" s="195">
        <v>71</v>
      </c>
      <c r="AF82" s="311"/>
      <c r="AG82" s="312"/>
      <c r="AH82" s="312"/>
      <c r="AI82" s="312"/>
      <c r="AJ82" s="312"/>
      <c r="AK82" s="312"/>
      <c r="AL82" s="312"/>
      <c r="AM82" s="312"/>
      <c r="AN82" s="312"/>
      <c r="AO82" s="312"/>
      <c r="AP82" s="312"/>
      <c r="AQ82" s="312"/>
      <c r="AR82" s="313"/>
      <c r="AT82" s="195">
        <v>71</v>
      </c>
      <c r="AU82" s="311"/>
      <c r="AV82" s="312"/>
      <c r="AW82" s="312"/>
      <c r="AX82" s="312"/>
      <c r="AY82" s="312"/>
      <c r="AZ82" s="312"/>
      <c r="BA82" s="312"/>
      <c r="BB82" s="312"/>
      <c r="BC82" s="312"/>
      <c r="BD82" s="312"/>
      <c r="BE82" s="312"/>
      <c r="BF82" s="312"/>
      <c r="BG82" s="313"/>
    </row>
    <row r="83" spans="1:59">
      <c r="A83" s="195">
        <v>72</v>
      </c>
      <c r="B83" s="311"/>
      <c r="C83" s="312"/>
      <c r="D83" s="312"/>
      <c r="E83" s="312"/>
      <c r="F83" s="312"/>
      <c r="G83" s="312"/>
      <c r="H83" s="312"/>
      <c r="I83" s="312"/>
      <c r="J83" s="312"/>
      <c r="K83" s="312"/>
      <c r="L83" s="312"/>
      <c r="M83" s="312"/>
      <c r="N83" s="313"/>
      <c r="P83" s="195">
        <v>72</v>
      </c>
      <c r="Q83" s="311"/>
      <c r="R83" s="312"/>
      <c r="S83" s="312"/>
      <c r="T83" s="312"/>
      <c r="U83" s="312"/>
      <c r="V83" s="312"/>
      <c r="W83" s="312"/>
      <c r="X83" s="312"/>
      <c r="Y83" s="312"/>
      <c r="Z83" s="312"/>
      <c r="AA83" s="312"/>
      <c r="AB83" s="312"/>
      <c r="AC83" s="313"/>
      <c r="AE83" s="195">
        <v>72</v>
      </c>
      <c r="AF83" s="311"/>
      <c r="AG83" s="312"/>
      <c r="AH83" s="312"/>
      <c r="AI83" s="312"/>
      <c r="AJ83" s="312"/>
      <c r="AK83" s="312"/>
      <c r="AL83" s="312"/>
      <c r="AM83" s="312"/>
      <c r="AN83" s="312"/>
      <c r="AO83" s="312"/>
      <c r="AP83" s="312"/>
      <c r="AQ83" s="312"/>
      <c r="AR83" s="313"/>
      <c r="AT83" s="195">
        <v>72</v>
      </c>
      <c r="AU83" s="311"/>
      <c r="AV83" s="312"/>
      <c r="AW83" s="312"/>
      <c r="AX83" s="312"/>
      <c r="AY83" s="312"/>
      <c r="AZ83" s="312"/>
      <c r="BA83" s="312"/>
      <c r="BB83" s="312"/>
      <c r="BC83" s="312"/>
      <c r="BD83" s="312"/>
      <c r="BE83" s="312"/>
      <c r="BF83" s="312"/>
      <c r="BG83" s="313"/>
    </row>
    <row r="84" spans="1:59">
      <c r="A84" s="195">
        <v>73</v>
      </c>
      <c r="B84" s="311"/>
      <c r="C84" s="312"/>
      <c r="D84" s="312"/>
      <c r="E84" s="312"/>
      <c r="F84" s="312"/>
      <c r="G84" s="312"/>
      <c r="H84" s="312"/>
      <c r="I84" s="312"/>
      <c r="J84" s="312"/>
      <c r="K84" s="312"/>
      <c r="L84" s="312"/>
      <c r="M84" s="312"/>
      <c r="N84" s="313"/>
      <c r="P84" s="195">
        <v>73</v>
      </c>
      <c r="Q84" s="311"/>
      <c r="R84" s="312"/>
      <c r="S84" s="312"/>
      <c r="T84" s="312"/>
      <c r="U84" s="312"/>
      <c r="V84" s="312"/>
      <c r="W84" s="312"/>
      <c r="X84" s="312"/>
      <c r="Y84" s="312"/>
      <c r="Z84" s="312"/>
      <c r="AA84" s="312"/>
      <c r="AB84" s="312"/>
      <c r="AC84" s="313"/>
      <c r="AE84" s="195">
        <v>73</v>
      </c>
      <c r="AF84" s="311"/>
      <c r="AG84" s="312"/>
      <c r="AH84" s="312"/>
      <c r="AI84" s="312"/>
      <c r="AJ84" s="312"/>
      <c r="AK84" s="312"/>
      <c r="AL84" s="312"/>
      <c r="AM84" s="312"/>
      <c r="AN84" s="312"/>
      <c r="AO84" s="312"/>
      <c r="AP84" s="312"/>
      <c r="AQ84" s="312"/>
      <c r="AR84" s="313"/>
      <c r="AT84" s="195">
        <v>73</v>
      </c>
      <c r="AU84" s="311"/>
      <c r="AV84" s="312"/>
      <c r="AW84" s="312"/>
      <c r="AX84" s="312"/>
      <c r="AY84" s="312"/>
      <c r="AZ84" s="312"/>
      <c r="BA84" s="312"/>
      <c r="BB84" s="312"/>
      <c r="BC84" s="312"/>
      <c r="BD84" s="312"/>
      <c r="BE84" s="312"/>
      <c r="BF84" s="312"/>
      <c r="BG84" s="313"/>
    </row>
    <row r="85" spans="1:59">
      <c r="A85" s="195">
        <v>74</v>
      </c>
      <c r="B85" s="311"/>
      <c r="C85" s="312"/>
      <c r="D85" s="312"/>
      <c r="E85" s="312"/>
      <c r="F85" s="312"/>
      <c r="G85" s="312"/>
      <c r="H85" s="312"/>
      <c r="I85" s="312"/>
      <c r="J85" s="312"/>
      <c r="K85" s="312"/>
      <c r="L85" s="312"/>
      <c r="M85" s="312"/>
      <c r="N85" s="313"/>
      <c r="P85" s="195">
        <v>74</v>
      </c>
      <c r="Q85" s="311"/>
      <c r="R85" s="312"/>
      <c r="S85" s="312"/>
      <c r="T85" s="312"/>
      <c r="U85" s="312"/>
      <c r="V85" s="312"/>
      <c r="W85" s="312"/>
      <c r="X85" s="312"/>
      <c r="Y85" s="312"/>
      <c r="Z85" s="312"/>
      <c r="AA85" s="312"/>
      <c r="AB85" s="312"/>
      <c r="AC85" s="313"/>
      <c r="AE85" s="195">
        <v>74</v>
      </c>
      <c r="AF85" s="311"/>
      <c r="AG85" s="312"/>
      <c r="AH85" s="312"/>
      <c r="AI85" s="312"/>
      <c r="AJ85" s="312"/>
      <c r="AK85" s="312"/>
      <c r="AL85" s="312"/>
      <c r="AM85" s="312"/>
      <c r="AN85" s="312"/>
      <c r="AO85" s="312"/>
      <c r="AP85" s="312"/>
      <c r="AQ85" s="312"/>
      <c r="AR85" s="313"/>
      <c r="AT85" s="195">
        <v>74</v>
      </c>
      <c r="AU85" s="311"/>
      <c r="AV85" s="312"/>
      <c r="AW85" s="312"/>
      <c r="AX85" s="312"/>
      <c r="AY85" s="312"/>
      <c r="AZ85" s="312"/>
      <c r="BA85" s="312"/>
      <c r="BB85" s="312"/>
      <c r="BC85" s="312"/>
      <c r="BD85" s="312"/>
      <c r="BE85" s="312"/>
      <c r="BF85" s="312"/>
      <c r="BG85" s="313"/>
    </row>
    <row r="86" spans="1:59">
      <c r="A86" s="195">
        <v>75</v>
      </c>
      <c r="B86" s="311"/>
      <c r="C86" s="312"/>
      <c r="D86" s="312"/>
      <c r="E86" s="312"/>
      <c r="F86" s="312"/>
      <c r="G86" s="312"/>
      <c r="H86" s="312"/>
      <c r="I86" s="312"/>
      <c r="J86" s="312"/>
      <c r="K86" s="312"/>
      <c r="L86" s="312"/>
      <c r="M86" s="312"/>
      <c r="N86" s="313"/>
      <c r="P86" s="195">
        <v>75</v>
      </c>
      <c r="Q86" s="311"/>
      <c r="R86" s="312"/>
      <c r="S86" s="312"/>
      <c r="T86" s="312"/>
      <c r="U86" s="312"/>
      <c r="V86" s="312"/>
      <c r="W86" s="312"/>
      <c r="X86" s="312"/>
      <c r="Y86" s="312"/>
      <c r="Z86" s="312"/>
      <c r="AA86" s="312"/>
      <c r="AB86" s="312"/>
      <c r="AC86" s="313"/>
      <c r="AE86" s="195">
        <v>75</v>
      </c>
      <c r="AF86" s="311"/>
      <c r="AG86" s="312"/>
      <c r="AH86" s="312"/>
      <c r="AI86" s="312"/>
      <c r="AJ86" s="312"/>
      <c r="AK86" s="312"/>
      <c r="AL86" s="312"/>
      <c r="AM86" s="312"/>
      <c r="AN86" s="312"/>
      <c r="AO86" s="312"/>
      <c r="AP86" s="312"/>
      <c r="AQ86" s="312"/>
      <c r="AR86" s="313"/>
      <c r="AT86" s="195">
        <v>75</v>
      </c>
      <c r="AU86" s="311"/>
      <c r="AV86" s="312"/>
      <c r="AW86" s="312"/>
      <c r="AX86" s="312"/>
      <c r="AY86" s="312"/>
      <c r="AZ86" s="312"/>
      <c r="BA86" s="312"/>
      <c r="BB86" s="312"/>
      <c r="BC86" s="312"/>
      <c r="BD86" s="312"/>
      <c r="BE86" s="312"/>
      <c r="BF86" s="312"/>
      <c r="BG86" s="313"/>
    </row>
    <row r="87" spans="1:59">
      <c r="A87" s="195">
        <v>76</v>
      </c>
      <c r="B87" s="311"/>
      <c r="C87" s="312"/>
      <c r="D87" s="312"/>
      <c r="E87" s="312"/>
      <c r="F87" s="312"/>
      <c r="G87" s="312"/>
      <c r="H87" s="312"/>
      <c r="I87" s="312"/>
      <c r="J87" s="312"/>
      <c r="K87" s="312"/>
      <c r="L87" s="312"/>
      <c r="M87" s="312"/>
      <c r="N87" s="313"/>
      <c r="P87" s="195">
        <v>76</v>
      </c>
      <c r="Q87" s="311"/>
      <c r="R87" s="312"/>
      <c r="S87" s="312"/>
      <c r="T87" s="312"/>
      <c r="U87" s="312"/>
      <c r="V87" s="312"/>
      <c r="W87" s="312"/>
      <c r="X87" s="312"/>
      <c r="Y87" s="312"/>
      <c r="Z87" s="312"/>
      <c r="AA87" s="312"/>
      <c r="AB87" s="312"/>
      <c r="AC87" s="313"/>
      <c r="AE87" s="195">
        <v>76</v>
      </c>
      <c r="AF87" s="311"/>
      <c r="AG87" s="312"/>
      <c r="AH87" s="312"/>
      <c r="AI87" s="312"/>
      <c r="AJ87" s="312"/>
      <c r="AK87" s="312"/>
      <c r="AL87" s="312"/>
      <c r="AM87" s="312"/>
      <c r="AN87" s="312"/>
      <c r="AO87" s="312"/>
      <c r="AP87" s="312"/>
      <c r="AQ87" s="312"/>
      <c r="AR87" s="313"/>
      <c r="AT87" s="195">
        <v>76</v>
      </c>
      <c r="AU87" s="311"/>
      <c r="AV87" s="312"/>
      <c r="AW87" s="312"/>
      <c r="AX87" s="312"/>
      <c r="AY87" s="312"/>
      <c r="AZ87" s="312"/>
      <c r="BA87" s="312"/>
      <c r="BB87" s="312"/>
      <c r="BC87" s="312"/>
      <c r="BD87" s="312"/>
      <c r="BE87" s="312"/>
      <c r="BF87" s="312"/>
      <c r="BG87" s="313"/>
    </row>
    <row r="88" spans="1:59">
      <c r="A88" s="195">
        <v>77</v>
      </c>
      <c r="B88" s="311"/>
      <c r="C88" s="312"/>
      <c r="D88" s="312"/>
      <c r="E88" s="312"/>
      <c r="F88" s="312"/>
      <c r="G88" s="312"/>
      <c r="H88" s="312"/>
      <c r="I88" s="312"/>
      <c r="J88" s="312"/>
      <c r="K88" s="312"/>
      <c r="L88" s="312"/>
      <c r="M88" s="312"/>
      <c r="N88" s="313"/>
      <c r="P88" s="195">
        <v>77</v>
      </c>
      <c r="Q88" s="311"/>
      <c r="R88" s="312"/>
      <c r="S88" s="312"/>
      <c r="T88" s="312"/>
      <c r="U88" s="312"/>
      <c r="V88" s="312"/>
      <c r="W88" s="312"/>
      <c r="X88" s="312"/>
      <c r="Y88" s="312"/>
      <c r="Z88" s="312"/>
      <c r="AA88" s="312"/>
      <c r="AB88" s="312"/>
      <c r="AC88" s="313"/>
      <c r="AE88" s="195">
        <v>77</v>
      </c>
      <c r="AF88" s="311"/>
      <c r="AG88" s="312"/>
      <c r="AH88" s="312"/>
      <c r="AI88" s="312"/>
      <c r="AJ88" s="312"/>
      <c r="AK88" s="312"/>
      <c r="AL88" s="312"/>
      <c r="AM88" s="312"/>
      <c r="AN88" s="312"/>
      <c r="AO88" s="312"/>
      <c r="AP88" s="312"/>
      <c r="AQ88" s="312"/>
      <c r="AR88" s="313"/>
      <c r="AT88" s="195">
        <v>77</v>
      </c>
      <c r="AU88" s="311"/>
      <c r="AV88" s="312"/>
      <c r="AW88" s="312"/>
      <c r="AX88" s="312"/>
      <c r="AY88" s="312"/>
      <c r="AZ88" s="312"/>
      <c r="BA88" s="312"/>
      <c r="BB88" s="312"/>
      <c r="BC88" s="312"/>
      <c r="BD88" s="312"/>
      <c r="BE88" s="312"/>
      <c r="BF88" s="312"/>
      <c r="BG88" s="313"/>
    </row>
    <row r="89" spans="1:59">
      <c r="A89" s="195">
        <v>78</v>
      </c>
      <c r="B89" s="311"/>
      <c r="C89" s="312"/>
      <c r="D89" s="312"/>
      <c r="E89" s="312"/>
      <c r="F89" s="312"/>
      <c r="G89" s="312"/>
      <c r="H89" s="312"/>
      <c r="I89" s="312"/>
      <c r="J89" s="312"/>
      <c r="K89" s="312"/>
      <c r="L89" s="312"/>
      <c r="M89" s="312"/>
      <c r="N89" s="313"/>
      <c r="P89" s="195">
        <v>78</v>
      </c>
      <c r="Q89" s="311"/>
      <c r="R89" s="312"/>
      <c r="S89" s="312"/>
      <c r="T89" s="312"/>
      <c r="U89" s="312"/>
      <c r="V89" s="312"/>
      <c r="W89" s="312"/>
      <c r="X89" s="312"/>
      <c r="Y89" s="312"/>
      <c r="Z89" s="312"/>
      <c r="AA89" s="312"/>
      <c r="AB89" s="312"/>
      <c r="AC89" s="313"/>
      <c r="AE89" s="195">
        <v>78</v>
      </c>
      <c r="AF89" s="311"/>
      <c r="AG89" s="312"/>
      <c r="AH89" s="312"/>
      <c r="AI89" s="312"/>
      <c r="AJ89" s="312"/>
      <c r="AK89" s="312"/>
      <c r="AL89" s="312"/>
      <c r="AM89" s="312"/>
      <c r="AN89" s="312"/>
      <c r="AO89" s="312"/>
      <c r="AP89" s="312"/>
      <c r="AQ89" s="312"/>
      <c r="AR89" s="313"/>
      <c r="AT89" s="195">
        <v>78</v>
      </c>
      <c r="AU89" s="311"/>
      <c r="AV89" s="312"/>
      <c r="AW89" s="312"/>
      <c r="AX89" s="312"/>
      <c r="AY89" s="312"/>
      <c r="AZ89" s="312"/>
      <c r="BA89" s="312"/>
      <c r="BB89" s="312"/>
      <c r="BC89" s="312"/>
      <c r="BD89" s="312"/>
      <c r="BE89" s="312"/>
      <c r="BF89" s="312"/>
      <c r="BG89" s="313"/>
    </row>
    <row r="90" spans="1:59">
      <c r="A90" s="195">
        <v>79</v>
      </c>
      <c r="B90" s="311"/>
      <c r="C90" s="312"/>
      <c r="D90" s="312"/>
      <c r="E90" s="312"/>
      <c r="F90" s="312"/>
      <c r="G90" s="312"/>
      <c r="H90" s="312"/>
      <c r="I90" s="312"/>
      <c r="J90" s="312"/>
      <c r="K90" s="312"/>
      <c r="L90" s="312"/>
      <c r="M90" s="312"/>
      <c r="N90" s="313"/>
      <c r="P90" s="195">
        <v>79</v>
      </c>
      <c r="Q90" s="311"/>
      <c r="R90" s="312"/>
      <c r="S90" s="312"/>
      <c r="T90" s="312"/>
      <c r="U90" s="312"/>
      <c r="V90" s="312"/>
      <c r="W90" s="312"/>
      <c r="X90" s="312"/>
      <c r="Y90" s="312"/>
      <c r="Z90" s="312"/>
      <c r="AA90" s="312"/>
      <c r="AB90" s="312"/>
      <c r="AC90" s="313"/>
      <c r="AE90" s="195">
        <v>79</v>
      </c>
      <c r="AF90" s="311"/>
      <c r="AG90" s="312"/>
      <c r="AH90" s="312"/>
      <c r="AI90" s="312"/>
      <c r="AJ90" s="312"/>
      <c r="AK90" s="312"/>
      <c r="AL90" s="312"/>
      <c r="AM90" s="312"/>
      <c r="AN90" s="312"/>
      <c r="AO90" s="312"/>
      <c r="AP90" s="312"/>
      <c r="AQ90" s="312"/>
      <c r="AR90" s="313"/>
      <c r="AT90" s="195">
        <v>79</v>
      </c>
      <c r="AU90" s="311"/>
      <c r="AV90" s="312"/>
      <c r="AW90" s="312"/>
      <c r="AX90" s="312"/>
      <c r="AY90" s="312"/>
      <c r="AZ90" s="312"/>
      <c r="BA90" s="312"/>
      <c r="BB90" s="312"/>
      <c r="BC90" s="312"/>
      <c r="BD90" s="312"/>
      <c r="BE90" s="312"/>
      <c r="BF90" s="312"/>
      <c r="BG90" s="313"/>
    </row>
    <row r="91" spans="1:59">
      <c r="A91" s="195">
        <v>80</v>
      </c>
      <c r="B91" s="311"/>
      <c r="C91" s="312"/>
      <c r="D91" s="312"/>
      <c r="E91" s="312"/>
      <c r="F91" s="312"/>
      <c r="G91" s="312"/>
      <c r="H91" s="312"/>
      <c r="I91" s="312"/>
      <c r="J91" s="312"/>
      <c r="K91" s="312"/>
      <c r="L91" s="312"/>
      <c r="M91" s="312"/>
      <c r="N91" s="313"/>
      <c r="P91" s="195">
        <v>80</v>
      </c>
      <c r="Q91" s="311"/>
      <c r="R91" s="312"/>
      <c r="S91" s="312"/>
      <c r="T91" s="312"/>
      <c r="U91" s="312"/>
      <c r="V91" s="312"/>
      <c r="W91" s="312"/>
      <c r="X91" s="312"/>
      <c r="Y91" s="312"/>
      <c r="Z91" s="312"/>
      <c r="AA91" s="312"/>
      <c r="AB91" s="312"/>
      <c r="AC91" s="313"/>
      <c r="AE91" s="195">
        <v>80</v>
      </c>
      <c r="AF91" s="311"/>
      <c r="AG91" s="312"/>
      <c r="AH91" s="312"/>
      <c r="AI91" s="312"/>
      <c r="AJ91" s="312"/>
      <c r="AK91" s="312"/>
      <c r="AL91" s="312"/>
      <c r="AM91" s="312"/>
      <c r="AN91" s="312"/>
      <c r="AO91" s="312"/>
      <c r="AP91" s="312"/>
      <c r="AQ91" s="312"/>
      <c r="AR91" s="313"/>
      <c r="AT91" s="195">
        <v>80</v>
      </c>
      <c r="AU91" s="311"/>
      <c r="AV91" s="312"/>
      <c r="AW91" s="312"/>
      <c r="AX91" s="312"/>
      <c r="AY91" s="312"/>
      <c r="AZ91" s="312"/>
      <c r="BA91" s="312"/>
      <c r="BB91" s="312"/>
      <c r="BC91" s="312"/>
      <c r="BD91" s="312"/>
      <c r="BE91" s="312"/>
      <c r="BF91" s="312"/>
      <c r="BG91" s="313"/>
    </row>
    <row r="92" spans="1:59">
      <c r="A92" s="195">
        <v>81</v>
      </c>
      <c r="B92" s="311"/>
      <c r="C92" s="312"/>
      <c r="D92" s="312"/>
      <c r="E92" s="312"/>
      <c r="F92" s="312"/>
      <c r="G92" s="312"/>
      <c r="H92" s="312"/>
      <c r="I92" s="312"/>
      <c r="J92" s="312"/>
      <c r="K92" s="312"/>
      <c r="L92" s="312"/>
      <c r="M92" s="312"/>
      <c r="N92" s="313"/>
      <c r="P92" s="195">
        <v>81</v>
      </c>
      <c r="Q92" s="311"/>
      <c r="R92" s="312"/>
      <c r="S92" s="312"/>
      <c r="T92" s="312"/>
      <c r="U92" s="312"/>
      <c r="V92" s="312"/>
      <c r="W92" s="312"/>
      <c r="X92" s="312"/>
      <c r="Y92" s="312"/>
      <c r="Z92" s="312"/>
      <c r="AA92" s="312"/>
      <c r="AB92" s="312"/>
      <c r="AC92" s="313"/>
      <c r="AE92" s="195">
        <v>81</v>
      </c>
      <c r="AF92" s="311"/>
      <c r="AG92" s="312"/>
      <c r="AH92" s="312"/>
      <c r="AI92" s="312"/>
      <c r="AJ92" s="312"/>
      <c r="AK92" s="312"/>
      <c r="AL92" s="312"/>
      <c r="AM92" s="312"/>
      <c r="AN92" s="312"/>
      <c r="AO92" s="312"/>
      <c r="AP92" s="312"/>
      <c r="AQ92" s="312"/>
      <c r="AR92" s="313"/>
      <c r="AT92" s="195">
        <v>81</v>
      </c>
      <c r="AU92" s="311"/>
      <c r="AV92" s="312"/>
      <c r="AW92" s="312"/>
      <c r="AX92" s="312"/>
      <c r="AY92" s="312"/>
      <c r="AZ92" s="312"/>
      <c r="BA92" s="312"/>
      <c r="BB92" s="312"/>
      <c r="BC92" s="312"/>
      <c r="BD92" s="312"/>
      <c r="BE92" s="312"/>
      <c r="BF92" s="312"/>
      <c r="BG92" s="313"/>
    </row>
    <row r="93" spans="1:59">
      <c r="A93" s="195">
        <v>82</v>
      </c>
      <c r="B93" s="311"/>
      <c r="C93" s="312"/>
      <c r="D93" s="312"/>
      <c r="E93" s="312"/>
      <c r="F93" s="312"/>
      <c r="G93" s="312"/>
      <c r="H93" s="312"/>
      <c r="I93" s="312"/>
      <c r="J93" s="312"/>
      <c r="K93" s="312"/>
      <c r="L93" s="312"/>
      <c r="M93" s="312"/>
      <c r="N93" s="313"/>
      <c r="P93" s="195">
        <v>82</v>
      </c>
      <c r="Q93" s="311"/>
      <c r="R93" s="312"/>
      <c r="S93" s="312"/>
      <c r="T93" s="312"/>
      <c r="U93" s="312"/>
      <c r="V93" s="312"/>
      <c r="W93" s="312"/>
      <c r="X93" s="312"/>
      <c r="Y93" s="312"/>
      <c r="Z93" s="312"/>
      <c r="AA93" s="312"/>
      <c r="AB93" s="312"/>
      <c r="AC93" s="313"/>
      <c r="AE93" s="195">
        <v>82</v>
      </c>
      <c r="AF93" s="311"/>
      <c r="AG93" s="312"/>
      <c r="AH93" s="312"/>
      <c r="AI93" s="312"/>
      <c r="AJ93" s="312"/>
      <c r="AK93" s="312"/>
      <c r="AL93" s="312"/>
      <c r="AM93" s="312"/>
      <c r="AN93" s="312"/>
      <c r="AO93" s="312"/>
      <c r="AP93" s="312"/>
      <c r="AQ93" s="312"/>
      <c r="AR93" s="313"/>
      <c r="AT93" s="195">
        <v>82</v>
      </c>
      <c r="AU93" s="311"/>
      <c r="AV93" s="312"/>
      <c r="AW93" s="312"/>
      <c r="AX93" s="312"/>
      <c r="AY93" s="312"/>
      <c r="AZ93" s="312"/>
      <c r="BA93" s="312"/>
      <c r="BB93" s="312"/>
      <c r="BC93" s="312"/>
      <c r="BD93" s="312"/>
      <c r="BE93" s="312"/>
      <c r="BF93" s="312"/>
      <c r="BG93" s="313"/>
    </row>
    <row r="94" spans="1:59">
      <c r="A94" s="195">
        <v>83</v>
      </c>
      <c r="B94" s="311"/>
      <c r="C94" s="312"/>
      <c r="D94" s="312"/>
      <c r="E94" s="312"/>
      <c r="F94" s="312"/>
      <c r="G94" s="312"/>
      <c r="H94" s="312"/>
      <c r="I94" s="312"/>
      <c r="J94" s="312"/>
      <c r="K94" s="312"/>
      <c r="L94" s="312"/>
      <c r="M94" s="312"/>
      <c r="N94" s="313"/>
      <c r="P94" s="195">
        <v>83</v>
      </c>
      <c r="Q94" s="311"/>
      <c r="R94" s="312"/>
      <c r="S94" s="312"/>
      <c r="T94" s="312"/>
      <c r="U94" s="312"/>
      <c r="V94" s="312"/>
      <c r="W94" s="312"/>
      <c r="X94" s="312"/>
      <c r="Y94" s="312"/>
      <c r="Z94" s="312"/>
      <c r="AA94" s="312"/>
      <c r="AB94" s="312"/>
      <c r="AC94" s="313"/>
      <c r="AE94" s="195">
        <v>83</v>
      </c>
      <c r="AF94" s="311"/>
      <c r="AG94" s="312"/>
      <c r="AH94" s="312"/>
      <c r="AI94" s="312"/>
      <c r="AJ94" s="312"/>
      <c r="AK94" s="312"/>
      <c r="AL94" s="312"/>
      <c r="AM94" s="312"/>
      <c r="AN94" s="312"/>
      <c r="AO94" s="312"/>
      <c r="AP94" s="312"/>
      <c r="AQ94" s="312"/>
      <c r="AR94" s="313"/>
      <c r="AT94" s="195">
        <v>83</v>
      </c>
      <c r="AU94" s="311"/>
      <c r="AV94" s="312"/>
      <c r="AW94" s="312"/>
      <c r="AX94" s="312"/>
      <c r="AY94" s="312"/>
      <c r="AZ94" s="312"/>
      <c r="BA94" s="312"/>
      <c r="BB94" s="312"/>
      <c r="BC94" s="312"/>
      <c r="BD94" s="312"/>
      <c r="BE94" s="312"/>
      <c r="BF94" s="312"/>
      <c r="BG94" s="313"/>
    </row>
    <row r="95" spans="1:59">
      <c r="A95" s="195">
        <v>84</v>
      </c>
      <c r="B95" s="311"/>
      <c r="C95" s="312"/>
      <c r="D95" s="312"/>
      <c r="E95" s="312"/>
      <c r="F95" s="312"/>
      <c r="G95" s="312"/>
      <c r="H95" s="312"/>
      <c r="I95" s="312"/>
      <c r="J95" s="312"/>
      <c r="K95" s="312"/>
      <c r="L95" s="312"/>
      <c r="M95" s="312"/>
      <c r="N95" s="313"/>
      <c r="P95" s="195">
        <v>84</v>
      </c>
      <c r="Q95" s="311"/>
      <c r="R95" s="312"/>
      <c r="S95" s="312"/>
      <c r="T95" s="312"/>
      <c r="U95" s="312"/>
      <c r="V95" s="312"/>
      <c r="W95" s="312"/>
      <c r="X95" s="312"/>
      <c r="Y95" s="312"/>
      <c r="Z95" s="312"/>
      <c r="AA95" s="312"/>
      <c r="AB95" s="312"/>
      <c r="AC95" s="313"/>
      <c r="AE95" s="195">
        <v>84</v>
      </c>
      <c r="AF95" s="311"/>
      <c r="AG95" s="312"/>
      <c r="AH95" s="312"/>
      <c r="AI95" s="312"/>
      <c r="AJ95" s="312"/>
      <c r="AK95" s="312"/>
      <c r="AL95" s="312"/>
      <c r="AM95" s="312"/>
      <c r="AN95" s="312"/>
      <c r="AO95" s="312"/>
      <c r="AP95" s="312"/>
      <c r="AQ95" s="312"/>
      <c r="AR95" s="313"/>
      <c r="AT95" s="195">
        <v>84</v>
      </c>
      <c r="AU95" s="311"/>
      <c r="AV95" s="312"/>
      <c r="AW95" s="312"/>
      <c r="AX95" s="312"/>
      <c r="AY95" s="312"/>
      <c r="AZ95" s="312"/>
      <c r="BA95" s="312"/>
      <c r="BB95" s="312"/>
      <c r="BC95" s="312"/>
      <c r="BD95" s="312"/>
      <c r="BE95" s="312"/>
      <c r="BF95" s="312"/>
      <c r="BG95" s="313"/>
    </row>
    <row r="96" spans="1:59">
      <c r="A96" s="195">
        <v>85</v>
      </c>
      <c r="B96" s="311"/>
      <c r="C96" s="312"/>
      <c r="D96" s="312"/>
      <c r="E96" s="312"/>
      <c r="F96" s="312"/>
      <c r="G96" s="312"/>
      <c r="H96" s="312"/>
      <c r="I96" s="312"/>
      <c r="J96" s="312"/>
      <c r="K96" s="312"/>
      <c r="L96" s="312"/>
      <c r="M96" s="312"/>
      <c r="N96" s="313"/>
      <c r="P96" s="195">
        <v>85</v>
      </c>
      <c r="Q96" s="311"/>
      <c r="R96" s="312"/>
      <c r="S96" s="312"/>
      <c r="T96" s="312"/>
      <c r="U96" s="312"/>
      <c r="V96" s="312"/>
      <c r="W96" s="312"/>
      <c r="X96" s="312"/>
      <c r="Y96" s="312"/>
      <c r="Z96" s="312"/>
      <c r="AA96" s="312"/>
      <c r="AB96" s="312"/>
      <c r="AC96" s="313"/>
      <c r="AE96" s="195">
        <v>85</v>
      </c>
      <c r="AF96" s="311"/>
      <c r="AG96" s="312"/>
      <c r="AH96" s="312"/>
      <c r="AI96" s="312"/>
      <c r="AJ96" s="312"/>
      <c r="AK96" s="312"/>
      <c r="AL96" s="312"/>
      <c r="AM96" s="312"/>
      <c r="AN96" s="312"/>
      <c r="AO96" s="312"/>
      <c r="AP96" s="312"/>
      <c r="AQ96" s="312"/>
      <c r="AR96" s="313"/>
      <c r="AT96" s="195">
        <v>85</v>
      </c>
      <c r="AU96" s="311"/>
      <c r="AV96" s="312"/>
      <c r="AW96" s="312"/>
      <c r="AX96" s="312"/>
      <c r="AY96" s="312"/>
      <c r="AZ96" s="312"/>
      <c r="BA96" s="312"/>
      <c r="BB96" s="312"/>
      <c r="BC96" s="312"/>
      <c r="BD96" s="312"/>
      <c r="BE96" s="312"/>
      <c r="BF96" s="312"/>
      <c r="BG96" s="313"/>
    </row>
    <row r="97" spans="1:59">
      <c r="A97" s="195">
        <v>86</v>
      </c>
      <c r="B97" s="311"/>
      <c r="C97" s="312"/>
      <c r="D97" s="312"/>
      <c r="E97" s="312"/>
      <c r="F97" s="312"/>
      <c r="G97" s="312"/>
      <c r="H97" s="312"/>
      <c r="I97" s="312"/>
      <c r="J97" s="312"/>
      <c r="K97" s="312"/>
      <c r="L97" s="312"/>
      <c r="M97" s="312"/>
      <c r="N97" s="313"/>
      <c r="P97" s="195">
        <v>86</v>
      </c>
      <c r="Q97" s="311"/>
      <c r="R97" s="312"/>
      <c r="S97" s="312"/>
      <c r="T97" s="312"/>
      <c r="U97" s="312"/>
      <c r="V97" s="312"/>
      <c r="W97" s="312"/>
      <c r="X97" s="312"/>
      <c r="Y97" s="312"/>
      <c r="Z97" s="312"/>
      <c r="AA97" s="312"/>
      <c r="AB97" s="312"/>
      <c r="AC97" s="313"/>
      <c r="AE97" s="195">
        <v>86</v>
      </c>
      <c r="AF97" s="311"/>
      <c r="AG97" s="312"/>
      <c r="AH97" s="312"/>
      <c r="AI97" s="312"/>
      <c r="AJ97" s="312"/>
      <c r="AK97" s="312"/>
      <c r="AL97" s="312"/>
      <c r="AM97" s="312"/>
      <c r="AN97" s="312"/>
      <c r="AO97" s="312"/>
      <c r="AP97" s="312"/>
      <c r="AQ97" s="312"/>
      <c r="AR97" s="313"/>
      <c r="AT97" s="195">
        <v>86</v>
      </c>
      <c r="AU97" s="311"/>
      <c r="AV97" s="312"/>
      <c r="AW97" s="312"/>
      <c r="AX97" s="312"/>
      <c r="AY97" s="312"/>
      <c r="AZ97" s="312"/>
      <c r="BA97" s="312"/>
      <c r="BB97" s="312"/>
      <c r="BC97" s="312"/>
      <c r="BD97" s="312"/>
      <c r="BE97" s="312"/>
      <c r="BF97" s="312"/>
      <c r="BG97" s="313"/>
    </row>
    <row r="98" spans="1:59">
      <c r="A98" s="195">
        <v>87</v>
      </c>
      <c r="B98" s="311"/>
      <c r="C98" s="312"/>
      <c r="D98" s="312"/>
      <c r="E98" s="312"/>
      <c r="F98" s="312"/>
      <c r="G98" s="312"/>
      <c r="H98" s="312"/>
      <c r="I98" s="312"/>
      <c r="J98" s="312"/>
      <c r="K98" s="312"/>
      <c r="L98" s="312"/>
      <c r="M98" s="312"/>
      <c r="N98" s="313"/>
      <c r="P98" s="195">
        <v>87</v>
      </c>
      <c r="Q98" s="311"/>
      <c r="R98" s="312"/>
      <c r="S98" s="312"/>
      <c r="T98" s="312"/>
      <c r="U98" s="312"/>
      <c r="V98" s="312"/>
      <c r="W98" s="312"/>
      <c r="X98" s="312"/>
      <c r="Y98" s="312"/>
      <c r="Z98" s="312"/>
      <c r="AA98" s="312"/>
      <c r="AB98" s="312"/>
      <c r="AC98" s="313"/>
      <c r="AE98" s="195">
        <v>87</v>
      </c>
      <c r="AF98" s="311"/>
      <c r="AG98" s="312"/>
      <c r="AH98" s="312"/>
      <c r="AI98" s="312"/>
      <c r="AJ98" s="312"/>
      <c r="AK98" s="312"/>
      <c r="AL98" s="312"/>
      <c r="AM98" s="312"/>
      <c r="AN98" s="312"/>
      <c r="AO98" s="312"/>
      <c r="AP98" s="312"/>
      <c r="AQ98" s="312"/>
      <c r="AR98" s="313"/>
      <c r="AT98" s="195">
        <v>87</v>
      </c>
      <c r="AU98" s="311"/>
      <c r="AV98" s="312"/>
      <c r="AW98" s="312"/>
      <c r="AX98" s="312"/>
      <c r="AY98" s="312"/>
      <c r="AZ98" s="312"/>
      <c r="BA98" s="312"/>
      <c r="BB98" s="312"/>
      <c r="BC98" s="312"/>
      <c r="BD98" s="312"/>
      <c r="BE98" s="312"/>
      <c r="BF98" s="312"/>
      <c r="BG98" s="313"/>
    </row>
    <row r="99" spans="1:59">
      <c r="A99" s="195">
        <v>88</v>
      </c>
      <c r="B99" s="311"/>
      <c r="C99" s="312"/>
      <c r="D99" s="312"/>
      <c r="E99" s="312"/>
      <c r="F99" s="312"/>
      <c r="G99" s="312"/>
      <c r="H99" s="312"/>
      <c r="I99" s="312"/>
      <c r="J99" s="312"/>
      <c r="K99" s="312"/>
      <c r="L99" s="312"/>
      <c r="M99" s="312"/>
      <c r="N99" s="313"/>
      <c r="P99" s="195">
        <v>88</v>
      </c>
      <c r="Q99" s="311"/>
      <c r="R99" s="312"/>
      <c r="S99" s="312"/>
      <c r="T99" s="312"/>
      <c r="U99" s="312"/>
      <c r="V99" s="312"/>
      <c r="W99" s="312"/>
      <c r="X99" s="312"/>
      <c r="Y99" s="312"/>
      <c r="Z99" s="312"/>
      <c r="AA99" s="312"/>
      <c r="AB99" s="312"/>
      <c r="AC99" s="313"/>
      <c r="AE99" s="195">
        <v>88</v>
      </c>
      <c r="AF99" s="311"/>
      <c r="AG99" s="312"/>
      <c r="AH99" s="312"/>
      <c r="AI99" s="312"/>
      <c r="AJ99" s="312"/>
      <c r="AK99" s="312"/>
      <c r="AL99" s="312"/>
      <c r="AM99" s="312"/>
      <c r="AN99" s="312"/>
      <c r="AO99" s="312"/>
      <c r="AP99" s="312"/>
      <c r="AQ99" s="312"/>
      <c r="AR99" s="313"/>
      <c r="AT99" s="195">
        <v>88</v>
      </c>
      <c r="AU99" s="311"/>
      <c r="AV99" s="312"/>
      <c r="AW99" s="312"/>
      <c r="AX99" s="312"/>
      <c r="AY99" s="312"/>
      <c r="AZ99" s="312"/>
      <c r="BA99" s="312"/>
      <c r="BB99" s="312"/>
      <c r="BC99" s="312"/>
      <c r="BD99" s="312"/>
      <c r="BE99" s="312"/>
      <c r="BF99" s="312"/>
      <c r="BG99" s="313"/>
    </row>
    <row r="100" spans="1:59">
      <c r="A100" s="195">
        <v>89</v>
      </c>
      <c r="B100" s="311"/>
      <c r="C100" s="312"/>
      <c r="D100" s="312"/>
      <c r="E100" s="312"/>
      <c r="F100" s="312"/>
      <c r="G100" s="312"/>
      <c r="H100" s="312"/>
      <c r="I100" s="312"/>
      <c r="J100" s="312"/>
      <c r="K100" s="312"/>
      <c r="L100" s="312"/>
      <c r="M100" s="312"/>
      <c r="N100" s="313"/>
      <c r="P100" s="195">
        <v>89</v>
      </c>
      <c r="Q100" s="311"/>
      <c r="R100" s="312"/>
      <c r="S100" s="312"/>
      <c r="T100" s="312"/>
      <c r="U100" s="312"/>
      <c r="V100" s="312"/>
      <c r="W100" s="312"/>
      <c r="X100" s="312"/>
      <c r="Y100" s="312"/>
      <c r="Z100" s="312"/>
      <c r="AA100" s="312"/>
      <c r="AB100" s="312"/>
      <c r="AC100" s="313"/>
      <c r="AE100" s="195">
        <v>89</v>
      </c>
      <c r="AF100" s="311"/>
      <c r="AG100" s="312"/>
      <c r="AH100" s="312"/>
      <c r="AI100" s="312"/>
      <c r="AJ100" s="312"/>
      <c r="AK100" s="312"/>
      <c r="AL100" s="312"/>
      <c r="AM100" s="312"/>
      <c r="AN100" s="312"/>
      <c r="AO100" s="312"/>
      <c r="AP100" s="312"/>
      <c r="AQ100" s="312"/>
      <c r="AR100" s="313"/>
      <c r="AT100" s="195">
        <v>89</v>
      </c>
      <c r="AU100" s="311"/>
      <c r="AV100" s="312"/>
      <c r="AW100" s="312"/>
      <c r="AX100" s="312"/>
      <c r="AY100" s="312"/>
      <c r="AZ100" s="312"/>
      <c r="BA100" s="312"/>
      <c r="BB100" s="312"/>
      <c r="BC100" s="312"/>
      <c r="BD100" s="312"/>
      <c r="BE100" s="312"/>
      <c r="BF100" s="312"/>
      <c r="BG100" s="313"/>
    </row>
    <row r="101" spans="1:59">
      <c r="A101" s="195">
        <v>90</v>
      </c>
      <c r="B101" s="311"/>
      <c r="C101" s="312"/>
      <c r="D101" s="312"/>
      <c r="E101" s="312"/>
      <c r="F101" s="312"/>
      <c r="G101" s="312"/>
      <c r="H101" s="312"/>
      <c r="I101" s="312"/>
      <c r="J101" s="312"/>
      <c r="K101" s="312"/>
      <c r="L101" s="312"/>
      <c r="M101" s="312"/>
      <c r="N101" s="313"/>
      <c r="P101" s="195">
        <v>90</v>
      </c>
      <c r="Q101" s="311"/>
      <c r="R101" s="312"/>
      <c r="S101" s="312"/>
      <c r="T101" s="312"/>
      <c r="U101" s="312"/>
      <c r="V101" s="312"/>
      <c r="W101" s="312"/>
      <c r="X101" s="312"/>
      <c r="Y101" s="312"/>
      <c r="Z101" s="312"/>
      <c r="AA101" s="312"/>
      <c r="AB101" s="312"/>
      <c r="AC101" s="313"/>
      <c r="AE101" s="195">
        <v>90</v>
      </c>
      <c r="AF101" s="311"/>
      <c r="AG101" s="312"/>
      <c r="AH101" s="312"/>
      <c r="AI101" s="312"/>
      <c r="AJ101" s="312"/>
      <c r="AK101" s="312"/>
      <c r="AL101" s="312"/>
      <c r="AM101" s="312"/>
      <c r="AN101" s="312"/>
      <c r="AO101" s="312"/>
      <c r="AP101" s="312"/>
      <c r="AQ101" s="312"/>
      <c r="AR101" s="313"/>
      <c r="AT101" s="195">
        <v>90</v>
      </c>
      <c r="AU101" s="311"/>
      <c r="AV101" s="312"/>
      <c r="AW101" s="312"/>
      <c r="AX101" s="312"/>
      <c r="AY101" s="312"/>
      <c r="AZ101" s="312"/>
      <c r="BA101" s="312"/>
      <c r="BB101" s="312"/>
      <c r="BC101" s="312"/>
      <c r="BD101" s="312"/>
      <c r="BE101" s="312"/>
      <c r="BF101" s="312"/>
      <c r="BG101" s="313"/>
    </row>
    <row r="102" spans="1:59">
      <c r="A102" s="195">
        <v>91</v>
      </c>
      <c r="B102" s="311"/>
      <c r="C102" s="312"/>
      <c r="D102" s="312"/>
      <c r="E102" s="312"/>
      <c r="F102" s="312"/>
      <c r="G102" s="312"/>
      <c r="H102" s="312"/>
      <c r="I102" s="312"/>
      <c r="J102" s="312"/>
      <c r="K102" s="312"/>
      <c r="L102" s="312"/>
      <c r="M102" s="312"/>
      <c r="N102" s="313"/>
      <c r="P102" s="195">
        <v>91</v>
      </c>
      <c r="Q102" s="311"/>
      <c r="R102" s="312"/>
      <c r="S102" s="312"/>
      <c r="T102" s="312"/>
      <c r="U102" s="312"/>
      <c r="V102" s="312"/>
      <c r="W102" s="312"/>
      <c r="X102" s="312"/>
      <c r="Y102" s="312"/>
      <c r="Z102" s="312"/>
      <c r="AA102" s="312"/>
      <c r="AB102" s="312"/>
      <c r="AC102" s="313"/>
      <c r="AE102" s="195">
        <v>91</v>
      </c>
      <c r="AF102" s="311"/>
      <c r="AG102" s="312"/>
      <c r="AH102" s="312"/>
      <c r="AI102" s="312"/>
      <c r="AJ102" s="312"/>
      <c r="AK102" s="312"/>
      <c r="AL102" s="312"/>
      <c r="AM102" s="312"/>
      <c r="AN102" s="312"/>
      <c r="AO102" s="312"/>
      <c r="AP102" s="312"/>
      <c r="AQ102" s="312"/>
      <c r="AR102" s="313"/>
      <c r="AT102" s="195">
        <v>91</v>
      </c>
      <c r="AU102" s="311"/>
      <c r="AV102" s="312"/>
      <c r="AW102" s="312"/>
      <c r="AX102" s="312"/>
      <c r="AY102" s="312"/>
      <c r="AZ102" s="312"/>
      <c r="BA102" s="312"/>
      <c r="BB102" s="312"/>
      <c r="BC102" s="312"/>
      <c r="BD102" s="312"/>
      <c r="BE102" s="312"/>
      <c r="BF102" s="312"/>
      <c r="BG102" s="313"/>
    </row>
    <row r="103" spans="1:59">
      <c r="A103" s="195">
        <v>92</v>
      </c>
      <c r="B103" s="311"/>
      <c r="C103" s="312"/>
      <c r="D103" s="312"/>
      <c r="E103" s="312"/>
      <c r="F103" s="312"/>
      <c r="G103" s="312"/>
      <c r="H103" s="312"/>
      <c r="I103" s="312"/>
      <c r="J103" s="312"/>
      <c r="K103" s="312"/>
      <c r="L103" s="312"/>
      <c r="M103" s="312"/>
      <c r="N103" s="313"/>
      <c r="P103" s="195">
        <v>92</v>
      </c>
      <c r="Q103" s="311"/>
      <c r="R103" s="312"/>
      <c r="S103" s="312"/>
      <c r="T103" s="312"/>
      <c r="U103" s="312"/>
      <c r="V103" s="312"/>
      <c r="W103" s="312"/>
      <c r="X103" s="312"/>
      <c r="Y103" s="312"/>
      <c r="Z103" s="312"/>
      <c r="AA103" s="312"/>
      <c r="AB103" s="312"/>
      <c r="AC103" s="313"/>
      <c r="AE103" s="195">
        <v>92</v>
      </c>
      <c r="AF103" s="311"/>
      <c r="AG103" s="312"/>
      <c r="AH103" s="312"/>
      <c r="AI103" s="312"/>
      <c r="AJ103" s="312"/>
      <c r="AK103" s="312"/>
      <c r="AL103" s="312"/>
      <c r="AM103" s="312"/>
      <c r="AN103" s="312"/>
      <c r="AO103" s="312"/>
      <c r="AP103" s="312"/>
      <c r="AQ103" s="312"/>
      <c r="AR103" s="313"/>
      <c r="AT103" s="195">
        <v>92</v>
      </c>
      <c r="AU103" s="311"/>
      <c r="AV103" s="312"/>
      <c r="AW103" s="312"/>
      <c r="AX103" s="312"/>
      <c r="AY103" s="312"/>
      <c r="AZ103" s="312"/>
      <c r="BA103" s="312"/>
      <c r="BB103" s="312"/>
      <c r="BC103" s="312"/>
      <c r="BD103" s="312"/>
      <c r="BE103" s="312"/>
      <c r="BF103" s="312"/>
      <c r="BG103" s="313"/>
    </row>
    <row r="104" spans="1:59">
      <c r="A104" s="195">
        <v>93</v>
      </c>
      <c r="B104" s="311"/>
      <c r="C104" s="312"/>
      <c r="D104" s="312"/>
      <c r="E104" s="312"/>
      <c r="F104" s="312"/>
      <c r="G104" s="312"/>
      <c r="H104" s="312"/>
      <c r="I104" s="312"/>
      <c r="J104" s="312"/>
      <c r="K104" s="312"/>
      <c r="L104" s="312"/>
      <c r="M104" s="312"/>
      <c r="N104" s="313"/>
      <c r="P104" s="195">
        <v>93</v>
      </c>
      <c r="Q104" s="311"/>
      <c r="R104" s="312"/>
      <c r="S104" s="312"/>
      <c r="T104" s="312"/>
      <c r="U104" s="312"/>
      <c r="V104" s="312"/>
      <c r="W104" s="312"/>
      <c r="X104" s="312"/>
      <c r="Y104" s="312"/>
      <c r="Z104" s="312"/>
      <c r="AA104" s="312"/>
      <c r="AB104" s="312"/>
      <c r="AC104" s="313"/>
      <c r="AE104" s="195">
        <v>93</v>
      </c>
      <c r="AF104" s="311"/>
      <c r="AG104" s="312"/>
      <c r="AH104" s="312"/>
      <c r="AI104" s="312"/>
      <c r="AJ104" s="312"/>
      <c r="AK104" s="312"/>
      <c r="AL104" s="312"/>
      <c r="AM104" s="312"/>
      <c r="AN104" s="312"/>
      <c r="AO104" s="312"/>
      <c r="AP104" s="312"/>
      <c r="AQ104" s="312"/>
      <c r="AR104" s="313"/>
      <c r="AT104" s="195">
        <v>93</v>
      </c>
      <c r="AU104" s="311"/>
      <c r="AV104" s="312"/>
      <c r="AW104" s="312"/>
      <c r="AX104" s="312"/>
      <c r="AY104" s="312"/>
      <c r="AZ104" s="312"/>
      <c r="BA104" s="312"/>
      <c r="BB104" s="312"/>
      <c r="BC104" s="312"/>
      <c r="BD104" s="312"/>
      <c r="BE104" s="312"/>
      <c r="BF104" s="312"/>
      <c r="BG104" s="313"/>
    </row>
    <row r="105" spans="1:59">
      <c r="A105" s="195">
        <v>94</v>
      </c>
      <c r="B105" s="311"/>
      <c r="C105" s="312"/>
      <c r="D105" s="312"/>
      <c r="E105" s="312"/>
      <c r="F105" s="312"/>
      <c r="G105" s="312"/>
      <c r="H105" s="312"/>
      <c r="I105" s="312"/>
      <c r="J105" s="312"/>
      <c r="K105" s="312"/>
      <c r="L105" s="312"/>
      <c r="M105" s="312"/>
      <c r="N105" s="313"/>
      <c r="P105" s="195">
        <v>94</v>
      </c>
      <c r="Q105" s="311"/>
      <c r="R105" s="312"/>
      <c r="S105" s="312"/>
      <c r="T105" s="312"/>
      <c r="U105" s="312"/>
      <c r="V105" s="312"/>
      <c r="W105" s="312"/>
      <c r="X105" s="312"/>
      <c r="Y105" s="312"/>
      <c r="Z105" s="312"/>
      <c r="AA105" s="312"/>
      <c r="AB105" s="312"/>
      <c r="AC105" s="313"/>
      <c r="AE105" s="195">
        <v>94</v>
      </c>
      <c r="AF105" s="311"/>
      <c r="AG105" s="312"/>
      <c r="AH105" s="312"/>
      <c r="AI105" s="312"/>
      <c r="AJ105" s="312"/>
      <c r="AK105" s="312"/>
      <c r="AL105" s="312"/>
      <c r="AM105" s="312"/>
      <c r="AN105" s="312"/>
      <c r="AO105" s="312"/>
      <c r="AP105" s="312"/>
      <c r="AQ105" s="312"/>
      <c r="AR105" s="313"/>
      <c r="AT105" s="195">
        <v>94</v>
      </c>
      <c r="AU105" s="311"/>
      <c r="AV105" s="312"/>
      <c r="AW105" s="312"/>
      <c r="AX105" s="312"/>
      <c r="AY105" s="312"/>
      <c r="AZ105" s="312"/>
      <c r="BA105" s="312"/>
      <c r="BB105" s="312"/>
      <c r="BC105" s="312"/>
      <c r="BD105" s="312"/>
      <c r="BE105" s="312"/>
      <c r="BF105" s="312"/>
      <c r="BG105" s="313"/>
    </row>
    <row r="106" spans="1:59">
      <c r="A106" s="195">
        <v>95</v>
      </c>
      <c r="B106" s="311"/>
      <c r="C106" s="312"/>
      <c r="D106" s="312"/>
      <c r="E106" s="312"/>
      <c r="F106" s="312"/>
      <c r="G106" s="312"/>
      <c r="H106" s="312"/>
      <c r="I106" s="312"/>
      <c r="J106" s="312"/>
      <c r="K106" s="312"/>
      <c r="L106" s="312"/>
      <c r="M106" s="312"/>
      <c r="N106" s="313"/>
      <c r="P106" s="195">
        <v>95</v>
      </c>
      <c r="Q106" s="311"/>
      <c r="R106" s="312"/>
      <c r="S106" s="312"/>
      <c r="T106" s="312"/>
      <c r="U106" s="312"/>
      <c r="V106" s="312"/>
      <c r="W106" s="312"/>
      <c r="X106" s="312"/>
      <c r="Y106" s="312"/>
      <c r="Z106" s="312"/>
      <c r="AA106" s="312"/>
      <c r="AB106" s="312"/>
      <c r="AC106" s="313"/>
      <c r="AE106" s="195">
        <v>95</v>
      </c>
      <c r="AF106" s="311"/>
      <c r="AG106" s="312"/>
      <c r="AH106" s="312"/>
      <c r="AI106" s="312"/>
      <c r="AJ106" s="312"/>
      <c r="AK106" s="312"/>
      <c r="AL106" s="312"/>
      <c r="AM106" s="312"/>
      <c r="AN106" s="312"/>
      <c r="AO106" s="312"/>
      <c r="AP106" s="312"/>
      <c r="AQ106" s="312"/>
      <c r="AR106" s="313"/>
      <c r="AT106" s="195">
        <v>95</v>
      </c>
      <c r="AU106" s="311"/>
      <c r="AV106" s="312"/>
      <c r="AW106" s="312"/>
      <c r="AX106" s="312"/>
      <c r="AY106" s="312"/>
      <c r="AZ106" s="312"/>
      <c r="BA106" s="312"/>
      <c r="BB106" s="312"/>
      <c r="BC106" s="312"/>
      <c r="BD106" s="312"/>
      <c r="BE106" s="312"/>
      <c r="BF106" s="312"/>
      <c r="BG106" s="313"/>
    </row>
    <row r="107" spans="1:59">
      <c r="A107" s="195">
        <v>96</v>
      </c>
      <c r="B107" s="311"/>
      <c r="C107" s="312"/>
      <c r="D107" s="312"/>
      <c r="E107" s="312"/>
      <c r="F107" s="312"/>
      <c r="G107" s="312"/>
      <c r="H107" s="312"/>
      <c r="I107" s="312"/>
      <c r="J107" s="312"/>
      <c r="K107" s="312"/>
      <c r="L107" s="312"/>
      <c r="M107" s="312"/>
      <c r="N107" s="313"/>
      <c r="P107" s="195">
        <v>96</v>
      </c>
      <c r="Q107" s="311"/>
      <c r="R107" s="312"/>
      <c r="S107" s="312"/>
      <c r="T107" s="312"/>
      <c r="U107" s="312"/>
      <c r="V107" s="312"/>
      <c r="W107" s="312"/>
      <c r="X107" s="312"/>
      <c r="Y107" s="312"/>
      <c r="Z107" s="312"/>
      <c r="AA107" s="312"/>
      <c r="AB107" s="312"/>
      <c r="AC107" s="313"/>
      <c r="AE107" s="195">
        <v>96</v>
      </c>
      <c r="AF107" s="311"/>
      <c r="AG107" s="312"/>
      <c r="AH107" s="312"/>
      <c r="AI107" s="312"/>
      <c r="AJ107" s="312"/>
      <c r="AK107" s="312"/>
      <c r="AL107" s="312"/>
      <c r="AM107" s="312"/>
      <c r="AN107" s="312"/>
      <c r="AO107" s="312"/>
      <c r="AP107" s="312"/>
      <c r="AQ107" s="312"/>
      <c r="AR107" s="313"/>
      <c r="AT107" s="195">
        <v>96</v>
      </c>
      <c r="AU107" s="311"/>
      <c r="AV107" s="312"/>
      <c r="AW107" s="312"/>
      <c r="AX107" s="312"/>
      <c r="AY107" s="312"/>
      <c r="AZ107" s="312"/>
      <c r="BA107" s="312"/>
      <c r="BB107" s="312"/>
      <c r="BC107" s="312"/>
      <c r="BD107" s="312"/>
      <c r="BE107" s="312"/>
      <c r="BF107" s="312"/>
      <c r="BG107" s="313"/>
    </row>
    <row r="108" spans="1:59">
      <c r="A108" s="195">
        <v>97</v>
      </c>
      <c r="B108" s="311"/>
      <c r="C108" s="312"/>
      <c r="D108" s="312"/>
      <c r="E108" s="312"/>
      <c r="F108" s="312"/>
      <c r="G108" s="312"/>
      <c r="H108" s="312"/>
      <c r="I108" s="312"/>
      <c r="J108" s="312"/>
      <c r="K108" s="312"/>
      <c r="L108" s="312"/>
      <c r="M108" s="312"/>
      <c r="N108" s="313"/>
      <c r="P108" s="195">
        <v>97</v>
      </c>
      <c r="Q108" s="311"/>
      <c r="R108" s="312"/>
      <c r="S108" s="312"/>
      <c r="T108" s="312"/>
      <c r="U108" s="312"/>
      <c r="V108" s="312"/>
      <c r="W108" s="312"/>
      <c r="X108" s="312"/>
      <c r="Y108" s="312"/>
      <c r="Z108" s="312"/>
      <c r="AA108" s="312"/>
      <c r="AB108" s="312"/>
      <c r="AC108" s="313"/>
      <c r="AE108" s="195">
        <v>97</v>
      </c>
      <c r="AF108" s="311"/>
      <c r="AG108" s="312"/>
      <c r="AH108" s="312"/>
      <c r="AI108" s="312"/>
      <c r="AJ108" s="312"/>
      <c r="AK108" s="312"/>
      <c r="AL108" s="312"/>
      <c r="AM108" s="312"/>
      <c r="AN108" s="312"/>
      <c r="AO108" s="312"/>
      <c r="AP108" s="312"/>
      <c r="AQ108" s="312"/>
      <c r="AR108" s="313"/>
      <c r="AT108" s="195">
        <v>97</v>
      </c>
      <c r="AU108" s="311"/>
      <c r="AV108" s="312"/>
      <c r="AW108" s="312"/>
      <c r="AX108" s="312"/>
      <c r="AY108" s="312"/>
      <c r="AZ108" s="312"/>
      <c r="BA108" s="312"/>
      <c r="BB108" s="312"/>
      <c r="BC108" s="312"/>
      <c r="BD108" s="312"/>
      <c r="BE108" s="312"/>
      <c r="BF108" s="312"/>
      <c r="BG108" s="313"/>
    </row>
    <row r="109" spans="1:59">
      <c r="A109" s="195">
        <v>98</v>
      </c>
      <c r="B109" s="311"/>
      <c r="C109" s="312"/>
      <c r="D109" s="312"/>
      <c r="E109" s="312"/>
      <c r="F109" s="312"/>
      <c r="G109" s="312"/>
      <c r="H109" s="312"/>
      <c r="I109" s="312"/>
      <c r="J109" s="312"/>
      <c r="K109" s="312"/>
      <c r="L109" s="312"/>
      <c r="M109" s="312"/>
      <c r="N109" s="313"/>
      <c r="P109" s="195">
        <v>98</v>
      </c>
      <c r="Q109" s="311"/>
      <c r="R109" s="312"/>
      <c r="S109" s="312"/>
      <c r="T109" s="312"/>
      <c r="U109" s="312"/>
      <c r="V109" s="312"/>
      <c r="W109" s="312"/>
      <c r="X109" s="312"/>
      <c r="Y109" s="312"/>
      <c r="Z109" s="312"/>
      <c r="AA109" s="312"/>
      <c r="AB109" s="312"/>
      <c r="AC109" s="313"/>
      <c r="AE109" s="195">
        <v>98</v>
      </c>
      <c r="AF109" s="311"/>
      <c r="AG109" s="312"/>
      <c r="AH109" s="312"/>
      <c r="AI109" s="312"/>
      <c r="AJ109" s="312"/>
      <c r="AK109" s="312"/>
      <c r="AL109" s="312"/>
      <c r="AM109" s="312"/>
      <c r="AN109" s="312"/>
      <c r="AO109" s="312"/>
      <c r="AP109" s="312"/>
      <c r="AQ109" s="312"/>
      <c r="AR109" s="313"/>
      <c r="AT109" s="195">
        <v>98</v>
      </c>
      <c r="AU109" s="311"/>
      <c r="AV109" s="312"/>
      <c r="AW109" s="312"/>
      <c r="AX109" s="312"/>
      <c r="AY109" s="312"/>
      <c r="AZ109" s="312"/>
      <c r="BA109" s="312"/>
      <c r="BB109" s="312"/>
      <c r="BC109" s="312"/>
      <c r="BD109" s="312"/>
      <c r="BE109" s="312"/>
      <c r="BF109" s="312"/>
      <c r="BG109" s="313"/>
    </row>
    <row r="110" spans="1:59">
      <c r="A110" s="195">
        <v>99</v>
      </c>
      <c r="B110" s="311"/>
      <c r="C110" s="312"/>
      <c r="D110" s="312"/>
      <c r="E110" s="312"/>
      <c r="F110" s="312"/>
      <c r="G110" s="312"/>
      <c r="H110" s="312"/>
      <c r="I110" s="312"/>
      <c r="J110" s="312"/>
      <c r="K110" s="312"/>
      <c r="L110" s="312"/>
      <c r="M110" s="312"/>
      <c r="N110" s="313"/>
      <c r="P110" s="195">
        <v>99</v>
      </c>
      <c r="Q110" s="311"/>
      <c r="R110" s="312"/>
      <c r="S110" s="312"/>
      <c r="T110" s="312"/>
      <c r="U110" s="312"/>
      <c r="V110" s="312"/>
      <c r="W110" s="312"/>
      <c r="X110" s="312"/>
      <c r="Y110" s="312"/>
      <c r="Z110" s="312"/>
      <c r="AA110" s="312"/>
      <c r="AB110" s="312"/>
      <c r="AC110" s="313"/>
      <c r="AE110" s="195">
        <v>99</v>
      </c>
      <c r="AF110" s="311"/>
      <c r="AG110" s="312"/>
      <c r="AH110" s="312"/>
      <c r="AI110" s="312"/>
      <c r="AJ110" s="312"/>
      <c r="AK110" s="312"/>
      <c r="AL110" s="312"/>
      <c r="AM110" s="312"/>
      <c r="AN110" s="312"/>
      <c r="AO110" s="312"/>
      <c r="AP110" s="312"/>
      <c r="AQ110" s="312"/>
      <c r="AR110" s="313"/>
      <c r="AT110" s="195">
        <v>99</v>
      </c>
      <c r="AU110" s="311"/>
      <c r="AV110" s="312"/>
      <c r="AW110" s="312"/>
      <c r="AX110" s="312"/>
      <c r="AY110" s="312"/>
      <c r="AZ110" s="312"/>
      <c r="BA110" s="312"/>
      <c r="BB110" s="312"/>
      <c r="BC110" s="312"/>
      <c r="BD110" s="312"/>
      <c r="BE110" s="312"/>
      <c r="BF110" s="312"/>
      <c r="BG110" s="313"/>
    </row>
    <row r="111" spans="1:59">
      <c r="A111" s="196">
        <v>100</v>
      </c>
      <c r="B111" s="314"/>
      <c r="C111" s="315"/>
      <c r="D111" s="315"/>
      <c r="E111" s="315"/>
      <c r="F111" s="315"/>
      <c r="G111" s="315"/>
      <c r="H111" s="315"/>
      <c r="I111" s="315"/>
      <c r="J111" s="315"/>
      <c r="K111" s="315"/>
      <c r="L111" s="315"/>
      <c r="M111" s="315"/>
      <c r="N111" s="316"/>
      <c r="P111" s="196">
        <v>100</v>
      </c>
      <c r="Q111" s="314"/>
      <c r="R111" s="315"/>
      <c r="S111" s="315"/>
      <c r="T111" s="315"/>
      <c r="U111" s="315"/>
      <c r="V111" s="315"/>
      <c r="W111" s="315"/>
      <c r="X111" s="315"/>
      <c r="Y111" s="315"/>
      <c r="Z111" s="315"/>
      <c r="AA111" s="315"/>
      <c r="AB111" s="315"/>
      <c r="AC111" s="316"/>
      <c r="AE111" s="196">
        <v>100</v>
      </c>
      <c r="AF111" s="314"/>
      <c r="AG111" s="315"/>
      <c r="AH111" s="315"/>
      <c r="AI111" s="315"/>
      <c r="AJ111" s="315"/>
      <c r="AK111" s="315"/>
      <c r="AL111" s="315"/>
      <c r="AM111" s="315"/>
      <c r="AN111" s="315"/>
      <c r="AO111" s="315"/>
      <c r="AP111" s="315"/>
      <c r="AQ111" s="315"/>
      <c r="AR111" s="316"/>
      <c r="AT111" s="196">
        <v>100</v>
      </c>
      <c r="AU111" s="314"/>
      <c r="AV111" s="315"/>
      <c r="AW111" s="315"/>
      <c r="AX111" s="315"/>
      <c r="AY111" s="315"/>
      <c r="AZ111" s="315"/>
      <c r="BA111" s="315"/>
      <c r="BB111" s="315"/>
      <c r="BC111" s="315"/>
      <c r="BD111" s="315"/>
      <c r="BE111" s="315"/>
      <c r="BF111" s="315"/>
      <c r="BG111" s="316"/>
    </row>
    <row r="112" spans="1:59" ht="13.5" thickBot="1">
      <c r="A112" s="197" t="s">
        <v>29</v>
      </c>
      <c r="B112" s="198">
        <f>SUM(B12:B111)</f>
        <v>0</v>
      </c>
      <c r="C112" s="199">
        <f t="shared" ref="C112:M112" si="0">SUM(C12:C111)</f>
        <v>0</v>
      </c>
      <c r="D112" s="199">
        <f t="shared" si="0"/>
        <v>0</v>
      </c>
      <c r="E112" s="199">
        <f t="shared" si="0"/>
        <v>0</v>
      </c>
      <c r="F112" s="199">
        <f t="shared" si="0"/>
        <v>0</v>
      </c>
      <c r="G112" s="199">
        <f t="shared" si="0"/>
        <v>0</v>
      </c>
      <c r="H112" s="199">
        <f t="shared" si="0"/>
        <v>0</v>
      </c>
      <c r="I112" s="199">
        <f t="shared" si="0"/>
        <v>0</v>
      </c>
      <c r="J112" s="199">
        <f t="shared" si="0"/>
        <v>0</v>
      </c>
      <c r="K112" s="199">
        <f t="shared" si="0"/>
        <v>0</v>
      </c>
      <c r="L112" s="199">
        <f t="shared" si="0"/>
        <v>0</v>
      </c>
      <c r="M112" s="199">
        <f t="shared" si="0"/>
        <v>0</v>
      </c>
      <c r="N112" s="200">
        <f>SUM(N12:N111)</f>
        <v>0</v>
      </c>
      <c r="O112" s="174"/>
      <c r="P112" s="197" t="s">
        <v>29</v>
      </c>
      <c r="Q112" s="198">
        <f>SUM(Q12:Q111)</f>
        <v>0</v>
      </c>
      <c r="R112" s="199">
        <f t="shared" ref="R112:AB112" si="1">SUM(R12:R111)</f>
        <v>0</v>
      </c>
      <c r="S112" s="199">
        <f t="shared" si="1"/>
        <v>0</v>
      </c>
      <c r="T112" s="199">
        <f t="shared" si="1"/>
        <v>0</v>
      </c>
      <c r="U112" s="199">
        <f t="shared" si="1"/>
        <v>0</v>
      </c>
      <c r="V112" s="199">
        <f t="shared" si="1"/>
        <v>0</v>
      </c>
      <c r="W112" s="199">
        <f t="shared" si="1"/>
        <v>0</v>
      </c>
      <c r="X112" s="199">
        <f t="shared" si="1"/>
        <v>0</v>
      </c>
      <c r="Y112" s="199">
        <f t="shared" si="1"/>
        <v>0</v>
      </c>
      <c r="Z112" s="199">
        <f t="shared" si="1"/>
        <v>0</v>
      </c>
      <c r="AA112" s="199">
        <f t="shared" si="1"/>
        <v>0</v>
      </c>
      <c r="AB112" s="199">
        <f t="shared" si="1"/>
        <v>0</v>
      </c>
      <c r="AC112" s="200">
        <f>SUM(AC12:AC111)</f>
        <v>0</v>
      </c>
      <c r="AE112" s="197" t="s">
        <v>29</v>
      </c>
      <c r="AF112" s="198">
        <f>SUM(AF12:AF111)</f>
        <v>0</v>
      </c>
      <c r="AG112" s="199">
        <f t="shared" ref="AG112:AQ112" si="2">SUM(AG12:AG111)</f>
        <v>0</v>
      </c>
      <c r="AH112" s="199">
        <f t="shared" si="2"/>
        <v>0</v>
      </c>
      <c r="AI112" s="199">
        <f t="shared" si="2"/>
        <v>0</v>
      </c>
      <c r="AJ112" s="199">
        <f t="shared" si="2"/>
        <v>0</v>
      </c>
      <c r="AK112" s="199">
        <f t="shared" si="2"/>
        <v>0</v>
      </c>
      <c r="AL112" s="199">
        <f t="shared" si="2"/>
        <v>0</v>
      </c>
      <c r="AM112" s="199">
        <f t="shared" si="2"/>
        <v>0</v>
      </c>
      <c r="AN112" s="199">
        <f t="shared" si="2"/>
        <v>0</v>
      </c>
      <c r="AO112" s="199">
        <f t="shared" si="2"/>
        <v>0</v>
      </c>
      <c r="AP112" s="199">
        <f t="shared" si="2"/>
        <v>0</v>
      </c>
      <c r="AQ112" s="199">
        <f t="shared" si="2"/>
        <v>0</v>
      </c>
      <c r="AR112" s="200">
        <f>SUM(AR12:AR111)</f>
        <v>0</v>
      </c>
      <c r="AT112" s="197" t="s">
        <v>29</v>
      </c>
      <c r="AU112" s="198">
        <f>SUM(AU12:AU111)</f>
        <v>0</v>
      </c>
      <c r="AV112" s="199">
        <f t="shared" ref="AV112:BF112" si="3">SUM(AV12:AV111)</f>
        <v>0</v>
      </c>
      <c r="AW112" s="199">
        <f t="shared" si="3"/>
        <v>0</v>
      </c>
      <c r="AX112" s="199">
        <f t="shared" si="3"/>
        <v>0</v>
      </c>
      <c r="AY112" s="199">
        <f t="shared" si="3"/>
        <v>0</v>
      </c>
      <c r="AZ112" s="199">
        <f t="shared" si="3"/>
        <v>0</v>
      </c>
      <c r="BA112" s="199">
        <f t="shared" si="3"/>
        <v>0</v>
      </c>
      <c r="BB112" s="199">
        <f t="shared" si="3"/>
        <v>0</v>
      </c>
      <c r="BC112" s="199">
        <f t="shared" si="3"/>
        <v>0</v>
      </c>
      <c r="BD112" s="199">
        <f t="shared" si="3"/>
        <v>0</v>
      </c>
      <c r="BE112" s="199">
        <f t="shared" si="3"/>
        <v>0</v>
      </c>
      <c r="BF112" s="199">
        <f t="shared" si="3"/>
        <v>0</v>
      </c>
      <c r="BG112" s="200">
        <f>SUM(BG12:BG111)</f>
        <v>0</v>
      </c>
    </row>
  </sheetData>
  <sheetProtection scenarios="1"/>
  <mergeCells count="14">
    <mergeCell ref="G6:J6"/>
    <mergeCell ref="B3:D3"/>
    <mergeCell ref="G3:J3"/>
    <mergeCell ref="B4:D4"/>
    <mergeCell ref="B5:D5"/>
    <mergeCell ref="G5:J5"/>
    <mergeCell ref="B9:N9"/>
    <mergeCell ref="Q9:AC9"/>
    <mergeCell ref="AF9:AR9"/>
    <mergeCell ref="AU9:BG9"/>
    <mergeCell ref="B10:N10"/>
    <mergeCell ref="Q10:AC10"/>
    <mergeCell ref="AF10:AR10"/>
    <mergeCell ref="AU10:BG10"/>
  </mergeCells>
  <conditionalFormatting sqref="A2:BH2 A7:BH113 A5:G6 K5:BH6 A4:BH4 A3:G3 K3:BH3">
    <cfRule type="expression" dxfId="8" priority="1" stopIfTrue="1">
      <formula>CELL("Protect",A2)=1</formula>
    </cfRule>
  </conditionalFormatting>
  <dataValidations count="1">
    <dataValidation type="list" allowBlank="1" showInputMessage="1" showErrorMessage="1" sqref="G5:J5" xr:uid="{00000000-0002-0000-0B00-000000000000}">
      <formula1>Units</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theme="9" tint="0.59999389629810485"/>
  </sheetPr>
  <dimension ref="A1:AG34"/>
  <sheetViews>
    <sheetView zoomScale="90" zoomScaleNormal="90" workbookViewId="0"/>
  </sheetViews>
  <sheetFormatPr defaultColWidth="11.5703125" defaultRowHeight="12.75"/>
  <cols>
    <col min="1" max="1" width="9.140625" style="2" customWidth="1"/>
    <col min="2" max="2" width="7.28515625" style="1" customWidth="1"/>
    <col min="3" max="3" width="17.140625" bestFit="1" customWidth="1"/>
    <col min="4" max="5" width="9.42578125" customWidth="1"/>
    <col min="6" max="6" width="16" bestFit="1" customWidth="1"/>
    <col min="7" max="8" width="9.42578125" customWidth="1"/>
    <col min="9" max="9" width="17" customWidth="1"/>
    <col min="10" max="11" width="9.42578125" customWidth="1"/>
    <col min="12" max="12" width="16" bestFit="1" customWidth="1"/>
    <col min="13" max="14" width="9.42578125" customWidth="1"/>
    <col min="15" max="15" width="16.85546875" customWidth="1"/>
    <col min="16" max="17" width="9.42578125" customWidth="1"/>
    <col min="18" max="20" width="8.140625" customWidth="1"/>
  </cols>
  <sheetData>
    <row r="1" spans="1:22" s="7" customFormat="1" ht="19.5" customHeight="1">
      <c r="A1" s="343" t="s">
        <v>53</v>
      </c>
      <c r="B1" s="342"/>
      <c r="C1" s="342"/>
      <c r="D1" s="342"/>
      <c r="E1" s="342"/>
      <c r="F1" s="342"/>
      <c r="G1" s="342"/>
      <c r="H1" s="80" t="s">
        <v>120</v>
      </c>
      <c r="I1" s="6"/>
      <c r="J1" s="6"/>
      <c r="K1" s="6"/>
      <c r="L1" s="6"/>
      <c r="M1" s="6"/>
      <c r="N1" s="6"/>
      <c r="O1" s="6"/>
      <c r="P1" s="6"/>
      <c r="Q1" s="6"/>
      <c r="R1" s="6"/>
      <c r="S1" s="6"/>
      <c r="T1" s="255"/>
      <c r="U1" s="255"/>
      <c r="V1" s="255"/>
    </row>
    <row r="2" spans="1:22" s="7" customFormat="1" ht="19.5" customHeight="1">
      <c r="A2" s="261" t="s">
        <v>112</v>
      </c>
      <c r="B2" s="9"/>
      <c r="C2" s="6"/>
      <c r="D2" s="6"/>
      <c r="E2" s="6"/>
      <c r="F2" s="6"/>
      <c r="G2" s="6"/>
      <c r="H2" s="81"/>
      <c r="I2" s="6"/>
      <c r="J2" s="6"/>
      <c r="K2" s="6"/>
      <c r="L2" s="6"/>
      <c r="M2" s="6"/>
      <c r="N2" s="6"/>
      <c r="O2" s="6"/>
      <c r="P2" s="6"/>
      <c r="Q2" s="6"/>
      <c r="R2" s="6"/>
      <c r="S2" s="6"/>
      <c r="T2" s="255"/>
      <c r="U2" s="255"/>
      <c r="V2" s="255"/>
    </row>
    <row r="3" spans="1:22" s="7" customFormat="1" ht="13.5" customHeight="1" thickBot="1">
      <c r="A3" s="75"/>
      <c r="B3" s="9"/>
      <c r="C3" s="6"/>
      <c r="D3" s="6"/>
      <c r="E3" s="6"/>
      <c r="F3" s="6"/>
      <c r="G3" s="6"/>
      <c r="H3" s="76"/>
      <c r="I3" s="6"/>
      <c r="J3" s="6"/>
      <c r="K3" s="6"/>
      <c r="L3" s="6"/>
      <c r="M3" s="82"/>
      <c r="N3" s="82"/>
      <c r="O3" s="6"/>
      <c r="P3" s="82"/>
      <c r="Q3" s="82"/>
      <c r="R3" s="82"/>
      <c r="S3" s="82"/>
      <c r="T3" s="256"/>
      <c r="U3" s="255"/>
      <c r="V3" s="255"/>
    </row>
    <row r="4" spans="1:22" s="7" customFormat="1" ht="19.5" customHeight="1">
      <c r="A4" s="8"/>
      <c r="B4" s="259" t="s">
        <v>106</v>
      </c>
      <c r="C4" s="122" t="str">
        <f>'START HERE'!F6</f>
        <v>EU</v>
      </c>
      <c r="D4" s="137"/>
      <c r="E4" s="21"/>
      <c r="F4" s="6"/>
      <c r="G4" s="6"/>
      <c r="H4" s="173" t="s">
        <v>38</v>
      </c>
      <c r="I4" s="397" t="str">
        <f>'LEN F1'!F3</f>
        <v>Fleet 1 Northern Chile</v>
      </c>
      <c r="J4" s="398"/>
      <c r="K4" s="399"/>
      <c r="L4" s="6"/>
      <c r="M4" s="82"/>
      <c r="N4" s="82"/>
      <c r="O4" s="6"/>
      <c r="P4" s="82"/>
      <c r="Q4" s="82"/>
      <c r="R4" s="82"/>
      <c r="S4" s="82"/>
      <c r="T4" s="256"/>
      <c r="U4" s="255"/>
      <c r="V4" s="255"/>
    </row>
    <row r="5" spans="1:22" s="7" customFormat="1" ht="19.5" customHeight="1">
      <c r="A5" s="8"/>
      <c r="B5" s="13" t="s">
        <v>0</v>
      </c>
      <c r="C5" s="123" t="str">
        <f>'START HERE'!F5</f>
        <v>Jack mackerel</v>
      </c>
      <c r="D5" s="139"/>
      <c r="E5" s="22"/>
      <c r="F5" s="138"/>
      <c r="G5" s="138"/>
      <c r="H5" s="13"/>
      <c r="I5" s="321"/>
      <c r="J5" s="322"/>
      <c r="K5" s="323"/>
      <c r="L5" s="6"/>
      <c r="M5" s="82"/>
      <c r="N5" s="82"/>
      <c r="O5" s="6"/>
      <c r="P5" s="82"/>
      <c r="Q5" s="82"/>
      <c r="R5" s="82"/>
      <c r="S5" s="82"/>
      <c r="T5" s="256"/>
      <c r="U5" s="255"/>
      <c r="V5" s="255"/>
    </row>
    <row r="6" spans="1:22" s="7" customFormat="1" ht="18.75" customHeight="1" thickBot="1">
      <c r="A6" s="8"/>
      <c r="B6" s="13" t="s">
        <v>1</v>
      </c>
      <c r="C6" s="119">
        <f>'START HERE'!$K$3</f>
        <v>2010</v>
      </c>
      <c r="D6" s="120"/>
      <c r="E6" s="121"/>
      <c r="F6" s="6"/>
      <c r="G6" s="6"/>
      <c r="H6" s="13" t="s">
        <v>14</v>
      </c>
      <c r="I6" s="400" t="str">
        <f>'START HERE'!$F8</f>
        <v>13/6/2022</v>
      </c>
      <c r="J6" s="401"/>
      <c r="K6" s="402"/>
      <c r="L6" s="6"/>
      <c r="M6" s="82"/>
      <c r="N6" s="82"/>
      <c r="O6" s="6"/>
      <c r="P6" s="82"/>
      <c r="Q6" s="82"/>
      <c r="R6" s="82"/>
      <c r="S6" s="82"/>
      <c r="T6" s="256"/>
      <c r="U6" s="255"/>
      <c r="V6" s="255"/>
    </row>
    <row r="7" spans="1:22" s="7" customFormat="1" ht="13.5" customHeight="1" thickBot="1">
      <c r="A7" s="8"/>
      <c r="B7" s="9"/>
      <c r="C7" s="6"/>
      <c r="D7" s="6"/>
      <c r="E7" s="6"/>
      <c r="F7" s="6"/>
      <c r="G7" s="6"/>
      <c r="H7" s="6"/>
      <c r="I7" s="6"/>
      <c r="J7" s="6"/>
      <c r="K7" s="6"/>
      <c r="L7" s="6"/>
      <c r="M7" s="6"/>
      <c r="N7" s="6"/>
      <c r="O7" s="6"/>
      <c r="P7" s="6"/>
      <c r="Q7" s="6"/>
      <c r="R7" s="6"/>
      <c r="S7" s="6"/>
      <c r="T7" s="255"/>
      <c r="U7" s="255"/>
      <c r="V7" s="255"/>
    </row>
    <row r="8" spans="1:22" s="77" customFormat="1" ht="18" customHeight="1" thickBot="1">
      <c r="A8" s="100"/>
      <c r="B8" s="101"/>
      <c r="C8" s="395" t="s">
        <v>52</v>
      </c>
      <c r="D8" s="396"/>
      <c r="E8" s="99"/>
      <c r="F8" s="159" t="s">
        <v>30</v>
      </c>
      <c r="G8" s="98"/>
      <c r="H8" s="99"/>
      <c r="I8" s="159" t="s">
        <v>31</v>
      </c>
      <c r="J8" s="98"/>
      <c r="K8" s="99"/>
      <c r="L8" s="159" t="s">
        <v>32</v>
      </c>
      <c r="M8" s="98"/>
      <c r="N8" s="99"/>
      <c r="O8" s="97" t="s">
        <v>41</v>
      </c>
      <c r="P8" s="98"/>
      <c r="Q8" s="99"/>
      <c r="R8" s="103"/>
      <c r="S8" s="103"/>
    </row>
    <row r="9" spans="1:22" s="7" customFormat="1" ht="13.5" customHeight="1" thickBot="1">
      <c r="A9" s="125"/>
      <c r="B9" s="125"/>
      <c r="C9" s="17" t="s">
        <v>2</v>
      </c>
      <c r="D9" s="126" t="s">
        <v>3</v>
      </c>
      <c r="E9" s="16" t="s">
        <v>3</v>
      </c>
      <c r="F9" s="17" t="s">
        <v>2</v>
      </c>
      <c r="G9" s="15" t="s">
        <v>3</v>
      </c>
      <c r="H9" s="16" t="s">
        <v>3</v>
      </c>
      <c r="I9" s="17" t="s">
        <v>2</v>
      </c>
      <c r="J9" s="15" t="s">
        <v>3</v>
      </c>
      <c r="K9" s="16" t="s">
        <v>3</v>
      </c>
      <c r="L9" s="17" t="s">
        <v>2</v>
      </c>
      <c r="M9" s="15" t="s">
        <v>3</v>
      </c>
      <c r="N9" s="16" t="s">
        <v>3</v>
      </c>
      <c r="O9" s="17" t="s">
        <v>2</v>
      </c>
      <c r="P9" s="15" t="s">
        <v>3</v>
      </c>
      <c r="Q9" s="16" t="s">
        <v>3</v>
      </c>
      <c r="R9" s="6"/>
      <c r="S9" s="6"/>
    </row>
    <row r="10" spans="1:22" s="7" customFormat="1" ht="13.5" customHeight="1">
      <c r="A10" s="14"/>
      <c r="B10" s="172" t="s">
        <v>78</v>
      </c>
      <c r="C10" s="20" t="s">
        <v>4</v>
      </c>
      <c r="D10" s="18" t="s">
        <v>40</v>
      </c>
      <c r="E10" s="19" t="s">
        <v>5</v>
      </c>
      <c r="F10" s="20" t="s">
        <v>4</v>
      </c>
      <c r="G10" s="18" t="s">
        <v>40</v>
      </c>
      <c r="H10" s="19" t="s">
        <v>5</v>
      </c>
      <c r="I10" s="20" t="s">
        <v>4</v>
      </c>
      <c r="J10" s="18" t="s">
        <v>40</v>
      </c>
      <c r="K10" s="19" t="s">
        <v>5</v>
      </c>
      <c r="L10" s="20" t="s">
        <v>4</v>
      </c>
      <c r="M10" s="18" t="s">
        <v>40</v>
      </c>
      <c r="N10" s="19" t="s">
        <v>5</v>
      </c>
      <c r="O10" s="20" t="s">
        <v>4</v>
      </c>
      <c r="P10" s="18" t="s">
        <v>40</v>
      </c>
      <c r="Q10" s="19" t="s">
        <v>5</v>
      </c>
      <c r="R10" s="6"/>
      <c r="S10" s="6"/>
    </row>
    <row r="11" spans="1:22" s="7" customFormat="1" ht="15" customHeight="1" thickBot="1">
      <c r="A11" s="124"/>
      <c r="B11" s="84"/>
      <c r="C11" s="85" t="s">
        <v>103</v>
      </c>
      <c r="D11" s="83" t="s">
        <v>42</v>
      </c>
      <c r="E11" s="84" t="s">
        <v>50</v>
      </c>
      <c r="F11" s="85" t="s">
        <v>103</v>
      </c>
      <c r="G11" s="83" t="s">
        <v>42</v>
      </c>
      <c r="H11" s="84" t="s">
        <v>50</v>
      </c>
      <c r="I11" s="85" t="s">
        <v>103</v>
      </c>
      <c r="J11" s="83" t="s">
        <v>42</v>
      </c>
      <c r="K11" s="84" t="s">
        <v>50</v>
      </c>
      <c r="L11" s="85" t="s">
        <v>103</v>
      </c>
      <c r="M11" s="83" t="s">
        <v>42</v>
      </c>
      <c r="N11" s="84" t="s">
        <v>50</v>
      </c>
      <c r="O11" s="85" t="s">
        <v>103</v>
      </c>
      <c r="P11" s="83" t="s">
        <v>42</v>
      </c>
      <c r="Q11" s="84" t="s">
        <v>6</v>
      </c>
      <c r="R11" s="6"/>
      <c r="S11" s="6"/>
    </row>
    <row r="12" spans="1:22" s="7" customFormat="1" ht="15" customHeight="1">
      <c r="A12" s="127"/>
      <c r="B12" s="86" t="s">
        <v>7</v>
      </c>
      <c r="C12" s="87"/>
      <c r="D12" s="88"/>
      <c r="E12" s="167"/>
      <c r="F12" s="87"/>
      <c r="G12" s="88"/>
      <c r="H12" s="167"/>
      <c r="I12" s="87"/>
      <c r="J12" s="88"/>
      <c r="K12" s="167"/>
      <c r="L12" s="87"/>
      <c r="M12" s="88"/>
      <c r="N12" s="167"/>
      <c r="O12" s="89">
        <f t="shared" ref="O12:O20" si="0">SUM(C12+F12+I12+L12)</f>
        <v>0</v>
      </c>
      <c r="P12" s="90" t="str">
        <f t="shared" ref="P12:P20" si="1">IF(SUM(D12+G12+J12+M12)&gt;0,(C12*D12+F12*G12+I12*J12+L12*M12)/SUM(C12+F12+I12+L12),"")</f>
        <v/>
      </c>
      <c r="Q12" s="169" t="str">
        <f t="shared" ref="Q12:Q20" si="2">IF(SUM(E12,H12,K12,N12)&gt;0,SUM(C12*E12+F12*H12+I12*K12+L12*N12)/SUM(C12+F12+I12+L12),"")</f>
        <v/>
      </c>
      <c r="R12" s="6"/>
      <c r="S12" s="6"/>
    </row>
    <row r="13" spans="1:22" s="7" customFormat="1" ht="15" customHeight="1">
      <c r="A13" s="127"/>
      <c r="B13" s="86" t="s">
        <v>43</v>
      </c>
      <c r="C13" s="91"/>
      <c r="D13" s="92"/>
      <c r="E13" s="168"/>
      <c r="F13" s="91"/>
      <c r="G13" s="92"/>
      <c r="H13" s="168"/>
      <c r="I13" s="91"/>
      <c r="J13" s="92"/>
      <c r="K13" s="168"/>
      <c r="L13" s="91"/>
      <c r="M13" s="92"/>
      <c r="N13" s="168"/>
      <c r="O13" s="89">
        <f t="shared" si="0"/>
        <v>0</v>
      </c>
      <c r="P13" s="90" t="str">
        <f t="shared" si="1"/>
        <v/>
      </c>
      <c r="Q13" s="169" t="str">
        <f t="shared" si="2"/>
        <v/>
      </c>
      <c r="R13" s="6"/>
      <c r="S13" s="6"/>
    </row>
    <row r="14" spans="1:22" s="7" customFormat="1" ht="15" customHeight="1">
      <c r="A14" s="127"/>
      <c r="B14" s="86" t="s">
        <v>44</v>
      </c>
      <c r="C14" s="91"/>
      <c r="D14" s="92"/>
      <c r="E14" s="168"/>
      <c r="F14" s="91"/>
      <c r="G14" s="92"/>
      <c r="H14" s="168"/>
      <c r="I14" s="91"/>
      <c r="J14" s="92"/>
      <c r="K14" s="168"/>
      <c r="L14" s="91"/>
      <c r="M14" s="92"/>
      <c r="N14" s="168"/>
      <c r="O14" s="89">
        <f t="shared" si="0"/>
        <v>0</v>
      </c>
      <c r="P14" s="90" t="str">
        <f t="shared" si="1"/>
        <v/>
      </c>
      <c r="Q14" s="169" t="str">
        <f t="shared" si="2"/>
        <v/>
      </c>
      <c r="R14" s="6"/>
      <c r="S14" s="6"/>
    </row>
    <row r="15" spans="1:22" s="7" customFormat="1" ht="15" customHeight="1">
      <c r="A15" s="127"/>
      <c r="B15" s="86" t="s">
        <v>45</v>
      </c>
      <c r="C15" s="91"/>
      <c r="D15" s="92"/>
      <c r="E15" s="168"/>
      <c r="F15" s="91"/>
      <c r="G15" s="92"/>
      <c r="H15" s="168"/>
      <c r="I15" s="91"/>
      <c r="J15" s="92"/>
      <c r="K15" s="168"/>
      <c r="L15" s="91"/>
      <c r="M15" s="92"/>
      <c r="N15" s="168"/>
      <c r="O15" s="89">
        <f t="shared" si="0"/>
        <v>0</v>
      </c>
      <c r="P15" s="90" t="str">
        <f t="shared" si="1"/>
        <v/>
      </c>
      <c r="Q15" s="169" t="str">
        <f t="shared" si="2"/>
        <v/>
      </c>
      <c r="R15" s="6"/>
      <c r="S15" s="6"/>
    </row>
    <row r="16" spans="1:22" s="7" customFormat="1" ht="15" customHeight="1">
      <c r="A16" s="127"/>
      <c r="B16" s="86" t="s">
        <v>46</v>
      </c>
      <c r="C16" s="91"/>
      <c r="D16" s="92"/>
      <c r="E16" s="168"/>
      <c r="F16" s="91"/>
      <c r="G16" s="92"/>
      <c r="H16" s="168"/>
      <c r="I16" s="91"/>
      <c r="J16" s="92"/>
      <c r="K16" s="168"/>
      <c r="L16" s="91"/>
      <c r="M16" s="92"/>
      <c r="N16" s="168"/>
      <c r="O16" s="89">
        <f t="shared" si="0"/>
        <v>0</v>
      </c>
      <c r="P16" s="90" t="str">
        <f t="shared" si="1"/>
        <v/>
      </c>
      <c r="Q16" s="169" t="str">
        <f t="shared" si="2"/>
        <v/>
      </c>
      <c r="R16" s="6"/>
      <c r="S16" s="6"/>
    </row>
    <row r="17" spans="1:33" s="7" customFormat="1" ht="15" customHeight="1">
      <c r="A17" s="127"/>
      <c r="B17" s="86" t="s">
        <v>8</v>
      </c>
      <c r="C17" s="91"/>
      <c r="D17" s="92"/>
      <c r="E17" s="168"/>
      <c r="F17" s="91"/>
      <c r="G17" s="92"/>
      <c r="H17" s="168"/>
      <c r="I17" s="91"/>
      <c r="J17" s="92"/>
      <c r="K17" s="168"/>
      <c r="L17" s="91"/>
      <c r="M17" s="92"/>
      <c r="N17" s="168"/>
      <c r="O17" s="89">
        <f t="shared" si="0"/>
        <v>0</v>
      </c>
      <c r="P17" s="90" t="str">
        <f t="shared" si="1"/>
        <v/>
      </c>
      <c r="Q17" s="169" t="str">
        <f t="shared" si="2"/>
        <v/>
      </c>
      <c r="R17" s="6"/>
      <c r="S17" s="6"/>
    </row>
    <row r="18" spans="1:33" s="7" customFormat="1" ht="15" customHeight="1">
      <c r="A18" s="127"/>
      <c r="B18" s="86" t="s">
        <v>9</v>
      </c>
      <c r="C18" s="91"/>
      <c r="D18" s="92"/>
      <c r="E18" s="168"/>
      <c r="F18" s="91"/>
      <c r="G18" s="92"/>
      <c r="H18" s="168"/>
      <c r="I18" s="91"/>
      <c r="J18" s="92"/>
      <c r="K18" s="168"/>
      <c r="L18" s="91"/>
      <c r="M18" s="92"/>
      <c r="N18" s="168"/>
      <c r="O18" s="89">
        <f t="shared" si="0"/>
        <v>0</v>
      </c>
      <c r="P18" s="90" t="str">
        <f t="shared" si="1"/>
        <v/>
      </c>
      <c r="Q18" s="169" t="str">
        <f t="shared" si="2"/>
        <v/>
      </c>
      <c r="R18" s="6"/>
      <c r="S18" s="6"/>
    </row>
    <row r="19" spans="1:33" s="7" customFormat="1" ht="15" customHeight="1">
      <c r="A19" s="127"/>
      <c r="B19" s="86" t="s">
        <v>10</v>
      </c>
      <c r="C19" s="91"/>
      <c r="D19" s="92"/>
      <c r="E19" s="168"/>
      <c r="F19" s="91"/>
      <c r="G19" s="92"/>
      <c r="H19" s="168"/>
      <c r="I19" s="91"/>
      <c r="J19" s="92"/>
      <c r="K19" s="168"/>
      <c r="L19" s="91"/>
      <c r="M19" s="92"/>
      <c r="N19" s="168"/>
      <c r="O19" s="89">
        <f t="shared" si="0"/>
        <v>0</v>
      </c>
      <c r="P19" s="90" t="str">
        <f t="shared" si="1"/>
        <v/>
      </c>
      <c r="Q19" s="169" t="str">
        <f t="shared" si="2"/>
        <v/>
      </c>
      <c r="R19" s="6"/>
      <c r="S19" s="6"/>
    </row>
    <row r="20" spans="1:33" s="7" customFormat="1" ht="15" customHeight="1">
      <c r="A20" s="127"/>
      <c r="B20" s="86" t="s">
        <v>11</v>
      </c>
      <c r="C20" s="91"/>
      <c r="D20" s="92"/>
      <c r="E20" s="168"/>
      <c r="F20" s="91"/>
      <c r="G20" s="92"/>
      <c r="H20" s="168"/>
      <c r="I20" s="91"/>
      <c r="J20" s="92"/>
      <c r="K20" s="168"/>
      <c r="L20" s="91"/>
      <c r="M20" s="92"/>
      <c r="N20" s="168"/>
      <c r="O20" s="89">
        <f t="shared" si="0"/>
        <v>0</v>
      </c>
      <c r="P20" s="90" t="str">
        <f t="shared" si="1"/>
        <v/>
      </c>
      <c r="Q20" s="169" t="str">
        <f t="shared" si="2"/>
        <v/>
      </c>
      <c r="R20" s="6"/>
      <c r="S20" s="6"/>
    </row>
    <row r="21" spans="1:33" s="7" customFormat="1" ht="15" customHeight="1">
      <c r="A21" s="127"/>
      <c r="B21" s="86">
        <v>9</v>
      </c>
      <c r="C21" s="91"/>
      <c r="D21" s="92"/>
      <c r="E21" s="168"/>
      <c r="F21" s="91"/>
      <c r="G21" s="92"/>
      <c r="H21" s="168"/>
      <c r="I21" s="91"/>
      <c r="J21" s="92"/>
      <c r="K21" s="168"/>
      <c r="L21" s="91"/>
      <c r="M21" s="92"/>
      <c r="N21" s="168"/>
      <c r="O21" s="89"/>
      <c r="P21" s="90"/>
      <c r="Q21" s="169"/>
      <c r="R21" s="6"/>
      <c r="S21" s="6"/>
    </row>
    <row r="22" spans="1:33" s="7" customFormat="1" ht="15" customHeight="1">
      <c r="A22" s="127"/>
      <c r="B22" s="86">
        <v>10</v>
      </c>
      <c r="C22" s="91"/>
      <c r="D22" s="92"/>
      <c r="E22" s="168"/>
      <c r="F22" s="91"/>
      <c r="G22" s="92"/>
      <c r="H22" s="168"/>
      <c r="I22" s="91"/>
      <c r="J22" s="92"/>
      <c r="K22" s="168"/>
      <c r="L22" s="91"/>
      <c r="M22" s="92"/>
      <c r="N22" s="168"/>
      <c r="O22" s="89"/>
      <c r="P22" s="90"/>
      <c r="Q22" s="169"/>
      <c r="R22" s="6"/>
      <c r="S22" s="6"/>
    </row>
    <row r="23" spans="1:33" s="7" customFormat="1" ht="15" customHeight="1">
      <c r="A23" s="127"/>
      <c r="B23" s="86">
        <v>11</v>
      </c>
      <c r="C23" s="91"/>
      <c r="D23" s="92"/>
      <c r="E23" s="168"/>
      <c r="F23" s="91"/>
      <c r="G23" s="92"/>
      <c r="H23" s="168"/>
      <c r="I23" s="91"/>
      <c r="J23" s="92"/>
      <c r="K23" s="168"/>
      <c r="L23" s="91"/>
      <c r="M23" s="92"/>
      <c r="N23" s="168"/>
      <c r="O23" s="89"/>
      <c r="P23" s="90"/>
      <c r="Q23" s="169"/>
      <c r="R23" s="6"/>
      <c r="S23" s="6"/>
    </row>
    <row r="24" spans="1:33" s="7" customFormat="1" ht="15" customHeight="1" thickBot="1">
      <c r="A24" s="160" t="s">
        <v>12</v>
      </c>
      <c r="B24" s="86" t="s">
        <v>79</v>
      </c>
      <c r="C24" s="91"/>
      <c r="D24" s="92"/>
      <c r="E24" s="168"/>
      <c r="F24" s="91"/>
      <c r="G24" s="92"/>
      <c r="H24" s="168"/>
      <c r="I24" s="91"/>
      <c r="J24" s="92"/>
      <c r="K24" s="168"/>
      <c r="L24" s="91"/>
      <c r="M24" s="92"/>
      <c r="N24" s="168"/>
      <c r="O24" s="89">
        <f>SUM(C24+F24+I24+L24)</f>
        <v>0</v>
      </c>
      <c r="P24" s="90" t="str">
        <f>IF(SUM(D24+G24+J24+M24)&gt;0,(C24*D24+F24*G24+I24*J24+L24*M24)/SUM(C24+F24+I24+L24),"")</f>
        <v/>
      </c>
      <c r="Q24" s="169" t="str">
        <f>IF(SUM(E24,H24,K24,N24)&gt;0,SUM(C24*E24+F24*H24+I24*K24+L24*N24)/SUM(C24+F24+I24+L24),"")</f>
        <v/>
      </c>
      <c r="R24" s="6"/>
      <c r="S24" s="6"/>
    </row>
    <row r="25" spans="1:33" s="7" customFormat="1" ht="15" customHeight="1" thickBot="1">
      <c r="A25" s="5"/>
      <c r="B25" s="136" t="s">
        <v>19</v>
      </c>
      <c r="C25" s="70" t="str">
        <f>IF(SUM(C12:C24)&gt;0,SUM(C12:C24),"na")</f>
        <v>na</v>
      </c>
      <c r="D25" s="23" t="str">
        <f>IF(SUM(D12:D24)&gt;0,SUMPRODUCT(C12:C24,D12:D24)/C25,"na")</f>
        <v>na</v>
      </c>
      <c r="E25" s="171" t="str">
        <f>IF(SUM(E12:E24)&gt;0,SUMPRODUCT(C12:C24,E12:E24)/C25,"na")</f>
        <v>na</v>
      </c>
      <c r="F25" s="70" t="str">
        <f>IF(SUM(F12:F24)&gt;0,SUM(F12:F24),"na")</f>
        <v>na</v>
      </c>
      <c r="G25" s="23" t="str">
        <f>IF(SUM(G12:G24)&gt;0,SUMPRODUCT(F12:F24,G12:G24)/F25,"na")</f>
        <v>na</v>
      </c>
      <c r="H25" s="24" t="str">
        <f>IF(SUM(H12:H24)&gt;0,SUMPRODUCT(F12:F24,H12:H24)/F25,"na")</f>
        <v>na</v>
      </c>
      <c r="I25" s="70" t="str">
        <f>IF(SUM(I12:I24)&gt;0,SUM(I12:I24),"na")</f>
        <v>na</v>
      </c>
      <c r="J25" s="23" t="str">
        <f>IF(SUM(J12:J24)&gt;0,SUMPRODUCT(I12:I24,J12:J24)/I25,"na")</f>
        <v>na</v>
      </c>
      <c r="K25" s="171" t="str">
        <f>IF(SUM(K12:K24)&gt;0,SUMPRODUCT(I12:I24,K12:K24)/I25,"na")</f>
        <v>na</v>
      </c>
      <c r="L25" s="70" t="str">
        <f>IF(SUM(L12:L24)&gt;0,SUM(L12:L24),"na")</f>
        <v>na</v>
      </c>
      <c r="M25" s="23" t="str">
        <f>IF(SUM(M12:M24)&gt;0,SUMPRODUCT(L12:L24,M12:M24)/L25,"na")</f>
        <v>na</v>
      </c>
      <c r="N25" s="24" t="str">
        <f>IF(SUM(N12:N24)&gt;0,SUMPRODUCT(L12:L24,N12:N24)/L25,"na")</f>
        <v>na</v>
      </c>
      <c r="O25" s="70" t="str">
        <f>IF(SUM(O12:O24)&gt;0,SUM(O12:O24),"na")</f>
        <v>na</v>
      </c>
      <c r="P25" s="23" t="str">
        <f>IF(SUM(P12:P24)&gt;0,SUMPRODUCT(O12:O24,P12:P24)/O25,"na")</f>
        <v>na</v>
      </c>
      <c r="Q25" s="25" t="str">
        <f>IF(SUM(Q12:Q24)&gt;0,SUMPRODUCT(O12:O24,Q12:Q24)/O25,"na")</f>
        <v>na</v>
      </c>
      <c r="R25" s="6"/>
      <c r="S25" s="6"/>
    </row>
    <row r="26" spans="1:33" s="102" customFormat="1" ht="6.75" customHeight="1" thickBot="1">
      <c r="A26" s="4"/>
      <c r="B26" s="4"/>
      <c r="C26" s="106"/>
      <c r="D26" s="107"/>
      <c r="E26" s="108"/>
      <c r="F26" s="114"/>
      <c r="G26" s="115"/>
      <c r="H26" s="108"/>
      <c r="I26" s="114"/>
      <c r="J26" s="115"/>
      <c r="K26" s="108"/>
      <c r="L26" s="114"/>
      <c r="M26" s="115"/>
      <c r="N26" s="108"/>
      <c r="O26" s="114"/>
      <c r="P26" s="116"/>
      <c r="Q26" s="117"/>
      <c r="R26" s="38"/>
      <c r="S26" s="38"/>
    </row>
    <row r="27" spans="1:33" s="7" customFormat="1" ht="13.5" customHeight="1">
      <c r="A27" s="4"/>
      <c r="B27" s="4"/>
      <c r="C27" s="109" t="s">
        <v>134</v>
      </c>
      <c r="D27" s="164"/>
      <c r="E27" s="110" t="s">
        <v>20</v>
      </c>
      <c r="F27" s="109" t="s">
        <v>134</v>
      </c>
      <c r="G27" s="164"/>
      <c r="H27" s="110" t="s">
        <v>20</v>
      </c>
      <c r="I27" s="109" t="s">
        <v>134</v>
      </c>
      <c r="J27" s="164"/>
      <c r="K27" s="110" t="s">
        <v>20</v>
      </c>
      <c r="L27" s="109" t="s">
        <v>134</v>
      </c>
      <c r="M27" s="164"/>
      <c r="N27" s="110" t="s">
        <v>20</v>
      </c>
      <c r="O27" s="109" t="s">
        <v>134</v>
      </c>
      <c r="P27" s="93">
        <f>SUM(M27,J27,G27,D27)</f>
        <v>0</v>
      </c>
      <c r="Q27" s="110" t="s">
        <v>20</v>
      </c>
      <c r="R27" s="6"/>
      <c r="S27" s="6"/>
    </row>
    <row r="28" spans="1:33" s="7" customFormat="1" ht="13.5" customHeight="1">
      <c r="A28" s="8"/>
      <c r="B28" s="4"/>
      <c r="C28" s="109" t="s">
        <v>21</v>
      </c>
      <c r="D28" s="94" t="str">
        <f>IF(SUM(E12:E24)&gt;0,(C25*E25),"na")</f>
        <v>na</v>
      </c>
      <c r="E28" s="110" t="s">
        <v>20</v>
      </c>
      <c r="F28" s="109" t="s">
        <v>21</v>
      </c>
      <c r="G28" s="94" t="str">
        <f>IF(SUM(H12:H24)&gt;0,(F25*H25),"na")</f>
        <v>na</v>
      </c>
      <c r="H28" s="110" t="s">
        <v>20</v>
      </c>
      <c r="I28" s="109" t="s">
        <v>21</v>
      </c>
      <c r="J28" s="94" t="str">
        <f>IF(SUM(K12:K24)&gt;0,(I25*K25),"na")</f>
        <v>na</v>
      </c>
      <c r="K28" s="110" t="s">
        <v>20</v>
      </c>
      <c r="L28" s="109" t="s">
        <v>21</v>
      </c>
      <c r="M28" s="94" t="str">
        <f>IF(SUM(N12:N24)&gt;0,(L25*N25),"na")</f>
        <v>na</v>
      </c>
      <c r="N28" s="110" t="s">
        <v>20</v>
      </c>
      <c r="O28" s="109" t="s">
        <v>21</v>
      </c>
      <c r="P28" s="94" t="str">
        <f>IF(SUM(Q12:Q24)&gt;0,(O25*Q25),"na")</f>
        <v>na</v>
      </c>
      <c r="Q28" s="110" t="s">
        <v>20</v>
      </c>
      <c r="R28" s="6"/>
      <c r="S28" s="6"/>
      <c r="T28" s="255"/>
      <c r="U28" s="255"/>
      <c r="V28" s="255"/>
      <c r="W28" s="255"/>
      <c r="X28" s="255"/>
      <c r="Y28" s="255"/>
      <c r="Z28" s="255"/>
      <c r="AA28" s="255"/>
      <c r="AB28" s="255"/>
      <c r="AC28" s="255"/>
      <c r="AD28" s="255"/>
      <c r="AE28" s="255"/>
      <c r="AF28" s="255"/>
      <c r="AG28" s="255"/>
    </row>
    <row r="29" spans="1:33" s="7" customFormat="1" ht="13.5" customHeight="1" thickBot="1">
      <c r="A29" s="8"/>
      <c r="B29" s="4"/>
      <c r="C29" s="109" t="s">
        <v>21</v>
      </c>
      <c r="D29" s="95" t="str">
        <f>IF(SUM(E12:E24)&gt;0,D28/D27,"na")</f>
        <v>na</v>
      </c>
      <c r="E29" s="111" t="s">
        <v>22</v>
      </c>
      <c r="F29" s="109" t="s">
        <v>21</v>
      </c>
      <c r="G29" s="95" t="str">
        <f>IF(SUM(H12:H24)&gt;0,G28/G27,"na")</f>
        <v>na</v>
      </c>
      <c r="H29" s="111" t="s">
        <v>22</v>
      </c>
      <c r="I29" s="109" t="s">
        <v>21</v>
      </c>
      <c r="J29" s="95" t="str">
        <f>IF(SUM(K12:K24)&gt;0,J28/J27,"na")</f>
        <v>na</v>
      </c>
      <c r="K29" s="111" t="s">
        <v>22</v>
      </c>
      <c r="L29" s="109" t="s">
        <v>21</v>
      </c>
      <c r="M29" s="95" t="str">
        <f>IF(SUM(N12:N24)&gt;0,M28/M27,"na")</f>
        <v>na</v>
      </c>
      <c r="N29" s="111" t="s">
        <v>22</v>
      </c>
      <c r="O29" s="109" t="s">
        <v>21</v>
      </c>
      <c r="P29" s="95" t="str">
        <f>IF(SUM(Q12:Q24)&gt;0,P28/P27,"na")</f>
        <v>na</v>
      </c>
      <c r="Q29" s="111" t="s">
        <v>22</v>
      </c>
      <c r="R29" s="6"/>
      <c r="S29" s="6"/>
      <c r="T29" s="255"/>
      <c r="U29" s="255"/>
      <c r="V29" s="255"/>
      <c r="W29" s="255"/>
      <c r="X29" s="255"/>
      <c r="Y29" s="255"/>
      <c r="Z29" s="255"/>
      <c r="AA29" s="255"/>
      <c r="AB29" s="255"/>
      <c r="AC29" s="255"/>
      <c r="AD29" s="255"/>
      <c r="AE29" s="255"/>
      <c r="AF29" s="255"/>
      <c r="AG29" s="255"/>
    </row>
    <row r="30" spans="1:33" s="6" customFormat="1" ht="6" customHeight="1" thickBot="1">
      <c r="A30" s="8"/>
      <c r="B30" s="4"/>
      <c r="C30" s="112"/>
      <c r="D30" s="35"/>
      <c r="E30" s="111"/>
      <c r="F30" s="112"/>
      <c r="G30" s="35"/>
      <c r="H30" s="111"/>
      <c r="I30" s="112"/>
      <c r="J30" s="35"/>
      <c r="K30" s="111"/>
      <c r="L30" s="112"/>
      <c r="M30" s="35"/>
      <c r="N30" s="111"/>
      <c r="O30" s="112"/>
      <c r="P30" s="35"/>
      <c r="Q30" s="111"/>
      <c r="T30" s="255"/>
      <c r="U30" s="255"/>
      <c r="V30" s="255"/>
      <c r="W30" s="255"/>
      <c r="X30" s="255"/>
      <c r="Y30" s="255"/>
      <c r="Z30" s="255"/>
      <c r="AA30" s="255"/>
      <c r="AB30" s="255"/>
      <c r="AC30" s="255"/>
      <c r="AD30" s="255"/>
      <c r="AE30" s="255"/>
      <c r="AF30" s="255"/>
      <c r="AG30" s="255"/>
    </row>
    <row r="31" spans="1:33" s="6" customFormat="1" ht="13.5" customHeight="1" thickBot="1">
      <c r="A31" s="8"/>
      <c r="B31" s="4"/>
      <c r="C31" s="109" t="s">
        <v>23</v>
      </c>
      <c r="D31" s="165"/>
      <c r="E31" s="111" t="s">
        <v>24</v>
      </c>
      <c r="F31" s="109" t="s">
        <v>23</v>
      </c>
      <c r="G31" s="165"/>
      <c r="H31" s="111" t="s">
        <v>24</v>
      </c>
      <c r="I31" s="109" t="s">
        <v>23</v>
      </c>
      <c r="J31" s="165"/>
      <c r="K31" s="111" t="s">
        <v>24</v>
      </c>
      <c r="L31" s="109" t="s">
        <v>23</v>
      </c>
      <c r="M31" s="166"/>
      <c r="N31" s="111" t="s">
        <v>24</v>
      </c>
      <c r="O31" s="109" t="s">
        <v>23</v>
      </c>
      <c r="P31" s="96"/>
      <c r="Q31" s="111" t="s">
        <v>24</v>
      </c>
      <c r="T31" s="255"/>
      <c r="U31" s="255"/>
      <c r="V31" s="255"/>
      <c r="W31" s="255"/>
      <c r="X31" s="255"/>
      <c r="Y31" s="255"/>
      <c r="Z31" s="255"/>
      <c r="AA31" s="255"/>
      <c r="AB31" s="255"/>
      <c r="AC31" s="255"/>
      <c r="AD31" s="255"/>
      <c r="AE31" s="255"/>
      <c r="AF31" s="255"/>
      <c r="AG31" s="255"/>
    </row>
    <row r="32" spans="1:33" s="7" customFormat="1" ht="14.25" customHeight="1" thickBot="1">
      <c r="A32" s="8"/>
      <c r="B32" s="9"/>
      <c r="C32" s="113"/>
      <c r="D32" s="104"/>
      <c r="E32" s="105"/>
      <c r="F32" s="113"/>
      <c r="G32" s="104"/>
      <c r="H32" s="105"/>
      <c r="I32" s="113"/>
      <c r="J32" s="104"/>
      <c r="K32" s="105"/>
      <c r="L32" s="113"/>
      <c r="M32" s="104"/>
      <c r="N32" s="105"/>
      <c r="O32" s="113"/>
      <c r="P32" s="104"/>
      <c r="Q32" s="105"/>
      <c r="R32" s="6"/>
      <c r="S32" s="6"/>
      <c r="T32" s="255"/>
      <c r="U32" s="255"/>
      <c r="V32" s="255"/>
      <c r="W32" s="255"/>
      <c r="X32" s="255"/>
      <c r="Y32" s="255"/>
      <c r="Z32" s="255"/>
      <c r="AA32" s="255"/>
      <c r="AB32" s="255"/>
      <c r="AC32" s="255"/>
      <c r="AD32" s="255"/>
      <c r="AE32" s="255"/>
      <c r="AF32" s="255"/>
      <c r="AG32" s="255"/>
    </row>
    <row r="33" spans="1:22" s="7" customFormat="1">
      <c r="A33" s="8"/>
      <c r="B33" s="9"/>
      <c r="C33" s="6"/>
      <c r="D33" s="6"/>
      <c r="E33" s="6"/>
      <c r="F33" s="6"/>
      <c r="G33" s="6"/>
      <c r="H33" s="6"/>
      <c r="I33" s="6"/>
      <c r="J33" s="6"/>
      <c r="K33" s="6"/>
      <c r="L33" s="6"/>
      <c r="M33" s="6"/>
      <c r="N33" s="6"/>
      <c r="O33" s="6"/>
      <c r="P33" s="6"/>
      <c r="Q33" s="6"/>
      <c r="R33" s="6"/>
      <c r="S33" s="6"/>
      <c r="T33" s="255"/>
      <c r="U33" s="255"/>
      <c r="V33" s="255"/>
    </row>
    <row r="34" spans="1:22">
      <c r="T34" s="178"/>
      <c r="U34" s="178"/>
      <c r="V34" s="178"/>
    </row>
  </sheetData>
  <sheetProtection scenarios="1"/>
  <mergeCells count="3">
    <mergeCell ref="C8:D8"/>
    <mergeCell ref="I4:K4"/>
    <mergeCell ref="I6:K6"/>
  </mergeCells>
  <conditionalFormatting sqref="A2:R3 A5:R5 A4:I4 L4:R4 A6:I6 L6:R6 A7:R34 H1:R1">
    <cfRule type="expression" dxfId="7" priority="1" stopIfTrue="1">
      <formula>CELL("Protect",A1)=1</formula>
    </cfRule>
  </conditionalFormatting>
  <dataValidations count="1">
    <dataValidation type="decimal" errorStyle="warning" allowBlank="1" showInputMessage="1" showErrorMessage="1" errorTitle="Please Check!" error="Confirm that the value you have entered is correct" sqref="N12:N24 H12:H24 K12:K24 E12:E24" xr:uid="{00000000-0002-0000-0C00-000000000000}">
      <formula1>0.06</formula1>
      <formula2>1.5</formula2>
    </dataValidation>
  </dataValidation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5D3BFA-C862-4283-BBAE-1E526F47D2E9}">
  <sheetPr codeName="Sheet13">
    <tabColor theme="9" tint="0.59999389629810485"/>
  </sheetPr>
  <dimension ref="A1:AG34"/>
  <sheetViews>
    <sheetView zoomScale="90" zoomScaleNormal="90" workbookViewId="0"/>
  </sheetViews>
  <sheetFormatPr defaultColWidth="11.5703125" defaultRowHeight="12.75"/>
  <cols>
    <col min="1" max="1" width="9.140625" style="2" customWidth="1"/>
    <col min="2" max="2" width="7.28515625" style="1" customWidth="1"/>
    <col min="3" max="3" width="17.140625" bestFit="1" customWidth="1"/>
    <col min="4" max="5" width="9.42578125" customWidth="1"/>
    <col min="6" max="6" width="16" bestFit="1" customWidth="1"/>
    <col min="7" max="8" width="9.42578125" customWidth="1"/>
    <col min="9" max="9" width="17" customWidth="1"/>
    <col min="10" max="11" width="9.42578125" customWidth="1"/>
    <col min="12" max="12" width="16" bestFit="1" customWidth="1"/>
    <col min="13" max="14" width="9.42578125" customWidth="1"/>
    <col min="15" max="15" width="16.85546875" customWidth="1"/>
    <col min="16" max="17" width="9.42578125" customWidth="1"/>
    <col min="18" max="20" width="8.140625" customWidth="1"/>
  </cols>
  <sheetData>
    <row r="1" spans="1:22" s="7" customFormat="1" ht="19.5" customHeight="1">
      <c r="A1" s="343" t="s">
        <v>53</v>
      </c>
      <c r="B1" s="342"/>
      <c r="C1" s="342"/>
      <c r="D1" s="342"/>
      <c r="E1" s="342"/>
      <c r="F1" s="342"/>
      <c r="G1" s="342"/>
      <c r="H1" s="80" t="s">
        <v>120</v>
      </c>
      <c r="I1" s="6"/>
      <c r="J1" s="6"/>
      <c r="K1" s="6"/>
      <c r="L1" s="6"/>
      <c r="M1" s="6"/>
      <c r="N1" s="6"/>
      <c r="O1" s="6"/>
      <c r="P1" s="6"/>
      <c r="Q1" s="6"/>
      <c r="R1" s="6"/>
      <c r="S1" s="6"/>
      <c r="T1" s="255"/>
      <c r="U1" s="255"/>
      <c r="V1" s="255"/>
    </row>
    <row r="2" spans="1:22" s="7" customFormat="1" ht="19.5" customHeight="1">
      <c r="A2" s="261" t="s">
        <v>112</v>
      </c>
      <c r="B2" s="9"/>
      <c r="C2" s="6"/>
      <c r="D2" s="6"/>
      <c r="E2" s="6"/>
      <c r="F2" s="6"/>
      <c r="G2" s="6"/>
      <c r="H2" s="81"/>
      <c r="I2" s="6"/>
      <c r="J2" s="6"/>
      <c r="K2" s="6"/>
      <c r="L2" s="6"/>
      <c r="M2" s="6"/>
      <c r="N2" s="6"/>
      <c r="O2" s="6"/>
      <c r="P2" s="6"/>
      <c r="Q2" s="6"/>
      <c r="R2" s="6"/>
      <c r="S2" s="6"/>
      <c r="T2" s="255"/>
      <c r="U2" s="255"/>
      <c r="V2" s="255"/>
    </row>
    <row r="3" spans="1:22" s="7" customFormat="1" ht="13.5" customHeight="1" thickBot="1">
      <c r="A3" s="75"/>
      <c r="B3" s="9"/>
      <c r="C3" s="6"/>
      <c r="D3" s="6"/>
      <c r="E3" s="6"/>
      <c r="F3" s="6"/>
      <c r="G3" s="6"/>
      <c r="H3" s="76"/>
      <c r="I3" s="6"/>
      <c r="J3" s="6"/>
      <c r="K3" s="6"/>
      <c r="L3" s="6"/>
      <c r="M3" s="82"/>
      <c r="N3" s="82"/>
      <c r="O3" s="6"/>
      <c r="P3" s="82"/>
      <c r="Q3" s="82"/>
      <c r="R3" s="82"/>
      <c r="S3" s="82"/>
      <c r="T3" s="256"/>
      <c r="U3" s="255"/>
      <c r="V3" s="255"/>
    </row>
    <row r="4" spans="1:22" s="7" customFormat="1" ht="19.5" customHeight="1">
      <c r="A4" s="8"/>
      <c r="B4" s="259" t="s">
        <v>106</v>
      </c>
      <c r="C4" s="122" t="str">
        <f>'START HERE'!F6</f>
        <v>EU</v>
      </c>
      <c r="D4" s="137"/>
      <c r="E4" s="21"/>
      <c r="F4" s="6"/>
      <c r="G4" s="6"/>
      <c r="H4" s="173" t="s">
        <v>38</v>
      </c>
      <c r="I4" s="397" t="str">
        <f>'LEN F2'!F3</f>
        <v>Fleet 2 South-Central Chile</v>
      </c>
      <c r="J4" s="398"/>
      <c r="K4" s="399"/>
      <c r="L4" s="6"/>
      <c r="M4" s="82"/>
      <c r="N4" s="82"/>
      <c r="O4" s="6"/>
      <c r="P4" s="82"/>
      <c r="Q4" s="82"/>
      <c r="R4" s="82"/>
      <c r="S4" s="82"/>
      <c r="T4" s="256"/>
      <c r="U4" s="255"/>
      <c r="V4" s="255"/>
    </row>
    <row r="5" spans="1:22" s="7" customFormat="1" ht="19.5" customHeight="1">
      <c r="A5" s="8"/>
      <c r="B5" s="13" t="s">
        <v>0</v>
      </c>
      <c r="C5" s="123" t="str">
        <f>'START HERE'!F5</f>
        <v>Jack mackerel</v>
      </c>
      <c r="D5" s="139"/>
      <c r="E5" s="22"/>
      <c r="F5" s="138"/>
      <c r="G5" s="138"/>
      <c r="H5" s="13"/>
      <c r="I5" s="321"/>
      <c r="J5" s="322"/>
      <c r="K5" s="323"/>
      <c r="L5" s="6"/>
      <c r="M5" s="82"/>
      <c r="N5" s="82"/>
      <c r="O5" s="6"/>
      <c r="P5" s="82"/>
      <c r="Q5" s="82"/>
      <c r="R5" s="82"/>
      <c r="S5" s="82"/>
      <c r="T5" s="256"/>
      <c r="U5" s="255"/>
      <c r="V5" s="255"/>
    </row>
    <row r="6" spans="1:22" s="7" customFormat="1" ht="18.75" customHeight="1" thickBot="1">
      <c r="A6" s="8"/>
      <c r="B6" s="13" t="s">
        <v>1</v>
      </c>
      <c r="C6" s="119">
        <f>'START HERE'!$K$3</f>
        <v>2010</v>
      </c>
      <c r="D6" s="120"/>
      <c r="E6" s="121"/>
      <c r="F6" s="6"/>
      <c r="G6" s="6"/>
      <c r="H6" s="13" t="s">
        <v>14</v>
      </c>
      <c r="I6" s="400" t="str">
        <f>'START HERE'!$F8</f>
        <v>13/6/2022</v>
      </c>
      <c r="J6" s="401"/>
      <c r="K6" s="402"/>
      <c r="L6" s="6"/>
      <c r="M6" s="82"/>
      <c r="N6" s="82"/>
      <c r="O6" s="6"/>
      <c r="P6" s="82"/>
      <c r="Q6" s="82"/>
      <c r="R6" s="82"/>
      <c r="S6" s="82"/>
      <c r="T6" s="256"/>
      <c r="U6" s="255"/>
      <c r="V6" s="255"/>
    </row>
    <row r="7" spans="1:22" s="7" customFormat="1" ht="13.5" customHeight="1" thickBot="1">
      <c r="A7" s="8"/>
      <c r="B7" s="9"/>
      <c r="C7" s="6"/>
      <c r="D7" s="6"/>
      <c r="E7" s="6"/>
      <c r="F7" s="6"/>
      <c r="G7" s="6"/>
      <c r="H7" s="6"/>
      <c r="I7" s="6"/>
      <c r="J7" s="6"/>
      <c r="K7" s="6"/>
      <c r="L7" s="6"/>
      <c r="M7" s="6"/>
      <c r="N7" s="6"/>
      <c r="O7" s="6"/>
      <c r="P7" s="6"/>
      <c r="Q7" s="6"/>
      <c r="R7" s="6"/>
      <c r="S7" s="6"/>
      <c r="T7" s="255"/>
      <c r="U7" s="255"/>
      <c r="V7" s="255"/>
    </row>
    <row r="8" spans="1:22" s="77" customFormat="1" ht="18" customHeight="1" thickBot="1">
      <c r="A8" s="100"/>
      <c r="B8" s="101"/>
      <c r="C8" s="395" t="s">
        <v>52</v>
      </c>
      <c r="D8" s="396"/>
      <c r="E8" s="99"/>
      <c r="F8" s="262" t="s">
        <v>30</v>
      </c>
      <c r="G8" s="98"/>
      <c r="H8" s="99"/>
      <c r="I8" s="262" t="s">
        <v>31</v>
      </c>
      <c r="J8" s="98"/>
      <c r="K8" s="99"/>
      <c r="L8" s="262" t="s">
        <v>32</v>
      </c>
      <c r="M8" s="98"/>
      <c r="N8" s="99"/>
      <c r="O8" s="97" t="s">
        <v>41</v>
      </c>
      <c r="P8" s="98"/>
      <c r="Q8" s="99"/>
      <c r="R8" s="103"/>
      <c r="S8" s="103"/>
    </row>
    <row r="9" spans="1:22" s="7" customFormat="1" ht="13.5" customHeight="1" thickBot="1">
      <c r="A9" s="125"/>
      <c r="B9" s="125"/>
      <c r="C9" s="17" t="s">
        <v>2</v>
      </c>
      <c r="D9" s="126" t="s">
        <v>3</v>
      </c>
      <c r="E9" s="16" t="s">
        <v>3</v>
      </c>
      <c r="F9" s="17" t="s">
        <v>2</v>
      </c>
      <c r="G9" s="15" t="s">
        <v>3</v>
      </c>
      <c r="H9" s="16" t="s">
        <v>3</v>
      </c>
      <c r="I9" s="17" t="s">
        <v>2</v>
      </c>
      <c r="J9" s="15" t="s">
        <v>3</v>
      </c>
      <c r="K9" s="16" t="s">
        <v>3</v>
      </c>
      <c r="L9" s="17" t="s">
        <v>2</v>
      </c>
      <c r="M9" s="15" t="s">
        <v>3</v>
      </c>
      <c r="N9" s="16" t="s">
        <v>3</v>
      </c>
      <c r="O9" s="17" t="s">
        <v>2</v>
      </c>
      <c r="P9" s="15" t="s">
        <v>3</v>
      </c>
      <c r="Q9" s="16" t="s">
        <v>3</v>
      </c>
      <c r="R9" s="6"/>
      <c r="S9" s="6"/>
    </row>
    <row r="10" spans="1:22" s="7" customFormat="1" ht="13.5" customHeight="1">
      <c r="A10" s="14"/>
      <c r="B10" s="172" t="s">
        <v>78</v>
      </c>
      <c r="C10" s="20" t="s">
        <v>4</v>
      </c>
      <c r="D10" s="18" t="s">
        <v>40</v>
      </c>
      <c r="E10" s="19" t="s">
        <v>5</v>
      </c>
      <c r="F10" s="20" t="s">
        <v>4</v>
      </c>
      <c r="G10" s="18" t="s">
        <v>40</v>
      </c>
      <c r="H10" s="19" t="s">
        <v>5</v>
      </c>
      <c r="I10" s="20" t="s">
        <v>4</v>
      </c>
      <c r="J10" s="18" t="s">
        <v>40</v>
      </c>
      <c r="K10" s="19" t="s">
        <v>5</v>
      </c>
      <c r="L10" s="20" t="s">
        <v>4</v>
      </c>
      <c r="M10" s="18" t="s">
        <v>40</v>
      </c>
      <c r="N10" s="19" t="s">
        <v>5</v>
      </c>
      <c r="O10" s="20" t="s">
        <v>4</v>
      </c>
      <c r="P10" s="18" t="s">
        <v>40</v>
      </c>
      <c r="Q10" s="19" t="s">
        <v>5</v>
      </c>
      <c r="R10" s="6"/>
      <c r="S10" s="6"/>
    </row>
    <row r="11" spans="1:22" s="7" customFormat="1" ht="15" customHeight="1" thickBot="1">
      <c r="A11" s="124"/>
      <c r="B11" s="84"/>
      <c r="C11" s="85" t="s">
        <v>103</v>
      </c>
      <c r="D11" s="83" t="s">
        <v>42</v>
      </c>
      <c r="E11" s="84" t="s">
        <v>50</v>
      </c>
      <c r="F11" s="85" t="s">
        <v>103</v>
      </c>
      <c r="G11" s="83" t="s">
        <v>42</v>
      </c>
      <c r="H11" s="84" t="s">
        <v>50</v>
      </c>
      <c r="I11" s="85" t="s">
        <v>103</v>
      </c>
      <c r="J11" s="83" t="s">
        <v>42</v>
      </c>
      <c r="K11" s="84" t="s">
        <v>50</v>
      </c>
      <c r="L11" s="85" t="s">
        <v>103</v>
      </c>
      <c r="M11" s="83" t="s">
        <v>42</v>
      </c>
      <c r="N11" s="84" t="s">
        <v>50</v>
      </c>
      <c r="O11" s="85" t="s">
        <v>103</v>
      </c>
      <c r="P11" s="83" t="s">
        <v>42</v>
      </c>
      <c r="Q11" s="84" t="s">
        <v>6</v>
      </c>
      <c r="R11" s="6"/>
      <c r="S11" s="6"/>
    </row>
    <row r="12" spans="1:22" s="7" customFormat="1" ht="15" customHeight="1">
      <c r="A12" s="127"/>
      <c r="B12" s="86" t="s">
        <v>7</v>
      </c>
      <c r="C12" s="87"/>
      <c r="D12" s="88"/>
      <c r="E12" s="167"/>
      <c r="F12" s="87"/>
      <c r="G12" s="88"/>
      <c r="H12" s="167"/>
      <c r="I12" s="87"/>
      <c r="J12" s="88"/>
      <c r="K12" s="167"/>
      <c r="L12" s="87"/>
      <c r="M12" s="88"/>
      <c r="N12" s="167"/>
      <c r="O12" s="89">
        <f t="shared" ref="O12:O20" si="0">SUM(C12+F12+I12+L12)</f>
        <v>0</v>
      </c>
      <c r="P12" s="90" t="str">
        <f t="shared" ref="P12:P20" si="1">IF(SUM(D12+G12+J12+M12)&gt;0,(C12*D12+F12*G12+I12*J12+L12*M12)/SUM(C12+F12+I12+L12),"")</f>
        <v/>
      </c>
      <c r="Q12" s="169" t="str">
        <f t="shared" ref="Q12:Q20" si="2">IF(SUM(E12,H12,K12,N12)&gt;0,SUM(C12*E12+F12*H12+I12*K12+L12*N12)/SUM(C12+F12+I12+L12),"")</f>
        <v/>
      </c>
      <c r="R12" s="6"/>
      <c r="S12" s="6"/>
    </row>
    <row r="13" spans="1:22" s="7" customFormat="1" ht="15" customHeight="1">
      <c r="A13" s="127"/>
      <c r="B13" s="86" t="s">
        <v>43</v>
      </c>
      <c r="C13" s="91"/>
      <c r="D13" s="92"/>
      <c r="E13" s="168"/>
      <c r="F13" s="91"/>
      <c r="G13" s="92"/>
      <c r="H13" s="168"/>
      <c r="I13" s="91"/>
      <c r="J13" s="92"/>
      <c r="K13" s="168"/>
      <c r="L13" s="91"/>
      <c r="M13" s="92"/>
      <c r="N13" s="168"/>
      <c r="O13" s="89">
        <f t="shared" si="0"/>
        <v>0</v>
      </c>
      <c r="P13" s="90" t="str">
        <f t="shared" si="1"/>
        <v/>
      </c>
      <c r="Q13" s="169" t="str">
        <f t="shared" si="2"/>
        <v/>
      </c>
      <c r="R13" s="6"/>
      <c r="S13" s="6"/>
    </row>
    <row r="14" spans="1:22" s="7" customFormat="1" ht="15" customHeight="1">
      <c r="A14" s="127"/>
      <c r="B14" s="86" t="s">
        <v>44</v>
      </c>
      <c r="C14" s="91"/>
      <c r="D14" s="92"/>
      <c r="E14" s="168"/>
      <c r="F14" s="91"/>
      <c r="G14" s="92"/>
      <c r="H14" s="168"/>
      <c r="I14" s="91"/>
      <c r="J14" s="92"/>
      <c r="K14" s="168"/>
      <c r="L14" s="91"/>
      <c r="M14" s="92"/>
      <c r="N14" s="168"/>
      <c r="O14" s="89">
        <f t="shared" si="0"/>
        <v>0</v>
      </c>
      <c r="P14" s="90" t="str">
        <f t="shared" si="1"/>
        <v/>
      </c>
      <c r="Q14" s="169" t="str">
        <f t="shared" si="2"/>
        <v/>
      </c>
      <c r="R14" s="6"/>
      <c r="S14" s="6"/>
    </row>
    <row r="15" spans="1:22" s="7" customFormat="1" ht="15" customHeight="1">
      <c r="A15" s="127"/>
      <c r="B15" s="86" t="s">
        <v>45</v>
      </c>
      <c r="C15" s="91"/>
      <c r="D15" s="92"/>
      <c r="E15" s="168"/>
      <c r="F15" s="91"/>
      <c r="G15" s="92"/>
      <c r="H15" s="168"/>
      <c r="I15" s="91"/>
      <c r="J15" s="92"/>
      <c r="K15" s="168"/>
      <c r="L15" s="91"/>
      <c r="M15" s="92"/>
      <c r="N15" s="168"/>
      <c r="O15" s="89">
        <f t="shared" si="0"/>
        <v>0</v>
      </c>
      <c r="P15" s="90" t="str">
        <f t="shared" si="1"/>
        <v/>
      </c>
      <c r="Q15" s="169" t="str">
        <f t="shared" si="2"/>
        <v/>
      </c>
      <c r="R15" s="6"/>
      <c r="S15" s="6"/>
    </row>
    <row r="16" spans="1:22" s="7" customFormat="1" ht="15" customHeight="1">
      <c r="A16" s="127"/>
      <c r="B16" s="86" t="s">
        <v>46</v>
      </c>
      <c r="C16" s="91"/>
      <c r="D16" s="92"/>
      <c r="E16" s="168"/>
      <c r="F16" s="91"/>
      <c r="G16" s="92"/>
      <c r="H16" s="168"/>
      <c r="I16" s="91"/>
      <c r="J16" s="92"/>
      <c r="K16" s="168"/>
      <c r="L16" s="91"/>
      <c r="M16" s="92"/>
      <c r="N16" s="168"/>
      <c r="O16" s="89">
        <f t="shared" si="0"/>
        <v>0</v>
      </c>
      <c r="P16" s="90" t="str">
        <f t="shared" si="1"/>
        <v/>
      </c>
      <c r="Q16" s="169" t="str">
        <f t="shared" si="2"/>
        <v/>
      </c>
      <c r="R16" s="6"/>
      <c r="S16" s="6"/>
    </row>
    <row r="17" spans="1:33" s="7" customFormat="1" ht="15" customHeight="1">
      <c r="A17" s="127"/>
      <c r="B17" s="86" t="s">
        <v>8</v>
      </c>
      <c r="C17" s="91"/>
      <c r="D17" s="92"/>
      <c r="E17" s="168"/>
      <c r="F17" s="91"/>
      <c r="G17" s="92"/>
      <c r="H17" s="168"/>
      <c r="I17" s="91"/>
      <c r="J17" s="92"/>
      <c r="K17" s="168"/>
      <c r="L17" s="91"/>
      <c r="M17" s="92"/>
      <c r="N17" s="168"/>
      <c r="O17" s="89">
        <f t="shared" si="0"/>
        <v>0</v>
      </c>
      <c r="P17" s="90" t="str">
        <f t="shared" si="1"/>
        <v/>
      </c>
      <c r="Q17" s="169" t="str">
        <f t="shared" si="2"/>
        <v/>
      </c>
      <c r="R17" s="6"/>
      <c r="S17" s="6"/>
    </row>
    <row r="18" spans="1:33" s="7" customFormat="1" ht="15" customHeight="1">
      <c r="A18" s="127"/>
      <c r="B18" s="86" t="s">
        <v>9</v>
      </c>
      <c r="C18" s="91"/>
      <c r="D18" s="92"/>
      <c r="E18" s="168"/>
      <c r="F18" s="91"/>
      <c r="G18" s="92"/>
      <c r="H18" s="168"/>
      <c r="I18" s="91"/>
      <c r="J18" s="92"/>
      <c r="K18" s="168"/>
      <c r="L18" s="91"/>
      <c r="M18" s="92"/>
      <c r="N18" s="168"/>
      <c r="O18" s="89">
        <f t="shared" si="0"/>
        <v>0</v>
      </c>
      <c r="P18" s="90" t="str">
        <f t="shared" si="1"/>
        <v/>
      </c>
      <c r="Q18" s="169" t="str">
        <f t="shared" si="2"/>
        <v/>
      </c>
      <c r="R18" s="6"/>
      <c r="S18" s="6"/>
    </row>
    <row r="19" spans="1:33" s="7" customFormat="1" ht="15" customHeight="1">
      <c r="A19" s="127"/>
      <c r="B19" s="86" t="s">
        <v>10</v>
      </c>
      <c r="C19" s="91"/>
      <c r="D19" s="92"/>
      <c r="E19" s="168"/>
      <c r="F19" s="91"/>
      <c r="G19" s="92"/>
      <c r="H19" s="168"/>
      <c r="I19" s="91"/>
      <c r="J19" s="92"/>
      <c r="K19" s="168"/>
      <c r="L19" s="91"/>
      <c r="M19" s="92"/>
      <c r="N19" s="168"/>
      <c r="O19" s="89">
        <f t="shared" si="0"/>
        <v>0</v>
      </c>
      <c r="P19" s="90" t="str">
        <f t="shared" si="1"/>
        <v/>
      </c>
      <c r="Q19" s="169" t="str">
        <f t="shared" si="2"/>
        <v/>
      </c>
      <c r="R19" s="6"/>
      <c r="S19" s="6"/>
    </row>
    <row r="20" spans="1:33" s="7" customFormat="1" ht="15" customHeight="1">
      <c r="A20" s="127"/>
      <c r="B20" s="86" t="s">
        <v>11</v>
      </c>
      <c r="C20" s="91"/>
      <c r="D20" s="92"/>
      <c r="E20" s="168"/>
      <c r="F20" s="91"/>
      <c r="G20" s="92"/>
      <c r="H20" s="168"/>
      <c r="I20" s="91"/>
      <c r="J20" s="92"/>
      <c r="K20" s="168"/>
      <c r="L20" s="91"/>
      <c r="M20" s="92"/>
      <c r="N20" s="168"/>
      <c r="O20" s="89">
        <f t="shared" si="0"/>
        <v>0</v>
      </c>
      <c r="P20" s="90" t="str">
        <f t="shared" si="1"/>
        <v/>
      </c>
      <c r="Q20" s="169" t="str">
        <f t="shared" si="2"/>
        <v/>
      </c>
      <c r="R20" s="6"/>
      <c r="S20" s="6"/>
    </row>
    <row r="21" spans="1:33" s="7" customFormat="1" ht="15" customHeight="1">
      <c r="A21" s="127"/>
      <c r="B21" s="86">
        <v>9</v>
      </c>
      <c r="C21" s="91"/>
      <c r="D21" s="92"/>
      <c r="E21" s="168"/>
      <c r="F21" s="91"/>
      <c r="G21" s="92"/>
      <c r="H21" s="168"/>
      <c r="I21" s="91"/>
      <c r="J21" s="92"/>
      <c r="K21" s="168"/>
      <c r="L21" s="91"/>
      <c r="M21" s="92"/>
      <c r="N21" s="168"/>
      <c r="O21" s="89"/>
      <c r="P21" s="90"/>
      <c r="Q21" s="169"/>
      <c r="R21" s="6"/>
      <c r="S21" s="6"/>
    </row>
    <row r="22" spans="1:33" s="7" customFormat="1" ht="15" customHeight="1">
      <c r="A22" s="127"/>
      <c r="B22" s="86">
        <v>10</v>
      </c>
      <c r="C22" s="91"/>
      <c r="D22" s="92"/>
      <c r="E22" s="168"/>
      <c r="F22" s="91"/>
      <c r="G22" s="92"/>
      <c r="H22" s="168"/>
      <c r="I22" s="91"/>
      <c r="J22" s="92"/>
      <c r="K22" s="168"/>
      <c r="L22" s="91"/>
      <c r="M22" s="92"/>
      <c r="N22" s="168"/>
      <c r="O22" s="89"/>
      <c r="P22" s="90"/>
      <c r="Q22" s="169"/>
      <c r="R22" s="6"/>
      <c r="S22" s="6"/>
    </row>
    <row r="23" spans="1:33" s="7" customFormat="1" ht="15" customHeight="1">
      <c r="A23" s="127"/>
      <c r="B23" s="86">
        <v>11</v>
      </c>
      <c r="C23" s="91"/>
      <c r="D23" s="92"/>
      <c r="E23" s="168"/>
      <c r="F23" s="91"/>
      <c r="G23" s="92"/>
      <c r="H23" s="168"/>
      <c r="I23" s="91"/>
      <c r="J23" s="92"/>
      <c r="K23" s="168"/>
      <c r="L23" s="91"/>
      <c r="M23" s="92"/>
      <c r="N23" s="168"/>
      <c r="O23" s="89"/>
      <c r="P23" s="90"/>
      <c r="Q23" s="169"/>
      <c r="R23" s="6"/>
      <c r="S23" s="6"/>
    </row>
    <row r="24" spans="1:33" s="7" customFormat="1" ht="15" customHeight="1" thickBot="1">
      <c r="A24" s="160" t="s">
        <v>12</v>
      </c>
      <c r="B24" s="86" t="s">
        <v>79</v>
      </c>
      <c r="C24" s="91"/>
      <c r="D24" s="92"/>
      <c r="E24" s="168"/>
      <c r="F24" s="91"/>
      <c r="G24" s="92"/>
      <c r="H24" s="168"/>
      <c r="I24" s="91"/>
      <c r="J24" s="92"/>
      <c r="K24" s="168"/>
      <c r="L24" s="91"/>
      <c r="M24" s="92"/>
      <c r="N24" s="168"/>
      <c r="O24" s="89">
        <f>SUM(C24+F24+I24+L24)</f>
        <v>0</v>
      </c>
      <c r="P24" s="90" t="str">
        <f>IF(SUM(D24+G24+J24+M24)&gt;0,(C24*D24+F24*G24+I24*J24+L24*M24)/SUM(C24+F24+I24+L24),"")</f>
        <v/>
      </c>
      <c r="Q24" s="169" t="str">
        <f>IF(SUM(E24,H24,K24,N24)&gt;0,SUM(C24*E24+F24*H24+I24*K24+L24*N24)/SUM(C24+F24+I24+L24),"")</f>
        <v/>
      </c>
      <c r="R24" s="6"/>
      <c r="S24" s="6"/>
    </row>
    <row r="25" spans="1:33" s="7" customFormat="1" ht="15" customHeight="1" thickBot="1">
      <c r="A25" s="5"/>
      <c r="B25" s="136" t="s">
        <v>19</v>
      </c>
      <c r="C25" s="70" t="str">
        <f>IF(SUM(C12:C24)&gt;0,SUM(C12:C24),"na")</f>
        <v>na</v>
      </c>
      <c r="D25" s="23" t="str">
        <f>IF(SUM(D12:D24)&gt;0,SUMPRODUCT(C12:C24,D12:D24)/C25,"na")</f>
        <v>na</v>
      </c>
      <c r="E25" s="171" t="str">
        <f>IF(SUM(E12:E24)&gt;0,SUMPRODUCT(C12:C24,E12:E24)/C25,"na")</f>
        <v>na</v>
      </c>
      <c r="F25" s="70" t="str">
        <f>IF(SUM(F12:F24)&gt;0,SUM(F12:F24),"na")</f>
        <v>na</v>
      </c>
      <c r="G25" s="23" t="str">
        <f>IF(SUM(G12:G24)&gt;0,SUMPRODUCT(F12:F24,G12:G24)/F25,"na")</f>
        <v>na</v>
      </c>
      <c r="H25" s="24" t="str">
        <f>IF(SUM(H12:H24)&gt;0,SUMPRODUCT(F12:F24,H12:H24)/F25,"na")</f>
        <v>na</v>
      </c>
      <c r="I25" s="70" t="str">
        <f>IF(SUM(I12:I24)&gt;0,SUM(I12:I24),"na")</f>
        <v>na</v>
      </c>
      <c r="J25" s="23" t="str">
        <f>IF(SUM(J12:J24)&gt;0,SUMPRODUCT(I12:I24,J12:J24)/I25,"na")</f>
        <v>na</v>
      </c>
      <c r="K25" s="171" t="str">
        <f>IF(SUM(K12:K24)&gt;0,SUMPRODUCT(I12:I24,K12:K24)/I25,"na")</f>
        <v>na</v>
      </c>
      <c r="L25" s="70" t="str">
        <f>IF(SUM(L12:L24)&gt;0,SUM(L12:L24),"na")</f>
        <v>na</v>
      </c>
      <c r="M25" s="23" t="str">
        <f>IF(SUM(M12:M24)&gt;0,SUMPRODUCT(L12:L24,M12:M24)/L25,"na")</f>
        <v>na</v>
      </c>
      <c r="N25" s="24" t="str">
        <f>IF(SUM(N12:N24)&gt;0,SUMPRODUCT(L12:L24,N12:N24)/L25,"na")</f>
        <v>na</v>
      </c>
      <c r="O25" s="70" t="str">
        <f>IF(SUM(O12:O24)&gt;0,SUM(O12:O24),"na")</f>
        <v>na</v>
      </c>
      <c r="P25" s="23" t="str">
        <f>IF(SUM(P12:P24)&gt;0,SUMPRODUCT(O12:O24,P12:P24)/O25,"na")</f>
        <v>na</v>
      </c>
      <c r="Q25" s="25" t="str">
        <f>IF(SUM(Q12:Q24)&gt;0,SUMPRODUCT(O12:O24,Q12:Q24)/O25,"na")</f>
        <v>na</v>
      </c>
      <c r="R25" s="6"/>
      <c r="S25" s="6"/>
    </row>
    <row r="26" spans="1:33" s="102" customFormat="1" ht="6.75" customHeight="1" thickBot="1">
      <c r="A26" s="4"/>
      <c r="B26" s="4"/>
      <c r="C26" s="106"/>
      <c r="D26" s="107"/>
      <c r="E26" s="108"/>
      <c r="F26" s="114"/>
      <c r="G26" s="115"/>
      <c r="H26" s="108"/>
      <c r="I26" s="114"/>
      <c r="J26" s="115"/>
      <c r="K26" s="108"/>
      <c r="L26" s="114"/>
      <c r="M26" s="115"/>
      <c r="N26" s="108"/>
      <c r="O26" s="114"/>
      <c r="P26" s="116"/>
      <c r="Q26" s="117"/>
      <c r="R26" s="38"/>
      <c r="S26" s="38"/>
    </row>
    <row r="27" spans="1:33" s="7" customFormat="1" ht="13.5" customHeight="1">
      <c r="A27" s="4"/>
      <c r="B27" s="4"/>
      <c r="C27" s="109" t="s">
        <v>134</v>
      </c>
      <c r="D27" s="164"/>
      <c r="E27" s="110" t="s">
        <v>20</v>
      </c>
      <c r="F27" s="109" t="s">
        <v>134</v>
      </c>
      <c r="G27" s="164"/>
      <c r="H27" s="110" t="s">
        <v>20</v>
      </c>
      <c r="I27" s="109" t="s">
        <v>134</v>
      </c>
      <c r="J27" s="164"/>
      <c r="K27" s="110" t="s">
        <v>20</v>
      </c>
      <c r="L27" s="109" t="s">
        <v>134</v>
      </c>
      <c r="M27" s="164"/>
      <c r="N27" s="110" t="s">
        <v>20</v>
      </c>
      <c r="O27" s="109" t="s">
        <v>134</v>
      </c>
      <c r="P27" s="93">
        <f>SUM(M27,J27,G27,D27)</f>
        <v>0</v>
      </c>
      <c r="Q27" s="110" t="s">
        <v>20</v>
      </c>
      <c r="R27" s="6"/>
      <c r="S27" s="6"/>
    </row>
    <row r="28" spans="1:33" s="7" customFormat="1" ht="13.5" customHeight="1">
      <c r="A28" s="8"/>
      <c r="B28" s="4"/>
      <c r="C28" s="109" t="s">
        <v>21</v>
      </c>
      <c r="D28" s="94" t="str">
        <f>IF(SUM(E12:E24)&gt;0,(C25*E25),"na")</f>
        <v>na</v>
      </c>
      <c r="E28" s="110" t="s">
        <v>20</v>
      </c>
      <c r="F28" s="109" t="s">
        <v>21</v>
      </c>
      <c r="G28" s="94" t="str">
        <f>IF(SUM(H12:H24)&gt;0,(F25*H25),"na")</f>
        <v>na</v>
      </c>
      <c r="H28" s="110" t="s">
        <v>20</v>
      </c>
      <c r="I28" s="109" t="s">
        <v>21</v>
      </c>
      <c r="J28" s="94" t="str">
        <f>IF(SUM(K12:K24)&gt;0,(I25*K25),"na")</f>
        <v>na</v>
      </c>
      <c r="K28" s="110" t="s">
        <v>20</v>
      </c>
      <c r="L28" s="109" t="s">
        <v>21</v>
      </c>
      <c r="M28" s="94" t="str">
        <f>IF(SUM(N12:N24)&gt;0,(L25*N25),"na")</f>
        <v>na</v>
      </c>
      <c r="N28" s="110" t="s">
        <v>20</v>
      </c>
      <c r="O28" s="109" t="s">
        <v>21</v>
      </c>
      <c r="P28" s="94" t="str">
        <f>IF(SUM(Q12:Q24)&gt;0,(O25*Q25),"na")</f>
        <v>na</v>
      </c>
      <c r="Q28" s="110" t="s">
        <v>20</v>
      </c>
      <c r="R28" s="6"/>
      <c r="S28" s="6"/>
      <c r="T28" s="255"/>
      <c r="U28" s="255"/>
      <c r="V28" s="255"/>
      <c r="W28" s="255"/>
      <c r="X28" s="255"/>
      <c r="Y28" s="255"/>
      <c r="Z28" s="255"/>
      <c r="AA28" s="255"/>
      <c r="AB28" s="255"/>
      <c r="AC28" s="255"/>
      <c r="AD28" s="255"/>
      <c r="AE28" s="255"/>
      <c r="AF28" s="255"/>
      <c r="AG28" s="255"/>
    </row>
    <row r="29" spans="1:33" s="7" customFormat="1" ht="13.5" customHeight="1" thickBot="1">
      <c r="A29" s="8"/>
      <c r="B29" s="4"/>
      <c r="C29" s="109" t="s">
        <v>21</v>
      </c>
      <c r="D29" s="95" t="str">
        <f>IF(SUM(E12:E24)&gt;0,D28/D27,"na")</f>
        <v>na</v>
      </c>
      <c r="E29" s="111" t="s">
        <v>22</v>
      </c>
      <c r="F29" s="109" t="s">
        <v>21</v>
      </c>
      <c r="G29" s="95" t="str">
        <f>IF(SUM(H12:H24)&gt;0,G28/G27,"na")</f>
        <v>na</v>
      </c>
      <c r="H29" s="111" t="s">
        <v>22</v>
      </c>
      <c r="I29" s="109" t="s">
        <v>21</v>
      </c>
      <c r="J29" s="95" t="str">
        <f>IF(SUM(K12:K24)&gt;0,J28/J27,"na")</f>
        <v>na</v>
      </c>
      <c r="K29" s="111" t="s">
        <v>22</v>
      </c>
      <c r="L29" s="109" t="s">
        <v>21</v>
      </c>
      <c r="M29" s="95" t="str">
        <f>IF(SUM(N12:N24)&gt;0,M28/M27,"na")</f>
        <v>na</v>
      </c>
      <c r="N29" s="111" t="s">
        <v>22</v>
      </c>
      <c r="O29" s="109" t="s">
        <v>21</v>
      </c>
      <c r="P29" s="95" t="str">
        <f>IF(SUM(Q12:Q24)&gt;0,P28/P27,"na")</f>
        <v>na</v>
      </c>
      <c r="Q29" s="111" t="s">
        <v>22</v>
      </c>
      <c r="R29" s="6"/>
      <c r="S29" s="6"/>
      <c r="T29" s="255"/>
      <c r="U29" s="255"/>
      <c r="V29" s="255"/>
      <c r="W29" s="255"/>
      <c r="X29" s="255"/>
      <c r="Y29" s="255"/>
      <c r="Z29" s="255"/>
      <c r="AA29" s="255"/>
      <c r="AB29" s="255"/>
      <c r="AC29" s="255"/>
      <c r="AD29" s="255"/>
      <c r="AE29" s="255"/>
      <c r="AF29" s="255"/>
      <c r="AG29" s="255"/>
    </row>
    <row r="30" spans="1:33" s="6" customFormat="1" ht="6" customHeight="1" thickBot="1">
      <c r="A30" s="8"/>
      <c r="B30" s="4"/>
      <c r="C30" s="112"/>
      <c r="D30" s="35"/>
      <c r="E30" s="111"/>
      <c r="F30" s="112"/>
      <c r="G30" s="35"/>
      <c r="H30" s="111"/>
      <c r="I30" s="112"/>
      <c r="J30" s="35"/>
      <c r="K30" s="111"/>
      <c r="L30" s="112"/>
      <c r="M30" s="35"/>
      <c r="N30" s="111"/>
      <c r="O30" s="112"/>
      <c r="P30" s="35"/>
      <c r="Q30" s="111"/>
      <c r="T30" s="255"/>
      <c r="U30" s="255"/>
      <c r="V30" s="255"/>
      <c r="W30" s="255"/>
      <c r="X30" s="255"/>
      <c r="Y30" s="255"/>
      <c r="Z30" s="255"/>
      <c r="AA30" s="255"/>
      <c r="AB30" s="255"/>
      <c r="AC30" s="255"/>
      <c r="AD30" s="255"/>
      <c r="AE30" s="255"/>
      <c r="AF30" s="255"/>
      <c r="AG30" s="255"/>
    </row>
    <row r="31" spans="1:33" s="6" customFormat="1" ht="13.5" customHeight="1" thickBot="1">
      <c r="A31" s="8"/>
      <c r="B31" s="4"/>
      <c r="C31" s="109" t="s">
        <v>23</v>
      </c>
      <c r="D31" s="165"/>
      <c r="E31" s="111" t="s">
        <v>24</v>
      </c>
      <c r="F31" s="109" t="s">
        <v>23</v>
      </c>
      <c r="G31" s="165"/>
      <c r="H31" s="111" t="s">
        <v>24</v>
      </c>
      <c r="I31" s="109" t="s">
        <v>23</v>
      </c>
      <c r="J31" s="165"/>
      <c r="K31" s="111" t="s">
        <v>24</v>
      </c>
      <c r="L31" s="109" t="s">
        <v>23</v>
      </c>
      <c r="M31" s="166"/>
      <c r="N31" s="111" t="s">
        <v>24</v>
      </c>
      <c r="O31" s="109" t="s">
        <v>23</v>
      </c>
      <c r="P31" s="96"/>
      <c r="Q31" s="111" t="s">
        <v>24</v>
      </c>
      <c r="T31" s="255"/>
      <c r="U31" s="255"/>
      <c r="V31" s="255"/>
      <c r="W31" s="255"/>
      <c r="X31" s="255"/>
      <c r="Y31" s="255"/>
      <c r="Z31" s="255"/>
      <c r="AA31" s="255"/>
      <c r="AB31" s="255"/>
      <c r="AC31" s="255"/>
      <c r="AD31" s="255"/>
      <c r="AE31" s="255"/>
      <c r="AF31" s="255"/>
      <c r="AG31" s="255"/>
    </row>
    <row r="32" spans="1:33" s="7" customFormat="1" ht="14.25" customHeight="1" thickBot="1">
      <c r="A32" s="8"/>
      <c r="B32" s="9"/>
      <c r="C32" s="113"/>
      <c r="D32" s="104"/>
      <c r="E32" s="105"/>
      <c r="F32" s="113"/>
      <c r="G32" s="104"/>
      <c r="H32" s="105"/>
      <c r="I32" s="113"/>
      <c r="J32" s="104"/>
      <c r="K32" s="105"/>
      <c r="L32" s="113"/>
      <c r="M32" s="104"/>
      <c r="N32" s="105"/>
      <c r="O32" s="113"/>
      <c r="P32" s="104"/>
      <c r="Q32" s="105"/>
      <c r="R32" s="6"/>
      <c r="S32" s="6"/>
      <c r="T32" s="255"/>
      <c r="U32" s="255"/>
      <c r="V32" s="255"/>
      <c r="W32" s="255"/>
      <c r="X32" s="255"/>
      <c r="Y32" s="255"/>
      <c r="Z32" s="255"/>
      <c r="AA32" s="255"/>
      <c r="AB32" s="255"/>
      <c r="AC32" s="255"/>
      <c r="AD32" s="255"/>
      <c r="AE32" s="255"/>
      <c r="AF32" s="255"/>
      <c r="AG32" s="255"/>
    </row>
    <row r="33" spans="1:22" s="7" customFormat="1">
      <c r="A33" s="8"/>
      <c r="B33" s="9"/>
      <c r="C33" s="6"/>
      <c r="D33" s="6"/>
      <c r="E33" s="6"/>
      <c r="F33" s="6"/>
      <c r="G33" s="6"/>
      <c r="H33" s="6"/>
      <c r="I33" s="6"/>
      <c r="J33" s="6"/>
      <c r="K33" s="6"/>
      <c r="L33" s="6"/>
      <c r="M33" s="6"/>
      <c r="N33" s="6"/>
      <c r="O33" s="6"/>
      <c r="P33" s="6"/>
      <c r="Q33" s="6"/>
      <c r="R33" s="6"/>
      <c r="S33" s="6"/>
      <c r="T33" s="255"/>
      <c r="U33" s="255"/>
      <c r="V33" s="255"/>
    </row>
    <row r="34" spans="1:22">
      <c r="T34" s="178"/>
      <c r="U34" s="178"/>
      <c r="V34" s="178"/>
    </row>
  </sheetData>
  <sheetProtection scenarios="1"/>
  <mergeCells count="3">
    <mergeCell ref="I4:K4"/>
    <mergeCell ref="I6:K6"/>
    <mergeCell ref="C8:D8"/>
  </mergeCells>
  <conditionalFormatting sqref="A2:R3 A5:R5 A4:I4 L4:R4 A6:I6 L6:R6 A7:R34 H1:R1">
    <cfRule type="expression" dxfId="6" priority="1" stopIfTrue="1">
      <formula>CELL("Protect",A1)=1</formula>
    </cfRule>
  </conditionalFormatting>
  <dataValidations count="1">
    <dataValidation type="decimal" errorStyle="warning" allowBlank="1" showInputMessage="1" showErrorMessage="1" errorTitle="Please Check!" error="Confirm that the value you have entered is correct" sqref="N12:N24 H12:H24 K12:K24 E12:E24" xr:uid="{DA8F2A94-2A0F-4506-A7B9-EAAAF35123B8}">
      <formula1>0.06</formula1>
      <formula2>1.5</formula2>
    </dataValidation>
  </dataValidation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0A5300-7BA1-40CD-8A2F-BAA5A5378BCE}">
  <sheetPr codeName="Sheet14">
    <tabColor theme="9" tint="0.59999389629810485"/>
  </sheetPr>
  <dimension ref="A1:AG34"/>
  <sheetViews>
    <sheetView zoomScale="90" zoomScaleNormal="90" workbookViewId="0"/>
  </sheetViews>
  <sheetFormatPr defaultColWidth="11.5703125" defaultRowHeight="12.75"/>
  <cols>
    <col min="1" max="1" width="9.140625" style="2" customWidth="1"/>
    <col min="2" max="2" width="7.28515625" style="1" customWidth="1"/>
    <col min="3" max="3" width="17.140625" bestFit="1" customWidth="1"/>
    <col min="4" max="5" width="9.42578125" customWidth="1"/>
    <col min="6" max="6" width="16" bestFit="1" customWidth="1"/>
    <col min="7" max="8" width="9.42578125" customWidth="1"/>
    <col min="9" max="9" width="17" customWidth="1"/>
    <col min="10" max="11" width="9.42578125" customWidth="1"/>
    <col min="12" max="12" width="16" bestFit="1" customWidth="1"/>
    <col min="13" max="14" width="9.42578125" customWidth="1"/>
    <col min="15" max="15" width="16.85546875" customWidth="1"/>
    <col min="16" max="17" width="9.42578125" customWidth="1"/>
    <col min="18" max="20" width="8.140625" customWidth="1"/>
  </cols>
  <sheetData>
    <row r="1" spans="1:22" s="7" customFormat="1" ht="19.5" customHeight="1">
      <c r="A1" s="343" t="s">
        <v>53</v>
      </c>
      <c r="B1" s="342"/>
      <c r="C1" s="342"/>
      <c r="D1" s="342"/>
      <c r="E1" s="342"/>
      <c r="F1" s="342"/>
      <c r="G1" s="342"/>
      <c r="H1" s="80" t="s">
        <v>120</v>
      </c>
      <c r="I1" s="6"/>
      <c r="J1" s="6"/>
      <c r="K1" s="6"/>
      <c r="L1" s="6"/>
      <c r="M1" s="6"/>
      <c r="N1" s="6"/>
      <c r="O1" s="6"/>
      <c r="P1" s="6"/>
      <c r="Q1" s="6"/>
      <c r="R1" s="6"/>
      <c r="S1" s="6"/>
      <c r="T1" s="255"/>
      <c r="U1" s="255"/>
      <c r="V1" s="255"/>
    </row>
    <row r="2" spans="1:22" s="7" customFormat="1" ht="19.5" customHeight="1">
      <c r="A2" s="261" t="s">
        <v>112</v>
      </c>
      <c r="B2" s="9"/>
      <c r="C2" s="6"/>
      <c r="D2" s="6"/>
      <c r="E2" s="6"/>
      <c r="F2" s="6"/>
      <c r="G2" s="6"/>
      <c r="H2" s="81"/>
      <c r="I2" s="6"/>
      <c r="J2" s="6"/>
      <c r="K2" s="6"/>
      <c r="L2" s="6"/>
      <c r="M2" s="6"/>
      <c r="N2" s="6"/>
      <c r="O2" s="6"/>
      <c r="P2" s="6"/>
      <c r="Q2" s="6"/>
      <c r="R2" s="6"/>
      <c r="S2" s="6"/>
      <c r="T2" s="255"/>
      <c r="U2" s="255"/>
      <c r="V2" s="255"/>
    </row>
    <row r="3" spans="1:22" s="7" customFormat="1" ht="13.5" customHeight="1" thickBot="1">
      <c r="A3" s="75"/>
      <c r="B3" s="9"/>
      <c r="C3" s="6"/>
      <c r="D3" s="6"/>
      <c r="E3" s="6"/>
      <c r="F3" s="6"/>
      <c r="G3" s="6"/>
      <c r="H3" s="76"/>
      <c r="I3" s="6"/>
      <c r="J3" s="6"/>
      <c r="K3" s="6"/>
      <c r="L3" s="6"/>
      <c r="M3" s="82"/>
      <c r="N3" s="82"/>
      <c r="O3" s="6"/>
      <c r="P3" s="82"/>
      <c r="Q3" s="82"/>
      <c r="R3" s="82"/>
      <c r="S3" s="82"/>
      <c r="T3" s="256"/>
      <c r="U3" s="255"/>
      <c r="V3" s="255"/>
    </row>
    <row r="4" spans="1:22" s="7" customFormat="1" ht="19.5" customHeight="1">
      <c r="A4" s="8"/>
      <c r="B4" s="259" t="s">
        <v>106</v>
      </c>
      <c r="C4" s="122" t="str">
        <f>'START HERE'!F6</f>
        <v>EU</v>
      </c>
      <c r="D4" s="137"/>
      <c r="E4" s="21"/>
      <c r="F4" s="6"/>
      <c r="G4" s="6"/>
      <c r="H4" s="173" t="s">
        <v>38</v>
      </c>
      <c r="I4" s="397" t="str">
        <f>'LEN F3'!F3</f>
        <v>Fleet 3 Peru &amp; Equador</v>
      </c>
      <c r="J4" s="398"/>
      <c r="K4" s="399"/>
      <c r="L4" s="6"/>
      <c r="M4" s="82"/>
      <c r="N4" s="82"/>
      <c r="O4" s="6"/>
      <c r="P4" s="82"/>
      <c r="Q4" s="82"/>
      <c r="R4" s="82"/>
      <c r="S4" s="82"/>
      <c r="T4" s="256"/>
      <c r="U4" s="255"/>
      <c r="V4" s="255"/>
    </row>
    <row r="5" spans="1:22" s="7" customFormat="1" ht="19.5" customHeight="1">
      <c r="A5" s="8"/>
      <c r="B5" s="13" t="s">
        <v>0</v>
      </c>
      <c r="C5" s="123" t="str">
        <f>'START HERE'!F5</f>
        <v>Jack mackerel</v>
      </c>
      <c r="D5" s="139"/>
      <c r="E5" s="22"/>
      <c r="F5" s="138"/>
      <c r="G5" s="138"/>
      <c r="H5" s="13"/>
      <c r="I5" s="321"/>
      <c r="J5" s="322"/>
      <c r="K5" s="323"/>
      <c r="L5" s="6"/>
      <c r="M5" s="82"/>
      <c r="N5" s="82"/>
      <c r="O5" s="6"/>
      <c r="P5" s="82"/>
      <c r="Q5" s="82"/>
      <c r="R5" s="82"/>
      <c r="S5" s="82"/>
      <c r="T5" s="256"/>
      <c r="U5" s="255"/>
      <c r="V5" s="255"/>
    </row>
    <row r="6" spans="1:22" s="7" customFormat="1" ht="18.75" customHeight="1" thickBot="1">
      <c r="A6" s="8"/>
      <c r="B6" s="13" t="s">
        <v>1</v>
      </c>
      <c r="C6" s="119">
        <f>'START HERE'!$K$3</f>
        <v>2010</v>
      </c>
      <c r="D6" s="120"/>
      <c r="E6" s="121"/>
      <c r="F6" s="6"/>
      <c r="G6" s="6"/>
      <c r="H6" s="13" t="s">
        <v>14</v>
      </c>
      <c r="I6" s="400" t="str">
        <f>'START HERE'!$F8</f>
        <v>13/6/2022</v>
      </c>
      <c r="J6" s="401"/>
      <c r="K6" s="402"/>
      <c r="L6" s="6"/>
      <c r="M6" s="82"/>
      <c r="N6" s="82"/>
      <c r="O6" s="6"/>
      <c r="P6" s="82"/>
      <c r="Q6" s="82"/>
      <c r="R6" s="82"/>
      <c r="S6" s="82"/>
      <c r="T6" s="256"/>
      <c r="U6" s="255"/>
      <c r="V6" s="255"/>
    </row>
    <row r="7" spans="1:22" s="7" customFormat="1" ht="13.5" customHeight="1" thickBot="1">
      <c r="A7" s="8"/>
      <c r="B7" s="9"/>
      <c r="C7" s="6"/>
      <c r="D7" s="6"/>
      <c r="E7" s="6"/>
      <c r="F7" s="6"/>
      <c r="G7" s="6"/>
      <c r="H7" s="6"/>
      <c r="I7" s="6"/>
      <c r="J7" s="6"/>
      <c r="K7" s="6"/>
      <c r="L7" s="6"/>
      <c r="M7" s="6"/>
      <c r="N7" s="6"/>
      <c r="O7" s="6"/>
      <c r="P7" s="6"/>
      <c r="Q7" s="6"/>
      <c r="R7" s="6"/>
      <c r="S7" s="6"/>
      <c r="T7" s="255"/>
      <c r="U7" s="255"/>
      <c r="V7" s="255"/>
    </row>
    <row r="8" spans="1:22" s="77" customFormat="1" ht="18" customHeight="1" thickBot="1">
      <c r="A8" s="100"/>
      <c r="B8" s="101"/>
      <c r="C8" s="395" t="s">
        <v>52</v>
      </c>
      <c r="D8" s="396"/>
      <c r="E8" s="99"/>
      <c r="F8" s="262" t="s">
        <v>30</v>
      </c>
      <c r="G8" s="98"/>
      <c r="H8" s="99"/>
      <c r="I8" s="262" t="s">
        <v>31</v>
      </c>
      <c r="J8" s="98"/>
      <c r="K8" s="99"/>
      <c r="L8" s="262" t="s">
        <v>32</v>
      </c>
      <c r="M8" s="98"/>
      <c r="N8" s="99"/>
      <c r="O8" s="97" t="s">
        <v>41</v>
      </c>
      <c r="P8" s="98"/>
      <c r="Q8" s="99"/>
      <c r="R8" s="103"/>
      <c r="S8" s="103"/>
    </row>
    <row r="9" spans="1:22" s="7" customFormat="1" ht="13.5" customHeight="1" thickBot="1">
      <c r="A9" s="125"/>
      <c r="B9" s="125"/>
      <c r="C9" s="17" t="s">
        <v>2</v>
      </c>
      <c r="D9" s="126" t="s">
        <v>3</v>
      </c>
      <c r="E9" s="16" t="s">
        <v>3</v>
      </c>
      <c r="F9" s="17" t="s">
        <v>2</v>
      </c>
      <c r="G9" s="15" t="s">
        <v>3</v>
      </c>
      <c r="H9" s="16" t="s">
        <v>3</v>
      </c>
      <c r="I9" s="17" t="s">
        <v>2</v>
      </c>
      <c r="J9" s="15" t="s">
        <v>3</v>
      </c>
      <c r="K9" s="16" t="s">
        <v>3</v>
      </c>
      <c r="L9" s="17" t="s">
        <v>2</v>
      </c>
      <c r="M9" s="15" t="s">
        <v>3</v>
      </c>
      <c r="N9" s="16" t="s">
        <v>3</v>
      </c>
      <c r="O9" s="17" t="s">
        <v>2</v>
      </c>
      <c r="P9" s="15" t="s">
        <v>3</v>
      </c>
      <c r="Q9" s="16" t="s">
        <v>3</v>
      </c>
      <c r="R9" s="6"/>
      <c r="S9" s="6"/>
    </row>
    <row r="10" spans="1:22" s="7" customFormat="1" ht="13.5" customHeight="1">
      <c r="A10" s="14"/>
      <c r="B10" s="172" t="s">
        <v>78</v>
      </c>
      <c r="C10" s="20" t="s">
        <v>4</v>
      </c>
      <c r="D10" s="18" t="s">
        <v>40</v>
      </c>
      <c r="E10" s="19" t="s">
        <v>5</v>
      </c>
      <c r="F10" s="20" t="s">
        <v>4</v>
      </c>
      <c r="G10" s="18" t="s">
        <v>40</v>
      </c>
      <c r="H10" s="19" t="s">
        <v>5</v>
      </c>
      <c r="I10" s="20" t="s">
        <v>4</v>
      </c>
      <c r="J10" s="18" t="s">
        <v>40</v>
      </c>
      <c r="K10" s="19" t="s">
        <v>5</v>
      </c>
      <c r="L10" s="20" t="s">
        <v>4</v>
      </c>
      <c r="M10" s="18" t="s">
        <v>40</v>
      </c>
      <c r="N10" s="19" t="s">
        <v>5</v>
      </c>
      <c r="O10" s="20" t="s">
        <v>4</v>
      </c>
      <c r="P10" s="18" t="s">
        <v>40</v>
      </c>
      <c r="Q10" s="19" t="s">
        <v>5</v>
      </c>
      <c r="R10" s="6"/>
      <c r="S10" s="6"/>
    </row>
    <row r="11" spans="1:22" s="7" customFormat="1" ht="15" customHeight="1" thickBot="1">
      <c r="A11" s="124"/>
      <c r="B11" s="84"/>
      <c r="C11" s="85" t="s">
        <v>103</v>
      </c>
      <c r="D11" s="83" t="s">
        <v>42</v>
      </c>
      <c r="E11" s="84" t="s">
        <v>50</v>
      </c>
      <c r="F11" s="85" t="s">
        <v>103</v>
      </c>
      <c r="G11" s="83" t="s">
        <v>42</v>
      </c>
      <c r="H11" s="84" t="s">
        <v>50</v>
      </c>
      <c r="I11" s="85" t="s">
        <v>103</v>
      </c>
      <c r="J11" s="83" t="s">
        <v>42</v>
      </c>
      <c r="K11" s="84" t="s">
        <v>50</v>
      </c>
      <c r="L11" s="85" t="s">
        <v>103</v>
      </c>
      <c r="M11" s="83" t="s">
        <v>42</v>
      </c>
      <c r="N11" s="84" t="s">
        <v>50</v>
      </c>
      <c r="O11" s="85" t="s">
        <v>103</v>
      </c>
      <c r="P11" s="83" t="s">
        <v>42</v>
      </c>
      <c r="Q11" s="84" t="s">
        <v>6</v>
      </c>
      <c r="R11" s="6"/>
      <c r="S11" s="6"/>
    </row>
    <row r="12" spans="1:22" s="7" customFormat="1" ht="15" customHeight="1">
      <c r="A12" s="127"/>
      <c r="B12" s="86" t="s">
        <v>7</v>
      </c>
      <c r="C12" s="87"/>
      <c r="D12" s="88"/>
      <c r="E12" s="167"/>
      <c r="F12" s="87"/>
      <c r="G12" s="88"/>
      <c r="H12" s="167"/>
      <c r="I12" s="87"/>
      <c r="J12" s="88"/>
      <c r="K12" s="167"/>
      <c r="L12" s="87"/>
      <c r="M12" s="88"/>
      <c r="N12" s="167"/>
      <c r="O12" s="89">
        <f t="shared" ref="O12:O20" si="0">SUM(C12+F12+I12+L12)</f>
        <v>0</v>
      </c>
      <c r="P12" s="90" t="str">
        <f t="shared" ref="P12:P20" si="1">IF(SUM(D12+G12+J12+M12)&gt;0,(C12*D12+F12*G12+I12*J12+L12*M12)/SUM(C12+F12+I12+L12),"")</f>
        <v/>
      </c>
      <c r="Q12" s="169" t="str">
        <f t="shared" ref="Q12:Q20" si="2">IF(SUM(E12,H12,K12,N12)&gt;0,SUM(C12*E12+F12*H12+I12*K12+L12*N12)/SUM(C12+F12+I12+L12),"")</f>
        <v/>
      </c>
      <c r="R12" s="6"/>
      <c r="S12" s="6"/>
    </row>
    <row r="13" spans="1:22" s="7" customFormat="1" ht="15" customHeight="1">
      <c r="A13" s="127"/>
      <c r="B13" s="86" t="s">
        <v>43</v>
      </c>
      <c r="C13" s="91"/>
      <c r="D13" s="92"/>
      <c r="E13" s="168"/>
      <c r="F13" s="91"/>
      <c r="G13" s="92"/>
      <c r="H13" s="168"/>
      <c r="I13" s="91"/>
      <c r="J13" s="92"/>
      <c r="K13" s="168"/>
      <c r="L13" s="91"/>
      <c r="M13" s="92"/>
      <c r="N13" s="168"/>
      <c r="O13" s="89">
        <f t="shared" si="0"/>
        <v>0</v>
      </c>
      <c r="P13" s="90" t="str">
        <f t="shared" si="1"/>
        <v/>
      </c>
      <c r="Q13" s="169" t="str">
        <f t="shared" si="2"/>
        <v/>
      </c>
      <c r="R13" s="6"/>
      <c r="S13" s="6"/>
    </row>
    <row r="14" spans="1:22" s="7" customFormat="1" ht="15" customHeight="1">
      <c r="A14" s="127"/>
      <c r="B14" s="86" t="s">
        <v>44</v>
      </c>
      <c r="C14" s="91"/>
      <c r="D14" s="92"/>
      <c r="E14" s="168"/>
      <c r="F14" s="91"/>
      <c r="G14" s="92"/>
      <c r="H14" s="168"/>
      <c r="I14" s="91"/>
      <c r="J14" s="92"/>
      <c r="K14" s="168"/>
      <c r="L14" s="91"/>
      <c r="M14" s="92"/>
      <c r="N14" s="168"/>
      <c r="O14" s="89">
        <f t="shared" si="0"/>
        <v>0</v>
      </c>
      <c r="P14" s="90" t="str">
        <f t="shared" si="1"/>
        <v/>
      </c>
      <c r="Q14" s="169" t="str">
        <f t="shared" si="2"/>
        <v/>
      </c>
      <c r="R14" s="6"/>
      <c r="S14" s="6"/>
    </row>
    <row r="15" spans="1:22" s="7" customFormat="1" ht="15" customHeight="1">
      <c r="A15" s="127"/>
      <c r="B15" s="86" t="s">
        <v>45</v>
      </c>
      <c r="C15" s="91"/>
      <c r="D15" s="92"/>
      <c r="E15" s="168"/>
      <c r="F15" s="91"/>
      <c r="G15" s="92"/>
      <c r="H15" s="168"/>
      <c r="I15" s="91"/>
      <c r="J15" s="92"/>
      <c r="K15" s="168"/>
      <c r="L15" s="91"/>
      <c r="M15" s="92"/>
      <c r="N15" s="168"/>
      <c r="O15" s="89">
        <f t="shared" si="0"/>
        <v>0</v>
      </c>
      <c r="P15" s="90" t="str">
        <f t="shared" si="1"/>
        <v/>
      </c>
      <c r="Q15" s="169" t="str">
        <f t="shared" si="2"/>
        <v/>
      </c>
      <c r="R15" s="6"/>
      <c r="S15" s="6"/>
    </row>
    <row r="16" spans="1:22" s="7" customFormat="1" ht="15" customHeight="1">
      <c r="A16" s="127"/>
      <c r="B16" s="86" t="s">
        <v>46</v>
      </c>
      <c r="C16" s="91"/>
      <c r="D16" s="92"/>
      <c r="E16" s="168"/>
      <c r="F16" s="91"/>
      <c r="G16" s="92"/>
      <c r="H16" s="168"/>
      <c r="I16" s="91"/>
      <c r="J16" s="92"/>
      <c r="K16" s="168"/>
      <c r="L16" s="91"/>
      <c r="M16" s="92"/>
      <c r="N16" s="168"/>
      <c r="O16" s="89">
        <f t="shared" si="0"/>
        <v>0</v>
      </c>
      <c r="P16" s="90" t="str">
        <f t="shared" si="1"/>
        <v/>
      </c>
      <c r="Q16" s="169" t="str">
        <f t="shared" si="2"/>
        <v/>
      </c>
      <c r="R16" s="6"/>
      <c r="S16" s="6"/>
    </row>
    <row r="17" spans="1:33" s="7" customFormat="1" ht="15" customHeight="1">
      <c r="A17" s="127"/>
      <c r="B17" s="86" t="s">
        <v>8</v>
      </c>
      <c r="C17" s="91"/>
      <c r="D17" s="92"/>
      <c r="E17" s="168"/>
      <c r="F17" s="91"/>
      <c r="G17" s="92"/>
      <c r="H17" s="168"/>
      <c r="I17" s="91"/>
      <c r="J17" s="92"/>
      <c r="K17" s="168"/>
      <c r="L17" s="91"/>
      <c r="M17" s="92"/>
      <c r="N17" s="168"/>
      <c r="O17" s="89">
        <f t="shared" si="0"/>
        <v>0</v>
      </c>
      <c r="P17" s="90" t="str">
        <f t="shared" si="1"/>
        <v/>
      </c>
      <c r="Q17" s="169" t="str">
        <f t="shared" si="2"/>
        <v/>
      </c>
      <c r="R17" s="6"/>
      <c r="S17" s="6"/>
    </row>
    <row r="18" spans="1:33" s="7" customFormat="1" ht="15" customHeight="1">
      <c r="A18" s="127"/>
      <c r="B18" s="86" t="s">
        <v>9</v>
      </c>
      <c r="C18" s="91"/>
      <c r="D18" s="92"/>
      <c r="E18" s="168"/>
      <c r="F18" s="91"/>
      <c r="G18" s="92"/>
      <c r="H18" s="168"/>
      <c r="I18" s="91"/>
      <c r="J18" s="92"/>
      <c r="K18" s="168"/>
      <c r="L18" s="91"/>
      <c r="M18" s="92"/>
      <c r="N18" s="168"/>
      <c r="O18" s="89">
        <f t="shared" si="0"/>
        <v>0</v>
      </c>
      <c r="P18" s="90" t="str">
        <f t="shared" si="1"/>
        <v/>
      </c>
      <c r="Q18" s="169" t="str">
        <f t="shared" si="2"/>
        <v/>
      </c>
      <c r="R18" s="6"/>
      <c r="S18" s="6"/>
    </row>
    <row r="19" spans="1:33" s="7" customFormat="1" ht="15" customHeight="1">
      <c r="A19" s="127"/>
      <c r="B19" s="86" t="s">
        <v>10</v>
      </c>
      <c r="C19" s="91"/>
      <c r="D19" s="92"/>
      <c r="E19" s="168"/>
      <c r="F19" s="91"/>
      <c r="G19" s="92"/>
      <c r="H19" s="168"/>
      <c r="I19" s="91"/>
      <c r="J19" s="92"/>
      <c r="K19" s="168"/>
      <c r="L19" s="91"/>
      <c r="M19" s="92"/>
      <c r="N19" s="168"/>
      <c r="O19" s="89">
        <f t="shared" si="0"/>
        <v>0</v>
      </c>
      <c r="P19" s="90" t="str">
        <f t="shared" si="1"/>
        <v/>
      </c>
      <c r="Q19" s="169" t="str">
        <f t="shared" si="2"/>
        <v/>
      </c>
      <c r="R19" s="6"/>
      <c r="S19" s="6"/>
    </row>
    <row r="20" spans="1:33" s="7" customFormat="1" ht="15" customHeight="1">
      <c r="A20" s="127"/>
      <c r="B20" s="86" t="s">
        <v>11</v>
      </c>
      <c r="C20" s="91"/>
      <c r="D20" s="92"/>
      <c r="E20" s="168"/>
      <c r="F20" s="91"/>
      <c r="G20" s="92"/>
      <c r="H20" s="168"/>
      <c r="I20" s="91"/>
      <c r="J20" s="92"/>
      <c r="K20" s="168"/>
      <c r="L20" s="91"/>
      <c r="M20" s="92"/>
      <c r="N20" s="168"/>
      <c r="O20" s="89">
        <f t="shared" si="0"/>
        <v>0</v>
      </c>
      <c r="P20" s="90" t="str">
        <f t="shared" si="1"/>
        <v/>
      </c>
      <c r="Q20" s="169" t="str">
        <f t="shared" si="2"/>
        <v/>
      </c>
      <c r="R20" s="6"/>
      <c r="S20" s="6"/>
    </row>
    <row r="21" spans="1:33" s="7" customFormat="1" ht="15" customHeight="1">
      <c r="A21" s="127"/>
      <c r="B21" s="86">
        <v>9</v>
      </c>
      <c r="C21" s="91"/>
      <c r="D21" s="92"/>
      <c r="E21" s="168"/>
      <c r="F21" s="91"/>
      <c r="G21" s="92"/>
      <c r="H21" s="168"/>
      <c r="I21" s="91"/>
      <c r="J21" s="92"/>
      <c r="K21" s="168"/>
      <c r="L21" s="91"/>
      <c r="M21" s="92"/>
      <c r="N21" s="168"/>
      <c r="O21" s="89"/>
      <c r="P21" s="90"/>
      <c r="Q21" s="169"/>
      <c r="R21" s="6"/>
      <c r="S21" s="6"/>
    </row>
    <row r="22" spans="1:33" s="7" customFormat="1" ht="15" customHeight="1">
      <c r="A22" s="127"/>
      <c r="B22" s="86">
        <v>10</v>
      </c>
      <c r="C22" s="91"/>
      <c r="D22" s="92"/>
      <c r="E22" s="168"/>
      <c r="F22" s="91"/>
      <c r="G22" s="92"/>
      <c r="H22" s="168"/>
      <c r="I22" s="91"/>
      <c r="J22" s="92"/>
      <c r="K22" s="168"/>
      <c r="L22" s="91"/>
      <c r="M22" s="92"/>
      <c r="N22" s="168"/>
      <c r="O22" s="89"/>
      <c r="P22" s="90"/>
      <c r="Q22" s="169"/>
      <c r="R22" s="6"/>
      <c r="S22" s="6"/>
    </row>
    <row r="23" spans="1:33" s="7" customFormat="1" ht="15" customHeight="1">
      <c r="A23" s="127"/>
      <c r="B23" s="86">
        <v>11</v>
      </c>
      <c r="C23" s="91"/>
      <c r="D23" s="92"/>
      <c r="E23" s="168"/>
      <c r="F23" s="91"/>
      <c r="G23" s="92"/>
      <c r="H23" s="168"/>
      <c r="I23" s="91"/>
      <c r="J23" s="92"/>
      <c r="K23" s="168"/>
      <c r="L23" s="91"/>
      <c r="M23" s="92"/>
      <c r="N23" s="168"/>
      <c r="O23" s="89"/>
      <c r="P23" s="90"/>
      <c r="Q23" s="169"/>
      <c r="R23" s="6"/>
      <c r="S23" s="6"/>
    </row>
    <row r="24" spans="1:33" s="7" customFormat="1" ht="15" customHeight="1" thickBot="1">
      <c r="A24" s="160" t="s">
        <v>12</v>
      </c>
      <c r="B24" s="86" t="s">
        <v>79</v>
      </c>
      <c r="C24" s="91"/>
      <c r="D24" s="92"/>
      <c r="E24" s="168"/>
      <c r="F24" s="91"/>
      <c r="G24" s="92"/>
      <c r="H24" s="168"/>
      <c r="I24" s="91"/>
      <c r="J24" s="92"/>
      <c r="K24" s="168"/>
      <c r="L24" s="91"/>
      <c r="M24" s="92"/>
      <c r="N24" s="168"/>
      <c r="O24" s="89">
        <f>SUM(C24+F24+I24+L24)</f>
        <v>0</v>
      </c>
      <c r="P24" s="90" t="str">
        <f>IF(SUM(D24+G24+J24+M24)&gt;0,(C24*D24+F24*G24+I24*J24+L24*M24)/SUM(C24+F24+I24+L24),"")</f>
        <v/>
      </c>
      <c r="Q24" s="169" t="str">
        <f>IF(SUM(E24,H24,K24,N24)&gt;0,SUM(C24*E24+F24*H24+I24*K24+L24*N24)/SUM(C24+F24+I24+L24),"")</f>
        <v/>
      </c>
      <c r="R24" s="6"/>
      <c r="S24" s="6"/>
    </row>
    <row r="25" spans="1:33" s="7" customFormat="1" ht="15" customHeight="1" thickBot="1">
      <c r="A25" s="5"/>
      <c r="B25" s="136" t="s">
        <v>19</v>
      </c>
      <c r="C25" s="70" t="str">
        <f>IF(SUM(C12:C24)&gt;0,SUM(C12:C24),"na")</f>
        <v>na</v>
      </c>
      <c r="D25" s="23" t="str">
        <f>IF(SUM(D12:D24)&gt;0,SUMPRODUCT(C12:C24,D12:D24)/C25,"na")</f>
        <v>na</v>
      </c>
      <c r="E25" s="171" t="str">
        <f>IF(SUM(E12:E24)&gt;0,SUMPRODUCT(C12:C24,E12:E24)/C25,"na")</f>
        <v>na</v>
      </c>
      <c r="F25" s="70" t="str">
        <f>IF(SUM(F12:F24)&gt;0,SUM(F12:F24),"na")</f>
        <v>na</v>
      </c>
      <c r="G25" s="23" t="str">
        <f>IF(SUM(G12:G24)&gt;0,SUMPRODUCT(F12:F24,G12:G24)/F25,"na")</f>
        <v>na</v>
      </c>
      <c r="H25" s="24" t="str">
        <f>IF(SUM(H12:H24)&gt;0,SUMPRODUCT(F12:F24,H12:H24)/F25,"na")</f>
        <v>na</v>
      </c>
      <c r="I25" s="70" t="str">
        <f>IF(SUM(I12:I24)&gt;0,SUM(I12:I24),"na")</f>
        <v>na</v>
      </c>
      <c r="J25" s="23" t="str">
        <f>IF(SUM(J12:J24)&gt;0,SUMPRODUCT(I12:I24,J12:J24)/I25,"na")</f>
        <v>na</v>
      </c>
      <c r="K25" s="171" t="str">
        <f>IF(SUM(K12:K24)&gt;0,SUMPRODUCT(I12:I24,K12:K24)/I25,"na")</f>
        <v>na</v>
      </c>
      <c r="L25" s="70" t="str">
        <f>IF(SUM(L12:L24)&gt;0,SUM(L12:L24),"na")</f>
        <v>na</v>
      </c>
      <c r="M25" s="23" t="str">
        <f>IF(SUM(M12:M24)&gt;0,SUMPRODUCT(L12:L24,M12:M24)/L25,"na")</f>
        <v>na</v>
      </c>
      <c r="N25" s="24" t="str">
        <f>IF(SUM(N12:N24)&gt;0,SUMPRODUCT(L12:L24,N12:N24)/L25,"na")</f>
        <v>na</v>
      </c>
      <c r="O25" s="70" t="str">
        <f>IF(SUM(O12:O24)&gt;0,SUM(O12:O24),"na")</f>
        <v>na</v>
      </c>
      <c r="P25" s="23" t="str">
        <f>IF(SUM(P12:P24)&gt;0,SUMPRODUCT(O12:O24,P12:P24)/O25,"na")</f>
        <v>na</v>
      </c>
      <c r="Q25" s="25" t="str">
        <f>IF(SUM(Q12:Q24)&gt;0,SUMPRODUCT(O12:O24,Q12:Q24)/O25,"na")</f>
        <v>na</v>
      </c>
      <c r="R25" s="6"/>
      <c r="S25" s="6"/>
    </row>
    <row r="26" spans="1:33" s="102" customFormat="1" ht="6.75" customHeight="1" thickBot="1">
      <c r="A26" s="4"/>
      <c r="B26" s="4"/>
      <c r="C26" s="106"/>
      <c r="D26" s="107"/>
      <c r="E26" s="108"/>
      <c r="F26" s="114"/>
      <c r="G26" s="115"/>
      <c r="H26" s="108"/>
      <c r="I26" s="114"/>
      <c r="J26" s="115"/>
      <c r="K26" s="108"/>
      <c r="L26" s="114"/>
      <c r="M26" s="115"/>
      <c r="N26" s="108"/>
      <c r="O26" s="114"/>
      <c r="P26" s="116"/>
      <c r="Q26" s="117"/>
      <c r="R26" s="38"/>
      <c r="S26" s="38"/>
    </row>
    <row r="27" spans="1:33" s="7" customFormat="1" ht="13.5" customHeight="1">
      <c r="A27" s="4"/>
      <c r="B27" s="4"/>
      <c r="C27" s="109" t="s">
        <v>134</v>
      </c>
      <c r="D27" s="164"/>
      <c r="E27" s="110" t="s">
        <v>20</v>
      </c>
      <c r="F27" s="109" t="s">
        <v>134</v>
      </c>
      <c r="G27" s="164"/>
      <c r="H27" s="110" t="s">
        <v>20</v>
      </c>
      <c r="I27" s="109" t="s">
        <v>134</v>
      </c>
      <c r="J27" s="164"/>
      <c r="K27" s="110" t="s">
        <v>20</v>
      </c>
      <c r="L27" s="109" t="s">
        <v>134</v>
      </c>
      <c r="M27" s="164"/>
      <c r="N27" s="110" t="s">
        <v>20</v>
      </c>
      <c r="O27" s="109" t="s">
        <v>134</v>
      </c>
      <c r="P27" s="93">
        <f>SUM(M27,J27,G27,D27)</f>
        <v>0</v>
      </c>
      <c r="Q27" s="110" t="s">
        <v>20</v>
      </c>
      <c r="R27" s="6"/>
      <c r="S27" s="6"/>
    </row>
    <row r="28" spans="1:33" s="7" customFormat="1" ht="13.5" customHeight="1">
      <c r="A28" s="8"/>
      <c r="B28" s="4"/>
      <c r="C28" s="109" t="s">
        <v>21</v>
      </c>
      <c r="D28" s="94" t="str">
        <f>IF(SUM(E12:E24)&gt;0,(C25*E25),"na")</f>
        <v>na</v>
      </c>
      <c r="E28" s="110" t="s">
        <v>20</v>
      </c>
      <c r="F28" s="109" t="s">
        <v>21</v>
      </c>
      <c r="G28" s="94" t="str">
        <f>IF(SUM(H12:H24)&gt;0,(F25*H25),"na")</f>
        <v>na</v>
      </c>
      <c r="H28" s="110" t="s">
        <v>20</v>
      </c>
      <c r="I28" s="109" t="s">
        <v>21</v>
      </c>
      <c r="J28" s="94" t="str">
        <f>IF(SUM(K12:K24)&gt;0,(I25*K25),"na")</f>
        <v>na</v>
      </c>
      <c r="K28" s="110" t="s">
        <v>20</v>
      </c>
      <c r="L28" s="109" t="s">
        <v>21</v>
      </c>
      <c r="M28" s="94" t="str">
        <f>IF(SUM(N12:N24)&gt;0,(L25*N25),"na")</f>
        <v>na</v>
      </c>
      <c r="N28" s="110" t="s">
        <v>20</v>
      </c>
      <c r="O28" s="109" t="s">
        <v>21</v>
      </c>
      <c r="P28" s="94" t="str">
        <f>IF(SUM(Q12:Q24)&gt;0,(O25*Q25),"na")</f>
        <v>na</v>
      </c>
      <c r="Q28" s="110" t="s">
        <v>20</v>
      </c>
      <c r="R28" s="6"/>
      <c r="S28" s="6"/>
      <c r="T28" s="255"/>
      <c r="U28" s="255"/>
      <c r="V28" s="255"/>
      <c r="W28" s="255"/>
      <c r="X28" s="255"/>
      <c r="Y28" s="255"/>
      <c r="Z28" s="255"/>
      <c r="AA28" s="255"/>
      <c r="AB28" s="255"/>
      <c r="AC28" s="255"/>
      <c r="AD28" s="255"/>
      <c r="AE28" s="255"/>
      <c r="AF28" s="255"/>
      <c r="AG28" s="255"/>
    </row>
    <row r="29" spans="1:33" s="7" customFormat="1" ht="13.5" customHeight="1" thickBot="1">
      <c r="A29" s="8"/>
      <c r="B29" s="4"/>
      <c r="C29" s="109" t="s">
        <v>21</v>
      </c>
      <c r="D29" s="95" t="str">
        <f>IF(SUM(E12:E24)&gt;0,D28/D27,"na")</f>
        <v>na</v>
      </c>
      <c r="E29" s="111" t="s">
        <v>22</v>
      </c>
      <c r="F29" s="109" t="s">
        <v>21</v>
      </c>
      <c r="G29" s="95" t="str">
        <f>IF(SUM(H12:H24)&gt;0,G28/G27,"na")</f>
        <v>na</v>
      </c>
      <c r="H29" s="111" t="s">
        <v>22</v>
      </c>
      <c r="I29" s="109" t="s">
        <v>21</v>
      </c>
      <c r="J29" s="95" t="str">
        <f>IF(SUM(K12:K24)&gt;0,J28/J27,"na")</f>
        <v>na</v>
      </c>
      <c r="K29" s="111" t="s">
        <v>22</v>
      </c>
      <c r="L29" s="109" t="s">
        <v>21</v>
      </c>
      <c r="M29" s="95" t="str">
        <f>IF(SUM(N12:N24)&gt;0,M28/M27,"na")</f>
        <v>na</v>
      </c>
      <c r="N29" s="111" t="s">
        <v>22</v>
      </c>
      <c r="O29" s="109" t="s">
        <v>21</v>
      </c>
      <c r="P29" s="95" t="str">
        <f>IF(SUM(Q12:Q24)&gt;0,P28/P27,"na")</f>
        <v>na</v>
      </c>
      <c r="Q29" s="111" t="s">
        <v>22</v>
      </c>
      <c r="R29" s="6"/>
      <c r="S29" s="6"/>
      <c r="T29" s="255"/>
      <c r="U29" s="255"/>
      <c r="V29" s="255"/>
      <c r="W29" s="255"/>
      <c r="X29" s="255"/>
      <c r="Y29" s="255"/>
      <c r="Z29" s="255"/>
      <c r="AA29" s="255"/>
      <c r="AB29" s="255"/>
      <c r="AC29" s="255"/>
      <c r="AD29" s="255"/>
      <c r="AE29" s="255"/>
      <c r="AF29" s="255"/>
      <c r="AG29" s="255"/>
    </row>
    <row r="30" spans="1:33" s="6" customFormat="1" ht="6" customHeight="1" thickBot="1">
      <c r="A30" s="8"/>
      <c r="B30" s="4"/>
      <c r="C30" s="112"/>
      <c r="D30" s="35"/>
      <c r="E30" s="111"/>
      <c r="F30" s="112"/>
      <c r="G30" s="35"/>
      <c r="H30" s="111"/>
      <c r="I30" s="112"/>
      <c r="J30" s="35"/>
      <c r="K30" s="111"/>
      <c r="L30" s="112"/>
      <c r="M30" s="35"/>
      <c r="N30" s="111"/>
      <c r="O30" s="112"/>
      <c r="P30" s="35"/>
      <c r="Q30" s="111"/>
      <c r="T30" s="255"/>
      <c r="U30" s="255"/>
      <c r="V30" s="255"/>
      <c r="W30" s="255"/>
      <c r="X30" s="255"/>
      <c r="Y30" s="255"/>
      <c r="Z30" s="255"/>
      <c r="AA30" s="255"/>
      <c r="AB30" s="255"/>
      <c r="AC30" s="255"/>
      <c r="AD30" s="255"/>
      <c r="AE30" s="255"/>
      <c r="AF30" s="255"/>
      <c r="AG30" s="255"/>
    </row>
    <row r="31" spans="1:33" s="6" customFormat="1" ht="13.5" customHeight="1" thickBot="1">
      <c r="A31" s="8"/>
      <c r="B31" s="4"/>
      <c r="C31" s="109" t="s">
        <v>23</v>
      </c>
      <c r="D31" s="165"/>
      <c r="E31" s="111" t="s">
        <v>24</v>
      </c>
      <c r="F31" s="109" t="s">
        <v>23</v>
      </c>
      <c r="G31" s="165"/>
      <c r="H31" s="111" t="s">
        <v>24</v>
      </c>
      <c r="I31" s="109" t="s">
        <v>23</v>
      </c>
      <c r="J31" s="165"/>
      <c r="K31" s="111" t="s">
        <v>24</v>
      </c>
      <c r="L31" s="109" t="s">
        <v>23</v>
      </c>
      <c r="M31" s="166"/>
      <c r="N31" s="111" t="s">
        <v>24</v>
      </c>
      <c r="O31" s="109" t="s">
        <v>23</v>
      </c>
      <c r="P31" s="96"/>
      <c r="Q31" s="111" t="s">
        <v>24</v>
      </c>
      <c r="T31" s="255"/>
      <c r="U31" s="255"/>
      <c r="V31" s="255"/>
      <c r="W31" s="255"/>
      <c r="X31" s="255"/>
      <c r="Y31" s="255"/>
      <c r="Z31" s="255"/>
      <c r="AA31" s="255"/>
      <c r="AB31" s="255"/>
      <c r="AC31" s="255"/>
      <c r="AD31" s="255"/>
      <c r="AE31" s="255"/>
      <c r="AF31" s="255"/>
      <c r="AG31" s="255"/>
    </row>
    <row r="32" spans="1:33" s="7" customFormat="1" ht="14.25" customHeight="1" thickBot="1">
      <c r="A32" s="8"/>
      <c r="B32" s="9"/>
      <c r="C32" s="113"/>
      <c r="D32" s="104"/>
      <c r="E32" s="105"/>
      <c r="F32" s="113"/>
      <c r="G32" s="104"/>
      <c r="H32" s="105"/>
      <c r="I32" s="113"/>
      <c r="J32" s="104"/>
      <c r="K32" s="105"/>
      <c r="L32" s="113"/>
      <c r="M32" s="104"/>
      <c r="N32" s="105"/>
      <c r="O32" s="113"/>
      <c r="P32" s="104"/>
      <c r="Q32" s="105"/>
      <c r="R32" s="6"/>
      <c r="S32" s="6"/>
      <c r="T32" s="255"/>
      <c r="U32" s="255"/>
      <c r="V32" s="255"/>
      <c r="W32" s="255"/>
      <c r="X32" s="255"/>
      <c r="Y32" s="255"/>
      <c r="Z32" s="255"/>
      <c r="AA32" s="255"/>
      <c r="AB32" s="255"/>
      <c r="AC32" s="255"/>
      <c r="AD32" s="255"/>
      <c r="AE32" s="255"/>
      <c r="AF32" s="255"/>
      <c r="AG32" s="255"/>
    </row>
    <row r="33" spans="1:22" s="7" customFormat="1">
      <c r="A33" s="8"/>
      <c r="B33" s="9"/>
      <c r="C33" s="6"/>
      <c r="D33" s="6"/>
      <c r="E33" s="6"/>
      <c r="F33" s="6"/>
      <c r="G33" s="6"/>
      <c r="H33" s="6"/>
      <c r="I33" s="6"/>
      <c r="J33" s="6"/>
      <c r="K33" s="6"/>
      <c r="L33" s="6"/>
      <c r="M33" s="6"/>
      <c r="N33" s="6"/>
      <c r="O33" s="6"/>
      <c r="P33" s="6"/>
      <c r="Q33" s="6"/>
      <c r="R33" s="6"/>
      <c r="S33" s="6"/>
      <c r="T33" s="255"/>
      <c r="U33" s="255"/>
      <c r="V33" s="255"/>
    </row>
    <row r="34" spans="1:22">
      <c r="T34" s="178"/>
      <c r="U34" s="178"/>
      <c r="V34" s="178"/>
    </row>
  </sheetData>
  <sheetProtection scenarios="1"/>
  <mergeCells count="3">
    <mergeCell ref="I4:K4"/>
    <mergeCell ref="I6:K6"/>
    <mergeCell ref="C8:D8"/>
  </mergeCells>
  <conditionalFormatting sqref="A2:R3 A5:R5 A4:I4 L4:R4 A6:I6 L6:R6 A7:R34 H1:R1">
    <cfRule type="expression" dxfId="5" priority="1" stopIfTrue="1">
      <formula>CELL("Protect",A1)=1</formula>
    </cfRule>
  </conditionalFormatting>
  <dataValidations count="1">
    <dataValidation type="decimal" errorStyle="warning" allowBlank="1" showInputMessage="1" showErrorMessage="1" errorTitle="Please Check!" error="Confirm that the value you have entered is correct" sqref="N12:N24 H12:H24 K12:K24 E12:E24" xr:uid="{F6C7906B-B640-4CB5-B13B-F27F2E5F2DBF}">
      <formula1>0.06</formula1>
      <formula2>1.5</formula2>
    </dataValidation>
  </dataValidation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4C1EF0-CD48-4EFD-B599-A6863CD07004}">
  <sheetPr codeName="Sheet15">
    <tabColor theme="9" tint="0.59999389629810485"/>
  </sheetPr>
  <dimension ref="A1:AG34"/>
  <sheetViews>
    <sheetView zoomScale="90" zoomScaleNormal="90" workbookViewId="0"/>
  </sheetViews>
  <sheetFormatPr defaultColWidth="11.5703125" defaultRowHeight="12.75"/>
  <cols>
    <col min="1" max="1" width="9.140625" style="2" customWidth="1"/>
    <col min="2" max="2" width="7.28515625" style="1" customWidth="1"/>
    <col min="3" max="3" width="17.140625" bestFit="1" customWidth="1"/>
    <col min="4" max="5" width="9.42578125" customWidth="1"/>
    <col min="6" max="6" width="16" bestFit="1" customWidth="1"/>
    <col min="7" max="8" width="9.42578125" customWidth="1"/>
    <col min="9" max="9" width="17" customWidth="1"/>
    <col min="10" max="11" width="9.42578125" customWidth="1"/>
    <col min="12" max="12" width="16" bestFit="1" customWidth="1"/>
    <col min="13" max="14" width="9.42578125" customWidth="1"/>
    <col min="15" max="15" width="16.85546875" customWidth="1"/>
    <col min="16" max="17" width="9.42578125" customWidth="1"/>
    <col min="18" max="20" width="8.140625" customWidth="1"/>
  </cols>
  <sheetData>
    <row r="1" spans="1:22" s="7" customFormat="1" ht="19.5" customHeight="1">
      <c r="A1" s="343" t="s">
        <v>53</v>
      </c>
      <c r="B1" s="342"/>
      <c r="C1" s="342"/>
      <c r="D1" s="342"/>
      <c r="E1" s="342"/>
      <c r="F1" s="342"/>
      <c r="G1" s="342"/>
      <c r="H1" s="80" t="s">
        <v>120</v>
      </c>
      <c r="I1" s="6"/>
      <c r="J1" s="6"/>
      <c r="K1" s="6"/>
      <c r="L1" s="6"/>
      <c r="M1" s="6"/>
      <c r="N1" s="6"/>
      <c r="O1" s="6"/>
      <c r="P1" s="6"/>
      <c r="Q1" s="6"/>
      <c r="R1" s="6"/>
      <c r="S1" s="6"/>
      <c r="T1" s="255"/>
      <c r="U1" s="255"/>
      <c r="V1" s="255"/>
    </row>
    <row r="2" spans="1:22" s="7" customFormat="1" ht="19.5" customHeight="1">
      <c r="A2" s="261" t="s">
        <v>112</v>
      </c>
      <c r="B2" s="9"/>
      <c r="C2" s="6"/>
      <c r="D2" s="6"/>
      <c r="E2" s="6"/>
      <c r="F2" s="6"/>
      <c r="G2" s="6"/>
      <c r="H2" s="81"/>
      <c r="I2" s="6"/>
      <c r="J2" s="6"/>
      <c r="K2" s="6"/>
      <c r="L2" s="6"/>
      <c r="M2" s="6"/>
      <c r="N2" s="6"/>
      <c r="O2" s="6"/>
      <c r="P2" s="6"/>
      <c r="Q2" s="6"/>
      <c r="R2" s="6"/>
      <c r="S2" s="6"/>
      <c r="T2" s="255"/>
      <c r="U2" s="255"/>
      <c r="V2" s="255"/>
    </row>
    <row r="3" spans="1:22" s="7" customFormat="1" ht="13.5" customHeight="1" thickBot="1">
      <c r="A3" s="75"/>
      <c r="B3" s="9"/>
      <c r="C3" s="6"/>
      <c r="D3" s="6"/>
      <c r="E3" s="6"/>
      <c r="F3" s="6"/>
      <c r="G3" s="6"/>
      <c r="H3" s="76"/>
      <c r="I3" s="6"/>
      <c r="J3" s="6"/>
      <c r="K3" s="6"/>
      <c r="L3" s="6"/>
      <c r="M3" s="82"/>
      <c r="N3" s="82"/>
      <c r="O3" s="6"/>
      <c r="P3" s="82"/>
      <c r="Q3" s="82"/>
      <c r="R3" s="82"/>
      <c r="S3" s="82"/>
      <c r="T3" s="256"/>
      <c r="U3" s="255"/>
      <c r="V3" s="255"/>
    </row>
    <row r="4" spans="1:22" s="7" customFormat="1" ht="19.5" customHeight="1">
      <c r="A4" s="8"/>
      <c r="B4" s="259" t="s">
        <v>106</v>
      </c>
      <c r="C4" s="122" t="str">
        <f>'START HERE'!F6</f>
        <v>EU</v>
      </c>
      <c r="D4" s="137"/>
      <c r="E4" s="21"/>
      <c r="F4" s="6"/>
      <c r="G4" s="6"/>
      <c r="H4" s="173" t="s">
        <v>38</v>
      </c>
      <c r="I4" s="397" t="str">
        <f>'LEN F4'!F3</f>
        <v>Fleet 4 Offshore</v>
      </c>
      <c r="J4" s="398"/>
      <c r="K4" s="399"/>
      <c r="L4" s="6"/>
      <c r="M4" s="82"/>
      <c r="N4" s="82"/>
      <c r="O4" s="6"/>
      <c r="P4" s="82"/>
      <c r="Q4" s="82"/>
      <c r="R4" s="82"/>
      <c r="S4" s="82"/>
      <c r="T4" s="256"/>
      <c r="U4" s="255"/>
      <c r="V4" s="255"/>
    </row>
    <row r="5" spans="1:22" s="7" customFormat="1" ht="19.5" customHeight="1">
      <c r="A5" s="8"/>
      <c r="B5" s="13" t="s">
        <v>0</v>
      </c>
      <c r="C5" s="123" t="str">
        <f>'START HERE'!F5</f>
        <v>Jack mackerel</v>
      </c>
      <c r="D5" s="139"/>
      <c r="E5" s="22"/>
      <c r="F5" s="138"/>
      <c r="G5" s="138"/>
      <c r="H5" s="13"/>
      <c r="I5" s="321"/>
      <c r="J5" s="322"/>
      <c r="K5" s="323"/>
      <c r="L5" s="6"/>
      <c r="M5" s="82"/>
      <c r="N5" s="82"/>
      <c r="O5" s="6"/>
      <c r="P5" s="82"/>
      <c r="Q5" s="82"/>
      <c r="R5" s="82"/>
      <c r="S5" s="82"/>
      <c r="T5" s="256"/>
      <c r="U5" s="255"/>
      <c r="V5" s="255"/>
    </row>
    <row r="6" spans="1:22" s="7" customFormat="1" ht="18.75" customHeight="1" thickBot="1">
      <c r="A6" s="8"/>
      <c r="B6" s="13" t="s">
        <v>1</v>
      </c>
      <c r="C6" s="119">
        <f>'START HERE'!$K$3</f>
        <v>2010</v>
      </c>
      <c r="D6" s="120"/>
      <c r="E6" s="121"/>
      <c r="F6" s="6"/>
      <c r="G6" s="6"/>
      <c r="H6" s="13" t="s">
        <v>14</v>
      </c>
      <c r="I6" s="400" t="str">
        <f>'START HERE'!$F8</f>
        <v>13/6/2022</v>
      </c>
      <c r="J6" s="401"/>
      <c r="K6" s="402"/>
      <c r="L6" s="6"/>
      <c r="M6" s="82"/>
      <c r="N6" s="82"/>
      <c r="O6" s="6"/>
      <c r="P6" s="82"/>
      <c r="Q6" s="82"/>
      <c r="R6" s="82"/>
      <c r="S6" s="82"/>
      <c r="T6" s="256"/>
      <c r="U6" s="255"/>
      <c r="V6" s="255"/>
    </row>
    <row r="7" spans="1:22" s="7" customFormat="1" ht="13.5" customHeight="1" thickBot="1">
      <c r="A7" s="8"/>
      <c r="B7" s="9"/>
      <c r="C7" s="6"/>
      <c r="D7" s="6"/>
      <c r="E7" s="6"/>
      <c r="F7" s="6"/>
      <c r="G7" s="6"/>
      <c r="H7" s="6"/>
      <c r="I7" s="6"/>
      <c r="J7" s="6"/>
      <c r="K7" s="6"/>
      <c r="L7" s="6"/>
      <c r="M7" s="6"/>
      <c r="N7" s="6"/>
      <c r="O7" s="6"/>
      <c r="P7" s="6"/>
      <c r="Q7" s="6"/>
      <c r="R7" s="6"/>
      <c r="S7" s="6"/>
      <c r="T7" s="255"/>
      <c r="U7" s="255"/>
      <c r="V7" s="255"/>
    </row>
    <row r="8" spans="1:22" s="77" customFormat="1" ht="18" customHeight="1" thickBot="1">
      <c r="A8" s="100"/>
      <c r="B8" s="101"/>
      <c r="C8" s="395" t="s">
        <v>52</v>
      </c>
      <c r="D8" s="396"/>
      <c r="E8" s="99"/>
      <c r="F8" s="262" t="s">
        <v>30</v>
      </c>
      <c r="G8" s="98"/>
      <c r="H8" s="99"/>
      <c r="I8" s="262" t="s">
        <v>31</v>
      </c>
      <c r="J8" s="98"/>
      <c r="K8" s="99"/>
      <c r="L8" s="262" t="s">
        <v>32</v>
      </c>
      <c r="M8" s="98"/>
      <c r="N8" s="99"/>
      <c r="O8" s="97" t="s">
        <v>41</v>
      </c>
      <c r="P8" s="98"/>
      <c r="Q8" s="99"/>
      <c r="R8" s="103"/>
      <c r="S8" s="103"/>
    </row>
    <row r="9" spans="1:22" s="7" customFormat="1" ht="13.5" customHeight="1" thickBot="1">
      <c r="A9" s="125"/>
      <c r="B9" s="125"/>
      <c r="C9" s="17" t="s">
        <v>2</v>
      </c>
      <c r="D9" s="126" t="s">
        <v>3</v>
      </c>
      <c r="E9" s="16" t="s">
        <v>3</v>
      </c>
      <c r="F9" s="17" t="s">
        <v>2</v>
      </c>
      <c r="G9" s="15" t="s">
        <v>3</v>
      </c>
      <c r="H9" s="16" t="s">
        <v>3</v>
      </c>
      <c r="I9" s="17" t="s">
        <v>2</v>
      </c>
      <c r="J9" s="15" t="s">
        <v>3</v>
      </c>
      <c r="K9" s="16" t="s">
        <v>3</v>
      </c>
      <c r="L9" s="17" t="s">
        <v>2</v>
      </c>
      <c r="M9" s="15" t="s">
        <v>3</v>
      </c>
      <c r="N9" s="16" t="s">
        <v>3</v>
      </c>
      <c r="O9" s="17" t="s">
        <v>2</v>
      </c>
      <c r="P9" s="15" t="s">
        <v>3</v>
      </c>
      <c r="Q9" s="16" t="s">
        <v>3</v>
      </c>
      <c r="R9" s="6"/>
      <c r="S9" s="6"/>
    </row>
    <row r="10" spans="1:22" s="7" customFormat="1" ht="13.5" customHeight="1">
      <c r="A10" s="14"/>
      <c r="B10" s="172" t="s">
        <v>78</v>
      </c>
      <c r="C10" s="20" t="s">
        <v>4</v>
      </c>
      <c r="D10" s="18" t="s">
        <v>40</v>
      </c>
      <c r="E10" s="19" t="s">
        <v>5</v>
      </c>
      <c r="F10" s="20" t="s">
        <v>4</v>
      </c>
      <c r="G10" s="18" t="s">
        <v>40</v>
      </c>
      <c r="H10" s="19" t="s">
        <v>5</v>
      </c>
      <c r="I10" s="20" t="s">
        <v>4</v>
      </c>
      <c r="J10" s="18" t="s">
        <v>40</v>
      </c>
      <c r="K10" s="19" t="s">
        <v>5</v>
      </c>
      <c r="L10" s="20" t="s">
        <v>4</v>
      </c>
      <c r="M10" s="18" t="s">
        <v>40</v>
      </c>
      <c r="N10" s="19" t="s">
        <v>5</v>
      </c>
      <c r="O10" s="20" t="s">
        <v>4</v>
      </c>
      <c r="P10" s="18" t="s">
        <v>40</v>
      </c>
      <c r="Q10" s="19" t="s">
        <v>5</v>
      </c>
      <c r="R10" s="6"/>
      <c r="S10" s="6"/>
    </row>
    <row r="11" spans="1:22" s="7" customFormat="1" ht="15" customHeight="1" thickBot="1">
      <c r="A11" s="124"/>
      <c r="B11" s="84"/>
      <c r="C11" s="85" t="s">
        <v>103</v>
      </c>
      <c r="D11" s="83" t="s">
        <v>42</v>
      </c>
      <c r="E11" s="84" t="s">
        <v>50</v>
      </c>
      <c r="F11" s="85" t="s">
        <v>103</v>
      </c>
      <c r="G11" s="83" t="s">
        <v>42</v>
      </c>
      <c r="H11" s="84" t="s">
        <v>50</v>
      </c>
      <c r="I11" s="85" t="s">
        <v>103</v>
      </c>
      <c r="J11" s="83" t="s">
        <v>42</v>
      </c>
      <c r="K11" s="84" t="s">
        <v>50</v>
      </c>
      <c r="L11" s="85" t="s">
        <v>103</v>
      </c>
      <c r="M11" s="83" t="s">
        <v>42</v>
      </c>
      <c r="N11" s="84" t="s">
        <v>50</v>
      </c>
      <c r="O11" s="85" t="s">
        <v>103</v>
      </c>
      <c r="P11" s="83" t="s">
        <v>42</v>
      </c>
      <c r="Q11" s="84" t="s">
        <v>6</v>
      </c>
      <c r="R11" s="6"/>
      <c r="S11" s="6"/>
    </row>
    <row r="12" spans="1:22" s="7" customFormat="1" ht="15" customHeight="1">
      <c r="A12" s="127"/>
      <c r="B12" s="86" t="s">
        <v>7</v>
      </c>
      <c r="C12" s="87"/>
      <c r="D12" s="88"/>
      <c r="E12" s="167"/>
      <c r="F12" s="87"/>
      <c r="G12" s="88"/>
      <c r="H12" s="167"/>
      <c r="I12" s="87"/>
      <c r="J12" s="88"/>
      <c r="K12" s="167"/>
      <c r="L12" s="87"/>
      <c r="M12" s="88"/>
      <c r="N12" s="167"/>
      <c r="O12" s="89">
        <f t="shared" ref="O12:O20" si="0">SUM(C12+F12+I12+L12)</f>
        <v>0</v>
      </c>
      <c r="P12" s="90" t="str">
        <f t="shared" ref="P12:P20" si="1">IF(SUM(D12+G12+J12+M12)&gt;0,(C12*D12+F12*G12+I12*J12+L12*M12)/SUM(C12+F12+I12+L12),"")</f>
        <v/>
      </c>
      <c r="Q12" s="169" t="str">
        <f t="shared" ref="Q12:Q20" si="2">IF(SUM(E12,H12,K12,N12)&gt;0,SUM(C12*E12+F12*H12+I12*K12+L12*N12)/SUM(C12+F12+I12+L12),"")</f>
        <v/>
      </c>
      <c r="R12" s="6"/>
      <c r="S12" s="6"/>
    </row>
    <row r="13" spans="1:22" s="7" customFormat="1" ht="15" customHeight="1">
      <c r="A13" s="127"/>
      <c r="B13" s="86" t="s">
        <v>43</v>
      </c>
      <c r="C13" s="91"/>
      <c r="D13" s="92"/>
      <c r="E13" s="168"/>
      <c r="F13" s="91"/>
      <c r="G13" s="92"/>
      <c r="H13" s="168"/>
      <c r="I13" s="91"/>
      <c r="J13" s="92"/>
      <c r="K13" s="168"/>
      <c r="L13" s="91"/>
      <c r="M13" s="92"/>
      <c r="N13" s="168"/>
      <c r="O13" s="89">
        <f t="shared" si="0"/>
        <v>0</v>
      </c>
      <c r="P13" s="90" t="str">
        <f t="shared" si="1"/>
        <v/>
      </c>
      <c r="Q13" s="169" t="str">
        <f t="shared" si="2"/>
        <v/>
      </c>
      <c r="R13" s="6"/>
      <c r="S13" s="6"/>
    </row>
    <row r="14" spans="1:22" s="7" customFormat="1" ht="15" customHeight="1">
      <c r="A14" s="127"/>
      <c r="B14" s="86" t="s">
        <v>44</v>
      </c>
      <c r="C14" s="91"/>
      <c r="D14" s="92"/>
      <c r="E14" s="168"/>
      <c r="F14" s="91"/>
      <c r="G14" s="92"/>
      <c r="H14" s="168"/>
      <c r="I14" s="91"/>
      <c r="J14" s="92"/>
      <c r="K14" s="168"/>
      <c r="L14" s="91"/>
      <c r="M14" s="92"/>
      <c r="N14" s="168"/>
      <c r="O14" s="89">
        <f t="shared" si="0"/>
        <v>0</v>
      </c>
      <c r="P14" s="90" t="str">
        <f t="shared" si="1"/>
        <v/>
      </c>
      <c r="Q14" s="169" t="str">
        <f t="shared" si="2"/>
        <v/>
      </c>
      <c r="R14" s="6"/>
      <c r="S14" s="6"/>
    </row>
    <row r="15" spans="1:22" s="7" customFormat="1" ht="15" customHeight="1">
      <c r="A15" s="127"/>
      <c r="B15" s="86" t="s">
        <v>45</v>
      </c>
      <c r="C15" s="91"/>
      <c r="D15" s="92"/>
      <c r="E15" s="168"/>
      <c r="F15" s="91"/>
      <c r="G15" s="92"/>
      <c r="H15" s="168"/>
      <c r="I15" s="91"/>
      <c r="J15" s="92"/>
      <c r="K15" s="168"/>
      <c r="L15" s="91"/>
      <c r="M15" s="92"/>
      <c r="N15" s="168"/>
      <c r="O15" s="89">
        <f t="shared" si="0"/>
        <v>0</v>
      </c>
      <c r="P15" s="90" t="str">
        <f t="shared" si="1"/>
        <v/>
      </c>
      <c r="Q15" s="169" t="str">
        <f t="shared" si="2"/>
        <v/>
      </c>
      <c r="R15" s="6"/>
      <c r="S15" s="6"/>
    </row>
    <row r="16" spans="1:22" s="7" customFormat="1" ht="15" customHeight="1">
      <c r="A16" s="127"/>
      <c r="B16" s="86" t="s">
        <v>46</v>
      </c>
      <c r="C16" s="91"/>
      <c r="D16" s="92"/>
      <c r="E16" s="168"/>
      <c r="F16" s="91"/>
      <c r="G16" s="92"/>
      <c r="H16" s="168"/>
      <c r="I16" s="91"/>
      <c r="J16" s="92"/>
      <c r="K16" s="168"/>
      <c r="L16" s="91"/>
      <c r="M16" s="92"/>
      <c r="N16" s="168"/>
      <c r="O16" s="89">
        <f t="shared" si="0"/>
        <v>0</v>
      </c>
      <c r="P16" s="90" t="str">
        <f t="shared" si="1"/>
        <v/>
      </c>
      <c r="Q16" s="169" t="str">
        <f t="shared" si="2"/>
        <v/>
      </c>
      <c r="R16" s="6"/>
      <c r="S16" s="6"/>
    </row>
    <row r="17" spans="1:33" s="7" customFormat="1" ht="15" customHeight="1">
      <c r="A17" s="127"/>
      <c r="B17" s="86" t="s">
        <v>8</v>
      </c>
      <c r="C17" s="91"/>
      <c r="D17" s="92"/>
      <c r="E17" s="168"/>
      <c r="F17" s="91"/>
      <c r="G17" s="92"/>
      <c r="H17" s="168"/>
      <c r="I17" s="91"/>
      <c r="J17" s="92"/>
      <c r="K17" s="168"/>
      <c r="L17" s="91"/>
      <c r="M17" s="92"/>
      <c r="N17" s="168"/>
      <c r="O17" s="89">
        <f t="shared" si="0"/>
        <v>0</v>
      </c>
      <c r="P17" s="90" t="str">
        <f t="shared" si="1"/>
        <v/>
      </c>
      <c r="Q17" s="169" t="str">
        <f t="shared" si="2"/>
        <v/>
      </c>
      <c r="R17" s="6"/>
      <c r="S17" s="6"/>
    </row>
    <row r="18" spans="1:33" s="7" customFormat="1" ht="15" customHeight="1">
      <c r="A18" s="127"/>
      <c r="B18" s="86" t="s">
        <v>9</v>
      </c>
      <c r="C18" s="91"/>
      <c r="D18" s="92"/>
      <c r="E18" s="168"/>
      <c r="F18" s="91"/>
      <c r="G18" s="92"/>
      <c r="H18" s="168"/>
      <c r="I18" s="91"/>
      <c r="J18" s="92"/>
      <c r="K18" s="168"/>
      <c r="L18" s="91"/>
      <c r="M18" s="92"/>
      <c r="N18" s="168"/>
      <c r="O18" s="89">
        <f t="shared" si="0"/>
        <v>0</v>
      </c>
      <c r="P18" s="90" t="str">
        <f t="shared" si="1"/>
        <v/>
      </c>
      <c r="Q18" s="169" t="str">
        <f t="shared" si="2"/>
        <v/>
      </c>
      <c r="R18" s="6"/>
      <c r="S18" s="6"/>
    </row>
    <row r="19" spans="1:33" s="7" customFormat="1" ht="15" customHeight="1">
      <c r="A19" s="127"/>
      <c r="B19" s="86" t="s">
        <v>10</v>
      </c>
      <c r="C19" s="91"/>
      <c r="D19" s="92"/>
      <c r="E19" s="168"/>
      <c r="F19" s="91"/>
      <c r="G19" s="92"/>
      <c r="H19" s="168"/>
      <c r="I19" s="91"/>
      <c r="J19" s="92"/>
      <c r="K19" s="168"/>
      <c r="L19" s="91"/>
      <c r="M19" s="92"/>
      <c r="N19" s="168"/>
      <c r="O19" s="89">
        <f t="shared" si="0"/>
        <v>0</v>
      </c>
      <c r="P19" s="90" t="str">
        <f t="shared" si="1"/>
        <v/>
      </c>
      <c r="Q19" s="169" t="str">
        <f t="shared" si="2"/>
        <v/>
      </c>
      <c r="R19" s="6"/>
      <c r="S19" s="6"/>
    </row>
    <row r="20" spans="1:33" s="7" customFormat="1" ht="15" customHeight="1">
      <c r="A20" s="127"/>
      <c r="B20" s="86" t="s">
        <v>11</v>
      </c>
      <c r="C20" s="91"/>
      <c r="D20" s="92"/>
      <c r="E20" s="168"/>
      <c r="F20" s="91"/>
      <c r="G20" s="92"/>
      <c r="H20" s="168"/>
      <c r="I20" s="91"/>
      <c r="J20" s="92"/>
      <c r="K20" s="168"/>
      <c r="L20" s="91"/>
      <c r="M20" s="92"/>
      <c r="N20" s="168"/>
      <c r="O20" s="89">
        <f t="shared" si="0"/>
        <v>0</v>
      </c>
      <c r="P20" s="90" t="str">
        <f t="shared" si="1"/>
        <v/>
      </c>
      <c r="Q20" s="169" t="str">
        <f t="shared" si="2"/>
        <v/>
      </c>
      <c r="R20" s="6"/>
      <c r="S20" s="6"/>
    </row>
    <row r="21" spans="1:33" s="7" customFormat="1" ht="15" customHeight="1">
      <c r="A21" s="127"/>
      <c r="B21" s="86">
        <v>9</v>
      </c>
      <c r="C21" s="91"/>
      <c r="D21" s="92"/>
      <c r="E21" s="168"/>
      <c r="F21" s="91"/>
      <c r="G21" s="92"/>
      <c r="H21" s="168"/>
      <c r="I21" s="91"/>
      <c r="J21" s="92"/>
      <c r="K21" s="168"/>
      <c r="L21" s="91"/>
      <c r="M21" s="92"/>
      <c r="N21" s="168"/>
      <c r="O21" s="89"/>
      <c r="P21" s="90"/>
      <c r="Q21" s="169"/>
      <c r="R21" s="6"/>
      <c r="S21" s="6"/>
    </row>
    <row r="22" spans="1:33" s="7" customFormat="1" ht="15" customHeight="1">
      <c r="A22" s="127"/>
      <c r="B22" s="86">
        <v>10</v>
      </c>
      <c r="C22" s="91"/>
      <c r="D22" s="92"/>
      <c r="E22" s="168"/>
      <c r="F22" s="91"/>
      <c r="G22" s="92"/>
      <c r="H22" s="168"/>
      <c r="I22" s="91"/>
      <c r="J22" s="92"/>
      <c r="K22" s="168"/>
      <c r="L22" s="91"/>
      <c r="M22" s="92"/>
      <c r="N22" s="168"/>
      <c r="O22" s="89"/>
      <c r="P22" s="90"/>
      <c r="Q22" s="169"/>
      <c r="R22" s="6"/>
      <c r="S22" s="6"/>
    </row>
    <row r="23" spans="1:33" s="7" customFormat="1" ht="15" customHeight="1">
      <c r="A23" s="127"/>
      <c r="B23" s="86">
        <v>11</v>
      </c>
      <c r="C23" s="91"/>
      <c r="D23" s="92"/>
      <c r="E23" s="168"/>
      <c r="F23" s="91"/>
      <c r="G23" s="92"/>
      <c r="H23" s="168"/>
      <c r="I23" s="91"/>
      <c r="J23" s="92"/>
      <c r="K23" s="168"/>
      <c r="L23" s="91"/>
      <c r="M23" s="92"/>
      <c r="N23" s="168"/>
      <c r="O23" s="89"/>
      <c r="P23" s="90"/>
      <c r="Q23" s="169"/>
      <c r="R23" s="6"/>
      <c r="S23" s="6"/>
    </row>
    <row r="24" spans="1:33" s="7" customFormat="1" ht="15" customHeight="1" thickBot="1">
      <c r="A24" s="160" t="s">
        <v>12</v>
      </c>
      <c r="B24" s="86" t="s">
        <v>79</v>
      </c>
      <c r="C24" s="91"/>
      <c r="D24" s="92"/>
      <c r="E24" s="168"/>
      <c r="F24" s="91"/>
      <c r="G24" s="92"/>
      <c r="H24" s="168"/>
      <c r="I24" s="91"/>
      <c r="J24" s="92"/>
      <c r="K24" s="168"/>
      <c r="L24" s="91"/>
      <c r="M24" s="92"/>
      <c r="N24" s="168"/>
      <c r="O24" s="89">
        <f>SUM(C24+F24+I24+L24)</f>
        <v>0</v>
      </c>
      <c r="P24" s="90" t="str">
        <f>IF(SUM(D24+G24+J24+M24)&gt;0,(C24*D24+F24*G24+I24*J24+L24*M24)/SUM(C24+F24+I24+L24),"")</f>
        <v/>
      </c>
      <c r="Q24" s="169" t="str">
        <f>IF(SUM(E24,H24,K24,N24)&gt;0,SUM(C24*E24+F24*H24+I24*K24+L24*N24)/SUM(C24+F24+I24+L24),"")</f>
        <v/>
      </c>
      <c r="R24" s="6"/>
      <c r="S24" s="6"/>
    </row>
    <row r="25" spans="1:33" s="7" customFormat="1" ht="15" customHeight="1" thickBot="1">
      <c r="A25" s="5"/>
      <c r="B25" s="136" t="s">
        <v>19</v>
      </c>
      <c r="C25" s="70" t="str">
        <f>IF(SUM(C12:C24)&gt;0,SUM(C12:C24),"na")</f>
        <v>na</v>
      </c>
      <c r="D25" s="23" t="str">
        <f>IF(SUM(D12:D24)&gt;0,SUMPRODUCT(C12:C24,D12:D24)/C25,"na")</f>
        <v>na</v>
      </c>
      <c r="E25" s="171" t="str">
        <f>IF(SUM(E12:E24)&gt;0,SUMPRODUCT(C12:C24,E12:E24)/C25,"na")</f>
        <v>na</v>
      </c>
      <c r="F25" s="70" t="str">
        <f>IF(SUM(F12:F24)&gt;0,SUM(F12:F24),"na")</f>
        <v>na</v>
      </c>
      <c r="G25" s="23" t="str">
        <f>IF(SUM(G12:G24)&gt;0,SUMPRODUCT(F12:F24,G12:G24)/F25,"na")</f>
        <v>na</v>
      </c>
      <c r="H25" s="24" t="str">
        <f>IF(SUM(H12:H24)&gt;0,SUMPRODUCT(F12:F24,H12:H24)/F25,"na")</f>
        <v>na</v>
      </c>
      <c r="I25" s="70" t="str">
        <f>IF(SUM(I12:I24)&gt;0,SUM(I12:I24),"na")</f>
        <v>na</v>
      </c>
      <c r="J25" s="23" t="str">
        <f>IF(SUM(J12:J24)&gt;0,SUMPRODUCT(I12:I24,J12:J24)/I25,"na")</f>
        <v>na</v>
      </c>
      <c r="K25" s="171" t="str">
        <f>IF(SUM(K12:K24)&gt;0,SUMPRODUCT(I12:I24,K12:K24)/I25,"na")</f>
        <v>na</v>
      </c>
      <c r="L25" s="70" t="str">
        <f>IF(SUM(L12:L24)&gt;0,SUM(L12:L24),"na")</f>
        <v>na</v>
      </c>
      <c r="M25" s="23" t="str">
        <f>IF(SUM(M12:M24)&gt;0,SUMPRODUCT(L12:L24,M12:M24)/L25,"na")</f>
        <v>na</v>
      </c>
      <c r="N25" s="24" t="str">
        <f>IF(SUM(N12:N24)&gt;0,SUMPRODUCT(L12:L24,N12:N24)/L25,"na")</f>
        <v>na</v>
      </c>
      <c r="O25" s="70" t="str">
        <f>IF(SUM(O12:O24)&gt;0,SUM(O12:O24),"na")</f>
        <v>na</v>
      </c>
      <c r="P25" s="23" t="str">
        <f>IF(SUM(P12:P24)&gt;0,SUMPRODUCT(O12:O24,P12:P24)/O25,"na")</f>
        <v>na</v>
      </c>
      <c r="Q25" s="25" t="str">
        <f>IF(SUM(Q12:Q24)&gt;0,SUMPRODUCT(O12:O24,Q12:Q24)/O25,"na")</f>
        <v>na</v>
      </c>
      <c r="R25" s="6"/>
      <c r="S25" s="6"/>
    </row>
    <row r="26" spans="1:33" s="102" customFormat="1" ht="6.75" customHeight="1" thickBot="1">
      <c r="A26" s="4"/>
      <c r="B26" s="4"/>
      <c r="C26" s="106"/>
      <c r="D26" s="107"/>
      <c r="E26" s="108"/>
      <c r="F26" s="114"/>
      <c r="G26" s="115"/>
      <c r="H26" s="108"/>
      <c r="I26" s="114"/>
      <c r="J26" s="115"/>
      <c r="K26" s="108"/>
      <c r="L26" s="114"/>
      <c r="M26" s="115"/>
      <c r="N26" s="108"/>
      <c r="O26" s="114"/>
      <c r="P26" s="116"/>
      <c r="Q26" s="117"/>
      <c r="R26" s="38"/>
      <c r="S26" s="38"/>
    </row>
    <row r="27" spans="1:33" s="7" customFormat="1" ht="13.5" customHeight="1">
      <c r="A27" s="4"/>
      <c r="B27" s="4"/>
      <c r="C27" s="109" t="s">
        <v>134</v>
      </c>
      <c r="D27" s="164"/>
      <c r="E27" s="110" t="s">
        <v>20</v>
      </c>
      <c r="F27" s="109" t="s">
        <v>134</v>
      </c>
      <c r="G27" s="164"/>
      <c r="H27" s="110" t="s">
        <v>20</v>
      </c>
      <c r="I27" s="109" t="s">
        <v>134</v>
      </c>
      <c r="J27" s="164"/>
      <c r="K27" s="110" t="s">
        <v>20</v>
      </c>
      <c r="L27" s="109" t="s">
        <v>134</v>
      </c>
      <c r="M27" s="164"/>
      <c r="N27" s="110" t="s">
        <v>20</v>
      </c>
      <c r="O27" s="109" t="s">
        <v>134</v>
      </c>
      <c r="P27" s="93">
        <f>SUM(M27,J27,G27,D27)</f>
        <v>0</v>
      </c>
      <c r="Q27" s="110" t="s">
        <v>20</v>
      </c>
      <c r="R27" s="6"/>
      <c r="S27" s="6"/>
    </row>
    <row r="28" spans="1:33" s="7" customFormat="1" ht="13.5" customHeight="1">
      <c r="A28" s="8"/>
      <c r="B28" s="4"/>
      <c r="C28" s="109" t="s">
        <v>21</v>
      </c>
      <c r="D28" s="94" t="str">
        <f>IF(SUM(E12:E24)&gt;0,(C25*E25),"na")</f>
        <v>na</v>
      </c>
      <c r="E28" s="110" t="s">
        <v>20</v>
      </c>
      <c r="F28" s="109" t="s">
        <v>21</v>
      </c>
      <c r="G28" s="94" t="str">
        <f>IF(SUM(H12:H24)&gt;0,(F25*H25),"na")</f>
        <v>na</v>
      </c>
      <c r="H28" s="110" t="s">
        <v>20</v>
      </c>
      <c r="I28" s="109" t="s">
        <v>21</v>
      </c>
      <c r="J28" s="94" t="str">
        <f>IF(SUM(K12:K24)&gt;0,(I25*K25),"na")</f>
        <v>na</v>
      </c>
      <c r="K28" s="110" t="s">
        <v>20</v>
      </c>
      <c r="L28" s="109" t="s">
        <v>21</v>
      </c>
      <c r="M28" s="94" t="str">
        <f>IF(SUM(N12:N24)&gt;0,(L25*N25),"na")</f>
        <v>na</v>
      </c>
      <c r="N28" s="110" t="s">
        <v>20</v>
      </c>
      <c r="O28" s="109" t="s">
        <v>21</v>
      </c>
      <c r="P28" s="94" t="str">
        <f>IF(SUM(Q12:Q24)&gt;0,(O25*Q25),"na")</f>
        <v>na</v>
      </c>
      <c r="Q28" s="110" t="s">
        <v>20</v>
      </c>
      <c r="R28" s="6"/>
      <c r="S28" s="6"/>
      <c r="T28" s="255"/>
      <c r="U28" s="255"/>
      <c r="V28" s="255"/>
      <c r="W28" s="255"/>
      <c r="X28" s="255"/>
      <c r="Y28" s="255"/>
      <c r="Z28" s="255"/>
      <c r="AA28" s="255"/>
      <c r="AB28" s="255"/>
      <c r="AC28" s="255"/>
      <c r="AD28" s="255"/>
      <c r="AE28" s="255"/>
      <c r="AF28" s="255"/>
      <c r="AG28" s="255"/>
    </row>
    <row r="29" spans="1:33" s="7" customFormat="1" ht="13.5" customHeight="1" thickBot="1">
      <c r="A29" s="8"/>
      <c r="B29" s="4"/>
      <c r="C29" s="109" t="s">
        <v>21</v>
      </c>
      <c r="D29" s="95" t="str">
        <f>IF(SUM(E12:E24)&gt;0,D28/D27,"na")</f>
        <v>na</v>
      </c>
      <c r="E29" s="111" t="s">
        <v>22</v>
      </c>
      <c r="F29" s="109" t="s">
        <v>21</v>
      </c>
      <c r="G29" s="95" t="str">
        <f>IF(SUM(H12:H24)&gt;0,G28/G27,"na")</f>
        <v>na</v>
      </c>
      <c r="H29" s="111" t="s">
        <v>22</v>
      </c>
      <c r="I29" s="109" t="s">
        <v>21</v>
      </c>
      <c r="J29" s="95" t="str">
        <f>IF(SUM(K12:K24)&gt;0,J28/J27,"na")</f>
        <v>na</v>
      </c>
      <c r="K29" s="111" t="s">
        <v>22</v>
      </c>
      <c r="L29" s="109" t="s">
        <v>21</v>
      </c>
      <c r="M29" s="95" t="str">
        <f>IF(SUM(N12:N24)&gt;0,M28/M27,"na")</f>
        <v>na</v>
      </c>
      <c r="N29" s="111" t="s">
        <v>22</v>
      </c>
      <c r="O29" s="109" t="s">
        <v>21</v>
      </c>
      <c r="P29" s="95" t="str">
        <f>IF(SUM(Q12:Q24)&gt;0,P28/P27,"na")</f>
        <v>na</v>
      </c>
      <c r="Q29" s="111" t="s">
        <v>22</v>
      </c>
      <c r="R29" s="6"/>
      <c r="S29" s="6"/>
      <c r="T29" s="255"/>
      <c r="U29" s="255"/>
      <c r="V29" s="255"/>
      <c r="W29" s="255"/>
      <c r="X29" s="255"/>
      <c r="Y29" s="255"/>
      <c r="Z29" s="255"/>
      <c r="AA29" s="255"/>
      <c r="AB29" s="255"/>
      <c r="AC29" s="255"/>
      <c r="AD29" s="255"/>
      <c r="AE29" s="255"/>
      <c r="AF29" s="255"/>
      <c r="AG29" s="255"/>
    </row>
    <row r="30" spans="1:33" s="6" customFormat="1" ht="6" customHeight="1" thickBot="1">
      <c r="A30" s="8"/>
      <c r="B30" s="4"/>
      <c r="C30" s="112"/>
      <c r="D30" s="35"/>
      <c r="E30" s="111"/>
      <c r="F30" s="112"/>
      <c r="G30" s="35"/>
      <c r="H30" s="111"/>
      <c r="I30" s="112"/>
      <c r="J30" s="35"/>
      <c r="K30" s="111"/>
      <c r="L30" s="112"/>
      <c r="M30" s="35"/>
      <c r="N30" s="111"/>
      <c r="O30" s="112"/>
      <c r="P30" s="35"/>
      <c r="Q30" s="111"/>
      <c r="T30" s="255"/>
      <c r="U30" s="255"/>
      <c r="V30" s="255"/>
      <c r="W30" s="255"/>
      <c r="X30" s="255"/>
      <c r="Y30" s="255"/>
      <c r="Z30" s="255"/>
      <c r="AA30" s="255"/>
      <c r="AB30" s="255"/>
      <c r="AC30" s="255"/>
      <c r="AD30" s="255"/>
      <c r="AE30" s="255"/>
      <c r="AF30" s="255"/>
      <c r="AG30" s="255"/>
    </row>
    <row r="31" spans="1:33" s="6" customFormat="1" ht="13.5" customHeight="1" thickBot="1">
      <c r="A31" s="8"/>
      <c r="B31" s="4"/>
      <c r="C31" s="109" t="s">
        <v>23</v>
      </c>
      <c r="D31" s="165"/>
      <c r="E31" s="111" t="s">
        <v>24</v>
      </c>
      <c r="F31" s="109" t="s">
        <v>23</v>
      </c>
      <c r="G31" s="165"/>
      <c r="H31" s="111" t="s">
        <v>24</v>
      </c>
      <c r="I31" s="109" t="s">
        <v>23</v>
      </c>
      <c r="J31" s="165"/>
      <c r="K31" s="111" t="s">
        <v>24</v>
      </c>
      <c r="L31" s="109" t="s">
        <v>23</v>
      </c>
      <c r="M31" s="166"/>
      <c r="N31" s="111" t="s">
        <v>24</v>
      </c>
      <c r="O31" s="109" t="s">
        <v>23</v>
      </c>
      <c r="P31" s="96"/>
      <c r="Q31" s="111" t="s">
        <v>24</v>
      </c>
      <c r="T31" s="255"/>
      <c r="U31" s="255"/>
      <c r="V31" s="255"/>
      <c r="W31" s="255"/>
      <c r="X31" s="255"/>
      <c r="Y31" s="255"/>
      <c r="Z31" s="255"/>
      <c r="AA31" s="255"/>
      <c r="AB31" s="255"/>
      <c r="AC31" s="255"/>
      <c r="AD31" s="255"/>
      <c r="AE31" s="255"/>
      <c r="AF31" s="255"/>
      <c r="AG31" s="255"/>
    </row>
    <row r="32" spans="1:33" s="7" customFormat="1" ht="14.25" customHeight="1" thickBot="1">
      <c r="A32" s="8"/>
      <c r="B32" s="9"/>
      <c r="C32" s="113"/>
      <c r="D32" s="104"/>
      <c r="E32" s="105"/>
      <c r="F32" s="113"/>
      <c r="G32" s="104"/>
      <c r="H32" s="105"/>
      <c r="I32" s="113"/>
      <c r="J32" s="104"/>
      <c r="K32" s="105"/>
      <c r="L32" s="113"/>
      <c r="M32" s="104"/>
      <c r="N32" s="105"/>
      <c r="O32" s="113"/>
      <c r="P32" s="104"/>
      <c r="Q32" s="105"/>
      <c r="R32" s="6"/>
      <c r="S32" s="6"/>
      <c r="T32" s="255"/>
      <c r="U32" s="255"/>
      <c r="V32" s="255"/>
      <c r="W32" s="255"/>
      <c r="X32" s="255"/>
      <c r="Y32" s="255"/>
      <c r="Z32" s="255"/>
      <c r="AA32" s="255"/>
      <c r="AB32" s="255"/>
      <c r="AC32" s="255"/>
      <c r="AD32" s="255"/>
      <c r="AE32" s="255"/>
      <c r="AF32" s="255"/>
      <c r="AG32" s="255"/>
    </row>
    <row r="33" spans="1:22" s="7" customFormat="1">
      <c r="A33" s="8"/>
      <c r="B33" s="9"/>
      <c r="C33" s="6"/>
      <c r="D33" s="6"/>
      <c r="E33" s="6"/>
      <c r="F33" s="6"/>
      <c r="G33" s="6"/>
      <c r="H33" s="6"/>
      <c r="I33" s="6"/>
      <c r="J33" s="6"/>
      <c r="K33" s="6"/>
      <c r="L33" s="6"/>
      <c r="M33" s="6"/>
      <c r="N33" s="6"/>
      <c r="O33" s="6"/>
      <c r="P33" s="6"/>
      <c r="Q33" s="6"/>
      <c r="R33" s="6"/>
      <c r="S33" s="6"/>
      <c r="T33" s="255"/>
      <c r="U33" s="255"/>
      <c r="V33" s="255"/>
    </row>
    <row r="34" spans="1:22">
      <c r="T34" s="178"/>
      <c r="U34" s="178"/>
      <c r="V34" s="178"/>
    </row>
  </sheetData>
  <sheetProtection scenarios="1"/>
  <mergeCells count="3">
    <mergeCell ref="I4:K4"/>
    <mergeCell ref="I6:K6"/>
    <mergeCell ref="C8:D8"/>
  </mergeCells>
  <conditionalFormatting sqref="A2:R3 A5:R5 A4:I4 L4:R4 A6:I6 L6:R6 A7:R34 H1:R1">
    <cfRule type="expression" dxfId="4" priority="1" stopIfTrue="1">
      <formula>CELL("Protect",A1)=1</formula>
    </cfRule>
  </conditionalFormatting>
  <dataValidations count="1">
    <dataValidation type="decimal" errorStyle="warning" allowBlank="1" showInputMessage="1" showErrorMessage="1" errorTitle="Please Check!" error="Confirm that the value you have entered is correct" sqref="N12:N24 H12:H24 K12:K24 E12:E24" xr:uid="{882E2901-BCFE-4402-853F-8B7986731891}">
      <formula1>0.06</formula1>
      <formula2>1.5</formula2>
    </dataValidation>
  </dataValidation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A2D543-F6D8-4FE3-8B78-788515BE8A27}">
  <sheetPr codeName="Hoja1">
    <tabColor rgb="FFFFFFCC"/>
  </sheetPr>
  <dimension ref="A1:BG110"/>
  <sheetViews>
    <sheetView workbookViewId="0">
      <selection sqref="A1:J1"/>
    </sheetView>
  </sheetViews>
  <sheetFormatPr defaultColWidth="8.85546875" defaultRowHeight="12.75"/>
  <cols>
    <col min="1" max="1" width="12.42578125" customWidth="1"/>
    <col min="2" max="5" width="11" customWidth="1"/>
    <col min="6" max="6" width="6.7109375" customWidth="1"/>
    <col min="7" max="9" width="10.140625" customWidth="1"/>
    <col min="10" max="14" width="6.7109375" customWidth="1"/>
    <col min="15" max="15" width="9.42578125" customWidth="1"/>
    <col min="16" max="16" width="12.42578125" customWidth="1"/>
    <col min="17" max="29" width="6.7109375" customWidth="1"/>
    <col min="30" max="30" width="3.7109375" customWidth="1"/>
    <col min="31" max="31" width="12.42578125" customWidth="1"/>
    <col min="32" max="44" width="6.7109375" customWidth="1"/>
    <col min="45" max="45" width="3.7109375" customWidth="1"/>
    <col min="46" max="46" width="12.42578125" customWidth="1"/>
    <col min="47" max="59" width="6.7109375" customWidth="1"/>
    <col min="257" max="257" width="12.42578125" customWidth="1"/>
    <col min="259" max="261" width="9.42578125" bestFit="1" customWidth="1"/>
    <col min="262" max="270" width="6.7109375" customWidth="1"/>
    <col min="271" max="271" width="3.7109375" customWidth="1"/>
    <col min="272" max="272" width="12.42578125" customWidth="1"/>
    <col min="273" max="285" width="6.7109375" customWidth="1"/>
    <col min="286" max="286" width="3.7109375" customWidth="1"/>
    <col min="287" max="287" width="12.42578125" customWidth="1"/>
    <col min="288" max="300" width="6.7109375" customWidth="1"/>
    <col min="301" max="301" width="3.7109375" customWidth="1"/>
    <col min="302" max="302" width="12.42578125" customWidth="1"/>
    <col min="303" max="315" width="6.7109375" customWidth="1"/>
    <col min="513" max="513" width="12.42578125" customWidth="1"/>
    <col min="515" max="517" width="9.42578125" bestFit="1" customWidth="1"/>
    <col min="518" max="526" width="6.7109375" customWidth="1"/>
    <col min="527" max="527" width="3.7109375" customWidth="1"/>
    <col min="528" max="528" width="12.42578125" customWidth="1"/>
    <col min="529" max="541" width="6.7109375" customWidth="1"/>
    <col min="542" max="542" width="3.7109375" customWidth="1"/>
    <col min="543" max="543" width="12.42578125" customWidth="1"/>
    <col min="544" max="556" width="6.7109375" customWidth="1"/>
    <col min="557" max="557" width="3.7109375" customWidth="1"/>
    <col min="558" max="558" width="12.42578125" customWidth="1"/>
    <col min="559" max="571" width="6.7109375" customWidth="1"/>
    <col min="769" max="769" width="12.42578125" customWidth="1"/>
    <col min="771" max="773" width="9.42578125" bestFit="1" customWidth="1"/>
    <col min="774" max="782" width="6.7109375" customWidth="1"/>
    <col min="783" max="783" width="3.7109375" customWidth="1"/>
    <col min="784" max="784" width="12.42578125" customWidth="1"/>
    <col min="785" max="797" width="6.7109375" customWidth="1"/>
    <col min="798" max="798" width="3.7109375" customWidth="1"/>
    <col min="799" max="799" width="12.42578125" customWidth="1"/>
    <col min="800" max="812" width="6.7109375" customWidth="1"/>
    <col min="813" max="813" width="3.7109375" customWidth="1"/>
    <col min="814" max="814" width="12.42578125" customWidth="1"/>
    <col min="815" max="827" width="6.7109375" customWidth="1"/>
    <col min="1025" max="1025" width="12.42578125" customWidth="1"/>
    <col min="1027" max="1029" width="9.42578125" bestFit="1" customWidth="1"/>
    <col min="1030" max="1038" width="6.7109375" customWidth="1"/>
    <col min="1039" max="1039" width="3.7109375" customWidth="1"/>
    <col min="1040" max="1040" width="12.42578125" customWidth="1"/>
    <col min="1041" max="1053" width="6.7109375" customWidth="1"/>
    <col min="1054" max="1054" width="3.7109375" customWidth="1"/>
    <col min="1055" max="1055" width="12.42578125" customWidth="1"/>
    <col min="1056" max="1068" width="6.7109375" customWidth="1"/>
    <col min="1069" max="1069" width="3.7109375" customWidth="1"/>
    <col min="1070" max="1070" width="12.42578125" customWidth="1"/>
    <col min="1071" max="1083" width="6.7109375" customWidth="1"/>
    <col min="1281" max="1281" width="12.42578125" customWidth="1"/>
    <col min="1283" max="1285" width="9.42578125" bestFit="1" customWidth="1"/>
    <col min="1286" max="1294" width="6.7109375" customWidth="1"/>
    <col min="1295" max="1295" width="3.7109375" customWidth="1"/>
    <col min="1296" max="1296" width="12.42578125" customWidth="1"/>
    <col min="1297" max="1309" width="6.7109375" customWidth="1"/>
    <col min="1310" max="1310" width="3.7109375" customWidth="1"/>
    <col min="1311" max="1311" width="12.42578125" customWidth="1"/>
    <col min="1312" max="1324" width="6.7109375" customWidth="1"/>
    <col min="1325" max="1325" width="3.7109375" customWidth="1"/>
    <col min="1326" max="1326" width="12.42578125" customWidth="1"/>
    <col min="1327" max="1339" width="6.7109375" customWidth="1"/>
    <col min="1537" max="1537" width="12.42578125" customWidth="1"/>
    <col min="1539" max="1541" width="9.42578125" bestFit="1" customWidth="1"/>
    <col min="1542" max="1550" width="6.7109375" customWidth="1"/>
    <col min="1551" max="1551" width="3.7109375" customWidth="1"/>
    <col min="1552" max="1552" width="12.42578125" customWidth="1"/>
    <col min="1553" max="1565" width="6.7109375" customWidth="1"/>
    <col min="1566" max="1566" width="3.7109375" customWidth="1"/>
    <col min="1567" max="1567" width="12.42578125" customWidth="1"/>
    <col min="1568" max="1580" width="6.7109375" customWidth="1"/>
    <col min="1581" max="1581" width="3.7109375" customWidth="1"/>
    <col min="1582" max="1582" width="12.42578125" customWidth="1"/>
    <col min="1583" max="1595" width="6.7109375" customWidth="1"/>
    <col min="1793" max="1793" width="12.42578125" customWidth="1"/>
    <col min="1795" max="1797" width="9.42578125" bestFit="1" customWidth="1"/>
    <col min="1798" max="1806" width="6.7109375" customWidth="1"/>
    <col min="1807" max="1807" width="3.7109375" customWidth="1"/>
    <col min="1808" max="1808" width="12.42578125" customWidth="1"/>
    <col min="1809" max="1821" width="6.7109375" customWidth="1"/>
    <col min="1822" max="1822" width="3.7109375" customWidth="1"/>
    <col min="1823" max="1823" width="12.42578125" customWidth="1"/>
    <col min="1824" max="1836" width="6.7109375" customWidth="1"/>
    <col min="1837" max="1837" width="3.7109375" customWidth="1"/>
    <col min="1838" max="1838" width="12.42578125" customWidth="1"/>
    <col min="1839" max="1851" width="6.7109375" customWidth="1"/>
    <col min="2049" max="2049" width="12.42578125" customWidth="1"/>
    <col min="2051" max="2053" width="9.42578125" bestFit="1" customWidth="1"/>
    <col min="2054" max="2062" width="6.7109375" customWidth="1"/>
    <col min="2063" max="2063" width="3.7109375" customWidth="1"/>
    <col min="2064" max="2064" width="12.42578125" customWidth="1"/>
    <col min="2065" max="2077" width="6.7109375" customWidth="1"/>
    <col min="2078" max="2078" width="3.7109375" customWidth="1"/>
    <col min="2079" max="2079" width="12.42578125" customWidth="1"/>
    <col min="2080" max="2092" width="6.7109375" customWidth="1"/>
    <col min="2093" max="2093" width="3.7109375" customWidth="1"/>
    <col min="2094" max="2094" width="12.42578125" customWidth="1"/>
    <col min="2095" max="2107" width="6.7109375" customWidth="1"/>
    <col min="2305" max="2305" width="12.42578125" customWidth="1"/>
    <col min="2307" max="2309" width="9.42578125" bestFit="1" customWidth="1"/>
    <col min="2310" max="2318" width="6.7109375" customWidth="1"/>
    <col min="2319" max="2319" width="3.7109375" customWidth="1"/>
    <col min="2320" max="2320" width="12.42578125" customWidth="1"/>
    <col min="2321" max="2333" width="6.7109375" customWidth="1"/>
    <col min="2334" max="2334" width="3.7109375" customWidth="1"/>
    <col min="2335" max="2335" width="12.42578125" customWidth="1"/>
    <col min="2336" max="2348" width="6.7109375" customWidth="1"/>
    <col min="2349" max="2349" width="3.7109375" customWidth="1"/>
    <col min="2350" max="2350" width="12.42578125" customWidth="1"/>
    <col min="2351" max="2363" width="6.7109375" customWidth="1"/>
    <col min="2561" max="2561" width="12.42578125" customWidth="1"/>
    <col min="2563" max="2565" width="9.42578125" bestFit="1" customWidth="1"/>
    <col min="2566" max="2574" width="6.7109375" customWidth="1"/>
    <col min="2575" max="2575" width="3.7109375" customWidth="1"/>
    <col min="2576" max="2576" width="12.42578125" customWidth="1"/>
    <col min="2577" max="2589" width="6.7109375" customWidth="1"/>
    <col min="2590" max="2590" width="3.7109375" customWidth="1"/>
    <col min="2591" max="2591" width="12.42578125" customWidth="1"/>
    <col min="2592" max="2604" width="6.7109375" customWidth="1"/>
    <col min="2605" max="2605" width="3.7109375" customWidth="1"/>
    <col min="2606" max="2606" width="12.42578125" customWidth="1"/>
    <col min="2607" max="2619" width="6.7109375" customWidth="1"/>
    <col min="2817" max="2817" width="12.42578125" customWidth="1"/>
    <col min="2819" max="2821" width="9.42578125" bestFit="1" customWidth="1"/>
    <col min="2822" max="2830" width="6.7109375" customWidth="1"/>
    <col min="2831" max="2831" width="3.7109375" customWidth="1"/>
    <col min="2832" max="2832" width="12.42578125" customWidth="1"/>
    <col min="2833" max="2845" width="6.7109375" customWidth="1"/>
    <col min="2846" max="2846" width="3.7109375" customWidth="1"/>
    <col min="2847" max="2847" width="12.42578125" customWidth="1"/>
    <col min="2848" max="2860" width="6.7109375" customWidth="1"/>
    <col min="2861" max="2861" width="3.7109375" customWidth="1"/>
    <col min="2862" max="2862" width="12.42578125" customWidth="1"/>
    <col min="2863" max="2875" width="6.7109375" customWidth="1"/>
    <col min="3073" max="3073" width="12.42578125" customWidth="1"/>
    <col min="3075" max="3077" width="9.42578125" bestFit="1" customWidth="1"/>
    <col min="3078" max="3086" width="6.7109375" customWidth="1"/>
    <col min="3087" max="3087" width="3.7109375" customWidth="1"/>
    <col min="3088" max="3088" width="12.42578125" customWidth="1"/>
    <col min="3089" max="3101" width="6.7109375" customWidth="1"/>
    <col min="3102" max="3102" width="3.7109375" customWidth="1"/>
    <col min="3103" max="3103" width="12.42578125" customWidth="1"/>
    <col min="3104" max="3116" width="6.7109375" customWidth="1"/>
    <col min="3117" max="3117" width="3.7109375" customWidth="1"/>
    <col min="3118" max="3118" width="12.42578125" customWidth="1"/>
    <col min="3119" max="3131" width="6.7109375" customWidth="1"/>
    <col min="3329" max="3329" width="12.42578125" customWidth="1"/>
    <col min="3331" max="3333" width="9.42578125" bestFit="1" customWidth="1"/>
    <col min="3334" max="3342" width="6.7109375" customWidth="1"/>
    <col min="3343" max="3343" width="3.7109375" customWidth="1"/>
    <col min="3344" max="3344" width="12.42578125" customWidth="1"/>
    <col min="3345" max="3357" width="6.7109375" customWidth="1"/>
    <col min="3358" max="3358" width="3.7109375" customWidth="1"/>
    <col min="3359" max="3359" width="12.42578125" customWidth="1"/>
    <col min="3360" max="3372" width="6.7109375" customWidth="1"/>
    <col min="3373" max="3373" width="3.7109375" customWidth="1"/>
    <col min="3374" max="3374" width="12.42578125" customWidth="1"/>
    <col min="3375" max="3387" width="6.7109375" customWidth="1"/>
    <col min="3585" max="3585" width="12.42578125" customWidth="1"/>
    <col min="3587" max="3589" width="9.42578125" bestFit="1" customWidth="1"/>
    <col min="3590" max="3598" width="6.7109375" customWidth="1"/>
    <col min="3599" max="3599" width="3.7109375" customWidth="1"/>
    <col min="3600" max="3600" width="12.42578125" customWidth="1"/>
    <col min="3601" max="3613" width="6.7109375" customWidth="1"/>
    <col min="3614" max="3614" width="3.7109375" customWidth="1"/>
    <col min="3615" max="3615" width="12.42578125" customWidth="1"/>
    <col min="3616" max="3628" width="6.7109375" customWidth="1"/>
    <col min="3629" max="3629" width="3.7109375" customWidth="1"/>
    <col min="3630" max="3630" width="12.42578125" customWidth="1"/>
    <col min="3631" max="3643" width="6.7109375" customWidth="1"/>
    <col min="3841" max="3841" width="12.42578125" customWidth="1"/>
    <col min="3843" max="3845" width="9.42578125" bestFit="1" customWidth="1"/>
    <col min="3846" max="3854" width="6.7109375" customWidth="1"/>
    <col min="3855" max="3855" width="3.7109375" customWidth="1"/>
    <col min="3856" max="3856" width="12.42578125" customWidth="1"/>
    <col min="3857" max="3869" width="6.7109375" customWidth="1"/>
    <col min="3870" max="3870" width="3.7109375" customWidth="1"/>
    <col min="3871" max="3871" width="12.42578125" customWidth="1"/>
    <col min="3872" max="3884" width="6.7109375" customWidth="1"/>
    <col min="3885" max="3885" width="3.7109375" customWidth="1"/>
    <col min="3886" max="3886" width="12.42578125" customWidth="1"/>
    <col min="3887" max="3899" width="6.7109375" customWidth="1"/>
    <col min="4097" max="4097" width="12.42578125" customWidth="1"/>
    <col min="4099" max="4101" width="9.42578125" bestFit="1" customWidth="1"/>
    <col min="4102" max="4110" width="6.7109375" customWidth="1"/>
    <col min="4111" max="4111" width="3.7109375" customWidth="1"/>
    <col min="4112" max="4112" width="12.42578125" customWidth="1"/>
    <col min="4113" max="4125" width="6.7109375" customWidth="1"/>
    <col min="4126" max="4126" width="3.7109375" customWidth="1"/>
    <col min="4127" max="4127" width="12.42578125" customWidth="1"/>
    <col min="4128" max="4140" width="6.7109375" customWidth="1"/>
    <col min="4141" max="4141" width="3.7109375" customWidth="1"/>
    <col min="4142" max="4142" width="12.42578125" customWidth="1"/>
    <col min="4143" max="4155" width="6.7109375" customWidth="1"/>
    <col min="4353" max="4353" width="12.42578125" customWidth="1"/>
    <col min="4355" max="4357" width="9.42578125" bestFit="1" customWidth="1"/>
    <col min="4358" max="4366" width="6.7109375" customWidth="1"/>
    <col min="4367" max="4367" width="3.7109375" customWidth="1"/>
    <col min="4368" max="4368" width="12.42578125" customWidth="1"/>
    <col min="4369" max="4381" width="6.7109375" customWidth="1"/>
    <col min="4382" max="4382" width="3.7109375" customWidth="1"/>
    <col min="4383" max="4383" width="12.42578125" customWidth="1"/>
    <col min="4384" max="4396" width="6.7109375" customWidth="1"/>
    <col min="4397" max="4397" width="3.7109375" customWidth="1"/>
    <col min="4398" max="4398" width="12.42578125" customWidth="1"/>
    <col min="4399" max="4411" width="6.7109375" customWidth="1"/>
    <col min="4609" max="4609" width="12.42578125" customWidth="1"/>
    <col min="4611" max="4613" width="9.42578125" bestFit="1" customWidth="1"/>
    <col min="4614" max="4622" width="6.7109375" customWidth="1"/>
    <col min="4623" max="4623" width="3.7109375" customWidth="1"/>
    <col min="4624" max="4624" width="12.42578125" customWidth="1"/>
    <col min="4625" max="4637" width="6.7109375" customWidth="1"/>
    <col min="4638" max="4638" width="3.7109375" customWidth="1"/>
    <col min="4639" max="4639" width="12.42578125" customWidth="1"/>
    <col min="4640" max="4652" width="6.7109375" customWidth="1"/>
    <col min="4653" max="4653" width="3.7109375" customWidth="1"/>
    <col min="4654" max="4654" width="12.42578125" customWidth="1"/>
    <col min="4655" max="4667" width="6.7109375" customWidth="1"/>
    <col min="4865" max="4865" width="12.42578125" customWidth="1"/>
    <col min="4867" max="4869" width="9.42578125" bestFit="1" customWidth="1"/>
    <col min="4870" max="4878" width="6.7109375" customWidth="1"/>
    <col min="4879" max="4879" width="3.7109375" customWidth="1"/>
    <col min="4880" max="4880" width="12.42578125" customWidth="1"/>
    <col min="4881" max="4893" width="6.7109375" customWidth="1"/>
    <col min="4894" max="4894" width="3.7109375" customWidth="1"/>
    <col min="4895" max="4895" width="12.42578125" customWidth="1"/>
    <col min="4896" max="4908" width="6.7109375" customWidth="1"/>
    <col min="4909" max="4909" width="3.7109375" customWidth="1"/>
    <col min="4910" max="4910" width="12.42578125" customWidth="1"/>
    <col min="4911" max="4923" width="6.7109375" customWidth="1"/>
    <col min="5121" max="5121" width="12.42578125" customWidth="1"/>
    <col min="5123" max="5125" width="9.42578125" bestFit="1" customWidth="1"/>
    <col min="5126" max="5134" width="6.7109375" customWidth="1"/>
    <col min="5135" max="5135" width="3.7109375" customWidth="1"/>
    <col min="5136" max="5136" width="12.42578125" customWidth="1"/>
    <col min="5137" max="5149" width="6.7109375" customWidth="1"/>
    <col min="5150" max="5150" width="3.7109375" customWidth="1"/>
    <col min="5151" max="5151" width="12.42578125" customWidth="1"/>
    <col min="5152" max="5164" width="6.7109375" customWidth="1"/>
    <col min="5165" max="5165" width="3.7109375" customWidth="1"/>
    <col min="5166" max="5166" width="12.42578125" customWidth="1"/>
    <col min="5167" max="5179" width="6.7109375" customWidth="1"/>
    <col min="5377" max="5377" width="12.42578125" customWidth="1"/>
    <col min="5379" max="5381" width="9.42578125" bestFit="1" customWidth="1"/>
    <col min="5382" max="5390" width="6.7109375" customWidth="1"/>
    <col min="5391" max="5391" width="3.7109375" customWidth="1"/>
    <col min="5392" max="5392" width="12.42578125" customWidth="1"/>
    <col min="5393" max="5405" width="6.7109375" customWidth="1"/>
    <col min="5406" max="5406" width="3.7109375" customWidth="1"/>
    <col min="5407" max="5407" width="12.42578125" customWidth="1"/>
    <col min="5408" max="5420" width="6.7109375" customWidth="1"/>
    <col min="5421" max="5421" width="3.7109375" customWidth="1"/>
    <col min="5422" max="5422" width="12.42578125" customWidth="1"/>
    <col min="5423" max="5435" width="6.7109375" customWidth="1"/>
    <col min="5633" max="5633" width="12.42578125" customWidth="1"/>
    <col min="5635" max="5637" width="9.42578125" bestFit="1" customWidth="1"/>
    <col min="5638" max="5646" width="6.7109375" customWidth="1"/>
    <col min="5647" max="5647" width="3.7109375" customWidth="1"/>
    <col min="5648" max="5648" width="12.42578125" customWidth="1"/>
    <col min="5649" max="5661" width="6.7109375" customWidth="1"/>
    <col min="5662" max="5662" width="3.7109375" customWidth="1"/>
    <col min="5663" max="5663" width="12.42578125" customWidth="1"/>
    <col min="5664" max="5676" width="6.7109375" customWidth="1"/>
    <col min="5677" max="5677" width="3.7109375" customWidth="1"/>
    <col min="5678" max="5678" width="12.42578125" customWidth="1"/>
    <col min="5679" max="5691" width="6.7109375" customWidth="1"/>
    <col min="5889" max="5889" width="12.42578125" customWidth="1"/>
    <col min="5891" max="5893" width="9.42578125" bestFit="1" customWidth="1"/>
    <col min="5894" max="5902" width="6.7109375" customWidth="1"/>
    <col min="5903" max="5903" width="3.7109375" customWidth="1"/>
    <col min="5904" max="5904" width="12.42578125" customWidth="1"/>
    <col min="5905" max="5917" width="6.7109375" customWidth="1"/>
    <col min="5918" max="5918" width="3.7109375" customWidth="1"/>
    <col min="5919" max="5919" width="12.42578125" customWidth="1"/>
    <col min="5920" max="5932" width="6.7109375" customWidth="1"/>
    <col min="5933" max="5933" width="3.7109375" customWidth="1"/>
    <col min="5934" max="5934" width="12.42578125" customWidth="1"/>
    <col min="5935" max="5947" width="6.7109375" customWidth="1"/>
    <col min="6145" max="6145" width="12.42578125" customWidth="1"/>
    <col min="6147" max="6149" width="9.42578125" bestFit="1" customWidth="1"/>
    <col min="6150" max="6158" width="6.7109375" customWidth="1"/>
    <col min="6159" max="6159" width="3.7109375" customWidth="1"/>
    <col min="6160" max="6160" width="12.42578125" customWidth="1"/>
    <col min="6161" max="6173" width="6.7109375" customWidth="1"/>
    <col min="6174" max="6174" width="3.7109375" customWidth="1"/>
    <col min="6175" max="6175" width="12.42578125" customWidth="1"/>
    <col min="6176" max="6188" width="6.7109375" customWidth="1"/>
    <col min="6189" max="6189" width="3.7109375" customWidth="1"/>
    <col min="6190" max="6190" width="12.42578125" customWidth="1"/>
    <col min="6191" max="6203" width="6.7109375" customWidth="1"/>
    <col min="6401" max="6401" width="12.42578125" customWidth="1"/>
    <col min="6403" max="6405" width="9.42578125" bestFit="1" customWidth="1"/>
    <col min="6406" max="6414" width="6.7109375" customWidth="1"/>
    <col min="6415" max="6415" width="3.7109375" customWidth="1"/>
    <col min="6416" max="6416" width="12.42578125" customWidth="1"/>
    <col min="6417" max="6429" width="6.7109375" customWidth="1"/>
    <col min="6430" max="6430" width="3.7109375" customWidth="1"/>
    <col min="6431" max="6431" width="12.42578125" customWidth="1"/>
    <col min="6432" max="6444" width="6.7109375" customWidth="1"/>
    <col min="6445" max="6445" width="3.7109375" customWidth="1"/>
    <col min="6446" max="6446" width="12.42578125" customWidth="1"/>
    <col min="6447" max="6459" width="6.7109375" customWidth="1"/>
    <col min="6657" max="6657" width="12.42578125" customWidth="1"/>
    <col min="6659" max="6661" width="9.42578125" bestFit="1" customWidth="1"/>
    <col min="6662" max="6670" width="6.7109375" customWidth="1"/>
    <col min="6671" max="6671" width="3.7109375" customWidth="1"/>
    <col min="6672" max="6672" width="12.42578125" customWidth="1"/>
    <col min="6673" max="6685" width="6.7109375" customWidth="1"/>
    <col min="6686" max="6686" width="3.7109375" customWidth="1"/>
    <col min="6687" max="6687" width="12.42578125" customWidth="1"/>
    <col min="6688" max="6700" width="6.7109375" customWidth="1"/>
    <col min="6701" max="6701" width="3.7109375" customWidth="1"/>
    <col min="6702" max="6702" width="12.42578125" customWidth="1"/>
    <col min="6703" max="6715" width="6.7109375" customWidth="1"/>
    <col min="6913" max="6913" width="12.42578125" customWidth="1"/>
    <col min="6915" max="6917" width="9.42578125" bestFit="1" customWidth="1"/>
    <col min="6918" max="6926" width="6.7109375" customWidth="1"/>
    <col min="6927" max="6927" width="3.7109375" customWidth="1"/>
    <col min="6928" max="6928" width="12.42578125" customWidth="1"/>
    <col min="6929" max="6941" width="6.7109375" customWidth="1"/>
    <col min="6942" max="6942" width="3.7109375" customWidth="1"/>
    <col min="6943" max="6943" width="12.42578125" customWidth="1"/>
    <col min="6944" max="6956" width="6.7109375" customWidth="1"/>
    <col min="6957" max="6957" width="3.7109375" customWidth="1"/>
    <col min="6958" max="6958" width="12.42578125" customWidth="1"/>
    <col min="6959" max="6971" width="6.7109375" customWidth="1"/>
    <col min="7169" max="7169" width="12.42578125" customWidth="1"/>
    <col min="7171" max="7173" width="9.42578125" bestFit="1" customWidth="1"/>
    <col min="7174" max="7182" width="6.7109375" customWidth="1"/>
    <col min="7183" max="7183" width="3.7109375" customWidth="1"/>
    <col min="7184" max="7184" width="12.42578125" customWidth="1"/>
    <col min="7185" max="7197" width="6.7109375" customWidth="1"/>
    <col min="7198" max="7198" width="3.7109375" customWidth="1"/>
    <col min="7199" max="7199" width="12.42578125" customWidth="1"/>
    <col min="7200" max="7212" width="6.7109375" customWidth="1"/>
    <col min="7213" max="7213" width="3.7109375" customWidth="1"/>
    <col min="7214" max="7214" width="12.42578125" customWidth="1"/>
    <col min="7215" max="7227" width="6.7109375" customWidth="1"/>
    <col min="7425" max="7425" width="12.42578125" customWidth="1"/>
    <col min="7427" max="7429" width="9.42578125" bestFit="1" customWidth="1"/>
    <col min="7430" max="7438" width="6.7109375" customWidth="1"/>
    <col min="7439" max="7439" width="3.7109375" customWidth="1"/>
    <col min="7440" max="7440" width="12.42578125" customWidth="1"/>
    <col min="7441" max="7453" width="6.7109375" customWidth="1"/>
    <col min="7454" max="7454" width="3.7109375" customWidth="1"/>
    <col min="7455" max="7455" width="12.42578125" customWidth="1"/>
    <col min="7456" max="7468" width="6.7109375" customWidth="1"/>
    <col min="7469" max="7469" width="3.7109375" customWidth="1"/>
    <col min="7470" max="7470" width="12.42578125" customWidth="1"/>
    <col min="7471" max="7483" width="6.7109375" customWidth="1"/>
    <col min="7681" max="7681" width="12.42578125" customWidth="1"/>
    <col min="7683" max="7685" width="9.42578125" bestFit="1" customWidth="1"/>
    <col min="7686" max="7694" width="6.7109375" customWidth="1"/>
    <col min="7695" max="7695" width="3.7109375" customWidth="1"/>
    <col min="7696" max="7696" width="12.42578125" customWidth="1"/>
    <col min="7697" max="7709" width="6.7109375" customWidth="1"/>
    <col min="7710" max="7710" width="3.7109375" customWidth="1"/>
    <col min="7711" max="7711" width="12.42578125" customWidth="1"/>
    <col min="7712" max="7724" width="6.7109375" customWidth="1"/>
    <col min="7725" max="7725" width="3.7109375" customWidth="1"/>
    <col min="7726" max="7726" width="12.42578125" customWidth="1"/>
    <col min="7727" max="7739" width="6.7109375" customWidth="1"/>
    <col min="7937" max="7937" width="12.42578125" customWidth="1"/>
    <col min="7939" max="7941" width="9.42578125" bestFit="1" customWidth="1"/>
    <col min="7942" max="7950" width="6.7109375" customWidth="1"/>
    <col min="7951" max="7951" width="3.7109375" customWidth="1"/>
    <col min="7952" max="7952" width="12.42578125" customWidth="1"/>
    <col min="7953" max="7965" width="6.7109375" customWidth="1"/>
    <col min="7966" max="7966" width="3.7109375" customWidth="1"/>
    <col min="7967" max="7967" width="12.42578125" customWidth="1"/>
    <col min="7968" max="7980" width="6.7109375" customWidth="1"/>
    <col min="7981" max="7981" width="3.7109375" customWidth="1"/>
    <col min="7982" max="7982" width="12.42578125" customWidth="1"/>
    <col min="7983" max="7995" width="6.7109375" customWidth="1"/>
    <col min="8193" max="8193" width="12.42578125" customWidth="1"/>
    <col min="8195" max="8197" width="9.42578125" bestFit="1" customWidth="1"/>
    <col min="8198" max="8206" width="6.7109375" customWidth="1"/>
    <col min="8207" max="8207" width="3.7109375" customWidth="1"/>
    <col min="8208" max="8208" width="12.42578125" customWidth="1"/>
    <col min="8209" max="8221" width="6.7109375" customWidth="1"/>
    <col min="8222" max="8222" width="3.7109375" customWidth="1"/>
    <col min="8223" max="8223" width="12.42578125" customWidth="1"/>
    <col min="8224" max="8236" width="6.7109375" customWidth="1"/>
    <col min="8237" max="8237" width="3.7109375" customWidth="1"/>
    <col min="8238" max="8238" width="12.42578125" customWidth="1"/>
    <col min="8239" max="8251" width="6.7109375" customWidth="1"/>
    <col min="8449" max="8449" width="12.42578125" customWidth="1"/>
    <col min="8451" max="8453" width="9.42578125" bestFit="1" customWidth="1"/>
    <col min="8454" max="8462" width="6.7109375" customWidth="1"/>
    <col min="8463" max="8463" width="3.7109375" customWidth="1"/>
    <col min="8464" max="8464" width="12.42578125" customWidth="1"/>
    <col min="8465" max="8477" width="6.7109375" customWidth="1"/>
    <col min="8478" max="8478" width="3.7109375" customWidth="1"/>
    <col min="8479" max="8479" width="12.42578125" customWidth="1"/>
    <col min="8480" max="8492" width="6.7109375" customWidth="1"/>
    <col min="8493" max="8493" width="3.7109375" customWidth="1"/>
    <col min="8494" max="8494" width="12.42578125" customWidth="1"/>
    <col min="8495" max="8507" width="6.7109375" customWidth="1"/>
    <col min="8705" max="8705" width="12.42578125" customWidth="1"/>
    <col min="8707" max="8709" width="9.42578125" bestFit="1" customWidth="1"/>
    <col min="8710" max="8718" width="6.7109375" customWidth="1"/>
    <col min="8719" max="8719" width="3.7109375" customWidth="1"/>
    <col min="8720" max="8720" width="12.42578125" customWidth="1"/>
    <col min="8721" max="8733" width="6.7109375" customWidth="1"/>
    <col min="8734" max="8734" width="3.7109375" customWidth="1"/>
    <col min="8735" max="8735" width="12.42578125" customWidth="1"/>
    <col min="8736" max="8748" width="6.7109375" customWidth="1"/>
    <col min="8749" max="8749" width="3.7109375" customWidth="1"/>
    <col min="8750" max="8750" width="12.42578125" customWidth="1"/>
    <col min="8751" max="8763" width="6.7109375" customWidth="1"/>
    <col min="8961" max="8961" width="12.42578125" customWidth="1"/>
    <col min="8963" max="8965" width="9.42578125" bestFit="1" customWidth="1"/>
    <col min="8966" max="8974" width="6.7109375" customWidth="1"/>
    <col min="8975" max="8975" width="3.7109375" customWidth="1"/>
    <col min="8976" max="8976" width="12.42578125" customWidth="1"/>
    <col min="8977" max="8989" width="6.7109375" customWidth="1"/>
    <col min="8990" max="8990" width="3.7109375" customWidth="1"/>
    <col min="8991" max="8991" width="12.42578125" customWidth="1"/>
    <col min="8992" max="9004" width="6.7109375" customWidth="1"/>
    <col min="9005" max="9005" width="3.7109375" customWidth="1"/>
    <col min="9006" max="9006" width="12.42578125" customWidth="1"/>
    <col min="9007" max="9019" width="6.7109375" customWidth="1"/>
    <col min="9217" max="9217" width="12.42578125" customWidth="1"/>
    <col min="9219" max="9221" width="9.42578125" bestFit="1" customWidth="1"/>
    <col min="9222" max="9230" width="6.7109375" customWidth="1"/>
    <col min="9231" max="9231" width="3.7109375" customWidth="1"/>
    <col min="9232" max="9232" width="12.42578125" customWidth="1"/>
    <col min="9233" max="9245" width="6.7109375" customWidth="1"/>
    <col min="9246" max="9246" width="3.7109375" customWidth="1"/>
    <col min="9247" max="9247" width="12.42578125" customWidth="1"/>
    <col min="9248" max="9260" width="6.7109375" customWidth="1"/>
    <col min="9261" max="9261" width="3.7109375" customWidth="1"/>
    <col min="9262" max="9262" width="12.42578125" customWidth="1"/>
    <col min="9263" max="9275" width="6.7109375" customWidth="1"/>
    <col min="9473" max="9473" width="12.42578125" customWidth="1"/>
    <col min="9475" max="9477" width="9.42578125" bestFit="1" customWidth="1"/>
    <col min="9478" max="9486" width="6.7109375" customWidth="1"/>
    <col min="9487" max="9487" width="3.7109375" customWidth="1"/>
    <col min="9488" max="9488" width="12.42578125" customWidth="1"/>
    <col min="9489" max="9501" width="6.7109375" customWidth="1"/>
    <col min="9502" max="9502" width="3.7109375" customWidth="1"/>
    <col min="9503" max="9503" width="12.42578125" customWidth="1"/>
    <col min="9504" max="9516" width="6.7109375" customWidth="1"/>
    <col min="9517" max="9517" width="3.7109375" customWidth="1"/>
    <col min="9518" max="9518" width="12.42578125" customWidth="1"/>
    <col min="9519" max="9531" width="6.7109375" customWidth="1"/>
    <col min="9729" max="9729" width="12.42578125" customWidth="1"/>
    <col min="9731" max="9733" width="9.42578125" bestFit="1" customWidth="1"/>
    <col min="9734" max="9742" width="6.7109375" customWidth="1"/>
    <col min="9743" max="9743" width="3.7109375" customWidth="1"/>
    <col min="9744" max="9744" width="12.42578125" customWidth="1"/>
    <col min="9745" max="9757" width="6.7109375" customWidth="1"/>
    <col min="9758" max="9758" width="3.7109375" customWidth="1"/>
    <col min="9759" max="9759" width="12.42578125" customWidth="1"/>
    <col min="9760" max="9772" width="6.7109375" customWidth="1"/>
    <col min="9773" max="9773" width="3.7109375" customWidth="1"/>
    <col min="9774" max="9774" width="12.42578125" customWidth="1"/>
    <col min="9775" max="9787" width="6.7109375" customWidth="1"/>
    <col min="9985" max="9985" width="12.42578125" customWidth="1"/>
    <col min="9987" max="9989" width="9.42578125" bestFit="1" customWidth="1"/>
    <col min="9990" max="9998" width="6.7109375" customWidth="1"/>
    <col min="9999" max="9999" width="3.7109375" customWidth="1"/>
    <col min="10000" max="10000" width="12.42578125" customWidth="1"/>
    <col min="10001" max="10013" width="6.7109375" customWidth="1"/>
    <col min="10014" max="10014" width="3.7109375" customWidth="1"/>
    <col min="10015" max="10015" width="12.42578125" customWidth="1"/>
    <col min="10016" max="10028" width="6.7109375" customWidth="1"/>
    <col min="10029" max="10029" width="3.7109375" customWidth="1"/>
    <col min="10030" max="10030" width="12.42578125" customWidth="1"/>
    <col min="10031" max="10043" width="6.7109375" customWidth="1"/>
    <col min="10241" max="10241" width="12.42578125" customWidth="1"/>
    <col min="10243" max="10245" width="9.42578125" bestFit="1" customWidth="1"/>
    <col min="10246" max="10254" width="6.7109375" customWidth="1"/>
    <col min="10255" max="10255" width="3.7109375" customWidth="1"/>
    <col min="10256" max="10256" width="12.42578125" customWidth="1"/>
    <col min="10257" max="10269" width="6.7109375" customWidth="1"/>
    <col min="10270" max="10270" width="3.7109375" customWidth="1"/>
    <col min="10271" max="10271" width="12.42578125" customWidth="1"/>
    <col min="10272" max="10284" width="6.7109375" customWidth="1"/>
    <col min="10285" max="10285" width="3.7109375" customWidth="1"/>
    <col min="10286" max="10286" width="12.42578125" customWidth="1"/>
    <col min="10287" max="10299" width="6.7109375" customWidth="1"/>
    <col min="10497" max="10497" width="12.42578125" customWidth="1"/>
    <col min="10499" max="10501" width="9.42578125" bestFit="1" customWidth="1"/>
    <col min="10502" max="10510" width="6.7109375" customWidth="1"/>
    <col min="10511" max="10511" width="3.7109375" customWidth="1"/>
    <col min="10512" max="10512" width="12.42578125" customWidth="1"/>
    <col min="10513" max="10525" width="6.7109375" customWidth="1"/>
    <col min="10526" max="10526" width="3.7109375" customWidth="1"/>
    <col min="10527" max="10527" width="12.42578125" customWidth="1"/>
    <col min="10528" max="10540" width="6.7109375" customWidth="1"/>
    <col min="10541" max="10541" width="3.7109375" customWidth="1"/>
    <col min="10542" max="10542" width="12.42578125" customWidth="1"/>
    <col min="10543" max="10555" width="6.7109375" customWidth="1"/>
    <col min="10753" max="10753" width="12.42578125" customWidth="1"/>
    <col min="10755" max="10757" width="9.42578125" bestFit="1" customWidth="1"/>
    <col min="10758" max="10766" width="6.7109375" customWidth="1"/>
    <col min="10767" max="10767" width="3.7109375" customWidth="1"/>
    <col min="10768" max="10768" width="12.42578125" customWidth="1"/>
    <col min="10769" max="10781" width="6.7109375" customWidth="1"/>
    <col min="10782" max="10782" width="3.7109375" customWidth="1"/>
    <col min="10783" max="10783" width="12.42578125" customWidth="1"/>
    <col min="10784" max="10796" width="6.7109375" customWidth="1"/>
    <col min="10797" max="10797" width="3.7109375" customWidth="1"/>
    <col min="10798" max="10798" width="12.42578125" customWidth="1"/>
    <col min="10799" max="10811" width="6.7109375" customWidth="1"/>
    <col min="11009" max="11009" width="12.42578125" customWidth="1"/>
    <col min="11011" max="11013" width="9.42578125" bestFit="1" customWidth="1"/>
    <col min="11014" max="11022" width="6.7109375" customWidth="1"/>
    <col min="11023" max="11023" width="3.7109375" customWidth="1"/>
    <col min="11024" max="11024" width="12.42578125" customWidth="1"/>
    <col min="11025" max="11037" width="6.7109375" customWidth="1"/>
    <col min="11038" max="11038" width="3.7109375" customWidth="1"/>
    <col min="11039" max="11039" width="12.42578125" customWidth="1"/>
    <col min="11040" max="11052" width="6.7109375" customWidth="1"/>
    <col min="11053" max="11053" width="3.7109375" customWidth="1"/>
    <col min="11054" max="11054" width="12.42578125" customWidth="1"/>
    <col min="11055" max="11067" width="6.7109375" customWidth="1"/>
    <col min="11265" max="11265" width="12.42578125" customWidth="1"/>
    <col min="11267" max="11269" width="9.42578125" bestFit="1" customWidth="1"/>
    <col min="11270" max="11278" width="6.7109375" customWidth="1"/>
    <col min="11279" max="11279" width="3.7109375" customWidth="1"/>
    <col min="11280" max="11280" width="12.42578125" customWidth="1"/>
    <col min="11281" max="11293" width="6.7109375" customWidth="1"/>
    <col min="11294" max="11294" width="3.7109375" customWidth="1"/>
    <col min="11295" max="11295" width="12.42578125" customWidth="1"/>
    <col min="11296" max="11308" width="6.7109375" customWidth="1"/>
    <col min="11309" max="11309" width="3.7109375" customWidth="1"/>
    <col min="11310" max="11310" width="12.42578125" customWidth="1"/>
    <col min="11311" max="11323" width="6.7109375" customWidth="1"/>
    <col min="11521" max="11521" width="12.42578125" customWidth="1"/>
    <col min="11523" max="11525" width="9.42578125" bestFit="1" customWidth="1"/>
    <col min="11526" max="11534" width="6.7109375" customWidth="1"/>
    <col min="11535" max="11535" width="3.7109375" customWidth="1"/>
    <col min="11536" max="11536" width="12.42578125" customWidth="1"/>
    <col min="11537" max="11549" width="6.7109375" customWidth="1"/>
    <col min="11550" max="11550" width="3.7109375" customWidth="1"/>
    <col min="11551" max="11551" width="12.42578125" customWidth="1"/>
    <col min="11552" max="11564" width="6.7109375" customWidth="1"/>
    <col min="11565" max="11565" width="3.7109375" customWidth="1"/>
    <col min="11566" max="11566" width="12.42578125" customWidth="1"/>
    <col min="11567" max="11579" width="6.7109375" customWidth="1"/>
    <col min="11777" max="11777" width="12.42578125" customWidth="1"/>
    <col min="11779" max="11781" width="9.42578125" bestFit="1" customWidth="1"/>
    <col min="11782" max="11790" width="6.7109375" customWidth="1"/>
    <col min="11791" max="11791" width="3.7109375" customWidth="1"/>
    <col min="11792" max="11792" width="12.42578125" customWidth="1"/>
    <col min="11793" max="11805" width="6.7109375" customWidth="1"/>
    <col min="11806" max="11806" width="3.7109375" customWidth="1"/>
    <col min="11807" max="11807" width="12.42578125" customWidth="1"/>
    <col min="11808" max="11820" width="6.7109375" customWidth="1"/>
    <col min="11821" max="11821" width="3.7109375" customWidth="1"/>
    <col min="11822" max="11822" width="12.42578125" customWidth="1"/>
    <col min="11823" max="11835" width="6.7109375" customWidth="1"/>
    <col min="12033" max="12033" width="12.42578125" customWidth="1"/>
    <col min="12035" max="12037" width="9.42578125" bestFit="1" customWidth="1"/>
    <col min="12038" max="12046" width="6.7109375" customWidth="1"/>
    <col min="12047" max="12047" width="3.7109375" customWidth="1"/>
    <col min="12048" max="12048" width="12.42578125" customWidth="1"/>
    <col min="12049" max="12061" width="6.7109375" customWidth="1"/>
    <col min="12062" max="12062" width="3.7109375" customWidth="1"/>
    <col min="12063" max="12063" width="12.42578125" customWidth="1"/>
    <col min="12064" max="12076" width="6.7109375" customWidth="1"/>
    <col min="12077" max="12077" width="3.7109375" customWidth="1"/>
    <col min="12078" max="12078" width="12.42578125" customWidth="1"/>
    <col min="12079" max="12091" width="6.7109375" customWidth="1"/>
    <col min="12289" max="12289" width="12.42578125" customWidth="1"/>
    <col min="12291" max="12293" width="9.42578125" bestFit="1" customWidth="1"/>
    <col min="12294" max="12302" width="6.7109375" customWidth="1"/>
    <col min="12303" max="12303" width="3.7109375" customWidth="1"/>
    <col min="12304" max="12304" width="12.42578125" customWidth="1"/>
    <col min="12305" max="12317" width="6.7109375" customWidth="1"/>
    <col min="12318" max="12318" width="3.7109375" customWidth="1"/>
    <col min="12319" max="12319" width="12.42578125" customWidth="1"/>
    <col min="12320" max="12332" width="6.7109375" customWidth="1"/>
    <col min="12333" max="12333" width="3.7109375" customWidth="1"/>
    <col min="12334" max="12334" width="12.42578125" customWidth="1"/>
    <col min="12335" max="12347" width="6.7109375" customWidth="1"/>
    <col min="12545" max="12545" width="12.42578125" customWidth="1"/>
    <col min="12547" max="12549" width="9.42578125" bestFit="1" customWidth="1"/>
    <col min="12550" max="12558" width="6.7109375" customWidth="1"/>
    <col min="12559" max="12559" width="3.7109375" customWidth="1"/>
    <col min="12560" max="12560" width="12.42578125" customWidth="1"/>
    <col min="12561" max="12573" width="6.7109375" customWidth="1"/>
    <col min="12574" max="12574" width="3.7109375" customWidth="1"/>
    <col min="12575" max="12575" width="12.42578125" customWidth="1"/>
    <col min="12576" max="12588" width="6.7109375" customWidth="1"/>
    <col min="12589" max="12589" width="3.7109375" customWidth="1"/>
    <col min="12590" max="12590" width="12.42578125" customWidth="1"/>
    <col min="12591" max="12603" width="6.7109375" customWidth="1"/>
    <col min="12801" max="12801" width="12.42578125" customWidth="1"/>
    <col min="12803" max="12805" width="9.42578125" bestFit="1" customWidth="1"/>
    <col min="12806" max="12814" width="6.7109375" customWidth="1"/>
    <col min="12815" max="12815" width="3.7109375" customWidth="1"/>
    <col min="12816" max="12816" width="12.42578125" customWidth="1"/>
    <col min="12817" max="12829" width="6.7109375" customWidth="1"/>
    <col min="12830" max="12830" width="3.7109375" customWidth="1"/>
    <col min="12831" max="12831" width="12.42578125" customWidth="1"/>
    <col min="12832" max="12844" width="6.7109375" customWidth="1"/>
    <col min="12845" max="12845" width="3.7109375" customWidth="1"/>
    <col min="12846" max="12846" width="12.42578125" customWidth="1"/>
    <col min="12847" max="12859" width="6.7109375" customWidth="1"/>
    <col min="13057" max="13057" width="12.42578125" customWidth="1"/>
    <col min="13059" max="13061" width="9.42578125" bestFit="1" customWidth="1"/>
    <col min="13062" max="13070" width="6.7109375" customWidth="1"/>
    <col min="13071" max="13071" width="3.7109375" customWidth="1"/>
    <col min="13072" max="13072" width="12.42578125" customWidth="1"/>
    <col min="13073" max="13085" width="6.7109375" customWidth="1"/>
    <col min="13086" max="13086" width="3.7109375" customWidth="1"/>
    <col min="13087" max="13087" width="12.42578125" customWidth="1"/>
    <col min="13088" max="13100" width="6.7109375" customWidth="1"/>
    <col min="13101" max="13101" width="3.7109375" customWidth="1"/>
    <col min="13102" max="13102" width="12.42578125" customWidth="1"/>
    <col min="13103" max="13115" width="6.7109375" customWidth="1"/>
    <col min="13313" max="13313" width="12.42578125" customWidth="1"/>
    <col min="13315" max="13317" width="9.42578125" bestFit="1" customWidth="1"/>
    <col min="13318" max="13326" width="6.7109375" customWidth="1"/>
    <col min="13327" max="13327" width="3.7109375" customWidth="1"/>
    <col min="13328" max="13328" width="12.42578125" customWidth="1"/>
    <col min="13329" max="13341" width="6.7109375" customWidth="1"/>
    <col min="13342" max="13342" width="3.7109375" customWidth="1"/>
    <col min="13343" max="13343" width="12.42578125" customWidth="1"/>
    <col min="13344" max="13356" width="6.7109375" customWidth="1"/>
    <col min="13357" max="13357" width="3.7109375" customWidth="1"/>
    <col min="13358" max="13358" width="12.42578125" customWidth="1"/>
    <col min="13359" max="13371" width="6.7109375" customWidth="1"/>
    <col min="13569" max="13569" width="12.42578125" customWidth="1"/>
    <col min="13571" max="13573" width="9.42578125" bestFit="1" customWidth="1"/>
    <col min="13574" max="13582" width="6.7109375" customWidth="1"/>
    <col min="13583" max="13583" width="3.7109375" customWidth="1"/>
    <col min="13584" max="13584" width="12.42578125" customWidth="1"/>
    <col min="13585" max="13597" width="6.7109375" customWidth="1"/>
    <col min="13598" max="13598" width="3.7109375" customWidth="1"/>
    <col min="13599" max="13599" width="12.42578125" customWidth="1"/>
    <col min="13600" max="13612" width="6.7109375" customWidth="1"/>
    <col min="13613" max="13613" width="3.7109375" customWidth="1"/>
    <col min="13614" max="13614" width="12.42578125" customWidth="1"/>
    <col min="13615" max="13627" width="6.7109375" customWidth="1"/>
    <col min="13825" max="13825" width="12.42578125" customWidth="1"/>
    <col min="13827" max="13829" width="9.42578125" bestFit="1" customWidth="1"/>
    <col min="13830" max="13838" width="6.7109375" customWidth="1"/>
    <col min="13839" max="13839" width="3.7109375" customWidth="1"/>
    <col min="13840" max="13840" width="12.42578125" customWidth="1"/>
    <col min="13841" max="13853" width="6.7109375" customWidth="1"/>
    <col min="13854" max="13854" width="3.7109375" customWidth="1"/>
    <col min="13855" max="13855" width="12.42578125" customWidth="1"/>
    <col min="13856" max="13868" width="6.7109375" customWidth="1"/>
    <col min="13869" max="13869" width="3.7109375" customWidth="1"/>
    <col min="13870" max="13870" width="12.42578125" customWidth="1"/>
    <col min="13871" max="13883" width="6.7109375" customWidth="1"/>
    <col min="14081" max="14081" width="12.42578125" customWidth="1"/>
    <col min="14083" max="14085" width="9.42578125" bestFit="1" customWidth="1"/>
    <col min="14086" max="14094" width="6.7109375" customWidth="1"/>
    <col min="14095" max="14095" width="3.7109375" customWidth="1"/>
    <col min="14096" max="14096" width="12.42578125" customWidth="1"/>
    <col min="14097" max="14109" width="6.7109375" customWidth="1"/>
    <col min="14110" max="14110" width="3.7109375" customWidth="1"/>
    <col min="14111" max="14111" width="12.42578125" customWidth="1"/>
    <col min="14112" max="14124" width="6.7109375" customWidth="1"/>
    <col min="14125" max="14125" width="3.7109375" customWidth="1"/>
    <col min="14126" max="14126" width="12.42578125" customWidth="1"/>
    <col min="14127" max="14139" width="6.7109375" customWidth="1"/>
    <col min="14337" max="14337" width="12.42578125" customWidth="1"/>
    <col min="14339" max="14341" width="9.42578125" bestFit="1" customWidth="1"/>
    <col min="14342" max="14350" width="6.7109375" customWidth="1"/>
    <col min="14351" max="14351" width="3.7109375" customWidth="1"/>
    <col min="14352" max="14352" width="12.42578125" customWidth="1"/>
    <col min="14353" max="14365" width="6.7109375" customWidth="1"/>
    <col min="14366" max="14366" width="3.7109375" customWidth="1"/>
    <col min="14367" max="14367" width="12.42578125" customWidth="1"/>
    <col min="14368" max="14380" width="6.7109375" customWidth="1"/>
    <col min="14381" max="14381" width="3.7109375" customWidth="1"/>
    <col min="14382" max="14382" width="12.42578125" customWidth="1"/>
    <col min="14383" max="14395" width="6.7109375" customWidth="1"/>
    <col min="14593" max="14593" width="12.42578125" customWidth="1"/>
    <col min="14595" max="14597" width="9.42578125" bestFit="1" customWidth="1"/>
    <col min="14598" max="14606" width="6.7109375" customWidth="1"/>
    <col min="14607" max="14607" width="3.7109375" customWidth="1"/>
    <col min="14608" max="14608" width="12.42578125" customWidth="1"/>
    <col min="14609" max="14621" width="6.7109375" customWidth="1"/>
    <col min="14622" max="14622" width="3.7109375" customWidth="1"/>
    <col min="14623" max="14623" width="12.42578125" customWidth="1"/>
    <col min="14624" max="14636" width="6.7109375" customWidth="1"/>
    <col min="14637" max="14637" width="3.7109375" customWidth="1"/>
    <col min="14638" max="14638" width="12.42578125" customWidth="1"/>
    <col min="14639" max="14651" width="6.7109375" customWidth="1"/>
    <col min="14849" max="14849" width="12.42578125" customWidth="1"/>
    <col min="14851" max="14853" width="9.42578125" bestFit="1" customWidth="1"/>
    <col min="14854" max="14862" width="6.7109375" customWidth="1"/>
    <col min="14863" max="14863" width="3.7109375" customWidth="1"/>
    <col min="14864" max="14864" width="12.42578125" customWidth="1"/>
    <col min="14865" max="14877" width="6.7109375" customWidth="1"/>
    <col min="14878" max="14878" width="3.7109375" customWidth="1"/>
    <col min="14879" max="14879" width="12.42578125" customWidth="1"/>
    <col min="14880" max="14892" width="6.7109375" customWidth="1"/>
    <col min="14893" max="14893" width="3.7109375" customWidth="1"/>
    <col min="14894" max="14894" width="12.42578125" customWidth="1"/>
    <col min="14895" max="14907" width="6.7109375" customWidth="1"/>
    <col min="15105" max="15105" width="12.42578125" customWidth="1"/>
    <col min="15107" max="15109" width="9.42578125" bestFit="1" customWidth="1"/>
    <col min="15110" max="15118" width="6.7109375" customWidth="1"/>
    <col min="15119" max="15119" width="3.7109375" customWidth="1"/>
    <col min="15120" max="15120" width="12.42578125" customWidth="1"/>
    <col min="15121" max="15133" width="6.7109375" customWidth="1"/>
    <col min="15134" max="15134" width="3.7109375" customWidth="1"/>
    <col min="15135" max="15135" width="12.42578125" customWidth="1"/>
    <col min="15136" max="15148" width="6.7109375" customWidth="1"/>
    <col min="15149" max="15149" width="3.7109375" customWidth="1"/>
    <col min="15150" max="15150" width="12.42578125" customWidth="1"/>
    <col min="15151" max="15163" width="6.7109375" customWidth="1"/>
    <col min="15361" max="15361" width="12.42578125" customWidth="1"/>
    <col min="15363" max="15365" width="9.42578125" bestFit="1" customWidth="1"/>
    <col min="15366" max="15374" width="6.7109375" customWidth="1"/>
    <col min="15375" max="15375" width="3.7109375" customWidth="1"/>
    <col min="15376" max="15376" width="12.42578125" customWidth="1"/>
    <col min="15377" max="15389" width="6.7109375" customWidth="1"/>
    <col min="15390" max="15390" width="3.7109375" customWidth="1"/>
    <col min="15391" max="15391" width="12.42578125" customWidth="1"/>
    <col min="15392" max="15404" width="6.7109375" customWidth="1"/>
    <col min="15405" max="15405" width="3.7109375" customWidth="1"/>
    <col min="15406" max="15406" width="12.42578125" customWidth="1"/>
    <col min="15407" max="15419" width="6.7109375" customWidth="1"/>
    <col min="15617" max="15617" width="12.42578125" customWidth="1"/>
    <col min="15619" max="15621" width="9.42578125" bestFit="1" customWidth="1"/>
    <col min="15622" max="15630" width="6.7109375" customWidth="1"/>
    <col min="15631" max="15631" width="3.7109375" customWidth="1"/>
    <col min="15632" max="15632" width="12.42578125" customWidth="1"/>
    <col min="15633" max="15645" width="6.7109375" customWidth="1"/>
    <col min="15646" max="15646" width="3.7109375" customWidth="1"/>
    <col min="15647" max="15647" width="12.42578125" customWidth="1"/>
    <col min="15648" max="15660" width="6.7109375" customWidth="1"/>
    <col min="15661" max="15661" width="3.7109375" customWidth="1"/>
    <col min="15662" max="15662" width="12.42578125" customWidth="1"/>
    <col min="15663" max="15675" width="6.7109375" customWidth="1"/>
    <col min="15873" max="15873" width="12.42578125" customWidth="1"/>
    <col min="15875" max="15877" width="9.42578125" bestFit="1" customWidth="1"/>
    <col min="15878" max="15886" width="6.7109375" customWidth="1"/>
    <col min="15887" max="15887" width="3.7109375" customWidth="1"/>
    <col min="15888" max="15888" width="12.42578125" customWidth="1"/>
    <col min="15889" max="15901" width="6.7109375" customWidth="1"/>
    <col min="15902" max="15902" width="3.7109375" customWidth="1"/>
    <col min="15903" max="15903" width="12.42578125" customWidth="1"/>
    <col min="15904" max="15916" width="6.7109375" customWidth="1"/>
    <col min="15917" max="15917" width="3.7109375" customWidth="1"/>
    <col min="15918" max="15918" width="12.42578125" customWidth="1"/>
    <col min="15919" max="15931" width="6.7109375" customWidth="1"/>
    <col min="16129" max="16129" width="12.42578125" customWidth="1"/>
    <col min="16131" max="16133" width="9.42578125" bestFit="1" customWidth="1"/>
    <col min="16134" max="16142" width="6.7109375" customWidth="1"/>
    <col min="16143" max="16143" width="3.7109375" customWidth="1"/>
    <col min="16144" max="16144" width="12.42578125" customWidth="1"/>
    <col min="16145" max="16157" width="6.7109375" customWidth="1"/>
    <col min="16158" max="16158" width="3.7109375" customWidth="1"/>
    <col min="16159" max="16159" width="12.42578125" customWidth="1"/>
    <col min="16160" max="16172" width="6.7109375" customWidth="1"/>
    <col min="16173" max="16173" width="3.7109375" customWidth="1"/>
    <col min="16174" max="16174" width="12.42578125" customWidth="1"/>
    <col min="16175" max="16187" width="6.7109375" customWidth="1"/>
  </cols>
  <sheetData>
    <row r="1" spans="1:59" ht="15">
      <c r="A1" s="340" t="s">
        <v>135</v>
      </c>
      <c r="B1" s="340"/>
      <c r="C1" s="340"/>
      <c r="D1" s="340"/>
      <c r="E1" s="340"/>
      <c r="F1" s="340"/>
      <c r="G1" s="340"/>
      <c r="H1" s="340"/>
      <c r="I1" s="340"/>
      <c r="J1" s="340"/>
      <c r="K1" s="178"/>
    </row>
    <row r="2" spans="1:59" ht="16.5" thickBot="1">
      <c r="A2" s="261" t="s">
        <v>136</v>
      </c>
      <c r="B2" s="6"/>
      <c r="C2" s="11"/>
      <c r="D2" s="6"/>
      <c r="E2" s="6"/>
      <c r="F2" s="6"/>
      <c r="G2" s="6"/>
      <c r="H2" s="6"/>
      <c r="I2" s="6"/>
      <c r="J2" s="177"/>
      <c r="K2" s="178"/>
    </row>
    <row r="3" spans="1:59" ht="16.5" thickBot="1">
      <c r="A3" s="325" t="s">
        <v>106</v>
      </c>
      <c r="B3" s="375" t="str">
        <f>'START HERE'!F6</f>
        <v>EU</v>
      </c>
      <c r="C3" s="386"/>
      <c r="D3" s="376"/>
      <c r="E3" s="177"/>
      <c r="F3" s="30" t="s">
        <v>38</v>
      </c>
      <c r="G3" s="372" t="str">
        <f>'LEN F1'!F3</f>
        <v>Fleet 1 Northern Chile</v>
      </c>
      <c r="H3" s="373"/>
      <c r="I3" s="374"/>
      <c r="J3" s="177"/>
      <c r="K3" s="178"/>
    </row>
    <row r="4" spans="1:59" ht="15.75">
      <c r="A4" s="12" t="s">
        <v>18</v>
      </c>
      <c r="B4" s="375" t="str">
        <f>'START HERE'!F5</f>
        <v>Jack mackerel</v>
      </c>
      <c r="C4" s="386"/>
      <c r="D4" s="376"/>
      <c r="E4" s="177"/>
      <c r="F4" s="326"/>
      <c r="G4" s="317"/>
      <c r="H4" s="318"/>
      <c r="I4" s="336"/>
      <c r="J4" s="177"/>
      <c r="K4" s="178"/>
    </row>
    <row r="5" spans="1:59" ht="18">
      <c r="A5" s="12" t="s">
        <v>13</v>
      </c>
      <c r="B5" s="387">
        <f>'START HERE'!$K$3</f>
        <v>2010</v>
      </c>
      <c r="C5" s="388"/>
      <c r="D5" s="389"/>
      <c r="E5" s="177"/>
      <c r="F5" s="12" t="s">
        <v>39</v>
      </c>
      <c r="G5" s="324" t="s">
        <v>137</v>
      </c>
      <c r="H5" s="334"/>
      <c r="I5" s="335"/>
      <c r="J5" s="177"/>
      <c r="K5" s="178"/>
    </row>
    <row r="6" spans="1:59" ht="16.5" thickBot="1">
      <c r="A6" s="12"/>
      <c r="B6" s="11"/>
      <c r="C6" s="103"/>
      <c r="D6" s="6"/>
      <c r="F6" s="12" t="s">
        <v>14</v>
      </c>
      <c r="G6" s="380" t="str">
        <f>'START HERE'!$F8</f>
        <v>13/6/2022</v>
      </c>
      <c r="H6" s="381"/>
      <c r="I6" s="382"/>
      <c r="J6" s="177"/>
      <c r="K6" s="178"/>
    </row>
    <row r="7" spans="1:59">
      <c r="A7" s="6"/>
      <c r="B7" s="6"/>
      <c r="C7" s="6"/>
      <c r="D7" s="6"/>
      <c r="E7" s="6"/>
      <c r="F7" s="6"/>
      <c r="G7" s="6"/>
      <c r="H7" s="6"/>
      <c r="I7" s="6"/>
      <c r="J7" s="177"/>
      <c r="K7" s="178"/>
    </row>
    <row r="8" spans="1:59">
      <c r="A8" s="6"/>
      <c r="B8" s="6"/>
      <c r="C8" s="6"/>
      <c r="D8" s="6"/>
      <c r="E8" s="6"/>
      <c r="F8" s="6"/>
      <c r="G8" s="6"/>
      <c r="H8" s="6"/>
      <c r="I8" s="6"/>
      <c r="J8" s="177"/>
      <c r="K8" s="178"/>
    </row>
    <row r="9" spans="1:59" ht="16.5" customHeight="1">
      <c r="A9" s="338" t="str">
        <f>'START HERE'!$F$13</f>
        <v>fork length</v>
      </c>
      <c r="B9" s="27" t="s">
        <v>51</v>
      </c>
      <c r="C9" s="27" t="s">
        <v>30</v>
      </c>
      <c r="D9" s="27" t="s">
        <v>31</v>
      </c>
      <c r="E9" s="27" t="s">
        <v>32</v>
      </c>
      <c r="F9" s="2"/>
      <c r="G9" s="149"/>
      <c r="H9" s="149"/>
      <c r="I9" s="149"/>
      <c r="J9" s="149"/>
      <c r="K9" s="337"/>
      <c r="L9" s="149"/>
      <c r="M9" s="149"/>
      <c r="N9" s="149"/>
      <c r="P9" s="2"/>
      <c r="Q9" s="403"/>
      <c r="R9" s="403"/>
      <c r="S9" s="403"/>
      <c r="T9" s="403"/>
      <c r="U9" s="403"/>
      <c r="V9" s="403"/>
      <c r="W9" s="403"/>
      <c r="X9" s="403"/>
      <c r="Y9" s="403"/>
      <c r="Z9" s="403"/>
      <c r="AA9" s="403"/>
      <c r="AB9" s="403"/>
      <c r="AC9" s="403"/>
      <c r="AE9" s="2"/>
      <c r="AF9" s="403"/>
      <c r="AG9" s="403"/>
      <c r="AH9" s="403"/>
      <c r="AI9" s="403"/>
      <c r="AJ9" s="403"/>
      <c r="AK9" s="403"/>
      <c r="AL9" s="403"/>
      <c r="AM9" s="403"/>
      <c r="AN9" s="403"/>
      <c r="AO9" s="403"/>
      <c r="AP9" s="403"/>
      <c r="AQ9" s="403"/>
      <c r="AR9" s="403"/>
      <c r="AT9" s="2"/>
      <c r="AU9" s="403"/>
      <c r="AV9" s="403"/>
      <c r="AW9" s="403"/>
      <c r="AX9" s="403"/>
      <c r="AY9" s="403"/>
      <c r="AZ9" s="403"/>
      <c r="BA9" s="403"/>
      <c r="BB9" s="403"/>
      <c r="BC9" s="403"/>
      <c r="BD9" s="403"/>
      <c r="BE9" s="403"/>
      <c r="BF9" s="403"/>
      <c r="BG9" s="403"/>
    </row>
    <row r="10" spans="1:59" ht="18">
      <c r="A10" s="28" t="s">
        <v>42</v>
      </c>
      <c r="B10" s="181">
        <f>'START HERE'!$K$3</f>
        <v>2010</v>
      </c>
      <c r="C10" s="181">
        <f>'START HERE'!$K$3</f>
        <v>2010</v>
      </c>
      <c r="D10" s="181">
        <f>'START HERE'!$K$3</f>
        <v>2010</v>
      </c>
      <c r="E10" s="180">
        <f>'START HERE'!$K$3</f>
        <v>2010</v>
      </c>
      <c r="F10" s="327"/>
      <c r="G10" s="149"/>
      <c r="H10" s="149"/>
      <c r="I10" s="149"/>
      <c r="J10" s="149"/>
      <c r="K10" s="149"/>
      <c r="L10" s="149"/>
      <c r="M10" s="149"/>
      <c r="N10" s="149"/>
      <c r="P10" s="2"/>
      <c r="Q10" s="149"/>
      <c r="R10" s="149"/>
      <c r="S10" s="149"/>
      <c r="T10" s="149"/>
      <c r="U10" s="149"/>
      <c r="V10" s="149"/>
      <c r="W10" s="149"/>
      <c r="X10" s="149"/>
      <c r="Y10" s="149"/>
      <c r="Z10" s="149"/>
      <c r="AA10" s="149"/>
      <c r="AB10" s="149"/>
      <c r="AC10" s="149"/>
      <c r="AE10" s="2"/>
      <c r="AF10" s="149"/>
      <c r="AG10" s="149"/>
      <c r="AH10" s="149"/>
      <c r="AI10" s="149"/>
      <c r="AJ10" s="149"/>
      <c r="AK10" s="149"/>
      <c r="AL10" s="149"/>
      <c r="AM10" s="149"/>
      <c r="AN10" s="149"/>
      <c r="AO10" s="149"/>
      <c r="AP10" s="149"/>
      <c r="AQ10" s="149"/>
      <c r="AR10" s="149"/>
      <c r="AT10" s="2"/>
      <c r="AU10" s="149"/>
      <c r="AV10" s="149"/>
      <c r="AW10" s="149"/>
      <c r="AX10" s="149"/>
      <c r="AY10" s="149"/>
      <c r="AZ10" s="149"/>
      <c r="BA10" s="149"/>
      <c r="BB10" s="149"/>
      <c r="BC10" s="149"/>
      <c r="BD10" s="149"/>
      <c r="BE10" s="149"/>
      <c r="BF10" s="149"/>
      <c r="BG10" s="149"/>
    </row>
    <row r="11" spans="1:59">
      <c r="A11" s="195">
        <v>1</v>
      </c>
      <c r="B11" s="308"/>
      <c r="C11" s="309"/>
      <c r="D11" s="309"/>
      <c r="E11" s="329"/>
      <c r="P11" s="1"/>
      <c r="AE11" s="1"/>
      <c r="AT11" s="1"/>
    </row>
    <row r="12" spans="1:59">
      <c r="A12" s="195">
        <v>2</v>
      </c>
      <c r="B12" s="311"/>
      <c r="C12" s="312"/>
      <c r="D12" s="312"/>
      <c r="E12" s="330"/>
      <c r="P12" s="1"/>
      <c r="AE12" s="1"/>
      <c r="AT12" s="1"/>
    </row>
    <row r="13" spans="1:59">
      <c r="A13" s="195">
        <v>3</v>
      </c>
      <c r="B13" s="311"/>
      <c r="C13" s="312"/>
      <c r="D13" s="312"/>
      <c r="E13" s="330"/>
      <c r="P13" s="1"/>
      <c r="AE13" s="1"/>
      <c r="AT13" s="1"/>
    </row>
    <row r="14" spans="1:59">
      <c r="A14" s="195">
        <v>4</v>
      </c>
      <c r="B14" s="311"/>
      <c r="C14" s="312"/>
      <c r="D14" s="312"/>
      <c r="E14" s="330"/>
      <c r="P14" s="1"/>
      <c r="AE14" s="1"/>
      <c r="AT14" s="1"/>
    </row>
    <row r="15" spans="1:59">
      <c r="A15" s="195">
        <v>5</v>
      </c>
      <c r="B15" s="311"/>
      <c r="C15" s="312"/>
      <c r="D15" s="312"/>
      <c r="E15" s="330"/>
      <c r="P15" s="1"/>
      <c r="AE15" s="1"/>
      <c r="AT15" s="1"/>
    </row>
    <row r="16" spans="1:59">
      <c r="A16" s="195">
        <v>6</v>
      </c>
      <c r="B16" s="311"/>
      <c r="C16" s="312"/>
      <c r="D16" s="312"/>
      <c r="E16" s="330"/>
      <c r="P16" s="1"/>
      <c r="AE16" s="1"/>
      <c r="AT16" s="1"/>
    </row>
    <row r="17" spans="1:46">
      <c r="A17" s="195">
        <v>7</v>
      </c>
      <c r="B17" s="311"/>
      <c r="C17" s="312"/>
      <c r="D17" s="312"/>
      <c r="E17" s="330"/>
      <c r="P17" s="1"/>
      <c r="AE17" s="1"/>
      <c r="AT17" s="1"/>
    </row>
    <row r="18" spans="1:46">
      <c r="A18" s="195">
        <v>8</v>
      </c>
      <c r="B18" s="311"/>
      <c r="C18" s="312"/>
      <c r="D18" s="312"/>
      <c r="E18" s="330"/>
      <c r="P18" s="1"/>
      <c r="AE18" s="1"/>
      <c r="AT18" s="1"/>
    </row>
    <row r="19" spans="1:46">
      <c r="A19" s="195">
        <v>9</v>
      </c>
      <c r="B19" s="311"/>
      <c r="C19" s="312"/>
      <c r="D19" s="312"/>
      <c r="E19" s="330"/>
      <c r="P19" s="1"/>
      <c r="AE19" s="1"/>
      <c r="AT19" s="1"/>
    </row>
    <row r="20" spans="1:46">
      <c r="A20" s="195">
        <v>10</v>
      </c>
      <c r="B20" s="311"/>
      <c r="C20" s="312"/>
      <c r="D20" s="312"/>
      <c r="E20" s="330"/>
      <c r="P20" s="1"/>
      <c r="AE20" s="1"/>
      <c r="AT20" s="1"/>
    </row>
    <row r="21" spans="1:46">
      <c r="A21" s="195">
        <v>11</v>
      </c>
      <c r="B21" s="311"/>
      <c r="C21" s="312"/>
      <c r="D21" s="312"/>
      <c r="E21" s="330"/>
      <c r="P21" s="1"/>
      <c r="AE21" s="1"/>
      <c r="AT21" s="1"/>
    </row>
    <row r="22" spans="1:46">
      <c r="A22" s="195">
        <v>12</v>
      </c>
      <c r="B22" s="311"/>
      <c r="C22" s="312"/>
      <c r="D22" s="312"/>
      <c r="E22" s="330"/>
      <c r="P22" s="1"/>
      <c r="AE22" s="1"/>
      <c r="AT22" s="1"/>
    </row>
    <row r="23" spans="1:46">
      <c r="A23" s="195">
        <v>13</v>
      </c>
      <c r="B23" s="311"/>
      <c r="C23" s="312"/>
      <c r="D23" s="312"/>
      <c r="E23" s="330"/>
      <c r="P23" s="1"/>
      <c r="AE23" s="1"/>
      <c r="AT23" s="1"/>
    </row>
    <row r="24" spans="1:46">
      <c r="A24" s="195">
        <v>14</v>
      </c>
      <c r="B24" s="311"/>
      <c r="C24" s="312"/>
      <c r="D24" s="312"/>
      <c r="E24" s="330"/>
      <c r="P24" s="1"/>
      <c r="AE24" s="1"/>
      <c r="AT24" s="1"/>
    </row>
    <row r="25" spans="1:46">
      <c r="A25" s="195">
        <v>15</v>
      </c>
      <c r="B25" s="311"/>
      <c r="C25" s="312"/>
      <c r="D25" s="312"/>
      <c r="E25" s="330"/>
      <c r="P25" s="1"/>
      <c r="AE25" s="1"/>
      <c r="AT25" s="1"/>
    </row>
    <row r="26" spans="1:46">
      <c r="A26" s="195">
        <v>16</v>
      </c>
      <c r="B26" s="311"/>
      <c r="C26" s="312"/>
      <c r="D26" s="312"/>
      <c r="E26" s="330"/>
      <c r="P26" s="1"/>
      <c r="AE26" s="1"/>
      <c r="AT26" s="1"/>
    </row>
    <row r="27" spans="1:46">
      <c r="A27" s="195">
        <v>17</v>
      </c>
      <c r="B27" s="311"/>
      <c r="C27" s="312"/>
      <c r="D27" s="312"/>
      <c r="E27" s="330"/>
      <c r="P27" s="1"/>
      <c r="AE27" s="1"/>
      <c r="AT27" s="1"/>
    </row>
    <row r="28" spans="1:46">
      <c r="A28" s="195">
        <v>18</v>
      </c>
      <c r="B28" s="311"/>
      <c r="C28" s="312"/>
      <c r="D28" s="312"/>
      <c r="E28" s="330"/>
      <c r="P28" s="1"/>
      <c r="AE28" s="1"/>
      <c r="AT28" s="1"/>
    </row>
    <row r="29" spans="1:46">
      <c r="A29" s="195">
        <v>19</v>
      </c>
      <c r="B29" s="311"/>
      <c r="C29" s="312"/>
      <c r="D29" s="312"/>
      <c r="E29" s="330"/>
      <c r="P29" s="1"/>
      <c r="AE29" s="1"/>
      <c r="AT29" s="1"/>
    </row>
    <row r="30" spans="1:46">
      <c r="A30" s="195">
        <v>20</v>
      </c>
      <c r="B30" s="311"/>
      <c r="C30" s="312"/>
      <c r="D30" s="312"/>
      <c r="E30" s="330"/>
      <c r="P30" s="1"/>
      <c r="AE30" s="1"/>
      <c r="AT30" s="1"/>
    </row>
    <row r="31" spans="1:46">
      <c r="A31" s="195">
        <v>21</v>
      </c>
      <c r="B31" s="311"/>
      <c r="C31" s="312"/>
      <c r="D31" s="312"/>
      <c r="E31" s="330"/>
      <c r="P31" s="1"/>
      <c r="AE31" s="1"/>
      <c r="AT31" s="1"/>
    </row>
    <row r="32" spans="1:46">
      <c r="A32" s="195">
        <v>22</v>
      </c>
      <c r="B32" s="311"/>
      <c r="C32" s="312"/>
      <c r="D32" s="312"/>
      <c r="E32" s="330"/>
      <c r="P32" s="1"/>
      <c r="AE32" s="1"/>
      <c r="AT32" s="1"/>
    </row>
    <row r="33" spans="1:46">
      <c r="A33" s="195">
        <v>23</v>
      </c>
      <c r="B33" s="311"/>
      <c r="C33" s="312"/>
      <c r="D33" s="312"/>
      <c r="E33" s="330"/>
      <c r="P33" s="1"/>
      <c r="AE33" s="1"/>
      <c r="AT33" s="1"/>
    </row>
    <row r="34" spans="1:46">
      <c r="A34" s="195">
        <v>24</v>
      </c>
      <c r="B34" s="311"/>
      <c r="C34" s="312"/>
      <c r="D34" s="312"/>
      <c r="E34" s="330"/>
      <c r="P34" s="1"/>
      <c r="AE34" s="1"/>
      <c r="AT34" s="1"/>
    </row>
    <row r="35" spans="1:46">
      <c r="A35" s="195">
        <v>25</v>
      </c>
      <c r="B35" s="311"/>
      <c r="C35" s="312"/>
      <c r="D35" s="312"/>
      <c r="E35" s="330"/>
      <c r="P35" s="1"/>
      <c r="AE35" s="1"/>
      <c r="AT35" s="1"/>
    </row>
    <row r="36" spans="1:46">
      <c r="A36" s="195">
        <v>26</v>
      </c>
      <c r="B36" s="311"/>
      <c r="C36" s="312"/>
      <c r="D36" s="312"/>
      <c r="E36" s="330"/>
      <c r="P36" s="1"/>
      <c r="AE36" s="1"/>
      <c r="AT36" s="1"/>
    </row>
    <row r="37" spans="1:46">
      <c r="A37" s="195">
        <v>27</v>
      </c>
      <c r="B37" s="311"/>
      <c r="C37" s="312"/>
      <c r="D37" s="312"/>
      <c r="E37" s="330"/>
      <c r="P37" s="1"/>
      <c r="AE37" s="1"/>
      <c r="AT37" s="1"/>
    </row>
    <row r="38" spans="1:46">
      <c r="A38" s="195">
        <v>28</v>
      </c>
      <c r="B38" s="311"/>
      <c r="C38" s="312"/>
      <c r="D38" s="312"/>
      <c r="E38" s="330"/>
      <c r="P38" s="1"/>
      <c r="AE38" s="1"/>
      <c r="AT38" s="1"/>
    </row>
    <row r="39" spans="1:46">
      <c r="A39" s="195">
        <v>29</v>
      </c>
      <c r="B39" s="311"/>
      <c r="C39" s="312"/>
      <c r="D39" s="312"/>
      <c r="E39" s="330"/>
      <c r="P39" s="1"/>
      <c r="AE39" s="1"/>
      <c r="AT39" s="1"/>
    </row>
    <row r="40" spans="1:46">
      <c r="A40" s="195">
        <v>30</v>
      </c>
      <c r="B40" s="311"/>
      <c r="C40" s="312"/>
      <c r="D40" s="312"/>
      <c r="E40" s="330"/>
      <c r="P40" s="1"/>
      <c r="AE40" s="1"/>
      <c r="AT40" s="1"/>
    </row>
    <row r="41" spans="1:46">
      <c r="A41" s="195">
        <v>31</v>
      </c>
      <c r="B41" s="311"/>
      <c r="C41" s="312"/>
      <c r="D41" s="312"/>
      <c r="E41" s="330"/>
      <c r="P41" s="1"/>
      <c r="AE41" s="1"/>
      <c r="AT41" s="1"/>
    </row>
    <row r="42" spans="1:46">
      <c r="A42" s="195">
        <v>32</v>
      </c>
      <c r="B42" s="311"/>
      <c r="C42" s="312"/>
      <c r="D42" s="312"/>
      <c r="E42" s="330"/>
      <c r="P42" s="1"/>
      <c r="AE42" s="1"/>
      <c r="AT42" s="1"/>
    </row>
    <row r="43" spans="1:46">
      <c r="A43" s="195">
        <v>33</v>
      </c>
      <c r="B43" s="311"/>
      <c r="C43" s="312"/>
      <c r="D43" s="312"/>
      <c r="E43" s="330"/>
      <c r="P43" s="1"/>
      <c r="AE43" s="1"/>
      <c r="AT43" s="1"/>
    </row>
    <row r="44" spans="1:46">
      <c r="A44" s="195">
        <v>34</v>
      </c>
      <c r="B44" s="311"/>
      <c r="C44" s="312"/>
      <c r="D44" s="312"/>
      <c r="E44" s="330"/>
      <c r="P44" s="1"/>
      <c r="AE44" s="1"/>
      <c r="AT44" s="1"/>
    </row>
    <row r="45" spans="1:46">
      <c r="A45" s="195">
        <v>35</v>
      </c>
      <c r="B45" s="311"/>
      <c r="C45" s="312"/>
      <c r="D45" s="312"/>
      <c r="E45" s="330"/>
      <c r="P45" s="1"/>
      <c r="AE45" s="1"/>
      <c r="AT45" s="1"/>
    </row>
    <row r="46" spans="1:46">
      <c r="A46" s="195">
        <v>36</v>
      </c>
      <c r="B46" s="311"/>
      <c r="C46" s="312"/>
      <c r="D46" s="312"/>
      <c r="E46" s="330"/>
      <c r="P46" s="1"/>
      <c r="AE46" s="1"/>
      <c r="AT46" s="1"/>
    </row>
    <row r="47" spans="1:46">
      <c r="A47" s="195">
        <v>37</v>
      </c>
      <c r="B47" s="311"/>
      <c r="C47" s="312"/>
      <c r="D47" s="312"/>
      <c r="E47" s="330"/>
      <c r="P47" s="1"/>
      <c r="AE47" s="1"/>
      <c r="AT47" s="1"/>
    </row>
    <row r="48" spans="1:46">
      <c r="A48" s="195">
        <v>38</v>
      </c>
      <c r="B48" s="311"/>
      <c r="C48" s="312"/>
      <c r="D48" s="312"/>
      <c r="E48" s="330"/>
      <c r="P48" s="1"/>
      <c r="AE48" s="1"/>
      <c r="AT48" s="1"/>
    </row>
    <row r="49" spans="1:46">
      <c r="A49" s="195">
        <v>39</v>
      </c>
      <c r="B49" s="311"/>
      <c r="C49" s="312"/>
      <c r="D49" s="312"/>
      <c r="E49" s="330"/>
      <c r="P49" s="1"/>
      <c r="AE49" s="1"/>
      <c r="AT49" s="1"/>
    </row>
    <row r="50" spans="1:46">
      <c r="A50" s="195">
        <v>40</v>
      </c>
      <c r="B50" s="311"/>
      <c r="C50" s="312"/>
      <c r="D50" s="312"/>
      <c r="E50" s="330"/>
      <c r="P50" s="1"/>
      <c r="AE50" s="1"/>
      <c r="AT50" s="1"/>
    </row>
    <row r="51" spans="1:46">
      <c r="A51" s="195">
        <v>41</v>
      </c>
      <c r="B51" s="311"/>
      <c r="C51" s="312"/>
      <c r="D51" s="312"/>
      <c r="E51" s="330"/>
      <c r="P51" s="1"/>
      <c r="AE51" s="1"/>
      <c r="AT51" s="1"/>
    </row>
    <row r="52" spans="1:46">
      <c r="A52" s="195">
        <v>42</v>
      </c>
      <c r="B52" s="311"/>
      <c r="C52" s="312"/>
      <c r="D52" s="312"/>
      <c r="E52" s="330"/>
      <c r="P52" s="1"/>
      <c r="AE52" s="1"/>
      <c r="AT52" s="1"/>
    </row>
    <row r="53" spans="1:46">
      <c r="A53" s="195">
        <v>43</v>
      </c>
      <c r="B53" s="311"/>
      <c r="C53" s="312"/>
      <c r="D53" s="312"/>
      <c r="E53" s="330"/>
      <c r="P53" s="1"/>
      <c r="AE53" s="1"/>
      <c r="AT53" s="1"/>
    </row>
    <row r="54" spans="1:46">
      <c r="A54" s="195">
        <v>44</v>
      </c>
      <c r="B54" s="311"/>
      <c r="C54" s="312"/>
      <c r="D54" s="312"/>
      <c r="E54" s="330"/>
      <c r="P54" s="1"/>
      <c r="AE54" s="1"/>
      <c r="AT54" s="1"/>
    </row>
    <row r="55" spans="1:46">
      <c r="A55" s="195">
        <v>45</v>
      </c>
      <c r="B55" s="311"/>
      <c r="C55" s="312"/>
      <c r="D55" s="312"/>
      <c r="E55" s="330"/>
      <c r="P55" s="1"/>
      <c r="AE55" s="1"/>
      <c r="AT55" s="1"/>
    </row>
    <row r="56" spans="1:46">
      <c r="A56" s="195">
        <v>46</v>
      </c>
      <c r="B56" s="311"/>
      <c r="C56" s="312"/>
      <c r="D56" s="312"/>
      <c r="E56" s="330"/>
      <c r="P56" s="1"/>
      <c r="AE56" s="1"/>
      <c r="AT56" s="1"/>
    </row>
    <row r="57" spans="1:46">
      <c r="A57" s="195">
        <v>47</v>
      </c>
      <c r="B57" s="311"/>
      <c r="C57" s="312"/>
      <c r="D57" s="312"/>
      <c r="E57" s="330"/>
      <c r="P57" s="1"/>
      <c r="AE57" s="1"/>
      <c r="AT57" s="1"/>
    </row>
    <row r="58" spans="1:46">
      <c r="A58" s="195">
        <v>48</v>
      </c>
      <c r="B58" s="311"/>
      <c r="C58" s="312"/>
      <c r="D58" s="312"/>
      <c r="E58" s="330"/>
      <c r="P58" s="1"/>
      <c r="AE58" s="1"/>
      <c r="AT58" s="1"/>
    </row>
    <row r="59" spans="1:46">
      <c r="A59" s="195">
        <v>49</v>
      </c>
      <c r="B59" s="311"/>
      <c r="C59" s="312"/>
      <c r="D59" s="312"/>
      <c r="E59" s="330"/>
      <c r="P59" s="1"/>
      <c r="AE59" s="1"/>
      <c r="AT59" s="1"/>
    </row>
    <row r="60" spans="1:46">
      <c r="A60" s="195">
        <v>50</v>
      </c>
      <c r="B60" s="311"/>
      <c r="C60" s="312"/>
      <c r="D60" s="312"/>
      <c r="E60" s="330"/>
      <c r="P60" s="1"/>
      <c r="AE60" s="1"/>
      <c r="AT60" s="1"/>
    </row>
    <row r="61" spans="1:46">
      <c r="A61" s="195">
        <v>51</v>
      </c>
      <c r="B61" s="311"/>
      <c r="C61" s="312"/>
      <c r="D61" s="312"/>
      <c r="E61" s="330"/>
      <c r="P61" s="1"/>
      <c r="AE61" s="1"/>
      <c r="AT61" s="1"/>
    </row>
    <row r="62" spans="1:46">
      <c r="A62" s="195">
        <v>52</v>
      </c>
      <c r="B62" s="311"/>
      <c r="C62" s="312"/>
      <c r="D62" s="312"/>
      <c r="E62" s="330"/>
      <c r="P62" s="1"/>
      <c r="AE62" s="1"/>
      <c r="AT62" s="1"/>
    </row>
    <row r="63" spans="1:46">
      <c r="A63" s="195">
        <v>53</v>
      </c>
      <c r="B63" s="311"/>
      <c r="C63" s="312"/>
      <c r="D63" s="312"/>
      <c r="E63" s="330"/>
      <c r="P63" s="1"/>
      <c r="AE63" s="1"/>
      <c r="AT63" s="1"/>
    </row>
    <row r="64" spans="1:46">
      <c r="A64" s="195">
        <v>54</v>
      </c>
      <c r="B64" s="311"/>
      <c r="C64" s="312"/>
      <c r="D64" s="312"/>
      <c r="E64" s="330"/>
      <c r="P64" s="1"/>
      <c r="AE64" s="1"/>
      <c r="AT64" s="1"/>
    </row>
    <row r="65" spans="1:46">
      <c r="A65" s="195">
        <v>55</v>
      </c>
      <c r="B65" s="311"/>
      <c r="C65" s="312"/>
      <c r="D65" s="312"/>
      <c r="E65" s="330"/>
      <c r="P65" s="1"/>
      <c r="AE65" s="1"/>
      <c r="AT65" s="1"/>
    </row>
    <row r="66" spans="1:46">
      <c r="A66" s="195">
        <v>56</v>
      </c>
      <c r="B66" s="311"/>
      <c r="C66" s="312"/>
      <c r="D66" s="312"/>
      <c r="E66" s="330"/>
      <c r="P66" s="1"/>
      <c r="AE66" s="1"/>
      <c r="AT66" s="1"/>
    </row>
    <row r="67" spans="1:46">
      <c r="A67" s="195">
        <v>57</v>
      </c>
      <c r="B67" s="311"/>
      <c r="C67" s="312"/>
      <c r="D67" s="312"/>
      <c r="E67" s="330"/>
      <c r="P67" s="1"/>
      <c r="AE67" s="1"/>
      <c r="AT67" s="1"/>
    </row>
    <row r="68" spans="1:46">
      <c r="A68" s="195">
        <v>58</v>
      </c>
      <c r="B68" s="311"/>
      <c r="C68" s="312"/>
      <c r="D68" s="312"/>
      <c r="E68" s="330"/>
      <c r="P68" s="1"/>
      <c r="AE68" s="1"/>
      <c r="AT68" s="1"/>
    </row>
    <row r="69" spans="1:46">
      <c r="A69" s="195">
        <v>59</v>
      </c>
      <c r="B69" s="311"/>
      <c r="C69" s="312"/>
      <c r="D69" s="312"/>
      <c r="E69" s="330"/>
      <c r="P69" s="1"/>
      <c r="AE69" s="1"/>
      <c r="AT69" s="1"/>
    </row>
    <row r="70" spans="1:46">
      <c r="A70" s="195">
        <v>60</v>
      </c>
      <c r="B70" s="311"/>
      <c r="C70" s="312"/>
      <c r="D70" s="312"/>
      <c r="E70" s="330"/>
      <c r="P70" s="1"/>
      <c r="AE70" s="1"/>
      <c r="AT70" s="1"/>
    </row>
    <row r="71" spans="1:46">
      <c r="A71" s="195">
        <v>61</v>
      </c>
      <c r="B71" s="311"/>
      <c r="C71" s="312"/>
      <c r="D71" s="312"/>
      <c r="E71" s="330"/>
      <c r="P71" s="1"/>
      <c r="AE71" s="1"/>
      <c r="AT71" s="1"/>
    </row>
    <row r="72" spans="1:46">
      <c r="A72" s="195">
        <v>62</v>
      </c>
      <c r="B72" s="311"/>
      <c r="C72" s="312"/>
      <c r="D72" s="312"/>
      <c r="E72" s="330"/>
      <c r="P72" s="1"/>
      <c r="AE72" s="1"/>
      <c r="AT72" s="1"/>
    </row>
    <row r="73" spans="1:46">
      <c r="A73" s="195">
        <v>63</v>
      </c>
      <c r="B73" s="311"/>
      <c r="C73" s="312"/>
      <c r="D73" s="312"/>
      <c r="E73" s="330"/>
      <c r="P73" s="1"/>
      <c r="AE73" s="1"/>
      <c r="AT73" s="1"/>
    </row>
    <row r="74" spans="1:46">
      <c r="A74" s="195">
        <v>64</v>
      </c>
      <c r="B74" s="311"/>
      <c r="C74" s="312"/>
      <c r="D74" s="312"/>
      <c r="E74" s="330"/>
      <c r="P74" s="1"/>
      <c r="AE74" s="1"/>
      <c r="AT74" s="1"/>
    </row>
    <row r="75" spans="1:46">
      <c r="A75" s="195">
        <v>65</v>
      </c>
      <c r="B75" s="311"/>
      <c r="C75" s="312"/>
      <c r="D75" s="312"/>
      <c r="E75" s="330"/>
      <c r="P75" s="1"/>
      <c r="AE75" s="1"/>
      <c r="AT75" s="1"/>
    </row>
    <row r="76" spans="1:46">
      <c r="A76" s="195">
        <v>66</v>
      </c>
      <c r="B76" s="311"/>
      <c r="C76" s="312"/>
      <c r="D76" s="312"/>
      <c r="E76" s="330"/>
      <c r="P76" s="1"/>
      <c r="AE76" s="1"/>
      <c r="AT76" s="1"/>
    </row>
    <row r="77" spans="1:46">
      <c r="A77" s="195">
        <v>67</v>
      </c>
      <c r="B77" s="311"/>
      <c r="C77" s="312"/>
      <c r="D77" s="312"/>
      <c r="E77" s="330"/>
      <c r="P77" s="1"/>
      <c r="AE77" s="1"/>
      <c r="AT77" s="1"/>
    </row>
    <row r="78" spans="1:46">
      <c r="A78" s="195">
        <v>68</v>
      </c>
      <c r="B78" s="311"/>
      <c r="C78" s="312"/>
      <c r="D78" s="312"/>
      <c r="E78" s="330"/>
      <c r="P78" s="1"/>
      <c r="AE78" s="1"/>
      <c r="AT78" s="1"/>
    </row>
    <row r="79" spans="1:46">
      <c r="A79" s="195">
        <v>69</v>
      </c>
      <c r="B79" s="311"/>
      <c r="C79" s="312"/>
      <c r="D79" s="312"/>
      <c r="E79" s="330"/>
      <c r="P79" s="1"/>
      <c r="AE79" s="1"/>
      <c r="AT79" s="1"/>
    </row>
    <row r="80" spans="1:46">
      <c r="A80" s="195">
        <v>70</v>
      </c>
      <c r="B80" s="311"/>
      <c r="C80" s="312"/>
      <c r="D80" s="312"/>
      <c r="E80" s="330"/>
      <c r="P80" s="1"/>
      <c r="AE80" s="1"/>
      <c r="AT80" s="1"/>
    </row>
    <row r="81" spans="1:46">
      <c r="A81" s="195">
        <v>71</v>
      </c>
      <c r="B81" s="311"/>
      <c r="C81" s="312"/>
      <c r="D81" s="312"/>
      <c r="E81" s="330"/>
      <c r="P81" s="1"/>
      <c r="AE81" s="1"/>
      <c r="AT81" s="1"/>
    </row>
    <row r="82" spans="1:46">
      <c r="A82" s="195">
        <v>72</v>
      </c>
      <c r="B82" s="311"/>
      <c r="C82" s="312"/>
      <c r="D82" s="312"/>
      <c r="E82" s="330"/>
      <c r="P82" s="1"/>
      <c r="AE82" s="1"/>
      <c r="AT82" s="1"/>
    </row>
    <row r="83" spans="1:46">
      <c r="A83" s="195">
        <v>73</v>
      </c>
      <c r="B83" s="311"/>
      <c r="C83" s="312"/>
      <c r="D83" s="312"/>
      <c r="E83" s="330"/>
      <c r="P83" s="1"/>
      <c r="AE83" s="1"/>
      <c r="AT83" s="1"/>
    </row>
    <row r="84" spans="1:46">
      <c r="A84" s="195">
        <v>74</v>
      </c>
      <c r="B84" s="311"/>
      <c r="C84" s="312"/>
      <c r="D84" s="312"/>
      <c r="E84" s="330"/>
      <c r="P84" s="1"/>
      <c r="AE84" s="1"/>
      <c r="AT84" s="1"/>
    </row>
    <row r="85" spans="1:46">
      <c r="A85" s="195">
        <v>75</v>
      </c>
      <c r="B85" s="311"/>
      <c r="C85" s="312"/>
      <c r="D85" s="312"/>
      <c r="E85" s="330"/>
      <c r="P85" s="1"/>
      <c r="AE85" s="1"/>
      <c r="AT85" s="1"/>
    </row>
    <row r="86" spans="1:46">
      <c r="A86" s="195">
        <v>76</v>
      </c>
      <c r="B86" s="311"/>
      <c r="C86" s="312"/>
      <c r="D86" s="312"/>
      <c r="E86" s="330"/>
      <c r="P86" s="1"/>
      <c r="AE86" s="1"/>
      <c r="AT86" s="1"/>
    </row>
    <row r="87" spans="1:46">
      <c r="A87" s="195">
        <v>77</v>
      </c>
      <c r="B87" s="311"/>
      <c r="C87" s="312"/>
      <c r="D87" s="312"/>
      <c r="E87" s="330"/>
      <c r="P87" s="1"/>
      <c r="AE87" s="1"/>
      <c r="AT87" s="1"/>
    </row>
    <row r="88" spans="1:46">
      <c r="A88" s="195">
        <v>78</v>
      </c>
      <c r="B88" s="311"/>
      <c r="C88" s="312"/>
      <c r="D88" s="312"/>
      <c r="E88" s="330"/>
      <c r="P88" s="1"/>
      <c r="AE88" s="1"/>
      <c r="AT88" s="1"/>
    </row>
    <row r="89" spans="1:46">
      <c r="A89" s="195">
        <v>79</v>
      </c>
      <c r="B89" s="311"/>
      <c r="C89" s="312"/>
      <c r="D89" s="312"/>
      <c r="E89" s="330"/>
      <c r="P89" s="1"/>
      <c r="AE89" s="1"/>
      <c r="AT89" s="1"/>
    </row>
    <row r="90" spans="1:46">
      <c r="A90" s="195">
        <v>80</v>
      </c>
      <c r="B90" s="311"/>
      <c r="C90" s="312"/>
      <c r="D90" s="312"/>
      <c r="E90" s="330"/>
      <c r="P90" s="1"/>
      <c r="AE90" s="1"/>
      <c r="AT90" s="1"/>
    </row>
    <row r="91" spans="1:46">
      <c r="A91" s="195">
        <v>81</v>
      </c>
      <c r="B91" s="311"/>
      <c r="C91" s="312"/>
      <c r="D91" s="312"/>
      <c r="E91" s="330"/>
      <c r="P91" s="1"/>
      <c r="AE91" s="1"/>
      <c r="AT91" s="1"/>
    </row>
    <row r="92" spans="1:46">
      <c r="A92" s="195">
        <v>82</v>
      </c>
      <c r="B92" s="311"/>
      <c r="C92" s="312"/>
      <c r="D92" s="312"/>
      <c r="E92" s="330"/>
      <c r="P92" s="1"/>
      <c r="AE92" s="1"/>
      <c r="AT92" s="1"/>
    </row>
    <row r="93" spans="1:46">
      <c r="A93" s="195">
        <v>83</v>
      </c>
      <c r="B93" s="311"/>
      <c r="C93" s="312"/>
      <c r="D93" s="312"/>
      <c r="E93" s="330"/>
      <c r="P93" s="1"/>
      <c r="AE93" s="1"/>
      <c r="AT93" s="1"/>
    </row>
    <row r="94" spans="1:46">
      <c r="A94" s="195">
        <v>84</v>
      </c>
      <c r="B94" s="311"/>
      <c r="C94" s="312"/>
      <c r="D94" s="312"/>
      <c r="E94" s="330"/>
      <c r="P94" s="1"/>
      <c r="AE94" s="1"/>
      <c r="AT94" s="1"/>
    </row>
    <row r="95" spans="1:46">
      <c r="A95" s="195">
        <v>85</v>
      </c>
      <c r="B95" s="311"/>
      <c r="C95" s="312"/>
      <c r="D95" s="312"/>
      <c r="E95" s="330"/>
      <c r="P95" s="1"/>
      <c r="AE95" s="1"/>
      <c r="AT95" s="1"/>
    </row>
    <row r="96" spans="1:46">
      <c r="A96" s="195">
        <v>86</v>
      </c>
      <c r="B96" s="311"/>
      <c r="C96" s="312"/>
      <c r="D96" s="312"/>
      <c r="E96" s="330"/>
      <c r="P96" s="1"/>
      <c r="AE96" s="1"/>
      <c r="AT96" s="1"/>
    </row>
    <row r="97" spans="1:46">
      <c r="A97" s="195">
        <v>87</v>
      </c>
      <c r="B97" s="311"/>
      <c r="C97" s="312"/>
      <c r="D97" s="312"/>
      <c r="E97" s="330"/>
      <c r="P97" s="1"/>
      <c r="AE97" s="1"/>
      <c r="AT97" s="1"/>
    </row>
    <row r="98" spans="1:46">
      <c r="A98" s="195">
        <v>88</v>
      </c>
      <c r="B98" s="311"/>
      <c r="C98" s="312"/>
      <c r="D98" s="312"/>
      <c r="E98" s="330"/>
      <c r="P98" s="1"/>
      <c r="AE98" s="1"/>
      <c r="AT98" s="1"/>
    </row>
    <row r="99" spans="1:46">
      <c r="A99" s="195">
        <v>89</v>
      </c>
      <c r="B99" s="311"/>
      <c r="C99" s="312"/>
      <c r="D99" s="312"/>
      <c r="E99" s="330"/>
      <c r="P99" s="1"/>
      <c r="AE99" s="1"/>
      <c r="AT99" s="1"/>
    </row>
    <row r="100" spans="1:46">
      <c r="A100" s="195">
        <v>90</v>
      </c>
      <c r="B100" s="311"/>
      <c r="C100" s="312"/>
      <c r="D100" s="312"/>
      <c r="E100" s="330"/>
      <c r="P100" s="1"/>
      <c r="AE100" s="1"/>
      <c r="AT100" s="1"/>
    </row>
    <row r="101" spans="1:46">
      <c r="A101" s="195">
        <v>91</v>
      </c>
      <c r="B101" s="311"/>
      <c r="C101" s="312"/>
      <c r="D101" s="312"/>
      <c r="E101" s="330"/>
      <c r="P101" s="1"/>
      <c r="AE101" s="1"/>
      <c r="AT101" s="1"/>
    </row>
    <row r="102" spans="1:46">
      <c r="A102" s="195">
        <v>92</v>
      </c>
      <c r="B102" s="311"/>
      <c r="C102" s="312"/>
      <c r="D102" s="312"/>
      <c r="E102" s="330"/>
      <c r="P102" s="1"/>
      <c r="AE102" s="1"/>
      <c r="AT102" s="1"/>
    </row>
    <row r="103" spans="1:46">
      <c r="A103" s="195">
        <v>93</v>
      </c>
      <c r="B103" s="311"/>
      <c r="C103" s="312"/>
      <c r="D103" s="312"/>
      <c r="E103" s="330"/>
      <c r="P103" s="1"/>
      <c r="AE103" s="1"/>
      <c r="AT103" s="1"/>
    </row>
    <row r="104" spans="1:46">
      <c r="A104" s="195">
        <v>94</v>
      </c>
      <c r="B104" s="311"/>
      <c r="C104" s="312"/>
      <c r="D104" s="312"/>
      <c r="E104" s="330"/>
      <c r="P104" s="1"/>
      <c r="AE104" s="1"/>
      <c r="AT104" s="1"/>
    </row>
    <row r="105" spans="1:46">
      <c r="A105" s="195">
        <v>95</v>
      </c>
      <c r="B105" s="311"/>
      <c r="C105" s="312"/>
      <c r="D105" s="312"/>
      <c r="E105" s="330"/>
      <c r="P105" s="1"/>
      <c r="AE105" s="1"/>
      <c r="AT105" s="1"/>
    </row>
    <row r="106" spans="1:46">
      <c r="A106" s="195">
        <v>96</v>
      </c>
      <c r="B106" s="311"/>
      <c r="C106" s="312"/>
      <c r="D106" s="312"/>
      <c r="E106" s="330"/>
      <c r="P106" s="1"/>
      <c r="AE106" s="1"/>
      <c r="AT106" s="1"/>
    </row>
    <row r="107" spans="1:46">
      <c r="A107" s="195">
        <v>97</v>
      </c>
      <c r="B107" s="311"/>
      <c r="C107" s="312"/>
      <c r="D107" s="312"/>
      <c r="E107" s="330"/>
      <c r="P107" s="1"/>
      <c r="AE107" s="1"/>
      <c r="AT107" s="1"/>
    </row>
    <row r="108" spans="1:46">
      <c r="A108" s="195">
        <v>98</v>
      </c>
      <c r="B108" s="311"/>
      <c r="C108" s="312"/>
      <c r="D108" s="312"/>
      <c r="E108" s="330"/>
      <c r="P108" s="1"/>
      <c r="AE108" s="1"/>
      <c r="AT108" s="1"/>
    </row>
    <row r="109" spans="1:46">
      <c r="A109" s="195">
        <v>99</v>
      </c>
      <c r="B109" s="311"/>
      <c r="C109" s="312"/>
      <c r="D109" s="312"/>
      <c r="E109" s="330"/>
      <c r="P109" s="1"/>
      <c r="AE109" s="1"/>
      <c r="AT109" s="1"/>
    </row>
    <row r="110" spans="1:46">
      <c r="A110" s="328">
        <v>100</v>
      </c>
      <c r="B110" s="331"/>
      <c r="C110" s="332"/>
      <c r="D110" s="332"/>
      <c r="E110" s="333"/>
      <c r="P110" s="1"/>
      <c r="AE110" s="1"/>
      <c r="AT110" s="1"/>
    </row>
  </sheetData>
  <sheetProtection scenarios="1"/>
  <mergeCells count="8">
    <mergeCell ref="AU9:BG9"/>
    <mergeCell ref="G3:I3"/>
    <mergeCell ref="B3:D3"/>
    <mergeCell ref="B4:D4"/>
    <mergeCell ref="B5:D5"/>
    <mergeCell ref="G6:I6"/>
    <mergeCell ref="Q9:AC9"/>
    <mergeCell ref="AF9:AR9"/>
  </mergeCells>
  <conditionalFormatting sqref="A2:J111">
    <cfRule type="expression" dxfId="3" priority="1">
      <formula>CELL("Protect",A2)=1</formula>
    </cfRule>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7F3900-5DD3-4CDF-93F2-55A098EA670A}">
  <sheetPr codeName="Hoja2">
    <tabColor rgb="FFFFFFCC"/>
  </sheetPr>
  <dimension ref="A1:BG110"/>
  <sheetViews>
    <sheetView workbookViewId="0">
      <selection sqref="A1:J1"/>
    </sheetView>
  </sheetViews>
  <sheetFormatPr defaultColWidth="8.85546875" defaultRowHeight="12.75"/>
  <cols>
    <col min="1" max="1" width="12.42578125" customWidth="1"/>
    <col min="2" max="5" width="11" customWidth="1"/>
    <col min="6" max="6" width="6.7109375" customWidth="1"/>
    <col min="7" max="9" width="10.140625" customWidth="1"/>
    <col min="10" max="14" width="6.7109375" customWidth="1"/>
    <col min="15" max="15" width="9.42578125" customWidth="1"/>
    <col min="16" max="16" width="12.42578125" customWidth="1"/>
    <col min="17" max="29" width="6.7109375" customWidth="1"/>
    <col min="30" max="30" width="3.7109375" customWidth="1"/>
    <col min="31" max="31" width="12.42578125" customWidth="1"/>
    <col min="32" max="44" width="6.7109375" customWidth="1"/>
    <col min="45" max="45" width="3.7109375" customWidth="1"/>
    <col min="46" max="46" width="12.42578125" customWidth="1"/>
    <col min="47" max="59" width="6.7109375" customWidth="1"/>
    <col min="257" max="257" width="12.42578125" customWidth="1"/>
    <col min="259" max="261" width="9.42578125" bestFit="1" customWidth="1"/>
    <col min="262" max="270" width="6.7109375" customWidth="1"/>
    <col min="271" max="271" width="3.7109375" customWidth="1"/>
    <col min="272" max="272" width="12.42578125" customWidth="1"/>
    <col min="273" max="285" width="6.7109375" customWidth="1"/>
    <col min="286" max="286" width="3.7109375" customWidth="1"/>
    <col min="287" max="287" width="12.42578125" customWidth="1"/>
    <col min="288" max="300" width="6.7109375" customWidth="1"/>
    <col min="301" max="301" width="3.7109375" customWidth="1"/>
    <col min="302" max="302" width="12.42578125" customWidth="1"/>
    <col min="303" max="315" width="6.7109375" customWidth="1"/>
    <col min="513" max="513" width="12.42578125" customWidth="1"/>
    <col min="515" max="517" width="9.42578125" bestFit="1" customWidth="1"/>
    <col min="518" max="526" width="6.7109375" customWidth="1"/>
    <col min="527" max="527" width="3.7109375" customWidth="1"/>
    <col min="528" max="528" width="12.42578125" customWidth="1"/>
    <col min="529" max="541" width="6.7109375" customWidth="1"/>
    <col min="542" max="542" width="3.7109375" customWidth="1"/>
    <col min="543" max="543" width="12.42578125" customWidth="1"/>
    <col min="544" max="556" width="6.7109375" customWidth="1"/>
    <col min="557" max="557" width="3.7109375" customWidth="1"/>
    <col min="558" max="558" width="12.42578125" customWidth="1"/>
    <col min="559" max="571" width="6.7109375" customWidth="1"/>
    <col min="769" max="769" width="12.42578125" customWidth="1"/>
    <col min="771" max="773" width="9.42578125" bestFit="1" customWidth="1"/>
    <col min="774" max="782" width="6.7109375" customWidth="1"/>
    <col min="783" max="783" width="3.7109375" customWidth="1"/>
    <col min="784" max="784" width="12.42578125" customWidth="1"/>
    <col min="785" max="797" width="6.7109375" customWidth="1"/>
    <col min="798" max="798" width="3.7109375" customWidth="1"/>
    <col min="799" max="799" width="12.42578125" customWidth="1"/>
    <col min="800" max="812" width="6.7109375" customWidth="1"/>
    <col min="813" max="813" width="3.7109375" customWidth="1"/>
    <col min="814" max="814" width="12.42578125" customWidth="1"/>
    <col min="815" max="827" width="6.7109375" customWidth="1"/>
    <col min="1025" max="1025" width="12.42578125" customWidth="1"/>
    <col min="1027" max="1029" width="9.42578125" bestFit="1" customWidth="1"/>
    <col min="1030" max="1038" width="6.7109375" customWidth="1"/>
    <col min="1039" max="1039" width="3.7109375" customWidth="1"/>
    <col min="1040" max="1040" width="12.42578125" customWidth="1"/>
    <col min="1041" max="1053" width="6.7109375" customWidth="1"/>
    <col min="1054" max="1054" width="3.7109375" customWidth="1"/>
    <col min="1055" max="1055" width="12.42578125" customWidth="1"/>
    <col min="1056" max="1068" width="6.7109375" customWidth="1"/>
    <col min="1069" max="1069" width="3.7109375" customWidth="1"/>
    <col min="1070" max="1070" width="12.42578125" customWidth="1"/>
    <col min="1071" max="1083" width="6.7109375" customWidth="1"/>
    <col min="1281" max="1281" width="12.42578125" customWidth="1"/>
    <col min="1283" max="1285" width="9.42578125" bestFit="1" customWidth="1"/>
    <col min="1286" max="1294" width="6.7109375" customWidth="1"/>
    <col min="1295" max="1295" width="3.7109375" customWidth="1"/>
    <col min="1296" max="1296" width="12.42578125" customWidth="1"/>
    <col min="1297" max="1309" width="6.7109375" customWidth="1"/>
    <col min="1310" max="1310" width="3.7109375" customWidth="1"/>
    <col min="1311" max="1311" width="12.42578125" customWidth="1"/>
    <col min="1312" max="1324" width="6.7109375" customWidth="1"/>
    <col min="1325" max="1325" width="3.7109375" customWidth="1"/>
    <col min="1326" max="1326" width="12.42578125" customWidth="1"/>
    <col min="1327" max="1339" width="6.7109375" customWidth="1"/>
    <col min="1537" max="1537" width="12.42578125" customWidth="1"/>
    <col min="1539" max="1541" width="9.42578125" bestFit="1" customWidth="1"/>
    <col min="1542" max="1550" width="6.7109375" customWidth="1"/>
    <col min="1551" max="1551" width="3.7109375" customWidth="1"/>
    <col min="1552" max="1552" width="12.42578125" customWidth="1"/>
    <col min="1553" max="1565" width="6.7109375" customWidth="1"/>
    <col min="1566" max="1566" width="3.7109375" customWidth="1"/>
    <col min="1567" max="1567" width="12.42578125" customWidth="1"/>
    <col min="1568" max="1580" width="6.7109375" customWidth="1"/>
    <col min="1581" max="1581" width="3.7109375" customWidth="1"/>
    <col min="1582" max="1582" width="12.42578125" customWidth="1"/>
    <col min="1583" max="1595" width="6.7109375" customWidth="1"/>
    <col min="1793" max="1793" width="12.42578125" customWidth="1"/>
    <col min="1795" max="1797" width="9.42578125" bestFit="1" customWidth="1"/>
    <col min="1798" max="1806" width="6.7109375" customWidth="1"/>
    <col min="1807" max="1807" width="3.7109375" customWidth="1"/>
    <col min="1808" max="1808" width="12.42578125" customWidth="1"/>
    <col min="1809" max="1821" width="6.7109375" customWidth="1"/>
    <col min="1822" max="1822" width="3.7109375" customWidth="1"/>
    <col min="1823" max="1823" width="12.42578125" customWidth="1"/>
    <col min="1824" max="1836" width="6.7109375" customWidth="1"/>
    <col min="1837" max="1837" width="3.7109375" customWidth="1"/>
    <col min="1838" max="1838" width="12.42578125" customWidth="1"/>
    <col min="1839" max="1851" width="6.7109375" customWidth="1"/>
    <col min="2049" max="2049" width="12.42578125" customWidth="1"/>
    <col min="2051" max="2053" width="9.42578125" bestFit="1" customWidth="1"/>
    <col min="2054" max="2062" width="6.7109375" customWidth="1"/>
    <col min="2063" max="2063" width="3.7109375" customWidth="1"/>
    <col min="2064" max="2064" width="12.42578125" customWidth="1"/>
    <col min="2065" max="2077" width="6.7109375" customWidth="1"/>
    <col min="2078" max="2078" width="3.7109375" customWidth="1"/>
    <col min="2079" max="2079" width="12.42578125" customWidth="1"/>
    <col min="2080" max="2092" width="6.7109375" customWidth="1"/>
    <col min="2093" max="2093" width="3.7109375" customWidth="1"/>
    <col min="2094" max="2094" width="12.42578125" customWidth="1"/>
    <col min="2095" max="2107" width="6.7109375" customWidth="1"/>
    <col min="2305" max="2305" width="12.42578125" customWidth="1"/>
    <col min="2307" max="2309" width="9.42578125" bestFit="1" customWidth="1"/>
    <col min="2310" max="2318" width="6.7109375" customWidth="1"/>
    <col min="2319" max="2319" width="3.7109375" customWidth="1"/>
    <col min="2320" max="2320" width="12.42578125" customWidth="1"/>
    <col min="2321" max="2333" width="6.7109375" customWidth="1"/>
    <col min="2334" max="2334" width="3.7109375" customWidth="1"/>
    <col min="2335" max="2335" width="12.42578125" customWidth="1"/>
    <col min="2336" max="2348" width="6.7109375" customWidth="1"/>
    <col min="2349" max="2349" width="3.7109375" customWidth="1"/>
    <col min="2350" max="2350" width="12.42578125" customWidth="1"/>
    <col min="2351" max="2363" width="6.7109375" customWidth="1"/>
    <col min="2561" max="2561" width="12.42578125" customWidth="1"/>
    <col min="2563" max="2565" width="9.42578125" bestFit="1" customWidth="1"/>
    <col min="2566" max="2574" width="6.7109375" customWidth="1"/>
    <col min="2575" max="2575" width="3.7109375" customWidth="1"/>
    <col min="2576" max="2576" width="12.42578125" customWidth="1"/>
    <col min="2577" max="2589" width="6.7109375" customWidth="1"/>
    <col min="2590" max="2590" width="3.7109375" customWidth="1"/>
    <col min="2591" max="2591" width="12.42578125" customWidth="1"/>
    <col min="2592" max="2604" width="6.7109375" customWidth="1"/>
    <col min="2605" max="2605" width="3.7109375" customWidth="1"/>
    <col min="2606" max="2606" width="12.42578125" customWidth="1"/>
    <col min="2607" max="2619" width="6.7109375" customWidth="1"/>
    <col min="2817" max="2817" width="12.42578125" customWidth="1"/>
    <col min="2819" max="2821" width="9.42578125" bestFit="1" customWidth="1"/>
    <col min="2822" max="2830" width="6.7109375" customWidth="1"/>
    <col min="2831" max="2831" width="3.7109375" customWidth="1"/>
    <col min="2832" max="2832" width="12.42578125" customWidth="1"/>
    <col min="2833" max="2845" width="6.7109375" customWidth="1"/>
    <col min="2846" max="2846" width="3.7109375" customWidth="1"/>
    <col min="2847" max="2847" width="12.42578125" customWidth="1"/>
    <col min="2848" max="2860" width="6.7109375" customWidth="1"/>
    <col min="2861" max="2861" width="3.7109375" customWidth="1"/>
    <col min="2862" max="2862" width="12.42578125" customWidth="1"/>
    <col min="2863" max="2875" width="6.7109375" customWidth="1"/>
    <col min="3073" max="3073" width="12.42578125" customWidth="1"/>
    <col min="3075" max="3077" width="9.42578125" bestFit="1" customWidth="1"/>
    <col min="3078" max="3086" width="6.7109375" customWidth="1"/>
    <col min="3087" max="3087" width="3.7109375" customWidth="1"/>
    <col min="3088" max="3088" width="12.42578125" customWidth="1"/>
    <col min="3089" max="3101" width="6.7109375" customWidth="1"/>
    <col min="3102" max="3102" width="3.7109375" customWidth="1"/>
    <col min="3103" max="3103" width="12.42578125" customWidth="1"/>
    <col min="3104" max="3116" width="6.7109375" customWidth="1"/>
    <col min="3117" max="3117" width="3.7109375" customWidth="1"/>
    <col min="3118" max="3118" width="12.42578125" customWidth="1"/>
    <col min="3119" max="3131" width="6.7109375" customWidth="1"/>
    <col min="3329" max="3329" width="12.42578125" customWidth="1"/>
    <col min="3331" max="3333" width="9.42578125" bestFit="1" customWidth="1"/>
    <col min="3334" max="3342" width="6.7109375" customWidth="1"/>
    <col min="3343" max="3343" width="3.7109375" customWidth="1"/>
    <col min="3344" max="3344" width="12.42578125" customWidth="1"/>
    <col min="3345" max="3357" width="6.7109375" customWidth="1"/>
    <col min="3358" max="3358" width="3.7109375" customWidth="1"/>
    <col min="3359" max="3359" width="12.42578125" customWidth="1"/>
    <col min="3360" max="3372" width="6.7109375" customWidth="1"/>
    <col min="3373" max="3373" width="3.7109375" customWidth="1"/>
    <col min="3374" max="3374" width="12.42578125" customWidth="1"/>
    <col min="3375" max="3387" width="6.7109375" customWidth="1"/>
    <col min="3585" max="3585" width="12.42578125" customWidth="1"/>
    <col min="3587" max="3589" width="9.42578125" bestFit="1" customWidth="1"/>
    <col min="3590" max="3598" width="6.7109375" customWidth="1"/>
    <col min="3599" max="3599" width="3.7109375" customWidth="1"/>
    <col min="3600" max="3600" width="12.42578125" customWidth="1"/>
    <col min="3601" max="3613" width="6.7109375" customWidth="1"/>
    <col min="3614" max="3614" width="3.7109375" customWidth="1"/>
    <col min="3615" max="3615" width="12.42578125" customWidth="1"/>
    <col min="3616" max="3628" width="6.7109375" customWidth="1"/>
    <col min="3629" max="3629" width="3.7109375" customWidth="1"/>
    <col min="3630" max="3630" width="12.42578125" customWidth="1"/>
    <col min="3631" max="3643" width="6.7109375" customWidth="1"/>
    <col min="3841" max="3841" width="12.42578125" customWidth="1"/>
    <col min="3843" max="3845" width="9.42578125" bestFit="1" customWidth="1"/>
    <col min="3846" max="3854" width="6.7109375" customWidth="1"/>
    <col min="3855" max="3855" width="3.7109375" customWidth="1"/>
    <col min="3856" max="3856" width="12.42578125" customWidth="1"/>
    <col min="3857" max="3869" width="6.7109375" customWidth="1"/>
    <col min="3870" max="3870" width="3.7109375" customWidth="1"/>
    <col min="3871" max="3871" width="12.42578125" customWidth="1"/>
    <col min="3872" max="3884" width="6.7109375" customWidth="1"/>
    <col min="3885" max="3885" width="3.7109375" customWidth="1"/>
    <col min="3886" max="3886" width="12.42578125" customWidth="1"/>
    <col min="3887" max="3899" width="6.7109375" customWidth="1"/>
    <col min="4097" max="4097" width="12.42578125" customWidth="1"/>
    <col min="4099" max="4101" width="9.42578125" bestFit="1" customWidth="1"/>
    <col min="4102" max="4110" width="6.7109375" customWidth="1"/>
    <col min="4111" max="4111" width="3.7109375" customWidth="1"/>
    <col min="4112" max="4112" width="12.42578125" customWidth="1"/>
    <col min="4113" max="4125" width="6.7109375" customWidth="1"/>
    <col min="4126" max="4126" width="3.7109375" customWidth="1"/>
    <col min="4127" max="4127" width="12.42578125" customWidth="1"/>
    <col min="4128" max="4140" width="6.7109375" customWidth="1"/>
    <col min="4141" max="4141" width="3.7109375" customWidth="1"/>
    <col min="4142" max="4142" width="12.42578125" customWidth="1"/>
    <col min="4143" max="4155" width="6.7109375" customWidth="1"/>
    <col min="4353" max="4353" width="12.42578125" customWidth="1"/>
    <col min="4355" max="4357" width="9.42578125" bestFit="1" customWidth="1"/>
    <col min="4358" max="4366" width="6.7109375" customWidth="1"/>
    <col min="4367" max="4367" width="3.7109375" customWidth="1"/>
    <col min="4368" max="4368" width="12.42578125" customWidth="1"/>
    <col min="4369" max="4381" width="6.7109375" customWidth="1"/>
    <col min="4382" max="4382" width="3.7109375" customWidth="1"/>
    <col min="4383" max="4383" width="12.42578125" customWidth="1"/>
    <col min="4384" max="4396" width="6.7109375" customWidth="1"/>
    <col min="4397" max="4397" width="3.7109375" customWidth="1"/>
    <col min="4398" max="4398" width="12.42578125" customWidth="1"/>
    <col min="4399" max="4411" width="6.7109375" customWidth="1"/>
    <col min="4609" max="4609" width="12.42578125" customWidth="1"/>
    <col min="4611" max="4613" width="9.42578125" bestFit="1" customWidth="1"/>
    <col min="4614" max="4622" width="6.7109375" customWidth="1"/>
    <col min="4623" max="4623" width="3.7109375" customWidth="1"/>
    <col min="4624" max="4624" width="12.42578125" customWidth="1"/>
    <col min="4625" max="4637" width="6.7109375" customWidth="1"/>
    <col min="4638" max="4638" width="3.7109375" customWidth="1"/>
    <col min="4639" max="4639" width="12.42578125" customWidth="1"/>
    <col min="4640" max="4652" width="6.7109375" customWidth="1"/>
    <col min="4653" max="4653" width="3.7109375" customWidth="1"/>
    <col min="4654" max="4654" width="12.42578125" customWidth="1"/>
    <col min="4655" max="4667" width="6.7109375" customWidth="1"/>
    <col min="4865" max="4865" width="12.42578125" customWidth="1"/>
    <col min="4867" max="4869" width="9.42578125" bestFit="1" customWidth="1"/>
    <col min="4870" max="4878" width="6.7109375" customWidth="1"/>
    <col min="4879" max="4879" width="3.7109375" customWidth="1"/>
    <col min="4880" max="4880" width="12.42578125" customWidth="1"/>
    <col min="4881" max="4893" width="6.7109375" customWidth="1"/>
    <col min="4894" max="4894" width="3.7109375" customWidth="1"/>
    <col min="4895" max="4895" width="12.42578125" customWidth="1"/>
    <col min="4896" max="4908" width="6.7109375" customWidth="1"/>
    <col min="4909" max="4909" width="3.7109375" customWidth="1"/>
    <col min="4910" max="4910" width="12.42578125" customWidth="1"/>
    <col min="4911" max="4923" width="6.7109375" customWidth="1"/>
    <col min="5121" max="5121" width="12.42578125" customWidth="1"/>
    <col min="5123" max="5125" width="9.42578125" bestFit="1" customWidth="1"/>
    <col min="5126" max="5134" width="6.7109375" customWidth="1"/>
    <col min="5135" max="5135" width="3.7109375" customWidth="1"/>
    <col min="5136" max="5136" width="12.42578125" customWidth="1"/>
    <col min="5137" max="5149" width="6.7109375" customWidth="1"/>
    <col min="5150" max="5150" width="3.7109375" customWidth="1"/>
    <col min="5151" max="5151" width="12.42578125" customWidth="1"/>
    <col min="5152" max="5164" width="6.7109375" customWidth="1"/>
    <col min="5165" max="5165" width="3.7109375" customWidth="1"/>
    <col min="5166" max="5166" width="12.42578125" customWidth="1"/>
    <col min="5167" max="5179" width="6.7109375" customWidth="1"/>
    <col min="5377" max="5377" width="12.42578125" customWidth="1"/>
    <col min="5379" max="5381" width="9.42578125" bestFit="1" customWidth="1"/>
    <col min="5382" max="5390" width="6.7109375" customWidth="1"/>
    <col min="5391" max="5391" width="3.7109375" customWidth="1"/>
    <col min="5392" max="5392" width="12.42578125" customWidth="1"/>
    <col min="5393" max="5405" width="6.7109375" customWidth="1"/>
    <col min="5406" max="5406" width="3.7109375" customWidth="1"/>
    <col min="5407" max="5407" width="12.42578125" customWidth="1"/>
    <col min="5408" max="5420" width="6.7109375" customWidth="1"/>
    <col min="5421" max="5421" width="3.7109375" customWidth="1"/>
    <col min="5422" max="5422" width="12.42578125" customWidth="1"/>
    <col min="5423" max="5435" width="6.7109375" customWidth="1"/>
    <col min="5633" max="5633" width="12.42578125" customWidth="1"/>
    <col min="5635" max="5637" width="9.42578125" bestFit="1" customWidth="1"/>
    <col min="5638" max="5646" width="6.7109375" customWidth="1"/>
    <col min="5647" max="5647" width="3.7109375" customWidth="1"/>
    <col min="5648" max="5648" width="12.42578125" customWidth="1"/>
    <col min="5649" max="5661" width="6.7109375" customWidth="1"/>
    <col min="5662" max="5662" width="3.7109375" customWidth="1"/>
    <col min="5663" max="5663" width="12.42578125" customWidth="1"/>
    <col min="5664" max="5676" width="6.7109375" customWidth="1"/>
    <col min="5677" max="5677" width="3.7109375" customWidth="1"/>
    <col min="5678" max="5678" width="12.42578125" customWidth="1"/>
    <col min="5679" max="5691" width="6.7109375" customWidth="1"/>
    <col min="5889" max="5889" width="12.42578125" customWidth="1"/>
    <col min="5891" max="5893" width="9.42578125" bestFit="1" customWidth="1"/>
    <col min="5894" max="5902" width="6.7109375" customWidth="1"/>
    <col min="5903" max="5903" width="3.7109375" customWidth="1"/>
    <col min="5904" max="5904" width="12.42578125" customWidth="1"/>
    <col min="5905" max="5917" width="6.7109375" customWidth="1"/>
    <col min="5918" max="5918" width="3.7109375" customWidth="1"/>
    <col min="5919" max="5919" width="12.42578125" customWidth="1"/>
    <col min="5920" max="5932" width="6.7109375" customWidth="1"/>
    <col min="5933" max="5933" width="3.7109375" customWidth="1"/>
    <col min="5934" max="5934" width="12.42578125" customWidth="1"/>
    <col min="5935" max="5947" width="6.7109375" customWidth="1"/>
    <col min="6145" max="6145" width="12.42578125" customWidth="1"/>
    <col min="6147" max="6149" width="9.42578125" bestFit="1" customWidth="1"/>
    <col min="6150" max="6158" width="6.7109375" customWidth="1"/>
    <col min="6159" max="6159" width="3.7109375" customWidth="1"/>
    <col min="6160" max="6160" width="12.42578125" customWidth="1"/>
    <col min="6161" max="6173" width="6.7109375" customWidth="1"/>
    <col min="6174" max="6174" width="3.7109375" customWidth="1"/>
    <col min="6175" max="6175" width="12.42578125" customWidth="1"/>
    <col min="6176" max="6188" width="6.7109375" customWidth="1"/>
    <col min="6189" max="6189" width="3.7109375" customWidth="1"/>
    <col min="6190" max="6190" width="12.42578125" customWidth="1"/>
    <col min="6191" max="6203" width="6.7109375" customWidth="1"/>
    <col min="6401" max="6401" width="12.42578125" customWidth="1"/>
    <col min="6403" max="6405" width="9.42578125" bestFit="1" customWidth="1"/>
    <col min="6406" max="6414" width="6.7109375" customWidth="1"/>
    <col min="6415" max="6415" width="3.7109375" customWidth="1"/>
    <col min="6416" max="6416" width="12.42578125" customWidth="1"/>
    <col min="6417" max="6429" width="6.7109375" customWidth="1"/>
    <col min="6430" max="6430" width="3.7109375" customWidth="1"/>
    <col min="6431" max="6431" width="12.42578125" customWidth="1"/>
    <col min="6432" max="6444" width="6.7109375" customWidth="1"/>
    <col min="6445" max="6445" width="3.7109375" customWidth="1"/>
    <col min="6446" max="6446" width="12.42578125" customWidth="1"/>
    <col min="6447" max="6459" width="6.7109375" customWidth="1"/>
    <col min="6657" max="6657" width="12.42578125" customWidth="1"/>
    <col min="6659" max="6661" width="9.42578125" bestFit="1" customWidth="1"/>
    <col min="6662" max="6670" width="6.7109375" customWidth="1"/>
    <col min="6671" max="6671" width="3.7109375" customWidth="1"/>
    <col min="6672" max="6672" width="12.42578125" customWidth="1"/>
    <col min="6673" max="6685" width="6.7109375" customWidth="1"/>
    <col min="6686" max="6686" width="3.7109375" customWidth="1"/>
    <col min="6687" max="6687" width="12.42578125" customWidth="1"/>
    <col min="6688" max="6700" width="6.7109375" customWidth="1"/>
    <col min="6701" max="6701" width="3.7109375" customWidth="1"/>
    <col min="6702" max="6702" width="12.42578125" customWidth="1"/>
    <col min="6703" max="6715" width="6.7109375" customWidth="1"/>
    <col min="6913" max="6913" width="12.42578125" customWidth="1"/>
    <col min="6915" max="6917" width="9.42578125" bestFit="1" customWidth="1"/>
    <col min="6918" max="6926" width="6.7109375" customWidth="1"/>
    <col min="6927" max="6927" width="3.7109375" customWidth="1"/>
    <col min="6928" max="6928" width="12.42578125" customWidth="1"/>
    <col min="6929" max="6941" width="6.7109375" customWidth="1"/>
    <col min="6942" max="6942" width="3.7109375" customWidth="1"/>
    <col min="6943" max="6943" width="12.42578125" customWidth="1"/>
    <col min="6944" max="6956" width="6.7109375" customWidth="1"/>
    <col min="6957" max="6957" width="3.7109375" customWidth="1"/>
    <col min="6958" max="6958" width="12.42578125" customWidth="1"/>
    <col min="6959" max="6971" width="6.7109375" customWidth="1"/>
    <col min="7169" max="7169" width="12.42578125" customWidth="1"/>
    <col min="7171" max="7173" width="9.42578125" bestFit="1" customWidth="1"/>
    <col min="7174" max="7182" width="6.7109375" customWidth="1"/>
    <col min="7183" max="7183" width="3.7109375" customWidth="1"/>
    <col min="7184" max="7184" width="12.42578125" customWidth="1"/>
    <col min="7185" max="7197" width="6.7109375" customWidth="1"/>
    <col min="7198" max="7198" width="3.7109375" customWidth="1"/>
    <col min="7199" max="7199" width="12.42578125" customWidth="1"/>
    <col min="7200" max="7212" width="6.7109375" customWidth="1"/>
    <col min="7213" max="7213" width="3.7109375" customWidth="1"/>
    <col min="7214" max="7214" width="12.42578125" customWidth="1"/>
    <col min="7215" max="7227" width="6.7109375" customWidth="1"/>
    <col min="7425" max="7425" width="12.42578125" customWidth="1"/>
    <col min="7427" max="7429" width="9.42578125" bestFit="1" customWidth="1"/>
    <col min="7430" max="7438" width="6.7109375" customWidth="1"/>
    <col min="7439" max="7439" width="3.7109375" customWidth="1"/>
    <col min="7440" max="7440" width="12.42578125" customWidth="1"/>
    <col min="7441" max="7453" width="6.7109375" customWidth="1"/>
    <col min="7454" max="7454" width="3.7109375" customWidth="1"/>
    <col min="7455" max="7455" width="12.42578125" customWidth="1"/>
    <col min="7456" max="7468" width="6.7109375" customWidth="1"/>
    <col min="7469" max="7469" width="3.7109375" customWidth="1"/>
    <col min="7470" max="7470" width="12.42578125" customWidth="1"/>
    <col min="7471" max="7483" width="6.7109375" customWidth="1"/>
    <col min="7681" max="7681" width="12.42578125" customWidth="1"/>
    <col min="7683" max="7685" width="9.42578125" bestFit="1" customWidth="1"/>
    <col min="7686" max="7694" width="6.7109375" customWidth="1"/>
    <col min="7695" max="7695" width="3.7109375" customWidth="1"/>
    <col min="7696" max="7696" width="12.42578125" customWidth="1"/>
    <col min="7697" max="7709" width="6.7109375" customWidth="1"/>
    <col min="7710" max="7710" width="3.7109375" customWidth="1"/>
    <col min="7711" max="7711" width="12.42578125" customWidth="1"/>
    <col min="7712" max="7724" width="6.7109375" customWidth="1"/>
    <col min="7725" max="7725" width="3.7109375" customWidth="1"/>
    <col min="7726" max="7726" width="12.42578125" customWidth="1"/>
    <col min="7727" max="7739" width="6.7109375" customWidth="1"/>
    <col min="7937" max="7937" width="12.42578125" customWidth="1"/>
    <col min="7939" max="7941" width="9.42578125" bestFit="1" customWidth="1"/>
    <col min="7942" max="7950" width="6.7109375" customWidth="1"/>
    <col min="7951" max="7951" width="3.7109375" customWidth="1"/>
    <col min="7952" max="7952" width="12.42578125" customWidth="1"/>
    <col min="7953" max="7965" width="6.7109375" customWidth="1"/>
    <col min="7966" max="7966" width="3.7109375" customWidth="1"/>
    <col min="7967" max="7967" width="12.42578125" customWidth="1"/>
    <col min="7968" max="7980" width="6.7109375" customWidth="1"/>
    <col min="7981" max="7981" width="3.7109375" customWidth="1"/>
    <col min="7982" max="7982" width="12.42578125" customWidth="1"/>
    <col min="7983" max="7995" width="6.7109375" customWidth="1"/>
    <col min="8193" max="8193" width="12.42578125" customWidth="1"/>
    <col min="8195" max="8197" width="9.42578125" bestFit="1" customWidth="1"/>
    <col min="8198" max="8206" width="6.7109375" customWidth="1"/>
    <col min="8207" max="8207" width="3.7109375" customWidth="1"/>
    <col min="8208" max="8208" width="12.42578125" customWidth="1"/>
    <col min="8209" max="8221" width="6.7109375" customWidth="1"/>
    <col min="8222" max="8222" width="3.7109375" customWidth="1"/>
    <col min="8223" max="8223" width="12.42578125" customWidth="1"/>
    <col min="8224" max="8236" width="6.7109375" customWidth="1"/>
    <col min="8237" max="8237" width="3.7109375" customWidth="1"/>
    <col min="8238" max="8238" width="12.42578125" customWidth="1"/>
    <col min="8239" max="8251" width="6.7109375" customWidth="1"/>
    <col min="8449" max="8449" width="12.42578125" customWidth="1"/>
    <col min="8451" max="8453" width="9.42578125" bestFit="1" customWidth="1"/>
    <col min="8454" max="8462" width="6.7109375" customWidth="1"/>
    <col min="8463" max="8463" width="3.7109375" customWidth="1"/>
    <col min="8464" max="8464" width="12.42578125" customWidth="1"/>
    <col min="8465" max="8477" width="6.7109375" customWidth="1"/>
    <col min="8478" max="8478" width="3.7109375" customWidth="1"/>
    <col min="8479" max="8479" width="12.42578125" customWidth="1"/>
    <col min="8480" max="8492" width="6.7109375" customWidth="1"/>
    <col min="8493" max="8493" width="3.7109375" customWidth="1"/>
    <col min="8494" max="8494" width="12.42578125" customWidth="1"/>
    <col min="8495" max="8507" width="6.7109375" customWidth="1"/>
    <col min="8705" max="8705" width="12.42578125" customWidth="1"/>
    <col min="8707" max="8709" width="9.42578125" bestFit="1" customWidth="1"/>
    <col min="8710" max="8718" width="6.7109375" customWidth="1"/>
    <col min="8719" max="8719" width="3.7109375" customWidth="1"/>
    <col min="8720" max="8720" width="12.42578125" customWidth="1"/>
    <col min="8721" max="8733" width="6.7109375" customWidth="1"/>
    <col min="8734" max="8734" width="3.7109375" customWidth="1"/>
    <col min="8735" max="8735" width="12.42578125" customWidth="1"/>
    <col min="8736" max="8748" width="6.7109375" customWidth="1"/>
    <col min="8749" max="8749" width="3.7109375" customWidth="1"/>
    <col min="8750" max="8750" width="12.42578125" customWidth="1"/>
    <col min="8751" max="8763" width="6.7109375" customWidth="1"/>
    <col min="8961" max="8961" width="12.42578125" customWidth="1"/>
    <col min="8963" max="8965" width="9.42578125" bestFit="1" customWidth="1"/>
    <col min="8966" max="8974" width="6.7109375" customWidth="1"/>
    <col min="8975" max="8975" width="3.7109375" customWidth="1"/>
    <col min="8976" max="8976" width="12.42578125" customWidth="1"/>
    <col min="8977" max="8989" width="6.7109375" customWidth="1"/>
    <col min="8990" max="8990" width="3.7109375" customWidth="1"/>
    <col min="8991" max="8991" width="12.42578125" customWidth="1"/>
    <col min="8992" max="9004" width="6.7109375" customWidth="1"/>
    <col min="9005" max="9005" width="3.7109375" customWidth="1"/>
    <col min="9006" max="9006" width="12.42578125" customWidth="1"/>
    <col min="9007" max="9019" width="6.7109375" customWidth="1"/>
    <col min="9217" max="9217" width="12.42578125" customWidth="1"/>
    <col min="9219" max="9221" width="9.42578125" bestFit="1" customWidth="1"/>
    <col min="9222" max="9230" width="6.7109375" customWidth="1"/>
    <col min="9231" max="9231" width="3.7109375" customWidth="1"/>
    <col min="9232" max="9232" width="12.42578125" customWidth="1"/>
    <col min="9233" max="9245" width="6.7109375" customWidth="1"/>
    <col min="9246" max="9246" width="3.7109375" customWidth="1"/>
    <col min="9247" max="9247" width="12.42578125" customWidth="1"/>
    <col min="9248" max="9260" width="6.7109375" customWidth="1"/>
    <col min="9261" max="9261" width="3.7109375" customWidth="1"/>
    <col min="9262" max="9262" width="12.42578125" customWidth="1"/>
    <col min="9263" max="9275" width="6.7109375" customWidth="1"/>
    <col min="9473" max="9473" width="12.42578125" customWidth="1"/>
    <col min="9475" max="9477" width="9.42578125" bestFit="1" customWidth="1"/>
    <col min="9478" max="9486" width="6.7109375" customWidth="1"/>
    <col min="9487" max="9487" width="3.7109375" customWidth="1"/>
    <col min="9488" max="9488" width="12.42578125" customWidth="1"/>
    <col min="9489" max="9501" width="6.7109375" customWidth="1"/>
    <col min="9502" max="9502" width="3.7109375" customWidth="1"/>
    <col min="9503" max="9503" width="12.42578125" customWidth="1"/>
    <col min="9504" max="9516" width="6.7109375" customWidth="1"/>
    <col min="9517" max="9517" width="3.7109375" customWidth="1"/>
    <col min="9518" max="9518" width="12.42578125" customWidth="1"/>
    <col min="9519" max="9531" width="6.7109375" customWidth="1"/>
    <col min="9729" max="9729" width="12.42578125" customWidth="1"/>
    <col min="9731" max="9733" width="9.42578125" bestFit="1" customWidth="1"/>
    <col min="9734" max="9742" width="6.7109375" customWidth="1"/>
    <col min="9743" max="9743" width="3.7109375" customWidth="1"/>
    <col min="9744" max="9744" width="12.42578125" customWidth="1"/>
    <col min="9745" max="9757" width="6.7109375" customWidth="1"/>
    <col min="9758" max="9758" width="3.7109375" customWidth="1"/>
    <col min="9759" max="9759" width="12.42578125" customWidth="1"/>
    <col min="9760" max="9772" width="6.7109375" customWidth="1"/>
    <col min="9773" max="9773" width="3.7109375" customWidth="1"/>
    <col min="9774" max="9774" width="12.42578125" customWidth="1"/>
    <col min="9775" max="9787" width="6.7109375" customWidth="1"/>
    <col min="9985" max="9985" width="12.42578125" customWidth="1"/>
    <col min="9987" max="9989" width="9.42578125" bestFit="1" customWidth="1"/>
    <col min="9990" max="9998" width="6.7109375" customWidth="1"/>
    <col min="9999" max="9999" width="3.7109375" customWidth="1"/>
    <col min="10000" max="10000" width="12.42578125" customWidth="1"/>
    <col min="10001" max="10013" width="6.7109375" customWidth="1"/>
    <col min="10014" max="10014" width="3.7109375" customWidth="1"/>
    <col min="10015" max="10015" width="12.42578125" customWidth="1"/>
    <col min="10016" max="10028" width="6.7109375" customWidth="1"/>
    <col min="10029" max="10029" width="3.7109375" customWidth="1"/>
    <col min="10030" max="10030" width="12.42578125" customWidth="1"/>
    <col min="10031" max="10043" width="6.7109375" customWidth="1"/>
    <col min="10241" max="10241" width="12.42578125" customWidth="1"/>
    <col min="10243" max="10245" width="9.42578125" bestFit="1" customWidth="1"/>
    <col min="10246" max="10254" width="6.7109375" customWidth="1"/>
    <col min="10255" max="10255" width="3.7109375" customWidth="1"/>
    <col min="10256" max="10256" width="12.42578125" customWidth="1"/>
    <col min="10257" max="10269" width="6.7109375" customWidth="1"/>
    <col min="10270" max="10270" width="3.7109375" customWidth="1"/>
    <col min="10271" max="10271" width="12.42578125" customWidth="1"/>
    <col min="10272" max="10284" width="6.7109375" customWidth="1"/>
    <col min="10285" max="10285" width="3.7109375" customWidth="1"/>
    <col min="10286" max="10286" width="12.42578125" customWidth="1"/>
    <col min="10287" max="10299" width="6.7109375" customWidth="1"/>
    <col min="10497" max="10497" width="12.42578125" customWidth="1"/>
    <col min="10499" max="10501" width="9.42578125" bestFit="1" customWidth="1"/>
    <col min="10502" max="10510" width="6.7109375" customWidth="1"/>
    <col min="10511" max="10511" width="3.7109375" customWidth="1"/>
    <col min="10512" max="10512" width="12.42578125" customWidth="1"/>
    <col min="10513" max="10525" width="6.7109375" customWidth="1"/>
    <col min="10526" max="10526" width="3.7109375" customWidth="1"/>
    <col min="10527" max="10527" width="12.42578125" customWidth="1"/>
    <col min="10528" max="10540" width="6.7109375" customWidth="1"/>
    <col min="10541" max="10541" width="3.7109375" customWidth="1"/>
    <col min="10542" max="10542" width="12.42578125" customWidth="1"/>
    <col min="10543" max="10555" width="6.7109375" customWidth="1"/>
    <col min="10753" max="10753" width="12.42578125" customWidth="1"/>
    <col min="10755" max="10757" width="9.42578125" bestFit="1" customWidth="1"/>
    <col min="10758" max="10766" width="6.7109375" customWidth="1"/>
    <col min="10767" max="10767" width="3.7109375" customWidth="1"/>
    <col min="10768" max="10768" width="12.42578125" customWidth="1"/>
    <col min="10769" max="10781" width="6.7109375" customWidth="1"/>
    <col min="10782" max="10782" width="3.7109375" customWidth="1"/>
    <col min="10783" max="10783" width="12.42578125" customWidth="1"/>
    <col min="10784" max="10796" width="6.7109375" customWidth="1"/>
    <col min="10797" max="10797" width="3.7109375" customWidth="1"/>
    <col min="10798" max="10798" width="12.42578125" customWidth="1"/>
    <col min="10799" max="10811" width="6.7109375" customWidth="1"/>
    <col min="11009" max="11009" width="12.42578125" customWidth="1"/>
    <col min="11011" max="11013" width="9.42578125" bestFit="1" customWidth="1"/>
    <col min="11014" max="11022" width="6.7109375" customWidth="1"/>
    <col min="11023" max="11023" width="3.7109375" customWidth="1"/>
    <col min="11024" max="11024" width="12.42578125" customWidth="1"/>
    <col min="11025" max="11037" width="6.7109375" customWidth="1"/>
    <col min="11038" max="11038" width="3.7109375" customWidth="1"/>
    <col min="11039" max="11039" width="12.42578125" customWidth="1"/>
    <col min="11040" max="11052" width="6.7109375" customWidth="1"/>
    <col min="11053" max="11053" width="3.7109375" customWidth="1"/>
    <col min="11054" max="11054" width="12.42578125" customWidth="1"/>
    <col min="11055" max="11067" width="6.7109375" customWidth="1"/>
    <col min="11265" max="11265" width="12.42578125" customWidth="1"/>
    <col min="11267" max="11269" width="9.42578125" bestFit="1" customWidth="1"/>
    <col min="11270" max="11278" width="6.7109375" customWidth="1"/>
    <col min="11279" max="11279" width="3.7109375" customWidth="1"/>
    <col min="11280" max="11280" width="12.42578125" customWidth="1"/>
    <col min="11281" max="11293" width="6.7109375" customWidth="1"/>
    <col min="11294" max="11294" width="3.7109375" customWidth="1"/>
    <col min="11295" max="11295" width="12.42578125" customWidth="1"/>
    <col min="11296" max="11308" width="6.7109375" customWidth="1"/>
    <col min="11309" max="11309" width="3.7109375" customWidth="1"/>
    <col min="11310" max="11310" width="12.42578125" customWidth="1"/>
    <col min="11311" max="11323" width="6.7109375" customWidth="1"/>
    <col min="11521" max="11521" width="12.42578125" customWidth="1"/>
    <col min="11523" max="11525" width="9.42578125" bestFit="1" customWidth="1"/>
    <col min="11526" max="11534" width="6.7109375" customWidth="1"/>
    <col min="11535" max="11535" width="3.7109375" customWidth="1"/>
    <col min="11536" max="11536" width="12.42578125" customWidth="1"/>
    <col min="11537" max="11549" width="6.7109375" customWidth="1"/>
    <col min="11550" max="11550" width="3.7109375" customWidth="1"/>
    <col min="11551" max="11551" width="12.42578125" customWidth="1"/>
    <col min="11552" max="11564" width="6.7109375" customWidth="1"/>
    <col min="11565" max="11565" width="3.7109375" customWidth="1"/>
    <col min="11566" max="11566" width="12.42578125" customWidth="1"/>
    <col min="11567" max="11579" width="6.7109375" customWidth="1"/>
    <col min="11777" max="11777" width="12.42578125" customWidth="1"/>
    <col min="11779" max="11781" width="9.42578125" bestFit="1" customWidth="1"/>
    <col min="11782" max="11790" width="6.7109375" customWidth="1"/>
    <col min="11791" max="11791" width="3.7109375" customWidth="1"/>
    <col min="11792" max="11792" width="12.42578125" customWidth="1"/>
    <col min="11793" max="11805" width="6.7109375" customWidth="1"/>
    <col min="11806" max="11806" width="3.7109375" customWidth="1"/>
    <col min="11807" max="11807" width="12.42578125" customWidth="1"/>
    <col min="11808" max="11820" width="6.7109375" customWidth="1"/>
    <col min="11821" max="11821" width="3.7109375" customWidth="1"/>
    <col min="11822" max="11822" width="12.42578125" customWidth="1"/>
    <col min="11823" max="11835" width="6.7109375" customWidth="1"/>
    <col min="12033" max="12033" width="12.42578125" customWidth="1"/>
    <col min="12035" max="12037" width="9.42578125" bestFit="1" customWidth="1"/>
    <col min="12038" max="12046" width="6.7109375" customWidth="1"/>
    <col min="12047" max="12047" width="3.7109375" customWidth="1"/>
    <col min="12048" max="12048" width="12.42578125" customWidth="1"/>
    <col min="12049" max="12061" width="6.7109375" customWidth="1"/>
    <col min="12062" max="12062" width="3.7109375" customWidth="1"/>
    <col min="12063" max="12063" width="12.42578125" customWidth="1"/>
    <col min="12064" max="12076" width="6.7109375" customWidth="1"/>
    <col min="12077" max="12077" width="3.7109375" customWidth="1"/>
    <col min="12078" max="12078" width="12.42578125" customWidth="1"/>
    <col min="12079" max="12091" width="6.7109375" customWidth="1"/>
    <col min="12289" max="12289" width="12.42578125" customWidth="1"/>
    <col min="12291" max="12293" width="9.42578125" bestFit="1" customWidth="1"/>
    <col min="12294" max="12302" width="6.7109375" customWidth="1"/>
    <col min="12303" max="12303" width="3.7109375" customWidth="1"/>
    <col min="12304" max="12304" width="12.42578125" customWidth="1"/>
    <col min="12305" max="12317" width="6.7109375" customWidth="1"/>
    <col min="12318" max="12318" width="3.7109375" customWidth="1"/>
    <col min="12319" max="12319" width="12.42578125" customWidth="1"/>
    <col min="12320" max="12332" width="6.7109375" customWidth="1"/>
    <col min="12333" max="12333" width="3.7109375" customWidth="1"/>
    <col min="12334" max="12334" width="12.42578125" customWidth="1"/>
    <col min="12335" max="12347" width="6.7109375" customWidth="1"/>
    <col min="12545" max="12545" width="12.42578125" customWidth="1"/>
    <col min="12547" max="12549" width="9.42578125" bestFit="1" customWidth="1"/>
    <col min="12550" max="12558" width="6.7109375" customWidth="1"/>
    <col min="12559" max="12559" width="3.7109375" customWidth="1"/>
    <col min="12560" max="12560" width="12.42578125" customWidth="1"/>
    <col min="12561" max="12573" width="6.7109375" customWidth="1"/>
    <col min="12574" max="12574" width="3.7109375" customWidth="1"/>
    <col min="12575" max="12575" width="12.42578125" customWidth="1"/>
    <col min="12576" max="12588" width="6.7109375" customWidth="1"/>
    <col min="12589" max="12589" width="3.7109375" customWidth="1"/>
    <col min="12590" max="12590" width="12.42578125" customWidth="1"/>
    <col min="12591" max="12603" width="6.7109375" customWidth="1"/>
    <col min="12801" max="12801" width="12.42578125" customWidth="1"/>
    <col min="12803" max="12805" width="9.42578125" bestFit="1" customWidth="1"/>
    <col min="12806" max="12814" width="6.7109375" customWidth="1"/>
    <col min="12815" max="12815" width="3.7109375" customWidth="1"/>
    <col min="12816" max="12816" width="12.42578125" customWidth="1"/>
    <col min="12817" max="12829" width="6.7109375" customWidth="1"/>
    <col min="12830" max="12830" width="3.7109375" customWidth="1"/>
    <col min="12831" max="12831" width="12.42578125" customWidth="1"/>
    <col min="12832" max="12844" width="6.7109375" customWidth="1"/>
    <col min="12845" max="12845" width="3.7109375" customWidth="1"/>
    <col min="12846" max="12846" width="12.42578125" customWidth="1"/>
    <col min="12847" max="12859" width="6.7109375" customWidth="1"/>
    <col min="13057" max="13057" width="12.42578125" customWidth="1"/>
    <col min="13059" max="13061" width="9.42578125" bestFit="1" customWidth="1"/>
    <col min="13062" max="13070" width="6.7109375" customWidth="1"/>
    <col min="13071" max="13071" width="3.7109375" customWidth="1"/>
    <col min="13072" max="13072" width="12.42578125" customWidth="1"/>
    <col min="13073" max="13085" width="6.7109375" customWidth="1"/>
    <col min="13086" max="13086" width="3.7109375" customWidth="1"/>
    <col min="13087" max="13087" width="12.42578125" customWidth="1"/>
    <col min="13088" max="13100" width="6.7109375" customWidth="1"/>
    <col min="13101" max="13101" width="3.7109375" customWidth="1"/>
    <col min="13102" max="13102" width="12.42578125" customWidth="1"/>
    <col min="13103" max="13115" width="6.7109375" customWidth="1"/>
    <col min="13313" max="13313" width="12.42578125" customWidth="1"/>
    <col min="13315" max="13317" width="9.42578125" bestFit="1" customWidth="1"/>
    <col min="13318" max="13326" width="6.7109375" customWidth="1"/>
    <col min="13327" max="13327" width="3.7109375" customWidth="1"/>
    <col min="13328" max="13328" width="12.42578125" customWidth="1"/>
    <col min="13329" max="13341" width="6.7109375" customWidth="1"/>
    <col min="13342" max="13342" width="3.7109375" customWidth="1"/>
    <col min="13343" max="13343" width="12.42578125" customWidth="1"/>
    <col min="13344" max="13356" width="6.7109375" customWidth="1"/>
    <col min="13357" max="13357" width="3.7109375" customWidth="1"/>
    <col min="13358" max="13358" width="12.42578125" customWidth="1"/>
    <col min="13359" max="13371" width="6.7109375" customWidth="1"/>
    <col min="13569" max="13569" width="12.42578125" customWidth="1"/>
    <col min="13571" max="13573" width="9.42578125" bestFit="1" customWidth="1"/>
    <col min="13574" max="13582" width="6.7109375" customWidth="1"/>
    <col min="13583" max="13583" width="3.7109375" customWidth="1"/>
    <col min="13584" max="13584" width="12.42578125" customWidth="1"/>
    <col min="13585" max="13597" width="6.7109375" customWidth="1"/>
    <col min="13598" max="13598" width="3.7109375" customWidth="1"/>
    <col min="13599" max="13599" width="12.42578125" customWidth="1"/>
    <col min="13600" max="13612" width="6.7109375" customWidth="1"/>
    <col min="13613" max="13613" width="3.7109375" customWidth="1"/>
    <col min="13614" max="13614" width="12.42578125" customWidth="1"/>
    <col min="13615" max="13627" width="6.7109375" customWidth="1"/>
    <col min="13825" max="13825" width="12.42578125" customWidth="1"/>
    <col min="13827" max="13829" width="9.42578125" bestFit="1" customWidth="1"/>
    <col min="13830" max="13838" width="6.7109375" customWidth="1"/>
    <col min="13839" max="13839" width="3.7109375" customWidth="1"/>
    <col min="13840" max="13840" width="12.42578125" customWidth="1"/>
    <col min="13841" max="13853" width="6.7109375" customWidth="1"/>
    <col min="13854" max="13854" width="3.7109375" customWidth="1"/>
    <col min="13855" max="13855" width="12.42578125" customWidth="1"/>
    <col min="13856" max="13868" width="6.7109375" customWidth="1"/>
    <col min="13869" max="13869" width="3.7109375" customWidth="1"/>
    <col min="13870" max="13870" width="12.42578125" customWidth="1"/>
    <col min="13871" max="13883" width="6.7109375" customWidth="1"/>
    <col min="14081" max="14081" width="12.42578125" customWidth="1"/>
    <col min="14083" max="14085" width="9.42578125" bestFit="1" customWidth="1"/>
    <col min="14086" max="14094" width="6.7109375" customWidth="1"/>
    <col min="14095" max="14095" width="3.7109375" customWidth="1"/>
    <col min="14096" max="14096" width="12.42578125" customWidth="1"/>
    <col min="14097" max="14109" width="6.7109375" customWidth="1"/>
    <col min="14110" max="14110" width="3.7109375" customWidth="1"/>
    <col min="14111" max="14111" width="12.42578125" customWidth="1"/>
    <col min="14112" max="14124" width="6.7109375" customWidth="1"/>
    <col min="14125" max="14125" width="3.7109375" customWidth="1"/>
    <col min="14126" max="14126" width="12.42578125" customWidth="1"/>
    <col min="14127" max="14139" width="6.7109375" customWidth="1"/>
    <col min="14337" max="14337" width="12.42578125" customWidth="1"/>
    <col min="14339" max="14341" width="9.42578125" bestFit="1" customWidth="1"/>
    <col min="14342" max="14350" width="6.7109375" customWidth="1"/>
    <col min="14351" max="14351" width="3.7109375" customWidth="1"/>
    <col min="14352" max="14352" width="12.42578125" customWidth="1"/>
    <col min="14353" max="14365" width="6.7109375" customWidth="1"/>
    <col min="14366" max="14366" width="3.7109375" customWidth="1"/>
    <col min="14367" max="14367" width="12.42578125" customWidth="1"/>
    <col min="14368" max="14380" width="6.7109375" customWidth="1"/>
    <col min="14381" max="14381" width="3.7109375" customWidth="1"/>
    <col min="14382" max="14382" width="12.42578125" customWidth="1"/>
    <col min="14383" max="14395" width="6.7109375" customWidth="1"/>
    <col min="14593" max="14593" width="12.42578125" customWidth="1"/>
    <col min="14595" max="14597" width="9.42578125" bestFit="1" customWidth="1"/>
    <col min="14598" max="14606" width="6.7109375" customWidth="1"/>
    <col min="14607" max="14607" width="3.7109375" customWidth="1"/>
    <col min="14608" max="14608" width="12.42578125" customWidth="1"/>
    <col min="14609" max="14621" width="6.7109375" customWidth="1"/>
    <col min="14622" max="14622" width="3.7109375" customWidth="1"/>
    <col min="14623" max="14623" width="12.42578125" customWidth="1"/>
    <col min="14624" max="14636" width="6.7109375" customWidth="1"/>
    <col min="14637" max="14637" width="3.7109375" customWidth="1"/>
    <col min="14638" max="14638" width="12.42578125" customWidth="1"/>
    <col min="14639" max="14651" width="6.7109375" customWidth="1"/>
    <col min="14849" max="14849" width="12.42578125" customWidth="1"/>
    <col min="14851" max="14853" width="9.42578125" bestFit="1" customWidth="1"/>
    <col min="14854" max="14862" width="6.7109375" customWidth="1"/>
    <col min="14863" max="14863" width="3.7109375" customWidth="1"/>
    <col min="14864" max="14864" width="12.42578125" customWidth="1"/>
    <col min="14865" max="14877" width="6.7109375" customWidth="1"/>
    <col min="14878" max="14878" width="3.7109375" customWidth="1"/>
    <col min="14879" max="14879" width="12.42578125" customWidth="1"/>
    <col min="14880" max="14892" width="6.7109375" customWidth="1"/>
    <col min="14893" max="14893" width="3.7109375" customWidth="1"/>
    <col min="14894" max="14894" width="12.42578125" customWidth="1"/>
    <col min="14895" max="14907" width="6.7109375" customWidth="1"/>
    <col min="15105" max="15105" width="12.42578125" customWidth="1"/>
    <col min="15107" max="15109" width="9.42578125" bestFit="1" customWidth="1"/>
    <col min="15110" max="15118" width="6.7109375" customWidth="1"/>
    <col min="15119" max="15119" width="3.7109375" customWidth="1"/>
    <col min="15120" max="15120" width="12.42578125" customWidth="1"/>
    <col min="15121" max="15133" width="6.7109375" customWidth="1"/>
    <col min="15134" max="15134" width="3.7109375" customWidth="1"/>
    <col min="15135" max="15135" width="12.42578125" customWidth="1"/>
    <col min="15136" max="15148" width="6.7109375" customWidth="1"/>
    <col min="15149" max="15149" width="3.7109375" customWidth="1"/>
    <col min="15150" max="15150" width="12.42578125" customWidth="1"/>
    <col min="15151" max="15163" width="6.7109375" customWidth="1"/>
    <col min="15361" max="15361" width="12.42578125" customWidth="1"/>
    <col min="15363" max="15365" width="9.42578125" bestFit="1" customWidth="1"/>
    <col min="15366" max="15374" width="6.7109375" customWidth="1"/>
    <col min="15375" max="15375" width="3.7109375" customWidth="1"/>
    <col min="15376" max="15376" width="12.42578125" customWidth="1"/>
    <col min="15377" max="15389" width="6.7109375" customWidth="1"/>
    <col min="15390" max="15390" width="3.7109375" customWidth="1"/>
    <col min="15391" max="15391" width="12.42578125" customWidth="1"/>
    <col min="15392" max="15404" width="6.7109375" customWidth="1"/>
    <col min="15405" max="15405" width="3.7109375" customWidth="1"/>
    <col min="15406" max="15406" width="12.42578125" customWidth="1"/>
    <col min="15407" max="15419" width="6.7109375" customWidth="1"/>
    <col min="15617" max="15617" width="12.42578125" customWidth="1"/>
    <col min="15619" max="15621" width="9.42578125" bestFit="1" customWidth="1"/>
    <col min="15622" max="15630" width="6.7109375" customWidth="1"/>
    <col min="15631" max="15631" width="3.7109375" customWidth="1"/>
    <col min="15632" max="15632" width="12.42578125" customWidth="1"/>
    <col min="15633" max="15645" width="6.7109375" customWidth="1"/>
    <col min="15646" max="15646" width="3.7109375" customWidth="1"/>
    <col min="15647" max="15647" width="12.42578125" customWidth="1"/>
    <col min="15648" max="15660" width="6.7109375" customWidth="1"/>
    <col min="15661" max="15661" width="3.7109375" customWidth="1"/>
    <col min="15662" max="15662" width="12.42578125" customWidth="1"/>
    <col min="15663" max="15675" width="6.7109375" customWidth="1"/>
    <col min="15873" max="15873" width="12.42578125" customWidth="1"/>
    <col min="15875" max="15877" width="9.42578125" bestFit="1" customWidth="1"/>
    <col min="15878" max="15886" width="6.7109375" customWidth="1"/>
    <col min="15887" max="15887" width="3.7109375" customWidth="1"/>
    <col min="15888" max="15888" width="12.42578125" customWidth="1"/>
    <col min="15889" max="15901" width="6.7109375" customWidth="1"/>
    <col min="15902" max="15902" width="3.7109375" customWidth="1"/>
    <col min="15903" max="15903" width="12.42578125" customWidth="1"/>
    <col min="15904" max="15916" width="6.7109375" customWidth="1"/>
    <col min="15917" max="15917" width="3.7109375" customWidth="1"/>
    <col min="15918" max="15918" width="12.42578125" customWidth="1"/>
    <col min="15919" max="15931" width="6.7109375" customWidth="1"/>
    <col min="16129" max="16129" width="12.42578125" customWidth="1"/>
    <col min="16131" max="16133" width="9.42578125" bestFit="1" customWidth="1"/>
    <col min="16134" max="16142" width="6.7109375" customWidth="1"/>
    <col min="16143" max="16143" width="3.7109375" customWidth="1"/>
    <col min="16144" max="16144" width="12.42578125" customWidth="1"/>
    <col min="16145" max="16157" width="6.7109375" customWidth="1"/>
    <col min="16158" max="16158" width="3.7109375" customWidth="1"/>
    <col min="16159" max="16159" width="12.42578125" customWidth="1"/>
    <col min="16160" max="16172" width="6.7109375" customWidth="1"/>
    <col min="16173" max="16173" width="3.7109375" customWidth="1"/>
    <col min="16174" max="16174" width="12.42578125" customWidth="1"/>
    <col min="16175" max="16187" width="6.7109375" customWidth="1"/>
  </cols>
  <sheetData>
    <row r="1" spans="1:59" ht="15">
      <c r="A1" s="340" t="s">
        <v>135</v>
      </c>
      <c r="B1" s="340"/>
      <c r="C1" s="340"/>
      <c r="D1" s="340"/>
      <c r="E1" s="340"/>
      <c r="F1" s="340"/>
      <c r="G1" s="340"/>
      <c r="H1" s="340"/>
      <c r="I1" s="340"/>
      <c r="J1" s="340"/>
      <c r="K1" s="178"/>
    </row>
    <row r="2" spans="1:59" ht="16.5" thickBot="1">
      <c r="A2" s="261" t="s">
        <v>136</v>
      </c>
      <c r="B2" s="6"/>
      <c r="C2" s="11"/>
      <c r="D2" s="6"/>
      <c r="E2" s="6"/>
      <c r="F2" s="6"/>
      <c r="G2" s="6"/>
      <c r="H2" s="6"/>
      <c r="I2" s="6"/>
      <c r="J2" s="177"/>
      <c r="K2" s="178"/>
    </row>
    <row r="3" spans="1:59" ht="16.5" thickBot="1">
      <c r="A3" s="325" t="s">
        <v>106</v>
      </c>
      <c r="B3" s="375" t="str">
        <f>'START HERE'!F6</f>
        <v>EU</v>
      </c>
      <c r="C3" s="386"/>
      <c r="D3" s="376"/>
      <c r="E3" s="177"/>
      <c r="F3" s="30" t="s">
        <v>38</v>
      </c>
      <c r="G3" s="372" t="str">
        <f>'LEN F2'!F3</f>
        <v>Fleet 2 South-Central Chile</v>
      </c>
      <c r="H3" s="373"/>
      <c r="I3" s="374"/>
      <c r="J3" s="177"/>
      <c r="K3" s="178"/>
    </row>
    <row r="4" spans="1:59" ht="15.75">
      <c r="A4" s="12" t="s">
        <v>18</v>
      </c>
      <c r="B4" s="375" t="str">
        <f>'START HERE'!F5</f>
        <v>Jack mackerel</v>
      </c>
      <c r="C4" s="386"/>
      <c r="D4" s="376"/>
      <c r="E4" s="177"/>
      <c r="F4" s="326"/>
      <c r="G4" s="317"/>
      <c r="H4" s="318"/>
      <c r="I4" s="336"/>
      <c r="J4" s="177"/>
      <c r="K4" s="178"/>
    </row>
    <row r="5" spans="1:59" ht="18">
      <c r="A5" s="12" t="s">
        <v>13</v>
      </c>
      <c r="B5" s="387">
        <f>'START HERE'!$K$3</f>
        <v>2010</v>
      </c>
      <c r="C5" s="388"/>
      <c r="D5" s="389"/>
      <c r="E5" s="177"/>
      <c r="F5" s="12" t="s">
        <v>39</v>
      </c>
      <c r="G5" s="324" t="s">
        <v>137</v>
      </c>
      <c r="H5" s="334"/>
      <c r="I5" s="335"/>
      <c r="J5" s="177"/>
      <c r="K5" s="178"/>
    </row>
    <row r="6" spans="1:59" ht="16.5" thickBot="1">
      <c r="A6" s="12"/>
      <c r="B6" s="11"/>
      <c r="C6" s="103"/>
      <c r="D6" s="6"/>
      <c r="F6" s="12" t="s">
        <v>14</v>
      </c>
      <c r="G6" s="380" t="str">
        <f>'START HERE'!$F8</f>
        <v>13/6/2022</v>
      </c>
      <c r="H6" s="381"/>
      <c r="I6" s="382"/>
      <c r="J6" s="177"/>
      <c r="K6" s="178"/>
    </row>
    <row r="7" spans="1:59">
      <c r="A7" s="6"/>
      <c r="B7" s="6"/>
      <c r="C7" s="6"/>
      <c r="D7" s="6"/>
      <c r="E7" s="6"/>
      <c r="F7" s="6"/>
      <c r="G7" s="6"/>
      <c r="H7" s="6"/>
      <c r="I7" s="6"/>
      <c r="J7" s="177"/>
      <c r="K7" s="178"/>
    </row>
    <row r="8" spans="1:59">
      <c r="A8" s="6"/>
      <c r="B8" s="6"/>
      <c r="C8" s="6"/>
      <c r="D8" s="6"/>
      <c r="E8" s="6"/>
      <c r="F8" s="6"/>
      <c r="G8" s="6"/>
      <c r="H8" s="6"/>
      <c r="I8" s="6"/>
      <c r="J8" s="177"/>
      <c r="K8" s="178"/>
    </row>
    <row r="9" spans="1:59" ht="16.5" customHeight="1">
      <c r="A9" s="338" t="str">
        <f>'START HERE'!$F$13</f>
        <v>fork length</v>
      </c>
      <c r="B9" s="27" t="s">
        <v>51</v>
      </c>
      <c r="C9" s="27" t="s">
        <v>30</v>
      </c>
      <c r="D9" s="27" t="s">
        <v>31</v>
      </c>
      <c r="E9" s="27" t="s">
        <v>32</v>
      </c>
      <c r="F9" s="2"/>
      <c r="G9" s="149"/>
      <c r="H9" s="149"/>
      <c r="I9" s="149"/>
      <c r="J9" s="149"/>
      <c r="K9" s="337"/>
      <c r="L9" s="149"/>
      <c r="M9" s="149"/>
      <c r="N9" s="149"/>
      <c r="P9" s="2"/>
      <c r="Q9" s="403"/>
      <c r="R9" s="403"/>
      <c r="S9" s="403"/>
      <c r="T9" s="403"/>
      <c r="U9" s="403"/>
      <c r="V9" s="403"/>
      <c r="W9" s="403"/>
      <c r="X9" s="403"/>
      <c r="Y9" s="403"/>
      <c r="Z9" s="403"/>
      <c r="AA9" s="403"/>
      <c r="AB9" s="403"/>
      <c r="AC9" s="403"/>
      <c r="AE9" s="2"/>
      <c r="AF9" s="403"/>
      <c r="AG9" s="403"/>
      <c r="AH9" s="403"/>
      <c r="AI9" s="403"/>
      <c r="AJ9" s="403"/>
      <c r="AK9" s="403"/>
      <c r="AL9" s="403"/>
      <c r="AM9" s="403"/>
      <c r="AN9" s="403"/>
      <c r="AO9" s="403"/>
      <c r="AP9" s="403"/>
      <c r="AQ9" s="403"/>
      <c r="AR9" s="403"/>
      <c r="AT9" s="2"/>
      <c r="AU9" s="403"/>
      <c r="AV9" s="403"/>
      <c r="AW9" s="403"/>
      <c r="AX9" s="403"/>
      <c r="AY9" s="403"/>
      <c r="AZ9" s="403"/>
      <c r="BA9" s="403"/>
      <c r="BB9" s="403"/>
      <c r="BC9" s="403"/>
      <c r="BD9" s="403"/>
      <c r="BE9" s="403"/>
      <c r="BF9" s="403"/>
      <c r="BG9" s="403"/>
    </row>
    <row r="10" spans="1:59" ht="18">
      <c r="A10" s="28" t="s">
        <v>42</v>
      </c>
      <c r="B10" s="181">
        <f>'START HERE'!$K$3</f>
        <v>2010</v>
      </c>
      <c r="C10" s="181">
        <f>'START HERE'!$K$3</f>
        <v>2010</v>
      </c>
      <c r="D10" s="181">
        <f>'START HERE'!$K$3</f>
        <v>2010</v>
      </c>
      <c r="E10" s="180">
        <f>'START HERE'!$K$3</f>
        <v>2010</v>
      </c>
      <c r="F10" s="327"/>
      <c r="G10" s="149"/>
      <c r="H10" s="149"/>
      <c r="I10" s="149"/>
      <c r="J10" s="149"/>
      <c r="K10" s="149"/>
      <c r="L10" s="149"/>
      <c r="M10" s="149"/>
      <c r="N10" s="149"/>
      <c r="P10" s="2"/>
      <c r="Q10" s="149"/>
      <c r="R10" s="149"/>
      <c r="S10" s="149"/>
      <c r="T10" s="149"/>
      <c r="U10" s="149"/>
      <c r="V10" s="149"/>
      <c r="W10" s="149"/>
      <c r="X10" s="149"/>
      <c r="Y10" s="149"/>
      <c r="Z10" s="149"/>
      <c r="AA10" s="149"/>
      <c r="AB10" s="149"/>
      <c r="AC10" s="149"/>
      <c r="AE10" s="2"/>
      <c r="AF10" s="149"/>
      <c r="AG10" s="149"/>
      <c r="AH10" s="149"/>
      <c r="AI10" s="149"/>
      <c r="AJ10" s="149"/>
      <c r="AK10" s="149"/>
      <c r="AL10" s="149"/>
      <c r="AM10" s="149"/>
      <c r="AN10" s="149"/>
      <c r="AO10" s="149"/>
      <c r="AP10" s="149"/>
      <c r="AQ10" s="149"/>
      <c r="AR10" s="149"/>
      <c r="AT10" s="2"/>
      <c r="AU10" s="149"/>
      <c r="AV10" s="149"/>
      <c r="AW10" s="149"/>
      <c r="AX10" s="149"/>
      <c r="AY10" s="149"/>
      <c r="AZ10" s="149"/>
      <c r="BA10" s="149"/>
      <c r="BB10" s="149"/>
      <c r="BC10" s="149"/>
      <c r="BD10" s="149"/>
      <c r="BE10" s="149"/>
      <c r="BF10" s="149"/>
      <c r="BG10" s="149"/>
    </row>
    <row r="11" spans="1:59">
      <c r="A11" s="195">
        <v>1</v>
      </c>
      <c r="B11" s="308"/>
      <c r="C11" s="309"/>
      <c r="D11" s="309"/>
      <c r="E11" s="329"/>
      <c r="P11" s="1"/>
      <c r="AE11" s="1"/>
      <c r="AT11" s="1"/>
    </row>
    <row r="12" spans="1:59">
      <c r="A12" s="195">
        <v>2</v>
      </c>
      <c r="B12" s="311"/>
      <c r="C12" s="312"/>
      <c r="D12" s="312"/>
      <c r="E12" s="330"/>
      <c r="P12" s="1"/>
      <c r="AE12" s="1"/>
      <c r="AT12" s="1"/>
    </row>
    <row r="13" spans="1:59">
      <c r="A13" s="195">
        <v>3</v>
      </c>
      <c r="B13" s="311"/>
      <c r="C13" s="312"/>
      <c r="D13" s="312"/>
      <c r="E13" s="330"/>
      <c r="P13" s="1"/>
      <c r="AE13" s="1"/>
      <c r="AT13" s="1"/>
    </row>
    <row r="14" spans="1:59">
      <c r="A14" s="195">
        <v>4</v>
      </c>
      <c r="B14" s="311"/>
      <c r="C14" s="312"/>
      <c r="D14" s="312"/>
      <c r="E14" s="330"/>
      <c r="P14" s="1"/>
      <c r="AE14" s="1"/>
      <c r="AT14" s="1"/>
    </row>
    <row r="15" spans="1:59">
      <c r="A15" s="195">
        <v>5</v>
      </c>
      <c r="B15" s="311"/>
      <c r="C15" s="312"/>
      <c r="D15" s="312"/>
      <c r="E15" s="330"/>
      <c r="P15" s="1"/>
      <c r="AE15" s="1"/>
      <c r="AT15" s="1"/>
    </row>
    <row r="16" spans="1:59">
      <c r="A16" s="195">
        <v>6</v>
      </c>
      <c r="B16" s="311"/>
      <c r="C16" s="312"/>
      <c r="D16" s="312"/>
      <c r="E16" s="330"/>
      <c r="P16" s="1"/>
      <c r="AE16" s="1"/>
      <c r="AT16" s="1"/>
    </row>
    <row r="17" spans="1:46">
      <c r="A17" s="195">
        <v>7</v>
      </c>
      <c r="B17" s="311"/>
      <c r="C17" s="312"/>
      <c r="D17" s="312"/>
      <c r="E17" s="330"/>
      <c r="P17" s="1"/>
      <c r="AE17" s="1"/>
      <c r="AT17" s="1"/>
    </row>
    <row r="18" spans="1:46">
      <c r="A18" s="195">
        <v>8</v>
      </c>
      <c r="B18" s="311"/>
      <c r="C18" s="312"/>
      <c r="D18" s="312"/>
      <c r="E18" s="330"/>
      <c r="P18" s="1"/>
      <c r="AE18" s="1"/>
      <c r="AT18" s="1"/>
    </row>
    <row r="19" spans="1:46">
      <c r="A19" s="195">
        <v>9</v>
      </c>
      <c r="B19" s="311"/>
      <c r="C19" s="312"/>
      <c r="D19" s="312"/>
      <c r="E19" s="330"/>
      <c r="P19" s="1"/>
      <c r="AE19" s="1"/>
      <c r="AT19" s="1"/>
    </row>
    <row r="20" spans="1:46">
      <c r="A20" s="195">
        <v>10</v>
      </c>
      <c r="B20" s="311"/>
      <c r="C20" s="312"/>
      <c r="D20" s="312"/>
      <c r="E20" s="330"/>
      <c r="P20" s="1"/>
      <c r="AE20" s="1"/>
      <c r="AT20" s="1"/>
    </row>
    <row r="21" spans="1:46">
      <c r="A21" s="195">
        <v>11</v>
      </c>
      <c r="B21" s="311"/>
      <c r="C21" s="312"/>
      <c r="D21" s="312"/>
      <c r="E21" s="330"/>
      <c r="P21" s="1"/>
      <c r="AE21" s="1"/>
      <c r="AT21" s="1"/>
    </row>
    <row r="22" spans="1:46">
      <c r="A22" s="195">
        <v>12</v>
      </c>
      <c r="B22" s="311"/>
      <c r="C22" s="312"/>
      <c r="D22" s="312"/>
      <c r="E22" s="330"/>
      <c r="P22" s="1"/>
      <c r="AE22" s="1"/>
      <c r="AT22" s="1"/>
    </row>
    <row r="23" spans="1:46">
      <c r="A23" s="195">
        <v>13</v>
      </c>
      <c r="B23" s="311"/>
      <c r="C23" s="312"/>
      <c r="D23" s="312"/>
      <c r="E23" s="330"/>
      <c r="P23" s="1"/>
      <c r="AE23" s="1"/>
      <c r="AT23" s="1"/>
    </row>
    <row r="24" spans="1:46">
      <c r="A24" s="195">
        <v>14</v>
      </c>
      <c r="B24" s="311"/>
      <c r="C24" s="312"/>
      <c r="D24" s="312"/>
      <c r="E24" s="330"/>
      <c r="P24" s="1"/>
      <c r="AE24" s="1"/>
      <c r="AT24" s="1"/>
    </row>
    <row r="25" spans="1:46">
      <c r="A25" s="195">
        <v>15</v>
      </c>
      <c r="B25" s="311"/>
      <c r="C25" s="312"/>
      <c r="D25" s="312"/>
      <c r="E25" s="330"/>
      <c r="P25" s="1"/>
      <c r="AE25" s="1"/>
      <c r="AT25" s="1"/>
    </row>
    <row r="26" spans="1:46">
      <c r="A26" s="195">
        <v>16</v>
      </c>
      <c r="B26" s="311"/>
      <c r="C26" s="312"/>
      <c r="D26" s="312"/>
      <c r="E26" s="330"/>
      <c r="P26" s="1"/>
      <c r="AE26" s="1"/>
      <c r="AT26" s="1"/>
    </row>
    <row r="27" spans="1:46">
      <c r="A27" s="195">
        <v>17</v>
      </c>
      <c r="B27" s="311"/>
      <c r="C27" s="312"/>
      <c r="D27" s="312"/>
      <c r="E27" s="330"/>
      <c r="P27" s="1"/>
      <c r="AE27" s="1"/>
      <c r="AT27" s="1"/>
    </row>
    <row r="28" spans="1:46">
      <c r="A28" s="195">
        <v>18</v>
      </c>
      <c r="B28" s="311"/>
      <c r="C28" s="312"/>
      <c r="D28" s="312"/>
      <c r="E28" s="330"/>
      <c r="P28" s="1"/>
      <c r="AE28" s="1"/>
      <c r="AT28" s="1"/>
    </row>
    <row r="29" spans="1:46">
      <c r="A29" s="195">
        <v>19</v>
      </c>
      <c r="B29" s="311"/>
      <c r="C29" s="312"/>
      <c r="D29" s="312"/>
      <c r="E29" s="330"/>
      <c r="P29" s="1"/>
      <c r="AE29" s="1"/>
      <c r="AT29" s="1"/>
    </row>
    <row r="30" spans="1:46">
      <c r="A30" s="195">
        <v>20</v>
      </c>
      <c r="B30" s="311"/>
      <c r="C30" s="312"/>
      <c r="D30" s="312"/>
      <c r="E30" s="330"/>
      <c r="P30" s="1"/>
      <c r="AE30" s="1"/>
      <c r="AT30" s="1"/>
    </row>
    <row r="31" spans="1:46">
      <c r="A31" s="195">
        <v>21</v>
      </c>
      <c r="B31" s="311"/>
      <c r="C31" s="312"/>
      <c r="D31" s="312"/>
      <c r="E31" s="330"/>
      <c r="P31" s="1"/>
      <c r="AE31" s="1"/>
      <c r="AT31" s="1"/>
    </row>
    <row r="32" spans="1:46">
      <c r="A32" s="195">
        <v>22</v>
      </c>
      <c r="B32" s="311"/>
      <c r="C32" s="312"/>
      <c r="D32" s="312"/>
      <c r="E32" s="330"/>
      <c r="P32" s="1"/>
      <c r="AE32" s="1"/>
      <c r="AT32" s="1"/>
    </row>
    <row r="33" spans="1:46">
      <c r="A33" s="195">
        <v>23</v>
      </c>
      <c r="B33" s="311"/>
      <c r="C33" s="312"/>
      <c r="D33" s="312"/>
      <c r="E33" s="330"/>
      <c r="P33" s="1"/>
      <c r="AE33" s="1"/>
      <c r="AT33" s="1"/>
    </row>
    <row r="34" spans="1:46">
      <c r="A34" s="195">
        <v>24</v>
      </c>
      <c r="B34" s="311"/>
      <c r="C34" s="312"/>
      <c r="D34" s="312"/>
      <c r="E34" s="330"/>
      <c r="P34" s="1"/>
      <c r="AE34" s="1"/>
      <c r="AT34" s="1"/>
    </row>
    <row r="35" spans="1:46">
      <c r="A35" s="195">
        <v>25</v>
      </c>
      <c r="B35" s="311"/>
      <c r="C35" s="312"/>
      <c r="D35" s="312"/>
      <c r="E35" s="330"/>
      <c r="P35" s="1"/>
      <c r="AE35" s="1"/>
      <c r="AT35" s="1"/>
    </row>
    <row r="36" spans="1:46">
      <c r="A36" s="195">
        <v>26</v>
      </c>
      <c r="B36" s="311"/>
      <c r="C36" s="312"/>
      <c r="D36" s="312"/>
      <c r="E36" s="330"/>
      <c r="P36" s="1"/>
      <c r="AE36" s="1"/>
      <c r="AT36" s="1"/>
    </row>
    <row r="37" spans="1:46">
      <c r="A37" s="195">
        <v>27</v>
      </c>
      <c r="B37" s="311"/>
      <c r="C37" s="312"/>
      <c r="D37" s="312"/>
      <c r="E37" s="330"/>
      <c r="P37" s="1"/>
      <c r="AE37" s="1"/>
      <c r="AT37" s="1"/>
    </row>
    <row r="38" spans="1:46">
      <c r="A38" s="195">
        <v>28</v>
      </c>
      <c r="B38" s="311"/>
      <c r="C38" s="312"/>
      <c r="D38" s="312"/>
      <c r="E38" s="330"/>
      <c r="P38" s="1"/>
      <c r="AE38" s="1"/>
      <c r="AT38" s="1"/>
    </row>
    <row r="39" spans="1:46">
      <c r="A39" s="195">
        <v>29</v>
      </c>
      <c r="B39" s="311"/>
      <c r="C39" s="312"/>
      <c r="D39" s="312"/>
      <c r="E39" s="330"/>
      <c r="P39" s="1"/>
      <c r="AE39" s="1"/>
      <c r="AT39" s="1"/>
    </row>
    <row r="40" spans="1:46">
      <c r="A40" s="195">
        <v>30</v>
      </c>
      <c r="B40" s="311"/>
      <c r="C40" s="312"/>
      <c r="D40" s="312"/>
      <c r="E40" s="330"/>
      <c r="P40" s="1"/>
      <c r="AE40" s="1"/>
      <c r="AT40" s="1"/>
    </row>
    <row r="41" spans="1:46">
      <c r="A41" s="195">
        <v>31</v>
      </c>
      <c r="B41" s="311"/>
      <c r="C41" s="312"/>
      <c r="D41" s="312"/>
      <c r="E41" s="330"/>
      <c r="P41" s="1"/>
      <c r="AE41" s="1"/>
      <c r="AT41" s="1"/>
    </row>
    <row r="42" spans="1:46">
      <c r="A42" s="195">
        <v>32</v>
      </c>
      <c r="B42" s="311"/>
      <c r="C42" s="312"/>
      <c r="D42" s="312"/>
      <c r="E42" s="330"/>
      <c r="P42" s="1"/>
      <c r="AE42" s="1"/>
      <c r="AT42" s="1"/>
    </row>
    <row r="43" spans="1:46">
      <c r="A43" s="195">
        <v>33</v>
      </c>
      <c r="B43" s="311"/>
      <c r="C43" s="312"/>
      <c r="D43" s="312"/>
      <c r="E43" s="330"/>
      <c r="P43" s="1"/>
      <c r="AE43" s="1"/>
      <c r="AT43" s="1"/>
    </row>
    <row r="44" spans="1:46">
      <c r="A44" s="195">
        <v>34</v>
      </c>
      <c r="B44" s="311"/>
      <c r="C44" s="312"/>
      <c r="D44" s="312"/>
      <c r="E44" s="330"/>
      <c r="P44" s="1"/>
      <c r="AE44" s="1"/>
      <c r="AT44" s="1"/>
    </row>
    <row r="45" spans="1:46">
      <c r="A45" s="195">
        <v>35</v>
      </c>
      <c r="B45" s="311"/>
      <c r="C45" s="312"/>
      <c r="D45" s="312"/>
      <c r="E45" s="330"/>
      <c r="P45" s="1"/>
      <c r="AE45" s="1"/>
      <c r="AT45" s="1"/>
    </row>
    <row r="46" spans="1:46">
      <c r="A46" s="195">
        <v>36</v>
      </c>
      <c r="B46" s="311"/>
      <c r="C46" s="312"/>
      <c r="D46" s="312"/>
      <c r="E46" s="330"/>
      <c r="P46" s="1"/>
      <c r="AE46" s="1"/>
      <c r="AT46" s="1"/>
    </row>
    <row r="47" spans="1:46">
      <c r="A47" s="195">
        <v>37</v>
      </c>
      <c r="B47" s="311"/>
      <c r="C47" s="312"/>
      <c r="D47" s="312"/>
      <c r="E47" s="330"/>
      <c r="P47" s="1"/>
      <c r="AE47" s="1"/>
      <c r="AT47" s="1"/>
    </row>
    <row r="48" spans="1:46">
      <c r="A48" s="195">
        <v>38</v>
      </c>
      <c r="B48" s="311"/>
      <c r="C48" s="312"/>
      <c r="D48" s="312"/>
      <c r="E48" s="330"/>
      <c r="P48" s="1"/>
      <c r="AE48" s="1"/>
      <c r="AT48" s="1"/>
    </row>
    <row r="49" spans="1:46">
      <c r="A49" s="195">
        <v>39</v>
      </c>
      <c r="B49" s="311"/>
      <c r="C49" s="312"/>
      <c r="D49" s="312"/>
      <c r="E49" s="330"/>
      <c r="P49" s="1"/>
      <c r="AE49" s="1"/>
      <c r="AT49" s="1"/>
    </row>
    <row r="50" spans="1:46">
      <c r="A50" s="195">
        <v>40</v>
      </c>
      <c r="B50" s="311"/>
      <c r="C50" s="312"/>
      <c r="D50" s="312"/>
      <c r="E50" s="330"/>
      <c r="P50" s="1"/>
      <c r="AE50" s="1"/>
      <c r="AT50" s="1"/>
    </row>
    <row r="51" spans="1:46">
      <c r="A51" s="195">
        <v>41</v>
      </c>
      <c r="B51" s="311"/>
      <c r="C51" s="312"/>
      <c r="D51" s="312"/>
      <c r="E51" s="330"/>
      <c r="P51" s="1"/>
      <c r="AE51" s="1"/>
      <c r="AT51" s="1"/>
    </row>
    <row r="52" spans="1:46">
      <c r="A52" s="195">
        <v>42</v>
      </c>
      <c r="B52" s="311"/>
      <c r="C52" s="312"/>
      <c r="D52" s="312"/>
      <c r="E52" s="330"/>
      <c r="P52" s="1"/>
      <c r="AE52" s="1"/>
      <c r="AT52" s="1"/>
    </row>
    <row r="53" spans="1:46">
      <c r="A53" s="195">
        <v>43</v>
      </c>
      <c r="B53" s="311"/>
      <c r="C53" s="312"/>
      <c r="D53" s="312"/>
      <c r="E53" s="330"/>
      <c r="P53" s="1"/>
      <c r="AE53" s="1"/>
      <c r="AT53" s="1"/>
    </row>
    <row r="54" spans="1:46">
      <c r="A54" s="195">
        <v>44</v>
      </c>
      <c r="B54" s="311"/>
      <c r="C54" s="312"/>
      <c r="D54" s="312"/>
      <c r="E54" s="330"/>
      <c r="P54" s="1"/>
      <c r="AE54" s="1"/>
      <c r="AT54" s="1"/>
    </row>
    <row r="55" spans="1:46">
      <c r="A55" s="195">
        <v>45</v>
      </c>
      <c r="B55" s="311"/>
      <c r="C55" s="312"/>
      <c r="D55" s="312"/>
      <c r="E55" s="330"/>
      <c r="P55" s="1"/>
      <c r="AE55" s="1"/>
      <c r="AT55" s="1"/>
    </row>
    <row r="56" spans="1:46">
      <c r="A56" s="195">
        <v>46</v>
      </c>
      <c r="B56" s="311"/>
      <c r="C56" s="312"/>
      <c r="D56" s="312"/>
      <c r="E56" s="330"/>
      <c r="P56" s="1"/>
      <c r="AE56" s="1"/>
      <c r="AT56" s="1"/>
    </row>
    <row r="57" spans="1:46">
      <c r="A57" s="195">
        <v>47</v>
      </c>
      <c r="B57" s="311"/>
      <c r="C57" s="312"/>
      <c r="D57" s="312"/>
      <c r="E57" s="330"/>
      <c r="P57" s="1"/>
      <c r="AE57" s="1"/>
      <c r="AT57" s="1"/>
    </row>
    <row r="58" spans="1:46">
      <c r="A58" s="195">
        <v>48</v>
      </c>
      <c r="B58" s="311"/>
      <c r="C58" s="312"/>
      <c r="D58" s="312"/>
      <c r="E58" s="330"/>
      <c r="P58" s="1"/>
      <c r="AE58" s="1"/>
      <c r="AT58" s="1"/>
    </row>
    <row r="59" spans="1:46">
      <c r="A59" s="195">
        <v>49</v>
      </c>
      <c r="B59" s="311"/>
      <c r="C59" s="312"/>
      <c r="D59" s="312"/>
      <c r="E59" s="330"/>
      <c r="P59" s="1"/>
      <c r="AE59" s="1"/>
      <c r="AT59" s="1"/>
    </row>
    <row r="60" spans="1:46">
      <c r="A60" s="195">
        <v>50</v>
      </c>
      <c r="B60" s="311"/>
      <c r="C60" s="312"/>
      <c r="D60" s="312"/>
      <c r="E60" s="330"/>
      <c r="P60" s="1"/>
      <c r="AE60" s="1"/>
      <c r="AT60" s="1"/>
    </row>
    <row r="61" spans="1:46">
      <c r="A61" s="195">
        <v>51</v>
      </c>
      <c r="B61" s="311"/>
      <c r="C61" s="312"/>
      <c r="D61" s="312"/>
      <c r="E61" s="330"/>
      <c r="P61" s="1"/>
      <c r="AE61" s="1"/>
      <c r="AT61" s="1"/>
    </row>
    <row r="62" spans="1:46">
      <c r="A62" s="195">
        <v>52</v>
      </c>
      <c r="B62" s="311"/>
      <c r="C62" s="312"/>
      <c r="D62" s="312"/>
      <c r="E62" s="330"/>
      <c r="P62" s="1"/>
      <c r="AE62" s="1"/>
      <c r="AT62" s="1"/>
    </row>
    <row r="63" spans="1:46">
      <c r="A63" s="195">
        <v>53</v>
      </c>
      <c r="B63" s="311"/>
      <c r="C63" s="312"/>
      <c r="D63" s="312"/>
      <c r="E63" s="330"/>
      <c r="P63" s="1"/>
      <c r="AE63" s="1"/>
      <c r="AT63" s="1"/>
    </row>
    <row r="64" spans="1:46">
      <c r="A64" s="195">
        <v>54</v>
      </c>
      <c r="B64" s="311"/>
      <c r="C64" s="312"/>
      <c r="D64" s="312"/>
      <c r="E64" s="330"/>
      <c r="P64" s="1"/>
      <c r="AE64" s="1"/>
      <c r="AT64" s="1"/>
    </row>
    <row r="65" spans="1:46">
      <c r="A65" s="195">
        <v>55</v>
      </c>
      <c r="B65" s="311"/>
      <c r="C65" s="312"/>
      <c r="D65" s="312"/>
      <c r="E65" s="330"/>
      <c r="P65" s="1"/>
      <c r="AE65" s="1"/>
      <c r="AT65" s="1"/>
    </row>
    <row r="66" spans="1:46">
      <c r="A66" s="195">
        <v>56</v>
      </c>
      <c r="B66" s="311"/>
      <c r="C66" s="312"/>
      <c r="D66" s="312"/>
      <c r="E66" s="330"/>
      <c r="P66" s="1"/>
      <c r="AE66" s="1"/>
      <c r="AT66" s="1"/>
    </row>
    <row r="67" spans="1:46">
      <c r="A67" s="195">
        <v>57</v>
      </c>
      <c r="B67" s="311"/>
      <c r="C67" s="312"/>
      <c r="D67" s="312"/>
      <c r="E67" s="330"/>
      <c r="P67" s="1"/>
      <c r="AE67" s="1"/>
      <c r="AT67" s="1"/>
    </row>
    <row r="68" spans="1:46">
      <c r="A68" s="195">
        <v>58</v>
      </c>
      <c r="B68" s="311"/>
      <c r="C68" s="312"/>
      <c r="D68" s="312"/>
      <c r="E68" s="330"/>
      <c r="P68" s="1"/>
      <c r="AE68" s="1"/>
      <c r="AT68" s="1"/>
    </row>
    <row r="69" spans="1:46">
      <c r="A69" s="195">
        <v>59</v>
      </c>
      <c r="B69" s="311"/>
      <c r="C69" s="312"/>
      <c r="D69" s="312"/>
      <c r="E69" s="330"/>
      <c r="P69" s="1"/>
      <c r="AE69" s="1"/>
      <c r="AT69" s="1"/>
    </row>
    <row r="70" spans="1:46">
      <c r="A70" s="195">
        <v>60</v>
      </c>
      <c r="B70" s="311"/>
      <c r="C70" s="312"/>
      <c r="D70" s="312"/>
      <c r="E70" s="330"/>
      <c r="P70" s="1"/>
      <c r="AE70" s="1"/>
      <c r="AT70" s="1"/>
    </row>
    <row r="71" spans="1:46">
      <c r="A71" s="195">
        <v>61</v>
      </c>
      <c r="B71" s="311"/>
      <c r="C71" s="312"/>
      <c r="D71" s="312"/>
      <c r="E71" s="330"/>
      <c r="P71" s="1"/>
      <c r="AE71" s="1"/>
      <c r="AT71" s="1"/>
    </row>
    <row r="72" spans="1:46">
      <c r="A72" s="195">
        <v>62</v>
      </c>
      <c r="B72" s="311"/>
      <c r="C72" s="312"/>
      <c r="D72" s="312"/>
      <c r="E72" s="330"/>
      <c r="P72" s="1"/>
      <c r="AE72" s="1"/>
      <c r="AT72" s="1"/>
    </row>
    <row r="73" spans="1:46">
      <c r="A73" s="195">
        <v>63</v>
      </c>
      <c r="B73" s="311"/>
      <c r="C73" s="312"/>
      <c r="D73" s="312"/>
      <c r="E73" s="330"/>
      <c r="P73" s="1"/>
      <c r="AE73" s="1"/>
      <c r="AT73" s="1"/>
    </row>
    <row r="74" spans="1:46">
      <c r="A74" s="195">
        <v>64</v>
      </c>
      <c r="B74" s="311"/>
      <c r="C74" s="312"/>
      <c r="D74" s="312"/>
      <c r="E74" s="330"/>
      <c r="P74" s="1"/>
      <c r="AE74" s="1"/>
      <c r="AT74" s="1"/>
    </row>
    <row r="75" spans="1:46">
      <c r="A75" s="195">
        <v>65</v>
      </c>
      <c r="B75" s="311"/>
      <c r="C75" s="312"/>
      <c r="D75" s="312"/>
      <c r="E75" s="330"/>
      <c r="P75" s="1"/>
      <c r="AE75" s="1"/>
      <c r="AT75" s="1"/>
    </row>
    <row r="76" spans="1:46">
      <c r="A76" s="195">
        <v>66</v>
      </c>
      <c r="B76" s="311"/>
      <c r="C76" s="312"/>
      <c r="D76" s="312"/>
      <c r="E76" s="330"/>
      <c r="P76" s="1"/>
      <c r="AE76" s="1"/>
      <c r="AT76" s="1"/>
    </row>
    <row r="77" spans="1:46">
      <c r="A77" s="195">
        <v>67</v>
      </c>
      <c r="B77" s="311"/>
      <c r="C77" s="312"/>
      <c r="D77" s="312"/>
      <c r="E77" s="330"/>
      <c r="P77" s="1"/>
      <c r="AE77" s="1"/>
      <c r="AT77" s="1"/>
    </row>
    <row r="78" spans="1:46">
      <c r="A78" s="195">
        <v>68</v>
      </c>
      <c r="B78" s="311"/>
      <c r="C78" s="312"/>
      <c r="D78" s="312"/>
      <c r="E78" s="330"/>
      <c r="P78" s="1"/>
      <c r="AE78" s="1"/>
      <c r="AT78" s="1"/>
    </row>
    <row r="79" spans="1:46">
      <c r="A79" s="195">
        <v>69</v>
      </c>
      <c r="B79" s="311"/>
      <c r="C79" s="312"/>
      <c r="D79" s="312"/>
      <c r="E79" s="330"/>
      <c r="P79" s="1"/>
      <c r="AE79" s="1"/>
      <c r="AT79" s="1"/>
    </row>
    <row r="80" spans="1:46">
      <c r="A80" s="195">
        <v>70</v>
      </c>
      <c r="B80" s="311"/>
      <c r="C80" s="312"/>
      <c r="D80" s="312"/>
      <c r="E80" s="330"/>
      <c r="P80" s="1"/>
      <c r="AE80" s="1"/>
      <c r="AT80" s="1"/>
    </row>
    <row r="81" spans="1:46">
      <c r="A81" s="195">
        <v>71</v>
      </c>
      <c r="B81" s="311"/>
      <c r="C81" s="312"/>
      <c r="D81" s="312"/>
      <c r="E81" s="330"/>
      <c r="P81" s="1"/>
      <c r="AE81" s="1"/>
      <c r="AT81" s="1"/>
    </row>
    <row r="82" spans="1:46">
      <c r="A82" s="195">
        <v>72</v>
      </c>
      <c r="B82" s="311"/>
      <c r="C82" s="312"/>
      <c r="D82" s="312"/>
      <c r="E82" s="330"/>
      <c r="P82" s="1"/>
      <c r="AE82" s="1"/>
      <c r="AT82" s="1"/>
    </row>
    <row r="83" spans="1:46">
      <c r="A83" s="195">
        <v>73</v>
      </c>
      <c r="B83" s="311"/>
      <c r="C83" s="312"/>
      <c r="D83" s="312"/>
      <c r="E83" s="330"/>
      <c r="P83" s="1"/>
      <c r="AE83" s="1"/>
      <c r="AT83" s="1"/>
    </row>
    <row r="84" spans="1:46">
      <c r="A84" s="195">
        <v>74</v>
      </c>
      <c r="B84" s="311"/>
      <c r="C84" s="312"/>
      <c r="D84" s="312"/>
      <c r="E84" s="330"/>
      <c r="P84" s="1"/>
      <c r="AE84" s="1"/>
      <c r="AT84" s="1"/>
    </row>
    <row r="85" spans="1:46">
      <c r="A85" s="195">
        <v>75</v>
      </c>
      <c r="B85" s="311"/>
      <c r="C85" s="312"/>
      <c r="D85" s="312"/>
      <c r="E85" s="330"/>
      <c r="P85" s="1"/>
      <c r="AE85" s="1"/>
      <c r="AT85" s="1"/>
    </row>
    <row r="86" spans="1:46">
      <c r="A86" s="195">
        <v>76</v>
      </c>
      <c r="B86" s="311"/>
      <c r="C86" s="312"/>
      <c r="D86" s="312"/>
      <c r="E86" s="330"/>
      <c r="P86" s="1"/>
      <c r="AE86" s="1"/>
      <c r="AT86" s="1"/>
    </row>
    <row r="87" spans="1:46">
      <c r="A87" s="195">
        <v>77</v>
      </c>
      <c r="B87" s="311"/>
      <c r="C87" s="312"/>
      <c r="D87" s="312"/>
      <c r="E87" s="330"/>
      <c r="P87" s="1"/>
      <c r="AE87" s="1"/>
      <c r="AT87" s="1"/>
    </row>
    <row r="88" spans="1:46">
      <c r="A88" s="195">
        <v>78</v>
      </c>
      <c r="B88" s="311"/>
      <c r="C88" s="312"/>
      <c r="D88" s="312"/>
      <c r="E88" s="330"/>
      <c r="P88" s="1"/>
      <c r="AE88" s="1"/>
      <c r="AT88" s="1"/>
    </row>
    <row r="89" spans="1:46">
      <c r="A89" s="195">
        <v>79</v>
      </c>
      <c r="B89" s="311"/>
      <c r="C89" s="312"/>
      <c r="D89" s="312"/>
      <c r="E89" s="330"/>
      <c r="P89" s="1"/>
      <c r="AE89" s="1"/>
      <c r="AT89" s="1"/>
    </row>
    <row r="90" spans="1:46">
      <c r="A90" s="195">
        <v>80</v>
      </c>
      <c r="B90" s="311"/>
      <c r="C90" s="312"/>
      <c r="D90" s="312"/>
      <c r="E90" s="330"/>
      <c r="P90" s="1"/>
      <c r="AE90" s="1"/>
      <c r="AT90" s="1"/>
    </row>
    <row r="91" spans="1:46">
      <c r="A91" s="195">
        <v>81</v>
      </c>
      <c r="B91" s="311"/>
      <c r="C91" s="312"/>
      <c r="D91" s="312"/>
      <c r="E91" s="330"/>
      <c r="P91" s="1"/>
      <c r="AE91" s="1"/>
      <c r="AT91" s="1"/>
    </row>
    <row r="92" spans="1:46">
      <c r="A92" s="195">
        <v>82</v>
      </c>
      <c r="B92" s="311"/>
      <c r="C92" s="312"/>
      <c r="D92" s="312"/>
      <c r="E92" s="330"/>
      <c r="P92" s="1"/>
      <c r="AE92" s="1"/>
      <c r="AT92" s="1"/>
    </row>
    <row r="93" spans="1:46">
      <c r="A93" s="195">
        <v>83</v>
      </c>
      <c r="B93" s="311"/>
      <c r="C93" s="312"/>
      <c r="D93" s="312"/>
      <c r="E93" s="330"/>
      <c r="P93" s="1"/>
      <c r="AE93" s="1"/>
      <c r="AT93" s="1"/>
    </row>
    <row r="94" spans="1:46">
      <c r="A94" s="195">
        <v>84</v>
      </c>
      <c r="B94" s="311"/>
      <c r="C94" s="312"/>
      <c r="D94" s="312"/>
      <c r="E94" s="330"/>
      <c r="P94" s="1"/>
      <c r="AE94" s="1"/>
      <c r="AT94" s="1"/>
    </row>
    <row r="95" spans="1:46">
      <c r="A95" s="195">
        <v>85</v>
      </c>
      <c r="B95" s="311"/>
      <c r="C95" s="312"/>
      <c r="D95" s="312"/>
      <c r="E95" s="330"/>
      <c r="P95" s="1"/>
      <c r="AE95" s="1"/>
      <c r="AT95" s="1"/>
    </row>
    <row r="96" spans="1:46">
      <c r="A96" s="195">
        <v>86</v>
      </c>
      <c r="B96" s="311"/>
      <c r="C96" s="312"/>
      <c r="D96" s="312"/>
      <c r="E96" s="330"/>
      <c r="P96" s="1"/>
      <c r="AE96" s="1"/>
      <c r="AT96" s="1"/>
    </row>
    <row r="97" spans="1:46">
      <c r="A97" s="195">
        <v>87</v>
      </c>
      <c r="B97" s="311"/>
      <c r="C97" s="312"/>
      <c r="D97" s="312"/>
      <c r="E97" s="330"/>
      <c r="P97" s="1"/>
      <c r="AE97" s="1"/>
      <c r="AT97" s="1"/>
    </row>
    <row r="98" spans="1:46">
      <c r="A98" s="195">
        <v>88</v>
      </c>
      <c r="B98" s="311"/>
      <c r="C98" s="312"/>
      <c r="D98" s="312"/>
      <c r="E98" s="330"/>
      <c r="P98" s="1"/>
      <c r="AE98" s="1"/>
      <c r="AT98" s="1"/>
    </row>
    <row r="99" spans="1:46">
      <c r="A99" s="195">
        <v>89</v>
      </c>
      <c r="B99" s="311"/>
      <c r="C99" s="312"/>
      <c r="D99" s="312"/>
      <c r="E99" s="330"/>
      <c r="P99" s="1"/>
      <c r="AE99" s="1"/>
      <c r="AT99" s="1"/>
    </row>
    <row r="100" spans="1:46">
      <c r="A100" s="195">
        <v>90</v>
      </c>
      <c r="B100" s="311"/>
      <c r="C100" s="312"/>
      <c r="D100" s="312"/>
      <c r="E100" s="330"/>
      <c r="P100" s="1"/>
      <c r="AE100" s="1"/>
      <c r="AT100" s="1"/>
    </row>
    <row r="101" spans="1:46">
      <c r="A101" s="195">
        <v>91</v>
      </c>
      <c r="B101" s="311"/>
      <c r="C101" s="312"/>
      <c r="D101" s="312"/>
      <c r="E101" s="330"/>
      <c r="P101" s="1"/>
      <c r="AE101" s="1"/>
      <c r="AT101" s="1"/>
    </row>
    <row r="102" spans="1:46">
      <c r="A102" s="195">
        <v>92</v>
      </c>
      <c r="B102" s="311"/>
      <c r="C102" s="312"/>
      <c r="D102" s="312"/>
      <c r="E102" s="330"/>
      <c r="P102" s="1"/>
      <c r="AE102" s="1"/>
      <c r="AT102" s="1"/>
    </row>
    <row r="103" spans="1:46">
      <c r="A103" s="195">
        <v>93</v>
      </c>
      <c r="B103" s="311"/>
      <c r="C103" s="312"/>
      <c r="D103" s="312"/>
      <c r="E103" s="330"/>
      <c r="P103" s="1"/>
      <c r="AE103" s="1"/>
      <c r="AT103" s="1"/>
    </row>
    <row r="104" spans="1:46">
      <c r="A104" s="195">
        <v>94</v>
      </c>
      <c r="B104" s="311"/>
      <c r="C104" s="312"/>
      <c r="D104" s="312"/>
      <c r="E104" s="330"/>
      <c r="P104" s="1"/>
      <c r="AE104" s="1"/>
      <c r="AT104" s="1"/>
    </row>
    <row r="105" spans="1:46">
      <c r="A105" s="195">
        <v>95</v>
      </c>
      <c r="B105" s="311"/>
      <c r="C105" s="312"/>
      <c r="D105" s="312"/>
      <c r="E105" s="330"/>
      <c r="P105" s="1"/>
      <c r="AE105" s="1"/>
      <c r="AT105" s="1"/>
    </row>
    <row r="106" spans="1:46">
      <c r="A106" s="195">
        <v>96</v>
      </c>
      <c r="B106" s="311"/>
      <c r="C106" s="312"/>
      <c r="D106" s="312"/>
      <c r="E106" s="330"/>
      <c r="P106" s="1"/>
      <c r="AE106" s="1"/>
      <c r="AT106" s="1"/>
    </row>
    <row r="107" spans="1:46">
      <c r="A107" s="195">
        <v>97</v>
      </c>
      <c r="B107" s="311"/>
      <c r="C107" s="312"/>
      <c r="D107" s="312"/>
      <c r="E107" s="330"/>
      <c r="P107" s="1"/>
      <c r="AE107" s="1"/>
      <c r="AT107" s="1"/>
    </row>
    <row r="108" spans="1:46">
      <c r="A108" s="195">
        <v>98</v>
      </c>
      <c r="B108" s="311"/>
      <c r="C108" s="312"/>
      <c r="D108" s="312"/>
      <c r="E108" s="330"/>
      <c r="P108" s="1"/>
      <c r="AE108" s="1"/>
      <c r="AT108" s="1"/>
    </row>
    <row r="109" spans="1:46">
      <c r="A109" s="195">
        <v>99</v>
      </c>
      <c r="B109" s="311"/>
      <c r="C109" s="312"/>
      <c r="D109" s="312"/>
      <c r="E109" s="330"/>
      <c r="P109" s="1"/>
      <c r="AE109" s="1"/>
      <c r="AT109" s="1"/>
    </row>
    <row r="110" spans="1:46">
      <c r="A110" s="328">
        <v>100</v>
      </c>
      <c r="B110" s="331"/>
      <c r="C110" s="332"/>
      <c r="D110" s="332"/>
      <c r="E110" s="333"/>
      <c r="P110" s="1"/>
      <c r="AE110" s="1"/>
      <c r="AT110" s="1"/>
    </row>
  </sheetData>
  <sheetProtection scenarios="1"/>
  <mergeCells count="8">
    <mergeCell ref="AF9:AR9"/>
    <mergeCell ref="AU9:BG9"/>
    <mergeCell ref="B3:D3"/>
    <mergeCell ref="G3:I3"/>
    <mergeCell ref="B4:D4"/>
    <mergeCell ref="B5:D5"/>
    <mergeCell ref="G6:I6"/>
    <mergeCell ref="Q9:AC9"/>
  </mergeCells>
  <conditionalFormatting sqref="A2:J111">
    <cfRule type="expression" dxfId="2" priority="1">
      <formula>CELL("Protect",A2)=1</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590CF4-9103-44A1-828B-766DD2BE40DA}">
  <sheetPr codeName="Hoja3">
    <tabColor rgb="FFFFFFCC"/>
  </sheetPr>
  <dimension ref="A1:BG110"/>
  <sheetViews>
    <sheetView workbookViewId="0">
      <selection activeCell="N27" sqref="N27"/>
    </sheetView>
  </sheetViews>
  <sheetFormatPr defaultColWidth="8.85546875" defaultRowHeight="12.75"/>
  <cols>
    <col min="1" max="1" width="12.42578125" customWidth="1"/>
    <col min="2" max="5" width="11" customWidth="1"/>
    <col min="6" max="6" width="6.7109375" customWidth="1"/>
    <col min="7" max="9" width="10.140625" customWidth="1"/>
    <col min="10" max="14" width="6.7109375" customWidth="1"/>
    <col min="15" max="15" width="9.42578125" customWidth="1"/>
    <col min="16" max="16" width="12.42578125" customWidth="1"/>
    <col min="17" max="29" width="6.7109375" customWidth="1"/>
    <col min="30" max="30" width="3.7109375" customWidth="1"/>
    <col min="31" max="31" width="12.42578125" customWidth="1"/>
    <col min="32" max="44" width="6.7109375" customWidth="1"/>
    <col min="45" max="45" width="3.7109375" customWidth="1"/>
    <col min="46" max="46" width="12.42578125" customWidth="1"/>
    <col min="47" max="59" width="6.7109375" customWidth="1"/>
    <col min="257" max="257" width="12.42578125" customWidth="1"/>
    <col min="259" max="261" width="9.42578125" bestFit="1" customWidth="1"/>
    <col min="262" max="270" width="6.7109375" customWidth="1"/>
    <col min="271" max="271" width="3.7109375" customWidth="1"/>
    <col min="272" max="272" width="12.42578125" customWidth="1"/>
    <col min="273" max="285" width="6.7109375" customWidth="1"/>
    <col min="286" max="286" width="3.7109375" customWidth="1"/>
    <col min="287" max="287" width="12.42578125" customWidth="1"/>
    <col min="288" max="300" width="6.7109375" customWidth="1"/>
    <col min="301" max="301" width="3.7109375" customWidth="1"/>
    <col min="302" max="302" width="12.42578125" customWidth="1"/>
    <col min="303" max="315" width="6.7109375" customWidth="1"/>
    <col min="513" max="513" width="12.42578125" customWidth="1"/>
    <col min="515" max="517" width="9.42578125" bestFit="1" customWidth="1"/>
    <col min="518" max="526" width="6.7109375" customWidth="1"/>
    <col min="527" max="527" width="3.7109375" customWidth="1"/>
    <col min="528" max="528" width="12.42578125" customWidth="1"/>
    <col min="529" max="541" width="6.7109375" customWidth="1"/>
    <col min="542" max="542" width="3.7109375" customWidth="1"/>
    <col min="543" max="543" width="12.42578125" customWidth="1"/>
    <col min="544" max="556" width="6.7109375" customWidth="1"/>
    <col min="557" max="557" width="3.7109375" customWidth="1"/>
    <col min="558" max="558" width="12.42578125" customWidth="1"/>
    <col min="559" max="571" width="6.7109375" customWidth="1"/>
    <col min="769" max="769" width="12.42578125" customWidth="1"/>
    <col min="771" max="773" width="9.42578125" bestFit="1" customWidth="1"/>
    <col min="774" max="782" width="6.7109375" customWidth="1"/>
    <col min="783" max="783" width="3.7109375" customWidth="1"/>
    <col min="784" max="784" width="12.42578125" customWidth="1"/>
    <col min="785" max="797" width="6.7109375" customWidth="1"/>
    <col min="798" max="798" width="3.7109375" customWidth="1"/>
    <col min="799" max="799" width="12.42578125" customWidth="1"/>
    <col min="800" max="812" width="6.7109375" customWidth="1"/>
    <col min="813" max="813" width="3.7109375" customWidth="1"/>
    <col min="814" max="814" width="12.42578125" customWidth="1"/>
    <col min="815" max="827" width="6.7109375" customWidth="1"/>
    <col min="1025" max="1025" width="12.42578125" customWidth="1"/>
    <col min="1027" max="1029" width="9.42578125" bestFit="1" customWidth="1"/>
    <col min="1030" max="1038" width="6.7109375" customWidth="1"/>
    <col min="1039" max="1039" width="3.7109375" customWidth="1"/>
    <col min="1040" max="1040" width="12.42578125" customWidth="1"/>
    <col min="1041" max="1053" width="6.7109375" customWidth="1"/>
    <col min="1054" max="1054" width="3.7109375" customWidth="1"/>
    <col min="1055" max="1055" width="12.42578125" customWidth="1"/>
    <col min="1056" max="1068" width="6.7109375" customWidth="1"/>
    <col min="1069" max="1069" width="3.7109375" customWidth="1"/>
    <col min="1070" max="1070" width="12.42578125" customWidth="1"/>
    <col min="1071" max="1083" width="6.7109375" customWidth="1"/>
    <col min="1281" max="1281" width="12.42578125" customWidth="1"/>
    <col min="1283" max="1285" width="9.42578125" bestFit="1" customWidth="1"/>
    <col min="1286" max="1294" width="6.7109375" customWidth="1"/>
    <col min="1295" max="1295" width="3.7109375" customWidth="1"/>
    <col min="1296" max="1296" width="12.42578125" customWidth="1"/>
    <col min="1297" max="1309" width="6.7109375" customWidth="1"/>
    <col min="1310" max="1310" width="3.7109375" customWidth="1"/>
    <col min="1311" max="1311" width="12.42578125" customWidth="1"/>
    <col min="1312" max="1324" width="6.7109375" customWidth="1"/>
    <col min="1325" max="1325" width="3.7109375" customWidth="1"/>
    <col min="1326" max="1326" width="12.42578125" customWidth="1"/>
    <col min="1327" max="1339" width="6.7109375" customWidth="1"/>
    <col min="1537" max="1537" width="12.42578125" customWidth="1"/>
    <col min="1539" max="1541" width="9.42578125" bestFit="1" customWidth="1"/>
    <col min="1542" max="1550" width="6.7109375" customWidth="1"/>
    <col min="1551" max="1551" width="3.7109375" customWidth="1"/>
    <col min="1552" max="1552" width="12.42578125" customWidth="1"/>
    <col min="1553" max="1565" width="6.7109375" customWidth="1"/>
    <col min="1566" max="1566" width="3.7109375" customWidth="1"/>
    <col min="1567" max="1567" width="12.42578125" customWidth="1"/>
    <col min="1568" max="1580" width="6.7109375" customWidth="1"/>
    <col min="1581" max="1581" width="3.7109375" customWidth="1"/>
    <col min="1582" max="1582" width="12.42578125" customWidth="1"/>
    <col min="1583" max="1595" width="6.7109375" customWidth="1"/>
    <col min="1793" max="1793" width="12.42578125" customWidth="1"/>
    <col min="1795" max="1797" width="9.42578125" bestFit="1" customWidth="1"/>
    <col min="1798" max="1806" width="6.7109375" customWidth="1"/>
    <col min="1807" max="1807" width="3.7109375" customWidth="1"/>
    <col min="1808" max="1808" width="12.42578125" customWidth="1"/>
    <col min="1809" max="1821" width="6.7109375" customWidth="1"/>
    <col min="1822" max="1822" width="3.7109375" customWidth="1"/>
    <col min="1823" max="1823" width="12.42578125" customWidth="1"/>
    <col min="1824" max="1836" width="6.7109375" customWidth="1"/>
    <col min="1837" max="1837" width="3.7109375" customWidth="1"/>
    <col min="1838" max="1838" width="12.42578125" customWidth="1"/>
    <col min="1839" max="1851" width="6.7109375" customWidth="1"/>
    <col min="2049" max="2049" width="12.42578125" customWidth="1"/>
    <col min="2051" max="2053" width="9.42578125" bestFit="1" customWidth="1"/>
    <col min="2054" max="2062" width="6.7109375" customWidth="1"/>
    <col min="2063" max="2063" width="3.7109375" customWidth="1"/>
    <col min="2064" max="2064" width="12.42578125" customWidth="1"/>
    <col min="2065" max="2077" width="6.7109375" customWidth="1"/>
    <col min="2078" max="2078" width="3.7109375" customWidth="1"/>
    <col min="2079" max="2079" width="12.42578125" customWidth="1"/>
    <col min="2080" max="2092" width="6.7109375" customWidth="1"/>
    <col min="2093" max="2093" width="3.7109375" customWidth="1"/>
    <col min="2094" max="2094" width="12.42578125" customWidth="1"/>
    <col min="2095" max="2107" width="6.7109375" customWidth="1"/>
    <col min="2305" max="2305" width="12.42578125" customWidth="1"/>
    <col min="2307" max="2309" width="9.42578125" bestFit="1" customWidth="1"/>
    <col min="2310" max="2318" width="6.7109375" customWidth="1"/>
    <col min="2319" max="2319" width="3.7109375" customWidth="1"/>
    <col min="2320" max="2320" width="12.42578125" customWidth="1"/>
    <col min="2321" max="2333" width="6.7109375" customWidth="1"/>
    <col min="2334" max="2334" width="3.7109375" customWidth="1"/>
    <col min="2335" max="2335" width="12.42578125" customWidth="1"/>
    <col min="2336" max="2348" width="6.7109375" customWidth="1"/>
    <col min="2349" max="2349" width="3.7109375" customWidth="1"/>
    <col min="2350" max="2350" width="12.42578125" customWidth="1"/>
    <col min="2351" max="2363" width="6.7109375" customWidth="1"/>
    <col min="2561" max="2561" width="12.42578125" customWidth="1"/>
    <col min="2563" max="2565" width="9.42578125" bestFit="1" customWidth="1"/>
    <col min="2566" max="2574" width="6.7109375" customWidth="1"/>
    <col min="2575" max="2575" width="3.7109375" customWidth="1"/>
    <col min="2576" max="2576" width="12.42578125" customWidth="1"/>
    <col min="2577" max="2589" width="6.7109375" customWidth="1"/>
    <col min="2590" max="2590" width="3.7109375" customWidth="1"/>
    <col min="2591" max="2591" width="12.42578125" customWidth="1"/>
    <col min="2592" max="2604" width="6.7109375" customWidth="1"/>
    <col min="2605" max="2605" width="3.7109375" customWidth="1"/>
    <col min="2606" max="2606" width="12.42578125" customWidth="1"/>
    <col min="2607" max="2619" width="6.7109375" customWidth="1"/>
    <col min="2817" max="2817" width="12.42578125" customWidth="1"/>
    <col min="2819" max="2821" width="9.42578125" bestFit="1" customWidth="1"/>
    <col min="2822" max="2830" width="6.7109375" customWidth="1"/>
    <col min="2831" max="2831" width="3.7109375" customWidth="1"/>
    <col min="2832" max="2832" width="12.42578125" customWidth="1"/>
    <col min="2833" max="2845" width="6.7109375" customWidth="1"/>
    <col min="2846" max="2846" width="3.7109375" customWidth="1"/>
    <col min="2847" max="2847" width="12.42578125" customWidth="1"/>
    <col min="2848" max="2860" width="6.7109375" customWidth="1"/>
    <col min="2861" max="2861" width="3.7109375" customWidth="1"/>
    <col min="2862" max="2862" width="12.42578125" customWidth="1"/>
    <col min="2863" max="2875" width="6.7109375" customWidth="1"/>
    <col min="3073" max="3073" width="12.42578125" customWidth="1"/>
    <col min="3075" max="3077" width="9.42578125" bestFit="1" customWidth="1"/>
    <col min="3078" max="3086" width="6.7109375" customWidth="1"/>
    <col min="3087" max="3087" width="3.7109375" customWidth="1"/>
    <col min="3088" max="3088" width="12.42578125" customWidth="1"/>
    <col min="3089" max="3101" width="6.7109375" customWidth="1"/>
    <col min="3102" max="3102" width="3.7109375" customWidth="1"/>
    <col min="3103" max="3103" width="12.42578125" customWidth="1"/>
    <col min="3104" max="3116" width="6.7109375" customWidth="1"/>
    <col min="3117" max="3117" width="3.7109375" customWidth="1"/>
    <col min="3118" max="3118" width="12.42578125" customWidth="1"/>
    <col min="3119" max="3131" width="6.7109375" customWidth="1"/>
    <col min="3329" max="3329" width="12.42578125" customWidth="1"/>
    <col min="3331" max="3333" width="9.42578125" bestFit="1" customWidth="1"/>
    <col min="3334" max="3342" width="6.7109375" customWidth="1"/>
    <col min="3343" max="3343" width="3.7109375" customWidth="1"/>
    <col min="3344" max="3344" width="12.42578125" customWidth="1"/>
    <col min="3345" max="3357" width="6.7109375" customWidth="1"/>
    <col min="3358" max="3358" width="3.7109375" customWidth="1"/>
    <col min="3359" max="3359" width="12.42578125" customWidth="1"/>
    <col min="3360" max="3372" width="6.7109375" customWidth="1"/>
    <col min="3373" max="3373" width="3.7109375" customWidth="1"/>
    <col min="3374" max="3374" width="12.42578125" customWidth="1"/>
    <col min="3375" max="3387" width="6.7109375" customWidth="1"/>
    <col min="3585" max="3585" width="12.42578125" customWidth="1"/>
    <col min="3587" max="3589" width="9.42578125" bestFit="1" customWidth="1"/>
    <col min="3590" max="3598" width="6.7109375" customWidth="1"/>
    <col min="3599" max="3599" width="3.7109375" customWidth="1"/>
    <col min="3600" max="3600" width="12.42578125" customWidth="1"/>
    <col min="3601" max="3613" width="6.7109375" customWidth="1"/>
    <col min="3614" max="3614" width="3.7109375" customWidth="1"/>
    <col min="3615" max="3615" width="12.42578125" customWidth="1"/>
    <col min="3616" max="3628" width="6.7109375" customWidth="1"/>
    <col min="3629" max="3629" width="3.7109375" customWidth="1"/>
    <col min="3630" max="3630" width="12.42578125" customWidth="1"/>
    <col min="3631" max="3643" width="6.7109375" customWidth="1"/>
    <col min="3841" max="3841" width="12.42578125" customWidth="1"/>
    <col min="3843" max="3845" width="9.42578125" bestFit="1" customWidth="1"/>
    <col min="3846" max="3854" width="6.7109375" customWidth="1"/>
    <col min="3855" max="3855" width="3.7109375" customWidth="1"/>
    <col min="3856" max="3856" width="12.42578125" customWidth="1"/>
    <col min="3857" max="3869" width="6.7109375" customWidth="1"/>
    <col min="3870" max="3870" width="3.7109375" customWidth="1"/>
    <col min="3871" max="3871" width="12.42578125" customWidth="1"/>
    <col min="3872" max="3884" width="6.7109375" customWidth="1"/>
    <col min="3885" max="3885" width="3.7109375" customWidth="1"/>
    <col min="3886" max="3886" width="12.42578125" customWidth="1"/>
    <col min="3887" max="3899" width="6.7109375" customWidth="1"/>
    <col min="4097" max="4097" width="12.42578125" customWidth="1"/>
    <col min="4099" max="4101" width="9.42578125" bestFit="1" customWidth="1"/>
    <col min="4102" max="4110" width="6.7109375" customWidth="1"/>
    <col min="4111" max="4111" width="3.7109375" customWidth="1"/>
    <col min="4112" max="4112" width="12.42578125" customWidth="1"/>
    <col min="4113" max="4125" width="6.7109375" customWidth="1"/>
    <col min="4126" max="4126" width="3.7109375" customWidth="1"/>
    <col min="4127" max="4127" width="12.42578125" customWidth="1"/>
    <col min="4128" max="4140" width="6.7109375" customWidth="1"/>
    <col min="4141" max="4141" width="3.7109375" customWidth="1"/>
    <col min="4142" max="4142" width="12.42578125" customWidth="1"/>
    <col min="4143" max="4155" width="6.7109375" customWidth="1"/>
    <col min="4353" max="4353" width="12.42578125" customWidth="1"/>
    <col min="4355" max="4357" width="9.42578125" bestFit="1" customWidth="1"/>
    <col min="4358" max="4366" width="6.7109375" customWidth="1"/>
    <col min="4367" max="4367" width="3.7109375" customWidth="1"/>
    <col min="4368" max="4368" width="12.42578125" customWidth="1"/>
    <col min="4369" max="4381" width="6.7109375" customWidth="1"/>
    <col min="4382" max="4382" width="3.7109375" customWidth="1"/>
    <col min="4383" max="4383" width="12.42578125" customWidth="1"/>
    <col min="4384" max="4396" width="6.7109375" customWidth="1"/>
    <col min="4397" max="4397" width="3.7109375" customWidth="1"/>
    <col min="4398" max="4398" width="12.42578125" customWidth="1"/>
    <col min="4399" max="4411" width="6.7109375" customWidth="1"/>
    <col min="4609" max="4609" width="12.42578125" customWidth="1"/>
    <col min="4611" max="4613" width="9.42578125" bestFit="1" customWidth="1"/>
    <col min="4614" max="4622" width="6.7109375" customWidth="1"/>
    <col min="4623" max="4623" width="3.7109375" customWidth="1"/>
    <col min="4624" max="4624" width="12.42578125" customWidth="1"/>
    <col min="4625" max="4637" width="6.7109375" customWidth="1"/>
    <col min="4638" max="4638" width="3.7109375" customWidth="1"/>
    <col min="4639" max="4639" width="12.42578125" customWidth="1"/>
    <col min="4640" max="4652" width="6.7109375" customWidth="1"/>
    <col min="4653" max="4653" width="3.7109375" customWidth="1"/>
    <col min="4654" max="4654" width="12.42578125" customWidth="1"/>
    <col min="4655" max="4667" width="6.7109375" customWidth="1"/>
    <col min="4865" max="4865" width="12.42578125" customWidth="1"/>
    <col min="4867" max="4869" width="9.42578125" bestFit="1" customWidth="1"/>
    <col min="4870" max="4878" width="6.7109375" customWidth="1"/>
    <col min="4879" max="4879" width="3.7109375" customWidth="1"/>
    <col min="4880" max="4880" width="12.42578125" customWidth="1"/>
    <col min="4881" max="4893" width="6.7109375" customWidth="1"/>
    <col min="4894" max="4894" width="3.7109375" customWidth="1"/>
    <col min="4895" max="4895" width="12.42578125" customWidth="1"/>
    <col min="4896" max="4908" width="6.7109375" customWidth="1"/>
    <col min="4909" max="4909" width="3.7109375" customWidth="1"/>
    <col min="4910" max="4910" width="12.42578125" customWidth="1"/>
    <col min="4911" max="4923" width="6.7109375" customWidth="1"/>
    <col min="5121" max="5121" width="12.42578125" customWidth="1"/>
    <col min="5123" max="5125" width="9.42578125" bestFit="1" customWidth="1"/>
    <col min="5126" max="5134" width="6.7109375" customWidth="1"/>
    <col min="5135" max="5135" width="3.7109375" customWidth="1"/>
    <col min="5136" max="5136" width="12.42578125" customWidth="1"/>
    <col min="5137" max="5149" width="6.7109375" customWidth="1"/>
    <col min="5150" max="5150" width="3.7109375" customWidth="1"/>
    <col min="5151" max="5151" width="12.42578125" customWidth="1"/>
    <col min="5152" max="5164" width="6.7109375" customWidth="1"/>
    <col min="5165" max="5165" width="3.7109375" customWidth="1"/>
    <col min="5166" max="5166" width="12.42578125" customWidth="1"/>
    <col min="5167" max="5179" width="6.7109375" customWidth="1"/>
    <col min="5377" max="5377" width="12.42578125" customWidth="1"/>
    <col min="5379" max="5381" width="9.42578125" bestFit="1" customWidth="1"/>
    <col min="5382" max="5390" width="6.7109375" customWidth="1"/>
    <col min="5391" max="5391" width="3.7109375" customWidth="1"/>
    <col min="5392" max="5392" width="12.42578125" customWidth="1"/>
    <col min="5393" max="5405" width="6.7109375" customWidth="1"/>
    <col min="5406" max="5406" width="3.7109375" customWidth="1"/>
    <col min="5407" max="5407" width="12.42578125" customWidth="1"/>
    <col min="5408" max="5420" width="6.7109375" customWidth="1"/>
    <col min="5421" max="5421" width="3.7109375" customWidth="1"/>
    <col min="5422" max="5422" width="12.42578125" customWidth="1"/>
    <col min="5423" max="5435" width="6.7109375" customWidth="1"/>
    <col min="5633" max="5633" width="12.42578125" customWidth="1"/>
    <col min="5635" max="5637" width="9.42578125" bestFit="1" customWidth="1"/>
    <col min="5638" max="5646" width="6.7109375" customWidth="1"/>
    <col min="5647" max="5647" width="3.7109375" customWidth="1"/>
    <col min="5648" max="5648" width="12.42578125" customWidth="1"/>
    <col min="5649" max="5661" width="6.7109375" customWidth="1"/>
    <col min="5662" max="5662" width="3.7109375" customWidth="1"/>
    <col min="5663" max="5663" width="12.42578125" customWidth="1"/>
    <col min="5664" max="5676" width="6.7109375" customWidth="1"/>
    <col min="5677" max="5677" width="3.7109375" customWidth="1"/>
    <col min="5678" max="5678" width="12.42578125" customWidth="1"/>
    <col min="5679" max="5691" width="6.7109375" customWidth="1"/>
    <col min="5889" max="5889" width="12.42578125" customWidth="1"/>
    <col min="5891" max="5893" width="9.42578125" bestFit="1" customWidth="1"/>
    <col min="5894" max="5902" width="6.7109375" customWidth="1"/>
    <col min="5903" max="5903" width="3.7109375" customWidth="1"/>
    <col min="5904" max="5904" width="12.42578125" customWidth="1"/>
    <col min="5905" max="5917" width="6.7109375" customWidth="1"/>
    <col min="5918" max="5918" width="3.7109375" customWidth="1"/>
    <col min="5919" max="5919" width="12.42578125" customWidth="1"/>
    <col min="5920" max="5932" width="6.7109375" customWidth="1"/>
    <col min="5933" max="5933" width="3.7109375" customWidth="1"/>
    <col min="5934" max="5934" width="12.42578125" customWidth="1"/>
    <col min="5935" max="5947" width="6.7109375" customWidth="1"/>
    <col min="6145" max="6145" width="12.42578125" customWidth="1"/>
    <col min="6147" max="6149" width="9.42578125" bestFit="1" customWidth="1"/>
    <col min="6150" max="6158" width="6.7109375" customWidth="1"/>
    <col min="6159" max="6159" width="3.7109375" customWidth="1"/>
    <col min="6160" max="6160" width="12.42578125" customWidth="1"/>
    <col min="6161" max="6173" width="6.7109375" customWidth="1"/>
    <col min="6174" max="6174" width="3.7109375" customWidth="1"/>
    <col min="6175" max="6175" width="12.42578125" customWidth="1"/>
    <col min="6176" max="6188" width="6.7109375" customWidth="1"/>
    <col min="6189" max="6189" width="3.7109375" customWidth="1"/>
    <col min="6190" max="6190" width="12.42578125" customWidth="1"/>
    <col min="6191" max="6203" width="6.7109375" customWidth="1"/>
    <col min="6401" max="6401" width="12.42578125" customWidth="1"/>
    <col min="6403" max="6405" width="9.42578125" bestFit="1" customWidth="1"/>
    <col min="6406" max="6414" width="6.7109375" customWidth="1"/>
    <col min="6415" max="6415" width="3.7109375" customWidth="1"/>
    <col min="6416" max="6416" width="12.42578125" customWidth="1"/>
    <col min="6417" max="6429" width="6.7109375" customWidth="1"/>
    <col min="6430" max="6430" width="3.7109375" customWidth="1"/>
    <col min="6431" max="6431" width="12.42578125" customWidth="1"/>
    <col min="6432" max="6444" width="6.7109375" customWidth="1"/>
    <col min="6445" max="6445" width="3.7109375" customWidth="1"/>
    <col min="6446" max="6446" width="12.42578125" customWidth="1"/>
    <col min="6447" max="6459" width="6.7109375" customWidth="1"/>
    <col min="6657" max="6657" width="12.42578125" customWidth="1"/>
    <col min="6659" max="6661" width="9.42578125" bestFit="1" customWidth="1"/>
    <col min="6662" max="6670" width="6.7109375" customWidth="1"/>
    <col min="6671" max="6671" width="3.7109375" customWidth="1"/>
    <col min="6672" max="6672" width="12.42578125" customWidth="1"/>
    <col min="6673" max="6685" width="6.7109375" customWidth="1"/>
    <col min="6686" max="6686" width="3.7109375" customWidth="1"/>
    <col min="6687" max="6687" width="12.42578125" customWidth="1"/>
    <col min="6688" max="6700" width="6.7109375" customWidth="1"/>
    <col min="6701" max="6701" width="3.7109375" customWidth="1"/>
    <col min="6702" max="6702" width="12.42578125" customWidth="1"/>
    <col min="6703" max="6715" width="6.7109375" customWidth="1"/>
    <col min="6913" max="6913" width="12.42578125" customWidth="1"/>
    <col min="6915" max="6917" width="9.42578125" bestFit="1" customWidth="1"/>
    <col min="6918" max="6926" width="6.7109375" customWidth="1"/>
    <col min="6927" max="6927" width="3.7109375" customWidth="1"/>
    <col min="6928" max="6928" width="12.42578125" customWidth="1"/>
    <col min="6929" max="6941" width="6.7109375" customWidth="1"/>
    <col min="6942" max="6942" width="3.7109375" customWidth="1"/>
    <col min="6943" max="6943" width="12.42578125" customWidth="1"/>
    <col min="6944" max="6956" width="6.7109375" customWidth="1"/>
    <col min="6957" max="6957" width="3.7109375" customWidth="1"/>
    <col min="6958" max="6958" width="12.42578125" customWidth="1"/>
    <col min="6959" max="6971" width="6.7109375" customWidth="1"/>
    <col min="7169" max="7169" width="12.42578125" customWidth="1"/>
    <col min="7171" max="7173" width="9.42578125" bestFit="1" customWidth="1"/>
    <col min="7174" max="7182" width="6.7109375" customWidth="1"/>
    <col min="7183" max="7183" width="3.7109375" customWidth="1"/>
    <col min="7184" max="7184" width="12.42578125" customWidth="1"/>
    <col min="7185" max="7197" width="6.7109375" customWidth="1"/>
    <col min="7198" max="7198" width="3.7109375" customWidth="1"/>
    <col min="7199" max="7199" width="12.42578125" customWidth="1"/>
    <col min="7200" max="7212" width="6.7109375" customWidth="1"/>
    <col min="7213" max="7213" width="3.7109375" customWidth="1"/>
    <col min="7214" max="7214" width="12.42578125" customWidth="1"/>
    <col min="7215" max="7227" width="6.7109375" customWidth="1"/>
    <col min="7425" max="7425" width="12.42578125" customWidth="1"/>
    <col min="7427" max="7429" width="9.42578125" bestFit="1" customWidth="1"/>
    <col min="7430" max="7438" width="6.7109375" customWidth="1"/>
    <col min="7439" max="7439" width="3.7109375" customWidth="1"/>
    <col min="7440" max="7440" width="12.42578125" customWidth="1"/>
    <col min="7441" max="7453" width="6.7109375" customWidth="1"/>
    <col min="7454" max="7454" width="3.7109375" customWidth="1"/>
    <col min="7455" max="7455" width="12.42578125" customWidth="1"/>
    <col min="7456" max="7468" width="6.7109375" customWidth="1"/>
    <col min="7469" max="7469" width="3.7109375" customWidth="1"/>
    <col min="7470" max="7470" width="12.42578125" customWidth="1"/>
    <col min="7471" max="7483" width="6.7109375" customWidth="1"/>
    <col min="7681" max="7681" width="12.42578125" customWidth="1"/>
    <col min="7683" max="7685" width="9.42578125" bestFit="1" customWidth="1"/>
    <col min="7686" max="7694" width="6.7109375" customWidth="1"/>
    <col min="7695" max="7695" width="3.7109375" customWidth="1"/>
    <col min="7696" max="7696" width="12.42578125" customWidth="1"/>
    <col min="7697" max="7709" width="6.7109375" customWidth="1"/>
    <col min="7710" max="7710" width="3.7109375" customWidth="1"/>
    <col min="7711" max="7711" width="12.42578125" customWidth="1"/>
    <col min="7712" max="7724" width="6.7109375" customWidth="1"/>
    <col min="7725" max="7725" width="3.7109375" customWidth="1"/>
    <col min="7726" max="7726" width="12.42578125" customWidth="1"/>
    <col min="7727" max="7739" width="6.7109375" customWidth="1"/>
    <col min="7937" max="7937" width="12.42578125" customWidth="1"/>
    <col min="7939" max="7941" width="9.42578125" bestFit="1" customWidth="1"/>
    <col min="7942" max="7950" width="6.7109375" customWidth="1"/>
    <col min="7951" max="7951" width="3.7109375" customWidth="1"/>
    <col min="7952" max="7952" width="12.42578125" customWidth="1"/>
    <col min="7953" max="7965" width="6.7109375" customWidth="1"/>
    <col min="7966" max="7966" width="3.7109375" customWidth="1"/>
    <col min="7967" max="7967" width="12.42578125" customWidth="1"/>
    <col min="7968" max="7980" width="6.7109375" customWidth="1"/>
    <col min="7981" max="7981" width="3.7109375" customWidth="1"/>
    <col min="7982" max="7982" width="12.42578125" customWidth="1"/>
    <col min="7983" max="7995" width="6.7109375" customWidth="1"/>
    <col min="8193" max="8193" width="12.42578125" customWidth="1"/>
    <col min="8195" max="8197" width="9.42578125" bestFit="1" customWidth="1"/>
    <col min="8198" max="8206" width="6.7109375" customWidth="1"/>
    <col min="8207" max="8207" width="3.7109375" customWidth="1"/>
    <col min="8208" max="8208" width="12.42578125" customWidth="1"/>
    <col min="8209" max="8221" width="6.7109375" customWidth="1"/>
    <col min="8222" max="8222" width="3.7109375" customWidth="1"/>
    <col min="8223" max="8223" width="12.42578125" customWidth="1"/>
    <col min="8224" max="8236" width="6.7109375" customWidth="1"/>
    <col min="8237" max="8237" width="3.7109375" customWidth="1"/>
    <col min="8238" max="8238" width="12.42578125" customWidth="1"/>
    <col min="8239" max="8251" width="6.7109375" customWidth="1"/>
    <col min="8449" max="8449" width="12.42578125" customWidth="1"/>
    <col min="8451" max="8453" width="9.42578125" bestFit="1" customWidth="1"/>
    <col min="8454" max="8462" width="6.7109375" customWidth="1"/>
    <col min="8463" max="8463" width="3.7109375" customWidth="1"/>
    <col min="8464" max="8464" width="12.42578125" customWidth="1"/>
    <col min="8465" max="8477" width="6.7109375" customWidth="1"/>
    <col min="8478" max="8478" width="3.7109375" customWidth="1"/>
    <col min="8479" max="8479" width="12.42578125" customWidth="1"/>
    <col min="8480" max="8492" width="6.7109375" customWidth="1"/>
    <col min="8493" max="8493" width="3.7109375" customWidth="1"/>
    <col min="8494" max="8494" width="12.42578125" customWidth="1"/>
    <col min="8495" max="8507" width="6.7109375" customWidth="1"/>
    <col min="8705" max="8705" width="12.42578125" customWidth="1"/>
    <col min="8707" max="8709" width="9.42578125" bestFit="1" customWidth="1"/>
    <col min="8710" max="8718" width="6.7109375" customWidth="1"/>
    <col min="8719" max="8719" width="3.7109375" customWidth="1"/>
    <col min="8720" max="8720" width="12.42578125" customWidth="1"/>
    <col min="8721" max="8733" width="6.7109375" customWidth="1"/>
    <col min="8734" max="8734" width="3.7109375" customWidth="1"/>
    <col min="8735" max="8735" width="12.42578125" customWidth="1"/>
    <col min="8736" max="8748" width="6.7109375" customWidth="1"/>
    <col min="8749" max="8749" width="3.7109375" customWidth="1"/>
    <col min="8750" max="8750" width="12.42578125" customWidth="1"/>
    <col min="8751" max="8763" width="6.7109375" customWidth="1"/>
    <col min="8961" max="8961" width="12.42578125" customWidth="1"/>
    <col min="8963" max="8965" width="9.42578125" bestFit="1" customWidth="1"/>
    <col min="8966" max="8974" width="6.7109375" customWidth="1"/>
    <col min="8975" max="8975" width="3.7109375" customWidth="1"/>
    <col min="8976" max="8976" width="12.42578125" customWidth="1"/>
    <col min="8977" max="8989" width="6.7109375" customWidth="1"/>
    <col min="8990" max="8990" width="3.7109375" customWidth="1"/>
    <col min="8991" max="8991" width="12.42578125" customWidth="1"/>
    <col min="8992" max="9004" width="6.7109375" customWidth="1"/>
    <col min="9005" max="9005" width="3.7109375" customWidth="1"/>
    <col min="9006" max="9006" width="12.42578125" customWidth="1"/>
    <col min="9007" max="9019" width="6.7109375" customWidth="1"/>
    <col min="9217" max="9217" width="12.42578125" customWidth="1"/>
    <col min="9219" max="9221" width="9.42578125" bestFit="1" customWidth="1"/>
    <col min="9222" max="9230" width="6.7109375" customWidth="1"/>
    <col min="9231" max="9231" width="3.7109375" customWidth="1"/>
    <col min="9232" max="9232" width="12.42578125" customWidth="1"/>
    <col min="9233" max="9245" width="6.7109375" customWidth="1"/>
    <col min="9246" max="9246" width="3.7109375" customWidth="1"/>
    <col min="9247" max="9247" width="12.42578125" customWidth="1"/>
    <col min="9248" max="9260" width="6.7109375" customWidth="1"/>
    <col min="9261" max="9261" width="3.7109375" customWidth="1"/>
    <col min="9262" max="9262" width="12.42578125" customWidth="1"/>
    <col min="9263" max="9275" width="6.7109375" customWidth="1"/>
    <col min="9473" max="9473" width="12.42578125" customWidth="1"/>
    <col min="9475" max="9477" width="9.42578125" bestFit="1" customWidth="1"/>
    <col min="9478" max="9486" width="6.7109375" customWidth="1"/>
    <col min="9487" max="9487" width="3.7109375" customWidth="1"/>
    <col min="9488" max="9488" width="12.42578125" customWidth="1"/>
    <col min="9489" max="9501" width="6.7109375" customWidth="1"/>
    <col min="9502" max="9502" width="3.7109375" customWidth="1"/>
    <col min="9503" max="9503" width="12.42578125" customWidth="1"/>
    <col min="9504" max="9516" width="6.7109375" customWidth="1"/>
    <col min="9517" max="9517" width="3.7109375" customWidth="1"/>
    <col min="9518" max="9518" width="12.42578125" customWidth="1"/>
    <col min="9519" max="9531" width="6.7109375" customWidth="1"/>
    <col min="9729" max="9729" width="12.42578125" customWidth="1"/>
    <col min="9731" max="9733" width="9.42578125" bestFit="1" customWidth="1"/>
    <col min="9734" max="9742" width="6.7109375" customWidth="1"/>
    <col min="9743" max="9743" width="3.7109375" customWidth="1"/>
    <col min="9744" max="9744" width="12.42578125" customWidth="1"/>
    <col min="9745" max="9757" width="6.7109375" customWidth="1"/>
    <col min="9758" max="9758" width="3.7109375" customWidth="1"/>
    <col min="9759" max="9759" width="12.42578125" customWidth="1"/>
    <col min="9760" max="9772" width="6.7109375" customWidth="1"/>
    <col min="9773" max="9773" width="3.7109375" customWidth="1"/>
    <col min="9774" max="9774" width="12.42578125" customWidth="1"/>
    <col min="9775" max="9787" width="6.7109375" customWidth="1"/>
    <col min="9985" max="9985" width="12.42578125" customWidth="1"/>
    <col min="9987" max="9989" width="9.42578125" bestFit="1" customWidth="1"/>
    <col min="9990" max="9998" width="6.7109375" customWidth="1"/>
    <col min="9999" max="9999" width="3.7109375" customWidth="1"/>
    <col min="10000" max="10000" width="12.42578125" customWidth="1"/>
    <col min="10001" max="10013" width="6.7109375" customWidth="1"/>
    <col min="10014" max="10014" width="3.7109375" customWidth="1"/>
    <col min="10015" max="10015" width="12.42578125" customWidth="1"/>
    <col min="10016" max="10028" width="6.7109375" customWidth="1"/>
    <col min="10029" max="10029" width="3.7109375" customWidth="1"/>
    <col min="10030" max="10030" width="12.42578125" customWidth="1"/>
    <col min="10031" max="10043" width="6.7109375" customWidth="1"/>
    <col min="10241" max="10241" width="12.42578125" customWidth="1"/>
    <col min="10243" max="10245" width="9.42578125" bestFit="1" customWidth="1"/>
    <col min="10246" max="10254" width="6.7109375" customWidth="1"/>
    <col min="10255" max="10255" width="3.7109375" customWidth="1"/>
    <col min="10256" max="10256" width="12.42578125" customWidth="1"/>
    <col min="10257" max="10269" width="6.7109375" customWidth="1"/>
    <col min="10270" max="10270" width="3.7109375" customWidth="1"/>
    <col min="10271" max="10271" width="12.42578125" customWidth="1"/>
    <col min="10272" max="10284" width="6.7109375" customWidth="1"/>
    <col min="10285" max="10285" width="3.7109375" customWidth="1"/>
    <col min="10286" max="10286" width="12.42578125" customWidth="1"/>
    <col min="10287" max="10299" width="6.7109375" customWidth="1"/>
    <col min="10497" max="10497" width="12.42578125" customWidth="1"/>
    <col min="10499" max="10501" width="9.42578125" bestFit="1" customWidth="1"/>
    <col min="10502" max="10510" width="6.7109375" customWidth="1"/>
    <col min="10511" max="10511" width="3.7109375" customWidth="1"/>
    <col min="10512" max="10512" width="12.42578125" customWidth="1"/>
    <col min="10513" max="10525" width="6.7109375" customWidth="1"/>
    <col min="10526" max="10526" width="3.7109375" customWidth="1"/>
    <col min="10527" max="10527" width="12.42578125" customWidth="1"/>
    <col min="10528" max="10540" width="6.7109375" customWidth="1"/>
    <col min="10541" max="10541" width="3.7109375" customWidth="1"/>
    <col min="10542" max="10542" width="12.42578125" customWidth="1"/>
    <col min="10543" max="10555" width="6.7109375" customWidth="1"/>
    <col min="10753" max="10753" width="12.42578125" customWidth="1"/>
    <col min="10755" max="10757" width="9.42578125" bestFit="1" customWidth="1"/>
    <col min="10758" max="10766" width="6.7109375" customWidth="1"/>
    <col min="10767" max="10767" width="3.7109375" customWidth="1"/>
    <col min="10768" max="10768" width="12.42578125" customWidth="1"/>
    <col min="10769" max="10781" width="6.7109375" customWidth="1"/>
    <col min="10782" max="10782" width="3.7109375" customWidth="1"/>
    <col min="10783" max="10783" width="12.42578125" customWidth="1"/>
    <col min="10784" max="10796" width="6.7109375" customWidth="1"/>
    <col min="10797" max="10797" width="3.7109375" customWidth="1"/>
    <col min="10798" max="10798" width="12.42578125" customWidth="1"/>
    <col min="10799" max="10811" width="6.7109375" customWidth="1"/>
    <col min="11009" max="11009" width="12.42578125" customWidth="1"/>
    <col min="11011" max="11013" width="9.42578125" bestFit="1" customWidth="1"/>
    <col min="11014" max="11022" width="6.7109375" customWidth="1"/>
    <col min="11023" max="11023" width="3.7109375" customWidth="1"/>
    <col min="11024" max="11024" width="12.42578125" customWidth="1"/>
    <col min="11025" max="11037" width="6.7109375" customWidth="1"/>
    <col min="11038" max="11038" width="3.7109375" customWidth="1"/>
    <col min="11039" max="11039" width="12.42578125" customWidth="1"/>
    <col min="11040" max="11052" width="6.7109375" customWidth="1"/>
    <col min="11053" max="11053" width="3.7109375" customWidth="1"/>
    <col min="11054" max="11054" width="12.42578125" customWidth="1"/>
    <col min="11055" max="11067" width="6.7109375" customWidth="1"/>
    <col min="11265" max="11265" width="12.42578125" customWidth="1"/>
    <col min="11267" max="11269" width="9.42578125" bestFit="1" customWidth="1"/>
    <col min="11270" max="11278" width="6.7109375" customWidth="1"/>
    <col min="11279" max="11279" width="3.7109375" customWidth="1"/>
    <col min="11280" max="11280" width="12.42578125" customWidth="1"/>
    <col min="11281" max="11293" width="6.7109375" customWidth="1"/>
    <col min="11294" max="11294" width="3.7109375" customWidth="1"/>
    <col min="11295" max="11295" width="12.42578125" customWidth="1"/>
    <col min="11296" max="11308" width="6.7109375" customWidth="1"/>
    <col min="11309" max="11309" width="3.7109375" customWidth="1"/>
    <col min="11310" max="11310" width="12.42578125" customWidth="1"/>
    <col min="11311" max="11323" width="6.7109375" customWidth="1"/>
    <col min="11521" max="11521" width="12.42578125" customWidth="1"/>
    <col min="11523" max="11525" width="9.42578125" bestFit="1" customWidth="1"/>
    <col min="11526" max="11534" width="6.7109375" customWidth="1"/>
    <col min="11535" max="11535" width="3.7109375" customWidth="1"/>
    <col min="11536" max="11536" width="12.42578125" customWidth="1"/>
    <col min="11537" max="11549" width="6.7109375" customWidth="1"/>
    <col min="11550" max="11550" width="3.7109375" customWidth="1"/>
    <col min="11551" max="11551" width="12.42578125" customWidth="1"/>
    <col min="11552" max="11564" width="6.7109375" customWidth="1"/>
    <col min="11565" max="11565" width="3.7109375" customWidth="1"/>
    <col min="11566" max="11566" width="12.42578125" customWidth="1"/>
    <col min="11567" max="11579" width="6.7109375" customWidth="1"/>
    <col min="11777" max="11777" width="12.42578125" customWidth="1"/>
    <col min="11779" max="11781" width="9.42578125" bestFit="1" customWidth="1"/>
    <col min="11782" max="11790" width="6.7109375" customWidth="1"/>
    <col min="11791" max="11791" width="3.7109375" customWidth="1"/>
    <col min="11792" max="11792" width="12.42578125" customWidth="1"/>
    <col min="11793" max="11805" width="6.7109375" customWidth="1"/>
    <col min="11806" max="11806" width="3.7109375" customWidth="1"/>
    <col min="11807" max="11807" width="12.42578125" customWidth="1"/>
    <col min="11808" max="11820" width="6.7109375" customWidth="1"/>
    <col min="11821" max="11821" width="3.7109375" customWidth="1"/>
    <col min="11822" max="11822" width="12.42578125" customWidth="1"/>
    <col min="11823" max="11835" width="6.7109375" customWidth="1"/>
    <col min="12033" max="12033" width="12.42578125" customWidth="1"/>
    <col min="12035" max="12037" width="9.42578125" bestFit="1" customWidth="1"/>
    <col min="12038" max="12046" width="6.7109375" customWidth="1"/>
    <col min="12047" max="12047" width="3.7109375" customWidth="1"/>
    <col min="12048" max="12048" width="12.42578125" customWidth="1"/>
    <col min="12049" max="12061" width="6.7109375" customWidth="1"/>
    <col min="12062" max="12062" width="3.7109375" customWidth="1"/>
    <col min="12063" max="12063" width="12.42578125" customWidth="1"/>
    <col min="12064" max="12076" width="6.7109375" customWidth="1"/>
    <col min="12077" max="12077" width="3.7109375" customWidth="1"/>
    <col min="12078" max="12078" width="12.42578125" customWidth="1"/>
    <col min="12079" max="12091" width="6.7109375" customWidth="1"/>
    <col min="12289" max="12289" width="12.42578125" customWidth="1"/>
    <col min="12291" max="12293" width="9.42578125" bestFit="1" customWidth="1"/>
    <col min="12294" max="12302" width="6.7109375" customWidth="1"/>
    <col min="12303" max="12303" width="3.7109375" customWidth="1"/>
    <col min="12304" max="12304" width="12.42578125" customWidth="1"/>
    <col min="12305" max="12317" width="6.7109375" customWidth="1"/>
    <col min="12318" max="12318" width="3.7109375" customWidth="1"/>
    <col min="12319" max="12319" width="12.42578125" customWidth="1"/>
    <col min="12320" max="12332" width="6.7109375" customWidth="1"/>
    <col min="12333" max="12333" width="3.7109375" customWidth="1"/>
    <col min="12334" max="12334" width="12.42578125" customWidth="1"/>
    <col min="12335" max="12347" width="6.7109375" customWidth="1"/>
    <col min="12545" max="12545" width="12.42578125" customWidth="1"/>
    <col min="12547" max="12549" width="9.42578125" bestFit="1" customWidth="1"/>
    <col min="12550" max="12558" width="6.7109375" customWidth="1"/>
    <col min="12559" max="12559" width="3.7109375" customWidth="1"/>
    <col min="12560" max="12560" width="12.42578125" customWidth="1"/>
    <col min="12561" max="12573" width="6.7109375" customWidth="1"/>
    <col min="12574" max="12574" width="3.7109375" customWidth="1"/>
    <col min="12575" max="12575" width="12.42578125" customWidth="1"/>
    <col min="12576" max="12588" width="6.7109375" customWidth="1"/>
    <col min="12589" max="12589" width="3.7109375" customWidth="1"/>
    <col min="12590" max="12590" width="12.42578125" customWidth="1"/>
    <col min="12591" max="12603" width="6.7109375" customWidth="1"/>
    <col min="12801" max="12801" width="12.42578125" customWidth="1"/>
    <col min="12803" max="12805" width="9.42578125" bestFit="1" customWidth="1"/>
    <col min="12806" max="12814" width="6.7109375" customWidth="1"/>
    <col min="12815" max="12815" width="3.7109375" customWidth="1"/>
    <col min="12816" max="12816" width="12.42578125" customWidth="1"/>
    <col min="12817" max="12829" width="6.7109375" customWidth="1"/>
    <col min="12830" max="12830" width="3.7109375" customWidth="1"/>
    <col min="12831" max="12831" width="12.42578125" customWidth="1"/>
    <col min="12832" max="12844" width="6.7109375" customWidth="1"/>
    <col min="12845" max="12845" width="3.7109375" customWidth="1"/>
    <col min="12846" max="12846" width="12.42578125" customWidth="1"/>
    <col min="12847" max="12859" width="6.7109375" customWidth="1"/>
    <col min="13057" max="13057" width="12.42578125" customWidth="1"/>
    <col min="13059" max="13061" width="9.42578125" bestFit="1" customWidth="1"/>
    <col min="13062" max="13070" width="6.7109375" customWidth="1"/>
    <col min="13071" max="13071" width="3.7109375" customWidth="1"/>
    <col min="13072" max="13072" width="12.42578125" customWidth="1"/>
    <col min="13073" max="13085" width="6.7109375" customWidth="1"/>
    <col min="13086" max="13086" width="3.7109375" customWidth="1"/>
    <col min="13087" max="13087" width="12.42578125" customWidth="1"/>
    <col min="13088" max="13100" width="6.7109375" customWidth="1"/>
    <col min="13101" max="13101" width="3.7109375" customWidth="1"/>
    <col min="13102" max="13102" width="12.42578125" customWidth="1"/>
    <col min="13103" max="13115" width="6.7109375" customWidth="1"/>
    <col min="13313" max="13313" width="12.42578125" customWidth="1"/>
    <col min="13315" max="13317" width="9.42578125" bestFit="1" customWidth="1"/>
    <col min="13318" max="13326" width="6.7109375" customWidth="1"/>
    <col min="13327" max="13327" width="3.7109375" customWidth="1"/>
    <col min="13328" max="13328" width="12.42578125" customWidth="1"/>
    <col min="13329" max="13341" width="6.7109375" customWidth="1"/>
    <col min="13342" max="13342" width="3.7109375" customWidth="1"/>
    <col min="13343" max="13343" width="12.42578125" customWidth="1"/>
    <col min="13344" max="13356" width="6.7109375" customWidth="1"/>
    <col min="13357" max="13357" width="3.7109375" customWidth="1"/>
    <col min="13358" max="13358" width="12.42578125" customWidth="1"/>
    <col min="13359" max="13371" width="6.7109375" customWidth="1"/>
    <col min="13569" max="13569" width="12.42578125" customWidth="1"/>
    <col min="13571" max="13573" width="9.42578125" bestFit="1" customWidth="1"/>
    <col min="13574" max="13582" width="6.7109375" customWidth="1"/>
    <col min="13583" max="13583" width="3.7109375" customWidth="1"/>
    <col min="13584" max="13584" width="12.42578125" customWidth="1"/>
    <col min="13585" max="13597" width="6.7109375" customWidth="1"/>
    <col min="13598" max="13598" width="3.7109375" customWidth="1"/>
    <col min="13599" max="13599" width="12.42578125" customWidth="1"/>
    <col min="13600" max="13612" width="6.7109375" customWidth="1"/>
    <col min="13613" max="13613" width="3.7109375" customWidth="1"/>
    <col min="13614" max="13614" width="12.42578125" customWidth="1"/>
    <col min="13615" max="13627" width="6.7109375" customWidth="1"/>
    <col min="13825" max="13825" width="12.42578125" customWidth="1"/>
    <col min="13827" max="13829" width="9.42578125" bestFit="1" customWidth="1"/>
    <col min="13830" max="13838" width="6.7109375" customWidth="1"/>
    <col min="13839" max="13839" width="3.7109375" customWidth="1"/>
    <col min="13840" max="13840" width="12.42578125" customWidth="1"/>
    <col min="13841" max="13853" width="6.7109375" customWidth="1"/>
    <col min="13854" max="13854" width="3.7109375" customWidth="1"/>
    <col min="13855" max="13855" width="12.42578125" customWidth="1"/>
    <col min="13856" max="13868" width="6.7109375" customWidth="1"/>
    <col min="13869" max="13869" width="3.7109375" customWidth="1"/>
    <col min="13870" max="13870" width="12.42578125" customWidth="1"/>
    <col min="13871" max="13883" width="6.7109375" customWidth="1"/>
    <col min="14081" max="14081" width="12.42578125" customWidth="1"/>
    <col min="14083" max="14085" width="9.42578125" bestFit="1" customWidth="1"/>
    <col min="14086" max="14094" width="6.7109375" customWidth="1"/>
    <col min="14095" max="14095" width="3.7109375" customWidth="1"/>
    <col min="14096" max="14096" width="12.42578125" customWidth="1"/>
    <col min="14097" max="14109" width="6.7109375" customWidth="1"/>
    <col min="14110" max="14110" width="3.7109375" customWidth="1"/>
    <col min="14111" max="14111" width="12.42578125" customWidth="1"/>
    <col min="14112" max="14124" width="6.7109375" customWidth="1"/>
    <col min="14125" max="14125" width="3.7109375" customWidth="1"/>
    <col min="14126" max="14126" width="12.42578125" customWidth="1"/>
    <col min="14127" max="14139" width="6.7109375" customWidth="1"/>
    <col min="14337" max="14337" width="12.42578125" customWidth="1"/>
    <col min="14339" max="14341" width="9.42578125" bestFit="1" customWidth="1"/>
    <col min="14342" max="14350" width="6.7109375" customWidth="1"/>
    <col min="14351" max="14351" width="3.7109375" customWidth="1"/>
    <col min="14352" max="14352" width="12.42578125" customWidth="1"/>
    <col min="14353" max="14365" width="6.7109375" customWidth="1"/>
    <col min="14366" max="14366" width="3.7109375" customWidth="1"/>
    <col min="14367" max="14367" width="12.42578125" customWidth="1"/>
    <col min="14368" max="14380" width="6.7109375" customWidth="1"/>
    <col min="14381" max="14381" width="3.7109375" customWidth="1"/>
    <col min="14382" max="14382" width="12.42578125" customWidth="1"/>
    <col min="14383" max="14395" width="6.7109375" customWidth="1"/>
    <col min="14593" max="14593" width="12.42578125" customWidth="1"/>
    <col min="14595" max="14597" width="9.42578125" bestFit="1" customWidth="1"/>
    <col min="14598" max="14606" width="6.7109375" customWidth="1"/>
    <col min="14607" max="14607" width="3.7109375" customWidth="1"/>
    <col min="14608" max="14608" width="12.42578125" customWidth="1"/>
    <col min="14609" max="14621" width="6.7109375" customWidth="1"/>
    <col min="14622" max="14622" width="3.7109375" customWidth="1"/>
    <col min="14623" max="14623" width="12.42578125" customWidth="1"/>
    <col min="14624" max="14636" width="6.7109375" customWidth="1"/>
    <col min="14637" max="14637" width="3.7109375" customWidth="1"/>
    <col min="14638" max="14638" width="12.42578125" customWidth="1"/>
    <col min="14639" max="14651" width="6.7109375" customWidth="1"/>
    <col min="14849" max="14849" width="12.42578125" customWidth="1"/>
    <col min="14851" max="14853" width="9.42578125" bestFit="1" customWidth="1"/>
    <col min="14854" max="14862" width="6.7109375" customWidth="1"/>
    <col min="14863" max="14863" width="3.7109375" customWidth="1"/>
    <col min="14864" max="14864" width="12.42578125" customWidth="1"/>
    <col min="14865" max="14877" width="6.7109375" customWidth="1"/>
    <col min="14878" max="14878" width="3.7109375" customWidth="1"/>
    <col min="14879" max="14879" width="12.42578125" customWidth="1"/>
    <col min="14880" max="14892" width="6.7109375" customWidth="1"/>
    <col min="14893" max="14893" width="3.7109375" customWidth="1"/>
    <col min="14894" max="14894" width="12.42578125" customWidth="1"/>
    <col min="14895" max="14907" width="6.7109375" customWidth="1"/>
    <col min="15105" max="15105" width="12.42578125" customWidth="1"/>
    <col min="15107" max="15109" width="9.42578125" bestFit="1" customWidth="1"/>
    <col min="15110" max="15118" width="6.7109375" customWidth="1"/>
    <col min="15119" max="15119" width="3.7109375" customWidth="1"/>
    <col min="15120" max="15120" width="12.42578125" customWidth="1"/>
    <col min="15121" max="15133" width="6.7109375" customWidth="1"/>
    <col min="15134" max="15134" width="3.7109375" customWidth="1"/>
    <col min="15135" max="15135" width="12.42578125" customWidth="1"/>
    <col min="15136" max="15148" width="6.7109375" customWidth="1"/>
    <col min="15149" max="15149" width="3.7109375" customWidth="1"/>
    <col min="15150" max="15150" width="12.42578125" customWidth="1"/>
    <col min="15151" max="15163" width="6.7109375" customWidth="1"/>
    <col min="15361" max="15361" width="12.42578125" customWidth="1"/>
    <col min="15363" max="15365" width="9.42578125" bestFit="1" customWidth="1"/>
    <col min="15366" max="15374" width="6.7109375" customWidth="1"/>
    <col min="15375" max="15375" width="3.7109375" customWidth="1"/>
    <col min="15376" max="15376" width="12.42578125" customWidth="1"/>
    <col min="15377" max="15389" width="6.7109375" customWidth="1"/>
    <col min="15390" max="15390" width="3.7109375" customWidth="1"/>
    <col min="15391" max="15391" width="12.42578125" customWidth="1"/>
    <col min="15392" max="15404" width="6.7109375" customWidth="1"/>
    <col min="15405" max="15405" width="3.7109375" customWidth="1"/>
    <col min="15406" max="15406" width="12.42578125" customWidth="1"/>
    <col min="15407" max="15419" width="6.7109375" customWidth="1"/>
    <col min="15617" max="15617" width="12.42578125" customWidth="1"/>
    <col min="15619" max="15621" width="9.42578125" bestFit="1" customWidth="1"/>
    <col min="15622" max="15630" width="6.7109375" customWidth="1"/>
    <col min="15631" max="15631" width="3.7109375" customWidth="1"/>
    <col min="15632" max="15632" width="12.42578125" customWidth="1"/>
    <col min="15633" max="15645" width="6.7109375" customWidth="1"/>
    <col min="15646" max="15646" width="3.7109375" customWidth="1"/>
    <col min="15647" max="15647" width="12.42578125" customWidth="1"/>
    <col min="15648" max="15660" width="6.7109375" customWidth="1"/>
    <col min="15661" max="15661" width="3.7109375" customWidth="1"/>
    <col min="15662" max="15662" width="12.42578125" customWidth="1"/>
    <col min="15663" max="15675" width="6.7109375" customWidth="1"/>
    <col min="15873" max="15873" width="12.42578125" customWidth="1"/>
    <col min="15875" max="15877" width="9.42578125" bestFit="1" customWidth="1"/>
    <col min="15878" max="15886" width="6.7109375" customWidth="1"/>
    <col min="15887" max="15887" width="3.7109375" customWidth="1"/>
    <col min="15888" max="15888" width="12.42578125" customWidth="1"/>
    <col min="15889" max="15901" width="6.7109375" customWidth="1"/>
    <col min="15902" max="15902" width="3.7109375" customWidth="1"/>
    <col min="15903" max="15903" width="12.42578125" customWidth="1"/>
    <col min="15904" max="15916" width="6.7109375" customWidth="1"/>
    <col min="15917" max="15917" width="3.7109375" customWidth="1"/>
    <col min="15918" max="15918" width="12.42578125" customWidth="1"/>
    <col min="15919" max="15931" width="6.7109375" customWidth="1"/>
    <col min="16129" max="16129" width="12.42578125" customWidth="1"/>
    <col min="16131" max="16133" width="9.42578125" bestFit="1" customWidth="1"/>
    <col min="16134" max="16142" width="6.7109375" customWidth="1"/>
    <col min="16143" max="16143" width="3.7109375" customWidth="1"/>
    <col min="16144" max="16144" width="12.42578125" customWidth="1"/>
    <col min="16145" max="16157" width="6.7109375" customWidth="1"/>
    <col min="16158" max="16158" width="3.7109375" customWidth="1"/>
    <col min="16159" max="16159" width="12.42578125" customWidth="1"/>
    <col min="16160" max="16172" width="6.7109375" customWidth="1"/>
    <col min="16173" max="16173" width="3.7109375" customWidth="1"/>
    <col min="16174" max="16174" width="12.42578125" customWidth="1"/>
    <col min="16175" max="16187" width="6.7109375" customWidth="1"/>
  </cols>
  <sheetData>
    <row r="1" spans="1:59" ht="15">
      <c r="A1" s="340" t="s">
        <v>135</v>
      </c>
      <c r="B1" s="340"/>
      <c r="C1" s="340"/>
      <c r="D1" s="340"/>
      <c r="E1" s="340"/>
      <c r="F1" s="340"/>
      <c r="G1" s="340"/>
      <c r="H1" s="340"/>
      <c r="I1" s="340"/>
      <c r="J1" s="340"/>
      <c r="K1" s="178"/>
    </row>
    <row r="2" spans="1:59" ht="16.5" thickBot="1">
      <c r="A2" s="261" t="s">
        <v>136</v>
      </c>
      <c r="B2" s="6"/>
      <c r="C2" s="11"/>
      <c r="D2" s="6"/>
      <c r="E2" s="6"/>
      <c r="F2" s="6"/>
      <c r="G2" s="6"/>
      <c r="H2" s="6"/>
      <c r="I2" s="6"/>
      <c r="J2" s="177"/>
      <c r="K2" s="178"/>
    </row>
    <row r="3" spans="1:59" ht="16.5" thickBot="1">
      <c r="A3" s="325" t="s">
        <v>106</v>
      </c>
      <c r="B3" s="375" t="str">
        <f>'START HERE'!F6</f>
        <v>EU</v>
      </c>
      <c r="C3" s="386"/>
      <c r="D3" s="376"/>
      <c r="E3" s="177"/>
      <c r="F3" s="30" t="s">
        <v>38</v>
      </c>
      <c r="G3" s="372" t="str">
        <f>'LEN F3'!F3</f>
        <v>Fleet 3 Peru &amp; Equador</v>
      </c>
      <c r="H3" s="373"/>
      <c r="I3" s="374"/>
      <c r="J3" s="177"/>
      <c r="K3" s="178"/>
    </row>
    <row r="4" spans="1:59" ht="15.75">
      <c r="A4" s="12" t="s">
        <v>18</v>
      </c>
      <c r="B4" s="375" t="str">
        <f>'START HERE'!F5</f>
        <v>Jack mackerel</v>
      </c>
      <c r="C4" s="386"/>
      <c r="D4" s="376"/>
      <c r="E4" s="177"/>
      <c r="F4" s="326"/>
      <c r="G4" s="317"/>
      <c r="H4" s="318"/>
      <c r="I4" s="336"/>
      <c r="J4" s="177"/>
      <c r="K4" s="178"/>
    </row>
    <row r="5" spans="1:59" ht="18">
      <c r="A5" s="12" t="s">
        <v>13</v>
      </c>
      <c r="B5" s="387">
        <f>'START HERE'!$K$3</f>
        <v>2010</v>
      </c>
      <c r="C5" s="388"/>
      <c r="D5" s="389"/>
      <c r="E5" s="177"/>
      <c r="F5" s="12" t="s">
        <v>39</v>
      </c>
      <c r="G5" s="324" t="s">
        <v>137</v>
      </c>
      <c r="H5" s="334"/>
      <c r="I5" s="335"/>
      <c r="J5" s="177"/>
      <c r="K5" s="178"/>
    </row>
    <row r="6" spans="1:59" ht="16.5" thickBot="1">
      <c r="A6" s="12"/>
      <c r="B6" s="11"/>
      <c r="C6" s="103"/>
      <c r="D6" s="6"/>
      <c r="F6" s="12" t="s">
        <v>14</v>
      </c>
      <c r="G6" s="380" t="str">
        <f>'START HERE'!$F8</f>
        <v>13/6/2022</v>
      </c>
      <c r="H6" s="381"/>
      <c r="I6" s="382"/>
      <c r="J6" s="177"/>
      <c r="K6" s="178"/>
    </row>
    <row r="7" spans="1:59">
      <c r="A7" s="6"/>
      <c r="B7" s="6"/>
      <c r="C7" s="6"/>
      <c r="D7" s="6"/>
      <c r="E7" s="6"/>
      <c r="F7" s="6"/>
      <c r="G7" s="6"/>
      <c r="H7" s="6"/>
      <c r="I7" s="6"/>
      <c r="J7" s="177"/>
      <c r="K7" s="178"/>
    </row>
    <row r="8" spans="1:59">
      <c r="A8" s="6"/>
      <c r="B8" s="6"/>
      <c r="C8" s="6"/>
      <c r="D8" s="6"/>
      <c r="E8" s="6"/>
      <c r="F8" s="6"/>
      <c r="G8" s="6"/>
      <c r="H8" s="6"/>
      <c r="I8" s="6"/>
      <c r="J8" s="177"/>
      <c r="K8" s="178"/>
    </row>
    <row r="9" spans="1:59" ht="16.5" customHeight="1">
      <c r="A9" s="338" t="str">
        <f>'START HERE'!$F$13</f>
        <v>fork length</v>
      </c>
      <c r="B9" s="27" t="s">
        <v>51</v>
      </c>
      <c r="C9" s="27" t="s">
        <v>30</v>
      </c>
      <c r="D9" s="27" t="s">
        <v>31</v>
      </c>
      <c r="E9" s="27" t="s">
        <v>32</v>
      </c>
      <c r="F9" s="2"/>
      <c r="G9" s="149"/>
      <c r="H9" s="149"/>
      <c r="I9" s="149"/>
      <c r="J9" s="149"/>
      <c r="K9" s="337"/>
      <c r="L9" s="149"/>
      <c r="M9" s="149"/>
      <c r="N9" s="149"/>
      <c r="P9" s="2"/>
      <c r="Q9" s="403"/>
      <c r="R9" s="403"/>
      <c r="S9" s="403"/>
      <c r="T9" s="403"/>
      <c r="U9" s="403"/>
      <c r="V9" s="403"/>
      <c r="W9" s="403"/>
      <c r="X9" s="403"/>
      <c r="Y9" s="403"/>
      <c r="Z9" s="403"/>
      <c r="AA9" s="403"/>
      <c r="AB9" s="403"/>
      <c r="AC9" s="403"/>
      <c r="AE9" s="2"/>
      <c r="AF9" s="403"/>
      <c r="AG9" s="403"/>
      <c r="AH9" s="403"/>
      <c r="AI9" s="403"/>
      <c r="AJ9" s="403"/>
      <c r="AK9" s="403"/>
      <c r="AL9" s="403"/>
      <c r="AM9" s="403"/>
      <c r="AN9" s="403"/>
      <c r="AO9" s="403"/>
      <c r="AP9" s="403"/>
      <c r="AQ9" s="403"/>
      <c r="AR9" s="403"/>
      <c r="AT9" s="2"/>
      <c r="AU9" s="403"/>
      <c r="AV9" s="403"/>
      <c r="AW9" s="403"/>
      <c r="AX9" s="403"/>
      <c r="AY9" s="403"/>
      <c r="AZ9" s="403"/>
      <c r="BA9" s="403"/>
      <c r="BB9" s="403"/>
      <c r="BC9" s="403"/>
      <c r="BD9" s="403"/>
      <c r="BE9" s="403"/>
      <c r="BF9" s="403"/>
      <c r="BG9" s="403"/>
    </row>
    <row r="10" spans="1:59" ht="18">
      <c r="A10" s="28" t="s">
        <v>42</v>
      </c>
      <c r="B10" s="181">
        <f>'START HERE'!$K$3</f>
        <v>2010</v>
      </c>
      <c r="C10" s="181">
        <f>'START HERE'!$K$3</f>
        <v>2010</v>
      </c>
      <c r="D10" s="181">
        <f>'START HERE'!$K$3</f>
        <v>2010</v>
      </c>
      <c r="E10" s="180">
        <f>'START HERE'!$K$3</f>
        <v>2010</v>
      </c>
      <c r="F10" s="327"/>
      <c r="G10" s="149"/>
      <c r="H10" s="149"/>
      <c r="I10" s="149"/>
      <c r="J10" s="149"/>
      <c r="K10" s="149"/>
      <c r="L10" s="149"/>
      <c r="M10" s="149"/>
      <c r="N10" s="149"/>
      <c r="P10" s="2"/>
      <c r="Q10" s="149"/>
      <c r="R10" s="149"/>
      <c r="S10" s="149"/>
      <c r="T10" s="149"/>
      <c r="U10" s="149"/>
      <c r="V10" s="149"/>
      <c r="W10" s="149"/>
      <c r="X10" s="149"/>
      <c r="Y10" s="149"/>
      <c r="Z10" s="149"/>
      <c r="AA10" s="149"/>
      <c r="AB10" s="149"/>
      <c r="AC10" s="149"/>
      <c r="AE10" s="2"/>
      <c r="AF10" s="149"/>
      <c r="AG10" s="149"/>
      <c r="AH10" s="149"/>
      <c r="AI10" s="149"/>
      <c r="AJ10" s="149"/>
      <c r="AK10" s="149"/>
      <c r="AL10" s="149"/>
      <c r="AM10" s="149"/>
      <c r="AN10" s="149"/>
      <c r="AO10" s="149"/>
      <c r="AP10" s="149"/>
      <c r="AQ10" s="149"/>
      <c r="AR10" s="149"/>
      <c r="AT10" s="2"/>
      <c r="AU10" s="149"/>
      <c r="AV10" s="149"/>
      <c r="AW10" s="149"/>
      <c r="AX10" s="149"/>
      <c r="AY10" s="149"/>
      <c r="AZ10" s="149"/>
      <c r="BA10" s="149"/>
      <c r="BB10" s="149"/>
      <c r="BC10" s="149"/>
      <c r="BD10" s="149"/>
      <c r="BE10" s="149"/>
      <c r="BF10" s="149"/>
      <c r="BG10" s="149"/>
    </row>
    <row r="11" spans="1:59">
      <c r="A11" s="195">
        <v>1</v>
      </c>
      <c r="B11" s="308"/>
      <c r="C11" s="309"/>
      <c r="D11" s="309"/>
      <c r="E11" s="329"/>
      <c r="P11" s="1"/>
      <c r="AE11" s="1"/>
      <c r="AT11" s="1"/>
    </row>
    <row r="12" spans="1:59">
      <c r="A12" s="195">
        <v>2</v>
      </c>
      <c r="B12" s="311"/>
      <c r="C12" s="312"/>
      <c r="D12" s="312"/>
      <c r="E12" s="330"/>
      <c r="P12" s="1"/>
      <c r="AE12" s="1"/>
      <c r="AT12" s="1"/>
    </row>
    <row r="13" spans="1:59">
      <c r="A13" s="195">
        <v>3</v>
      </c>
      <c r="B13" s="311"/>
      <c r="C13" s="312"/>
      <c r="D13" s="312"/>
      <c r="E13" s="330"/>
      <c r="P13" s="1"/>
      <c r="AE13" s="1"/>
      <c r="AT13" s="1"/>
    </row>
    <row r="14" spans="1:59">
      <c r="A14" s="195">
        <v>4</v>
      </c>
      <c r="B14" s="311"/>
      <c r="C14" s="312"/>
      <c r="D14" s="312"/>
      <c r="E14" s="330"/>
      <c r="P14" s="1"/>
      <c r="AE14" s="1"/>
      <c r="AT14" s="1"/>
    </row>
    <row r="15" spans="1:59">
      <c r="A15" s="195">
        <v>5</v>
      </c>
      <c r="B15" s="311"/>
      <c r="C15" s="312"/>
      <c r="D15" s="312"/>
      <c r="E15" s="330"/>
      <c r="P15" s="1"/>
      <c r="AE15" s="1"/>
      <c r="AT15" s="1"/>
    </row>
    <row r="16" spans="1:59">
      <c r="A16" s="195">
        <v>6</v>
      </c>
      <c r="B16" s="311"/>
      <c r="C16" s="312"/>
      <c r="D16" s="312"/>
      <c r="E16" s="330"/>
      <c r="P16" s="1"/>
      <c r="AE16" s="1"/>
      <c r="AT16" s="1"/>
    </row>
    <row r="17" spans="1:46">
      <c r="A17" s="195">
        <v>7</v>
      </c>
      <c r="B17" s="311"/>
      <c r="C17" s="312"/>
      <c r="D17" s="312"/>
      <c r="E17" s="330"/>
      <c r="P17" s="1"/>
      <c r="AE17" s="1"/>
      <c r="AT17" s="1"/>
    </row>
    <row r="18" spans="1:46">
      <c r="A18" s="195">
        <v>8</v>
      </c>
      <c r="B18" s="311"/>
      <c r="C18" s="312"/>
      <c r="D18" s="312"/>
      <c r="E18" s="330"/>
      <c r="P18" s="1"/>
      <c r="AE18" s="1"/>
      <c r="AT18" s="1"/>
    </row>
    <row r="19" spans="1:46">
      <c r="A19" s="195">
        <v>9</v>
      </c>
      <c r="B19" s="311"/>
      <c r="C19" s="312"/>
      <c r="D19" s="312"/>
      <c r="E19" s="330"/>
      <c r="P19" s="1"/>
      <c r="AE19" s="1"/>
      <c r="AT19" s="1"/>
    </row>
    <row r="20" spans="1:46">
      <c r="A20" s="195">
        <v>10</v>
      </c>
      <c r="B20" s="311"/>
      <c r="C20" s="312"/>
      <c r="D20" s="312"/>
      <c r="E20" s="330"/>
      <c r="P20" s="1"/>
      <c r="AE20" s="1"/>
      <c r="AT20" s="1"/>
    </row>
    <row r="21" spans="1:46">
      <c r="A21" s="195">
        <v>11</v>
      </c>
      <c r="B21" s="311"/>
      <c r="C21" s="312"/>
      <c r="D21" s="312"/>
      <c r="E21" s="330"/>
      <c r="P21" s="1"/>
      <c r="AE21" s="1"/>
      <c r="AT21" s="1"/>
    </row>
    <row r="22" spans="1:46">
      <c r="A22" s="195">
        <v>12</v>
      </c>
      <c r="B22" s="311"/>
      <c r="C22" s="312"/>
      <c r="D22" s="312"/>
      <c r="E22" s="330"/>
      <c r="P22" s="1"/>
      <c r="AE22" s="1"/>
      <c r="AT22" s="1"/>
    </row>
    <row r="23" spans="1:46">
      <c r="A23" s="195">
        <v>13</v>
      </c>
      <c r="B23" s="311"/>
      <c r="C23" s="312"/>
      <c r="D23" s="312"/>
      <c r="E23" s="330"/>
      <c r="P23" s="1"/>
      <c r="AE23" s="1"/>
      <c r="AT23" s="1"/>
    </row>
    <row r="24" spans="1:46">
      <c r="A24" s="195">
        <v>14</v>
      </c>
      <c r="B24" s="311"/>
      <c r="C24" s="312"/>
      <c r="D24" s="312"/>
      <c r="E24" s="330"/>
      <c r="P24" s="1"/>
      <c r="AE24" s="1"/>
      <c r="AT24" s="1"/>
    </row>
    <row r="25" spans="1:46">
      <c r="A25" s="195">
        <v>15</v>
      </c>
      <c r="B25" s="311"/>
      <c r="C25" s="312"/>
      <c r="D25" s="312"/>
      <c r="E25" s="330"/>
      <c r="P25" s="1"/>
      <c r="AE25" s="1"/>
      <c r="AT25" s="1"/>
    </row>
    <row r="26" spans="1:46">
      <c r="A26" s="195">
        <v>16</v>
      </c>
      <c r="B26" s="311"/>
      <c r="C26" s="312"/>
      <c r="D26" s="312"/>
      <c r="E26" s="330"/>
      <c r="P26" s="1"/>
      <c r="AE26" s="1"/>
      <c r="AT26" s="1"/>
    </row>
    <row r="27" spans="1:46">
      <c r="A27" s="195">
        <v>17</v>
      </c>
      <c r="B27" s="311"/>
      <c r="C27" s="312"/>
      <c r="D27" s="312"/>
      <c r="E27" s="330"/>
      <c r="P27" s="1"/>
      <c r="AE27" s="1"/>
      <c r="AT27" s="1"/>
    </row>
    <row r="28" spans="1:46">
      <c r="A28" s="195">
        <v>18</v>
      </c>
      <c r="B28" s="311"/>
      <c r="C28" s="312"/>
      <c r="D28" s="312"/>
      <c r="E28" s="330"/>
      <c r="P28" s="1"/>
      <c r="AE28" s="1"/>
      <c r="AT28" s="1"/>
    </row>
    <row r="29" spans="1:46">
      <c r="A29" s="195">
        <v>19</v>
      </c>
      <c r="B29" s="311"/>
      <c r="C29" s="312"/>
      <c r="D29" s="312"/>
      <c r="E29" s="330"/>
      <c r="P29" s="1"/>
      <c r="AE29" s="1"/>
      <c r="AT29" s="1"/>
    </row>
    <row r="30" spans="1:46">
      <c r="A30" s="195">
        <v>20</v>
      </c>
      <c r="B30" s="311"/>
      <c r="C30" s="312"/>
      <c r="D30" s="312"/>
      <c r="E30" s="330"/>
      <c r="P30" s="1"/>
      <c r="AE30" s="1"/>
      <c r="AT30" s="1"/>
    </row>
    <row r="31" spans="1:46">
      <c r="A31" s="195">
        <v>21</v>
      </c>
      <c r="B31" s="311"/>
      <c r="C31" s="312"/>
      <c r="D31" s="312"/>
      <c r="E31" s="330"/>
      <c r="P31" s="1"/>
      <c r="AE31" s="1"/>
      <c r="AT31" s="1"/>
    </row>
    <row r="32" spans="1:46">
      <c r="A32" s="195">
        <v>22</v>
      </c>
      <c r="B32" s="311"/>
      <c r="C32" s="312"/>
      <c r="D32" s="312"/>
      <c r="E32" s="330"/>
      <c r="P32" s="1"/>
      <c r="AE32" s="1"/>
      <c r="AT32" s="1"/>
    </row>
    <row r="33" spans="1:46">
      <c r="A33" s="195">
        <v>23</v>
      </c>
      <c r="B33" s="311"/>
      <c r="C33" s="312"/>
      <c r="D33" s="312"/>
      <c r="E33" s="330"/>
      <c r="P33" s="1"/>
      <c r="AE33" s="1"/>
      <c r="AT33" s="1"/>
    </row>
    <row r="34" spans="1:46">
      <c r="A34" s="195">
        <v>24</v>
      </c>
      <c r="B34" s="311"/>
      <c r="C34" s="312"/>
      <c r="D34" s="312"/>
      <c r="E34" s="330"/>
      <c r="P34" s="1"/>
      <c r="AE34" s="1"/>
      <c r="AT34" s="1"/>
    </row>
    <row r="35" spans="1:46">
      <c r="A35" s="195">
        <v>25</v>
      </c>
      <c r="B35" s="311"/>
      <c r="C35" s="312"/>
      <c r="D35" s="312"/>
      <c r="E35" s="330"/>
      <c r="P35" s="1"/>
      <c r="AE35" s="1"/>
      <c r="AT35" s="1"/>
    </row>
    <row r="36" spans="1:46">
      <c r="A36" s="195">
        <v>26</v>
      </c>
      <c r="B36" s="311"/>
      <c r="C36" s="312"/>
      <c r="D36" s="312"/>
      <c r="E36" s="330"/>
      <c r="P36" s="1"/>
      <c r="AE36" s="1"/>
      <c r="AT36" s="1"/>
    </row>
    <row r="37" spans="1:46">
      <c r="A37" s="195">
        <v>27</v>
      </c>
      <c r="B37" s="311"/>
      <c r="C37" s="312"/>
      <c r="D37" s="312"/>
      <c r="E37" s="330"/>
      <c r="P37" s="1"/>
      <c r="AE37" s="1"/>
      <c r="AT37" s="1"/>
    </row>
    <row r="38" spans="1:46">
      <c r="A38" s="195">
        <v>28</v>
      </c>
      <c r="B38" s="311"/>
      <c r="C38" s="312"/>
      <c r="D38" s="312"/>
      <c r="E38" s="330"/>
      <c r="P38" s="1"/>
      <c r="AE38" s="1"/>
      <c r="AT38" s="1"/>
    </row>
    <row r="39" spans="1:46">
      <c r="A39" s="195">
        <v>29</v>
      </c>
      <c r="B39" s="311"/>
      <c r="C39" s="312"/>
      <c r="D39" s="312"/>
      <c r="E39" s="330"/>
      <c r="P39" s="1"/>
      <c r="AE39" s="1"/>
      <c r="AT39" s="1"/>
    </row>
    <row r="40" spans="1:46">
      <c r="A40" s="195">
        <v>30</v>
      </c>
      <c r="B40" s="311"/>
      <c r="C40" s="312"/>
      <c r="D40" s="312"/>
      <c r="E40" s="330"/>
      <c r="P40" s="1"/>
      <c r="AE40" s="1"/>
      <c r="AT40" s="1"/>
    </row>
    <row r="41" spans="1:46">
      <c r="A41" s="195">
        <v>31</v>
      </c>
      <c r="B41" s="311"/>
      <c r="C41" s="312"/>
      <c r="D41" s="312"/>
      <c r="E41" s="330"/>
      <c r="P41" s="1"/>
      <c r="AE41" s="1"/>
      <c r="AT41" s="1"/>
    </row>
    <row r="42" spans="1:46">
      <c r="A42" s="195">
        <v>32</v>
      </c>
      <c r="B42" s="311"/>
      <c r="C42" s="312"/>
      <c r="D42" s="312"/>
      <c r="E42" s="330"/>
      <c r="P42" s="1"/>
      <c r="AE42" s="1"/>
      <c r="AT42" s="1"/>
    </row>
    <row r="43" spans="1:46">
      <c r="A43" s="195">
        <v>33</v>
      </c>
      <c r="B43" s="311"/>
      <c r="C43" s="312"/>
      <c r="D43" s="312"/>
      <c r="E43" s="330"/>
      <c r="P43" s="1"/>
      <c r="AE43" s="1"/>
      <c r="AT43" s="1"/>
    </row>
    <row r="44" spans="1:46">
      <c r="A44" s="195">
        <v>34</v>
      </c>
      <c r="B44" s="311"/>
      <c r="C44" s="312"/>
      <c r="D44" s="312"/>
      <c r="E44" s="330"/>
      <c r="P44" s="1"/>
      <c r="AE44" s="1"/>
      <c r="AT44" s="1"/>
    </row>
    <row r="45" spans="1:46">
      <c r="A45" s="195">
        <v>35</v>
      </c>
      <c r="B45" s="311"/>
      <c r="C45" s="312"/>
      <c r="D45" s="312"/>
      <c r="E45" s="330"/>
      <c r="P45" s="1"/>
      <c r="AE45" s="1"/>
      <c r="AT45" s="1"/>
    </row>
    <row r="46" spans="1:46">
      <c r="A46" s="195">
        <v>36</v>
      </c>
      <c r="B46" s="311"/>
      <c r="C46" s="312"/>
      <c r="D46" s="312"/>
      <c r="E46" s="330"/>
      <c r="P46" s="1"/>
      <c r="AE46" s="1"/>
      <c r="AT46" s="1"/>
    </row>
    <row r="47" spans="1:46">
      <c r="A47" s="195">
        <v>37</v>
      </c>
      <c r="B47" s="311"/>
      <c r="C47" s="312"/>
      <c r="D47" s="312"/>
      <c r="E47" s="330"/>
      <c r="P47" s="1"/>
      <c r="AE47" s="1"/>
      <c r="AT47" s="1"/>
    </row>
    <row r="48" spans="1:46">
      <c r="A48" s="195">
        <v>38</v>
      </c>
      <c r="B48" s="311"/>
      <c r="C48" s="312"/>
      <c r="D48" s="312"/>
      <c r="E48" s="330"/>
      <c r="P48" s="1"/>
      <c r="AE48" s="1"/>
      <c r="AT48" s="1"/>
    </row>
    <row r="49" spans="1:46">
      <c r="A49" s="195">
        <v>39</v>
      </c>
      <c r="B49" s="311"/>
      <c r="C49" s="312"/>
      <c r="D49" s="312"/>
      <c r="E49" s="330"/>
      <c r="P49" s="1"/>
      <c r="AE49" s="1"/>
      <c r="AT49" s="1"/>
    </row>
    <row r="50" spans="1:46">
      <c r="A50" s="195">
        <v>40</v>
      </c>
      <c r="B50" s="311"/>
      <c r="C50" s="312"/>
      <c r="D50" s="312"/>
      <c r="E50" s="330"/>
      <c r="P50" s="1"/>
      <c r="AE50" s="1"/>
      <c r="AT50" s="1"/>
    </row>
    <row r="51" spans="1:46">
      <c r="A51" s="195">
        <v>41</v>
      </c>
      <c r="B51" s="311"/>
      <c r="C51" s="312"/>
      <c r="D51" s="312"/>
      <c r="E51" s="330"/>
      <c r="P51" s="1"/>
      <c r="AE51" s="1"/>
      <c r="AT51" s="1"/>
    </row>
    <row r="52" spans="1:46">
      <c r="A52" s="195">
        <v>42</v>
      </c>
      <c r="B52" s="311"/>
      <c r="C52" s="312"/>
      <c r="D52" s="312"/>
      <c r="E52" s="330"/>
      <c r="P52" s="1"/>
      <c r="AE52" s="1"/>
      <c r="AT52" s="1"/>
    </row>
    <row r="53" spans="1:46">
      <c r="A53" s="195">
        <v>43</v>
      </c>
      <c r="B53" s="311"/>
      <c r="C53" s="312"/>
      <c r="D53" s="312"/>
      <c r="E53" s="330"/>
      <c r="P53" s="1"/>
      <c r="AE53" s="1"/>
      <c r="AT53" s="1"/>
    </row>
    <row r="54" spans="1:46">
      <c r="A54" s="195">
        <v>44</v>
      </c>
      <c r="B54" s="311"/>
      <c r="C54" s="312"/>
      <c r="D54" s="312"/>
      <c r="E54" s="330"/>
      <c r="P54" s="1"/>
      <c r="AE54" s="1"/>
      <c r="AT54" s="1"/>
    </row>
    <row r="55" spans="1:46">
      <c r="A55" s="195">
        <v>45</v>
      </c>
      <c r="B55" s="311"/>
      <c r="C55" s="312"/>
      <c r="D55" s="312"/>
      <c r="E55" s="330"/>
      <c r="P55" s="1"/>
      <c r="AE55" s="1"/>
      <c r="AT55" s="1"/>
    </row>
    <row r="56" spans="1:46">
      <c r="A56" s="195">
        <v>46</v>
      </c>
      <c r="B56" s="311"/>
      <c r="C56" s="312"/>
      <c r="D56" s="312"/>
      <c r="E56" s="330"/>
      <c r="P56" s="1"/>
      <c r="AE56" s="1"/>
      <c r="AT56" s="1"/>
    </row>
    <row r="57" spans="1:46">
      <c r="A57" s="195">
        <v>47</v>
      </c>
      <c r="B57" s="311"/>
      <c r="C57" s="312"/>
      <c r="D57" s="312"/>
      <c r="E57" s="330"/>
      <c r="P57" s="1"/>
      <c r="AE57" s="1"/>
      <c r="AT57" s="1"/>
    </row>
    <row r="58" spans="1:46">
      <c r="A58" s="195">
        <v>48</v>
      </c>
      <c r="B58" s="311"/>
      <c r="C58" s="312"/>
      <c r="D58" s="312"/>
      <c r="E58" s="330"/>
      <c r="P58" s="1"/>
      <c r="AE58" s="1"/>
      <c r="AT58" s="1"/>
    </row>
    <row r="59" spans="1:46">
      <c r="A59" s="195">
        <v>49</v>
      </c>
      <c r="B59" s="311"/>
      <c r="C59" s="312"/>
      <c r="D59" s="312"/>
      <c r="E59" s="330"/>
      <c r="P59" s="1"/>
      <c r="AE59" s="1"/>
      <c r="AT59" s="1"/>
    </row>
    <row r="60" spans="1:46">
      <c r="A60" s="195">
        <v>50</v>
      </c>
      <c r="B60" s="311"/>
      <c r="C60" s="312"/>
      <c r="D60" s="312"/>
      <c r="E60" s="330"/>
      <c r="P60" s="1"/>
      <c r="AE60" s="1"/>
      <c r="AT60" s="1"/>
    </row>
    <row r="61" spans="1:46">
      <c r="A61" s="195">
        <v>51</v>
      </c>
      <c r="B61" s="311"/>
      <c r="C61" s="312"/>
      <c r="D61" s="312"/>
      <c r="E61" s="330"/>
      <c r="P61" s="1"/>
      <c r="AE61" s="1"/>
      <c r="AT61" s="1"/>
    </row>
    <row r="62" spans="1:46">
      <c r="A62" s="195">
        <v>52</v>
      </c>
      <c r="B62" s="311"/>
      <c r="C62" s="312"/>
      <c r="D62" s="312"/>
      <c r="E62" s="330"/>
      <c r="P62" s="1"/>
      <c r="AE62" s="1"/>
      <c r="AT62" s="1"/>
    </row>
    <row r="63" spans="1:46">
      <c r="A63" s="195">
        <v>53</v>
      </c>
      <c r="B63" s="311"/>
      <c r="C63" s="312"/>
      <c r="D63" s="312"/>
      <c r="E63" s="330"/>
      <c r="P63" s="1"/>
      <c r="AE63" s="1"/>
      <c r="AT63" s="1"/>
    </row>
    <row r="64" spans="1:46">
      <c r="A64" s="195">
        <v>54</v>
      </c>
      <c r="B64" s="311"/>
      <c r="C64" s="312"/>
      <c r="D64" s="312"/>
      <c r="E64" s="330"/>
      <c r="P64" s="1"/>
      <c r="AE64" s="1"/>
      <c r="AT64" s="1"/>
    </row>
    <row r="65" spans="1:46">
      <c r="A65" s="195">
        <v>55</v>
      </c>
      <c r="B65" s="311"/>
      <c r="C65" s="312"/>
      <c r="D65" s="312"/>
      <c r="E65" s="330"/>
      <c r="P65" s="1"/>
      <c r="AE65" s="1"/>
      <c r="AT65" s="1"/>
    </row>
    <row r="66" spans="1:46">
      <c r="A66" s="195">
        <v>56</v>
      </c>
      <c r="B66" s="311"/>
      <c r="C66" s="312"/>
      <c r="D66" s="312"/>
      <c r="E66" s="330"/>
      <c r="P66" s="1"/>
      <c r="AE66" s="1"/>
      <c r="AT66" s="1"/>
    </row>
    <row r="67" spans="1:46">
      <c r="A67" s="195">
        <v>57</v>
      </c>
      <c r="B67" s="311"/>
      <c r="C67" s="312"/>
      <c r="D67" s="312"/>
      <c r="E67" s="330"/>
      <c r="P67" s="1"/>
      <c r="AE67" s="1"/>
      <c r="AT67" s="1"/>
    </row>
    <row r="68" spans="1:46">
      <c r="A68" s="195">
        <v>58</v>
      </c>
      <c r="B68" s="311"/>
      <c r="C68" s="312"/>
      <c r="D68" s="312"/>
      <c r="E68" s="330"/>
      <c r="P68" s="1"/>
      <c r="AE68" s="1"/>
      <c r="AT68" s="1"/>
    </row>
    <row r="69" spans="1:46">
      <c r="A69" s="195">
        <v>59</v>
      </c>
      <c r="B69" s="311"/>
      <c r="C69" s="312"/>
      <c r="D69" s="312"/>
      <c r="E69" s="330"/>
      <c r="P69" s="1"/>
      <c r="AE69" s="1"/>
      <c r="AT69" s="1"/>
    </row>
    <row r="70" spans="1:46">
      <c r="A70" s="195">
        <v>60</v>
      </c>
      <c r="B70" s="311"/>
      <c r="C70" s="312"/>
      <c r="D70" s="312"/>
      <c r="E70" s="330"/>
      <c r="P70" s="1"/>
      <c r="AE70" s="1"/>
      <c r="AT70" s="1"/>
    </row>
    <row r="71" spans="1:46">
      <c r="A71" s="195">
        <v>61</v>
      </c>
      <c r="B71" s="311"/>
      <c r="C71" s="312"/>
      <c r="D71" s="312"/>
      <c r="E71" s="330"/>
      <c r="P71" s="1"/>
      <c r="AE71" s="1"/>
      <c r="AT71" s="1"/>
    </row>
    <row r="72" spans="1:46">
      <c r="A72" s="195">
        <v>62</v>
      </c>
      <c r="B72" s="311"/>
      <c r="C72" s="312"/>
      <c r="D72" s="312"/>
      <c r="E72" s="330"/>
      <c r="P72" s="1"/>
      <c r="AE72" s="1"/>
      <c r="AT72" s="1"/>
    </row>
    <row r="73" spans="1:46">
      <c r="A73" s="195">
        <v>63</v>
      </c>
      <c r="B73" s="311"/>
      <c r="C73" s="312"/>
      <c r="D73" s="312"/>
      <c r="E73" s="330"/>
      <c r="P73" s="1"/>
      <c r="AE73" s="1"/>
      <c r="AT73" s="1"/>
    </row>
    <row r="74" spans="1:46">
      <c r="A74" s="195">
        <v>64</v>
      </c>
      <c r="B74" s="311"/>
      <c r="C74" s="312"/>
      <c r="D74" s="312"/>
      <c r="E74" s="330"/>
      <c r="P74" s="1"/>
      <c r="AE74" s="1"/>
      <c r="AT74" s="1"/>
    </row>
    <row r="75" spans="1:46">
      <c r="A75" s="195">
        <v>65</v>
      </c>
      <c r="B75" s="311"/>
      <c r="C75" s="312"/>
      <c r="D75" s="312"/>
      <c r="E75" s="330"/>
      <c r="P75" s="1"/>
      <c r="AE75" s="1"/>
      <c r="AT75" s="1"/>
    </row>
    <row r="76" spans="1:46">
      <c r="A76" s="195">
        <v>66</v>
      </c>
      <c r="B76" s="311"/>
      <c r="C76" s="312"/>
      <c r="D76" s="312"/>
      <c r="E76" s="330"/>
      <c r="P76" s="1"/>
      <c r="AE76" s="1"/>
      <c r="AT76" s="1"/>
    </row>
    <row r="77" spans="1:46">
      <c r="A77" s="195">
        <v>67</v>
      </c>
      <c r="B77" s="311"/>
      <c r="C77" s="312"/>
      <c r="D77" s="312"/>
      <c r="E77" s="330"/>
      <c r="P77" s="1"/>
      <c r="AE77" s="1"/>
      <c r="AT77" s="1"/>
    </row>
    <row r="78" spans="1:46">
      <c r="A78" s="195">
        <v>68</v>
      </c>
      <c r="B78" s="311"/>
      <c r="C78" s="312"/>
      <c r="D78" s="312"/>
      <c r="E78" s="330"/>
      <c r="P78" s="1"/>
      <c r="AE78" s="1"/>
      <c r="AT78" s="1"/>
    </row>
    <row r="79" spans="1:46">
      <c r="A79" s="195">
        <v>69</v>
      </c>
      <c r="B79" s="311"/>
      <c r="C79" s="312"/>
      <c r="D79" s="312"/>
      <c r="E79" s="330"/>
      <c r="P79" s="1"/>
      <c r="AE79" s="1"/>
      <c r="AT79" s="1"/>
    </row>
    <row r="80" spans="1:46">
      <c r="A80" s="195">
        <v>70</v>
      </c>
      <c r="B80" s="311"/>
      <c r="C80" s="312"/>
      <c r="D80" s="312"/>
      <c r="E80" s="330"/>
      <c r="P80" s="1"/>
      <c r="AE80" s="1"/>
      <c r="AT80" s="1"/>
    </row>
    <row r="81" spans="1:46">
      <c r="A81" s="195">
        <v>71</v>
      </c>
      <c r="B81" s="311"/>
      <c r="C81" s="312"/>
      <c r="D81" s="312"/>
      <c r="E81" s="330"/>
      <c r="P81" s="1"/>
      <c r="AE81" s="1"/>
      <c r="AT81" s="1"/>
    </row>
    <row r="82" spans="1:46">
      <c r="A82" s="195">
        <v>72</v>
      </c>
      <c r="B82" s="311"/>
      <c r="C82" s="312"/>
      <c r="D82" s="312"/>
      <c r="E82" s="330"/>
      <c r="P82" s="1"/>
      <c r="AE82" s="1"/>
      <c r="AT82" s="1"/>
    </row>
    <row r="83" spans="1:46">
      <c r="A83" s="195">
        <v>73</v>
      </c>
      <c r="B83" s="311"/>
      <c r="C83" s="312"/>
      <c r="D83" s="312"/>
      <c r="E83" s="330"/>
      <c r="P83" s="1"/>
      <c r="AE83" s="1"/>
      <c r="AT83" s="1"/>
    </row>
    <row r="84" spans="1:46">
      <c r="A84" s="195">
        <v>74</v>
      </c>
      <c r="B84" s="311"/>
      <c r="C84" s="312"/>
      <c r="D84" s="312"/>
      <c r="E84" s="330"/>
      <c r="P84" s="1"/>
      <c r="AE84" s="1"/>
      <c r="AT84" s="1"/>
    </row>
    <row r="85" spans="1:46">
      <c r="A85" s="195">
        <v>75</v>
      </c>
      <c r="B85" s="311"/>
      <c r="C85" s="312"/>
      <c r="D85" s="312"/>
      <c r="E85" s="330"/>
      <c r="P85" s="1"/>
      <c r="AE85" s="1"/>
      <c r="AT85" s="1"/>
    </row>
    <row r="86" spans="1:46">
      <c r="A86" s="195">
        <v>76</v>
      </c>
      <c r="B86" s="311"/>
      <c r="C86" s="312"/>
      <c r="D86" s="312"/>
      <c r="E86" s="330"/>
      <c r="P86" s="1"/>
      <c r="AE86" s="1"/>
      <c r="AT86" s="1"/>
    </row>
    <row r="87" spans="1:46">
      <c r="A87" s="195">
        <v>77</v>
      </c>
      <c r="B87" s="311"/>
      <c r="C87" s="312"/>
      <c r="D87" s="312"/>
      <c r="E87" s="330"/>
      <c r="P87" s="1"/>
      <c r="AE87" s="1"/>
      <c r="AT87" s="1"/>
    </row>
    <row r="88" spans="1:46">
      <c r="A88" s="195">
        <v>78</v>
      </c>
      <c r="B88" s="311"/>
      <c r="C88" s="312"/>
      <c r="D88" s="312"/>
      <c r="E88" s="330"/>
      <c r="P88" s="1"/>
      <c r="AE88" s="1"/>
      <c r="AT88" s="1"/>
    </row>
    <row r="89" spans="1:46">
      <c r="A89" s="195">
        <v>79</v>
      </c>
      <c r="B89" s="311"/>
      <c r="C89" s="312"/>
      <c r="D89" s="312"/>
      <c r="E89" s="330"/>
      <c r="P89" s="1"/>
      <c r="AE89" s="1"/>
      <c r="AT89" s="1"/>
    </row>
    <row r="90" spans="1:46">
      <c r="A90" s="195">
        <v>80</v>
      </c>
      <c r="B90" s="311"/>
      <c r="C90" s="312"/>
      <c r="D90" s="312"/>
      <c r="E90" s="330"/>
      <c r="P90" s="1"/>
      <c r="AE90" s="1"/>
      <c r="AT90" s="1"/>
    </row>
    <row r="91" spans="1:46">
      <c r="A91" s="195">
        <v>81</v>
      </c>
      <c r="B91" s="311"/>
      <c r="C91" s="312"/>
      <c r="D91" s="312"/>
      <c r="E91" s="330"/>
      <c r="P91" s="1"/>
      <c r="AE91" s="1"/>
      <c r="AT91" s="1"/>
    </row>
    <row r="92" spans="1:46">
      <c r="A92" s="195">
        <v>82</v>
      </c>
      <c r="B92" s="311"/>
      <c r="C92" s="312"/>
      <c r="D92" s="312"/>
      <c r="E92" s="330"/>
      <c r="P92" s="1"/>
      <c r="AE92" s="1"/>
      <c r="AT92" s="1"/>
    </row>
    <row r="93" spans="1:46">
      <c r="A93" s="195">
        <v>83</v>
      </c>
      <c r="B93" s="311"/>
      <c r="C93" s="312"/>
      <c r="D93" s="312"/>
      <c r="E93" s="330"/>
      <c r="P93" s="1"/>
      <c r="AE93" s="1"/>
      <c r="AT93" s="1"/>
    </row>
    <row r="94" spans="1:46">
      <c r="A94" s="195">
        <v>84</v>
      </c>
      <c r="B94" s="311"/>
      <c r="C94" s="312"/>
      <c r="D94" s="312"/>
      <c r="E94" s="330"/>
      <c r="P94" s="1"/>
      <c r="AE94" s="1"/>
      <c r="AT94" s="1"/>
    </row>
    <row r="95" spans="1:46">
      <c r="A95" s="195">
        <v>85</v>
      </c>
      <c r="B95" s="311"/>
      <c r="C95" s="312"/>
      <c r="D95" s="312"/>
      <c r="E95" s="330"/>
      <c r="P95" s="1"/>
      <c r="AE95" s="1"/>
      <c r="AT95" s="1"/>
    </row>
    <row r="96" spans="1:46">
      <c r="A96" s="195">
        <v>86</v>
      </c>
      <c r="B96" s="311"/>
      <c r="C96" s="312"/>
      <c r="D96" s="312"/>
      <c r="E96" s="330"/>
      <c r="P96" s="1"/>
      <c r="AE96" s="1"/>
      <c r="AT96" s="1"/>
    </row>
    <row r="97" spans="1:46">
      <c r="A97" s="195">
        <v>87</v>
      </c>
      <c r="B97" s="311"/>
      <c r="C97" s="312"/>
      <c r="D97" s="312"/>
      <c r="E97" s="330"/>
      <c r="P97" s="1"/>
      <c r="AE97" s="1"/>
      <c r="AT97" s="1"/>
    </row>
    <row r="98" spans="1:46">
      <c r="A98" s="195">
        <v>88</v>
      </c>
      <c r="B98" s="311"/>
      <c r="C98" s="312"/>
      <c r="D98" s="312"/>
      <c r="E98" s="330"/>
      <c r="P98" s="1"/>
      <c r="AE98" s="1"/>
      <c r="AT98" s="1"/>
    </row>
    <row r="99" spans="1:46">
      <c r="A99" s="195">
        <v>89</v>
      </c>
      <c r="B99" s="311"/>
      <c r="C99" s="312"/>
      <c r="D99" s="312"/>
      <c r="E99" s="330"/>
      <c r="P99" s="1"/>
      <c r="AE99" s="1"/>
      <c r="AT99" s="1"/>
    </row>
    <row r="100" spans="1:46">
      <c r="A100" s="195">
        <v>90</v>
      </c>
      <c r="B100" s="311"/>
      <c r="C100" s="312"/>
      <c r="D100" s="312"/>
      <c r="E100" s="330"/>
      <c r="P100" s="1"/>
      <c r="AE100" s="1"/>
      <c r="AT100" s="1"/>
    </row>
    <row r="101" spans="1:46">
      <c r="A101" s="195">
        <v>91</v>
      </c>
      <c r="B101" s="311"/>
      <c r="C101" s="312"/>
      <c r="D101" s="312"/>
      <c r="E101" s="330"/>
      <c r="P101" s="1"/>
      <c r="AE101" s="1"/>
      <c r="AT101" s="1"/>
    </row>
    <row r="102" spans="1:46">
      <c r="A102" s="195">
        <v>92</v>
      </c>
      <c r="B102" s="311"/>
      <c r="C102" s="312"/>
      <c r="D102" s="312"/>
      <c r="E102" s="330"/>
      <c r="P102" s="1"/>
      <c r="AE102" s="1"/>
      <c r="AT102" s="1"/>
    </row>
    <row r="103" spans="1:46">
      <c r="A103" s="195">
        <v>93</v>
      </c>
      <c r="B103" s="311"/>
      <c r="C103" s="312"/>
      <c r="D103" s="312"/>
      <c r="E103" s="330"/>
      <c r="P103" s="1"/>
      <c r="AE103" s="1"/>
      <c r="AT103" s="1"/>
    </row>
    <row r="104" spans="1:46">
      <c r="A104" s="195">
        <v>94</v>
      </c>
      <c r="B104" s="311"/>
      <c r="C104" s="312"/>
      <c r="D104" s="312"/>
      <c r="E104" s="330"/>
      <c r="P104" s="1"/>
      <c r="AE104" s="1"/>
      <c r="AT104" s="1"/>
    </row>
    <row r="105" spans="1:46">
      <c r="A105" s="195">
        <v>95</v>
      </c>
      <c r="B105" s="311"/>
      <c r="C105" s="312"/>
      <c r="D105" s="312"/>
      <c r="E105" s="330"/>
      <c r="P105" s="1"/>
      <c r="AE105" s="1"/>
      <c r="AT105" s="1"/>
    </row>
    <row r="106" spans="1:46">
      <c r="A106" s="195">
        <v>96</v>
      </c>
      <c r="B106" s="311"/>
      <c r="C106" s="312"/>
      <c r="D106" s="312"/>
      <c r="E106" s="330"/>
      <c r="P106" s="1"/>
      <c r="AE106" s="1"/>
      <c r="AT106" s="1"/>
    </row>
    <row r="107" spans="1:46">
      <c r="A107" s="195">
        <v>97</v>
      </c>
      <c r="B107" s="311"/>
      <c r="C107" s="312"/>
      <c r="D107" s="312"/>
      <c r="E107" s="330"/>
      <c r="P107" s="1"/>
      <c r="AE107" s="1"/>
      <c r="AT107" s="1"/>
    </row>
    <row r="108" spans="1:46">
      <c r="A108" s="195">
        <v>98</v>
      </c>
      <c r="B108" s="311"/>
      <c r="C108" s="312"/>
      <c r="D108" s="312"/>
      <c r="E108" s="330"/>
      <c r="P108" s="1"/>
      <c r="AE108" s="1"/>
      <c r="AT108" s="1"/>
    </row>
    <row r="109" spans="1:46">
      <c r="A109" s="195">
        <v>99</v>
      </c>
      <c r="B109" s="311"/>
      <c r="C109" s="312"/>
      <c r="D109" s="312"/>
      <c r="E109" s="330"/>
      <c r="P109" s="1"/>
      <c r="AE109" s="1"/>
      <c r="AT109" s="1"/>
    </row>
    <row r="110" spans="1:46">
      <c r="A110" s="328">
        <v>100</v>
      </c>
      <c r="B110" s="331"/>
      <c r="C110" s="332"/>
      <c r="D110" s="332"/>
      <c r="E110" s="333"/>
      <c r="P110" s="1"/>
      <c r="AE110" s="1"/>
      <c r="AT110" s="1"/>
    </row>
  </sheetData>
  <sheetProtection scenarios="1"/>
  <mergeCells count="8">
    <mergeCell ref="AF9:AR9"/>
    <mergeCell ref="AU9:BG9"/>
    <mergeCell ref="B3:D3"/>
    <mergeCell ref="G3:I3"/>
    <mergeCell ref="B4:D4"/>
    <mergeCell ref="B5:D5"/>
    <mergeCell ref="G6:I6"/>
    <mergeCell ref="Q9:AC9"/>
  </mergeCells>
  <conditionalFormatting sqref="A2:J111">
    <cfRule type="expression" dxfId="1" priority="1">
      <formula>CELL("Protect",A2)=1</formula>
    </cfRule>
  </conditionalFormatting>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2800F4-FE2B-4F98-896D-F642026B9016}">
  <sheetPr codeName="Hoja4">
    <tabColor rgb="FFFFFFCC"/>
  </sheetPr>
  <dimension ref="A1:BG110"/>
  <sheetViews>
    <sheetView workbookViewId="0"/>
  </sheetViews>
  <sheetFormatPr defaultColWidth="8.85546875" defaultRowHeight="12.75"/>
  <cols>
    <col min="1" max="1" width="12.42578125" customWidth="1"/>
    <col min="2" max="5" width="11" customWidth="1"/>
    <col min="6" max="6" width="6.7109375" customWidth="1"/>
    <col min="7" max="9" width="10.140625" customWidth="1"/>
    <col min="10" max="14" width="6.7109375" customWidth="1"/>
    <col min="15" max="15" width="9.42578125" customWidth="1"/>
    <col min="16" max="16" width="12.42578125" customWidth="1"/>
    <col min="17" max="29" width="6.7109375" customWidth="1"/>
    <col min="30" max="30" width="3.7109375" customWidth="1"/>
    <col min="31" max="31" width="12.42578125" customWidth="1"/>
    <col min="32" max="44" width="6.7109375" customWidth="1"/>
    <col min="45" max="45" width="3.7109375" customWidth="1"/>
    <col min="46" max="46" width="12.42578125" customWidth="1"/>
    <col min="47" max="59" width="6.7109375" customWidth="1"/>
    <col min="257" max="257" width="12.42578125" customWidth="1"/>
    <col min="259" max="261" width="9.42578125" bestFit="1" customWidth="1"/>
    <col min="262" max="270" width="6.7109375" customWidth="1"/>
    <col min="271" max="271" width="3.7109375" customWidth="1"/>
    <col min="272" max="272" width="12.42578125" customWidth="1"/>
    <col min="273" max="285" width="6.7109375" customWidth="1"/>
    <col min="286" max="286" width="3.7109375" customWidth="1"/>
    <col min="287" max="287" width="12.42578125" customWidth="1"/>
    <col min="288" max="300" width="6.7109375" customWidth="1"/>
    <col min="301" max="301" width="3.7109375" customWidth="1"/>
    <col min="302" max="302" width="12.42578125" customWidth="1"/>
    <col min="303" max="315" width="6.7109375" customWidth="1"/>
    <col min="513" max="513" width="12.42578125" customWidth="1"/>
    <col min="515" max="517" width="9.42578125" bestFit="1" customWidth="1"/>
    <col min="518" max="526" width="6.7109375" customWidth="1"/>
    <col min="527" max="527" width="3.7109375" customWidth="1"/>
    <col min="528" max="528" width="12.42578125" customWidth="1"/>
    <col min="529" max="541" width="6.7109375" customWidth="1"/>
    <col min="542" max="542" width="3.7109375" customWidth="1"/>
    <col min="543" max="543" width="12.42578125" customWidth="1"/>
    <col min="544" max="556" width="6.7109375" customWidth="1"/>
    <col min="557" max="557" width="3.7109375" customWidth="1"/>
    <col min="558" max="558" width="12.42578125" customWidth="1"/>
    <col min="559" max="571" width="6.7109375" customWidth="1"/>
    <col min="769" max="769" width="12.42578125" customWidth="1"/>
    <col min="771" max="773" width="9.42578125" bestFit="1" customWidth="1"/>
    <col min="774" max="782" width="6.7109375" customWidth="1"/>
    <col min="783" max="783" width="3.7109375" customWidth="1"/>
    <col min="784" max="784" width="12.42578125" customWidth="1"/>
    <col min="785" max="797" width="6.7109375" customWidth="1"/>
    <col min="798" max="798" width="3.7109375" customWidth="1"/>
    <col min="799" max="799" width="12.42578125" customWidth="1"/>
    <col min="800" max="812" width="6.7109375" customWidth="1"/>
    <col min="813" max="813" width="3.7109375" customWidth="1"/>
    <col min="814" max="814" width="12.42578125" customWidth="1"/>
    <col min="815" max="827" width="6.7109375" customWidth="1"/>
    <col min="1025" max="1025" width="12.42578125" customWidth="1"/>
    <col min="1027" max="1029" width="9.42578125" bestFit="1" customWidth="1"/>
    <col min="1030" max="1038" width="6.7109375" customWidth="1"/>
    <col min="1039" max="1039" width="3.7109375" customWidth="1"/>
    <col min="1040" max="1040" width="12.42578125" customWidth="1"/>
    <col min="1041" max="1053" width="6.7109375" customWidth="1"/>
    <col min="1054" max="1054" width="3.7109375" customWidth="1"/>
    <col min="1055" max="1055" width="12.42578125" customWidth="1"/>
    <col min="1056" max="1068" width="6.7109375" customWidth="1"/>
    <col min="1069" max="1069" width="3.7109375" customWidth="1"/>
    <col min="1070" max="1070" width="12.42578125" customWidth="1"/>
    <col min="1071" max="1083" width="6.7109375" customWidth="1"/>
    <col min="1281" max="1281" width="12.42578125" customWidth="1"/>
    <col min="1283" max="1285" width="9.42578125" bestFit="1" customWidth="1"/>
    <col min="1286" max="1294" width="6.7109375" customWidth="1"/>
    <col min="1295" max="1295" width="3.7109375" customWidth="1"/>
    <col min="1296" max="1296" width="12.42578125" customWidth="1"/>
    <col min="1297" max="1309" width="6.7109375" customWidth="1"/>
    <col min="1310" max="1310" width="3.7109375" customWidth="1"/>
    <col min="1311" max="1311" width="12.42578125" customWidth="1"/>
    <col min="1312" max="1324" width="6.7109375" customWidth="1"/>
    <col min="1325" max="1325" width="3.7109375" customWidth="1"/>
    <col min="1326" max="1326" width="12.42578125" customWidth="1"/>
    <col min="1327" max="1339" width="6.7109375" customWidth="1"/>
    <col min="1537" max="1537" width="12.42578125" customWidth="1"/>
    <col min="1539" max="1541" width="9.42578125" bestFit="1" customWidth="1"/>
    <col min="1542" max="1550" width="6.7109375" customWidth="1"/>
    <col min="1551" max="1551" width="3.7109375" customWidth="1"/>
    <col min="1552" max="1552" width="12.42578125" customWidth="1"/>
    <col min="1553" max="1565" width="6.7109375" customWidth="1"/>
    <col min="1566" max="1566" width="3.7109375" customWidth="1"/>
    <col min="1567" max="1567" width="12.42578125" customWidth="1"/>
    <col min="1568" max="1580" width="6.7109375" customWidth="1"/>
    <col min="1581" max="1581" width="3.7109375" customWidth="1"/>
    <col min="1582" max="1582" width="12.42578125" customWidth="1"/>
    <col min="1583" max="1595" width="6.7109375" customWidth="1"/>
    <col min="1793" max="1793" width="12.42578125" customWidth="1"/>
    <col min="1795" max="1797" width="9.42578125" bestFit="1" customWidth="1"/>
    <col min="1798" max="1806" width="6.7109375" customWidth="1"/>
    <col min="1807" max="1807" width="3.7109375" customWidth="1"/>
    <col min="1808" max="1808" width="12.42578125" customWidth="1"/>
    <col min="1809" max="1821" width="6.7109375" customWidth="1"/>
    <col min="1822" max="1822" width="3.7109375" customWidth="1"/>
    <col min="1823" max="1823" width="12.42578125" customWidth="1"/>
    <col min="1824" max="1836" width="6.7109375" customWidth="1"/>
    <col min="1837" max="1837" width="3.7109375" customWidth="1"/>
    <col min="1838" max="1838" width="12.42578125" customWidth="1"/>
    <col min="1839" max="1851" width="6.7109375" customWidth="1"/>
    <col min="2049" max="2049" width="12.42578125" customWidth="1"/>
    <col min="2051" max="2053" width="9.42578125" bestFit="1" customWidth="1"/>
    <col min="2054" max="2062" width="6.7109375" customWidth="1"/>
    <col min="2063" max="2063" width="3.7109375" customWidth="1"/>
    <col min="2064" max="2064" width="12.42578125" customWidth="1"/>
    <col min="2065" max="2077" width="6.7109375" customWidth="1"/>
    <col min="2078" max="2078" width="3.7109375" customWidth="1"/>
    <col min="2079" max="2079" width="12.42578125" customWidth="1"/>
    <col min="2080" max="2092" width="6.7109375" customWidth="1"/>
    <col min="2093" max="2093" width="3.7109375" customWidth="1"/>
    <col min="2094" max="2094" width="12.42578125" customWidth="1"/>
    <col min="2095" max="2107" width="6.7109375" customWidth="1"/>
    <col min="2305" max="2305" width="12.42578125" customWidth="1"/>
    <col min="2307" max="2309" width="9.42578125" bestFit="1" customWidth="1"/>
    <col min="2310" max="2318" width="6.7109375" customWidth="1"/>
    <col min="2319" max="2319" width="3.7109375" customWidth="1"/>
    <col min="2320" max="2320" width="12.42578125" customWidth="1"/>
    <col min="2321" max="2333" width="6.7109375" customWidth="1"/>
    <col min="2334" max="2334" width="3.7109375" customWidth="1"/>
    <col min="2335" max="2335" width="12.42578125" customWidth="1"/>
    <col min="2336" max="2348" width="6.7109375" customWidth="1"/>
    <col min="2349" max="2349" width="3.7109375" customWidth="1"/>
    <col min="2350" max="2350" width="12.42578125" customWidth="1"/>
    <col min="2351" max="2363" width="6.7109375" customWidth="1"/>
    <col min="2561" max="2561" width="12.42578125" customWidth="1"/>
    <col min="2563" max="2565" width="9.42578125" bestFit="1" customWidth="1"/>
    <col min="2566" max="2574" width="6.7109375" customWidth="1"/>
    <col min="2575" max="2575" width="3.7109375" customWidth="1"/>
    <col min="2576" max="2576" width="12.42578125" customWidth="1"/>
    <col min="2577" max="2589" width="6.7109375" customWidth="1"/>
    <col min="2590" max="2590" width="3.7109375" customWidth="1"/>
    <col min="2591" max="2591" width="12.42578125" customWidth="1"/>
    <col min="2592" max="2604" width="6.7109375" customWidth="1"/>
    <col min="2605" max="2605" width="3.7109375" customWidth="1"/>
    <col min="2606" max="2606" width="12.42578125" customWidth="1"/>
    <col min="2607" max="2619" width="6.7109375" customWidth="1"/>
    <col min="2817" max="2817" width="12.42578125" customWidth="1"/>
    <col min="2819" max="2821" width="9.42578125" bestFit="1" customWidth="1"/>
    <col min="2822" max="2830" width="6.7109375" customWidth="1"/>
    <col min="2831" max="2831" width="3.7109375" customWidth="1"/>
    <col min="2832" max="2832" width="12.42578125" customWidth="1"/>
    <col min="2833" max="2845" width="6.7109375" customWidth="1"/>
    <col min="2846" max="2846" width="3.7109375" customWidth="1"/>
    <col min="2847" max="2847" width="12.42578125" customWidth="1"/>
    <col min="2848" max="2860" width="6.7109375" customWidth="1"/>
    <col min="2861" max="2861" width="3.7109375" customWidth="1"/>
    <col min="2862" max="2862" width="12.42578125" customWidth="1"/>
    <col min="2863" max="2875" width="6.7109375" customWidth="1"/>
    <col min="3073" max="3073" width="12.42578125" customWidth="1"/>
    <col min="3075" max="3077" width="9.42578125" bestFit="1" customWidth="1"/>
    <col min="3078" max="3086" width="6.7109375" customWidth="1"/>
    <col min="3087" max="3087" width="3.7109375" customWidth="1"/>
    <col min="3088" max="3088" width="12.42578125" customWidth="1"/>
    <col min="3089" max="3101" width="6.7109375" customWidth="1"/>
    <col min="3102" max="3102" width="3.7109375" customWidth="1"/>
    <col min="3103" max="3103" width="12.42578125" customWidth="1"/>
    <col min="3104" max="3116" width="6.7109375" customWidth="1"/>
    <col min="3117" max="3117" width="3.7109375" customWidth="1"/>
    <col min="3118" max="3118" width="12.42578125" customWidth="1"/>
    <col min="3119" max="3131" width="6.7109375" customWidth="1"/>
    <col min="3329" max="3329" width="12.42578125" customWidth="1"/>
    <col min="3331" max="3333" width="9.42578125" bestFit="1" customWidth="1"/>
    <col min="3334" max="3342" width="6.7109375" customWidth="1"/>
    <col min="3343" max="3343" width="3.7109375" customWidth="1"/>
    <col min="3344" max="3344" width="12.42578125" customWidth="1"/>
    <col min="3345" max="3357" width="6.7109375" customWidth="1"/>
    <col min="3358" max="3358" width="3.7109375" customWidth="1"/>
    <col min="3359" max="3359" width="12.42578125" customWidth="1"/>
    <col min="3360" max="3372" width="6.7109375" customWidth="1"/>
    <col min="3373" max="3373" width="3.7109375" customWidth="1"/>
    <col min="3374" max="3374" width="12.42578125" customWidth="1"/>
    <col min="3375" max="3387" width="6.7109375" customWidth="1"/>
    <col min="3585" max="3585" width="12.42578125" customWidth="1"/>
    <col min="3587" max="3589" width="9.42578125" bestFit="1" customWidth="1"/>
    <col min="3590" max="3598" width="6.7109375" customWidth="1"/>
    <col min="3599" max="3599" width="3.7109375" customWidth="1"/>
    <col min="3600" max="3600" width="12.42578125" customWidth="1"/>
    <col min="3601" max="3613" width="6.7109375" customWidth="1"/>
    <col min="3614" max="3614" width="3.7109375" customWidth="1"/>
    <col min="3615" max="3615" width="12.42578125" customWidth="1"/>
    <col min="3616" max="3628" width="6.7109375" customWidth="1"/>
    <col min="3629" max="3629" width="3.7109375" customWidth="1"/>
    <col min="3630" max="3630" width="12.42578125" customWidth="1"/>
    <col min="3631" max="3643" width="6.7109375" customWidth="1"/>
    <col min="3841" max="3841" width="12.42578125" customWidth="1"/>
    <col min="3843" max="3845" width="9.42578125" bestFit="1" customWidth="1"/>
    <col min="3846" max="3854" width="6.7109375" customWidth="1"/>
    <col min="3855" max="3855" width="3.7109375" customWidth="1"/>
    <col min="3856" max="3856" width="12.42578125" customWidth="1"/>
    <col min="3857" max="3869" width="6.7109375" customWidth="1"/>
    <col min="3870" max="3870" width="3.7109375" customWidth="1"/>
    <col min="3871" max="3871" width="12.42578125" customWidth="1"/>
    <col min="3872" max="3884" width="6.7109375" customWidth="1"/>
    <col min="3885" max="3885" width="3.7109375" customWidth="1"/>
    <col min="3886" max="3886" width="12.42578125" customWidth="1"/>
    <col min="3887" max="3899" width="6.7109375" customWidth="1"/>
    <col min="4097" max="4097" width="12.42578125" customWidth="1"/>
    <col min="4099" max="4101" width="9.42578125" bestFit="1" customWidth="1"/>
    <col min="4102" max="4110" width="6.7109375" customWidth="1"/>
    <col min="4111" max="4111" width="3.7109375" customWidth="1"/>
    <col min="4112" max="4112" width="12.42578125" customWidth="1"/>
    <col min="4113" max="4125" width="6.7109375" customWidth="1"/>
    <col min="4126" max="4126" width="3.7109375" customWidth="1"/>
    <col min="4127" max="4127" width="12.42578125" customWidth="1"/>
    <col min="4128" max="4140" width="6.7109375" customWidth="1"/>
    <col min="4141" max="4141" width="3.7109375" customWidth="1"/>
    <col min="4142" max="4142" width="12.42578125" customWidth="1"/>
    <col min="4143" max="4155" width="6.7109375" customWidth="1"/>
    <col min="4353" max="4353" width="12.42578125" customWidth="1"/>
    <col min="4355" max="4357" width="9.42578125" bestFit="1" customWidth="1"/>
    <col min="4358" max="4366" width="6.7109375" customWidth="1"/>
    <col min="4367" max="4367" width="3.7109375" customWidth="1"/>
    <col min="4368" max="4368" width="12.42578125" customWidth="1"/>
    <col min="4369" max="4381" width="6.7109375" customWidth="1"/>
    <col min="4382" max="4382" width="3.7109375" customWidth="1"/>
    <col min="4383" max="4383" width="12.42578125" customWidth="1"/>
    <col min="4384" max="4396" width="6.7109375" customWidth="1"/>
    <col min="4397" max="4397" width="3.7109375" customWidth="1"/>
    <col min="4398" max="4398" width="12.42578125" customWidth="1"/>
    <col min="4399" max="4411" width="6.7109375" customWidth="1"/>
    <col min="4609" max="4609" width="12.42578125" customWidth="1"/>
    <col min="4611" max="4613" width="9.42578125" bestFit="1" customWidth="1"/>
    <col min="4614" max="4622" width="6.7109375" customWidth="1"/>
    <col min="4623" max="4623" width="3.7109375" customWidth="1"/>
    <col min="4624" max="4624" width="12.42578125" customWidth="1"/>
    <col min="4625" max="4637" width="6.7109375" customWidth="1"/>
    <col min="4638" max="4638" width="3.7109375" customWidth="1"/>
    <col min="4639" max="4639" width="12.42578125" customWidth="1"/>
    <col min="4640" max="4652" width="6.7109375" customWidth="1"/>
    <col min="4653" max="4653" width="3.7109375" customWidth="1"/>
    <col min="4654" max="4654" width="12.42578125" customWidth="1"/>
    <col min="4655" max="4667" width="6.7109375" customWidth="1"/>
    <col min="4865" max="4865" width="12.42578125" customWidth="1"/>
    <col min="4867" max="4869" width="9.42578125" bestFit="1" customWidth="1"/>
    <col min="4870" max="4878" width="6.7109375" customWidth="1"/>
    <col min="4879" max="4879" width="3.7109375" customWidth="1"/>
    <col min="4880" max="4880" width="12.42578125" customWidth="1"/>
    <col min="4881" max="4893" width="6.7109375" customWidth="1"/>
    <col min="4894" max="4894" width="3.7109375" customWidth="1"/>
    <col min="4895" max="4895" width="12.42578125" customWidth="1"/>
    <col min="4896" max="4908" width="6.7109375" customWidth="1"/>
    <col min="4909" max="4909" width="3.7109375" customWidth="1"/>
    <col min="4910" max="4910" width="12.42578125" customWidth="1"/>
    <col min="4911" max="4923" width="6.7109375" customWidth="1"/>
    <col min="5121" max="5121" width="12.42578125" customWidth="1"/>
    <col min="5123" max="5125" width="9.42578125" bestFit="1" customWidth="1"/>
    <col min="5126" max="5134" width="6.7109375" customWidth="1"/>
    <col min="5135" max="5135" width="3.7109375" customWidth="1"/>
    <col min="5136" max="5136" width="12.42578125" customWidth="1"/>
    <col min="5137" max="5149" width="6.7109375" customWidth="1"/>
    <col min="5150" max="5150" width="3.7109375" customWidth="1"/>
    <col min="5151" max="5151" width="12.42578125" customWidth="1"/>
    <col min="5152" max="5164" width="6.7109375" customWidth="1"/>
    <col min="5165" max="5165" width="3.7109375" customWidth="1"/>
    <col min="5166" max="5166" width="12.42578125" customWidth="1"/>
    <col min="5167" max="5179" width="6.7109375" customWidth="1"/>
    <col min="5377" max="5377" width="12.42578125" customWidth="1"/>
    <col min="5379" max="5381" width="9.42578125" bestFit="1" customWidth="1"/>
    <col min="5382" max="5390" width="6.7109375" customWidth="1"/>
    <col min="5391" max="5391" width="3.7109375" customWidth="1"/>
    <col min="5392" max="5392" width="12.42578125" customWidth="1"/>
    <col min="5393" max="5405" width="6.7109375" customWidth="1"/>
    <col min="5406" max="5406" width="3.7109375" customWidth="1"/>
    <col min="5407" max="5407" width="12.42578125" customWidth="1"/>
    <col min="5408" max="5420" width="6.7109375" customWidth="1"/>
    <col min="5421" max="5421" width="3.7109375" customWidth="1"/>
    <col min="5422" max="5422" width="12.42578125" customWidth="1"/>
    <col min="5423" max="5435" width="6.7109375" customWidth="1"/>
    <col min="5633" max="5633" width="12.42578125" customWidth="1"/>
    <col min="5635" max="5637" width="9.42578125" bestFit="1" customWidth="1"/>
    <col min="5638" max="5646" width="6.7109375" customWidth="1"/>
    <col min="5647" max="5647" width="3.7109375" customWidth="1"/>
    <col min="5648" max="5648" width="12.42578125" customWidth="1"/>
    <col min="5649" max="5661" width="6.7109375" customWidth="1"/>
    <col min="5662" max="5662" width="3.7109375" customWidth="1"/>
    <col min="5663" max="5663" width="12.42578125" customWidth="1"/>
    <col min="5664" max="5676" width="6.7109375" customWidth="1"/>
    <col min="5677" max="5677" width="3.7109375" customWidth="1"/>
    <col min="5678" max="5678" width="12.42578125" customWidth="1"/>
    <col min="5679" max="5691" width="6.7109375" customWidth="1"/>
    <col min="5889" max="5889" width="12.42578125" customWidth="1"/>
    <col min="5891" max="5893" width="9.42578125" bestFit="1" customWidth="1"/>
    <col min="5894" max="5902" width="6.7109375" customWidth="1"/>
    <col min="5903" max="5903" width="3.7109375" customWidth="1"/>
    <col min="5904" max="5904" width="12.42578125" customWidth="1"/>
    <col min="5905" max="5917" width="6.7109375" customWidth="1"/>
    <col min="5918" max="5918" width="3.7109375" customWidth="1"/>
    <col min="5919" max="5919" width="12.42578125" customWidth="1"/>
    <col min="5920" max="5932" width="6.7109375" customWidth="1"/>
    <col min="5933" max="5933" width="3.7109375" customWidth="1"/>
    <col min="5934" max="5934" width="12.42578125" customWidth="1"/>
    <col min="5935" max="5947" width="6.7109375" customWidth="1"/>
    <col min="6145" max="6145" width="12.42578125" customWidth="1"/>
    <col min="6147" max="6149" width="9.42578125" bestFit="1" customWidth="1"/>
    <col min="6150" max="6158" width="6.7109375" customWidth="1"/>
    <col min="6159" max="6159" width="3.7109375" customWidth="1"/>
    <col min="6160" max="6160" width="12.42578125" customWidth="1"/>
    <col min="6161" max="6173" width="6.7109375" customWidth="1"/>
    <col min="6174" max="6174" width="3.7109375" customWidth="1"/>
    <col min="6175" max="6175" width="12.42578125" customWidth="1"/>
    <col min="6176" max="6188" width="6.7109375" customWidth="1"/>
    <col min="6189" max="6189" width="3.7109375" customWidth="1"/>
    <col min="6190" max="6190" width="12.42578125" customWidth="1"/>
    <col min="6191" max="6203" width="6.7109375" customWidth="1"/>
    <col min="6401" max="6401" width="12.42578125" customWidth="1"/>
    <col min="6403" max="6405" width="9.42578125" bestFit="1" customWidth="1"/>
    <col min="6406" max="6414" width="6.7109375" customWidth="1"/>
    <col min="6415" max="6415" width="3.7109375" customWidth="1"/>
    <col min="6416" max="6416" width="12.42578125" customWidth="1"/>
    <col min="6417" max="6429" width="6.7109375" customWidth="1"/>
    <col min="6430" max="6430" width="3.7109375" customWidth="1"/>
    <col min="6431" max="6431" width="12.42578125" customWidth="1"/>
    <col min="6432" max="6444" width="6.7109375" customWidth="1"/>
    <col min="6445" max="6445" width="3.7109375" customWidth="1"/>
    <col min="6446" max="6446" width="12.42578125" customWidth="1"/>
    <col min="6447" max="6459" width="6.7109375" customWidth="1"/>
    <col min="6657" max="6657" width="12.42578125" customWidth="1"/>
    <col min="6659" max="6661" width="9.42578125" bestFit="1" customWidth="1"/>
    <col min="6662" max="6670" width="6.7109375" customWidth="1"/>
    <col min="6671" max="6671" width="3.7109375" customWidth="1"/>
    <col min="6672" max="6672" width="12.42578125" customWidth="1"/>
    <col min="6673" max="6685" width="6.7109375" customWidth="1"/>
    <col min="6686" max="6686" width="3.7109375" customWidth="1"/>
    <col min="6687" max="6687" width="12.42578125" customWidth="1"/>
    <col min="6688" max="6700" width="6.7109375" customWidth="1"/>
    <col min="6701" max="6701" width="3.7109375" customWidth="1"/>
    <col min="6702" max="6702" width="12.42578125" customWidth="1"/>
    <col min="6703" max="6715" width="6.7109375" customWidth="1"/>
    <col min="6913" max="6913" width="12.42578125" customWidth="1"/>
    <col min="6915" max="6917" width="9.42578125" bestFit="1" customWidth="1"/>
    <col min="6918" max="6926" width="6.7109375" customWidth="1"/>
    <col min="6927" max="6927" width="3.7109375" customWidth="1"/>
    <col min="6928" max="6928" width="12.42578125" customWidth="1"/>
    <col min="6929" max="6941" width="6.7109375" customWidth="1"/>
    <col min="6942" max="6942" width="3.7109375" customWidth="1"/>
    <col min="6943" max="6943" width="12.42578125" customWidth="1"/>
    <col min="6944" max="6956" width="6.7109375" customWidth="1"/>
    <col min="6957" max="6957" width="3.7109375" customWidth="1"/>
    <col min="6958" max="6958" width="12.42578125" customWidth="1"/>
    <col min="6959" max="6971" width="6.7109375" customWidth="1"/>
    <col min="7169" max="7169" width="12.42578125" customWidth="1"/>
    <col min="7171" max="7173" width="9.42578125" bestFit="1" customWidth="1"/>
    <col min="7174" max="7182" width="6.7109375" customWidth="1"/>
    <col min="7183" max="7183" width="3.7109375" customWidth="1"/>
    <col min="7184" max="7184" width="12.42578125" customWidth="1"/>
    <col min="7185" max="7197" width="6.7109375" customWidth="1"/>
    <col min="7198" max="7198" width="3.7109375" customWidth="1"/>
    <col min="7199" max="7199" width="12.42578125" customWidth="1"/>
    <col min="7200" max="7212" width="6.7109375" customWidth="1"/>
    <col min="7213" max="7213" width="3.7109375" customWidth="1"/>
    <col min="7214" max="7214" width="12.42578125" customWidth="1"/>
    <col min="7215" max="7227" width="6.7109375" customWidth="1"/>
    <col min="7425" max="7425" width="12.42578125" customWidth="1"/>
    <col min="7427" max="7429" width="9.42578125" bestFit="1" customWidth="1"/>
    <col min="7430" max="7438" width="6.7109375" customWidth="1"/>
    <col min="7439" max="7439" width="3.7109375" customWidth="1"/>
    <col min="7440" max="7440" width="12.42578125" customWidth="1"/>
    <col min="7441" max="7453" width="6.7109375" customWidth="1"/>
    <col min="7454" max="7454" width="3.7109375" customWidth="1"/>
    <col min="7455" max="7455" width="12.42578125" customWidth="1"/>
    <col min="7456" max="7468" width="6.7109375" customWidth="1"/>
    <col min="7469" max="7469" width="3.7109375" customWidth="1"/>
    <col min="7470" max="7470" width="12.42578125" customWidth="1"/>
    <col min="7471" max="7483" width="6.7109375" customWidth="1"/>
    <col min="7681" max="7681" width="12.42578125" customWidth="1"/>
    <col min="7683" max="7685" width="9.42578125" bestFit="1" customWidth="1"/>
    <col min="7686" max="7694" width="6.7109375" customWidth="1"/>
    <col min="7695" max="7695" width="3.7109375" customWidth="1"/>
    <col min="7696" max="7696" width="12.42578125" customWidth="1"/>
    <col min="7697" max="7709" width="6.7109375" customWidth="1"/>
    <col min="7710" max="7710" width="3.7109375" customWidth="1"/>
    <col min="7711" max="7711" width="12.42578125" customWidth="1"/>
    <col min="7712" max="7724" width="6.7109375" customWidth="1"/>
    <col min="7725" max="7725" width="3.7109375" customWidth="1"/>
    <col min="7726" max="7726" width="12.42578125" customWidth="1"/>
    <col min="7727" max="7739" width="6.7109375" customWidth="1"/>
    <col min="7937" max="7937" width="12.42578125" customWidth="1"/>
    <col min="7939" max="7941" width="9.42578125" bestFit="1" customWidth="1"/>
    <col min="7942" max="7950" width="6.7109375" customWidth="1"/>
    <col min="7951" max="7951" width="3.7109375" customWidth="1"/>
    <col min="7952" max="7952" width="12.42578125" customWidth="1"/>
    <col min="7953" max="7965" width="6.7109375" customWidth="1"/>
    <col min="7966" max="7966" width="3.7109375" customWidth="1"/>
    <col min="7967" max="7967" width="12.42578125" customWidth="1"/>
    <col min="7968" max="7980" width="6.7109375" customWidth="1"/>
    <col min="7981" max="7981" width="3.7109375" customWidth="1"/>
    <col min="7982" max="7982" width="12.42578125" customWidth="1"/>
    <col min="7983" max="7995" width="6.7109375" customWidth="1"/>
    <col min="8193" max="8193" width="12.42578125" customWidth="1"/>
    <col min="8195" max="8197" width="9.42578125" bestFit="1" customWidth="1"/>
    <col min="8198" max="8206" width="6.7109375" customWidth="1"/>
    <col min="8207" max="8207" width="3.7109375" customWidth="1"/>
    <col min="8208" max="8208" width="12.42578125" customWidth="1"/>
    <col min="8209" max="8221" width="6.7109375" customWidth="1"/>
    <col min="8222" max="8222" width="3.7109375" customWidth="1"/>
    <col min="8223" max="8223" width="12.42578125" customWidth="1"/>
    <col min="8224" max="8236" width="6.7109375" customWidth="1"/>
    <col min="8237" max="8237" width="3.7109375" customWidth="1"/>
    <col min="8238" max="8238" width="12.42578125" customWidth="1"/>
    <col min="8239" max="8251" width="6.7109375" customWidth="1"/>
    <col min="8449" max="8449" width="12.42578125" customWidth="1"/>
    <col min="8451" max="8453" width="9.42578125" bestFit="1" customWidth="1"/>
    <col min="8454" max="8462" width="6.7109375" customWidth="1"/>
    <col min="8463" max="8463" width="3.7109375" customWidth="1"/>
    <col min="8464" max="8464" width="12.42578125" customWidth="1"/>
    <col min="8465" max="8477" width="6.7109375" customWidth="1"/>
    <col min="8478" max="8478" width="3.7109375" customWidth="1"/>
    <col min="8479" max="8479" width="12.42578125" customWidth="1"/>
    <col min="8480" max="8492" width="6.7109375" customWidth="1"/>
    <col min="8493" max="8493" width="3.7109375" customWidth="1"/>
    <col min="8494" max="8494" width="12.42578125" customWidth="1"/>
    <col min="8495" max="8507" width="6.7109375" customWidth="1"/>
    <col min="8705" max="8705" width="12.42578125" customWidth="1"/>
    <col min="8707" max="8709" width="9.42578125" bestFit="1" customWidth="1"/>
    <col min="8710" max="8718" width="6.7109375" customWidth="1"/>
    <col min="8719" max="8719" width="3.7109375" customWidth="1"/>
    <col min="8720" max="8720" width="12.42578125" customWidth="1"/>
    <col min="8721" max="8733" width="6.7109375" customWidth="1"/>
    <col min="8734" max="8734" width="3.7109375" customWidth="1"/>
    <col min="8735" max="8735" width="12.42578125" customWidth="1"/>
    <col min="8736" max="8748" width="6.7109375" customWidth="1"/>
    <col min="8749" max="8749" width="3.7109375" customWidth="1"/>
    <col min="8750" max="8750" width="12.42578125" customWidth="1"/>
    <col min="8751" max="8763" width="6.7109375" customWidth="1"/>
    <col min="8961" max="8961" width="12.42578125" customWidth="1"/>
    <col min="8963" max="8965" width="9.42578125" bestFit="1" customWidth="1"/>
    <col min="8966" max="8974" width="6.7109375" customWidth="1"/>
    <col min="8975" max="8975" width="3.7109375" customWidth="1"/>
    <col min="8976" max="8976" width="12.42578125" customWidth="1"/>
    <col min="8977" max="8989" width="6.7109375" customWidth="1"/>
    <col min="8990" max="8990" width="3.7109375" customWidth="1"/>
    <col min="8991" max="8991" width="12.42578125" customWidth="1"/>
    <col min="8992" max="9004" width="6.7109375" customWidth="1"/>
    <col min="9005" max="9005" width="3.7109375" customWidth="1"/>
    <col min="9006" max="9006" width="12.42578125" customWidth="1"/>
    <col min="9007" max="9019" width="6.7109375" customWidth="1"/>
    <col min="9217" max="9217" width="12.42578125" customWidth="1"/>
    <col min="9219" max="9221" width="9.42578125" bestFit="1" customWidth="1"/>
    <col min="9222" max="9230" width="6.7109375" customWidth="1"/>
    <col min="9231" max="9231" width="3.7109375" customWidth="1"/>
    <col min="9232" max="9232" width="12.42578125" customWidth="1"/>
    <col min="9233" max="9245" width="6.7109375" customWidth="1"/>
    <col min="9246" max="9246" width="3.7109375" customWidth="1"/>
    <col min="9247" max="9247" width="12.42578125" customWidth="1"/>
    <col min="9248" max="9260" width="6.7109375" customWidth="1"/>
    <col min="9261" max="9261" width="3.7109375" customWidth="1"/>
    <col min="9262" max="9262" width="12.42578125" customWidth="1"/>
    <col min="9263" max="9275" width="6.7109375" customWidth="1"/>
    <col min="9473" max="9473" width="12.42578125" customWidth="1"/>
    <col min="9475" max="9477" width="9.42578125" bestFit="1" customWidth="1"/>
    <col min="9478" max="9486" width="6.7109375" customWidth="1"/>
    <col min="9487" max="9487" width="3.7109375" customWidth="1"/>
    <col min="9488" max="9488" width="12.42578125" customWidth="1"/>
    <col min="9489" max="9501" width="6.7109375" customWidth="1"/>
    <col min="9502" max="9502" width="3.7109375" customWidth="1"/>
    <col min="9503" max="9503" width="12.42578125" customWidth="1"/>
    <col min="9504" max="9516" width="6.7109375" customWidth="1"/>
    <col min="9517" max="9517" width="3.7109375" customWidth="1"/>
    <col min="9518" max="9518" width="12.42578125" customWidth="1"/>
    <col min="9519" max="9531" width="6.7109375" customWidth="1"/>
    <col min="9729" max="9729" width="12.42578125" customWidth="1"/>
    <col min="9731" max="9733" width="9.42578125" bestFit="1" customWidth="1"/>
    <col min="9734" max="9742" width="6.7109375" customWidth="1"/>
    <col min="9743" max="9743" width="3.7109375" customWidth="1"/>
    <col min="9744" max="9744" width="12.42578125" customWidth="1"/>
    <col min="9745" max="9757" width="6.7109375" customWidth="1"/>
    <col min="9758" max="9758" width="3.7109375" customWidth="1"/>
    <col min="9759" max="9759" width="12.42578125" customWidth="1"/>
    <col min="9760" max="9772" width="6.7109375" customWidth="1"/>
    <col min="9773" max="9773" width="3.7109375" customWidth="1"/>
    <col min="9774" max="9774" width="12.42578125" customWidth="1"/>
    <col min="9775" max="9787" width="6.7109375" customWidth="1"/>
    <col min="9985" max="9985" width="12.42578125" customWidth="1"/>
    <col min="9987" max="9989" width="9.42578125" bestFit="1" customWidth="1"/>
    <col min="9990" max="9998" width="6.7109375" customWidth="1"/>
    <col min="9999" max="9999" width="3.7109375" customWidth="1"/>
    <col min="10000" max="10000" width="12.42578125" customWidth="1"/>
    <col min="10001" max="10013" width="6.7109375" customWidth="1"/>
    <col min="10014" max="10014" width="3.7109375" customWidth="1"/>
    <col min="10015" max="10015" width="12.42578125" customWidth="1"/>
    <col min="10016" max="10028" width="6.7109375" customWidth="1"/>
    <col min="10029" max="10029" width="3.7109375" customWidth="1"/>
    <col min="10030" max="10030" width="12.42578125" customWidth="1"/>
    <col min="10031" max="10043" width="6.7109375" customWidth="1"/>
    <col min="10241" max="10241" width="12.42578125" customWidth="1"/>
    <col min="10243" max="10245" width="9.42578125" bestFit="1" customWidth="1"/>
    <col min="10246" max="10254" width="6.7109375" customWidth="1"/>
    <col min="10255" max="10255" width="3.7109375" customWidth="1"/>
    <col min="10256" max="10256" width="12.42578125" customWidth="1"/>
    <col min="10257" max="10269" width="6.7109375" customWidth="1"/>
    <col min="10270" max="10270" width="3.7109375" customWidth="1"/>
    <col min="10271" max="10271" width="12.42578125" customWidth="1"/>
    <col min="10272" max="10284" width="6.7109375" customWidth="1"/>
    <col min="10285" max="10285" width="3.7109375" customWidth="1"/>
    <col min="10286" max="10286" width="12.42578125" customWidth="1"/>
    <col min="10287" max="10299" width="6.7109375" customWidth="1"/>
    <col min="10497" max="10497" width="12.42578125" customWidth="1"/>
    <col min="10499" max="10501" width="9.42578125" bestFit="1" customWidth="1"/>
    <col min="10502" max="10510" width="6.7109375" customWidth="1"/>
    <col min="10511" max="10511" width="3.7109375" customWidth="1"/>
    <col min="10512" max="10512" width="12.42578125" customWidth="1"/>
    <col min="10513" max="10525" width="6.7109375" customWidth="1"/>
    <col min="10526" max="10526" width="3.7109375" customWidth="1"/>
    <col min="10527" max="10527" width="12.42578125" customWidth="1"/>
    <col min="10528" max="10540" width="6.7109375" customWidth="1"/>
    <col min="10541" max="10541" width="3.7109375" customWidth="1"/>
    <col min="10542" max="10542" width="12.42578125" customWidth="1"/>
    <col min="10543" max="10555" width="6.7109375" customWidth="1"/>
    <col min="10753" max="10753" width="12.42578125" customWidth="1"/>
    <col min="10755" max="10757" width="9.42578125" bestFit="1" customWidth="1"/>
    <col min="10758" max="10766" width="6.7109375" customWidth="1"/>
    <col min="10767" max="10767" width="3.7109375" customWidth="1"/>
    <col min="10768" max="10768" width="12.42578125" customWidth="1"/>
    <col min="10769" max="10781" width="6.7109375" customWidth="1"/>
    <col min="10782" max="10782" width="3.7109375" customWidth="1"/>
    <col min="10783" max="10783" width="12.42578125" customWidth="1"/>
    <col min="10784" max="10796" width="6.7109375" customWidth="1"/>
    <col min="10797" max="10797" width="3.7109375" customWidth="1"/>
    <col min="10798" max="10798" width="12.42578125" customWidth="1"/>
    <col min="10799" max="10811" width="6.7109375" customWidth="1"/>
    <col min="11009" max="11009" width="12.42578125" customWidth="1"/>
    <col min="11011" max="11013" width="9.42578125" bestFit="1" customWidth="1"/>
    <col min="11014" max="11022" width="6.7109375" customWidth="1"/>
    <col min="11023" max="11023" width="3.7109375" customWidth="1"/>
    <col min="11024" max="11024" width="12.42578125" customWidth="1"/>
    <col min="11025" max="11037" width="6.7109375" customWidth="1"/>
    <col min="11038" max="11038" width="3.7109375" customWidth="1"/>
    <col min="11039" max="11039" width="12.42578125" customWidth="1"/>
    <col min="11040" max="11052" width="6.7109375" customWidth="1"/>
    <col min="11053" max="11053" width="3.7109375" customWidth="1"/>
    <col min="11054" max="11054" width="12.42578125" customWidth="1"/>
    <col min="11055" max="11067" width="6.7109375" customWidth="1"/>
    <col min="11265" max="11265" width="12.42578125" customWidth="1"/>
    <col min="11267" max="11269" width="9.42578125" bestFit="1" customWidth="1"/>
    <col min="11270" max="11278" width="6.7109375" customWidth="1"/>
    <col min="11279" max="11279" width="3.7109375" customWidth="1"/>
    <col min="11280" max="11280" width="12.42578125" customWidth="1"/>
    <col min="11281" max="11293" width="6.7109375" customWidth="1"/>
    <col min="11294" max="11294" width="3.7109375" customWidth="1"/>
    <col min="11295" max="11295" width="12.42578125" customWidth="1"/>
    <col min="11296" max="11308" width="6.7109375" customWidth="1"/>
    <col min="11309" max="11309" width="3.7109375" customWidth="1"/>
    <col min="11310" max="11310" width="12.42578125" customWidth="1"/>
    <col min="11311" max="11323" width="6.7109375" customWidth="1"/>
    <col min="11521" max="11521" width="12.42578125" customWidth="1"/>
    <col min="11523" max="11525" width="9.42578125" bestFit="1" customWidth="1"/>
    <col min="11526" max="11534" width="6.7109375" customWidth="1"/>
    <col min="11535" max="11535" width="3.7109375" customWidth="1"/>
    <col min="11536" max="11536" width="12.42578125" customWidth="1"/>
    <col min="11537" max="11549" width="6.7109375" customWidth="1"/>
    <col min="11550" max="11550" width="3.7109375" customWidth="1"/>
    <col min="11551" max="11551" width="12.42578125" customWidth="1"/>
    <col min="11552" max="11564" width="6.7109375" customWidth="1"/>
    <col min="11565" max="11565" width="3.7109375" customWidth="1"/>
    <col min="11566" max="11566" width="12.42578125" customWidth="1"/>
    <col min="11567" max="11579" width="6.7109375" customWidth="1"/>
    <col min="11777" max="11777" width="12.42578125" customWidth="1"/>
    <col min="11779" max="11781" width="9.42578125" bestFit="1" customWidth="1"/>
    <col min="11782" max="11790" width="6.7109375" customWidth="1"/>
    <col min="11791" max="11791" width="3.7109375" customWidth="1"/>
    <col min="11792" max="11792" width="12.42578125" customWidth="1"/>
    <col min="11793" max="11805" width="6.7109375" customWidth="1"/>
    <col min="11806" max="11806" width="3.7109375" customWidth="1"/>
    <col min="11807" max="11807" width="12.42578125" customWidth="1"/>
    <col min="11808" max="11820" width="6.7109375" customWidth="1"/>
    <col min="11821" max="11821" width="3.7109375" customWidth="1"/>
    <col min="11822" max="11822" width="12.42578125" customWidth="1"/>
    <col min="11823" max="11835" width="6.7109375" customWidth="1"/>
    <col min="12033" max="12033" width="12.42578125" customWidth="1"/>
    <col min="12035" max="12037" width="9.42578125" bestFit="1" customWidth="1"/>
    <col min="12038" max="12046" width="6.7109375" customWidth="1"/>
    <col min="12047" max="12047" width="3.7109375" customWidth="1"/>
    <col min="12048" max="12048" width="12.42578125" customWidth="1"/>
    <col min="12049" max="12061" width="6.7109375" customWidth="1"/>
    <col min="12062" max="12062" width="3.7109375" customWidth="1"/>
    <col min="12063" max="12063" width="12.42578125" customWidth="1"/>
    <col min="12064" max="12076" width="6.7109375" customWidth="1"/>
    <col min="12077" max="12077" width="3.7109375" customWidth="1"/>
    <col min="12078" max="12078" width="12.42578125" customWidth="1"/>
    <col min="12079" max="12091" width="6.7109375" customWidth="1"/>
    <col min="12289" max="12289" width="12.42578125" customWidth="1"/>
    <col min="12291" max="12293" width="9.42578125" bestFit="1" customWidth="1"/>
    <col min="12294" max="12302" width="6.7109375" customWidth="1"/>
    <col min="12303" max="12303" width="3.7109375" customWidth="1"/>
    <col min="12304" max="12304" width="12.42578125" customWidth="1"/>
    <col min="12305" max="12317" width="6.7109375" customWidth="1"/>
    <col min="12318" max="12318" width="3.7109375" customWidth="1"/>
    <col min="12319" max="12319" width="12.42578125" customWidth="1"/>
    <col min="12320" max="12332" width="6.7109375" customWidth="1"/>
    <col min="12333" max="12333" width="3.7109375" customWidth="1"/>
    <col min="12334" max="12334" width="12.42578125" customWidth="1"/>
    <col min="12335" max="12347" width="6.7109375" customWidth="1"/>
    <col min="12545" max="12545" width="12.42578125" customWidth="1"/>
    <col min="12547" max="12549" width="9.42578125" bestFit="1" customWidth="1"/>
    <col min="12550" max="12558" width="6.7109375" customWidth="1"/>
    <col min="12559" max="12559" width="3.7109375" customWidth="1"/>
    <col min="12560" max="12560" width="12.42578125" customWidth="1"/>
    <col min="12561" max="12573" width="6.7109375" customWidth="1"/>
    <col min="12574" max="12574" width="3.7109375" customWidth="1"/>
    <col min="12575" max="12575" width="12.42578125" customWidth="1"/>
    <col min="12576" max="12588" width="6.7109375" customWidth="1"/>
    <col min="12589" max="12589" width="3.7109375" customWidth="1"/>
    <col min="12590" max="12590" width="12.42578125" customWidth="1"/>
    <col min="12591" max="12603" width="6.7109375" customWidth="1"/>
    <col min="12801" max="12801" width="12.42578125" customWidth="1"/>
    <col min="12803" max="12805" width="9.42578125" bestFit="1" customWidth="1"/>
    <col min="12806" max="12814" width="6.7109375" customWidth="1"/>
    <col min="12815" max="12815" width="3.7109375" customWidth="1"/>
    <col min="12816" max="12816" width="12.42578125" customWidth="1"/>
    <col min="12817" max="12829" width="6.7109375" customWidth="1"/>
    <col min="12830" max="12830" width="3.7109375" customWidth="1"/>
    <col min="12831" max="12831" width="12.42578125" customWidth="1"/>
    <col min="12832" max="12844" width="6.7109375" customWidth="1"/>
    <col min="12845" max="12845" width="3.7109375" customWidth="1"/>
    <col min="12846" max="12846" width="12.42578125" customWidth="1"/>
    <col min="12847" max="12859" width="6.7109375" customWidth="1"/>
    <col min="13057" max="13057" width="12.42578125" customWidth="1"/>
    <col min="13059" max="13061" width="9.42578125" bestFit="1" customWidth="1"/>
    <col min="13062" max="13070" width="6.7109375" customWidth="1"/>
    <col min="13071" max="13071" width="3.7109375" customWidth="1"/>
    <col min="13072" max="13072" width="12.42578125" customWidth="1"/>
    <col min="13073" max="13085" width="6.7109375" customWidth="1"/>
    <col min="13086" max="13086" width="3.7109375" customWidth="1"/>
    <col min="13087" max="13087" width="12.42578125" customWidth="1"/>
    <col min="13088" max="13100" width="6.7109375" customWidth="1"/>
    <col min="13101" max="13101" width="3.7109375" customWidth="1"/>
    <col min="13102" max="13102" width="12.42578125" customWidth="1"/>
    <col min="13103" max="13115" width="6.7109375" customWidth="1"/>
    <col min="13313" max="13313" width="12.42578125" customWidth="1"/>
    <col min="13315" max="13317" width="9.42578125" bestFit="1" customWidth="1"/>
    <col min="13318" max="13326" width="6.7109375" customWidth="1"/>
    <col min="13327" max="13327" width="3.7109375" customWidth="1"/>
    <col min="13328" max="13328" width="12.42578125" customWidth="1"/>
    <col min="13329" max="13341" width="6.7109375" customWidth="1"/>
    <col min="13342" max="13342" width="3.7109375" customWidth="1"/>
    <col min="13343" max="13343" width="12.42578125" customWidth="1"/>
    <col min="13344" max="13356" width="6.7109375" customWidth="1"/>
    <col min="13357" max="13357" width="3.7109375" customWidth="1"/>
    <col min="13358" max="13358" width="12.42578125" customWidth="1"/>
    <col min="13359" max="13371" width="6.7109375" customWidth="1"/>
    <col min="13569" max="13569" width="12.42578125" customWidth="1"/>
    <col min="13571" max="13573" width="9.42578125" bestFit="1" customWidth="1"/>
    <col min="13574" max="13582" width="6.7109375" customWidth="1"/>
    <col min="13583" max="13583" width="3.7109375" customWidth="1"/>
    <col min="13584" max="13584" width="12.42578125" customWidth="1"/>
    <col min="13585" max="13597" width="6.7109375" customWidth="1"/>
    <col min="13598" max="13598" width="3.7109375" customWidth="1"/>
    <col min="13599" max="13599" width="12.42578125" customWidth="1"/>
    <col min="13600" max="13612" width="6.7109375" customWidth="1"/>
    <col min="13613" max="13613" width="3.7109375" customWidth="1"/>
    <col min="13614" max="13614" width="12.42578125" customWidth="1"/>
    <col min="13615" max="13627" width="6.7109375" customWidth="1"/>
    <col min="13825" max="13825" width="12.42578125" customWidth="1"/>
    <col min="13827" max="13829" width="9.42578125" bestFit="1" customWidth="1"/>
    <col min="13830" max="13838" width="6.7109375" customWidth="1"/>
    <col min="13839" max="13839" width="3.7109375" customWidth="1"/>
    <col min="13840" max="13840" width="12.42578125" customWidth="1"/>
    <col min="13841" max="13853" width="6.7109375" customWidth="1"/>
    <col min="13854" max="13854" width="3.7109375" customWidth="1"/>
    <col min="13855" max="13855" width="12.42578125" customWidth="1"/>
    <col min="13856" max="13868" width="6.7109375" customWidth="1"/>
    <col min="13869" max="13869" width="3.7109375" customWidth="1"/>
    <col min="13870" max="13870" width="12.42578125" customWidth="1"/>
    <col min="13871" max="13883" width="6.7109375" customWidth="1"/>
    <col min="14081" max="14081" width="12.42578125" customWidth="1"/>
    <col min="14083" max="14085" width="9.42578125" bestFit="1" customWidth="1"/>
    <col min="14086" max="14094" width="6.7109375" customWidth="1"/>
    <col min="14095" max="14095" width="3.7109375" customWidth="1"/>
    <col min="14096" max="14096" width="12.42578125" customWidth="1"/>
    <col min="14097" max="14109" width="6.7109375" customWidth="1"/>
    <col min="14110" max="14110" width="3.7109375" customWidth="1"/>
    <col min="14111" max="14111" width="12.42578125" customWidth="1"/>
    <col min="14112" max="14124" width="6.7109375" customWidth="1"/>
    <col min="14125" max="14125" width="3.7109375" customWidth="1"/>
    <col min="14126" max="14126" width="12.42578125" customWidth="1"/>
    <col min="14127" max="14139" width="6.7109375" customWidth="1"/>
    <col min="14337" max="14337" width="12.42578125" customWidth="1"/>
    <col min="14339" max="14341" width="9.42578125" bestFit="1" customWidth="1"/>
    <col min="14342" max="14350" width="6.7109375" customWidth="1"/>
    <col min="14351" max="14351" width="3.7109375" customWidth="1"/>
    <col min="14352" max="14352" width="12.42578125" customWidth="1"/>
    <col min="14353" max="14365" width="6.7109375" customWidth="1"/>
    <col min="14366" max="14366" width="3.7109375" customWidth="1"/>
    <col min="14367" max="14367" width="12.42578125" customWidth="1"/>
    <col min="14368" max="14380" width="6.7109375" customWidth="1"/>
    <col min="14381" max="14381" width="3.7109375" customWidth="1"/>
    <col min="14382" max="14382" width="12.42578125" customWidth="1"/>
    <col min="14383" max="14395" width="6.7109375" customWidth="1"/>
    <col min="14593" max="14593" width="12.42578125" customWidth="1"/>
    <col min="14595" max="14597" width="9.42578125" bestFit="1" customWidth="1"/>
    <col min="14598" max="14606" width="6.7109375" customWidth="1"/>
    <col min="14607" max="14607" width="3.7109375" customWidth="1"/>
    <col min="14608" max="14608" width="12.42578125" customWidth="1"/>
    <col min="14609" max="14621" width="6.7109375" customWidth="1"/>
    <col min="14622" max="14622" width="3.7109375" customWidth="1"/>
    <col min="14623" max="14623" width="12.42578125" customWidth="1"/>
    <col min="14624" max="14636" width="6.7109375" customWidth="1"/>
    <col min="14637" max="14637" width="3.7109375" customWidth="1"/>
    <col min="14638" max="14638" width="12.42578125" customWidth="1"/>
    <col min="14639" max="14651" width="6.7109375" customWidth="1"/>
    <col min="14849" max="14849" width="12.42578125" customWidth="1"/>
    <col min="14851" max="14853" width="9.42578125" bestFit="1" customWidth="1"/>
    <col min="14854" max="14862" width="6.7109375" customWidth="1"/>
    <col min="14863" max="14863" width="3.7109375" customWidth="1"/>
    <col min="14864" max="14864" width="12.42578125" customWidth="1"/>
    <col min="14865" max="14877" width="6.7109375" customWidth="1"/>
    <col min="14878" max="14878" width="3.7109375" customWidth="1"/>
    <col min="14879" max="14879" width="12.42578125" customWidth="1"/>
    <col min="14880" max="14892" width="6.7109375" customWidth="1"/>
    <col min="14893" max="14893" width="3.7109375" customWidth="1"/>
    <col min="14894" max="14894" width="12.42578125" customWidth="1"/>
    <col min="14895" max="14907" width="6.7109375" customWidth="1"/>
    <col min="15105" max="15105" width="12.42578125" customWidth="1"/>
    <col min="15107" max="15109" width="9.42578125" bestFit="1" customWidth="1"/>
    <col min="15110" max="15118" width="6.7109375" customWidth="1"/>
    <col min="15119" max="15119" width="3.7109375" customWidth="1"/>
    <col min="15120" max="15120" width="12.42578125" customWidth="1"/>
    <col min="15121" max="15133" width="6.7109375" customWidth="1"/>
    <col min="15134" max="15134" width="3.7109375" customWidth="1"/>
    <col min="15135" max="15135" width="12.42578125" customWidth="1"/>
    <col min="15136" max="15148" width="6.7109375" customWidth="1"/>
    <col min="15149" max="15149" width="3.7109375" customWidth="1"/>
    <col min="15150" max="15150" width="12.42578125" customWidth="1"/>
    <col min="15151" max="15163" width="6.7109375" customWidth="1"/>
    <col min="15361" max="15361" width="12.42578125" customWidth="1"/>
    <col min="15363" max="15365" width="9.42578125" bestFit="1" customWidth="1"/>
    <col min="15366" max="15374" width="6.7109375" customWidth="1"/>
    <col min="15375" max="15375" width="3.7109375" customWidth="1"/>
    <col min="15376" max="15376" width="12.42578125" customWidth="1"/>
    <col min="15377" max="15389" width="6.7109375" customWidth="1"/>
    <col min="15390" max="15390" width="3.7109375" customWidth="1"/>
    <col min="15391" max="15391" width="12.42578125" customWidth="1"/>
    <col min="15392" max="15404" width="6.7109375" customWidth="1"/>
    <col min="15405" max="15405" width="3.7109375" customWidth="1"/>
    <col min="15406" max="15406" width="12.42578125" customWidth="1"/>
    <col min="15407" max="15419" width="6.7109375" customWidth="1"/>
    <col min="15617" max="15617" width="12.42578125" customWidth="1"/>
    <col min="15619" max="15621" width="9.42578125" bestFit="1" customWidth="1"/>
    <col min="15622" max="15630" width="6.7109375" customWidth="1"/>
    <col min="15631" max="15631" width="3.7109375" customWidth="1"/>
    <col min="15632" max="15632" width="12.42578125" customWidth="1"/>
    <col min="15633" max="15645" width="6.7109375" customWidth="1"/>
    <col min="15646" max="15646" width="3.7109375" customWidth="1"/>
    <col min="15647" max="15647" width="12.42578125" customWidth="1"/>
    <col min="15648" max="15660" width="6.7109375" customWidth="1"/>
    <col min="15661" max="15661" width="3.7109375" customWidth="1"/>
    <col min="15662" max="15662" width="12.42578125" customWidth="1"/>
    <col min="15663" max="15675" width="6.7109375" customWidth="1"/>
    <col min="15873" max="15873" width="12.42578125" customWidth="1"/>
    <col min="15875" max="15877" width="9.42578125" bestFit="1" customWidth="1"/>
    <col min="15878" max="15886" width="6.7109375" customWidth="1"/>
    <col min="15887" max="15887" width="3.7109375" customWidth="1"/>
    <col min="15888" max="15888" width="12.42578125" customWidth="1"/>
    <col min="15889" max="15901" width="6.7109375" customWidth="1"/>
    <col min="15902" max="15902" width="3.7109375" customWidth="1"/>
    <col min="15903" max="15903" width="12.42578125" customWidth="1"/>
    <col min="15904" max="15916" width="6.7109375" customWidth="1"/>
    <col min="15917" max="15917" width="3.7109375" customWidth="1"/>
    <col min="15918" max="15918" width="12.42578125" customWidth="1"/>
    <col min="15919" max="15931" width="6.7109375" customWidth="1"/>
    <col min="16129" max="16129" width="12.42578125" customWidth="1"/>
    <col min="16131" max="16133" width="9.42578125" bestFit="1" customWidth="1"/>
    <col min="16134" max="16142" width="6.7109375" customWidth="1"/>
    <col min="16143" max="16143" width="3.7109375" customWidth="1"/>
    <col min="16144" max="16144" width="12.42578125" customWidth="1"/>
    <col min="16145" max="16157" width="6.7109375" customWidth="1"/>
    <col min="16158" max="16158" width="3.7109375" customWidth="1"/>
    <col min="16159" max="16159" width="12.42578125" customWidth="1"/>
    <col min="16160" max="16172" width="6.7109375" customWidth="1"/>
    <col min="16173" max="16173" width="3.7109375" customWidth="1"/>
    <col min="16174" max="16174" width="12.42578125" customWidth="1"/>
    <col min="16175" max="16187" width="6.7109375" customWidth="1"/>
  </cols>
  <sheetData>
    <row r="1" spans="1:59" ht="15">
      <c r="A1" s="340" t="s">
        <v>135</v>
      </c>
      <c r="B1" s="340"/>
      <c r="C1" s="340"/>
      <c r="D1" s="340"/>
      <c r="E1" s="340"/>
      <c r="F1" s="340"/>
      <c r="G1" s="340"/>
      <c r="H1" s="340"/>
      <c r="I1" s="340"/>
      <c r="J1" s="340"/>
      <c r="K1" s="178"/>
    </row>
    <row r="2" spans="1:59" ht="16.5" thickBot="1">
      <c r="A2" s="261" t="s">
        <v>136</v>
      </c>
      <c r="B2" s="6"/>
      <c r="C2" s="11"/>
      <c r="D2" s="6"/>
      <c r="E2" s="6"/>
      <c r="F2" s="6"/>
      <c r="G2" s="6"/>
      <c r="H2" s="6"/>
      <c r="I2" s="6"/>
      <c r="J2" s="177"/>
      <c r="K2" s="178"/>
    </row>
    <row r="3" spans="1:59" ht="16.5" thickBot="1">
      <c r="A3" s="325" t="s">
        <v>106</v>
      </c>
      <c r="B3" s="375" t="str">
        <f>'START HERE'!F6</f>
        <v>EU</v>
      </c>
      <c r="C3" s="386"/>
      <c r="D3" s="376"/>
      <c r="E3" s="177"/>
      <c r="F3" s="30" t="s">
        <v>38</v>
      </c>
      <c r="G3" s="372" t="str">
        <f>'LEN F4'!F3</f>
        <v>Fleet 4 Offshore</v>
      </c>
      <c r="H3" s="373"/>
      <c r="I3" s="374"/>
      <c r="J3" s="177"/>
      <c r="K3" s="178"/>
    </row>
    <row r="4" spans="1:59" ht="15.75">
      <c r="A4" s="12" t="s">
        <v>18</v>
      </c>
      <c r="B4" s="375" t="str">
        <f>'START HERE'!F5</f>
        <v>Jack mackerel</v>
      </c>
      <c r="C4" s="386"/>
      <c r="D4" s="376"/>
      <c r="E4" s="177"/>
      <c r="F4" s="326"/>
      <c r="G4" s="317"/>
      <c r="H4" s="318"/>
      <c r="I4" s="336"/>
      <c r="J4" s="177"/>
      <c r="K4" s="178"/>
    </row>
    <row r="5" spans="1:59" ht="18">
      <c r="A5" s="12" t="s">
        <v>13</v>
      </c>
      <c r="B5" s="387">
        <f>'START HERE'!$K$3</f>
        <v>2010</v>
      </c>
      <c r="C5" s="388"/>
      <c r="D5" s="389"/>
      <c r="E5" s="177"/>
      <c r="F5" s="12" t="s">
        <v>39</v>
      </c>
      <c r="G5" s="324" t="s">
        <v>137</v>
      </c>
      <c r="H5" s="334"/>
      <c r="I5" s="335"/>
      <c r="J5" s="177"/>
      <c r="K5" s="178"/>
      <c r="L5" s="149"/>
    </row>
    <row r="6" spans="1:59" ht="16.5" thickBot="1">
      <c r="A6" s="12"/>
      <c r="B6" s="11"/>
      <c r="C6" s="103"/>
      <c r="D6" s="6"/>
      <c r="F6" s="12" t="s">
        <v>14</v>
      </c>
      <c r="G6" s="380" t="str">
        <f>'START HERE'!$F8</f>
        <v>13/6/2022</v>
      </c>
      <c r="H6" s="381"/>
      <c r="I6" s="382"/>
      <c r="J6" s="177"/>
      <c r="K6" s="178"/>
    </row>
    <row r="7" spans="1:59">
      <c r="A7" s="6"/>
      <c r="B7" s="6"/>
      <c r="C7" s="6"/>
      <c r="D7" s="6"/>
      <c r="E7" s="6"/>
      <c r="F7" s="6"/>
      <c r="G7" s="6"/>
      <c r="H7" s="6"/>
      <c r="I7" s="6"/>
      <c r="J7" s="177"/>
      <c r="K7" s="178"/>
    </row>
    <row r="8" spans="1:59">
      <c r="A8" s="6"/>
      <c r="B8" s="6"/>
      <c r="C8" s="6"/>
      <c r="D8" s="6"/>
      <c r="E8" s="6"/>
      <c r="F8" s="6"/>
      <c r="G8" s="6"/>
      <c r="H8" s="6"/>
      <c r="I8" s="6"/>
      <c r="J8" s="177"/>
      <c r="K8" s="178"/>
    </row>
    <row r="9" spans="1:59" ht="16.5" customHeight="1">
      <c r="A9" s="338" t="str">
        <f>'START HERE'!$F$13</f>
        <v>fork length</v>
      </c>
      <c r="B9" s="27" t="s">
        <v>51</v>
      </c>
      <c r="C9" s="27" t="s">
        <v>30</v>
      </c>
      <c r="D9" s="27" t="s">
        <v>31</v>
      </c>
      <c r="E9" s="27" t="s">
        <v>32</v>
      </c>
      <c r="F9" s="2"/>
      <c r="G9" s="149"/>
      <c r="H9" s="149"/>
      <c r="I9" s="149"/>
      <c r="J9" s="149"/>
      <c r="K9" s="337"/>
      <c r="L9" s="149"/>
      <c r="M9" s="149"/>
      <c r="N9" s="149"/>
      <c r="P9" s="2"/>
      <c r="Q9" s="403"/>
      <c r="R9" s="403"/>
      <c r="S9" s="403"/>
      <c r="T9" s="403"/>
      <c r="U9" s="403"/>
      <c r="V9" s="403"/>
      <c r="W9" s="403"/>
      <c r="X9" s="403"/>
      <c r="Y9" s="403"/>
      <c r="Z9" s="403"/>
      <c r="AA9" s="403"/>
      <c r="AB9" s="403"/>
      <c r="AC9" s="403"/>
      <c r="AE9" s="2"/>
      <c r="AF9" s="403"/>
      <c r="AG9" s="403"/>
      <c r="AH9" s="403"/>
      <c r="AI9" s="403"/>
      <c r="AJ9" s="403"/>
      <c r="AK9" s="403"/>
      <c r="AL9" s="403"/>
      <c r="AM9" s="403"/>
      <c r="AN9" s="403"/>
      <c r="AO9" s="403"/>
      <c r="AP9" s="403"/>
      <c r="AQ9" s="403"/>
      <c r="AR9" s="403"/>
      <c r="AT9" s="2"/>
      <c r="AU9" s="403"/>
      <c r="AV9" s="403"/>
      <c r="AW9" s="403"/>
      <c r="AX9" s="403"/>
      <c r="AY9" s="403"/>
      <c r="AZ9" s="403"/>
      <c r="BA9" s="403"/>
      <c r="BB9" s="403"/>
      <c r="BC9" s="403"/>
      <c r="BD9" s="403"/>
      <c r="BE9" s="403"/>
      <c r="BF9" s="403"/>
      <c r="BG9" s="403"/>
    </row>
    <row r="10" spans="1:59" ht="18">
      <c r="A10" s="28" t="s">
        <v>42</v>
      </c>
      <c r="B10" s="181">
        <f>'START HERE'!$K$3</f>
        <v>2010</v>
      </c>
      <c r="C10" s="181">
        <f>'START HERE'!$K$3</f>
        <v>2010</v>
      </c>
      <c r="D10" s="181">
        <f>'START HERE'!$K$3</f>
        <v>2010</v>
      </c>
      <c r="E10" s="180">
        <f>'START HERE'!$K$3</f>
        <v>2010</v>
      </c>
      <c r="F10" s="327"/>
      <c r="G10" s="149"/>
      <c r="H10" s="149"/>
      <c r="I10" s="149"/>
      <c r="J10" s="149"/>
      <c r="K10" s="149"/>
      <c r="L10" s="149"/>
      <c r="M10" s="149"/>
      <c r="N10" s="149"/>
      <c r="P10" s="2"/>
      <c r="Q10" s="149"/>
      <c r="R10" s="149"/>
      <c r="S10" s="149"/>
      <c r="T10" s="149"/>
      <c r="U10" s="149"/>
      <c r="V10" s="149"/>
      <c r="W10" s="149"/>
      <c r="X10" s="149"/>
      <c r="Y10" s="149"/>
      <c r="Z10" s="149"/>
      <c r="AA10" s="149"/>
      <c r="AB10" s="149"/>
      <c r="AC10" s="149"/>
      <c r="AE10" s="2"/>
      <c r="AF10" s="149"/>
      <c r="AG10" s="149"/>
      <c r="AH10" s="149"/>
      <c r="AI10" s="149"/>
      <c r="AJ10" s="149"/>
      <c r="AK10" s="149"/>
      <c r="AL10" s="149"/>
      <c r="AM10" s="149"/>
      <c r="AN10" s="149"/>
      <c r="AO10" s="149"/>
      <c r="AP10" s="149"/>
      <c r="AQ10" s="149"/>
      <c r="AR10" s="149"/>
      <c r="AT10" s="2"/>
      <c r="AU10" s="149"/>
      <c r="AV10" s="149"/>
      <c r="AW10" s="149"/>
      <c r="AX10" s="149"/>
      <c r="AY10" s="149"/>
      <c r="AZ10" s="149"/>
      <c r="BA10" s="149"/>
      <c r="BB10" s="149"/>
      <c r="BC10" s="149"/>
      <c r="BD10" s="149"/>
      <c r="BE10" s="149"/>
      <c r="BF10" s="149"/>
      <c r="BG10" s="149"/>
    </row>
    <row r="11" spans="1:59">
      <c r="A11" s="195">
        <v>1</v>
      </c>
      <c r="B11" s="308"/>
      <c r="C11" s="309"/>
      <c r="D11" s="309"/>
      <c r="E11" s="329"/>
      <c r="P11" s="1"/>
      <c r="AE11" s="1"/>
      <c r="AT11" s="1"/>
    </row>
    <row r="12" spans="1:59">
      <c r="A12" s="195">
        <v>2</v>
      </c>
      <c r="B12" s="311"/>
      <c r="C12" s="312"/>
      <c r="D12" s="312"/>
      <c r="E12" s="330"/>
      <c r="P12" s="1"/>
      <c r="AE12" s="1"/>
      <c r="AT12" s="1"/>
    </row>
    <row r="13" spans="1:59">
      <c r="A13" s="195">
        <v>3</v>
      </c>
      <c r="B13" s="311"/>
      <c r="C13" s="312"/>
      <c r="D13" s="312"/>
      <c r="E13" s="330"/>
      <c r="P13" s="1"/>
      <c r="AE13" s="1"/>
      <c r="AT13" s="1"/>
    </row>
    <row r="14" spans="1:59">
      <c r="A14" s="195">
        <v>4</v>
      </c>
      <c r="B14" s="311"/>
      <c r="C14" s="312"/>
      <c r="D14" s="312"/>
      <c r="E14" s="330"/>
      <c r="P14" s="1"/>
      <c r="AE14" s="1"/>
      <c r="AT14" s="1"/>
    </row>
    <row r="15" spans="1:59">
      <c r="A15" s="195">
        <v>5</v>
      </c>
      <c r="B15" s="311"/>
      <c r="C15" s="312"/>
      <c r="D15" s="312"/>
      <c r="E15" s="330"/>
      <c r="P15" s="1"/>
      <c r="AE15" s="1"/>
      <c r="AT15" s="1"/>
    </row>
    <row r="16" spans="1:59">
      <c r="A16" s="195">
        <v>6</v>
      </c>
      <c r="B16" s="311"/>
      <c r="C16" s="312"/>
      <c r="D16" s="312"/>
      <c r="E16" s="330"/>
      <c r="P16" s="1"/>
      <c r="AE16" s="1"/>
      <c r="AT16" s="1"/>
    </row>
    <row r="17" spans="1:46">
      <c r="A17" s="195">
        <v>7</v>
      </c>
      <c r="B17" s="311"/>
      <c r="C17" s="312"/>
      <c r="D17" s="312"/>
      <c r="E17" s="330"/>
      <c r="P17" s="1"/>
      <c r="AE17" s="1"/>
      <c r="AT17" s="1"/>
    </row>
    <row r="18" spans="1:46">
      <c r="A18" s="195">
        <v>8</v>
      </c>
      <c r="B18" s="311"/>
      <c r="C18" s="312"/>
      <c r="D18" s="312"/>
      <c r="E18" s="330"/>
      <c r="P18" s="1"/>
      <c r="AE18" s="1"/>
      <c r="AT18" s="1"/>
    </row>
    <row r="19" spans="1:46">
      <c r="A19" s="195">
        <v>9</v>
      </c>
      <c r="B19" s="311"/>
      <c r="C19" s="312"/>
      <c r="D19" s="312"/>
      <c r="E19" s="330"/>
      <c r="P19" s="1"/>
      <c r="AE19" s="1"/>
      <c r="AT19" s="1"/>
    </row>
    <row r="20" spans="1:46">
      <c r="A20" s="195">
        <v>10</v>
      </c>
      <c r="B20" s="311"/>
      <c r="C20" s="312"/>
      <c r="D20" s="312"/>
      <c r="E20" s="330"/>
      <c r="P20" s="1"/>
      <c r="AE20" s="1"/>
      <c r="AT20" s="1"/>
    </row>
    <row r="21" spans="1:46">
      <c r="A21" s="195">
        <v>11</v>
      </c>
      <c r="B21" s="311"/>
      <c r="C21" s="312"/>
      <c r="D21" s="312"/>
      <c r="E21" s="330"/>
      <c r="P21" s="1"/>
      <c r="AE21" s="1"/>
      <c r="AT21" s="1"/>
    </row>
    <row r="22" spans="1:46">
      <c r="A22" s="195">
        <v>12</v>
      </c>
      <c r="B22" s="311"/>
      <c r="C22" s="312"/>
      <c r="D22" s="312"/>
      <c r="E22" s="330"/>
      <c r="P22" s="1"/>
      <c r="AE22" s="1"/>
      <c r="AT22" s="1"/>
    </row>
    <row r="23" spans="1:46">
      <c r="A23" s="195">
        <v>13</v>
      </c>
      <c r="B23" s="311"/>
      <c r="C23" s="312"/>
      <c r="D23" s="312"/>
      <c r="E23" s="330"/>
      <c r="P23" s="1"/>
      <c r="AE23" s="1"/>
      <c r="AT23" s="1"/>
    </row>
    <row r="24" spans="1:46">
      <c r="A24" s="195">
        <v>14</v>
      </c>
      <c r="B24" s="311"/>
      <c r="C24" s="312"/>
      <c r="D24" s="312"/>
      <c r="E24" s="330"/>
      <c r="P24" s="1"/>
      <c r="AE24" s="1"/>
      <c r="AT24" s="1"/>
    </row>
    <row r="25" spans="1:46">
      <c r="A25" s="195">
        <v>15</v>
      </c>
      <c r="B25" s="311"/>
      <c r="C25" s="312"/>
      <c r="D25" s="312"/>
      <c r="E25" s="330"/>
      <c r="P25" s="1"/>
      <c r="AE25" s="1"/>
      <c r="AT25" s="1"/>
    </row>
    <row r="26" spans="1:46">
      <c r="A26" s="195">
        <v>16</v>
      </c>
      <c r="B26" s="311"/>
      <c r="C26" s="312"/>
      <c r="D26" s="312"/>
      <c r="E26" s="330"/>
      <c r="P26" s="1"/>
      <c r="AE26" s="1"/>
      <c r="AT26" s="1"/>
    </row>
    <row r="27" spans="1:46">
      <c r="A27" s="195">
        <v>17</v>
      </c>
      <c r="B27" s="311"/>
      <c r="C27" s="312"/>
      <c r="D27" s="312"/>
      <c r="E27" s="330"/>
      <c r="P27" s="1"/>
      <c r="AE27" s="1"/>
      <c r="AT27" s="1"/>
    </row>
    <row r="28" spans="1:46">
      <c r="A28" s="195">
        <v>18</v>
      </c>
      <c r="B28" s="311"/>
      <c r="C28" s="312"/>
      <c r="D28" s="312"/>
      <c r="E28" s="330"/>
      <c r="P28" s="1"/>
      <c r="AE28" s="1"/>
      <c r="AT28" s="1"/>
    </row>
    <row r="29" spans="1:46">
      <c r="A29" s="195">
        <v>19</v>
      </c>
      <c r="B29" s="311"/>
      <c r="C29" s="312"/>
      <c r="D29" s="312"/>
      <c r="E29" s="330"/>
      <c r="P29" s="1"/>
      <c r="AE29" s="1"/>
      <c r="AT29" s="1"/>
    </row>
    <row r="30" spans="1:46">
      <c r="A30" s="195">
        <v>20</v>
      </c>
      <c r="B30" s="311"/>
      <c r="C30" s="312"/>
      <c r="D30" s="312"/>
      <c r="E30" s="330"/>
      <c r="P30" s="1"/>
      <c r="AE30" s="1"/>
      <c r="AT30" s="1"/>
    </row>
    <row r="31" spans="1:46">
      <c r="A31" s="195">
        <v>21</v>
      </c>
      <c r="B31" s="311"/>
      <c r="C31" s="312"/>
      <c r="D31" s="312"/>
      <c r="E31" s="330"/>
      <c r="P31" s="1"/>
      <c r="AE31" s="1"/>
      <c r="AT31" s="1"/>
    </row>
    <row r="32" spans="1:46">
      <c r="A32" s="195">
        <v>22</v>
      </c>
      <c r="B32" s="311"/>
      <c r="C32" s="312"/>
      <c r="D32" s="312"/>
      <c r="E32" s="330"/>
      <c r="P32" s="1"/>
      <c r="AE32" s="1"/>
      <c r="AT32" s="1"/>
    </row>
    <row r="33" spans="1:46">
      <c r="A33" s="195">
        <v>23</v>
      </c>
      <c r="B33" s="311"/>
      <c r="C33" s="312"/>
      <c r="D33" s="312"/>
      <c r="E33" s="330"/>
      <c r="P33" s="1"/>
      <c r="AE33" s="1"/>
      <c r="AT33" s="1"/>
    </row>
    <row r="34" spans="1:46">
      <c r="A34" s="195">
        <v>24</v>
      </c>
      <c r="B34" s="311"/>
      <c r="C34" s="312"/>
      <c r="D34" s="312"/>
      <c r="E34" s="330"/>
      <c r="P34" s="1"/>
      <c r="AE34" s="1"/>
      <c r="AT34" s="1"/>
    </row>
    <row r="35" spans="1:46">
      <c r="A35" s="195">
        <v>25</v>
      </c>
      <c r="B35" s="311"/>
      <c r="C35" s="312"/>
      <c r="D35" s="312"/>
      <c r="E35" s="330"/>
      <c r="P35" s="1"/>
      <c r="AE35" s="1"/>
      <c r="AT35" s="1"/>
    </row>
    <row r="36" spans="1:46">
      <c r="A36" s="195">
        <v>26</v>
      </c>
      <c r="B36" s="311"/>
      <c r="C36" s="312"/>
      <c r="D36" s="312"/>
      <c r="E36" s="330"/>
      <c r="P36" s="1"/>
      <c r="AE36" s="1"/>
      <c r="AT36" s="1"/>
    </row>
    <row r="37" spans="1:46">
      <c r="A37" s="195">
        <v>27</v>
      </c>
      <c r="B37" s="311"/>
      <c r="C37" s="312"/>
      <c r="D37" s="312"/>
      <c r="E37" s="330"/>
      <c r="P37" s="1"/>
      <c r="AE37" s="1"/>
      <c r="AT37" s="1"/>
    </row>
    <row r="38" spans="1:46">
      <c r="A38" s="195">
        <v>28</v>
      </c>
      <c r="B38" s="311"/>
      <c r="C38" s="312"/>
      <c r="D38" s="312"/>
      <c r="E38" s="330"/>
      <c r="P38" s="1"/>
      <c r="AE38" s="1"/>
      <c r="AT38" s="1"/>
    </row>
    <row r="39" spans="1:46">
      <c r="A39" s="195">
        <v>29</v>
      </c>
      <c r="B39" s="311"/>
      <c r="C39" s="312"/>
      <c r="D39" s="312"/>
      <c r="E39" s="330"/>
      <c r="P39" s="1"/>
      <c r="AE39" s="1"/>
      <c r="AT39" s="1"/>
    </row>
    <row r="40" spans="1:46">
      <c r="A40" s="195">
        <v>30</v>
      </c>
      <c r="B40" s="311"/>
      <c r="C40" s="312"/>
      <c r="D40" s="312"/>
      <c r="E40" s="330"/>
      <c r="P40" s="1"/>
      <c r="AE40" s="1"/>
      <c r="AT40" s="1"/>
    </row>
    <row r="41" spans="1:46">
      <c r="A41" s="195">
        <v>31</v>
      </c>
      <c r="B41" s="311"/>
      <c r="C41" s="312"/>
      <c r="D41" s="312"/>
      <c r="E41" s="330"/>
      <c r="P41" s="1"/>
      <c r="AE41" s="1"/>
      <c r="AT41" s="1"/>
    </row>
    <row r="42" spans="1:46">
      <c r="A42" s="195">
        <v>32</v>
      </c>
      <c r="B42" s="311"/>
      <c r="C42" s="312"/>
      <c r="D42" s="312"/>
      <c r="E42" s="330"/>
      <c r="P42" s="1"/>
      <c r="AE42" s="1"/>
      <c r="AT42" s="1"/>
    </row>
    <row r="43" spans="1:46">
      <c r="A43" s="195">
        <v>33</v>
      </c>
      <c r="B43" s="311"/>
      <c r="C43" s="312"/>
      <c r="D43" s="312"/>
      <c r="E43" s="330"/>
      <c r="P43" s="1"/>
      <c r="AE43" s="1"/>
      <c r="AT43" s="1"/>
    </row>
    <row r="44" spans="1:46">
      <c r="A44" s="195">
        <v>34</v>
      </c>
      <c r="B44" s="311"/>
      <c r="C44" s="312"/>
      <c r="D44" s="312"/>
      <c r="E44" s="330"/>
      <c r="P44" s="1"/>
      <c r="AE44" s="1"/>
      <c r="AT44" s="1"/>
    </row>
    <row r="45" spans="1:46">
      <c r="A45" s="195">
        <v>35</v>
      </c>
      <c r="B45" s="311"/>
      <c r="C45" s="312"/>
      <c r="D45" s="312"/>
      <c r="E45" s="330"/>
      <c r="P45" s="1"/>
      <c r="AE45" s="1"/>
      <c r="AT45" s="1"/>
    </row>
    <row r="46" spans="1:46">
      <c r="A46" s="195">
        <v>36</v>
      </c>
      <c r="B46" s="311"/>
      <c r="C46" s="312"/>
      <c r="D46" s="312"/>
      <c r="E46" s="330"/>
      <c r="P46" s="1"/>
      <c r="AE46" s="1"/>
      <c r="AT46" s="1"/>
    </row>
    <row r="47" spans="1:46">
      <c r="A47" s="195">
        <v>37</v>
      </c>
      <c r="B47" s="311"/>
      <c r="C47" s="312"/>
      <c r="D47" s="312"/>
      <c r="E47" s="330"/>
      <c r="P47" s="1"/>
      <c r="AE47" s="1"/>
      <c r="AT47" s="1"/>
    </row>
    <row r="48" spans="1:46">
      <c r="A48" s="195">
        <v>38</v>
      </c>
      <c r="B48" s="311"/>
      <c r="C48" s="312"/>
      <c r="D48" s="312"/>
      <c r="E48" s="330"/>
      <c r="P48" s="1"/>
      <c r="AE48" s="1"/>
      <c r="AT48" s="1"/>
    </row>
    <row r="49" spans="1:46">
      <c r="A49" s="195">
        <v>39</v>
      </c>
      <c r="B49" s="311"/>
      <c r="C49" s="312"/>
      <c r="D49" s="312"/>
      <c r="E49" s="330"/>
      <c r="P49" s="1"/>
      <c r="AE49" s="1"/>
      <c r="AT49" s="1"/>
    </row>
    <row r="50" spans="1:46">
      <c r="A50" s="195">
        <v>40</v>
      </c>
      <c r="B50" s="311"/>
      <c r="C50" s="312"/>
      <c r="D50" s="312"/>
      <c r="E50" s="330"/>
      <c r="P50" s="1"/>
      <c r="AE50" s="1"/>
      <c r="AT50" s="1"/>
    </row>
    <row r="51" spans="1:46">
      <c r="A51" s="195">
        <v>41</v>
      </c>
      <c r="B51" s="311"/>
      <c r="C51" s="312"/>
      <c r="D51" s="312"/>
      <c r="E51" s="330"/>
      <c r="P51" s="1"/>
      <c r="AE51" s="1"/>
      <c r="AT51" s="1"/>
    </row>
    <row r="52" spans="1:46">
      <c r="A52" s="195">
        <v>42</v>
      </c>
      <c r="B52" s="311"/>
      <c r="C52" s="312"/>
      <c r="D52" s="312"/>
      <c r="E52" s="330"/>
      <c r="P52" s="1"/>
      <c r="AE52" s="1"/>
      <c r="AT52" s="1"/>
    </row>
    <row r="53" spans="1:46">
      <c r="A53" s="195">
        <v>43</v>
      </c>
      <c r="B53" s="311"/>
      <c r="C53" s="312"/>
      <c r="D53" s="312"/>
      <c r="E53" s="330"/>
      <c r="P53" s="1"/>
      <c r="AE53" s="1"/>
      <c r="AT53" s="1"/>
    </row>
    <row r="54" spans="1:46">
      <c r="A54" s="195">
        <v>44</v>
      </c>
      <c r="B54" s="311"/>
      <c r="C54" s="312"/>
      <c r="D54" s="312"/>
      <c r="E54" s="330"/>
      <c r="P54" s="1"/>
      <c r="AE54" s="1"/>
      <c r="AT54" s="1"/>
    </row>
    <row r="55" spans="1:46">
      <c r="A55" s="195">
        <v>45</v>
      </c>
      <c r="B55" s="311"/>
      <c r="C55" s="312"/>
      <c r="D55" s="312"/>
      <c r="E55" s="330"/>
      <c r="P55" s="1"/>
      <c r="AE55" s="1"/>
      <c r="AT55" s="1"/>
    </row>
    <row r="56" spans="1:46">
      <c r="A56" s="195">
        <v>46</v>
      </c>
      <c r="B56" s="311"/>
      <c r="C56" s="312"/>
      <c r="D56" s="312"/>
      <c r="E56" s="330"/>
      <c r="P56" s="1"/>
      <c r="AE56" s="1"/>
      <c r="AT56" s="1"/>
    </row>
    <row r="57" spans="1:46">
      <c r="A57" s="195">
        <v>47</v>
      </c>
      <c r="B57" s="311"/>
      <c r="C57" s="312"/>
      <c r="D57" s="312"/>
      <c r="E57" s="330"/>
      <c r="P57" s="1"/>
      <c r="AE57" s="1"/>
      <c r="AT57" s="1"/>
    </row>
    <row r="58" spans="1:46">
      <c r="A58" s="195">
        <v>48</v>
      </c>
      <c r="B58" s="311"/>
      <c r="C58" s="312"/>
      <c r="D58" s="312"/>
      <c r="E58" s="330"/>
      <c r="P58" s="1"/>
      <c r="AE58" s="1"/>
      <c r="AT58" s="1"/>
    </row>
    <row r="59" spans="1:46">
      <c r="A59" s="195">
        <v>49</v>
      </c>
      <c r="B59" s="311"/>
      <c r="C59" s="312"/>
      <c r="D59" s="312"/>
      <c r="E59" s="330"/>
      <c r="P59" s="1"/>
      <c r="AE59" s="1"/>
      <c r="AT59" s="1"/>
    </row>
    <row r="60" spans="1:46">
      <c r="A60" s="195">
        <v>50</v>
      </c>
      <c r="B60" s="311"/>
      <c r="C60" s="312"/>
      <c r="D60" s="312"/>
      <c r="E60" s="330"/>
      <c r="P60" s="1"/>
      <c r="AE60" s="1"/>
      <c r="AT60" s="1"/>
    </row>
    <row r="61" spans="1:46">
      <c r="A61" s="195">
        <v>51</v>
      </c>
      <c r="B61" s="311"/>
      <c r="C61" s="312"/>
      <c r="D61" s="312"/>
      <c r="E61" s="330"/>
      <c r="P61" s="1"/>
      <c r="AE61" s="1"/>
      <c r="AT61" s="1"/>
    </row>
    <row r="62" spans="1:46">
      <c r="A62" s="195">
        <v>52</v>
      </c>
      <c r="B62" s="311"/>
      <c r="C62" s="312"/>
      <c r="D62" s="312"/>
      <c r="E62" s="330"/>
      <c r="P62" s="1"/>
      <c r="AE62" s="1"/>
      <c r="AT62" s="1"/>
    </row>
    <row r="63" spans="1:46">
      <c r="A63" s="195">
        <v>53</v>
      </c>
      <c r="B63" s="311"/>
      <c r="C63" s="312"/>
      <c r="D63" s="312"/>
      <c r="E63" s="330"/>
      <c r="P63" s="1"/>
      <c r="AE63" s="1"/>
      <c r="AT63" s="1"/>
    </row>
    <row r="64" spans="1:46">
      <c r="A64" s="195">
        <v>54</v>
      </c>
      <c r="B64" s="311"/>
      <c r="C64" s="312"/>
      <c r="D64" s="312"/>
      <c r="E64" s="330"/>
      <c r="P64" s="1"/>
      <c r="AE64" s="1"/>
      <c r="AT64" s="1"/>
    </row>
    <row r="65" spans="1:46">
      <c r="A65" s="195">
        <v>55</v>
      </c>
      <c r="B65" s="311"/>
      <c r="C65" s="312"/>
      <c r="D65" s="312"/>
      <c r="E65" s="330"/>
      <c r="P65" s="1"/>
      <c r="AE65" s="1"/>
      <c r="AT65" s="1"/>
    </row>
    <row r="66" spans="1:46">
      <c r="A66" s="195">
        <v>56</v>
      </c>
      <c r="B66" s="311"/>
      <c r="C66" s="312"/>
      <c r="D66" s="312"/>
      <c r="E66" s="330"/>
      <c r="P66" s="1"/>
      <c r="AE66" s="1"/>
      <c r="AT66" s="1"/>
    </row>
    <row r="67" spans="1:46">
      <c r="A67" s="195">
        <v>57</v>
      </c>
      <c r="B67" s="311"/>
      <c r="C67" s="312"/>
      <c r="D67" s="312"/>
      <c r="E67" s="330"/>
      <c r="P67" s="1"/>
      <c r="AE67" s="1"/>
      <c r="AT67" s="1"/>
    </row>
    <row r="68" spans="1:46">
      <c r="A68" s="195">
        <v>58</v>
      </c>
      <c r="B68" s="311"/>
      <c r="C68" s="312"/>
      <c r="D68" s="312"/>
      <c r="E68" s="330"/>
      <c r="P68" s="1"/>
      <c r="AE68" s="1"/>
      <c r="AT68" s="1"/>
    </row>
    <row r="69" spans="1:46">
      <c r="A69" s="195">
        <v>59</v>
      </c>
      <c r="B69" s="311"/>
      <c r="C69" s="312"/>
      <c r="D69" s="312"/>
      <c r="E69" s="330"/>
      <c r="P69" s="1"/>
      <c r="AE69" s="1"/>
      <c r="AT69" s="1"/>
    </row>
    <row r="70" spans="1:46">
      <c r="A70" s="195">
        <v>60</v>
      </c>
      <c r="B70" s="311"/>
      <c r="C70" s="312"/>
      <c r="D70" s="312"/>
      <c r="E70" s="330"/>
      <c r="P70" s="1"/>
      <c r="AE70" s="1"/>
      <c r="AT70" s="1"/>
    </row>
    <row r="71" spans="1:46">
      <c r="A71" s="195">
        <v>61</v>
      </c>
      <c r="B71" s="311"/>
      <c r="C71" s="312"/>
      <c r="D71" s="312"/>
      <c r="E71" s="330"/>
      <c r="P71" s="1"/>
      <c r="AE71" s="1"/>
      <c r="AT71" s="1"/>
    </row>
    <row r="72" spans="1:46">
      <c r="A72" s="195">
        <v>62</v>
      </c>
      <c r="B72" s="311"/>
      <c r="C72" s="312"/>
      <c r="D72" s="312"/>
      <c r="E72" s="330"/>
      <c r="P72" s="1"/>
      <c r="AE72" s="1"/>
      <c r="AT72" s="1"/>
    </row>
    <row r="73" spans="1:46">
      <c r="A73" s="195">
        <v>63</v>
      </c>
      <c r="B73" s="311"/>
      <c r="C73" s="312"/>
      <c r="D73" s="312"/>
      <c r="E73" s="330"/>
      <c r="P73" s="1"/>
      <c r="AE73" s="1"/>
      <c r="AT73" s="1"/>
    </row>
    <row r="74" spans="1:46">
      <c r="A74" s="195">
        <v>64</v>
      </c>
      <c r="B74" s="311"/>
      <c r="C74" s="312"/>
      <c r="D74" s="312"/>
      <c r="E74" s="330"/>
      <c r="P74" s="1"/>
      <c r="AE74" s="1"/>
      <c r="AT74" s="1"/>
    </row>
    <row r="75" spans="1:46">
      <c r="A75" s="195">
        <v>65</v>
      </c>
      <c r="B75" s="311"/>
      <c r="C75" s="312"/>
      <c r="D75" s="312"/>
      <c r="E75" s="330"/>
      <c r="P75" s="1"/>
      <c r="AE75" s="1"/>
      <c r="AT75" s="1"/>
    </row>
    <row r="76" spans="1:46">
      <c r="A76" s="195">
        <v>66</v>
      </c>
      <c r="B76" s="311"/>
      <c r="C76" s="312"/>
      <c r="D76" s="312"/>
      <c r="E76" s="330"/>
      <c r="P76" s="1"/>
      <c r="AE76" s="1"/>
      <c r="AT76" s="1"/>
    </row>
    <row r="77" spans="1:46">
      <c r="A77" s="195">
        <v>67</v>
      </c>
      <c r="B77" s="311"/>
      <c r="C77" s="312"/>
      <c r="D77" s="312"/>
      <c r="E77" s="330"/>
      <c r="P77" s="1"/>
      <c r="AE77" s="1"/>
      <c r="AT77" s="1"/>
    </row>
    <row r="78" spans="1:46">
      <c r="A78" s="195">
        <v>68</v>
      </c>
      <c r="B78" s="311"/>
      <c r="C78" s="312"/>
      <c r="D78" s="312"/>
      <c r="E78" s="330"/>
      <c r="P78" s="1"/>
      <c r="AE78" s="1"/>
      <c r="AT78" s="1"/>
    </row>
    <row r="79" spans="1:46">
      <c r="A79" s="195">
        <v>69</v>
      </c>
      <c r="B79" s="311"/>
      <c r="C79" s="312"/>
      <c r="D79" s="312"/>
      <c r="E79" s="330"/>
      <c r="P79" s="1"/>
      <c r="AE79" s="1"/>
      <c r="AT79" s="1"/>
    </row>
    <row r="80" spans="1:46">
      <c r="A80" s="195">
        <v>70</v>
      </c>
      <c r="B80" s="311"/>
      <c r="C80" s="312"/>
      <c r="D80" s="312"/>
      <c r="E80" s="330"/>
      <c r="P80" s="1"/>
      <c r="AE80" s="1"/>
      <c r="AT80" s="1"/>
    </row>
    <row r="81" spans="1:46">
      <c r="A81" s="195">
        <v>71</v>
      </c>
      <c r="B81" s="311"/>
      <c r="C81" s="312"/>
      <c r="D81" s="312"/>
      <c r="E81" s="330"/>
      <c r="P81" s="1"/>
      <c r="AE81" s="1"/>
      <c r="AT81" s="1"/>
    </row>
    <row r="82" spans="1:46">
      <c r="A82" s="195">
        <v>72</v>
      </c>
      <c r="B82" s="311"/>
      <c r="C82" s="312"/>
      <c r="D82" s="312"/>
      <c r="E82" s="330"/>
      <c r="P82" s="1"/>
      <c r="AE82" s="1"/>
      <c r="AT82" s="1"/>
    </row>
    <row r="83" spans="1:46">
      <c r="A83" s="195">
        <v>73</v>
      </c>
      <c r="B83" s="311"/>
      <c r="C83" s="312"/>
      <c r="D83" s="312"/>
      <c r="E83" s="330"/>
      <c r="P83" s="1"/>
      <c r="AE83" s="1"/>
      <c r="AT83" s="1"/>
    </row>
    <row r="84" spans="1:46">
      <c r="A84" s="195">
        <v>74</v>
      </c>
      <c r="B84" s="311"/>
      <c r="C84" s="312"/>
      <c r="D84" s="312"/>
      <c r="E84" s="330"/>
      <c r="P84" s="1"/>
      <c r="AE84" s="1"/>
      <c r="AT84" s="1"/>
    </row>
    <row r="85" spans="1:46">
      <c r="A85" s="195">
        <v>75</v>
      </c>
      <c r="B85" s="311"/>
      <c r="C85" s="312"/>
      <c r="D85" s="312"/>
      <c r="E85" s="330"/>
      <c r="P85" s="1"/>
      <c r="AE85" s="1"/>
      <c r="AT85" s="1"/>
    </row>
    <row r="86" spans="1:46">
      <c r="A86" s="195">
        <v>76</v>
      </c>
      <c r="B86" s="311"/>
      <c r="C86" s="312"/>
      <c r="D86" s="312"/>
      <c r="E86" s="330"/>
      <c r="P86" s="1"/>
      <c r="AE86" s="1"/>
      <c r="AT86" s="1"/>
    </row>
    <row r="87" spans="1:46">
      <c r="A87" s="195">
        <v>77</v>
      </c>
      <c r="B87" s="311"/>
      <c r="C87" s="312"/>
      <c r="D87" s="312"/>
      <c r="E87" s="330"/>
      <c r="P87" s="1"/>
      <c r="AE87" s="1"/>
      <c r="AT87" s="1"/>
    </row>
    <row r="88" spans="1:46">
      <c r="A88" s="195">
        <v>78</v>
      </c>
      <c r="B88" s="311"/>
      <c r="C88" s="312"/>
      <c r="D88" s="312"/>
      <c r="E88" s="330"/>
      <c r="P88" s="1"/>
      <c r="AE88" s="1"/>
      <c r="AT88" s="1"/>
    </row>
    <row r="89" spans="1:46">
      <c r="A89" s="195">
        <v>79</v>
      </c>
      <c r="B89" s="311"/>
      <c r="C89" s="312"/>
      <c r="D89" s="312"/>
      <c r="E89" s="330"/>
      <c r="P89" s="1"/>
      <c r="AE89" s="1"/>
      <c r="AT89" s="1"/>
    </row>
    <row r="90" spans="1:46">
      <c r="A90" s="195">
        <v>80</v>
      </c>
      <c r="B90" s="311"/>
      <c r="C90" s="312"/>
      <c r="D90" s="312"/>
      <c r="E90" s="330"/>
      <c r="P90" s="1"/>
      <c r="AE90" s="1"/>
      <c r="AT90" s="1"/>
    </row>
    <row r="91" spans="1:46">
      <c r="A91" s="195">
        <v>81</v>
      </c>
      <c r="B91" s="311"/>
      <c r="C91" s="312"/>
      <c r="D91" s="312"/>
      <c r="E91" s="330"/>
      <c r="P91" s="1"/>
      <c r="AE91" s="1"/>
      <c r="AT91" s="1"/>
    </row>
    <row r="92" spans="1:46">
      <c r="A92" s="195">
        <v>82</v>
      </c>
      <c r="B92" s="311"/>
      <c r="C92" s="312"/>
      <c r="D92" s="312"/>
      <c r="E92" s="330"/>
      <c r="P92" s="1"/>
      <c r="AE92" s="1"/>
      <c r="AT92" s="1"/>
    </row>
    <row r="93" spans="1:46">
      <c r="A93" s="195">
        <v>83</v>
      </c>
      <c r="B93" s="311"/>
      <c r="C93" s="312"/>
      <c r="D93" s="312"/>
      <c r="E93" s="330"/>
      <c r="P93" s="1"/>
      <c r="AE93" s="1"/>
      <c r="AT93" s="1"/>
    </row>
    <row r="94" spans="1:46">
      <c r="A94" s="195">
        <v>84</v>
      </c>
      <c r="B94" s="311"/>
      <c r="C94" s="312"/>
      <c r="D94" s="312"/>
      <c r="E94" s="330"/>
      <c r="P94" s="1"/>
      <c r="AE94" s="1"/>
      <c r="AT94" s="1"/>
    </row>
    <row r="95" spans="1:46">
      <c r="A95" s="195">
        <v>85</v>
      </c>
      <c r="B95" s="311"/>
      <c r="C95" s="312"/>
      <c r="D95" s="312"/>
      <c r="E95" s="330"/>
      <c r="P95" s="1"/>
      <c r="AE95" s="1"/>
      <c r="AT95" s="1"/>
    </row>
    <row r="96" spans="1:46">
      <c r="A96" s="195">
        <v>86</v>
      </c>
      <c r="B96" s="311"/>
      <c r="C96" s="312"/>
      <c r="D96" s="312"/>
      <c r="E96" s="330"/>
      <c r="P96" s="1"/>
      <c r="AE96" s="1"/>
      <c r="AT96" s="1"/>
    </row>
    <row r="97" spans="1:46">
      <c r="A97" s="195">
        <v>87</v>
      </c>
      <c r="B97" s="311"/>
      <c r="C97" s="312"/>
      <c r="D97" s="312"/>
      <c r="E97" s="330"/>
      <c r="P97" s="1"/>
      <c r="AE97" s="1"/>
      <c r="AT97" s="1"/>
    </row>
    <row r="98" spans="1:46">
      <c r="A98" s="195">
        <v>88</v>
      </c>
      <c r="B98" s="311"/>
      <c r="C98" s="312"/>
      <c r="D98" s="312"/>
      <c r="E98" s="330"/>
      <c r="P98" s="1"/>
      <c r="AE98" s="1"/>
      <c r="AT98" s="1"/>
    </row>
    <row r="99" spans="1:46">
      <c r="A99" s="195">
        <v>89</v>
      </c>
      <c r="B99" s="311"/>
      <c r="C99" s="312"/>
      <c r="D99" s="312"/>
      <c r="E99" s="330"/>
      <c r="P99" s="1"/>
      <c r="AE99" s="1"/>
      <c r="AT99" s="1"/>
    </row>
    <row r="100" spans="1:46">
      <c r="A100" s="195">
        <v>90</v>
      </c>
      <c r="B100" s="311"/>
      <c r="C100" s="312"/>
      <c r="D100" s="312"/>
      <c r="E100" s="330"/>
      <c r="P100" s="1"/>
      <c r="AE100" s="1"/>
      <c r="AT100" s="1"/>
    </row>
    <row r="101" spans="1:46">
      <c r="A101" s="195">
        <v>91</v>
      </c>
      <c r="B101" s="311"/>
      <c r="C101" s="312"/>
      <c r="D101" s="312"/>
      <c r="E101" s="330"/>
      <c r="P101" s="1"/>
      <c r="AE101" s="1"/>
      <c r="AT101" s="1"/>
    </row>
    <row r="102" spans="1:46">
      <c r="A102" s="195">
        <v>92</v>
      </c>
      <c r="B102" s="311"/>
      <c r="C102" s="312"/>
      <c r="D102" s="312"/>
      <c r="E102" s="330"/>
      <c r="P102" s="1"/>
      <c r="AE102" s="1"/>
      <c r="AT102" s="1"/>
    </row>
    <row r="103" spans="1:46">
      <c r="A103" s="195">
        <v>93</v>
      </c>
      <c r="B103" s="311"/>
      <c r="C103" s="312"/>
      <c r="D103" s="312"/>
      <c r="E103" s="330"/>
      <c r="P103" s="1"/>
      <c r="AE103" s="1"/>
      <c r="AT103" s="1"/>
    </row>
    <row r="104" spans="1:46">
      <c r="A104" s="195">
        <v>94</v>
      </c>
      <c r="B104" s="311"/>
      <c r="C104" s="312"/>
      <c r="D104" s="312"/>
      <c r="E104" s="330"/>
      <c r="P104" s="1"/>
      <c r="AE104" s="1"/>
      <c r="AT104" s="1"/>
    </row>
    <row r="105" spans="1:46">
      <c r="A105" s="195">
        <v>95</v>
      </c>
      <c r="B105" s="311"/>
      <c r="C105" s="312"/>
      <c r="D105" s="312"/>
      <c r="E105" s="330"/>
      <c r="P105" s="1"/>
      <c r="AE105" s="1"/>
      <c r="AT105" s="1"/>
    </row>
    <row r="106" spans="1:46">
      <c r="A106" s="195">
        <v>96</v>
      </c>
      <c r="B106" s="311"/>
      <c r="C106" s="312"/>
      <c r="D106" s="312"/>
      <c r="E106" s="330"/>
      <c r="P106" s="1"/>
      <c r="AE106" s="1"/>
      <c r="AT106" s="1"/>
    </row>
    <row r="107" spans="1:46">
      <c r="A107" s="195">
        <v>97</v>
      </c>
      <c r="B107" s="311"/>
      <c r="C107" s="312"/>
      <c r="D107" s="312"/>
      <c r="E107" s="330"/>
      <c r="P107" s="1"/>
      <c r="AE107" s="1"/>
      <c r="AT107" s="1"/>
    </row>
    <row r="108" spans="1:46">
      <c r="A108" s="195">
        <v>98</v>
      </c>
      <c r="B108" s="311"/>
      <c r="C108" s="312"/>
      <c r="D108" s="312"/>
      <c r="E108" s="330"/>
      <c r="P108" s="1"/>
      <c r="AE108" s="1"/>
      <c r="AT108" s="1"/>
    </row>
    <row r="109" spans="1:46">
      <c r="A109" s="195">
        <v>99</v>
      </c>
      <c r="B109" s="311"/>
      <c r="C109" s="312"/>
      <c r="D109" s="312"/>
      <c r="E109" s="330"/>
      <c r="P109" s="1"/>
      <c r="AE109" s="1"/>
      <c r="AT109" s="1"/>
    </row>
    <row r="110" spans="1:46">
      <c r="A110" s="328">
        <v>100</v>
      </c>
      <c r="B110" s="331"/>
      <c r="C110" s="332"/>
      <c r="D110" s="332"/>
      <c r="E110" s="333"/>
      <c r="P110" s="1"/>
      <c r="AE110" s="1"/>
      <c r="AT110" s="1"/>
    </row>
  </sheetData>
  <sheetProtection scenarios="1"/>
  <mergeCells count="8">
    <mergeCell ref="AF9:AR9"/>
    <mergeCell ref="AU9:BG9"/>
    <mergeCell ref="B3:D3"/>
    <mergeCell ref="G3:I3"/>
    <mergeCell ref="B4:D4"/>
    <mergeCell ref="B5:D5"/>
    <mergeCell ref="G6:I6"/>
    <mergeCell ref="Q9:AC9"/>
  </mergeCells>
  <conditionalFormatting sqref="A2:J111">
    <cfRule type="expression" dxfId="0" priority="1">
      <formula>CELL("Protect",A2)=1</formula>
    </cfRule>
  </conditionalFormatting>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2"/>
  <dimension ref="A1:D10"/>
  <sheetViews>
    <sheetView workbookViewId="0">
      <selection activeCell="A8" sqref="A8"/>
    </sheetView>
  </sheetViews>
  <sheetFormatPr defaultRowHeight="12.75"/>
  <cols>
    <col min="1" max="1" width="10.85546875" customWidth="1"/>
    <col min="2" max="2" width="11.140625" customWidth="1"/>
    <col min="3" max="3" width="14.28515625" customWidth="1"/>
  </cols>
  <sheetData>
    <row r="1" spans="1:4">
      <c r="A1" s="149" t="s">
        <v>121</v>
      </c>
      <c r="B1" s="149" t="s">
        <v>123</v>
      </c>
      <c r="C1" s="149" t="s">
        <v>133</v>
      </c>
      <c r="D1" s="149" t="s">
        <v>138</v>
      </c>
    </row>
    <row r="2" spans="1:4">
      <c r="A2" t="s">
        <v>142</v>
      </c>
      <c r="B2" t="s">
        <v>125</v>
      </c>
      <c r="C2" t="s">
        <v>72</v>
      </c>
      <c r="D2" t="s">
        <v>139</v>
      </c>
    </row>
    <row r="3" spans="1:4">
      <c r="A3" t="s">
        <v>104</v>
      </c>
      <c r="B3" t="s">
        <v>126</v>
      </c>
      <c r="D3" t="s">
        <v>140</v>
      </c>
    </row>
    <row r="4" spans="1:4">
      <c r="A4" t="s">
        <v>122</v>
      </c>
      <c r="B4" t="s">
        <v>129</v>
      </c>
    </row>
    <row r="5" spans="1:4">
      <c r="B5" t="s">
        <v>127</v>
      </c>
    </row>
    <row r="6" spans="1:4">
      <c r="B6" t="s">
        <v>128</v>
      </c>
    </row>
    <row r="7" spans="1:4">
      <c r="B7" t="s">
        <v>124</v>
      </c>
    </row>
    <row r="8" spans="1:4">
      <c r="B8" t="s">
        <v>130</v>
      </c>
    </row>
    <row r="9" spans="1:4">
      <c r="B9" t="s">
        <v>132</v>
      </c>
    </row>
    <row r="10" spans="1:4">
      <c r="B10" t="s">
        <v>131</v>
      </c>
    </row>
  </sheetData>
  <sheetProtection scenarios="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812D0B056278C642B7C89719D0EEC9C4" ma:contentTypeVersion="4" ma:contentTypeDescription="Create a new document." ma:contentTypeScope="" ma:versionID="459ccd4a2f4db444801dd1c587af921d">
  <xsd:schema xmlns:xsd="http://www.w3.org/2001/XMLSchema" xmlns:xs="http://www.w3.org/2001/XMLSchema" xmlns:p="http://schemas.microsoft.com/office/2006/metadata/properties" xmlns:ns2="f419981a-ca0a-4e56-9512-575f16b7ea2d" targetNamespace="http://schemas.microsoft.com/office/2006/metadata/properties" ma:root="true" ma:fieldsID="e76f6978cc275c7466d741305d3dbcb0" ns2:_="">
    <xsd:import namespace="f419981a-ca0a-4e56-9512-575f16b7ea2d"/>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419981a-ca0a-4e56-9512-575f16b7ea2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B953EBD-4DA9-4568-AC7D-08DBC262796C}">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6CA6250E-9C79-4192-9E66-BA34F7AF0C7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419981a-ca0a-4e56-9512-575f16b7ea2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9716590-82CA-410C-B118-E787241F3D8D}">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1</vt:i4>
      </vt:variant>
    </vt:vector>
  </HeadingPairs>
  <TitlesOfParts>
    <vt:vector size="22" baseType="lpstr">
      <vt:lpstr>START HERE</vt:lpstr>
      <vt:lpstr>Comments</vt:lpstr>
      <vt:lpstr>catch data</vt:lpstr>
      <vt:lpstr>sampling</vt:lpstr>
      <vt:lpstr>LEN F1</vt:lpstr>
      <vt:lpstr>LEN F2</vt:lpstr>
      <vt:lpstr>LEN F3</vt:lpstr>
      <vt:lpstr>LEN F4</vt:lpstr>
      <vt:lpstr>ALK F1</vt:lpstr>
      <vt:lpstr>ALK F2</vt:lpstr>
      <vt:lpstr>ALK F3</vt:lpstr>
      <vt:lpstr>ALK F4</vt:lpstr>
      <vt:lpstr>CN F1</vt:lpstr>
      <vt:lpstr>CN F2</vt:lpstr>
      <vt:lpstr>CN F3</vt:lpstr>
      <vt:lpstr>CN F4</vt:lpstr>
      <vt:lpstr>WLK F1</vt:lpstr>
      <vt:lpstr>WLK F2</vt:lpstr>
      <vt:lpstr>WLK F3</vt:lpstr>
      <vt:lpstr>WLK F4</vt:lpstr>
      <vt:lpstr>lists</vt:lpstr>
      <vt:lpstr>sampling!Print_Area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SPRFMO ALK Template</dc:title>
  <dc:creator>SPRFMO</dc:creator>
  <cp:lastModifiedBy>Tien, Nicola</cp:lastModifiedBy>
  <cp:lastPrinted>2005-03-01T15:40:24Z</cp:lastPrinted>
  <dcterms:created xsi:type="dcterms:W3CDTF">1998-05-02T10:10:47Z</dcterms:created>
  <dcterms:modified xsi:type="dcterms:W3CDTF">2022-06-13T12:50:34Z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0x010100812D0B056278C642B7C89719D0EEC9C4</vt:lpwstr>
  </property>
</Properties>
</file>