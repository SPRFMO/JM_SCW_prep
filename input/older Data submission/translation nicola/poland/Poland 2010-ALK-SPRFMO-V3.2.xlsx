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translation nicola/poland/"/>
    </mc:Choice>
  </mc:AlternateContent>
  <xr:revisionPtr revIDLastSave="24" documentId="14_{4F093036-732C-4A5C-AF5D-D1946B05A40A}" xr6:coauthVersionLast="46" xr6:coauthVersionMax="47" xr10:uidLastSave="{71C00473-E668-4CFA-ACE5-2E55F398C6E3}"/>
  <bookViews>
    <workbookView xWindow="28680" yWindow="-120" windowWidth="29040" windowHeight="15840" tabRatio="892" activeTab="1"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Summary" guid="{F7B13B60-EB30-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landings_by_quarter" guid="{30CB6B41-EBE9-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7" i="101" l="1"/>
  <c r="P18" i="101"/>
  <c r="P19" i="101"/>
  <c r="P20" i="101"/>
  <c r="P24" i="101"/>
  <c r="A23" i="91"/>
  <c r="G3" i="105" l="1"/>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Q20" i="101"/>
  <c r="Q19" i="101"/>
  <c r="Q18" i="101"/>
  <c r="Q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109" i="94"/>
  <c r="F108" i="94"/>
  <c r="F107" i="94"/>
  <c r="F106" i="94"/>
  <c r="F105" i="94"/>
  <c r="F104" i="94"/>
  <c r="F103" i="94"/>
  <c r="F102" i="94"/>
  <c r="F101" i="94"/>
  <c r="F100" i="94"/>
  <c r="F99" i="94"/>
  <c r="F98" i="94"/>
  <c r="F97" i="94"/>
  <c r="F96" i="94"/>
  <c r="F95" i="94"/>
  <c r="F94" i="94"/>
  <c r="F93" i="94"/>
  <c r="F92" i="94"/>
  <c r="F91" i="94"/>
  <c r="F90" i="94"/>
  <c r="F89" i="94"/>
  <c r="F88" i="94"/>
  <c r="F87" i="94"/>
  <c r="F86" i="94"/>
  <c r="F85" i="94"/>
  <c r="F84" i="94"/>
  <c r="F83" i="94"/>
  <c r="F82" i="94"/>
  <c r="F81" i="94"/>
  <c r="F80" i="94"/>
  <c r="F79" i="94"/>
  <c r="F78" i="94"/>
  <c r="F77" i="94"/>
  <c r="F76" i="94"/>
  <c r="F75" i="94"/>
  <c r="F74" i="94"/>
  <c r="F73" i="94"/>
  <c r="F72" i="94"/>
  <c r="F71" i="94"/>
  <c r="F70" i="94"/>
  <c r="F69" i="94"/>
  <c r="F68" i="94"/>
  <c r="F67" i="94"/>
  <c r="F66" i="94"/>
  <c r="F65" i="94"/>
  <c r="F64" i="94"/>
  <c r="F42" i="94"/>
  <c r="F41" i="94"/>
  <c r="F40" i="94"/>
  <c r="F39" i="94"/>
  <c r="F38" i="94"/>
  <c r="F37" i="94"/>
  <c r="F36" i="94"/>
  <c r="F35" i="94"/>
  <c r="F34" i="94"/>
  <c r="F33" i="94"/>
  <c r="F32" i="94"/>
  <c r="F31" i="94"/>
  <c r="F30" i="94"/>
  <c r="F29" i="94"/>
  <c r="F28" i="94"/>
  <c r="F27" i="94"/>
  <c r="F26" i="94"/>
  <c r="F25" i="94"/>
  <c r="F24"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4" l="1"/>
  <c r="F110" i="93"/>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C5" i="36"/>
  <c r="R14" i="2"/>
  <c r="R11" i="2"/>
  <c r="S11" i="2"/>
  <c r="T11" i="2"/>
  <c r="U11" i="2"/>
  <c r="R12" i="2"/>
  <c r="S12" i="2"/>
  <c r="T12" i="2"/>
  <c r="U12" i="2"/>
  <c r="R13" i="2"/>
  <c r="S13" i="2"/>
  <c r="T13" i="2"/>
  <c r="U13" i="2"/>
  <c r="T15"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<sst xmlns="http://schemas.openxmlformats.org/spreadsheetml/2006/main" count="843" uniqueCount="146">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</sst>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5">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1" fontId="0" fillId="0" borderId="0" xfId="0" applyNumberFormat="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107950</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nl-NL"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12700</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nl-NL"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279400</xdr:colOff>
          <xdr:row>6</xdr:row>
          <xdr:rowOff>88900</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nl-NL"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127000</xdr:rowOff>
        </xdr:from>
        <xdr:to>
          <xdr:col>16</xdr:col>
          <xdr:colOff>279400</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nl-NL"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rtl="0"/>
          <a:r>
            <a:rPr lang="de-DE" sz="1100" b="0" i="0" baseline="0">
              <a:effectLst/>
              <a:latin typeface="+mn-lt"/>
              <a:ea typeface="+mn-ea"/>
              <a:cs typeface="+mn-cs"/>
            </a:rPr>
            <a:t>Data of Poland only</a:t>
          </a:r>
        </a:p>
        <a:p>
          <a:pPr rtl="0"/>
          <a:endParaRPr lang="nl-NL" sz="1000">
            <a:effectLst/>
          </a:endParaRPr>
        </a:p>
        <a:p>
          <a:pPr rtl="0"/>
          <a:r>
            <a:rPr lang="de-DE" sz="1100" b="0" i="0" baseline="0">
              <a:effectLst/>
              <a:latin typeface="+mn-lt"/>
              <a:ea typeface="+mn-ea"/>
              <a:cs typeface="+mn-cs"/>
            </a:rPr>
            <a:t>Data interpretation by WMR (NL) of old Polish data, without proper documentation. </a:t>
          </a:r>
        </a:p>
        <a:p>
          <a:pPr rtl="0"/>
          <a:endParaRPr lang="de-DE" sz="1100" b="0" i="0" baseline="0">
            <a:effectLst/>
            <a:latin typeface="+mn-lt"/>
            <a:ea typeface="+mn-ea"/>
            <a:cs typeface="+mn-cs"/>
          </a:endParaRPr>
        </a:p>
        <a:p>
          <a:pPr rtl="0"/>
          <a:r>
            <a:rPr lang="de-DE" sz="1100" b="0" i="0" baseline="0">
              <a:effectLst/>
              <a:latin typeface="+mn-lt"/>
              <a:ea typeface="+mn-ea"/>
              <a:cs typeface="+mn-cs"/>
            </a:rPr>
            <a:t>Basic assumptions made:</a:t>
          </a:r>
          <a:endParaRPr lang="nl-NL" sz="1000">
            <a:effectLst/>
          </a:endParaRPr>
        </a:p>
        <a:p>
          <a:pPr rtl="0"/>
          <a:r>
            <a:rPr lang="de-DE" sz="1100" b="0" i="0" baseline="0">
              <a:effectLst/>
              <a:latin typeface="+mn-lt"/>
              <a:ea typeface="+mn-ea"/>
              <a:cs typeface="+mn-cs"/>
            </a:rPr>
            <a:t>- country = poland (based on language)</a:t>
          </a:r>
          <a:endParaRPr lang="nl-NL" sz="1000">
            <a:effectLst/>
          </a:endParaRPr>
        </a:p>
        <a:p>
          <a:pPr rtl="0"/>
          <a:r>
            <a:rPr lang="de-DE" sz="1100" b="0" i="0" baseline="0">
              <a:effectLst/>
              <a:latin typeface="+mn-lt"/>
              <a:ea typeface="+mn-ea"/>
              <a:cs typeface="+mn-cs"/>
            </a:rPr>
            <a:t>- fleet = 4 </a:t>
          </a:r>
          <a:endParaRPr lang="nl-NL" sz="1000">
            <a:effectLst/>
          </a:endParaRPr>
        </a:p>
        <a:p>
          <a:pPr rtl="0" eaLnBrk="1" fontAlgn="auto" latinLnBrk="0" hangingPunct="1"/>
          <a:endParaRPr lang="de-DE" sz="1100" b="0" i="0" baseline="0">
            <a:effectLst/>
            <a:latin typeface="+mn-lt"/>
            <a:ea typeface="+mn-ea"/>
            <a:cs typeface="+mn-cs"/>
          </a:endParaRPr>
        </a:p>
        <a:p>
          <a:pPr rtl="0" eaLnBrk="1" fontAlgn="auto" latinLnBrk="0" hangingPunct="1"/>
          <a:r>
            <a:rPr lang="de-DE" sz="1100" b="0" i="0" baseline="0">
              <a:effectLst/>
              <a:latin typeface="+mn-lt"/>
              <a:ea typeface="+mn-ea"/>
              <a:cs typeface="+mn-cs"/>
            </a:rPr>
            <a:t>Sampling data: available on length, weight, age, for quarter 1&amp;2.</a:t>
          </a:r>
          <a:endParaRPr lang="nl-NL" sz="1000">
            <a:effectLst/>
          </a:endParaRPr>
        </a:p>
        <a:p>
          <a:pPr rtl="0"/>
          <a:r>
            <a:rPr lang="de-DE" sz="1100" b="0" i="0" baseline="0">
              <a:effectLst/>
              <a:latin typeface="+mn-lt"/>
              <a:ea typeface="+mn-ea"/>
              <a:cs typeface="+mn-cs"/>
            </a:rPr>
            <a:t>Catch data: no explicit information available.</a:t>
          </a:r>
          <a:endParaRPr lang="nl-NL" sz="1000">
            <a:effectLst/>
          </a:endParaRPr>
        </a:p>
        <a:p>
          <a:pPr rtl="0"/>
          <a:endParaRPr lang="de-DE" sz="1100" b="0" i="0" baseline="0">
            <a:effectLst/>
            <a:latin typeface="+mn-lt"/>
            <a:ea typeface="+mn-ea"/>
            <a:cs typeface="+mn-cs"/>
          </a:endParaRPr>
        </a:p>
        <a:p>
          <a:pPr rtl="0"/>
          <a:r>
            <a:rPr lang="de-DE" sz="1100" b="0" i="0" baseline="0">
              <a:effectLst/>
              <a:latin typeface="+mn-lt"/>
              <a:ea typeface="+mn-ea"/>
              <a:cs typeface="+mn-cs"/>
            </a:rPr>
            <a:t>LEN&amp;CN of total catch: </a:t>
          </a:r>
          <a:endParaRPr lang="nl-NL" sz="1000">
            <a:effectLst/>
          </a:endParaRPr>
        </a:p>
        <a:p>
          <a:pPr rtl="0"/>
          <a:r>
            <a:rPr lang="de-DE" sz="1100" b="0" i="0" baseline="0">
              <a:effectLst/>
              <a:latin typeface="+mn-lt"/>
              <a:ea typeface="+mn-ea"/>
              <a:cs typeface="+mn-cs"/>
            </a:rPr>
            <a:t>In the original dataset, the age-length distribution of all samples (n=697) has been raised to larger numbers (n=6027). The major assumption made here is that this raising is the </a:t>
          </a:r>
          <a:r>
            <a:rPr lang="de-DE" sz="1100" b="1" i="0" baseline="0">
              <a:effectLst/>
              <a:latin typeface="+mn-lt"/>
              <a:ea typeface="+mn-ea"/>
              <a:cs typeface="+mn-cs"/>
            </a:rPr>
            <a:t>estimated total catch numbers per age&amp;length (in thousands) over all quarters</a:t>
          </a:r>
          <a:r>
            <a:rPr lang="de-DE" sz="1100" b="0" i="0" baseline="0">
              <a:effectLst/>
              <a:latin typeface="+mn-lt"/>
              <a:ea typeface="+mn-ea"/>
              <a:cs typeface="+mn-cs"/>
            </a:rPr>
            <a:t>. These numbers are used in LEN and CN F4. </a:t>
          </a:r>
          <a:endParaRPr lang="nl-NL" sz="1000">
            <a:effectLst/>
          </a:endParaRPr>
        </a:p>
        <a:p>
          <a:pPr rtl="0"/>
          <a:endParaRPr lang="de-DE" sz="1100" b="0" i="0" baseline="0">
            <a:effectLst/>
            <a:latin typeface="+mn-lt"/>
            <a:ea typeface="+mn-ea"/>
            <a:cs typeface="+mn-cs"/>
          </a:endParaRPr>
        </a:p>
        <a:p>
          <a:pPr rtl="0"/>
          <a:r>
            <a:rPr lang="de-DE" sz="1100" b="0" i="0" baseline="0">
              <a:effectLst/>
              <a:latin typeface="+mn-lt"/>
              <a:ea typeface="+mn-ea"/>
              <a:cs typeface="+mn-cs"/>
            </a:rPr>
            <a:t>WLK of individual fish:</a:t>
          </a:r>
          <a:endParaRPr lang="nl-NL" sz="1000">
            <a:effectLst/>
          </a:endParaRPr>
        </a:p>
        <a:p>
          <a:r>
            <a:rPr lang="de-DE" sz="1100" b="0" i="0" baseline="0">
              <a:effectLst/>
              <a:latin typeface="+mn-lt"/>
              <a:ea typeface="+mn-ea"/>
              <a:cs typeface="+mn-cs"/>
            </a:rPr>
            <a:t>average weight per quarter calculated by WMR, based on original sampling data.</a:t>
          </a:r>
        </a:p>
        <a:p>
          <a:endParaRPr lang="de-DE" sz="1100" b="0" i="0" u="none" strike="noStrike" baseline="0">
            <a:solidFill>
              <a:srgbClr val="000000"/>
            </a:solidFill>
            <a:effectLst/>
            <a:latin typeface="+mn-lt"/>
            <a:ea typeface="+mn-ea"/>
            <a:cs typeface="+mn-cs"/>
          </a:endParaRPr>
        </a:p>
        <a:p>
          <a:r>
            <a:rPr lang="de-DE" sz="1100" b="0" i="0" u="none" strike="noStrike" baseline="0">
              <a:solidFill>
                <a:srgbClr val="000000"/>
              </a:solidFill>
              <a:effectLst/>
              <a:latin typeface="+mn-lt"/>
              <a:ea typeface="+mn-ea"/>
              <a:cs typeface="+mn-cs"/>
            </a:rPr>
            <a:t>ALK cannot be estimated, since total catch is not available per quarter</a:t>
          </a:r>
          <a:endParaRPr lang="de-DE" sz="1000" b="0" i="0" u="none" strike="noStrike" baseline="0">
            <a:solidFill>
              <a:srgbClr val="000000"/>
            </a:solidFill>
            <a:latin typeface="Geneva"/>
          </a:endParaRP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workbookViewId="0">
      <selection activeCell="F12" sqref="F12:K12"/>
    </sheetView>
  </sheetViews>
  <sheetFormatPr defaultColWidth="8.7265625" defaultRowHeight="12.5"/>
  <cols>
    <col min="1" max="5" width="8.7265625" customWidth="1"/>
    <col min="6" max="6" width="11.7265625" customWidth="1"/>
  </cols>
  <sheetData>
    <row r="1" spans="1:12" ht="23.5">
      <c r="A1" s="341" t="s">
        <v>71</v>
      </c>
      <c r="B1" s="341"/>
      <c r="C1" s="341"/>
      <c r="D1" s="341"/>
      <c r="E1" s="341"/>
      <c r="F1" s="341"/>
      <c r="G1" s="341"/>
      <c r="H1" s="341"/>
      <c r="I1" s="341"/>
      <c r="J1" s="341"/>
      <c r="K1" s="341"/>
      <c r="L1" s="341"/>
    </row>
    <row r="2" spans="1:12" ht="13" thickBot="1"/>
    <row r="3" spans="1:12" ht="20.5" thickBot="1">
      <c r="B3" s="142" t="s">
        <v>143</v>
      </c>
      <c r="J3" s="153" t="s">
        <v>60</v>
      </c>
      <c r="K3" s="158">
        <v>2010</v>
      </c>
    </row>
    <row r="5" spans="1:12" ht="13">
      <c r="B5" s="143" t="s">
        <v>66</v>
      </c>
      <c r="C5" s="144"/>
      <c r="D5" s="144"/>
      <c r="E5" s="144"/>
      <c r="F5" s="345" t="s">
        <v>72</v>
      </c>
      <c r="G5" s="346"/>
      <c r="H5" s="346"/>
      <c r="I5" s="346"/>
      <c r="J5" s="346"/>
      <c r="K5" s="347"/>
    </row>
    <row r="6" spans="1:12" ht="13">
      <c r="B6" s="145" t="s">
        <v>105</v>
      </c>
      <c r="C6" s="146"/>
      <c r="D6" s="146"/>
      <c r="E6" s="146"/>
      <c r="F6" s="345" t="s">
        <v>127</v>
      </c>
      <c r="G6" s="346"/>
      <c r="H6" s="346"/>
      <c r="I6" s="346"/>
      <c r="J6" s="346"/>
      <c r="K6" s="347"/>
    </row>
    <row r="7" spans="1:12" ht="13">
      <c r="B7" s="145" t="s">
        <v>67</v>
      </c>
      <c r="C7" s="146"/>
      <c r="D7" s="146"/>
      <c r="E7" s="146"/>
      <c r="F7" s="345"/>
      <c r="G7" s="346"/>
      <c r="H7" s="346"/>
      <c r="I7" s="346"/>
      <c r="J7" s="346"/>
      <c r="K7" s="347"/>
    </row>
    <row r="8" spans="1:12" ht="13">
      <c r="B8" s="145" t="s">
        <v>68</v>
      </c>
      <c r="C8" s="146"/>
      <c r="D8" s="146"/>
      <c r="E8" s="146"/>
      <c r="F8" s="350">
        <v>43100</v>
      </c>
      <c r="G8" s="351"/>
      <c r="H8" s="351"/>
      <c r="I8" s="351"/>
      <c r="J8" s="351"/>
      <c r="K8" s="352"/>
    </row>
    <row r="9" spans="1:12" ht="13">
      <c r="B9" s="145" t="s">
        <v>69</v>
      </c>
      <c r="C9" s="146"/>
      <c r="D9" s="146"/>
      <c r="E9" s="146"/>
      <c r="F9" s="353"/>
      <c r="G9" s="354"/>
      <c r="H9" s="354"/>
      <c r="I9" s="354"/>
      <c r="J9" s="354"/>
      <c r="K9" s="355"/>
    </row>
    <row r="10" spans="1:12" ht="13">
      <c r="B10" s="145" t="s">
        <v>73</v>
      </c>
      <c r="C10" s="146"/>
      <c r="D10" s="146"/>
      <c r="E10" s="146"/>
      <c r="F10" s="356"/>
      <c r="G10" s="357"/>
      <c r="H10" s="357"/>
      <c r="I10" s="357"/>
      <c r="J10" s="357"/>
      <c r="K10" s="358"/>
    </row>
    <row r="11" spans="1:12" ht="13">
      <c r="B11" s="147" t="s">
        <v>70</v>
      </c>
      <c r="C11" s="148"/>
      <c r="D11" s="148"/>
      <c r="E11" s="148"/>
      <c r="F11" s="345"/>
      <c r="G11" s="346"/>
      <c r="H11" s="346"/>
      <c r="I11" s="346"/>
      <c r="J11" s="346"/>
      <c r="K11" s="347"/>
    </row>
    <row r="12" spans="1:12" ht="42.75" customHeight="1">
      <c r="B12" s="348" t="s">
        <v>48</v>
      </c>
      <c r="C12" s="349"/>
      <c r="D12" s="349"/>
      <c r="E12" s="349"/>
      <c r="F12" s="345"/>
      <c r="G12" s="346"/>
      <c r="H12" s="346"/>
      <c r="I12" s="346"/>
      <c r="J12" s="346"/>
      <c r="K12" s="347"/>
    </row>
    <row r="13" spans="1:12" ht="13">
      <c r="B13" s="147" t="s">
        <v>141</v>
      </c>
      <c r="C13" s="148"/>
      <c r="D13" s="148"/>
      <c r="E13" s="148"/>
      <c r="F13" s="345" t="s">
        <v>139</v>
      </c>
      <c r="G13" s="346"/>
      <c r="H13" s="346"/>
      <c r="I13" s="346"/>
      <c r="J13" s="346"/>
      <c r="K13" s="347"/>
    </row>
    <row r="14" spans="1:12" ht="13">
      <c r="B14" s="149" t="s">
        <v>47</v>
      </c>
    </row>
    <row r="15" spans="1:12" ht="13">
      <c r="B15" s="149" t="s">
        <v>74</v>
      </c>
    </row>
    <row r="16" spans="1:12" ht="13">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107950</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12700</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279400</xdr:colOff>
                    <xdr:row>6</xdr:row>
                    <xdr:rowOff>88900</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127000</xdr:rowOff>
                  </from>
                  <to>
                    <xdr:col>16</xdr:col>
                    <xdr:colOff>279400</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G59"/>
  <sheetViews>
    <sheetView tabSelected="1" workbookViewId="0">
      <selection activeCell="G26" sqref="G26"/>
    </sheetView>
  </sheetViews>
  <sheetFormatPr defaultColWidth="11.54296875" defaultRowHeight="12.5"/>
  <cols>
    <col min="1" max="1" width="11.54296875" customWidth="1"/>
    <col min="2" max="2" width="22.1796875" customWidth="1"/>
    <col min="3" max="3" width="26" customWidth="1"/>
    <col min="4" max="4" width="46" customWidth="1"/>
    <col min="5" max="10" width="11.54296875" customWidth="1"/>
    <col min="11" max="11" width="24.81640625" customWidth="1"/>
  </cols>
  <sheetData>
    <row r="1" spans="1:5" ht="23.5">
      <c r="A1" s="339" t="s">
        <v>71</v>
      </c>
      <c r="B1" s="341"/>
      <c r="C1" s="341"/>
      <c r="D1" s="341"/>
      <c r="E1" s="341"/>
    </row>
    <row r="2" spans="1:5" ht="23" thickBot="1">
      <c r="A2" s="152"/>
      <c r="D2" s="178"/>
      <c r="E2" s="178"/>
    </row>
    <row r="3" spans="1:5" ht="22.5">
      <c r="A3" s="152"/>
      <c r="B3" s="259" t="s">
        <v>106</v>
      </c>
      <c r="C3" s="155" t="str">
        <f>'START HERE'!F6</f>
        <v>EU</v>
      </c>
      <c r="D3" s="274"/>
      <c r="E3" s="275"/>
    </row>
    <row r="4" spans="1:5" ht="22.5">
      <c r="A4" s="152"/>
      <c r="B4" s="170" t="s">
        <v>0</v>
      </c>
      <c r="C4" s="156" t="str">
        <f>'START HERE'!F5</f>
        <v>Jack mackerel</v>
      </c>
      <c r="D4" s="276"/>
      <c r="E4" s="275"/>
    </row>
    <row r="5" spans="1:5" ht="23" thickBot="1">
      <c r="A5" s="152"/>
      <c r="B5" s="170" t="s">
        <v>1</v>
      </c>
      <c r="C5" s="157">
        <f>'START HERE'!K3</f>
        <v>2010</v>
      </c>
      <c r="D5" s="277"/>
      <c r="E5" s="277"/>
    </row>
    <row r="6" spans="1:5">
      <c r="D6" s="178"/>
      <c r="E6" s="178"/>
    </row>
    <row r="8" spans="1:5" ht="13">
      <c r="B8" t="s">
        <v>107</v>
      </c>
    </row>
    <row r="26" spans="7:7">
      <c r="G26" t="s">
        <v>145</v>
      </c>
    </row>
    <row r="42" spans="2:4" ht="13">
      <c r="B42" s="149" t="s">
        <v>119</v>
      </c>
    </row>
    <row r="44" spans="2:4" ht="13"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
      <c r="B55" s="40" t="s">
        <v>57</v>
      </c>
      <c r="C55" s="298"/>
      <c r="D55" s="299"/>
    </row>
    <row r="56" spans="2:4" ht="50">
      <c r="B56" s="260" t="s">
        <v>111</v>
      </c>
      <c r="C56" s="300"/>
      <c r="D56" s="301"/>
    </row>
    <row r="57" spans="2:4" ht="25.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zoomScale="75" zoomScaleNormal="75" workbookViewId="0"/>
  </sheetViews>
  <sheetFormatPr defaultColWidth="8.7265625" defaultRowHeight="24.75" customHeight="1"/>
  <cols>
    <col min="1" max="1" width="41.54296875" customWidth="1"/>
    <col min="2" max="17" width="18" customWidth="1"/>
    <col min="18" max="18" width="51.1796875" customWidth="1"/>
    <col min="19" max="19" width="18" customWidth="1"/>
    <col min="20" max="20" width="13.81640625" customWidth="1"/>
    <col min="21" max="21" width="12.7265625" customWidth="1"/>
    <col min="22" max="22" width="12.54296875" bestFit="1" customWidth="1"/>
    <col min="23" max="23" width="10.54296875" customWidth="1"/>
    <col min="24" max="24" width="13.81640625" customWidth="1"/>
    <col min="25" max="25" width="12.7265625" customWidth="1"/>
    <col min="26" max="26" width="12.54296875" customWidth="1"/>
    <col min="27" max="27" width="22.453125" bestFit="1" customWidth="1"/>
    <col min="28" max="28" width="19" bestFit="1" customWidth="1"/>
    <col min="29" max="29" width="15.54296875" bestFit="1" customWidth="1"/>
    <col min="30" max="30" width="20.7265625" bestFit="1" customWidth="1"/>
    <col min="31" max="31" width="51.5429687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2010</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9" t="s">
        <v>91</v>
      </c>
      <c r="C12" s="360"/>
      <c r="D12" s="361"/>
      <c r="E12" s="359" t="s">
        <v>92</v>
      </c>
      <c r="F12" s="360"/>
      <c r="G12" s="361"/>
      <c r="H12" s="359" t="s">
        <v>93</v>
      </c>
      <c r="I12" s="360"/>
      <c r="J12" s="361"/>
      <c r="K12" s="359" t="s">
        <v>94</v>
      </c>
      <c r="L12" s="360"/>
      <c r="M12" s="361"/>
      <c r="N12" s="359" t="s">
        <v>95</v>
      </c>
      <c r="O12" s="360"/>
      <c r="P12" s="360"/>
      <c r="Q12" s="361"/>
    </row>
    <row r="13" spans="1:19" ht="24.75" customHeight="1" thickBot="1">
      <c r="A13" s="7"/>
      <c r="B13" s="365">
        <f>'START HERE'!$K$3</f>
        <v>2010</v>
      </c>
      <c r="C13" s="366"/>
      <c r="D13" s="367"/>
      <c r="E13" s="365">
        <f>'START HERE'!$K$3</f>
        <v>2010</v>
      </c>
      <c r="F13" s="366"/>
      <c r="G13" s="367"/>
      <c r="H13" s="365">
        <f>'START HERE'!$K$3</f>
        <v>2010</v>
      </c>
      <c r="I13" s="366"/>
      <c r="J13" s="367"/>
      <c r="K13" s="365">
        <f>'START HERE'!$K$3</f>
        <v>2010</v>
      </c>
      <c r="L13" s="366"/>
      <c r="M13" s="367"/>
      <c r="N13" s="362"/>
      <c r="O13" s="363"/>
      <c r="P13" s="363"/>
      <c r="Q13" s="364"/>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c r="F20" s="238"/>
      <c r="G20" s="239"/>
      <c r="H20" s="232"/>
      <c r="I20" s="238"/>
      <c r="J20" s="239"/>
      <c r="K20" s="232"/>
      <c r="L20" s="238"/>
      <c r="M20" s="240"/>
      <c r="N20" s="290">
        <f t="shared" si="0"/>
        <v>0</v>
      </c>
      <c r="O20" s="291">
        <f t="shared" si="0"/>
        <v>0</v>
      </c>
      <c r="P20" s="292">
        <f t="shared" si="0"/>
        <v>0</v>
      </c>
      <c r="Q20" s="241">
        <f t="shared" si="1"/>
        <v>0</v>
      </c>
      <c r="R20" s="285"/>
      <c r="S20" s="162" t="s">
        <v>85</v>
      </c>
    </row>
    <row r="21" spans="1:19" ht="24.75" customHeight="1" thickBot="1">
      <c r="A21" s="264" t="s">
        <v>49</v>
      </c>
      <c r="B21" s="242">
        <f t="shared" ref="B21:M21" si="2">SUM(B17:B20)</f>
        <v>0</v>
      </c>
      <c r="C21" s="243">
        <f t="shared" si="2"/>
        <v>0</v>
      </c>
      <c r="D21" s="244">
        <f t="shared" si="2"/>
        <v>0</v>
      </c>
      <c r="E21" s="242">
        <f t="shared" si="2"/>
        <v>0</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0</v>
      </c>
      <c r="O21" s="294">
        <f t="shared" si="0"/>
        <v>0</v>
      </c>
      <c r="P21" s="295">
        <f t="shared" si="0"/>
        <v>0</v>
      </c>
      <c r="Q21" s="249">
        <f>SUM(Q17:Q20)</f>
        <v>0</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0)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zoomScale="75" workbookViewId="0">
      <selection activeCell="Q24" sqref="Q24"/>
    </sheetView>
  </sheetViews>
  <sheetFormatPr defaultColWidth="8.7265625" defaultRowHeight="24.75" customHeight="1"/>
  <cols>
    <col min="1" max="1" width="43.81640625" customWidth="1"/>
    <col min="2" max="21" width="9.26953125" customWidth="1"/>
    <col min="22" max="22" width="11.7265625" customWidth="1"/>
    <col min="23" max="23" width="6.7265625" customWidth="1"/>
    <col min="24" max="24" width="8.7265625" customWidth="1"/>
    <col min="25" max="25" width="6.7265625" customWidth="1"/>
    <col min="26" max="26" width="8.7265625" customWidth="1"/>
    <col min="27" max="27" width="12.26953125" customWidth="1"/>
    <col min="28" max="29" width="8.726562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8" t="str">
        <f>'START HERE'!F6</f>
        <v>EU</v>
      </c>
      <c r="C3" s="368"/>
      <c r="D3" s="368"/>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8" t="str">
        <f>'START HERE'!F5</f>
        <v>Jack mackerel</v>
      </c>
      <c r="C4" s="368"/>
      <c r="D4" s="368"/>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9">
        <f>'START HERE'!K3</f>
        <v>2010</v>
      </c>
      <c r="C5" s="369"/>
      <c r="D5" s="369"/>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70">
        <f>'START HERE'!F8</f>
        <v>43100</v>
      </c>
      <c r="C6" s="370"/>
      <c r="D6" s="370"/>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1" t="s">
        <v>52</v>
      </c>
      <c r="C8" s="372"/>
      <c r="D8" s="372"/>
      <c r="E8" s="188">
        <f>'START HERE'!K3</f>
        <v>2010</v>
      </c>
      <c r="F8" s="371" t="s">
        <v>30</v>
      </c>
      <c r="G8" s="372"/>
      <c r="H8" s="372"/>
      <c r="I8" s="188">
        <f>'START HERE'!K3</f>
        <v>2010</v>
      </c>
      <c r="J8" s="371" t="s">
        <v>31</v>
      </c>
      <c r="K8" s="372"/>
      <c r="L8" s="372"/>
      <c r="M8" s="188">
        <f>'START HERE'!K3</f>
        <v>2010</v>
      </c>
      <c r="N8" s="186" t="s">
        <v>32</v>
      </c>
      <c r="O8" s="187"/>
      <c r="P8" s="187"/>
      <c r="Q8" s="188">
        <f>'START HERE'!K3</f>
        <v>2010</v>
      </c>
      <c r="R8" s="371" t="s">
        <v>33</v>
      </c>
      <c r="S8" s="372"/>
      <c r="T8" s="372"/>
      <c r="U8" s="188">
        <f>'START HERE'!K3</f>
        <v>2010</v>
      </c>
      <c r="V8" s="279"/>
      <c r="W8" s="282"/>
      <c r="X8" s="282"/>
      <c r="Y8" s="282"/>
      <c r="Z8" s="279"/>
    </row>
    <row r="9" spans="1:28" s="45" customFormat="1" ht="23">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c r="J14" s="57"/>
      <c r="K14" s="54"/>
      <c r="L14" s="54"/>
      <c r="M14" s="55"/>
      <c r="N14" s="57"/>
      <c r="O14" s="68"/>
      <c r="P14" s="68"/>
      <c r="Q14" s="69"/>
      <c r="R14" s="59">
        <f t="shared" si="0"/>
        <v>0</v>
      </c>
      <c r="S14" s="62"/>
      <c r="T14" s="62"/>
      <c r="U14" s="63">
        <v>697</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0</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697</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10" activePane="bottomLeft" state="frozen"/>
      <selection activeCell="G5" sqref="G5:J5"/>
      <selection pane="bottomLeft" sqref="A1:I1"/>
    </sheetView>
  </sheetViews>
  <sheetFormatPr defaultColWidth="11.54296875" defaultRowHeight="12.5"/>
  <cols>
    <col min="1" max="1" width="15.7265625" style="1" customWidth="1"/>
    <col min="2" max="2" width="11.81640625" style="1" customWidth="1"/>
    <col min="3" max="8" width="11.8164062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6" t="str">
        <f>'START HERE'!F6</f>
        <v>EU</v>
      </c>
      <c r="C3" s="377"/>
      <c r="D3" s="6"/>
      <c r="E3" s="30" t="s">
        <v>38</v>
      </c>
      <c r="F3" s="373" t="s">
        <v>81</v>
      </c>
      <c r="G3" s="374"/>
      <c r="H3" s="375"/>
      <c r="I3" s="35"/>
    </row>
    <row r="4" spans="1:9" s="7" customFormat="1" ht="18" customHeight="1">
      <c r="A4" s="12" t="s">
        <v>18</v>
      </c>
      <c r="B4" s="376" t="str">
        <f>'START HERE'!F5</f>
        <v>Jack mackerel</v>
      </c>
      <c r="C4" s="377"/>
      <c r="D4" s="26"/>
      <c r="E4" s="13"/>
      <c r="F4" s="73"/>
      <c r="G4" s="161"/>
      <c r="H4" s="74"/>
      <c r="I4" s="35"/>
    </row>
    <row r="5" spans="1:9" s="7" customFormat="1" ht="18" customHeight="1">
      <c r="A5" s="12" t="s">
        <v>13</v>
      </c>
      <c r="B5" s="118">
        <f>'START HERE'!$K$3</f>
        <v>2010</v>
      </c>
      <c r="C5" s="258"/>
      <c r="D5" s="6"/>
      <c r="E5" s="34" t="s">
        <v>39</v>
      </c>
      <c r="F5" s="378" t="s">
        <v>104</v>
      </c>
      <c r="G5" s="379"/>
      <c r="H5" s="380"/>
      <c r="I5" s="35"/>
    </row>
    <row r="6" spans="1:9" s="7" customFormat="1" ht="18" customHeight="1" thickBot="1">
      <c r="A6" s="12"/>
      <c r="B6" s="71"/>
      <c r="C6" s="72"/>
      <c r="D6" s="6"/>
      <c r="E6" s="34" t="s">
        <v>14</v>
      </c>
      <c r="F6" s="381">
        <f>'START HERE'!$F8</f>
        <v>43100</v>
      </c>
      <c r="G6" s="382"/>
      <c r="H6" s="383"/>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ht="13">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ht="13">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10" activePane="bottomLeft" state="frozen"/>
      <selection activeCell="G5" sqref="G5:J5"/>
      <selection pane="bottomLeft" sqref="A1:I1"/>
    </sheetView>
  </sheetViews>
  <sheetFormatPr defaultColWidth="11.54296875" defaultRowHeight="12.5"/>
  <cols>
    <col min="1" max="1" width="15.7265625" style="1" customWidth="1"/>
    <col min="2" max="2" width="11.81640625" style="1" customWidth="1"/>
    <col min="3" max="8" width="11.8164062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6" t="str">
        <f>'START HERE'!F6</f>
        <v>EU</v>
      </c>
      <c r="C3" s="377"/>
      <c r="D3" s="6"/>
      <c r="E3" s="30" t="s">
        <v>38</v>
      </c>
      <c r="F3" s="373" t="s">
        <v>82</v>
      </c>
      <c r="G3" s="374"/>
      <c r="H3" s="375"/>
      <c r="I3" s="35"/>
    </row>
    <row r="4" spans="1:9" s="7" customFormat="1" ht="18" customHeight="1">
      <c r="A4" s="12" t="s">
        <v>18</v>
      </c>
      <c r="B4" s="376" t="str">
        <f>'START HERE'!F5</f>
        <v>Jack mackerel</v>
      </c>
      <c r="C4" s="377"/>
      <c r="D4" s="26"/>
      <c r="E4" s="13"/>
      <c r="F4" s="73"/>
      <c r="G4" s="161"/>
      <c r="H4" s="74"/>
      <c r="I4" s="35"/>
    </row>
    <row r="5" spans="1:9" s="7" customFormat="1" ht="18" customHeight="1">
      <c r="A5" s="12" t="s">
        <v>13</v>
      </c>
      <c r="B5" s="118">
        <f>'START HERE'!$K$3</f>
        <v>2010</v>
      </c>
      <c r="C5" s="258"/>
      <c r="D5" s="6"/>
      <c r="E5" s="34" t="s">
        <v>39</v>
      </c>
      <c r="F5" s="378" t="s">
        <v>104</v>
      </c>
      <c r="G5" s="379"/>
      <c r="H5" s="380"/>
      <c r="I5" s="35"/>
    </row>
    <row r="6" spans="1:9" s="7" customFormat="1" ht="18" customHeight="1" thickBot="1">
      <c r="A6" s="12"/>
      <c r="B6" s="71"/>
      <c r="C6" s="72"/>
      <c r="D6" s="6"/>
      <c r="E6" s="34" t="s">
        <v>14</v>
      </c>
      <c r="F6" s="381">
        <f>'START HERE'!$F8</f>
        <v>43100</v>
      </c>
      <c r="G6" s="382"/>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ht="13">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ht="13">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10" activePane="bottomLeft" state="frozen"/>
      <selection activeCell="G5" sqref="G5:J5"/>
      <selection pane="bottomLeft" sqref="A1:I1"/>
    </sheetView>
  </sheetViews>
  <sheetFormatPr defaultColWidth="11.54296875" defaultRowHeight="12.5"/>
  <cols>
    <col min="1" max="1" width="15.7265625" style="1" customWidth="1"/>
    <col min="2" max="2" width="11.81640625" style="1" customWidth="1"/>
    <col min="3" max="8" width="11.8164062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6" t="str">
        <f>'START HERE'!F6</f>
        <v>EU</v>
      </c>
      <c r="C3" s="377"/>
      <c r="D3" s="6"/>
      <c r="E3" s="30" t="s">
        <v>38</v>
      </c>
      <c r="F3" s="373" t="s">
        <v>83</v>
      </c>
      <c r="G3" s="374"/>
      <c r="H3" s="375"/>
      <c r="I3" s="35"/>
    </row>
    <row r="4" spans="1:9" s="7" customFormat="1" ht="18" customHeight="1">
      <c r="A4" s="12" t="s">
        <v>18</v>
      </c>
      <c r="B4" s="376" t="str">
        <f>'START HERE'!F5</f>
        <v>Jack mackerel</v>
      </c>
      <c r="C4" s="377"/>
      <c r="D4" s="26"/>
      <c r="E4" s="13"/>
      <c r="F4" s="73"/>
      <c r="G4" s="161"/>
      <c r="H4" s="74"/>
      <c r="I4" s="35"/>
    </row>
    <row r="5" spans="1:9" s="7" customFormat="1" ht="18" customHeight="1">
      <c r="A5" s="12" t="s">
        <v>13</v>
      </c>
      <c r="B5" s="118">
        <f>'START HERE'!$K$3</f>
        <v>2010</v>
      </c>
      <c r="C5" s="258"/>
      <c r="D5" s="6"/>
      <c r="E5" s="34" t="s">
        <v>39</v>
      </c>
      <c r="F5" s="378" t="s">
        <v>104</v>
      </c>
      <c r="G5" s="379"/>
      <c r="H5" s="380"/>
      <c r="I5" s="35"/>
    </row>
    <row r="6" spans="1:9" s="7" customFormat="1" ht="18" customHeight="1" thickBot="1">
      <c r="A6" s="12"/>
      <c r="B6" s="71"/>
      <c r="C6" s="72"/>
      <c r="D6" s="6"/>
      <c r="E6" s="34" t="s">
        <v>14</v>
      </c>
      <c r="F6" s="381">
        <f>'START HERE'!$F8</f>
        <v>43100</v>
      </c>
      <c r="G6" s="382"/>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ht="13">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ht="13">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37" activePane="bottomLeft" state="frozen"/>
      <selection activeCell="G5" sqref="G5:J5"/>
      <selection pane="bottomLeft" activeCell="F63" sqref="F63"/>
    </sheetView>
  </sheetViews>
  <sheetFormatPr defaultColWidth="11.54296875" defaultRowHeight="12.5"/>
  <cols>
    <col min="1" max="1" width="15.7265625" style="1" customWidth="1"/>
    <col min="2" max="2" width="11.81640625" style="1" customWidth="1"/>
    <col min="3" max="8" width="11.8164062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6" t="str">
        <f>'START HERE'!F6</f>
        <v>EU</v>
      </c>
      <c r="C3" s="377"/>
      <c r="D3" s="6"/>
      <c r="E3" s="30" t="s">
        <v>38</v>
      </c>
      <c r="F3" s="373" t="s">
        <v>84</v>
      </c>
      <c r="G3" s="374"/>
      <c r="H3" s="375"/>
      <c r="I3" s="35"/>
    </row>
    <row r="4" spans="1:9" s="7" customFormat="1" ht="18" customHeight="1">
      <c r="A4" s="12" t="s">
        <v>18</v>
      </c>
      <c r="B4" s="376" t="str">
        <f>'START HERE'!F5</f>
        <v>Jack mackerel</v>
      </c>
      <c r="C4" s="377"/>
      <c r="D4" s="26"/>
      <c r="E4" s="13"/>
      <c r="F4" s="73"/>
      <c r="G4" s="161"/>
      <c r="H4" s="74"/>
      <c r="I4" s="35"/>
    </row>
    <row r="5" spans="1:9" s="7" customFormat="1" ht="18" customHeight="1">
      <c r="A5" s="12" t="s">
        <v>13</v>
      </c>
      <c r="B5" s="118">
        <f>'START HERE'!$K$3</f>
        <v>2010</v>
      </c>
      <c r="C5" s="258"/>
      <c r="D5" s="6"/>
      <c r="E5" s="34" t="s">
        <v>39</v>
      </c>
      <c r="F5" s="378" t="s">
        <v>104</v>
      </c>
      <c r="G5" s="379"/>
      <c r="H5" s="380"/>
      <c r="I5" s="35"/>
    </row>
    <row r="6" spans="1:9" s="7" customFormat="1" ht="18" customHeight="1" thickBot="1">
      <c r="A6" s="12"/>
      <c r="B6" s="71"/>
      <c r="C6" s="72"/>
      <c r="D6" s="6"/>
      <c r="E6" s="34" t="s">
        <v>14</v>
      </c>
      <c r="F6" s="381">
        <f>'START HERE'!$F8</f>
        <v>43100</v>
      </c>
      <c r="G6" s="382"/>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2010</v>
      </c>
      <c r="C9" s="181">
        <f>'START HERE'!$K$3</f>
        <v>2010</v>
      </c>
      <c r="D9" s="181">
        <f>'START HERE'!$K$3</f>
        <v>2010</v>
      </c>
      <c r="E9" s="181">
        <f>'START HERE'!$K$3</f>
        <v>2010</v>
      </c>
      <c r="F9" s="180">
        <f>'START HERE'!$K$3</f>
        <v>2010</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v>2</v>
      </c>
      <c r="G43" s="4"/>
      <c r="H43" s="177"/>
      <c r="I43" s="177"/>
    </row>
    <row r="44" spans="1:9">
      <c r="A44" s="154">
        <v>35</v>
      </c>
      <c r="B44" s="305"/>
      <c r="C44" s="306"/>
      <c r="D44" s="306"/>
      <c r="E44" s="306"/>
      <c r="F44" s="36">
        <v>78</v>
      </c>
      <c r="G44" s="4"/>
      <c r="H44" s="177"/>
      <c r="I44" s="177"/>
    </row>
    <row r="45" spans="1:9">
      <c r="A45" s="154">
        <v>36</v>
      </c>
      <c r="B45" s="305"/>
      <c r="C45" s="306"/>
      <c r="D45" s="306"/>
      <c r="E45" s="306"/>
      <c r="F45" s="36">
        <v>710</v>
      </c>
      <c r="G45" s="4"/>
      <c r="H45" s="177"/>
      <c r="I45" s="177"/>
    </row>
    <row r="46" spans="1:9">
      <c r="A46" s="154">
        <v>37</v>
      </c>
      <c r="B46" s="305"/>
      <c r="C46" s="306"/>
      <c r="D46" s="306"/>
      <c r="E46" s="306"/>
      <c r="F46" s="36">
        <v>1536</v>
      </c>
      <c r="G46" s="4"/>
      <c r="H46" s="177"/>
      <c r="I46" s="177"/>
    </row>
    <row r="47" spans="1:9">
      <c r="A47" s="154">
        <v>38</v>
      </c>
      <c r="B47" s="305"/>
      <c r="C47" s="306"/>
      <c r="D47" s="306"/>
      <c r="E47" s="306"/>
      <c r="F47" s="36">
        <v>1131</v>
      </c>
      <c r="G47" s="4"/>
      <c r="H47" s="177"/>
      <c r="I47" s="177"/>
    </row>
    <row r="48" spans="1:9">
      <c r="A48" s="154">
        <v>39</v>
      </c>
      <c r="B48" s="305"/>
      <c r="C48" s="306"/>
      <c r="D48" s="306"/>
      <c r="E48" s="306"/>
      <c r="F48" s="36">
        <v>601</v>
      </c>
      <c r="G48" s="4"/>
      <c r="H48" s="177"/>
      <c r="I48" s="177"/>
    </row>
    <row r="49" spans="1:9">
      <c r="A49" s="154">
        <v>40</v>
      </c>
      <c r="B49" s="305"/>
      <c r="C49" s="306"/>
      <c r="D49" s="306"/>
      <c r="E49" s="306"/>
      <c r="F49" s="36">
        <v>411.00000000000006</v>
      </c>
      <c r="G49" s="4"/>
      <c r="H49" s="177"/>
      <c r="I49" s="177"/>
    </row>
    <row r="50" spans="1:9">
      <c r="A50" s="154">
        <v>41</v>
      </c>
      <c r="B50" s="305"/>
      <c r="C50" s="306"/>
      <c r="D50" s="306"/>
      <c r="E50" s="306"/>
      <c r="F50" s="36">
        <v>307</v>
      </c>
      <c r="G50" s="4"/>
      <c r="H50" s="177"/>
      <c r="I50" s="177"/>
    </row>
    <row r="51" spans="1:9">
      <c r="A51" s="154">
        <v>42</v>
      </c>
      <c r="B51" s="305"/>
      <c r="C51" s="306"/>
      <c r="D51" s="306"/>
      <c r="E51" s="306"/>
      <c r="F51" s="36">
        <v>266</v>
      </c>
      <c r="G51" s="4"/>
      <c r="H51" s="177"/>
      <c r="I51" s="177"/>
    </row>
    <row r="52" spans="1:9">
      <c r="A52" s="154">
        <v>43</v>
      </c>
      <c r="B52" s="305"/>
      <c r="C52" s="306"/>
      <c r="D52" s="306"/>
      <c r="E52" s="306"/>
      <c r="F52" s="36">
        <v>192</v>
      </c>
      <c r="G52" s="4"/>
      <c r="H52" s="177"/>
      <c r="I52" s="177"/>
    </row>
    <row r="53" spans="1:9">
      <c r="A53" s="154">
        <v>44</v>
      </c>
      <c r="B53" s="305"/>
      <c r="C53" s="306"/>
      <c r="D53" s="306"/>
      <c r="E53" s="306"/>
      <c r="F53" s="36">
        <v>168</v>
      </c>
      <c r="G53" s="4"/>
      <c r="H53" s="177"/>
      <c r="I53" s="177"/>
    </row>
    <row r="54" spans="1:9">
      <c r="A54" s="154">
        <v>45</v>
      </c>
      <c r="B54" s="305"/>
      <c r="C54" s="306"/>
      <c r="D54" s="306"/>
      <c r="E54" s="306"/>
      <c r="F54" s="36">
        <v>174</v>
      </c>
      <c r="G54" s="4"/>
      <c r="H54" s="177"/>
      <c r="I54" s="177"/>
    </row>
    <row r="55" spans="1:9">
      <c r="A55" s="154">
        <v>46</v>
      </c>
      <c r="B55" s="305"/>
      <c r="C55" s="306"/>
      <c r="D55" s="306"/>
      <c r="E55" s="306"/>
      <c r="F55" s="36">
        <v>122</v>
      </c>
      <c r="G55" s="4"/>
      <c r="H55" s="177"/>
      <c r="I55" s="177"/>
    </row>
    <row r="56" spans="1:9">
      <c r="A56" s="154">
        <v>47</v>
      </c>
      <c r="B56" s="305"/>
      <c r="C56" s="306"/>
      <c r="D56" s="306"/>
      <c r="E56" s="306"/>
      <c r="F56" s="36">
        <v>104</v>
      </c>
      <c r="G56" s="4"/>
      <c r="H56" s="177"/>
      <c r="I56" s="177"/>
    </row>
    <row r="57" spans="1:9">
      <c r="A57" s="154">
        <v>48</v>
      </c>
      <c r="B57" s="305"/>
      <c r="C57" s="306"/>
      <c r="D57" s="306"/>
      <c r="E57" s="306"/>
      <c r="F57" s="36">
        <v>76</v>
      </c>
      <c r="G57" s="4"/>
      <c r="H57" s="177"/>
      <c r="I57" s="177"/>
    </row>
    <row r="58" spans="1:9">
      <c r="A58" s="154">
        <v>49</v>
      </c>
      <c r="B58" s="305"/>
      <c r="C58" s="306"/>
      <c r="D58" s="306"/>
      <c r="E58" s="306"/>
      <c r="F58" s="36">
        <v>58</v>
      </c>
      <c r="G58" s="4"/>
      <c r="H58" s="177"/>
      <c r="I58" s="177"/>
    </row>
    <row r="59" spans="1:9">
      <c r="A59" s="154">
        <v>50</v>
      </c>
      <c r="B59" s="305"/>
      <c r="C59" s="306"/>
      <c r="D59" s="306"/>
      <c r="E59" s="306"/>
      <c r="F59" s="36">
        <v>38.999999999999993</v>
      </c>
      <c r="G59" s="4"/>
      <c r="H59" s="177"/>
      <c r="I59" s="177"/>
    </row>
    <row r="60" spans="1:9">
      <c r="A60" s="154">
        <v>51</v>
      </c>
      <c r="B60" s="305"/>
      <c r="C60" s="306"/>
      <c r="D60" s="306"/>
      <c r="E60" s="306"/>
      <c r="F60" s="36">
        <v>26</v>
      </c>
      <c r="G60" s="4"/>
      <c r="H60" s="177"/>
      <c r="I60" s="177"/>
    </row>
    <row r="61" spans="1:9">
      <c r="A61" s="154">
        <v>52</v>
      </c>
      <c r="B61" s="305"/>
      <c r="C61" s="306"/>
      <c r="D61" s="306"/>
      <c r="E61" s="306"/>
      <c r="F61" s="36">
        <v>11</v>
      </c>
      <c r="G61" s="4"/>
      <c r="H61" s="177"/>
      <c r="I61" s="177"/>
    </row>
    <row r="62" spans="1:9">
      <c r="A62" s="154">
        <v>53</v>
      </c>
      <c r="B62" s="305"/>
      <c r="C62" s="306"/>
      <c r="D62" s="306"/>
      <c r="E62" s="306"/>
      <c r="F62" s="36">
        <v>11</v>
      </c>
      <c r="G62" s="4"/>
      <c r="H62" s="177"/>
      <c r="I62" s="177"/>
    </row>
    <row r="63" spans="1:9">
      <c r="A63" s="154">
        <v>54</v>
      </c>
      <c r="B63" s="305"/>
      <c r="C63" s="306"/>
      <c r="D63" s="306"/>
      <c r="E63" s="306"/>
      <c r="F63" s="36">
        <v>4</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ht="13">
      <c r="A110" s="179" t="s">
        <v>61</v>
      </c>
      <c r="B110" s="175">
        <f>SUM(B10:B109)</f>
        <v>0</v>
      </c>
      <c r="C110" s="175">
        <f>SUM(C10:C109)</f>
        <v>0</v>
      </c>
      <c r="D110" s="175">
        <f>SUM(D10:D109)</f>
        <v>0</v>
      </c>
      <c r="E110" s="175">
        <f>SUM(E10:E109)</f>
        <v>0</v>
      </c>
      <c r="F110" s="175">
        <f>SUM(F10:F109)</f>
        <v>6027</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ht="13">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ht="18.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 thickBot="1">
      <c r="A2" s="261" t="s">
        <v>114</v>
      </c>
      <c r="B2" s="6"/>
      <c r="C2" s="11"/>
      <c r="D2" s="6"/>
      <c r="E2" s="6"/>
      <c r="F2" s="6"/>
      <c r="G2" s="6"/>
      <c r="H2" s="6"/>
      <c r="I2" s="6"/>
      <c r="J2" s="177"/>
      <c r="K2" s="177"/>
    </row>
    <row r="3" spans="1:60" ht="16" thickBot="1">
      <c r="A3" s="259" t="s">
        <v>106</v>
      </c>
      <c r="B3" s="376" t="str">
        <f>'START HERE'!F6</f>
        <v>EU</v>
      </c>
      <c r="C3" s="387"/>
      <c r="D3" s="377"/>
      <c r="E3" s="177"/>
      <c r="F3" s="30" t="s">
        <v>38</v>
      </c>
      <c r="G3" s="393" t="str">
        <f>'LEN F1'!F3</f>
        <v>Fleet 1 Northern Chile</v>
      </c>
      <c r="H3" s="394"/>
      <c r="I3" s="394"/>
      <c r="J3" s="395"/>
      <c r="K3" s="177"/>
    </row>
    <row r="4" spans="1:60" ht="15.5">
      <c r="A4" s="12" t="s">
        <v>18</v>
      </c>
      <c r="B4" s="376" t="str">
        <f>'START HERE'!F5</f>
        <v>Jack mackerel</v>
      </c>
      <c r="C4" s="387"/>
      <c r="D4" s="377"/>
      <c r="E4" s="177"/>
      <c r="F4" s="13"/>
      <c r="G4" s="317"/>
      <c r="H4" s="318"/>
      <c r="I4" s="319"/>
      <c r="J4" s="320"/>
      <c r="K4" s="177"/>
    </row>
    <row r="5" spans="1:60" ht="18">
      <c r="A5" s="12" t="s">
        <v>13</v>
      </c>
      <c r="B5" s="388">
        <f>'START HERE'!K3</f>
        <v>2010</v>
      </c>
      <c r="C5" s="389"/>
      <c r="D5" s="390"/>
      <c r="E5" s="177"/>
      <c r="F5" s="34" t="s">
        <v>39</v>
      </c>
      <c r="G5" s="378" t="s">
        <v>116</v>
      </c>
      <c r="H5" s="379"/>
      <c r="I5" s="379"/>
      <c r="J5" s="380"/>
      <c r="K5" s="177"/>
    </row>
    <row r="6" spans="1:60" ht="16" thickBot="1">
      <c r="A6" s="12"/>
      <c r="B6" s="71"/>
      <c r="C6" s="72"/>
      <c r="D6" s="6"/>
      <c r="F6" s="34" t="s">
        <v>14</v>
      </c>
      <c r="G6" s="381">
        <f>'START HERE'!$F8</f>
        <v>43100</v>
      </c>
      <c r="H6" s="382"/>
      <c r="I6" s="382"/>
      <c r="J6" s="383"/>
      <c r="K6" s="177"/>
    </row>
    <row r="7" spans="1:60">
      <c r="A7" s="6"/>
      <c r="B7" s="6"/>
      <c r="C7" s="6"/>
      <c r="D7" s="6"/>
      <c r="E7" s="6"/>
      <c r="F7" s="6"/>
      <c r="G7" s="6"/>
      <c r="H7" s="6"/>
      <c r="I7" s="6"/>
      <c r="J7" s="177"/>
      <c r="K7" s="177"/>
    </row>
    <row r="8" spans="1:60" ht="13" thickBot="1">
      <c r="A8" s="6"/>
      <c r="B8" s="6"/>
      <c r="C8" s="6"/>
      <c r="D8" s="6"/>
      <c r="E8" s="6"/>
      <c r="F8" s="6"/>
      <c r="G8" s="6"/>
      <c r="H8" s="6"/>
      <c r="I8" s="6"/>
      <c r="J8" s="177"/>
      <c r="K8" s="177"/>
    </row>
    <row r="9" spans="1:60" ht="15.5">
      <c r="A9" s="191"/>
      <c r="B9" s="391" t="s">
        <v>52</v>
      </c>
      <c r="C9" s="391"/>
      <c r="D9" s="391"/>
      <c r="E9" s="391"/>
      <c r="F9" s="391"/>
      <c r="G9" s="391"/>
      <c r="H9" s="391"/>
      <c r="I9" s="391"/>
      <c r="J9" s="391"/>
      <c r="K9" s="391"/>
      <c r="L9" s="391"/>
      <c r="M9" s="391"/>
      <c r="N9" s="392"/>
      <c r="P9" s="191"/>
      <c r="Q9" s="391" t="s">
        <v>30</v>
      </c>
      <c r="R9" s="391"/>
      <c r="S9" s="391"/>
      <c r="T9" s="391"/>
      <c r="U9" s="391"/>
      <c r="V9" s="391"/>
      <c r="W9" s="391"/>
      <c r="X9" s="391"/>
      <c r="Y9" s="391"/>
      <c r="Z9" s="391"/>
      <c r="AA9" s="391"/>
      <c r="AB9" s="391"/>
      <c r="AC9" s="392"/>
      <c r="AE9" s="191"/>
      <c r="AF9" s="391" t="s">
        <v>31</v>
      </c>
      <c r="AG9" s="391"/>
      <c r="AH9" s="391"/>
      <c r="AI9" s="391"/>
      <c r="AJ9" s="391"/>
      <c r="AK9" s="391"/>
      <c r="AL9" s="391"/>
      <c r="AM9" s="391"/>
      <c r="AN9" s="391"/>
      <c r="AO9" s="391"/>
      <c r="AP9" s="391"/>
      <c r="AQ9" s="391"/>
      <c r="AR9" s="392"/>
      <c r="AT9" s="191"/>
      <c r="AU9" s="391" t="s">
        <v>32</v>
      </c>
      <c r="AV9" s="391"/>
      <c r="AW9" s="391"/>
      <c r="AX9" s="391"/>
      <c r="AY9" s="391"/>
      <c r="AZ9" s="391"/>
      <c r="BA9" s="391"/>
      <c r="BB9" s="391"/>
      <c r="BC9" s="391"/>
      <c r="BD9" s="391"/>
      <c r="BE9" s="391"/>
      <c r="BF9" s="391"/>
      <c r="BG9" s="392"/>
    </row>
    <row r="10" spans="1:60" ht="13">
      <c r="A10" s="192" t="str">
        <f>'START HERE'!$F$13</f>
        <v>fork length</v>
      </c>
      <c r="B10" s="384" t="s">
        <v>78</v>
      </c>
      <c r="C10" s="385"/>
      <c r="D10" s="385"/>
      <c r="E10" s="385"/>
      <c r="F10" s="385"/>
      <c r="G10" s="385"/>
      <c r="H10" s="385"/>
      <c r="I10" s="385"/>
      <c r="J10" s="385"/>
      <c r="K10" s="385"/>
      <c r="L10" s="385"/>
      <c r="M10" s="385"/>
      <c r="N10" s="386"/>
      <c r="P10" s="192" t="str">
        <f>A10</f>
        <v>fork length</v>
      </c>
      <c r="Q10" s="384" t="s">
        <v>78</v>
      </c>
      <c r="R10" s="385"/>
      <c r="S10" s="385"/>
      <c r="T10" s="385"/>
      <c r="U10" s="385"/>
      <c r="V10" s="385"/>
      <c r="W10" s="385"/>
      <c r="X10" s="385"/>
      <c r="Y10" s="385"/>
      <c r="Z10" s="385"/>
      <c r="AA10" s="385"/>
      <c r="AB10" s="385"/>
      <c r="AC10" s="386"/>
      <c r="AE10" s="192" t="str">
        <f>A10</f>
        <v>fork length</v>
      </c>
      <c r="AF10" s="384" t="s">
        <v>78</v>
      </c>
      <c r="AG10" s="385"/>
      <c r="AH10" s="385"/>
      <c r="AI10" s="385"/>
      <c r="AJ10" s="385"/>
      <c r="AK10" s="385"/>
      <c r="AL10" s="385"/>
      <c r="AM10" s="385"/>
      <c r="AN10" s="385"/>
      <c r="AO10" s="385"/>
      <c r="AP10" s="385"/>
      <c r="AQ10" s="385"/>
      <c r="AR10" s="386"/>
      <c r="AT10" s="192" t="str">
        <f>A10</f>
        <v>fork length</v>
      </c>
      <c r="AU10" s="384" t="s">
        <v>78</v>
      </c>
      <c r="AV10" s="385"/>
      <c r="AW10" s="385"/>
      <c r="AX10" s="385"/>
      <c r="AY10" s="385"/>
      <c r="AZ10" s="385"/>
      <c r="BA10" s="385"/>
      <c r="BB10" s="385"/>
      <c r="BC10" s="385"/>
      <c r="BD10" s="385"/>
      <c r="BE10" s="385"/>
      <c r="BF10" s="385"/>
      <c r="BG10" s="386"/>
    </row>
    <row r="11" spans="1:60" ht="13">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workbookViewId="0">
      <selection sqref="A1:BH1"/>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ht="18.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 thickBot="1">
      <c r="A2" s="261" t="s">
        <v>114</v>
      </c>
      <c r="B2" s="6"/>
      <c r="C2" s="11"/>
      <c r="D2" s="6"/>
      <c r="E2" s="6"/>
      <c r="F2" s="6"/>
      <c r="G2" s="6"/>
      <c r="H2" s="6"/>
      <c r="I2" s="6"/>
      <c r="J2" s="177"/>
      <c r="K2" s="177"/>
    </row>
    <row r="3" spans="1:60" ht="16" thickBot="1">
      <c r="A3" s="259" t="s">
        <v>106</v>
      </c>
      <c r="B3" s="376" t="str">
        <f>'START HERE'!F6</f>
        <v>EU</v>
      </c>
      <c r="C3" s="387"/>
      <c r="D3" s="377"/>
      <c r="E3" s="177"/>
      <c r="F3" s="30" t="s">
        <v>38</v>
      </c>
      <c r="G3" s="373" t="str">
        <f>'LEN F2'!F3</f>
        <v>Fleet 2 South-Central Chile</v>
      </c>
      <c r="H3" s="374"/>
      <c r="I3" s="374"/>
      <c r="J3" s="375"/>
      <c r="K3" s="177"/>
    </row>
    <row r="4" spans="1:60" ht="15.5">
      <c r="A4" s="12" t="s">
        <v>18</v>
      </c>
      <c r="B4" s="376" t="str">
        <f>'START HERE'!F5</f>
        <v>Jack mackerel</v>
      </c>
      <c r="C4" s="387"/>
      <c r="D4" s="377"/>
      <c r="E4" s="177"/>
      <c r="F4" s="13"/>
      <c r="G4" s="317"/>
      <c r="H4" s="318"/>
      <c r="I4" s="319"/>
      <c r="J4" s="320"/>
      <c r="K4" s="177"/>
    </row>
    <row r="5" spans="1:60" ht="18">
      <c r="A5" s="12" t="s">
        <v>13</v>
      </c>
      <c r="B5" s="388">
        <f>'START HERE'!K3</f>
        <v>2010</v>
      </c>
      <c r="C5" s="389"/>
      <c r="D5" s="390"/>
      <c r="E5" s="177"/>
      <c r="F5" s="34" t="s">
        <v>39</v>
      </c>
      <c r="G5" s="378" t="s">
        <v>116</v>
      </c>
      <c r="H5" s="379"/>
      <c r="I5" s="379"/>
      <c r="J5" s="380"/>
      <c r="K5" s="177"/>
    </row>
    <row r="6" spans="1:60" ht="16" thickBot="1">
      <c r="A6" s="12"/>
      <c r="B6" s="71"/>
      <c r="C6" s="72"/>
      <c r="D6" s="6"/>
      <c r="F6" s="34" t="s">
        <v>14</v>
      </c>
      <c r="G6" s="381">
        <f>'START HERE'!$F8</f>
        <v>43100</v>
      </c>
      <c r="H6" s="382"/>
      <c r="I6" s="382"/>
      <c r="J6" s="383"/>
      <c r="K6" s="177"/>
    </row>
    <row r="7" spans="1:60">
      <c r="A7" s="6"/>
      <c r="B7" s="6"/>
      <c r="C7" s="6"/>
      <c r="D7" s="6"/>
      <c r="E7" s="6"/>
      <c r="F7" s="6"/>
      <c r="G7" s="6"/>
      <c r="H7" s="6"/>
      <c r="I7" s="6"/>
      <c r="J7" s="177"/>
      <c r="K7" s="177"/>
    </row>
    <row r="8" spans="1:60" ht="13" thickBot="1">
      <c r="A8" s="6"/>
      <c r="B8" s="6"/>
      <c r="C8" s="6"/>
      <c r="D8" s="6"/>
      <c r="E8" s="6"/>
      <c r="F8" s="6"/>
      <c r="G8" s="6"/>
      <c r="H8" s="6"/>
      <c r="I8" s="6"/>
      <c r="J8" s="177"/>
      <c r="K8" s="177"/>
    </row>
    <row r="9" spans="1:60" ht="15.5">
      <c r="A9" s="191"/>
      <c r="B9" s="391" t="s">
        <v>52</v>
      </c>
      <c r="C9" s="391"/>
      <c r="D9" s="391"/>
      <c r="E9" s="391"/>
      <c r="F9" s="391"/>
      <c r="G9" s="391"/>
      <c r="H9" s="391"/>
      <c r="I9" s="391"/>
      <c r="J9" s="391"/>
      <c r="K9" s="391"/>
      <c r="L9" s="391"/>
      <c r="M9" s="391"/>
      <c r="N9" s="392"/>
      <c r="P9" s="191"/>
      <c r="Q9" s="391" t="s">
        <v>30</v>
      </c>
      <c r="R9" s="391"/>
      <c r="S9" s="391"/>
      <c r="T9" s="391"/>
      <c r="U9" s="391"/>
      <c r="V9" s="391"/>
      <c r="W9" s="391"/>
      <c r="X9" s="391"/>
      <c r="Y9" s="391"/>
      <c r="Z9" s="391"/>
      <c r="AA9" s="391"/>
      <c r="AB9" s="391"/>
      <c r="AC9" s="392"/>
      <c r="AE9" s="191"/>
      <c r="AF9" s="391" t="s">
        <v>31</v>
      </c>
      <c r="AG9" s="391"/>
      <c r="AH9" s="391"/>
      <c r="AI9" s="391"/>
      <c r="AJ9" s="391"/>
      <c r="AK9" s="391"/>
      <c r="AL9" s="391"/>
      <c r="AM9" s="391"/>
      <c r="AN9" s="391"/>
      <c r="AO9" s="391"/>
      <c r="AP9" s="391"/>
      <c r="AQ9" s="391"/>
      <c r="AR9" s="392"/>
      <c r="AT9" s="191"/>
      <c r="AU9" s="391" t="s">
        <v>32</v>
      </c>
      <c r="AV9" s="391"/>
      <c r="AW9" s="391"/>
      <c r="AX9" s="391"/>
      <c r="AY9" s="391"/>
      <c r="AZ9" s="391"/>
      <c r="BA9" s="391"/>
      <c r="BB9" s="391"/>
      <c r="BC9" s="391"/>
      <c r="BD9" s="391"/>
      <c r="BE9" s="391"/>
      <c r="BF9" s="391"/>
      <c r="BG9" s="392"/>
    </row>
    <row r="10" spans="1:60" ht="13">
      <c r="A10" s="192" t="str">
        <f>'START HERE'!$F$13</f>
        <v>fork length</v>
      </c>
      <c r="B10" s="384" t="s">
        <v>78</v>
      </c>
      <c r="C10" s="385"/>
      <c r="D10" s="385"/>
      <c r="E10" s="385"/>
      <c r="F10" s="385"/>
      <c r="G10" s="385"/>
      <c r="H10" s="385"/>
      <c r="I10" s="385"/>
      <c r="J10" s="385"/>
      <c r="K10" s="385"/>
      <c r="L10" s="385"/>
      <c r="M10" s="385"/>
      <c r="N10" s="386"/>
      <c r="P10" s="192" t="str">
        <f>A10</f>
        <v>fork length</v>
      </c>
      <c r="Q10" s="384" t="s">
        <v>78</v>
      </c>
      <c r="R10" s="385"/>
      <c r="S10" s="385"/>
      <c r="T10" s="385"/>
      <c r="U10" s="385"/>
      <c r="V10" s="385"/>
      <c r="W10" s="385"/>
      <c r="X10" s="385"/>
      <c r="Y10" s="385"/>
      <c r="Z10" s="385"/>
      <c r="AA10" s="385"/>
      <c r="AB10" s="385"/>
      <c r="AC10" s="386"/>
      <c r="AE10" s="192" t="str">
        <f>A10</f>
        <v>fork length</v>
      </c>
      <c r="AF10" s="384" t="s">
        <v>78</v>
      </c>
      <c r="AG10" s="385"/>
      <c r="AH10" s="385"/>
      <c r="AI10" s="385"/>
      <c r="AJ10" s="385"/>
      <c r="AK10" s="385"/>
      <c r="AL10" s="385"/>
      <c r="AM10" s="385"/>
      <c r="AN10" s="385"/>
      <c r="AO10" s="385"/>
      <c r="AP10" s="385"/>
      <c r="AQ10" s="385"/>
      <c r="AR10" s="386"/>
      <c r="AT10" s="192" t="str">
        <f>A10</f>
        <v>fork length</v>
      </c>
      <c r="AU10" s="384" t="s">
        <v>78</v>
      </c>
      <c r="AV10" s="385"/>
      <c r="AW10" s="385"/>
      <c r="AX10" s="385"/>
      <c r="AY10" s="385"/>
      <c r="AZ10" s="385"/>
      <c r="BA10" s="385"/>
      <c r="BB10" s="385"/>
      <c r="BC10" s="385"/>
      <c r="BD10" s="385"/>
      <c r="BE10" s="385"/>
      <c r="BF10" s="385"/>
      <c r="BG10" s="386"/>
    </row>
    <row r="11" spans="1:60" ht="13">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ht="18.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 thickBot="1">
      <c r="A2" s="261" t="s">
        <v>114</v>
      </c>
      <c r="B2" s="6"/>
      <c r="C2" s="11"/>
      <c r="D2" s="6"/>
      <c r="E2" s="6"/>
      <c r="F2" s="6"/>
      <c r="G2" s="6"/>
      <c r="H2" s="6"/>
      <c r="I2" s="6"/>
      <c r="J2" s="177"/>
      <c r="K2" s="177"/>
    </row>
    <row r="3" spans="1:60" ht="16" thickBot="1">
      <c r="A3" s="259" t="s">
        <v>106</v>
      </c>
      <c r="B3" s="376" t="str">
        <f>'START HERE'!F6</f>
        <v>EU</v>
      </c>
      <c r="C3" s="387"/>
      <c r="D3" s="377"/>
      <c r="E3" s="177"/>
      <c r="F3" s="30" t="s">
        <v>38</v>
      </c>
      <c r="G3" s="373" t="str">
        <f>'LEN F3'!F3</f>
        <v>Fleet 3 Peru &amp; Equador</v>
      </c>
      <c r="H3" s="374"/>
      <c r="I3" s="374"/>
      <c r="J3" s="375"/>
      <c r="K3" s="177"/>
    </row>
    <row r="4" spans="1:60" ht="15.5">
      <c r="A4" s="12" t="s">
        <v>18</v>
      </c>
      <c r="B4" s="376" t="str">
        <f>'START HERE'!F5</f>
        <v>Jack mackerel</v>
      </c>
      <c r="C4" s="387"/>
      <c r="D4" s="377"/>
      <c r="E4" s="177"/>
      <c r="F4" s="13"/>
      <c r="G4" s="317"/>
      <c r="H4" s="318"/>
      <c r="I4" s="319"/>
      <c r="J4" s="320"/>
      <c r="K4" s="177"/>
    </row>
    <row r="5" spans="1:60" ht="18">
      <c r="A5" s="12" t="s">
        <v>13</v>
      </c>
      <c r="B5" s="388">
        <f>'START HERE'!K3</f>
        <v>2010</v>
      </c>
      <c r="C5" s="389"/>
      <c r="D5" s="390"/>
      <c r="E5" s="177"/>
      <c r="F5" s="34" t="s">
        <v>39</v>
      </c>
      <c r="G5" s="378" t="s">
        <v>116</v>
      </c>
      <c r="H5" s="379"/>
      <c r="I5" s="379"/>
      <c r="J5" s="380"/>
      <c r="K5" s="177"/>
    </row>
    <row r="6" spans="1:60" ht="16" thickBot="1">
      <c r="A6" s="12"/>
      <c r="B6" s="71"/>
      <c r="C6" s="72"/>
      <c r="D6" s="6"/>
      <c r="F6" s="34" t="s">
        <v>14</v>
      </c>
      <c r="G6" s="381">
        <f>'START HERE'!$F8</f>
        <v>43100</v>
      </c>
      <c r="H6" s="382"/>
      <c r="I6" s="382"/>
      <c r="J6" s="383"/>
      <c r="K6" s="177"/>
    </row>
    <row r="7" spans="1:60">
      <c r="A7" s="6"/>
      <c r="B7" s="6"/>
      <c r="C7" s="6"/>
      <c r="D7" s="6"/>
      <c r="E7" s="6"/>
      <c r="F7" s="6"/>
      <c r="G7" s="6"/>
      <c r="H7" s="6"/>
      <c r="I7" s="6"/>
      <c r="J7" s="177"/>
      <c r="K7" s="177"/>
    </row>
    <row r="8" spans="1:60" ht="13" thickBot="1">
      <c r="A8" s="6"/>
      <c r="B8" s="6"/>
      <c r="C8" s="6"/>
      <c r="D8" s="6"/>
      <c r="E8" s="6"/>
      <c r="F8" s="6"/>
      <c r="G8" s="6"/>
      <c r="H8" s="6"/>
      <c r="I8" s="6"/>
      <c r="J8" s="177"/>
      <c r="K8" s="177"/>
    </row>
    <row r="9" spans="1:60" ht="15.5">
      <c r="A9" s="191"/>
      <c r="B9" s="391" t="s">
        <v>52</v>
      </c>
      <c r="C9" s="391"/>
      <c r="D9" s="391"/>
      <c r="E9" s="391"/>
      <c r="F9" s="391"/>
      <c r="G9" s="391"/>
      <c r="H9" s="391"/>
      <c r="I9" s="391"/>
      <c r="J9" s="391"/>
      <c r="K9" s="391"/>
      <c r="L9" s="391"/>
      <c r="M9" s="391"/>
      <c r="N9" s="392"/>
      <c r="P9" s="191"/>
      <c r="Q9" s="391" t="s">
        <v>30</v>
      </c>
      <c r="R9" s="391"/>
      <c r="S9" s="391"/>
      <c r="T9" s="391"/>
      <c r="U9" s="391"/>
      <c r="V9" s="391"/>
      <c r="W9" s="391"/>
      <c r="X9" s="391"/>
      <c r="Y9" s="391"/>
      <c r="Z9" s="391"/>
      <c r="AA9" s="391"/>
      <c r="AB9" s="391"/>
      <c r="AC9" s="392"/>
      <c r="AE9" s="191"/>
      <c r="AF9" s="391" t="s">
        <v>31</v>
      </c>
      <c r="AG9" s="391"/>
      <c r="AH9" s="391"/>
      <c r="AI9" s="391"/>
      <c r="AJ9" s="391"/>
      <c r="AK9" s="391"/>
      <c r="AL9" s="391"/>
      <c r="AM9" s="391"/>
      <c r="AN9" s="391"/>
      <c r="AO9" s="391"/>
      <c r="AP9" s="391"/>
      <c r="AQ9" s="391"/>
      <c r="AR9" s="392"/>
      <c r="AT9" s="191"/>
      <c r="AU9" s="391" t="s">
        <v>32</v>
      </c>
      <c r="AV9" s="391"/>
      <c r="AW9" s="391"/>
      <c r="AX9" s="391"/>
      <c r="AY9" s="391"/>
      <c r="AZ9" s="391"/>
      <c r="BA9" s="391"/>
      <c r="BB9" s="391"/>
      <c r="BC9" s="391"/>
      <c r="BD9" s="391"/>
      <c r="BE9" s="391"/>
      <c r="BF9" s="391"/>
      <c r="BG9" s="392"/>
    </row>
    <row r="10" spans="1:60" ht="13">
      <c r="A10" s="192" t="str">
        <f>'START HERE'!$F$13</f>
        <v>fork length</v>
      </c>
      <c r="B10" s="384" t="s">
        <v>78</v>
      </c>
      <c r="C10" s="385"/>
      <c r="D10" s="385"/>
      <c r="E10" s="385"/>
      <c r="F10" s="385"/>
      <c r="G10" s="385"/>
      <c r="H10" s="385"/>
      <c r="I10" s="385"/>
      <c r="J10" s="385"/>
      <c r="K10" s="385"/>
      <c r="L10" s="385"/>
      <c r="M10" s="385"/>
      <c r="N10" s="386"/>
      <c r="P10" s="192" t="str">
        <f>A10</f>
        <v>fork length</v>
      </c>
      <c r="Q10" s="384" t="s">
        <v>78</v>
      </c>
      <c r="R10" s="385"/>
      <c r="S10" s="385"/>
      <c r="T10" s="385"/>
      <c r="U10" s="385"/>
      <c r="V10" s="385"/>
      <c r="W10" s="385"/>
      <c r="X10" s="385"/>
      <c r="Y10" s="385"/>
      <c r="Z10" s="385"/>
      <c r="AA10" s="385"/>
      <c r="AB10" s="385"/>
      <c r="AC10" s="386"/>
      <c r="AE10" s="192" t="str">
        <f>A10</f>
        <v>fork length</v>
      </c>
      <c r="AF10" s="384" t="s">
        <v>78</v>
      </c>
      <c r="AG10" s="385"/>
      <c r="AH10" s="385"/>
      <c r="AI10" s="385"/>
      <c r="AJ10" s="385"/>
      <c r="AK10" s="385"/>
      <c r="AL10" s="385"/>
      <c r="AM10" s="385"/>
      <c r="AN10" s="385"/>
      <c r="AO10" s="385"/>
      <c r="AP10" s="385"/>
      <c r="AQ10" s="385"/>
      <c r="AR10" s="386"/>
      <c r="AT10" s="192" t="str">
        <f>A10</f>
        <v>fork length</v>
      </c>
      <c r="AU10" s="384" t="s">
        <v>78</v>
      </c>
      <c r="AV10" s="385"/>
      <c r="AW10" s="385"/>
      <c r="AX10" s="385"/>
      <c r="AY10" s="385"/>
      <c r="AZ10" s="385"/>
      <c r="BA10" s="385"/>
      <c r="BB10" s="385"/>
      <c r="BC10" s="385"/>
      <c r="BD10" s="385"/>
      <c r="BE10" s="385"/>
      <c r="BF10" s="385"/>
      <c r="BG10" s="386"/>
    </row>
    <row r="11" spans="1:60" ht="13">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workbookViewId="0">
      <selection activeCell="A23" sqref="A23"/>
    </sheetView>
  </sheetViews>
  <sheetFormatPr defaultRowHeight="12.5"/>
  <cols>
    <col min="1" max="1" width="12.453125" customWidth="1"/>
    <col min="2" max="14" width="6.7265625" customWidth="1"/>
    <col min="15" max="15" width="3.72656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s>
  <sheetData>
    <row r="1" spans="1:60" s="149" customFormat="1" ht="18.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 thickBot="1">
      <c r="A2" s="261" t="s">
        <v>114</v>
      </c>
      <c r="B2" s="6"/>
      <c r="C2" s="11"/>
      <c r="D2" s="6"/>
      <c r="E2" s="6"/>
      <c r="F2" s="6"/>
      <c r="G2" s="6"/>
      <c r="H2" s="6"/>
      <c r="I2" s="6"/>
      <c r="J2" s="177"/>
      <c r="K2" s="177"/>
    </row>
    <row r="3" spans="1:60" ht="16" thickBot="1">
      <c r="A3" s="259" t="s">
        <v>106</v>
      </c>
      <c r="B3" s="376" t="str">
        <f>'START HERE'!F6</f>
        <v>EU</v>
      </c>
      <c r="C3" s="387"/>
      <c r="D3" s="377"/>
      <c r="E3" s="177"/>
      <c r="F3" s="30" t="s">
        <v>38</v>
      </c>
      <c r="G3" s="373" t="str">
        <f>'LEN F4'!F3</f>
        <v>Fleet 4 Offshore</v>
      </c>
      <c r="H3" s="374"/>
      <c r="I3" s="374"/>
      <c r="J3" s="375"/>
      <c r="K3" s="177"/>
    </row>
    <row r="4" spans="1:60" ht="15.5">
      <c r="A4" s="12" t="s">
        <v>18</v>
      </c>
      <c r="B4" s="376" t="str">
        <f>'START HERE'!F5</f>
        <v>Jack mackerel</v>
      </c>
      <c r="C4" s="387"/>
      <c r="D4" s="377"/>
      <c r="E4" s="177"/>
      <c r="F4" s="13"/>
      <c r="G4" s="317"/>
      <c r="H4" s="318"/>
      <c r="I4" s="319"/>
      <c r="J4" s="320"/>
      <c r="K4" s="177"/>
    </row>
    <row r="5" spans="1:60" ht="18">
      <c r="A5" s="12" t="s">
        <v>13</v>
      </c>
      <c r="B5" s="388">
        <f>'START HERE'!K3</f>
        <v>2010</v>
      </c>
      <c r="C5" s="389"/>
      <c r="D5" s="390"/>
      <c r="E5" s="177"/>
      <c r="F5" s="34" t="s">
        <v>39</v>
      </c>
      <c r="G5" s="378" t="s">
        <v>116</v>
      </c>
      <c r="H5" s="379"/>
      <c r="I5" s="379"/>
      <c r="J5" s="380"/>
      <c r="K5" s="177"/>
    </row>
    <row r="6" spans="1:60" ht="16" thickBot="1">
      <c r="A6" s="12"/>
      <c r="B6" s="71"/>
      <c r="C6" s="72"/>
      <c r="D6" s="6"/>
      <c r="F6" s="34" t="s">
        <v>14</v>
      </c>
      <c r="G6" s="381">
        <f>'START HERE'!$F8</f>
        <v>43100</v>
      </c>
      <c r="H6" s="382"/>
      <c r="I6" s="382"/>
      <c r="J6" s="383"/>
      <c r="K6" s="177"/>
    </row>
    <row r="7" spans="1:60">
      <c r="A7" s="6"/>
      <c r="B7" s="6"/>
      <c r="C7" s="6"/>
      <c r="D7" s="6"/>
      <c r="E7" s="6"/>
      <c r="F7" s="6"/>
      <c r="G7" s="6"/>
      <c r="H7" s="6"/>
      <c r="I7" s="6"/>
      <c r="J7" s="177"/>
      <c r="K7" s="177"/>
    </row>
    <row r="8" spans="1:60" ht="13" thickBot="1">
      <c r="A8" s="6"/>
      <c r="B8" s="6"/>
      <c r="C8" s="6"/>
      <c r="D8" s="6"/>
      <c r="E8" s="6"/>
      <c r="F8" s="6"/>
      <c r="G8" s="6"/>
      <c r="H8" s="6"/>
      <c r="I8" s="6"/>
      <c r="J8" s="177"/>
      <c r="K8" s="177"/>
    </row>
    <row r="9" spans="1:60" ht="15.5">
      <c r="A9" s="191"/>
      <c r="B9" s="391" t="s">
        <v>52</v>
      </c>
      <c r="C9" s="391"/>
      <c r="D9" s="391"/>
      <c r="E9" s="391"/>
      <c r="F9" s="391"/>
      <c r="G9" s="391"/>
      <c r="H9" s="391"/>
      <c r="I9" s="391"/>
      <c r="J9" s="391"/>
      <c r="K9" s="391"/>
      <c r="L9" s="391"/>
      <c r="M9" s="391"/>
      <c r="N9" s="392"/>
      <c r="P9" s="191"/>
      <c r="Q9" s="391" t="s">
        <v>30</v>
      </c>
      <c r="R9" s="391"/>
      <c r="S9" s="391"/>
      <c r="T9" s="391"/>
      <c r="U9" s="391"/>
      <c r="V9" s="391"/>
      <c r="W9" s="391"/>
      <c r="X9" s="391"/>
      <c r="Y9" s="391"/>
      <c r="Z9" s="391"/>
      <c r="AA9" s="391"/>
      <c r="AB9" s="391"/>
      <c r="AC9" s="392"/>
      <c r="AE9" s="191"/>
      <c r="AF9" s="391" t="s">
        <v>31</v>
      </c>
      <c r="AG9" s="391"/>
      <c r="AH9" s="391"/>
      <c r="AI9" s="391"/>
      <c r="AJ9" s="391"/>
      <c r="AK9" s="391"/>
      <c r="AL9" s="391"/>
      <c r="AM9" s="391"/>
      <c r="AN9" s="391"/>
      <c r="AO9" s="391"/>
      <c r="AP9" s="391"/>
      <c r="AQ9" s="391"/>
      <c r="AR9" s="392"/>
      <c r="AT9" s="191"/>
      <c r="AU9" s="391" t="s">
        <v>32</v>
      </c>
      <c r="AV9" s="391"/>
      <c r="AW9" s="391"/>
      <c r="AX9" s="391"/>
      <c r="AY9" s="391"/>
      <c r="AZ9" s="391"/>
      <c r="BA9" s="391"/>
      <c r="BB9" s="391"/>
      <c r="BC9" s="391"/>
      <c r="BD9" s="391"/>
      <c r="BE9" s="391"/>
      <c r="BF9" s="391"/>
      <c r="BG9" s="392"/>
    </row>
    <row r="10" spans="1:60" ht="13">
      <c r="A10" s="192" t="str">
        <f>'START HERE'!$F$13</f>
        <v>fork length</v>
      </c>
      <c r="B10" s="384" t="s">
        <v>78</v>
      </c>
      <c r="C10" s="385"/>
      <c r="D10" s="385"/>
      <c r="E10" s="385"/>
      <c r="F10" s="385"/>
      <c r="G10" s="385"/>
      <c r="H10" s="385"/>
      <c r="I10" s="385"/>
      <c r="J10" s="385"/>
      <c r="K10" s="385"/>
      <c r="L10" s="385"/>
      <c r="M10" s="385"/>
      <c r="N10" s="386"/>
      <c r="P10" s="192" t="str">
        <f>A10</f>
        <v>fork length</v>
      </c>
      <c r="Q10" s="384" t="s">
        <v>78</v>
      </c>
      <c r="R10" s="385"/>
      <c r="S10" s="385"/>
      <c r="T10" s="385"/>
      <c r="U10" s="385"/>
      <c r="V10" s="385"/>
      <c r="W10" s="385"/>
      <c r="X10" s="385"/>
      <c r="Y10" s="385"/>
      <c r="Z10" s="385"/>
      <c r="AA10" s="385"/>
      <c r="AB10" s="385"/>
      <c r="AC10" s="386"/>
      <c r="AE10" s="192" t="str">
        <f>A10</f>
        <v>fork length</v>
      </c>
      <c r="AF10" s="384" t="s">
        <v>78</v>
      </c>
      <c r="AG10" s="385"/>
      <c r="AH10" s="385"/>
      <c r="AI10" s="385"/>
      <c r="AJ10" s="385"/>
      <c r="AK10" s="385"/>
      <c r="AL10" s="385"/>
      <c r="AM10" s="385"/>
      <c r="AN10" s="385"/>
      <c r="AO10" s="385"/>
      <c r="AP10" s="385"/>
      <c r="AQ10" s="385"/>
      <c r="AR10" s="386"/>
      <c r="AT10" s="192" t="str">
        <f>A10</f>
        <v>fork length</v>
      </c>
      <c r="AU10" s="384" t="s">
        <v>78</v>
      </c>
      <c r="AV10" s="385"/>
      <c r="AW10" s="385"/>
      <c r="AX10" s="385"/>
      <c r="AY10" s="385"/>
      <c r="AZ10" s="385"/>
      <c r="BA10" s="385"/>
      <c r="BB10" s="385"/>
      <c r="BC10" s="385"/>
      <c r="BD10" s="385"/>
      <c r="BE10" s="385"/>
      <c r="BF10" s="385"/>
      <c r="BG10" s="386"/>
    </row>
    <row r="11" spans="1:60" ht="13">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G6:J6"/>
    <mergeCell ref="B3:D3"/>
    <mergeCell ref="G3:J3"/>
    <mergeCell ref="B4:D4"/>
    <mergeCell ref="B5:D5"/>
    <mergeCell ref="G5:J5"/>
    <mergeCell ref="B9:N9"/>
    <mergeCell ref="Q9:AC9"/>
    <mergeCell ref="AF9:AR9"/>
    <mergeCell ref="AU9:BG9"/>
    <mergeCell ref="B10:N10"/>
    <mergeCell ref="Q10:AC10"/>
    <mergeCell ref="AF10:AR10"/>
    <mergeCell ref="AU10:BG10"/>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7" customWidth="1"/>
    <col min="10" max="11" width="9.453125" customWidth="1"/>
    <col min="12" max="12" width="16" bestFit="1" customWidth="1"/>
    <col min="13" max="14" width="9.453125" customWidth="1"/>
    <col min="15" max="15" width="16.81640625" customWidth="1"/>
    <col min="16" max="17" width="9.453125" customWidth="1"/>
    <col min="18" max="20" width="8.179687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8" t="str">
        <f>'LEN F1'!F3</f>
        <v>Fleet 1 Northern Chile</v>
      </c>
      <c r="J4" s="399"/>
      <c r="K4" s="400"/>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1">
        <f>'START HERE'!$F8</f>
        <v>43100</v>
      </c>
      <c r="J6" s="402"/>
      <c r="K6" s="403"/>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6" t="s">
        <v>52</v>
      </c>
      <c r="D8" s="397"/>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7" customWidth="1"/>
    <col min="10" max="11" width="9.453125" customWidth="1"/>
    <col min="12" max="12" width="16" bestFit="1" customWidth="1"/>
    <col min="13" max="14" width="9.453125" customWidth="1"/>
    <col min="15" max="15" width="16.81640625" customWidth="1"/>
    <col min="16" max="17" width="9.453125" customWidth="1"/>
    <col min="18" max="20" width="8.179687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8" t="str">
        <f>'LEN F2'!F3</f>
        <v>Fleet 2 South-Central Chile</v>
      </c>
      <c r="J4" s="399"/>
      <c r="K4" s="400"/>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1">
        <f>'START HERE'!$F8</f>
        <v>43100</v>
      </c>
      <c r="J6" s="402"/>
      <c r="K6" s="403"/>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6" t="s">
        <v>52</v>
      </c>
      <c r="D8" s="397"/>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7" customWidth="1"/>
    <col min="10" max="11" width="9.453125" customWidth="1"/>
    <col min="12" max="12" width="16" bestFit="1" customWidth="1"/>
    <col min="13" max="14" width="9.453125" customWidth="1"/>
    <col min="15" max="15" width="16.81640625" customWidth="1"/>
    <col min="16" max="17" width="9.453125" customWidth="1"/>
    <col min="18" max="20" width="8.179687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8" t="str">
        <f>'LEN F3'!F3</f>
        <v>Fleet 3 Peru &amp; Equador</v>
      </c>
      <c r="J4" s="399"/>
      <c r="K4" s="400"/>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1">
        <f>'START HERE'!$F8</f>
        <v>43100</v>
      </c>
      <c r="J6" s="402"/>
      <c r="K6" s="403"/>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6" t="s">
        <v>52</v>
      </c>
      <c r="D8" s="397"/>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election activeCell="O17" sqref="O17:O24"/>
    </sheetView>
  </sheetViews>
  <sheetFormatPr defaultColWidth="11.54296875" defaultRowHeight="13"/>
  <cols>
    <col min="1" max="1" width="9.1796875" style="2" customWidth="1"/>
    <col min="2" max="2" width="7.26953125" style="1" customWidth="1"/>
    <col min="3" max="3" width="17.1796875" bestFit="1" customWidth="1"/>
    <col min="4" max="5" width="9.453125" customWidth="1"/>
    <col min="6" max="6" width="16" bestFit="1" customWidth="1"/>
    <col min="7" max="8" width="9.453125" customWidth="1"/>
    <col min="9" max="9" width="17" customWidth="1"/>
    <col min="10" max="11" width="9.453125" customWidth="1"/>
    <col min="12" max="12" width="16" bestFit="1" customWidth="1"/>
    <col min="13" max="14" width="9.453125" customWidth="1"/>
    <col min="15" max="15" width="16.81640625" customWidth="1"/>
    <col min="16" max="17" width="9.453125" customWidth="1"/>
    <col min="18" max="20" width="8.179687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8" t="str">
        <f>'LEN F4'!F3</f>
        <v>Fleet 4 Offshore</v>
      </c>
      <c r="J4" s="399"/>
      <c r="K4" s="400"/>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2010</v>
      </c>
      <c r="D6" s="120"/>
      <c r="E6" s="121"/>
      <c r="F6" s="6"/>
      <c r="G6" s="6"/>
      <c r="H6" s="13" t="s">
        <v>14</v>
      </c>
      <c r="I6" s="401">
        <f>'START HERE'!$F8</f>
        <v>43100</v>
      </c>
      <c r="J6" s="402"/>
      <c r="K6" s="403"/>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6" t="s">
        <v>52</v>
      </c>
      <c r="D8" s="397"/>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16"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344">
        <v>13.142857142857142</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344">
        <v>472.65369658501697</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344">
        <v>2801.714769514555</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344">
        <v>1953.4110614106978</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344">
        <v>571.79053498537382</v>
      </c>
      <c r="P21" s="90"/>
      <c r="Q21" s="169"/>
      <c r="R21" s="6"/>
      <c r="S21" s="6"/>
    </row>
    <row r="22" spans="1:33" s="7" customFormat="1" ht="15" customHeight="1">
      <c r="A22" s="127"/>
      <c r="B22" s="86">
        <v>10</v>
      </c>
      <c r="C22" s="91"/>
      <c r="D22" s="92"/>
      <c r="E22" s="168"/>
      <c r="F22" s="91"/>
      <c r="G22" s="92"/>
      <c r="H22" s="168"/>
      <c r="I22" s="91"/>
      <c r="J22" s="92"/>
      <c r="K22" s="168"/>
      <c r="L22" s="91"/>
      <c r="M22" s="92"/>
      <c r="N22" s="168"/>
      <c r="O22" s="344">
        <v>126.10942468384332</v>
      </c>
      <c r="P22" s="90"/>
      <c r="Q22" s="169"/>
      <c r="R22" s="6"/>
      <c r="S22" s="6"/>
    </row>
    <row r="23" spans="1:33" s="7" customFormat="1" ht="15" customHeight="1">
      <c r="A23" s="127"/>
      <c r="B23" s="86">
        <v>11</v>
      </c>
      <c r="C23" s="91"/>
      <c r="D23" s="92"/>
      <c r="E23" s="168"/>
      <c r="F23" s="91"/>
      <c r="G23" s="92"/>
      <c r="H23" s="168"/>
      <c r="I23" s="91"/>
      <c r="J23" s="92"/>
      <c r="K23" s="168"/>
      <c r="L23" s="91"/>
      <c r="M23" s="92"/>
      <c r="N23" s="168"/>
      <c r="O23" s="344">
        <v>56.056776556776548</v>
      </c>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344">
        <v>32.120879120879124</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f>IF(SUM(O12:O24)&gt;0,SUM(O12:O24),"na")</f>
        <v>6026.9999999999991</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1640625" defaultRowHeight="12.5"/>
  <cols>
    <col min="1" max="1" width="12.453125" customWidth="1"/>
    <col min="2" max="5" width="11" customWidth="1"/>
    <col min="6" max="6" width="6.7265625" customWidth="1"/>
    <col min="7" max="9" width="10.1796875" customWidth="1"/>
    <col min="10" max="14" width="6.7265625" customWidth="1"/>
    <col min="15" max="15" width="9.4531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 min="257" max="257" width="12.453125" customWidth="1"/>
    <col min="259" max="261" width="9.453125" bestFit="1" customWidth="1"/>
    <col min="262" max="270" width="6.7265625" customWidth="1"/>
    <col min="271" max="271" width="3.7265625" customWidth="1"/>
    <col min="272" max="272" width="12.453125" customWidth="1"/>
    <col min="273" max="285" width="6.7265625" customWidth="1"/>
    <col min="286" max="286" width="3.7265625" customWidth="1"/>
    <col min="287" max="287" width="12.453125" customWidth="1"/>
    <col min="288" max="300" width="6.7265625" customWidth="1"/>
    <col min="301" max="301" width="3.7265625" customWidth="1"/>
    <col min="302" max="302" width="12.453125" customWidth="1"/>
    <col min="303" max="315" width="6.7265625" customWidth="1"/>
    <col min="513" max="513" width="12.453125" customWidth="1"/>
    <col min="515" max="517" width="9.453125" bestFit="1" customWidth="1"/>
    <col min="518" max="526" width="6.7265625" customWidth="1"/>
    <col min="527" max="527" width="3.7265625" customWidth="1"/>
    <col min="528" max="528" width="12.453125" customWidth="1"/>
    <col min="529" max="541" width="6.7265625" customWidth="1"/>
    <col min="542" max="542" width="3.7265625" customWidth="1"/>
    <col min="543" max="543" width="12.453125" customWidth="1"/>
    <col min="544" max="556" width="6.7265625" customWidth="1"/>
    <col min="557" max="557" width="3.7265625" customWidth="1"/>
    <col min="558" max="558" width="12.453125" customWidth="1"/>
    <col min="559" max="571" width="6.7265625" customWidth="1"/>
    <col min="769" max="769" width="12.453125" customWidth="1"/>
    <col min="771" max="773" width="9.453125" bestFit="1" customWidth="1"/>
    <col min="774" max="782" width="6.7265625" customWidth="1"/>
    <col min="783" max="783" width="3.7265625" customWidth="1"/>
    <col min="784" max="784" width="12.453125" customWidth="1"/>
    <col min="785" max="797" width="6.7265625" customWidth="1"/>
    <col min="798" max="798" width="3.7265625" customWidth="1"/>
    <col min="799" max="799" width="12.453125" customWidth="1"/>
    <col min="800" max="812" width="6.7265625" customWidth="1"/>
    <col min="813" max="813" width="3.7265625" customWidth="1"/>
    <col min="814" max="814" width="12.453125" customWidth="1"/>
    <col min="815" max="827" width="6.7265625" customWidth="1"/>
    <col min="1025" max="1025" width="12.453125" customWidth="1"/>
    <col min="1027" max="1029" width="9.453125" bestFit="1" customWidth="1"/>
    <col min="1030" max="1038" width="6.7265625" customWidth="1"/>
    <col min="1039" max="1039" width="3.7265625" customWidth="1"/>
    <col min="1040" max="1040" width="12.453125" customWidth="1"/>
    <col min="1041" max="1053" width="6.7265625" customWidth="1"/>
    <col min="1054" max="1054" width="3.7265625" customWidth="1"/>
    <col min="1055" max="1055" width="12.453125" customWidth="1"/>
    <col min="1056" max="1068" width="6.7265625" customWidth="1"/>
    <col min="1069" max="1069" width="3.7265625" customWidth="1"/>
    <col min="1070" max="1070" width="12.453125" customWidth="1"/>
    <col min="1071" max="1083" width="6.7265625" customWidth="1"/>
    <col min="1281" max="1281" width="12.453125" customWidth="1"/>
    <col min="1283" max="1285" width="9.453125" bestFit="1" customWidth="1"/>
    <col min="1286" max="1294" width="6.7265625" customWidth="1"/>
    <col min="1295" max="1295" width="3.7265625" customWidth="1"/>
    <col min="1296" max="1296" width="12.453125" customWidth="1"/>
    <col min="1297" max="1309" width="6.7265625" customWidth="1"/>
    <col min="1310" max="1310" width="3.7265625" customWidth="1"/>
    <col min="1311" max="1311" width="12.453125" customWidth="1"/>
    <col min="1312" max="1324" width="6.7265625" customWidth="1"/>
    <col min="1325" max="1325" width="3.7265625" customWidth="1"/>
    <col min="1326" max="1326" width="12.453125" customWidth="1"/>
    <col min="1327" max="1339" width="6.7265625" customWidth="1"/>
    <col min="1537" max="1537" width="12.453125" customWidth="1"/>
    <col min="1539" max="1541" width="9.453125" bestFit="1" customWidth="1"/>
    <col min="1542" max="1550" width="6.7265625" customWidth="1"/>
    <col min="1551" max="1551" width="3.7265625" customWidth="1"/>
    <col min="1552" max="1552" width="12.453125" customWidth="1"/>
    <col min="1553" max="1565" width="6.7265625" customWidth="1"/>
    <col min="1566" max="1566" width="3.7265625" customWidth="1"/>
    <col min="1567" max="1567" width="12.453125" customWidth="1"/>
    <col min="1568" max="1580" width="6.7265625" customWidth="1"/>
    <col min="1581" max="1581" width="3.7265625" customWidth="1"/>
    <col min="1582" max="1582" width="12.453125" customWidth="1"/>
    <col min="1583" max="1595" width="6.7265625" customWidth="1"/>
    <col min="1793" max="1793" width="12.453125" customWidth="1"/>
    <col min="1795" max="1797" width="9.453125" bestFit="1" customWidth="1"/>
    <col min="1798" max="1806" width="6.7265625" customWidth="1"/>
    <col min="1807" max="1807" width="3.7265625" customWidth="1"/>
    <col min="1808" max="1808" width="12.453125" customWidth="1"/>
    <col min="1809" max="1821" width="6.7265625" customWidth="1"/>
    <col min="1822" max="1822" width="3.7265625" customWidth="1"/>
    <col min="1823" max="1823" width="12.453125" customWidth="1"/>
    <col min="1824" max="1836" width="6.7265625" customWidth="1"/>
    <col min="1837" max="1837" width="3.7265625" customWidth="1"/>
    <col min="1838" max="1838" width="12.453125" customWidth="1"/>
    <col min="1839" max="1851" width="6.7265625" customWidth="1"/>
    <col min="2049" max="2049" width="12.453125" customWidth="1"/>
    <col min="2051" max="2053" width="9.453125" bestFit="1" customWidth="1"/>
    <col min="2054" max="2062" width="6.7265625" customWidth="1"/>
    <col min="2063" max="2063" width="3.7265625" customWidth="1"/>
    <col min="2064" max="2064" width="12.453125" customWidth="1"/>
    <col min="2065" max="2077" width="6.7265625" customWidth="1"/>
    <col min="2078" max="2078" width="3.7265625" customWidth="1"/>
    <col min="2079" max="2079" width="12.453125" customWidth="1"/>
    <col min="2080" max="2092" width="6.7265625" customWidth="1"/>
    <col min="2093" max="2093" width="3.7265625" customWidth="1"/>
    <col min="2094" max="2094" width="12.453125" customWidth="1"/>
    <col min="2095" max="2107" width="6.7265625" customWidth="1"/>
    <col min="2305" max="2305" width="12.453125" customWidth="1"/>
    <col min="2307" max="2309" width="9.453125" bestFit="1" customWidth="1"/>
    <col min="2310" max="2318" width="6.7265625" customWidth="1"/>
    <col min="2319" max="2319" width="3.7265625" customWidth="1"/>
    <col min="2320" max="2320" width="12.453125" customWidth="1"/>
    <col min="2321" max="2333" width="6.7265625" customWidth="1"/>
    <col min="2334" max="2334" width="3.7265625" customWidth="1"/>
    <col min="2335" max="2335" width="12.453125" customWidth="1"/>
    <col min="2336" max="2348" width="6.7265625" customWidth="1"/>
    <col min="2349" max="2349" width="3.7265625" customWidth="1"/>
    <col min="2350" max="2350" width="12.453125" customWidth="1"/>
    <col min="2351" max="2363" width="6.7265625" customWidth="1"/>
    <col min="2561" max="2561" width="12.453125" customWidth="1"/>
    <col min="2563" max="2565" width="9.453125" bestFit="1" customWidth="1"/>
    <col min="2566" max="2574" width="6.7265625" customWidth="1"/>
    <col min="2575" max="2575" width="3.7265625" customWidth="1"/>
    <col min="2576" max="2576" width="12.453125" customWidth="1"/>
    <col min="2577" max="2589" width="6.7265625" customWidth="1"/>
    <col min="2590" max="2590" width="3.7265625" customWidth="1"/>
    <col min="2591" max="2591" width="12.453125" customWidth="1"/>
    <col min="2592" max="2604" width="6.7265625" customWidth="1"/>
    <col min="2605" max="2605" width="3.7265625" customWidth="1"/>
    <col min="2606" max="2606" width="12.453125" customWidth="1"/>
    <col min="2607" max="2619" width="6.7265625" customWidth="1"/>
    <col min="2817" max="2817" width="12.453125" customWidth="1"/>
    <col min="2819" max="2821" width="9.453125" bestFit="1" customWidth="1"/>
    <col min="2822" max="2830" width="6.7265625" customWidth="1"/>
    <col min="2831" max="2831" width="3.7265625" customWidth="1"/>
    <col min="2832" max="2832" width="12.453125" customWidth="1"/>
    <col min="2833" max="2845" width="6.7265625" customWidth="1"/>
    <col min="2846" max="2846" width="3.7265625" customWidth="1"/>
    <col min="2847" max="2847" width="12.453125" customWidth="1"/>
    <col min="2848" max="2860" width="6.7265625" customWidth="1"/>
    <col min="2861" max="2861" width="3.7265625" customWidth="1"/>
    <col min="2862" max="2862" width="12.453125" customWidth="1"/>
    <col min="2863" max="2875" width="6.7265625" customWidth="1"/>
    <col min="3073" max="3073" width="12.453125" customWidth="1"/>
    <col min="3075" max="3077" width="9.453125" bestFit="1" customWidth="1"/>
    <col min="3078" max="3086" width="6.7265625" customWidth="1"/>
    <col min="3087" max="3087" width="3.7265625" customWidth="1"/>
    <col min="3088" max="3088" width="12.453125" customWidth="1"/>
    <col min="3089" max="3101" width="6.7265625" customWidth="1"/>
    <col min="3102" max="3102" width="3.7265625" customWidth="1"/>
    <col min="3103" max="3103" width="12.453125" customWidth="1"/>
    <col min="3104" max="3116" width="6.7265625" customWidth="1"/>
    <col min="3117" max="3117" width="3.7265625" customWidth="1"/>
    <col min="3118" max="3118" width="12.453125" customWidth="1"/>
    <col min="3119" max="3131" width="6.7265625" customWidth="1"/>
    <col min="3329" max="3329" width="12.453125" customWidth="1"/>
    <col min="3331" max="3333" width="9.453125" bestFit="1" customWidth="1"/>
    <col min="3334" max="3342" width="6.7265625" customWidth="1"/>
    <col min="3343" max="3343" width="3.7265625" customWidth="1"/>
    <col min="3344" max="3344" width="12.453125" customWidth="1"/>
    <col min="3345" max="3357" width="6.7265625" customWidth="1"/>
    <col min="3358" max="3358" width="3.7265625" customWidth="1"/>
    <col min="3359" max="3359" width="12.453125" customWidth="1"/>
    <col min="3360" max="3372" width="6.7265625" customWidth="1"/>
    <col min="3373" max="3373" width="3.7265625" customWidth="1"/>
    <col min="3374" max="3374" width="12.453125" customWidth="1"/>
    <col min="3375" max="3387" width="6.7265625" customWidth="1"/>
    <col min="3585" max="3585" width="12.453125" customWidth="1"/>
    <col min="3587" max="3589" width="9.453125" bestFit="1" customWidth="1"/>
    <col min="3590" max="3598" width="6.7265625" customWidth="1"/>
    <col min="3599" max="3599" width="3.7265625" customWidth="1"/>
    <col min="3600" max="3600" width="12.453125" customWidth="1"/>
    <col min="3601" max="3613" width="6.7265625" customWidth="1"/>
    <col min="3614" max="3614" width="3.7265625" customWidth="1"/>
    <col min="3615" max="3615" width="12.453125" customWidth="1"/>
    <col min="3616" max="3628" width="6.7265625" customWidth="1"/>
    <col min="3629" max="3629" width="3.7265625" customWidth="1"/>
    <col min="3630" max="3630" width="12.453125" customWidth="1"/>
    <col min="3631" max="3643" width="6.7265625" customWidth="1"/>
    <col min="3841" max="3841" width="12.453125" customWidth="1"/>
    <col min="3843" max="3845" width="9.453125" bestFit="1" customWidth="1"/>
    <col min="3846" max="3854" width="6.7265625" customWidth="1"/>
    <col min="3855" max="3855" width="3.7265625" customWidth="1"/>
    <col min="3856" max="3856" width="12.453125" customWidth="1"/>
    <col min="3857" max="3869" width="6.7265625" customWidth="1"/>
    <col min="3870" max="3870" width="3.7265625" customWidth="1"/>
    <col min="3871" max="3871" width="12.453125" customWidth="1"/>
    <col min="3872" max="3884" width="6.7265625" customWidth="1"/>
    <col min="3885" max="3885" width="3.7265625" customWidth="1"/>
    <col min="3886" max="3886" width="12.453125" customWidth="1"/>
    <col min="3887" max="3899" width="6.7265625" customWidth="1"/>
    <col min="4097" max="4097" width="12.453125" customWidth="1"/>
    <col min="4099" max="4101" width="9.453125" bestFit="1" customWidth="1"/>
    <col min="4102" max="4110" width="6.7265625" customWidth="1"/>
    <col min="4111" max="4111" width="3.7265625" customWidth="1"/>
    <col min="4112" max="4112" width="12.453125" customWidth="1"/>
    <col min="4113" max="4125" width="6.7265625" customWidth="1"/>
    <col min="4126" max="4126" width="3.7265625" customWidth="1"/>
    <col min="4127" max="4127" width="12.453125" customWidth="1"/>
    <col min="4128" max="4140" width="6.7265625" customWidth="1"/>
    <col min="4141" max="4141" width="3.7265625" customWidth="1"/>
    <col min="4142" max="4142" width="12.453125" customWidth="1"/>
    <col min="4143" max="4155" width="6.7265625" customWidth="1"/>
    <col min="4353" max="4353" width="12.453125" customWidth="1"/>
    <col min="4355" max="4357" width="9.453125" bestFit="1" customWidth="1"/>
    <col min="4358" max="4366" width="6.7265625" customWidth="1"/>
    <col min="4367" max="4367" width="3.7265625" customWidth="1"/>
    <col min="4368" max="4368" width="12.453125" customWidth="1"/>
    <col min="4369" max="4381" width="6.7265625" customWidth="1"/>
    <col min="4382" max="4382" width="3.7265625" customWidth="1"/>
    <col min="4383" max="4383" width="12.453125" customWidth="1"/>
    <col min="4384" max="4396" width="6.7265625" customWidth="1"/>
    <col min="4397" max="4397" width="3.7265625" customWidth="1"/>
    <col min="4398" max="4398" width="12.453125" customWidth="1"/>
    <col min="4399" max="4411" width="6.7265625" customWidth="1"/>
    <col min="4609" max="4609" width="12.453125" customWidth="1"/>
    <col min="4611" max="4613" width="9.453125" bestFit="1" customWidth="1"/>
    <col min="4614" max="4622" width="6.7265625" customWidth="1"/>
    <col min="4623" max="4623" width="3.7265625" customWidth="1"/>
    <col min="4624" max="4624" width="12.453125" customWidth="1"/>
    <col min="4625" max="4637" width="6.7265625" customWidth="1"/>
    <col min="4638" max="4638" width="3.7265625" customWidth="1"/>
    <col min="4639" max="4639" width="12.453125" customWidth="1"/>
    <col min="4640" max="4652" width="6.7265625" customWidth="1"/>
    <col min="4653" max="4653" width="3.7265625" customWidth="1"/>
    <col min="4654" max="4654" width="12.453125" customWidth="1"/>
    <col min="4655" max="4667" width="6.7265625" customWidth="1"/>
    <col min="4865" max="4865" width="12.453125" customWidth="1"/>
    <col min="4867" max="4869" width="9.453125" bestFit="1" customWidth="1"/>
    <col min="4870" max="4878" width="6.7265625" customWidth="1"/>
    <col min="4879" max="4879" width="3.7265625" customWidth="1"/>
    <col min="4880" max="4880" width="12.453125" customWidth="1"/>
    <col min="4881" max="4893" width="6.7265625" customWidth="1"/>
    <col min="4894" max="4894" width="3.7265625" customWidth="1"/>
    <col min="4895" max="4895" width="12.453125" customWidth="1"/>
    <col min="4896" max="4908" width="6.7265625" customWidth="1"/>
    <col min="4909" max="4909" width="3.7265625" customWidth="1"/>
    <col min="4910" max="4910" width="12.453125" customWidth="1"/>
    <col min="4911" max="4923" width="6.7265625" customWidth="1"/>
    <col min="5121" max="5121" width="12.453125" customWidth="1"/>
    <col min="5123" max="5125" width="9.453125" bestFit="1" customWidth="1"/>
    <col min="5126" max="5134" width="6.7265625" customWidth="1"/>
    <col min="5135" max="5135" width="3.7265625" customWidth="1"/>
    <col min="5136" max="5136" width="12.453125" customWidth="1"/>
    <col min="5137" max="5149" width="6.7265625" customWidth="1"/>
    <col min="5150" max="5150" width="3.7265625" customWidth="1"/>
    <col min="5151" max="5151" width="12.453125" customWidth="1"/>
    <col min="5152" max="5164" width="6.7265625" customWidth="1"/>
    <col min="5165" max="5165" width="3.7265625" customWidth="1"/>
    <col min="5166" max="5166" width="12.453125" customWidth="1"/>
    <col min="5167" max="5179" width="6.7265625" customWidth="1"/>
    <col min="5377" max="5377" width="12.453125" customWidth="1"/>
    <col min="5379" max="5381" width="9.453125" bestFit="1" customWidth="1"/>
    <col min="5382" max="5390" width="6.7265625" customWidth="1"/>
    <col min="5391" max="5391" width="3.7265625" customWidth="1"/>
    <col min="5392" max="5392" width="12.453125" customWidth="1"/>
    <col min="5393" max="5405" width="6.7265625" customWidth="1"/>
    <col min="5406" max="5406" width="3.7265625" customWidth="1"/>
    <col min="5407" max="5407" width="12.453125" customWidth="1"/>
    <col min="5408" max="5420" width="6.7265625" customWidth="1"/>
    <col min="5421" max="5421" width="3.7265625" customWidth="1"/>
    <col min="5422" max="5422" width="12.453125" customWidth="1"/>
    <col min="5423" max="5435" width="6.7265625" customWidth="1"/>
    <col min="5633" max="5633" width="12.453125" customWidth="1"/>
    <col min="5635" max="5637" width="9.453125" bestFit="1" customWidth="1"/>
    <col min="5638" max="5646" width="6.7265625" customWidth="1"/>
    <col min="5647" max="5647" width="3.7265625" customWidth="1"/>
    <col min="5648" max="5648" width="12.453125" customWidth="1"/>
    <col min="5649" max="5661" width="6.7265625" customWidth="1"/>
    <col min="5662" max="5662" width="3.7265625" customWidth="1"/>
    <col min="5663" max="5663" width="12.453125" customWidth="1"/>
    <col min="5664" max="5676" width="6.7265625" customWidth="1"/>
    <col min="5677" max="5677" width="3.7265625" customWidth="1"/>
    <col min="5678" max="5678" width="12.453125" customWidth="1"/>
    <col min="5679" max="5691" width="6.7265625" customWidth="1"/>
    <col min="5889" max="5889" width="12.453125" customWidth="1"/>
    <col min="5891" max="5893" width="9.453125" bestFit="1" customWidth="1"/>
    <col min="5894" max="5902" width="6.7265625" customWidth="1"/>
    <col min="5903" max="5903" width="3.7265625" customWidth="1"/>
    <col min="5904" max="5904" width="12.453125" customWidth="1"/>
    <col min="5905" max="5917" width="6.7265625" customWidth="1"/>
    <col min="5918" max="5918" width="3.7265625" customWidth="1"/>
    <col min="5919" max="5919" width="12.453125" customWidth="1"/>
    <col min="5920" max="5932" width="6.7265625" customWidth="1"/>
    <col min="5933" max="5933" width="3.7265625" customWidth="1"/>
    <col min="5934" max="5934" width="12.453125" customWidth="1"/>
    <col min="5935" max="5947" width="6.7265625" customWidth="1"/>
    <col min="6145" max="6145" width="12.453125" customWidth="1"/>
    <col min="6147" max="6149" width="9.453125" bestFit="1" customWidth="1"/>
    <col min="6150" max="6158" width="6.7265625" customWidth="1"/>
    <col min="6159" max="6159" width="3.7265625" customWidth="1"/>
    <col min="6160" max="6160" width="12.453125" customWidth="1"/>
    <col min="6161" max="6173" width="6.7265625" customWidth="1"/>
    <col min="6174" max="6174" width="3.7265625" customWidth="1"/>
    <col min="6175" max="6175" width="12.453125" customWidth="1"/>
    <col min="6176" max="6188" width="6.7265625" customWidth="1"/>
    <col min="6189" max="6189" width="3.7265625" customWidth="1"/>
    <col min="6190" max="6190" width="12.453125" customWidth="1"/>
    <col min="6191" max="6203" width="6.7265625" customWidth="1"/>
    <col min="6401" max="6401" width="12.453125" customWidth="1"/>
    <col min="6403" max="6405" width="9.453125" bestFit="1" customWidth="1"/>
    <col min="6406" max="6414" width="6.7265625" customWidth="1"/>
    <col min="6415" max="6415" width="3.7265625" customWidth="1"/>
    <col min="6416" max="6416" width="12.453125" customWidth="1"/>
    <col min="6417" max="6429" width="6.7265625" customWidth="1"/>
    <col min="6430" max="6430" width="3.7265625" customWidth="1"/>
    <col min="6431" max="6431" width="12.453125" customWidth="1"/>
    <col min="6432" max="6444" width="6.7265625" customWidth="1"/>
    <col min="6445" max="6445" width="3.7265625" customWidth="1"/>
    <col min="6446" max="6446" width="12.453125" customWidth="1"/>
    <col min="6447" max="6459" width="6.7265625" customWidth="1"/>
    <col min="6657" max="6657" width="12.453125" customWidth="1"/>
    <col min="6659" max="6661" width="9.453125" bestFit="1" customWidth="1"/>
    <col min="6662" max="6670" width="6.7265625" customWidth="1"/>
    <col min="6671" max="6671" width="3.7265625" customWidth="1"/>
    <col min="6672" max="6672" width="12.453125" customWidth="1"/>
    <col min="6673" max="6685" width="6.7265625" customWidth="1"/>
    <col min="6686" max="6686" width="3.7265625" customWidth="1"/>
    <col min="6687" max="6687" width="12.453125" customWidth="1"/>
    <col min="6688" max="6700" width="6.7265625" customWidth="1"/>
    <col min="6701" max="6701" width="3.7265625" customWidth="1"/>
    <col min="6702" max="6702" width="12.453125" customWidth="1"/>
    <col min="6703" max="6715" width="6.7265625" customWidth="1"/>
    <col min="6913" max="6913" width="12.453125" customWidth="1"/>
    <col min="6915" max="6917" width="9.453125" bestFit="1" customWidth="1"/>
    <col min="6918" max="6926" width="6.7265625" customWidth="1"/>
    <col min="6927" max="6927" width="3.7265625" customWidth="1"/>
    <col min="6928" max="6928" width="12.453125" customWidth="1"/>
    <col min="6929" max="6941" width="6.7265625" customWidth="1"/>
    <col min="6942" max="6942" width="3.7265625" customWidth="1"/>
    <col min="6943" max="6943" width="12.453125" customWidth="1"/>
    <col min="6944" max="6956" width="6.7265625" customWidth="1"/>
    <col min="6957" max="6957" width="3.7265625" customWidth="1"/>
    <col min="6958" max="6958" width="12.453125" customWidth="1"/>
    <col min="6959" max="6971" width="6.7265625" customWidth="1"/>
    <col min="7169" max="7169" width="12.453125" customWidth="1"/>
    <col min="7171" max="7173" width="9.453125" bestFit="1" customWidth="1"/>
    <col min="7174" max="7182" width="6.7265625" customWidth="1"/>
    <col min="7183" max="7183" width="3.7265625" customWidth="1"/>
    <col min="7184" max="7184" width="12.453125" customWidth="1"/>
    <col min="7185" max="7197" width="6.7265625" customWidth="1"/>
    <col min="7198" max="7198" width="3.7265625" customWidth="1"/>
    <col min="7199" max="7199" width="12.453125" customWidth="1"/>
    <col min="7200" max="7212" width="6.7265625" customWidth="1"/>
    <col min="7213" max="7213" width="3.7265625" customWidth="1"/>
    <col min="7214" max="7214" width="12.453125" customWidth="1"/>
    <col min="7215" max="7227" width="6.7265625" customWidth="1"/>
    <col min="7425" max="7425" width="12.453125" customWidth="1"/>
    <col min="7427" max="7429" width="9.453125" bestFit="1" customWidth="1"/>
    <col min="7430" max="7438" width="6.7265625" customWidth="1"/>
    <col min="7439" max="7439" width="3.7265625" customWidth="1"/>
    <col min="7440" max="7440" width="12.453125" customWidth="1"/>
    <col min="7441" max="7453" width="6.7265625" customWidth="1"/>
    <col min="7454" max="7454" width="3.7265625" customWidth="1"/>
    <col min="7455" max="7455" width="12.453125" customWidth="1"/>
    <col min="7456" max="7468" width="6.7265625" customWidth="1"/>
    <col min="7469" max="7469" width="3.7265625" customWidth="1"/>
    <col min="7470" max="7470" width="12.453125" customWidth="1"/>
    <col min="7471" max="7483" width="6.7265625" customWidth="1"/>
    <col min="7681" max="7681" width="12.453125" customWidth="1"/>
    <col min="7683" max="7685" width="9.453125" bestFit="1" customWidth="1"/>
    <col min="7686" max="7694" width="6.7265625" customWidth="1"/>
    <col min="7695" max="7695" width="3.7265625" customWidth="1"/>
    <col min="7696" max="7696" width="12.453125" customWidth="1"/>
    <col min="7697" max="7709" width="6.7265625" customWidth="1"/>
    <col min="7710" max="7710" width="3.7265625" customWidth="1"/>
    <col min="7711" max="7711" width="12.453125" customWidth="1"/>
    <col min="7712" max="7724" width="6.7265625" customWidth="1"/>
    <col min="7725" max="7725" width="3.7265625" customWidth="1"/>
    <col min="7726" max="7726" width="12.453125" customWidth="1"/>
    <col min="7727" max="7739" width="6.7265625" customWidth="1"/>
    <col min="7937" max="7937" width="12.453125" customWidth="1"/>
    <col min="7939" max="7941" width="9.453125" bestFit="1" customWidth="1"/>
    <col min="7942" max="7950" width="6.7265625" customWidth="1"/>
    <col min="7951" max="7951" width="3.7265625" customWidth="1"/>
    <col min="7952" max="7952" width="12.453125" customWidth="1"/>
    <col min="7953" max="7965" width="6.7265625" customWidth="1"/>
    <col min="7966" max="7966" width="3.7265625" customWidth="1"/>
    <col min="7967" max="7967" width="12.453125" customWidth="1"/>
    <col min="7968" max="7980" width="6.7265625" customWidth="1"/>
    <col min="7981" max="7981" width="3.7265625" customWidth="1"/>
    <col min="7982" max="7982" width="12.453125" customWidth="1"/>
    <col min="7983" max="7995" width="6.7265625" customWidth="1"/>
    <col min="8193" max="8193" width="12.453125" customWidth="1"/>
    <col min="8195" max="8197" width="9.453125" bestFit="1" customWidth="1"/>
    <col min="8198" max="8206" width="6.7265625" customWidth="1"/>
    <col min="8207" max="8207" width="3.7265625" customWidth="1"/>
    <col min="8208" max="8208" width="12.453125" customWidth="1"/>
    <col min="8209" max="8221" width="6.7265625" customWidth="1"/>
    <col min="8222" max="8222" width="3.7265625" customWidth="1"/>
    <col min="8223" max="8223" width="12.453125" customWidth="1"/>
    <col min="8224" max="8236" width="6.7265625" customWidth="1"/>
    <col min="8237" max="8237" width="3.7265625" customWidth="1"/>
    <col min="8238" max="8238" width="12.453125" customWidth="1"/>
    <col min="8239" max="8251" width="6.7265625" customWidth="1"/>
    <col min="8449" max="8449" width="12.453125" customWidth="1"/>
    <col min="8451" max="8453" width="9.453125" bestFit="1" customWidth="1"/>
    <col min="8454" max="8462" width="6.7265625" customWidth="1"/>
    <col min="8463" max="8463" width="3.7265625" customWidth="1"/>
    <col min="8464" max="8464" width="12.453125" customWidth="1"/>
    <col min="8465" max="8477" width="6.7265625" customWidth="1"/>
    <col min="8478" max="8478" width="3.7265625" customWidth="1"/>
    <col min="8479" max="8479" width="12.453125" customWidth="1"/>
    <col min="8480" max="8492" width="6.7265625" customWidth="1"/>
    <col min="8493" max="8493" width="3.7265625" customWidth="1"/>
    <col min="8494" max="8494" width="12.453125" customWidth="1"/>
    <col min="8495" max="8507" width="6.7265625" customWidth="1"/>
    <col min="8705" max="8705" width="12.453125" customWidth="1"/>
    <col min="8707" max="8709" width="9.453125" bestFit="1" customWidth="1"/>
    <col min="8710" max="8718" width="6.7265625" customWidth="1"/>
    <col min="8719" max="8719" width="3.7265625" customWidth="1"/>
    <col min="8720" max="8720" width="12.453125" customWidth="1"/>
    <col min="8721" max="8733" width="6.7265625" customWidth="1"/>
    <col min="8734" max="8734" width="3.7265625" customWidth="1"/>
    <col min="8735" max="8735" width="12.453125" customWidth="1"/>
    <col min="8736" max="8748" width="6.7265625" customWidth="1"/>
    <col min="8749" max="8749" width="3.7265625" customWidth="1"/>
    <col min="8750" max="8750" width="12.453125" customWidth="1"/>
    <col min="8751" max="8763" width="6.7265625" customWidth="1"/>
    <col min="8961" max="8961" width="12.453125" customWidth="1"/>
    <col min="8963" max="8965" width="9.453125" bestFit="1" customWidth="1"/>
    <col min="8966" max="8974" width="6.7265625" customWidth="1"/>
    <col min="8975" max="8975" width="3.7265625" customWidth="1"/>
    <col min="8976" max="8976" width="12.453125" customWidth="1"/>
    <col min="8977" max="8989" width="6.7265625" customWidth="1"/>
    <col min="8990" max="8990" width="3.7265625" customWidth="1"/>
    <col min="8991" max="8991" width="12.453125" customWidth="1"/>
    <col min="8992" max="9004" width="6.7265625" customWidth="1"/>
    <col min="9005" max="9005" width="3.7265625" customWidth="1"/>
    <col min="9006" max="9006" width="12.453125" customWidth="1"/>
    <col min="9007" max="9019" width="6.7265625" customWidth="1"/>
    <col min="9217" max="9217" width="12.453125" customWidth="1"/>
    <col min="9219" max="9221" width="9.453125" bestFit="1" customWidth="1"/>
    <col min="9222" max="9230" width="6.7265625" customWidth="1"/>
    <col min="9231" max="9231" width="3.7265625" customWidth="1"/>
    <col min="9232" max="9232" width="12.453125" customWidth="1"/>
    <col min="9233" max="9245" width="6.7265625" customWidth="1"/>
    <col min="9246" max="9246" width="3.7265625" customWidth="1"/>
    <col min="9247" max="9247" width="12.453125" customWidth="1"/>
    <col min="9248" max="9260" width="6.7265625" customWidth="1"/>
    <col min="9261" max="9261" width="3.7265625" customWidth="1"/>
    <col min="9262" max="9262" width="12.453125" customWidth="1"/>
    <col min="9263" max="9275" width="6.7265625" customWidth="1"/>
    <col min="9473" max="9473" width="12.453125" customWidth="1"/>
    <col min="9475" max="9477" width="9.453125" bestFit="1" customWidth="1"/>
    <col min="9478" max="9486" width="6.7265625" customWidth="1"/>
    <col min="9487" max="9487" width="3.7265625" customWidth="1"/>
    <col min="9488" max="9488" width="12.453125" customWidth="1"/>
    <col min="9489" max="9501" width="6.7265625" customWidth="1"/>
    <col min="9502" max="9502" width="3.7265625" customWidth="1"/>
    <col min="9503" max="9503" width="12.453125" customWidth="1"/>
    <col min="9504" max="9516" width="6.7265625" customWidth="1"/>
    <col min="9517" max="9517" width="3.7265625" customWidth="1"/>
    <col min="9518" max="9518" width="12.453125" customWidth="1"/>
    <col min="9519" max="9531" width="6.7265625" customWidth="1"/>
    <col min="9729" max="9729" width="12.453125" customWidth="1"/>
    <col min="9731" max="9733" width="9.453125" bestFit="1" customWidth="1"/>
    <col min="9734" max="9742" width="6.7265625" customWidth="1"/>
    <col min="9743" max="9743" width="3.7265625" customWidth="1"/>
    <col min="9744" max="9744" width="12.453125" customWidth="1"/>
    <col min="9745" max="9757" width="6.7265625" customWidth="1"/>
    <col min="9758" max="9758" width="3.7265625" customWidth="1"/>
    <col min="9759" max="9759" width="12.453125" customWidth="1"/>
    <col min="9760" max="9772" width="6.7265625" customWidth="1"/>
    <col min="9773" max="9773" width="3.7265625" customWidth="1"/>
    <col min="9774" max="9774" width="12.453125" customWidth="1"/>
    <col min="9775" max="9787" width="6.7265625" customWidth="1"/>
    <col min="9985" max="9985" width="12.453125" customWidth="1"/>
    <col min="9987" max="9989" width="9.453125" bestFit="1" customWidth="1"/>
    <col min="9990" max="9998" width="6.7265625" customWidth="1"/>
    <col min="9999" max="9999" width="3.7265625" customWidth="1"/>
    <col min="10000" max="10000" width="12.453125" customWidth="1"/>
    <col min="10001" max="10013" width="6.7265625" customWidth="1"/>
    <col min="10014" max="10014" width="3.7265625" customWidth="1"/>
    <col min="10015" max="10015" width="12.453125" customWidth="1"/>
    <col min="10016" max="10028" width="6.7265625" customWidth="1"/>
    <col min="10029" max="10029" width="3.7265625" customWidth="1"/>
    <col min="10030" max="10030" width="12.453125" customWidth="1"/>
    <col min="10031" max="10043" width="6.7265625" customWidth="1"/>
    <col min="10241" max="10241" width="12.453125" customWidth="1"/>
    <col min="10243" max="10245" width="9.453125" bestFit="1" customWidth="1"/>
    <col min="10246" max="10254" width="6.7265625" customWidth="1"/>
    <col min="10255" max="10255" width="3.7265625" customWidth="1"/>
    <col min="10256" max="10256" width="12.453125" customWidth="1"/>
    <col min="10257" max="10269" width="6.7265625" customWidth="1"/>
    <col min="10270" max="10270" width="3.7265625" customWidth="1"/>
    <col min="10271" max="10271" width="12.453125" customWidth="1"/>
    <col min="10272" max="10284" width="6.7265625" customWidth="1"/>
    <col min="10285" max="10285" width="3.7265625" customWidth="1"/>
    <col min="10286" max="10286" width="12.453125" customWidth="1"/>
    <col min="10287" max="10299" width="6.7265625" customWidth="1"/>
    <col min="10497" max="10497" width="12.453125" customWidth="1"/>
    <col min="10499" max="10501" width="9.453125" bestFit="1" customWidth="1"/>
    <col min="10502" max="10510" width="6.7265625" customWidth="1"/>
    <col min="10511" max="10511" width="3.7265625" customWidth="1"/>
    <col min="10512" max="10512" width="12.453125" customWidth="1"/>
    <col min="10513" max="10525" width="6.7265625" customWidth="1"/>
    <col min="10526" max="10526" width="3.7265625" customWidth="1"/>
    <col min="10527" max="10527" width="12.453125" customWidth="1"/>
    <col min="10528" max="10540" width="6.7265625" customWidth="1"/>
    <col min="10541" max="10541" width="3.7265625" customWidth="1"/>
    <col min="10542" max="10542" width="12.453125" customWidth="1"/>
    <col min="10543" max="10555" width="6.7265625" customWidth="1"/>
    <col min="10753" max="10753" width="12.453125" customWidth="1"/>
    <col min="10755" max="10757" width="9.453125" bestFit="1" customWidth="1"/>
    <col min="10758" max="10766" width="6.7265625" customWidth="1"/>
    <col min="10767" max="10767" width="3.7265625" customWidth="1"/>
    <col min="10768" max="10768" width="12.453125" customWidth="1"/>
    <col min="10769" max="10781" width="6.7265625" customWidth="1"/>
    <col min="10782" max="10782" width="3.7265625" customWidth="1"/>
    <col min="10783" max="10783" width="12.453125" customWidth="1"/>
    <col min="10784" max="10796" width="6.7265625" customWidth="1"/>
    <col min="10797" max="10797" width="3.7265625" customWidth="1"/>
    <col min="10798" max="10798" width="12.453125" customWidth="1"/>
    <col min="10799" max="10811" width="6.7265625" customWidth="1"/>
    <col min="11009" max="11009" width="12.453125" customWidth="1"/>
    <col min="11011" max="11013" width="9.453125" bestFit="1" customWidth="1"/>
    <col min="11014" max="11022" width="6.7265625" customWidth="1"/>
    <col min="11023" max="11023" width="3.7265625" customWidth="1"/>
    <col min="11024" max="11024" width="12.453125" customWidth="1"/>
    <col min="11025" max="11037" width="6.7265625" customWidth="1"/>
    <col min="11038" max="11038" width="3.7265625" customWidth="1"/>
    <col min="11039" max="11039" width="12.453125" customWidth="1"/>
    <col min="11040" max="11052" width="6.7265625" customWidth="1"/>
    <col min="11053" max="11053" width="3.7265625" customWidth="1"/>
    <col min="11054" max="11054" width="12.453125" customWidth="1"/>
    <col min="11055" max="11067" width="6.7265625" customWidth="1"/>
    <col min="11265" max="11265" width="12.453125" customWidth="1"/>
    <col min="11267" max="11269" width="9.453125" bestFit="1" customWidth="1"/>
    <col min="11270" max="11278" width="6.7265625" customWidth="1"/>
    <col min="11279" max="11279" width="3.7265625" customWidth="1"/>
    <col min="11280" max="11280" width="12.453125" customWidth="1"/>
    <col min="11281" max="11293" width="6.7265625" customWidth="1"/>
    <col min="11294" max="11294" width="3.7265625" customWidth="1"/>
    <col min="11295" max="11295" width="12.453125" customWidth="1"/>
    <col min="11296" max="11308" width="6.7265625" customWidth="1"/>
    <col min="11309" max="11309" width="3.7265625" customWidth="1"/>
    <col min="11310" max="11310" width="12.453125" customWidth="1"/>
    <col min="11311" max="11323" width="6.7265625" customWidth="1"/>
    <col min="11521" max="11521" width="12.453125" customWidth="1"/>
    <col min="11523" max="11525" width="9.453125" bestFit="1" customWidth="1"/>
    <col min="11526" max="11534" width="6.7265625" customWidth="1"/>
    <col min="11535" max="11535" width="3.7265625" customWidth="1"/>
    <col min="11536" max="11536" width="12.453125" customWidth="1"/>
    <col min="11537" max="11549" width="6.7265625" customWidth="1"/>
    <col min="11550" max="11550" width="3.7265625" customWidth="1"/>
    <col min="11551" max="11551" width="12.453125" customWidth="1"/>
    <col min="11552" max="11564" width="6.7265625" customWidth="1"/>
    <col min="11565" max="11565" width="3.7265625" customWidth="1"/>
    <col min="11566" max="11566" width="12.453125" customWidth="1"/>
    <col min="11567" max="11579" width="6.7265625" customWidth="1"/>
    <col min="11777" max="11777" width="12.453125" customWidth="1"/>
    <col min="11779" max="11781" width="9.453125" bestFit="1" customWidth="1"/>
    <col min="11782" max="11790" width="6.7265625" customWidth="1"/>
    <col min="11791" max="11791" width="3.7265625" customWidth="1"/>
    <col min="11792" max="11792" width="12.453125" customWidth="1"/>
    <col min="11793" max="11805" width="6.7265625" customWidth="1"/>
    <col min="11806" max="11806" width="3.7265625" customWidth="1"/>
    <col min="11807" max="11807" width="12.453125" customWidth="1"/>
    <col min="11808" max="11820" width="6.7265625" customWidth="1"/>
    <col min="11821" max="11821" width="3.7265625" customWidth="1"/>
    <col min="11822" max="11822" width="12.453125" customWidth="1"/>
    <col min="11823" max="11835" width="6.7265625" customWidth="1"/>
    <col min="12033" max="12033" width="12.453125" customWidth="1"/>
    <col min="12035" max="12037" width="9.453125" bestFit="1" customWidth="1"/>
    <col min="12038" max="12046" width="6.7265625" customWidth="1"/>
    <col min="12047" max="12047" width="3.7265625" customWidth="1"/>
    <col min="12048" max="12048" width="12.453125" customWidth="1"/>
    <col min="12049" max="12061" width="6.7265625" customWidth="1"/>
    <col min="12062" max="12062" width="3.7265625" customWidth="1"/>
    <col min="12063" max="12063" width="12.453125" customWidth="1"/>
    <col min="12064" max="12076" width="6.7265625" customWidth="1"/>
    <col min="12077" max="12077" width="3.7265625" customWidth="1"/>
    <col min="12078" max="12078" width="12.453125" customWidth="1"/>
    <col min="12079" max="12091" width="6.7265625" customWidth="1"/>
    <col min="12289" max="12289" width="12.453125" customWidth="1"/>
    <col min="12291" max="12293" width="9.453125" bestFit="1" customWidth="1"/>
    <col min="12294" max="12302" width="6.7265625" customWidth="1"/>
    <col min="12303" max="12303" width="3.7265625" customWidth="1"/>
    <col min="12304" max="12304" width="12.453125" customWidth="1"/>
    <col min="12305" max="12317" width="6.7265625" customWidth="1"/>
    <col min="12318" max="12318" width="3.7265625" customWidth="1"/>
    <col min="12319" max="12319" width="12.453125" customWidth="1"/>
    <col min="12320" max="12332" width="6.7265625" customWidth="1"/>
    <col min="12333" max="12333" width="3.7265625" customWidth="1"/>
    <col min="12334" max="12334" width="12.453125" customWidth="1"/>
    <col min="12335" max="12347" width="6.7265625" customWidth="1"/>
    <col min="12545" max="12545" width="12.453125" customWidth="1"/>
    <col min="12547" max="12549" width="9.453125" bestFit="1" customWidth="1"/>
    <col min="12550" max="12558" width="6.7265625" customWidth="1"/>
    <col min="12559" max="12559" width="3.7265625" customWidth="1"/>
    <col min="12560" max="12560" width="12.453125" customWidth="1"/>
    <col min="12561" max="12573" width="6.7265625" customWidth="1"/>
    <col min="12574" max="12574" width="3.7265625" customWidth="1"/>
    <col min="12575" max="12575" width="12.453125" customWidth="1"/>
    <col min="12576" max="12588" width="6.7265625" customWidth="1"/>
    <col min="12589" max="12589" width="3.7265625" customWidth="1"/>
    <col min="12590" max="12590" width="12.453125" customWidth="1"/>
    <col min="12591" max="12603" width="6.7265625" customWidth="1"/>
    <col min="12801" max="12801" width="12.453125" customWidth="1"/>
    <col min="12803" max="12805" width="9.453125" bestFit="1" customWidth="1"/>
    <col min="12806" max="12814" width="6.7265625" customWidth="1"/>
    <col min="12815" max="12815" width="3.7265625" customWidth="1"/>
    <col min="12816" max="12816" width="12.453125" customWidth="1"/>
    <col min="12817" max="12829" width="6.7265625" customWidth="1"/>
    <col min="12830" max="12830" width="3.7265625" customWidth="1"/>
    <col min="12831" max="12831" width="12.453125" customWidth="1"/>
    <col min="12832" max="12844" width="6.7265625" customWidth="1"/>
    <col min="12845" max="12845" width="3.7265625" customWidth="1"/>
    <col min="12846" max="12846" width="12.453125" customWidth="1"/>
    <col min="12847" max="12859" width="6.7265625" customWidth="1"/>
    <col min="13057" max="13057" width="12.453125" customWidth="1"/>
    <col min="13059" max="13061" width="9.453125" bestFit="1" customWidth="1"/>
    <col min="13062" max="13070" width="6.7265625" customWidth="1"/>
    <col min="13071" max="13071" width="3.7265625" customWidth="1"/>
    <col min="13072" max="13072" width="12.453125" customWidth="1"/>
    <col min="13073" max="13085" width="6.7265625" customWidth="1"/>
    <col min="13086" max="13086" width="3.7265625" customWidth="1"/>
    <col min="13087" max="13087" width="12.453125" customWidth="1"/>
    <col min="13088" max="13100" width="6.7265625" customWidth="1"/>
    <col min="13101" max="13101" width="3.7265625" customWidth="1"/>
    <col min="13102" max="13102" width="12.453125" customWidth="1"/>
    <col min="13103" max="13115" width="6.7265625" customWidth="1"/>
    <col min="13313" max="13313" width="12.453125" customWidth="1"/>
    <col min="13315" max="13317" width="9.453125" bestFit="1" customWidth="1"/>
    <col min="13318" max="13326" width="6.7265625" customWidth="1"/>
    <col min="13327" max="13327" width="3.7265625" customWidth="1"/>
    <col min="13328" max="13328" width="12.453125" customWidth="1"/>
    <col min="13329" max="13341" width="6.7265625" customWidth="1"/>
    <col min="13342" max="13342" width="3.7265625" customWidth="1"/>
    <col min="13343" max="13343" width="12.453125" customWidth="1"/>
    <col min="13344" max="13356" width="6.7265625" customWidth="1"/>
    <col min="13357" max="13357" width="3.7265625" customWidth="1"/>
    <col min="13358" max="13358" width="12.453125" customWidth="1"/>
    <col min="13359" max="13371" width="6.7265625" customWidth="1"/>
    <col min="13569" max="13569" width="12.453125" customWidth="1"/>
    <col min="13571" max="13573" width="9.453125" bestFit="1" customWidth="1"/>
    <col min="13574" max="13582" width="6.7265625" customWidth="1"/>
    <col min="13583" max="13583" width="3.7265625" customWidth="1"/>
    <col min="13584" max="13584" width="12.453125" customWidth="1"/>
    <col min="13585" max="13597" width="6.7265625" customWidth="1"/>
    <col min="13598" max="13598" width="3.7265625" customWidth="1"/>
    <col min="13599" max="13599" width="12.453125" customWidth="1"/>
    <col min="13600" max="13612" width="6.7265625" customWidth="1"/>
    <col min="13613" max="13613" width="3.7265625" customWidth="1"/>
    <col min="13614" max="13614" width="12.453125" customWidth="1"/>
    <col min="13615" max="13627" width="6.7265625" customWidth="1"/>
    <col min="13825" max="13825" width="12.453125" customWidth="1"/>
    <col min="13827" max="13829" width="9.453125" bestFit="1" customWidth="1"/>
    <col min="13830" max="13838" width="6.7265625" customWidth="1"/>
    <col min="13839" max="13839" width="3.7265625" customWidth="1"/>
    <col min="13840" max="13840" width="12.453125" customWidth="1"/>
    <col min="13841" max="13853" width="6.7265625" customWidth="1"/>
    <col min="13854" max="13854" width="3.7265625" customWidth="1"/>
    <col min="13855" max="13855" width="12.453125" customWidth="1"/>
    <col min="13856" max="13868" width="6.7265625" customWidth="1"/>
    <col min="13869" max="13869" width="3.7265625" customWidth="1"/>
    <col min="13870" max="13870" width="12.453125" customWidth="1"/>
    <col min="13871" max="13883" width="6.7265625" customWidth="1"/>
    <col min="14081" max="14081" width="12.453125" customWidth="1"/>
    <col min="14083" max="14085" width="9.453125" bestFit="1" customWidth="1"/>
    <col min="14086" max="14094" width="6.7265625" customWidth="1"/>
    <col min="14095" max="14095" width="3.7265625" customWidth="1"/>
    <col min="14096" max="14096" width="12.453125" customWidth="1"/>
    <col min="14097" max="14109" width="6.7265625" customWidth="1"/>
    <col min="14110" max="14110" width="3.7265625" customWidth="1"/>
    <col min="14111" max="14111" width="12.453125" customWidth="1"/>
    <col min="14112" max="14124" width="6.7265625" customWidth="1"/>
    <col min="14125" max="14125" width="3.7265625" customWidth="1"/>
    <col min="14126" max="14126" width="12.453125" customWidth="1"/>
    <col min="14127" max="14139" width="6.7265625" customWidth="1"/>
    <col min="14337" max="14337" width="12.453125" customWidth="1"/>
    <col min="14339" max="14341" width="9.453125" bestFit="1" customWidth="1"/>
    <col min="14342" max="14350" width="6.7265625" customWidth="1"/>
    <col min="14351" max="14351" width="3.7265625" customWidth="1"/>
    <col min="14352" max="14352" width="12.453125" customWidth="1"/>
    <col min="14353" max="14365" width="6.7265625" customWidth="1"/>
    <col min="14366" max="14366" width="3.7265625" customWidth="1"/>
    <col min="14367" max="14367" width="12.453125" customWidth="1"/>
    <col min="14368" max="14380" width="6.7265625" customWidth="1"/>
    <col min="14381" max="14381" width="3.7265625" customWidth="1"/>
    <col min="14382" max="14382" width="12.453125" customWidth="1"/>
    <col min="14383" max="14395" width="6.7265625" customWidth="1"/>
    <col min="14593" max="14593" width="12.453125" customWidth="1"/>
    <col min="14595" max="14597" width="9.453125" bestFit="1" customWidth="1"/>
    <col min="14598" max="14606" width="6.7265625" customWidth="1"/>
    <col min="14607" max="14607" width="3.7265625" customWidth="1"/>
    <col min="14608" max="14608" width="12.453125" customWidth="1"/>
    <col min="14609" max="14621" width="6.7265625" customWidth="1"/>
    <col min="14622" max="14622" width="3.7265625" customWidth="1"/>
    <col min="14623" max="14623" width="12.453125" customWidth="1"/>
    <col min="14624" max="14636" width="6.7265625" customWidth="1"/>
    <col min="14637" max="14637" width="3.7265625" customWidth="1"/>
    <col min="14638" max="14638" width="12.453125" customWidth="1"/>
    <col min="14639" max="14651" width="6.7265625" customWidth="1"/>
    <col min="14849" max="14849" width="12.453125" customWidth="1"/>
    <col min="14851" max="14853" width="9.453125" bestFit="1" customWidth="1"/>
    <col min="14854" max="14862" width="6.7265625" customWidth="1"/>
    <col min="14863" max="14863" width="3.7265625" customWidth="1"/>
    <col min="14864" max="14864" width="12.453125" customWidth="1"/>
    <col min="14865" max="14877" width="6.7265625" customWidth="1"/>
    <col min="14878" max="14878" width="3.7265625" customWidth="1"/>
    <col min="14879" max="14879" width="12.453125" customWidth="1"/>
    <col min="14880" max="14892" width="6.7265625" customWidth="1"/>
    <col min="14893" max="14893" width="3.7265625" customWidth="1"/>
    <col min="14894" max="14894" width="12.453125" customWidth="1"/>
    <col min="14895" max="14907" width="6.7265625" customWidth="1"/>
    <col min="15105" max="15105" width="12.453125" customWidth="1"/>
    <col min="15107" max="15109" width="9.453125" bestFit="1" customWidth="1"/>
    <col min="15110" max="15118" width="6.7265625" customWidth="1"/>
    <col min="15119" max="15119" width="3.7265625" customWidth="1"/>
    <col min="15120" max="15120" width="12.453125" customWidth="1"/>
    <col min="15121" max="15133" width="6.7265625" customWidth="1"/>
    <col min="15134" max="15134" width="3.7265625" customWidth="1"/>
    <col min="15135" max="15135" width="12.453125" customWidth="1"/>
    <col min="15136" max="15148" width="6.7265625" customWidth="1"/>
    <col min="15149" max="15149" width="3.7265625" customWidth="1"/>
    <col min="15150" max="15150" width="12.453125" customWidth="1"/>
    <col min="15151" max="15163" width="6.7265625" customWidth="1"/>
    <col min="15361" max="15361" width="12.453125" customWidth="1"/>
    <col min="15363" max="15365" width="9.453125" bestFit="1" customWidth="1"/>
    <col min="15366" max="15374" width="6.7265625" customWidth="1"/>
    <col min="15375" max="15375" width="3.7265625" customWidth="1"/>
    <col min="15376" max="15376" width="12.453125" customWidth="1"/>
    <col min="15377" max="15389" width="6.7265625" customWidth="1"/>
    <col min="15390" max="15390" width="3.7265625" customWidth="1"/>
    <col min="15391" max="15391" width="12.453125" customWidth="1"/>
    <col min="15392" max="15404" width="6.7265625" customWidth="1"/>
    <col min="15405" max="15405" width="3.7265625" customWidth="1"/>
    <col min="15406" max="15406" width="12.453125" customWidth="1"/>
    <col min="15407" max="15419" width="6.7265625" customWidth="1"/>
    <col min="15617" max="15617" width="12.453125" customWidth="1"/>
    <col min="15619" max="15621" width="9.453125" bestFit="1" customWidth="1"/>
    <col min="15622" max="15630" width="6.7265625" customWidth="1"/>
    <col min="15631" max="15631" width="3.7265625" customWidth="1"/>
    <col min="15632" max="15632" width="12.453125" customWidth="1"/>
    <col min="15633" max="15645" width="6.7265625" customWidth="1"/>
    <col min="15646" max="15646" width="3.7265625" customWidth="1"/>
    <col min="15647" max="15647" width="12.453125" customWidth="1"/>
    <col min="15648" max="15660" width="6.7265625" customWidth="1"/>
    <col min="15661" max="15661" width="3.7265625" customWidth="1"/>
    <col min="15662" max="15662" width="12.453125" customWidth="1"/>
    <col min="15663" max="15675" width="6.7265625" customWidth="1"/>
    <col min="15873" max="15873" width="12.453125" customWidth="1"/>
    <col min="15875" max="15877" width="9.453125" bestFit="1" customWidth="1"/>
    <col min="15878" max="15886" width="6.7265625" customWidth="1"/>
    <col min="15887" max="15887" width="3.7265625" customWidth="1"/>
    <col min="15888" max="15888" width="12.453125" customWidth="1"/>
    <col min="15889" max="15901" width="6.7265625" customWidth="1"/>
    <col min="15902" max="15902" width="3.7265625" customWidth="1"/>
    <col min="15903" max="15903" width="12.453125" customWidth="1"/>
    <col min="15904" max="15916" width="6.7265625" customWidth="1"/>
    <col min="15917" max="15917" width="3.7265625" customWidth="1"/>
    <col min="15918" max="15918" width="12.453125" customWidth="1"/>
    <col min="15919" max="15931" width="6.7265625" customWidth="1"/>
    <col min="16129" max="16129" width="12.453125" customWidth="1"/>
    <col min="16131" max="16133" width="9.453125" bestFit="1" customWidth="1"/>
    <col min="16134" max="16142" width="6.7265625" customWidth="1"/>
    <col min="16143" max="16143" width="3.7265625" customWidth="1"/>
    <col min="16144" max="16144" width="12.453125" customWidth="1"/>
    <col min="16145" max="16157" width="6.7265625" customWidth="1"/>
    <col min="16158" max="16158" width="3.7265625" customWidth="1"/>
    <col min="16159" max="16159" width="12.453125" customWidth="1"/>
    <col min="16160" max="16172" width="6.7265625" customWidth="1"/>
    <col min="16173" max="16173" width="3.7265625" customWidth="1"/>
    <col min="16174" max="16174" width="12.453125" customWidth="1"/>
    <col min="16175" max="16187" width="6.7265625" customWidth="1"/>
  </cols>
  <sheetData>
    <row r="1" spans="1:59" ht="14.5">
      <c r="A1" s="340" t="s">
        <v>135</v>
      </c>
      <c r="B1" s="340"/>
      <c r="C1" s="340"/>
      <c r="D1" s="340"/>
      <c r="E1" s="340"/>
      <c r="F1" s="340"/>
      <c r="G1" s="340"/>
      <c r="H1" s="340"/>
      <c r="I1" s="340"/>
      <c r="J1" s="340"/>
      <c r="K1" s="178"/>
    </row>
    <row r="2" spans="1:59" ht="16" thickBot="1">
      <c r="A2" s="261" t="s">
        <v>136</v>
      </c>
      <c r="B2" s="6"/>
      <c r="C2" s="11"/>
      <c r="D2" s="6"/>
      <c r="E2" s="6"/>
      <c r="F2" s="6"/>
      <c r="G2" s="6"/>
      <c r="H2" s="6"/>
      <c r="I2" s="6"/>
      <c r="J2" s="177"/>
      <c r="K2" s="178"/>
    </row>
    <row r="3" spans="1:59" ht="16" thickBot="1">
      <c r="A3" s="325" t="s">
        <v>106</v>
      </c>
      <c r="B3" s="376" t="str">
        <f>'START HERE'!F6</f>
        <v>EU</v>
      </c>
      <c r="C3" s="387"/>
      <c r="D3" s="377"/>
      <c r="E3" s="177"/>
      <c r="F3" s="30" t="s">
        <v>38</v>
      </c>
      <c r="G3" s="373" t="str">
        <f>'LEN F1'!F3</f>
        <v>Fleet 1 Northern Chile</v>
      </c>
      <c r="H3" s="374"/>
      <c r="I3" s="375"/>
      <c r="J3" s="177"/>
      <c r="K3" s="178"/>
    </row>
    <row r="4" spans="1:59" ht="15.5">
      <c r="A4" s="12" t="s">
        <v>18</v>
      </c>
      <c r="B4" s="376" t="str">
        <f>'START HERE'!F5</f>
        <v>Jack mackerel</v>
      </c>
      <c r="C4" s="387"/>
      <c r="D4" s="377"/>
      <c r="E4" s="177"/>
      <c r="F4" s="326"/>
      <c r="G4" s="317"/>
      <c r="H4" s="318"/>
      <c r="I4" s="336"/>
      <c r="J4" s="177"/>
      <c r="K4" s="178"/>
    </row>
    <row r="5" spans="1:59" ht="18">
      <c r="A5" s="12" t="s">
        <v>13</v>
      </c>
      <c r="B5" s="388">
        <f>'START HERE'!$K$3</f>
        <v>2010</v>
      </c>
      <c r="C5" s="389"/>
      <c r="D5" s="390"/>
      <c r="E5" s="177"/>
      <c r="F5" s="12" t="s">
        <v>39</v>
      </c>
      <c r="G5" s="324" t="s">
        <v>137</v>
      </c>
      <c r="H5" s="334"/>
      <c r="I5" s="335"/>
      <c r="J5" s="177"/>
      <c r="K5" s="178"/>
    </row>
    <row r="6" spans="1:59" ht="16" thickBot="1">
      <c r="A6" s="12"/>
      <c r="B6" s="11"/>
      <c r="C6" s="103"/>
      <c r="D6" s="6"/>
      <c r="F6" s="12" t="s">
        <v>14</v>
      </c>
      <c r="G6" s="381">
        <f>'START HERE'!$F8</f>
        <v>43100</v>
      </c>
      <c r="H6" s="382"/>
      <c r="I6" s="383"/>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4"/>
      <c r="R9" s="404"/>
      <c r="S9" s="404"/>
      <c r="T9" s="404"/>
      <c r="U9" s="404"/>
      <c r="V9" s="404"/>
      <c r="W9" s="404"/>
      <c r="X9" s="404"/>
      <c r="Y9" s="404"/>
      <c r="Z9" s="404"/>
      <c r="AA9" s="404"/>
      <c r="AB9" s="404"/>
      <c r="AC9" s="404"/>
      <c r="AE9" s="2"/>
      <c r="AF9" s="404"/>
      <c r="AG9" s="404"/>
      <c r="AH9" s="404"/>
      <c r="AI9" s="404"/>
      <c r="AJ9" s="404"/>
      <c r="AK9" s="404"/>
      <c r="AL9" s="404"/>
      <c r="AM9" s="404"/>
      <c r="AN9" s="404"/>
      <c r="AO9" s="404"/>
      <c r="AP9" s="404"/>
      <c r="AQ9" s="404"/>
      <c r="AR9" s="404"/>
      <c r="AT9" s="2"/>
      <c r="AU9" s="404"/>
      <c r="AV9" s="404"/>
      <c r="AW9" s="404"/>
      <c r="AX9" s="404"/>
      <c r="AY9" s="404"/>
      <c r="AZ9" s="404"/>
      <c r="BA9" s="404"/>
      <c r="BB9" s="404"/>
      <c r="BC9" s="404"/>
      <c r="BD9" s="404"/>
      <c r="BE9" s="404"/>
      <c r="BF9" s="404"/>
      <c r="BG9" s="404"/>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1640625" defaultRowHeight="12.5"/>
  <cols>
    <col min="1" max="1" width="12.453125" customWidth="1"/>
    <col min="2" max="5" width="11" customWidth="1"/>
    <col min="6" max="6" width="6.7265625" customWidth="1"/>
    <col min="7" max="9" width="10.1796875" customWidth="1"/>
    <col min="10" max="14" width="6.7265625" customWidth="1"/>
    <col min="15" max="15" width="9.4531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 min="257" max="257" width="12.453125" customWidth="1"/>
    <col min="259" max="261" width="9.453125" bestFit="1" customWidth="1"/>
    <col min="262" max="270" width="6.7265625" customWidth="1"/>
    <col min="271" max="271" width="3.7265625" customWidth="1"/>
    <col min="272" max="272" width="12.453125" customWidth="1"/>
    <col min="273" max="285" width="6.7265625" customWidth="1"/>
    <col min="286" max="286" width="3.7265625" customWidth="1"/>
    <col min="287" max="287" width="12.453125" customWidth="1"/>
    <col min="288" max="300" width="6.7265625" customWidth="1"/>
    <col min="301" max="301" width="3.7265625" customWidth="1"/>
    <col min="302" max="302" width="12.453125" customWidth="1"/>
    <col min="303" max="315" width="6.7265625" customWidth="1"/>
    <col min="513" max="513" width="12.453125" customWidth="1"/>
    <col min="515" max="517" width="9.453125" bestFit="1" customWidth="1"/>
    <col min="518" max="526" width="6.7265625" customWidth="1"/>
    <col min="527" max="527" width="3.7265625" customWidth="1"/>
    <col min="528" max="528" width="12.453125" customWidth="1"/>
    <col min="529" max="541" width="6.7265625" customWidth="1"/>
    <col min="542" max="542" width="3.7265625" customWidth="1"/>
    <col min="543" max="543" width="12.453125" customWidth="1"/>
    <col min="544" max="556" width="6.7265625" customWidth="1"/>
    <col min="557" max="557" width="3.7265625" customWidth="1"/>
    <col min="558" max="558" width="12.453125" customWidth="1"/>
    <col min="559" max="571" width="6.7265625" customWidth="1"/>
    <col min="769" max="769" width="12.453125" customWidth="1"/>
    <col min="771" max="773" width="9.453125" bestFit="1" customWidth="1"/>
    <col min="774" max="782" width="6.7265625" customWidth="1"/>
    <col min="783" max="783" width="3.7265625" customWidth="1"/>
    <col min="784" max="784" width="12.453125" customWidth="1"/>
    <col min="785" max="797" width="6.7265625" customWidth="1"/>
    <col min="798" max="798" width="3.7265625" customWidth="1"/>
    <col min="799" max="799" width="12.453125" customWidth="1"/>
    <col min="800" max="812" width="6.7265625" customWidth="1"/>
    <col min="813" max="813" width="3.7265625" customWidth="1"/>
    <col min="814" max="814" width="12.453125" customWidth="1"/>
    <col min="815" max="827" width="6.7265625" customWidth="1"/>
    <col min="1025" max="1025" width="12.453125" customWidth="1"/>
    <col min="1027" max="1029" width="9.453125" bestFit="1" customWidth="1"/>
    <col min="1030" max="1038" width="6.7265625" customWidth="1"/>
    <col min="1039" max="1039" width="3.7265625" customWidth="1"/>
    <col min="1040" max="1040" width="12.453125" customWidth="1"/>
    <col min="1041" max="1053" width="6.7265625" customWidth="1"/>
    <col min="1054" max="1054" width="3.7265625" customWidth="1"/>
    <col min="1055" max="1055" width="12.453125" customWidth="1"/>
    <col min="1056" max="1068" width="6.7265625" customWidth="1"/>
    <col min="1069" max="1069" width="3.7265625" customWidth="1"/>
    <col min="1070" max="1070" width="12.453125" customWidth="1"/>
    <col min="1071" max="1083" width="6.7265625" customWidth="1"/>
    <col min="1281" max="1281" width="12.453125" customWidth="1"/>
    <col min="1283" max="1285" width="9.453125" bestFit="1" customWidth="1"/>
    <col min="1286" max="1294" width="6.7265625" customWidth="1"/>
    <col min="1295" max="1295" width="3.7265625" customWidth="1"/>
    <col min="1296" max="1296" width="12.453125" customWidth="1"/>
    <col min="1297" max="1309" width="6.7265625" customWidth="1"/>
    <col min="1310" max="1310" width="3.7265625" customWidth="1"/>
    <col min="1311" max="1311" width="12.453125" customWidth="1"/>
    <col min="1312" max="1324" width="6.7265625" customWidth="1"/>
    <col min="1325" max="1325" width="3.7265625" customWidth="1"/>
    <col min="1326" max="1326" width="12.453125" customWidth="1"/>
    <col min="1327" max="1339" width="6.7265625" customWidth="1"/>
    <col min="1537" max="1537" width="12.453125" customWidth="1"/>
    <col min="1539" max="1541" width="9.453125" bestFit="1" customWidth="1"/>
    <col min="1542" max="1550" width="6.7265625" customWidth="1"/>
    <col min="1551" max="1551" width="3.7265625" customWidth="1"/>
    <col min="1552" max="1552" width="12.453125" customWidth="1"/>
    <col min="1553" max="1565" width="6.7265625" customWidth="1"/>
    <col min="1566" max="1566" width="3.7265625" customWidth="1"/>
    <col min="1567" max="1567" width="12.453125" customWidth="1"/>
    <col min="1568" max="1580" width="6.7265625" customWidth="1"/>
    <col min="1581" max="1581" width="3.7265625" customWidth="1"/>
    <col min="1582" max="1582" width="12.453125" customWidth="1"/>
    <col min="1583" max="1595" width="6.7265625" customWidth="1"/>
    <col min="1793" max="1793" width="12.453125" customWidth="1"/>
    <col min="1795" max="1797" width="9.453125" bestFit="1" customWidth="1"/>
    <col min="1798" max="1806" width="6.7265625" customWidth="1"/>
    <col min="1807" max="1807" width="3.7265625" customWidth="1"/>
    <col min="1808" max="1808" width="12.453125" customWidth="1"/>
    <col min="1809" max="1821" width="6.7265625" customWidth="1"/>
    <col min="1822" max="1822" width="3.7265625" customWidth="1"/>
    <col min="1823" max="1823" width="12.453125" customWidth="1"/>
    <col min="1824" max="1836" width="6.7265625" customWidth="1"/>
    <col min="1837" max="1837" width="3.7265625" customWidth="1"/>
    <col min="1838" max="1838" width="12.453125" customWidth="1"/>
    <col min="1839" max="1851" width="6.7265625" customWidth="1"/>
    <col min="2049" max="2049" width="12.453125" customWidth="1"/>
    <col min="2051" max="2053" width="9.453125" bestFit="1" customWidth="1"/>
    <col min="2054" max="2062" width="6.7265625" customWidth="1"/>
    <col min="2063" max="2063" width="3.7265625" customWidth="1"/>
    <col min="2064" max="2064" width="12.453125" customWidth="1"/>
    <col min="2065" max="2077" width="6.7265625" customWidth="1"/>
    <col min="2078" max="2078" width="3.7265625" customWidth="1"/>
    <col min="2079" max="2079" width="12.453125" customWidth="1"/>
    <col min="2080" max="2092" width="6.7265625" customWidth="1"/>
    <col min="2093" max="2093" width="3.7265625" customWidth="1"/>
    <col min="2094" max="2094" width="12.453125" customWidth="1"/>
    <col min="2095" max="2107" width="6.7265625" customWidth="1"/>
    <col min="2305" max="2305" width="12.453125" customWidth="1"/>
    <col min="2307" max="2309" width="9.453125" bestFit="1" customWidth="1"/>
    <col min="2310" max="2318" width="6.7265625" customWidth="1"/>
    <col min="2319" max="2319" width="3.7265625" customWidth="1"/>
    <col min="2320" max="2320" width="12.453125" customWidth="1"/>
    <col min="2321" max="2333" width="6.7265625" customWidth="1"/>
    <col min="2334" max="2334" width="3.7265625" customWidth="1"/>
    <col min="2335" max="2335" width="12.453125" customWidth="1"/>
    <col min="2336" max="2348" width="6.7265625" customWidth="1"/>
    <col min="2349" max="2349" width="3.7265625" customWidth="1"/>
    <col min="2350" max="2350" width="12.453125" customWidth="1"/>
    <col min="2351" max="2363" width="6.7265625" customWidth="1"/>
    <col min="2561" max="2561" width="12.453125" customWidth="1"/>
    <col min="2563" max="2565" width="9.453125" bestFit="1" customWidth="1"/>
    <col min="2566" max="2574" width="6.7265625" customWidth="1"/>
    <col min="2575" max="2575" width="3.7265625" customWidth="1"/>
    <col min="2576" max="2576" width="12.453125" customWidth="1"/>
    <col min="2577" max="2589" width="6.7265625" customWidth="1"/>
    <col min="2590" max="2590" width="3.7265625" customWidth="1"/>
    <col min="2591" max="2591" width="12.453125" customWidth="1"/>
    <col min="2592" max="2604" width="6.7265625" customWidth="1"/>
    <col min="2605" max="2605" width="3.7265625" customWidth="1"/>
    <col min="2606" max="2606" width="12.453125" customWidth="1"/>
    <col min="2607" max="2619" width="6.7265625" customWidth="1"/>
    <col min="2817" max="2817" width="12.453125" customWidth="1"/>
    <col min="2819" max="2821" width="9.453125" bestFit="1" customWidth="1"/>
    <col min="2822" max="2830" width="6.7265625" customWidth="1"/>
    <col min="2831" max="2831" width="3.7265625" customWidth="1"/>
    <col min="2832" max="2832" width="12.453125" customWidth="1"/>
    <col min="2833" max="2845" width="6.7265625" customWidth="1"/>
    <col min="2846" max="2846" width="3.7265625" customWidth="1"/>
    <col min="2847" max="2847" width="12.453125" customWidth="1"/>
    <col min="2848" max="2860" width="6.7265625" customWidth="1"/>
    <col min="2861" max="2861" width="3.7265625" customWidth="1"/>
    <col min="2862" max="2862" width="12.453125" customWidth="1"/>
    <col min="2863" max="2875" width="6.7265625" customWidth="1"/>
    <col min="3073" max="3073" width="12.453125" customWidth="1"/>
    <col min="3075" max="3077" width="9.453125" bestFit="1" customWidth="1"/>
    <col min="3078" max="3086" width="6.7265625" customWidth="1"/>
    <col min="3087" max="3087" width="3.7265625" customWidth="1"/>
    <col min="3088" max="3088" width="12.453125" customWidth="1"/>
    <col min="3089" max="3101" width="6.7265625" customWidth="1"/>
    <col min="3102" max="3102" width="3.7265625" customWidth="1"/>
    <col min="3103" max="3103" width="12.453125" customWidth="1"/>
    <col min="3104" max="3116" width="6.7265625" customWidth="1"/>
    <col min="3117" max="3117" width="3.7265625" customWidth="1"/>
    <col min="3118" max="3118" width="12.453125" customWidth="1"/>
    <col min="3119" max="3131" width="6.7265625" customWidth="1"/>
    <col min="3329" max="3329" width="12.453125" customWidth="1"/>
    <col min="3331" max="3333" width="9.453125" bestFit="1" customWidth="1"/>
    <col min="3334" max="3342" width="6.7265625" customWidth="1"/>
    <col min="3343" max="3343" width="3.7265625" customWidth="1"/>
    <col min="3344" max="3344" width="12.453125" customWidth="1"/>
    <col min="3345" max="3357" width="6.7265625" customWidth="1"/>
    <col min="3358" max="3358" width="3.7265625" customWidth="1"/>
    <col min="3359" max="3359" width="12.453125" customWidth="1"/>
    <col min="3360" max="3372" width="6.7265625" customWidth="1"/>
    <col min="3373" max="3373" width="3.7265625" customWidth="1"/>
    <col min="3374" max="3374" width="12.453125" customWidth="1"/>
    <col min="3375" max="3387" width="6.7265625" customWidth="1"/>
    <col min="3585" max="3585" width="12.453125" customWidth="1"/>
    <col min="3587" max="3589" width="9.453125" bestFit="1" customWidth="1"/>
    <col min="3590" max="3598" width="6.7265625" customWidth="1"/>
    <col min="3599" max="3599" width="3.7265625" customWidth="1"/>
    <col min="3600" max="3600" width="12.453125" customWidth="1"/>
    <col min="3601" max="3613" width="6.7265625" customWidth="1"/>
    <col min="3614" max="3614" width="3.7265625" customWidth="1"/>
    <col min="3615" max="3615" width="12.453125" customWidth="1"/>
    <col min="3616" max="3628" width="6.7265625" customWidth="1"/>
    <col min="3629" max="3629" width="3.7265625" customWidth="1"/>
    <col min="3630" max="3630" width="12.453125" customWidth="1"/>
    <col min="3631" max="3643" width="6.7265625" customWidth="1"/>
    <col min="3841" max="3841" width="12.453125" customWidth="1"/>
    <col min="3843" max="3845" width="9.453125" bestFit="1" customWidth="1"/>
    <col min="3846" max="3854" width="6.7265625" customWidth="1"/>
    <col min="3855" max="3855" width="3.7265625" customWidth="1"/>
    <col min="3856" max="3856" width="12.453125" customWidth="1"/>
    <col min="3857" max="3869" width="6.7265625" customWidth="1"/>
    <col min="3870" max="3870" width="3.7265625" customWidth="1"/>
    <col min="3871" max="3871" width="12.453125" customWidth="1"/>
    <col min="3872" max="3884" width="6.7265625" customWidth="1"/>
    <col min="3885" max="3885" width="3.7265625" customWidth="1"/>
    <col min="3886" max="3886" width="12.453125" customWidth="1"/>
    <col min="3887" max="3899" width="6.7265625" customWidth="1"/>
    <col min="4097" max="4097" width="12.453125" customWidth="1"/>
    <col min="4099" max="4101" width="9.453125" bestFit="1" customWidth="1"/>
    <col min="4102" max="4110" width="6.7265625" customWidth="1"/>
    <col min="4111" max="4111" width="3.7265625" customWidth="1"/>
    <col min="4112" max="4112" width="12.453125" customWidth="1"/>
    <col min="4113" max="4125" width="6.7265625" customWidth="1"/>
    <col min="4126" max="4126" width="3.7265625" customWidth="1"/>
    <col min="4127" max="4127" width="12.453125" customWidth="1"/>
    <col min="4128" max="4140" width="6.7265625" customWidth="1"/>
    <col min="4141" max="4141" width="3.7265625" customWidth="1"/>
    <col min="4142" max="4142" width="12.453125" customWidth="1"/>
    <col min="4143" max="4155" width="6.7265625" customWidth="1"/>
    <col min="4353" max="4353" width="12.453125" customWidth="1"/>
    <col min="4355" max="4357" width="9.453125" bestFit="1" customWidth="1"/>
    <col min="4358" max="4366" width="6.7265625" customWidth="1"/>
    <col min="4367" max="4367" width="3.7265625" customWidth="1"/>
    <col min="4368" max="4368" width="12.453125" customWidth="1"/>
    <col min="4369" max="4381" width="6.7265625" customWidth="1"/>
    <col min="4382" max="4382" width="3.7265625" customWidth="1"/>
    <col min="4383" max="4383" width="12.453125" customWidth="1"/>
    <col min="4384" max="4396" width="6.7265625" customWidth="1"/>
    <col min="4397" max="4397" width="3.7265625" customWidth="1"/>
    <col min="4398" max="4398" width="12.453125" customWidth="1"/>
    <col min="4399" max="4411" width="6.7265625" customWidth="1"/>
    <col min="4609" max="4609" width="12.453125" customWidth="1"/>
    <col min="4611" max="4613" width="9.453125" bestFit="1" customWidth="1"/>
    <col min="4614" max="4622" width="6.7265625" customWidth="1"/>
    <col min="4623" max="4623" width="3.7265625" customWidth="1"/>
    <col min="4624" max="4624" width="12.453125" customWidth="1"/>
    <col min="4625" max="4637" width="6.7265625" customWidth="1"/>
    <col min="4638" max="4638" width="3.7265625" customWidth="1"/>
    <col min="4639" max="4639" width="12.453125" customWidth="1"/>
    <col min="4640" max="4652" width="6.7265625" customWidth="1"/>
    <col min="4653" max="4653" width="3.7265625" customWidth="1"/>
    <col min="4654" max="4654" width="12.453125" customWidth="1"/>
    <col min="4655" max="4667" width="6.7265625" customWidth="1"/>
    <col min="4865" max="4865" width="12.453125" customWidth="1"/>
    <col min="4867" max="4869" width="9.453125" bestFit="1" customWidth="1"/>
    <col min="4870" max="4878" width="6.7265625" customWidth="1"/>
    <col min="4879" max="4879" width="3.7265625" customWidth="1"/>
    <col min="4880" max="4880" width="12.453125" customWidth="1"/>
    <col min="4881" max="4893" width="6.7265625" customWidth="1"/>
    <col min="4894" max="4894" width="3.7265625" customWidth="1"/>
    <col min="4895" max="4895" width="12.453125" customWidth="1"/>
    <col min="4896" max="4908" width="6.7265625" customWidth="1"/>
    <col min="4909" max="4909" width="3.7265625" customWidth="1"/>
    <col min="4910" max="4910" width="12.453125" customWidth="1"/>
    <col min="4911" max="4923" width="6.7265625" customWidth="1"/>
    <col min="5121" max="5121" width="12.453125" customWidth="1"/>
    <col min="5123" max="5125" width="9.453125" bestFit="1" customWidth="1"/>
    <col min="5126" max="5134" width="6.7265625" customWidth="1"/>
    <col min="5135" max="5135" width="3.7265625" customWidth="1"/>
    <col min="5136" max="5136" width="12.453125" customWidth="1"/>
    <col min="5137" max="5149" width="6.7265625" customWidth="1"/>
    <col min="5150" max="5150" width="3.7265625" customWidth="1"/>
    <col min="5151" max="5151" width="12.453125" customWidth="1"/>
    <col min="5152" max="5164" width="6.7265625" customWidth="1"/>
    <col min="5165" max="5165" width="3.7265625" customWidth="1"/>
    <col min="5166" max="5166" width="12.453125" customWidth="1"/>
    <col min="5167" max="5179" width="6.7265625" customWidth="1"/>
    <col min="5377" max="5377" width="12.453125" customWidth="1"/>
    <col min="5379" max="5381" width="9.453125" bestFit="1" customWidth="1"/>
    <col min="5382" max="5390" width="6.7265625" customWidth="1"/>
    <col min="5391" max="5391" width="3.7265625" customWidth="1"/>
    <col min="5392" max="5392" width="12.453125" customWidth="1"/>
    <col min="5393" max="5405" width="6.7265625" customWidth="1"/>
    <col min="5406" max="5406" width="3.7265625" customWidth="1"/>
    <col min="5407" max="5407" width="12.453125" customWidth="1"/>
    <col min="5408" max="5420" width="6.7265625" customWidth="1"/>
    <col min="5421" max="5421" width="3.7265625" customWidth="1"/>
    <col min="5422" max="5422" width="12.453125" customWidth="1"/>
    <col min="5423" max="5435" width="6.7265625" customWidth="1"/>
    <col min="5633" max="5633" width="12.453125" customWidth="1"/>
    <col min="5635" max="5637" width="9.453125" bestFit="1" customWidth="1"/>
    <col min="5638" max="5646" width="6.7265625" customWidth="1"/>
    <col min="5647" max="5647" width="3.7265625" customWidth="1"/>
    <col min="5648" max="5648" width="12.453125" customWidth="1"/>
    <col min="5649" max="5661" width="6.7265625" customWidth="1"/>
    <col min="5662" max="5662" width="3.7265625" customWidth="1"/>
    <col min="5663" max="5663" width="12.453125" customWidth="1"/>
    <col min="5664" max="5676" width="6.7265625" customWidth="1"/>
    <col min="5677" max="5677" width="3.7265625" customWidth="1"/>
    <col min="5678" max="5678" width="12.453125" customWidth="1"/>
    <col min="5679" max="5691" width="6.7265625" customWidth="1"/>
    <col min="5889" max="5889" width="12.453125" customWidth="1"/>
    <col min="5891" max="5893" width="9.453125" bestFit="1" customWidth="1"/>
    <col min="5894" max="5902" width="6.7265625" customWidth="1"/>
    <col min="5903" max="5903" width="3.7265625" customWidth="1"/>
    <col min="5904" max="5904" width="12.453125" customWidth="1"/>
    <col min="5905" max="5917" width="6.7265625" customWidth="1"/>
    <col min="5918" max="5918" width="3.7265625" customWidth="1"/>
    <col min="5919" max="5919" width="12.453125" customWidth="1"/>
    <col min="5920" max="5932" width="6.7265625" customWidth="1"/>
    <col min="5933" max="5933" width="3.7265625" customWidth="1"/>
    <col min="5934" max="5934" width="12.453125" customWidth="1"/>
    <col min="5935" max="5947" width="6.7265625" customWidth="1"/>
    <col min="6145" max="6145" width="12.453125" customWidth="1"/>
    <col min="6147" max="6149" width="9.453125" bestFit="1" customWidth="1"/>
    <col min="6150" max="6158" width="6.7265625" customWidth="1"/>
    <col min="6159" max="6159" width="3.7265625" customWidth="1"/>
    <col min="6160" max="6160" width="12.453125" customWidth="1"/>
    <col min="6161" max="6173" width="6.7265625" customWidth="1"/>
    <col min="6174" max="6174" width="3.7265625" customWidth="1"/>
    <col min="6175" max="6175" width="12.453125" customWidth="1"/>
    <col min="6176" max="6188" width="6.7265625" customWidth="1"/>
    <col min="6189" max="6189" width="3.7265625" customWidth="1"/>
    <col min="6190" max="6190" width="12.453125" customWidth="1"/>
    <col min="6191" max="6203" width="6.7265625" customWidth="1"/>
    <col min="6401" max="6401" width="12.453125" customWidth="1"/>
    <col min="6403" max="6405" width="9.453125" bestFit="1" customWidth="1"/>
    <col min="6406" max="6414" width="6.7265625" customWidth="1"/>
    <col min="6415" max="6415" width="3.7265625" customWidth="1"/>
    <col min="6416" max="6416" width="12.453125" customWidth="1"/>
    <col min="6417" max="6429" width="6.7265625" customWidth="1"/>
    <col min="6430" max="6430" width="3.7265625" customWidth="1"/>
    <col min="6431" max="6431" width="12.453125" customWidth="1"/>
    <col min="6432" max="6444" width="6.7265625" customWidth="1"/>
    <col min="6445" max="6445" width="3.7265625" customWidth="1"/>
    <col min="6446" max="6446" width="12.453125" customWidth="1"/>
    <col min="6447" max="6459" width="6.7265625" customWidth="1"/>
    <col min="6657" max="6657" width="12.453125" customWidth="1"/>
    <col min="6659" max="6661" width="9.453125" bestFit="1" customWidth="1"/>
    <col min="6662" max="6670" width="6.7265625" customWidth="1"/>
    <col min="6671" max="6671" width="3.7265625" customWidth="1"/>
    <col min="6672" max="6672" width="12.453125" customWidth="1"/>
    <col min="6673" max="6685" width="6.7265625" customWidth="1"/>
    <col min="6686" max="6686" width="3.7265625" customWidth="1"/>
    <col min="6687" max="6687" width="12.453125" customWidth="1"/>
    <col min="6688" max="6700" width="6.7265625" customWidth="1"/>
    <col min="6701" max="6701" width="3.7265625" customWidth="1"/>
    <col min="6702" max="6702" width="12.453125" customWidth="1"/>
    <col min="6703" max="6715" width="6.7265625" customWidth="1"/>
    <col min="6913" max="6913" width="12.453125" customWidth="1"/>
    <col min="6915" max="6917" width="9.453125" bestFit="1" customWidth="1"/>
    <col min="6918" max="6926" width="6.7265625" customWidth="1"/>
    <col min="6927" max="6927" width="3.7265625" customWidth="1"/>
    <col min="6928" max="6928" width="12.453125" customWidth="1"/>
    <col min="6929" max="6941" width="6.7265625" customWidth="1"/>
    <col min="6942" max="6942" width="3.7265625" customWidth="1"/>
    <col min="6943" max="6943" width="12.453125" customWidth="1"/>
    <col min="6944" max="6956" width="6.7265625" customWidth="1"/>
    <col min="6957" max="6957" width="3.7265625" customWidth="1"/>
    <col min="6958" max="6958" width="12.453125" customWidth="1"/>
    <col min="6959" max="6971" width="6.7265625" customWidth="1"/>
    <col min="7169" max="7169" width="12.453125" customWidth="1"/>
    <col min="7171" max="7173" width="9.453125" bestFit="1" customWidth="1"/>
    <col min="7174" max="7182" width="6.7265625" customWidth="1"/>
    <col min="7183" max="7183" width="3.7265625" customWidth="1"/>
    <col min="7184" max="7184" width="12.453125" customWidth="1"/>
    <col min="7185" max="7197" width="6.7265625" customWidth="1"/>
    <col min="7198" max="7198" width="3.7265625" customWidth="1"/>
    <col min="7199" max="7199" width="12.453125" customWidth="1"/>
    <col min="7200" max="7212" width="6.7265625" customWidth="1"/>
    <col min="7213" max="7213" width="3.7265625" customWidth="1"/>
    <col min="7214" max="7214" width="12.453125" customWidth="1"/>
    <col min="7215" max="7227" width="6.7265625" customWidth="1"/>
    <col min="7425" max="7425" width="12.453125" customWidth="1"/>
    <col min="7427" max="7429" width="9.453125" bestFit="1" customWidth="1"/>
    <col min="7430" max="7438" width="6.7265625" customWidth="1"/>
    <col min="7439" max="7439" width="3.7265625" customWidth="1"/>
    <col min="7440" max="7440" width="12.453125" customWidth="1"/>
    <col min="7441" max="7453" width="6.7265625" customWidth="1"/>
    <col min="7454" max="7454" width="3.7265625" customWidth="1"/>
    <col min="7455" max="7455" width="12.453125" customWidth="1"/>
    <col min="7456" max="7468" width="6.7265625" customWidth="1"/>
    <col min="7469" max="7469" width="3.7265625" customWidth="1"/>
    <col min="7470" max="7470" width="12.453125" customWidth="1"/>
    <col min="7471" max="7483" width="6.7265625" customWidth="1"/>
    <col min="7681" max="7681" width="12.453125" customWidth="1"/>
    <col min="7683" max="7685" width="9.453125" bestFit="1" customWidth="1"/>
    <col min="7686" max="7694" width="6.7265625" customWidth="1"/>
    <col min="7695" max="7695" width="3.7265625" customWidth="1"/>
    <col min="7696" max="7696" width="12.453125" customWidth="1"/>
    <col min="7697" max="7709" width="6.7265625" customWidth="1"/>
    <col min="7710" max="7710" width="3.7265625" customWidth="1"/>
    <col min="7711" max="7711" width="12.453125" customWidth="1"/>
    <col min="7712" max="7724" width="6.7265625" customWidth="1"/>
    <col min="7725" max="7725" width="3.7265625" customWidth="1"/>
    <col min="7726" max="7726" width="12.453125" customWidth="1"/>
    <col min="7727" max="7739" width="6.7265625" customWidth="1"/>
    <col min="7937" max="7937" width="12.453125" customWidth="1"/>
    <col min="7939" max="7941" width="9.453125" bestFit="1" customWidth="1"/>
    <col min="7942" max="7950" width="6.7265625" customWidth="1"/>
    <col min="7951" max="7951" width="3.7265625" customWidth="1"/>
    <col min="7952" max="7952" width="12.453125" customWidth="1"/>
    <col min="7953" max="7965" width="6.7265625" customWidth="1"/>
    <col min="7966" max="7966" width="3.7265625" customWidth="1"/>
    <col min="7967" max="7967" width="12.453125" customWidth="1"/>
    <col min="7968" max="7980" width="6.7265625" customWidth="1"/>
    <col min="7981" max="7981" width="3.7265625" customWidth="1"/>
    <col min="7982" max="7982" width="12.453125" customWidth="1"/>
    <col min="7983" max="7995" width="6.7265625" customWidth="1"/>
    <col min="8193" max="8193" width="12.453125" customWidth="1"/>
    <col min="8195" max="8197" width="9.453125" bestFit="1" customWidth="1"/>
    <col min="8198" max="8206" width="6.7265625" customWidth="1"/>
    <col min="8207" max="8207" width="3.7265625" customWidth="1"/>
    <col min="8208" max="8208" width="12.453125" customWidth="1"/>
    <col min="8209" max="8221" width="6.7265625" customWidth="1"/>
    <col min="8222" max="8222" width="3.7265625" customWidth="1"/>
    <col min="8223" max="8223" width="12.453125" customWidth="1"/>
    <col min="8224" max="8236" width="6.7265625" customWidth="1"/>
    <col min="8237" max="8237" width="3.7265625" customWidth="1"/>
    <col min="8238" max="8238" width="12.453125" customWidth="1"/>
    <col min="8239" max="8251" width="6.7265625" customWidth="1"/>
    <col min="8449" max="8449" width="12.453125" customWidth="1"/>
    <col min="8451" max="8453" width="9.453125" bestFit="1" customWidth="1"/>
    <col min="8454" max="8462" width="6.7265625" customWidth="1"/>
    <col min="8463" max="8463" width="3.7265625" customWidth="1"/>
    <col min="8464" max="8464" width="12.453125" customWidth="1"/>
    <col min="8465" max="8477" width="6.7265625" customWidth="1"/>
    <col min="8478" max="8478" width="3.7265625" customWidth="1"/>
    <col min="8479" max="8479" width="12.453125" customWidth="1"/>
    <col min="8480" max="8492" width="6.7265625" customWidth="1"/>
    <col min="8493" max="8493" width="3.7265625" customWidth="1"/>
    <col min="8494" max="8494" width="12.453125" customWidth="1"/>
    <col min="8495" max="8507" width="6.7265625" customWidth="1"/>
    <col min="8705" max="8705" width="12.453125" customWidth="1"/>
    <col min="8707" max="8709" width="9.453125" bestFit="1" customWidth="1"/>
    <col min="8710" max="8718" width="6.7265625" customWidth="1"/>
    <col min="8719" max="8719" width="3.7265625" customWidth="1"/>
    <col min="8720" max="8720" width="12.453125" customWidth="1"/>
    <col min="8721" max="8733" width="6.7265625" customWidth="1"/>
    <col min="8734" max="8734" width="3.7265625" customWidth="1"/>
    <col min="8735" max="8735" width="12.453125" customWidth="1"/>
    <col min="8736" max="8748" width="6.7265625" customWidth="1"/>
    <col min="8749" max="8749" width="3.7265625" customWidth="1"/>
    <col min="8750" max="8750" width="12.453125" customWidth="1"/>
    <col min="8751" max="8763" width="6.7265625" customWidth="1"/>
    <col min="8961" max="8961" width="12.453125" customWidth="1"/>
    <col min="8963" max="8965" width="9.453125" bestFit="1" customWidth="1"/>
    <col min="8966" max="8974" width="6.7265625" customWidth="1"/>
    <col min="8975" max="8975" width="3.7265625" customWidth="1"/>
    <col min="8976" max="8976" width="12.453125" customWidth="1"/>
    <col min="8977" max="8989" width="6.7265625" customWidth="1"/>
    <col min="8990" max="8990" width="3.7265625" customWidth="1"/>
    <col min="8991" max="8991" width="12.453125" customWidth="1"/>
    <col min="8992" max="9004" width="6.7265625" customWidth="1"/>
    <col min="9005" max="9005" width="3.7265625" customWidth="1"/>
    <col min="9006" max="9006" width="12.453125" customWidth="1"/>
    <col min="9007" max="9019" width="6.7265625" customWidth="1"/>
    <col min="9217" max="9217" width="12.453125" customWidth="1"/>
    <col min="9219" max="9221" width="9.453125" bestFit="1" customWidth="1"/>
    <col min="9222" max="9230" width="6.7265625" customWidth="1"/>
    <col min="9231" max="9231" width="3.7265625" customWidth="1"/>
    <col min="9232" max="9232" width="12.453125" customWidth="1"/>
    <col min="9233" max="9245" width="6.7265625" customWidth="1"/>
    <col min="9246" max="9246" width="3.7265625" customWidth="1"/>
    <col min="9247" max="9247" width="12.453125" customWidth="1"/>
    <col min="9248" max="9260" width="6.7265625" customWidth="1"/>
    <col min="9261" max="9261" width="3.7265625" customWidth="1"/>
    <col min="9262" max="9262" width="12.453125" customWidth="1"/>
    <col min="9263" max="9275" width="6.7265625" customWidth="1"/>
    <col min="9473" max="9473" width="12.453125" customWidth="1"/>
    <col min="9475" max="9477" width="9.453125" bestFit="1" customWidth="1"/>
    <col min="9478" max="9486" width="6.7265625" customWidth="1"/>
    <col min="9487" max="9487" width="3.7265625" customWidth="1"/>
    <col min="9488" max="9488" width="12.453125" customWidth="1"/>
    <col min="9489" max="9501" width="6.7265625" customWidth="1"/>
    <col min="9502" max="9502" width="3.7265625" customWidth="1"/>
    <col min="9503" max="9503" width="12.453125" customWidth="1"/>
    <col min="9504" max="9516" width="6.7265625" customWidth="1"/>
    <col min="9517" max="9517" width="3.7265625" customWidth="1"/>
    <col min="9518" max="9518" width="12.453125" customWidth="1"/>
    <col min="9519" max="9531" width="6.7265625" customWidth="1"/>
    <col min="9729" max="9729" width="12.453125" customWidth="1"/>
    <col min="9731" max="9733" width="9.453125" bestFit="1" customWidth="1"/>
    <col min="9734" max="9742" width="6.7265625" customWidth="1"/>
    <col min="9743" max="9743" width="3.7265625" customWidth="1"/>
    <col min="9744" max="9744" width="12.453125" customWidth="1"/>
    <col min="9745" max="9757" width="6.7265625" customWidth="1"/>
    <col min="9758" max="9758" width="3.7265625" customWidth="1"/>
    <col min="9759" max="9759" width="12.453125" customWidth="1"/>
    <col min="9760" max="9772" width="6.7265625" customWidth="1"/>
    <col min="9773" max="9773" width="3.7265625" customWidth="1"/>
    <col min="9774" max="9774" width="12.453125" customWidth="1"/>
    <col min="9775" max="9787" width="6.7265625" customWidth="1"/>
    <col min="9985" max="9985" width="12.453125" customWidth="1"/>
    <col min="9987" max="9989" width="9.453125" bestFit="1" customWidth="1"/>
    <col min="9990" max="9998" width="6.7265625" customWidth="1"/>
    <col min="9999" max="9999" width="3.7265625" customWidth="1"/>
    <col min="10000" max="10000" width="12.453125" customWidth="1"/>
    <col min="10001" max="10013" width="6.7265625" customWidth="1"/>
    <col min="10014" max="10014" width="3.7265625" customWidth="1"/>
    <col min="10015" max="10015" width="12.453125" customWidth="1"/>
    <col min="10016" max="10028" width="6.7265625" customWidth="1"/>
    <col min="10029" max="10029" width="3.7265625" customWidth="1"/>
    <col min="10030" max="10030" width="12.453125" customWidth="1"/>
    <col min="10031" max="10043" width="6.7265625" customWidth="1"/>
    <col min="10241" max="10241" width="12.453125" customWidth="1"/>
    <col min="10243" max="10245" width="9.453125" bestFit="1" customWidth="1"/>
    <col min="10246" max="10254" width="6.7265625" customWidth="1"/>
    <col min="10255" max="10255" width="3.7265625" customWidth="1"/>
    <col min="10256" max="10256" width="12.453125" customWidth="1"/>
    <col min="10257" max="10269" width="6.7265625" customWidth="1"/>
    <col min="10270" max="10270" width="3.7265625" customWidth="1"/>
    <col min="10271" max="10271" width="12.453125" customWidth="1"/>
    <col min="10272" max="10284" width="6.7265625" customWidth="1"/>
    <col min="10285" max="10285" width="3.7265625" customWidth="1"/>
    <col min="10286" max="10286" width="12.453125" customWidth="1"/>
    <col min="10287" max="10299" width="6.7265625" customWidth="1"/>
    <col min="10497" max="10497" width="12.453125" customWidth="1"/>
    <col min="10499" max="10501" width="9.453125" bestFit="1" customWidth="1"/>
    <col min="10502" max="10510" width="6.7265625" customWidth="1"/>
    <col min="10511" max="10511" width="3.7265625" customWidth="1"/>
    <col min="10512" max="10512" width="12.453125" customWidth="1"/>
    <col min="10513" max="10525" width="6.7265625" customWidth="1"/>
    <col min="10526" max="10526" width="3.7265625" customWidth="1"/>
    <col min="10527" max="10527" width="12.453125" customWidth="1"/>
    <col min="10528" max="10540" width="6.7265625" customWidth="1"/>
    <col min="10541" max="10541" width="3.7265625" customWidth="1"/>
    <col min="10542" max="10542" width="12.453125" customWidth="1"/>
    <col min="10543" max="10555" width="6.7265625" customWidth="1"/>
    <col min="10753" max="10753" width="12.453125" customWidth="1"/>
    <col min="10755" max="10757" width="9.453125" bestFit="1" customWidth="1"/>
    <col min="10758" max="10766" width="6.7265625" customWidth="1"/>
    <col min="10767" max="10767" width="3.7265625" customWidth="1"/>
    <col min="10768" max="10768" width="12.453125" customWidth="1"/>
    <col min="10769" max="10781" width="6.7265625" customWidth="1"/>
    <col min="10782" max="10782" width="3.7265625" customWidth="1"/>
    <col min="10783" max="10783" width="12.453125" customWidth="1"/>
    <col min="10784" max="10796" width="6.7265625" customWidth="1"/>
    <col min="10797" max="10797" width="3.7265625" customWidth="1"/>
    <col min="10798" max="10798" width="12.453125" customWidth="1"/>
    <col min="10799" max="10811" width="6.7265625" customWidth="1"/>
    <col min="11009" max="11009" width="12.453125" customWidth="1"/>
    <col min="11011" max="11013" width="9.453125" bestFit="1" customWidth="1"/>
    <col min="11014" max="11022" width="6.7265625" customWidth="1"/>
    <col min="11023" max="11023" width="3.7265625" customWidth="1"/>
    <col min="11024" max="11024" width="12.453125" customWidth="1"/>
    <col min="11025" max="11037" width="6.7265625" customWidth="1"/>
    <col min="11038" max="11038" width="3.7265625" customWidth="1"/>
    <col min="11039" max="11039" width="12.453125" customWidth="1"/>
    <col min="11040" max="11052" width="6.7265625" customWidth="1"/>
    <col min="11053" max="11053" width="3.7265625" customWidth="1"/>
    <col min="11054" max="11054" width="12.453125" customWidth="1"/>
    <col min="11055" max="11067" width="6.7265625" customWidth="1"/>
    <col min="11265" max="11265" width="12.453125" customWidth="1"/>
    <col min="11267" max="11269" width="9.453125" bestFit="1" customWidth="1"/>
    <col min="11270" max="11278" width="6.7265625" customWidth="1"/>
    <col min="11279" max="11279" width="3.7265625" customWidth="1"/>
    <col min="11280" max="11280" width="12.453125" customWidth="1"/>
    <col min="11281" max="11293" width="6.7265625" customWidth="1"/>
    <col min="11294" max="11294" width="3.7265625" customWidth="1"/>
    <col min="11295" max="11295" width="12.453125" customWidth="1"/>
    <col min="11296" max="11308" width="6.7265625" customWidth="1"/>
    <col min="11309" max="11309" width="3.7265625" customWidth="1"/>
    <col min="11310" max="11310" width="12.453125" customWidth="1"/>
    <col min="11311" max="11323" width="6.7265625" customWidth="1"/>
    <col min="11521" max="11521" width="12.453125" customWidth="1"/>
    <col min="11523" max="11525" width="9.453125" bestFit="1" customWidth="1"/>
    <col min="11526" max="11534" width="6.7265625" customWidth="1"/>
    <col min="11535" max="11535" width="3.7265625" customWidth="1"/>
    <col min="11536" max="11536" width="12.453125" customWidth="1"/>
    <col min="11537" max="11549" width="6.7265625" customWidth="1"/>
    <col min="11550" max="11550" width="3.7265625" customWidth="1"/>
    <col min="11551" max="11551" width="12.453125" customWidth="1"/>
    <col min="11552" max="11564" width="6.7265625" customWidth="1"/>
    <col min="11565" max="11565" width="3.7265625" customWidth="1"/>
    <col min="11566" max="11566" width="12.453125" customWidth="1"/>
    <col min="11567" max="11579" width="6.7265625" customWidth="1"/>
    <col min="11777" max="11777" width="12.453125" customWidth="1"/>
    <col min="11779" max="11781" width="9.453125" bestFit="1" customWidth="1"/>
    <col min="11782" max="11790" width="6.7265625" customWidth="1"/>
    <col min="11791" max="11791" width="3.7265625" customWidth="1"/>
    <col min="11792" max="11792" width="12.453125" customWidth="1"/>
    <col min="11793" max="11805" width="6.7265625" customWidth="1"/>
    <col min="11806" max="11806" width="3.7265625" customWidth="1"/>
    <col min="11807" max="11807" width="12.453125" customWidth="1"/>
    <col min="11808" max="11820" width="6.7265625" customWidth="1"/>
    <col min="11821" max="11821" width="3.7265625" customWidth="1"/>
    <col min="11822" max="11822" width="12.453125" customWidth="1"/>
    <col min="11823" max="11835" width="6.7265625" customWidth="1"/>
    <col min="12033" max="12033" width="12.453125" customWidth="1"/>
    <col min="12035" max="12037" width="9.453125" bestFit="1" customWidth="1"/>
    <col min="12038" max="12046" width="6.7265625" customWidth="1"/>
    <col min="12047" max="12047" width="3.7265625" customWidth="1"/>
    <col min="12048" max="12048" width="12.453125" customWidth="1"/>
    <col min="12049" max="12061" width="6.7265625" customWidth="1"/>
    <col min="12062" max="12062" width="3.7265625" customWidth="1"/>
    <col min="12063" max="12063" width="12.453125" customWidth="1"/>
    <col min="12064" max="12076" width="6.7265625" customWidth="1"/>
    <col min="12077" max="12077" width="3.7265625" customWidth="1"/>
    <col min="12078" max="12078" width="12.453125" customWidth="1"/>
    <col min="12079" max="12091" width="6.7265625" customWidth="1"/>
    <col min="12289" max="12289" width="12.453125" customWidth="1"/>
    <col min="12291" max="12293" width="9.453125" bestFit="1" customWidth="1"/>
    <col min="12294" max="12302" width="6.7265625" customWidth="1"/>
    <col min="12303" max="12303" width="3.7265625" customWidth="1"/>
    <col min="12304" max="12304" width="12.453125" customWidth="1"/>
    <col min="12305" max="12317" width="6.7265625" customWidth="1"/>
    <col min="12318" max="12318" width="3.7265625" customWidth="1"/>
    <col min="12319" max="12319" width="12.453125" customWidth="1"/>
    <col min="12320" max="12332" width="6.7265625" customWidth="1"/>
    <col min="12333" max="12333" width="3.7265625" customWidth="1"/>
    <col min="12334" max="12334" width="12.453125" customWidth="1"/>
    <col min="12335" max="12347" width="6.7265625" customWidth="1"/>
    <col min="12545" max="12545" width="12.453125" customWidth="1"/>
    <col min="12547" max="12549" width="9.453125" bestFit="1" customWidth="1"/>
    <col min="12550" max="12558" width="6.7265625" customWidth="1"/>
    <col min="12559" max="12559" width="3.7265625" customWidth="1"/>
    <col min="12560" max="12560" width="12.453125" customWidth="1"/>
    <col min="12561" max="12573" width="6.7265625" customWidth="1"/>
    <col min="12574" max="12574" width="3.7265625" customWidth="1"/>
    <col min="12575" max="12575" width="12.453125" customWidth="1"/>
    <col min="12576" max="12588" width="6.7265625" customWidth="1"/>
    <col min="12589" max="12589" width="3.7265625" customWidth="1"/>
    <col min="12590" max="12590" width="12.453125" customWidth="1"/>
    <col min="12591" max="12603" width="6.7265625" customWidth="1"/>
    <col min="12801" max="12801" width="12.453125" customWidth="1"/>
    <col min="12803" max="12805" width="9.453125" bestFit="1" customWidth="1"/>
    <col min="12806" max="12814" width="6.7265625" customWidth="1"/>
    <col min="12815" max="12815" width="3.7265625" customWidth="1"/>
    <col min="12816" max="12816" width="12.453125" customWidth="1"/>
    <col min="12817" max="12829" width="6.7265625" customWidth="1"/>
    <col min="12830" max="12830" width="3.7265625" customWidth="1"/>
    <col min="12831" max="12831" width="12.453125" customWidth="1"/>
    <col min="12832" max="12844" width="6.7265625" customWidth="1"/>
    <col min="12845" max="12845" width="3.7265625" customWidth="1"/>
    <col min="12846" max="12846" width="12.453125" customWidth="1"/>
    <col min="12847" max="12859" width="6.7265625" customWidth="1"/>
    <col min="13057" max="13057" width="12.453125" customWidth="1"/>
    <col min="13059" max="13061" width="9.453125" bestFit="1" customWidth="1"/>
    <col min="13062" max="13070" width="6.7265625" customWidth="1"/>
    <col min="13071" max="13071" width="3.7265625" customWidth="1"/>
    <col min="13072" max="13072" width="12.453125" customWidth="1"/>
    <col min="13073" max="13085" width="6.7265625" customWidth="1"/>
    <col min="13086" max="13086" width="3.7265625" customWidth="1"/>
    <col min="13087" max="13087" width="12.453125" customWidth="1"/>
    <col min="13088" max="13100" width="6.7265625" customWidth="1"/>
    <col min="13101" max="13101" width="3.7265625" customWidth="1"/>
    <col min="13102" max="13102" width="12.453125" customWidth="1"/>
    <col min="13103" max="13115" width="6.7265625" customWidth="1"/>
    <col min="13313" max="13313" width="12.453125" customWidth="1"/>
    <col min="13315" max="13317" width="9.453125" bestFit="1" customWidth="1"/>
    <col min="13318" max="13326" width="6.7265625" customWidth="1"/>
    <col min="13327" max="13327" width="3.7265625" customWidth="1"/>
    <col min="13328" max="13328" width="12.453125" customWidth="1"/>
    <col min="13329" max="13341" width="6.7265625" customWidth="1"/>
    <col min="13342" max="13342" width="3.7265625" customWidth="1"/>
    <col min="13343" max="13343" width="12.453125" customWidth="1"/>
    <col min="13344" max="13356" width="6.7265625" customWidth="1"/>
    <col min="13357" max="13357" width="3.7265625" customWidth="1"/>
    <col min="13358" max="13358" width="12.453125" customWidth="1"/>
    <col min="13359" max="13371" width="6.7265625" customWidth="1"/>
    <col min="13569" max="13569" width="12.453125" customWidth="1"/>
    <col min="13571" max="13573" width="9.453125" bestFit="1" customWidth="1"/>
    <col min="13574" max="13582" width="6.7265625" customWidth="1"/>
    <col min="13583" max="13583" width="3.7265625" customWidth="1"/>
    <col min="13584" max="13584" width="12.453125" customWidth="1"/>
    <col min="13585" max="13597" width="6.7265625" customWidth="1"/>
    <col min="13598" max="13598" width="3.7265625" customWidth="1"/>
    <col min="13599" max="13599" width="12.453125" customWidth="1"/>
    <col min="13600" max="13612" width="6.7265625" customWidth="1"/>
    <col min="13613" max="13613" width="3.7265625" customWidth="1"/>
    <col min="13614" max="13614" width="12.453125" customWidth="1"/>
    <col min="13615" max="13627" width="6.7265625" customWidth="1"/>
    <col min="13825" max="13825" width="12.453125" customWidth="1"/>
    <col min="13827" max="13829" width="9.453125" bestFit="1" customWidth="1"/>
    <col min="13830" max="13838" width="6.7265625" customWidth="1"/>
    <col min="13839" max="13839" width="3.7265625" customWidth="1"/>
    <col min="13840" max="13840" width="12.453125" customWidth="1"/>
    <col min="13841" max="13853" width="6.7265625" customWidth="1"/>
    <col min="13854" max="13854" width="3.7265625" customWidth="1"/>
    <col min="13855" max="13855" width="12.453125" customWidth="1"/>
    <col min="13856" max="13868" width="6.7265625" customWidth="1"/>
    <col min="13869" max="13869" width="3.7265625" customWidth="1"/>
    <col min="13870" max="13870" width="12.453125" customWidth="1"/>
    <col min="13871" max="13883" width="6.7265625" customWidth="1"/>
    <col min="14081" max="14081" width="12.453125" customWidth="1"/>
    <col min="14083" max="14085" width="9.453125" bestFit="1" customWidth="1"/>
    <col min="14086" max="14094" width="6.7265625" customWidth="1"/>
    <col min="14095" max="14095" width="3.7265625" customWidth="1"/>
    <col min="14096" max="14096" width="12.453125" customWidth="1"/>
    <col min="14097" max="14109" width="6.7265625" customWidth="1"/>
    <col min="14110" max="14110" width="3.7265625" customWidth="1"/>
    <col min="14111" max="14111" width="12.453125" customWidth="1"/>
    <col min="14112" max="14124" width="6.7265625" customWidth="1"/>
    <col min="14125" max="14125" width="3.7265625" customWidth="1"/>
    <col min="14126" max="14126" width="12.453125" customWidth="1"/>
    <col min="14127" max="14139" width="6.7265625" customWidth="1"/>
    <col min="14337" max="14337" width="12.453125" customWidth="1"/>
    <col min="14339" max="14341" width="9.453125" bestFit="1" customWidth="1"/>
    <col min="14342" max="14350" width="6.7265625" customWidth="1"/>
    <col min="14351" max="14351" width="3.7265625" customWidth="1"/>
    <col min="14352" max="14352" width="12.453125" customWidth="1"/>
    <col min="14353" max="14365" width="6.7265625" customWidth="1"/>
    <col min="14366" max="14366" width="3.7265625" customWidth="1"/>
    <col min="14367" max="14367" width="12.453125" customWidth="1"/>
    <col min="14368" max="14380" width="6.7265625" customWidth="1"/>
    <col min="14381" max="14381" width="3.7265625" customWidth="1"/>
    <col min="14382" max="14382" width="12.453125" customWidth="1"/>
    <col min="14383" max="14395" width="6.7265625" customWidth="1"/>
    <col min="14593" max="14593" width="12.453125" customWidth="1"/>
    <col min="14595" max="14597" width="9.453125" bestFit="1" customWidth="1"/>
    <col min="14598" max="14606" width="6.7265625" customWidth="1"/>
    <col min="14607" max="14607" width="3.7265625" customWidth="1"/>
    <col min="14608" max="14608" width="12.453125" customWidth="1"/>
    <col min="14609" max="14621" width="6.7265625" customWidth="1"/>
    <col min="14622" max="14622" width="3.7265625" customWidth="1"/>
    <col min="14623" max="14623" width="12.453125" customWidth="1"/>
    <col min="14624" max="14636" width="6.7265625" customWidth="1"/>
    <col min="14637" max="14637" width="3.7265625" customWidth="1"/>
    <col min="14638" max="14638" width="12.453125" customWidth="1"/>
    <col min="14639" max="14651" width="6.7265625" customWidth="1"/>
    <col min="14849" max="14849" width="12.453125" customWidth="1"/>
    <col min="14851" max="14853" width="9.453125" bestFit="1" customWidth="1"/>
    <col min="14854" max="14862" width="6.7265625" customWidth="1"/>
    <col min="14863" max="14863" width="3.7265625" customWidth="1"/>
    <col min="14864" max="14864" width="12.453125" customWidth="1"/>
    <col min="14865" max="14877" width="6.7265625" customWidth="1"/>
    <col min="14878" max="14878" width="3.7265625" customWidth="1"/>
    <col min="14879" max="14879" width="12.453125" customWidth="1"/>
    <col min="14880" max="14892" width="6.7265625" customWidth="1"/>
    <col min="14893" max="14893" width="3.7265625" customWidth="1"/>
    <col min="14894" max="14894" width="12.453125" customWidth="1"/>
    <col min="14895" max="14907" width="6.7265625" customWidth="1"/>
    <col min="15105" max="15105" width="12.453125" customWidth="1"/>
    <col min="15107" max="15109" width="9.453125" bestFit="1" customWidth="1"/>
    <col min="15110" max="15118" width="6.7265625" customWidth="1"/>
    <col min="15119" max="15119" width="3.7265625" customWidth="1"/>
    <col min="15120" max="15120" width="12.453125" customWidth="1"/>
    <col min="15121" max="15133" width="6.7265625" customWidth="1"/>
    <col min="15134" max="15134" width="3.7265625" customWidth="1"/>
    <col min="15135" max="15135" width="12.453125" customWidth="1"/>
    <col min="15136" max="15148" width="6.7265625" customWidth="1"/>
    <col min="15149" max="15149" width="3.7265625" customWidth="1"/>
    <col min="15150" max="15150" width="12.453125" customWidth="1"/>
    <col min="15151" max="15163" width="6.7265625" customWidth="1"/>
    <col min="15361" max="15361" width="12.453125" customWidth="1"/>
    <col min="15363" max="15365" width="9.453125" bestFit="1" customWidth="1"/>
    <col min="15366" max="15374" width="6.7265625" customWidth="1"/>
    <col min="15375" max="15375" width="3.7265625" customWidth="1"/>
    <col min="15376" max="15376" width="12.453125" customWidth="1"/>
    <col min="15377" max="15389" width="6.7265625" customWidth="1"/>
    <col min="15390" max="15390" width="3.7265625" customWidth="1"/>
    <col min="15391" max="15391" width="12.453125" customWidth="1"/>
    <col min="15392" max="15404" width="6.7265625" customWidth="1"/>
    <col min="15405" max="15405" width="3.7265625" customWidth="1"/>
    <col min="15406" max="15406" width="12.453125" customWidth="1"/>
    <col min="15407" max="15419" width="6.7265625" customWidth="1"/>
    <col min="15617" max="15617" width="12.453125" customWidth="1"/>
    <col min="15619" max="15621" width="9.453125" bestFit="1" customWidth="1"/>
    <col min="15622" max="15630" width="6.7265625" customWidth="1"/>
    <col min="15631" max="15631" width="3.7265625" customWidth="1"/>
    <col min="15632" max="15632" width="12.453125" customWidth="1"/>
    <col min="15633" max="15645" width="6.7265625" customWidth="1"/>
    <col min="15646" max="15646" width="3.7265625" customWidth="1"/>
    <col min="15647" max="15647" width="12.453125" customWidth="1"/>
    <col min="15648" max="15660" width="6.7265625" customWidth="1"/>
    <col min="15661" max="15661" width="3.7265625" customWidth="1"/>
    <col min="15662" max="15662" width="12.453125" customWidth="1"/>
    <col min="15663" max="15675" width="6.7265625" customWidth="1"/>
    <col min="15873" max="15873" width="12.453125" customWidth="1"/>
    <col min="15875" max="15877" width="9.453125" bestFit="1" customWidth="1"/>
    <col min="15878" max="15886" width="6.7265625" customWidth="1"/>
    <col min="15887" max="15887" width="3.7265625" customWidth="1"/>
    <col min="15888" max="15888" width="12.453125" customWidth="1"/>
    <col min="15889" max="15901" width="6.7265625" customWidth="1"/>
    <col min="15902" max="15902" width="3.7265625" customWidth="1"/>
    <col min="15903" max="15903" width="12.453125" customWidth="1"/>
    <col min="15904" max="15916" width="6.7265625" customWidth="1"/>
    <col min="15917" max="15917" width="3.7265625" customWidth="1"/>
    <col min="15918" max="15918" width="12.453125" customWidth="1"/>
    <col min="15919" max="15931" width="6.7265625" customWidth="1"/>
    <col min="16129" max="16129" width="12.453125" customWidth="1"/>
    <col min="16131" max="16133" width="9.453125" bestFit="1" customWidth="1"/>
    <col min="16134" max="16142" width="6.7265625" customWidth="1"/>
    <col min="16143" max="16143" width="3.7265625" customWidth="1"/>
    <col min="16144" max="16144" width="12.453125" customWidth="1"/>
    <col min="16145" max="16157" width="6.7265625" customWidth="1"/>
    <col min="16158" max="16158" width="3.7265625" customWidth="1"/>
    <col min="16159" max="16159" width="12.453125" customWidth="1"/>
    <col min="16160" max="16172" width="6.7265625" customWidth="1"/>
    <col min="16173" max="16173" width="3.7265625" customWidth="1"/>
    <col min="16174" max="16174" width="12.453125" customWidth="1"/>
    <col min="16175" max="16187" width="6.7265625" customWidth="1"/>
  </cols>
  <sheetData>
    <row r="1" spans="1:59" ht="14.5">
      <c r="A1" s="340" t="s">
        <v>135</v>
      </c>
      <c r="B1" s="340"/>
      <c r="C1" s="340"/>
      <c r="D1" s="340"/>
      <c r="E1" s="340"/>
      <c r="F1" s="340"/>
      <c r="G1" s="340"/>
      <c r="H1" s="340"/>
      <c r="I1" s="340"/>
      <c r="J1" s="340"/>
      <c r="K1" s="178"/>
    </row>
    <row r="2" spans="1:59" ht="16" thickBot="1">
      <c r="A2" s="261" t="s">
        <v>136</v>
      </c>
      <c r="B2" s="6"/>
      <c r="C2" s="11"/>
      <c r="D2" s="6"/>
      <c r="E2" s="6"/>
      <c r="F2" s="6"/>
      <c r="G2" s="6"/>
      <c r="H2" s="6"/>
      <c r="I2" s="6"/>
      <c r="J2" s="177"/>
      <c r="K2" s="178"/>
    </row>
    <row r="3" spans="1:59" ht="16" thickBot="1">
      <c r="A3" s="325" t="s">
        <v>106</v>
      </c>
      <c r="B3" s="376" t="str">
        <f>'START HERE'!F6</f>
        <v>EU</v>
      </c>
      <c r="C3" s="387"/>
      <c r="D3" s="377"/>
      <c r="E3" s="177"/>
      <c r="F3" s="30" t="s">
        <v>38</v>
      </c>
      <c r="G3" s="373" t="str">
        <f>'LEN F2'!F3</f>
        <v>Fleet 2 South-Central Chile</v>
      </c>
      <c r="H3" s="374"/>
      <c r="I3" s="375"/>
      <c r="J3" s="177"/>
      <c r="K3" s="178"/>
    </row>
    <row r="4" spans="1:59" ht="15.5">
      <c r="A4" s="12" t="s">
        <v>18</v>
      </c>
      <c r="B4" s="376" t="str">
        <f>'START HERE'!F5</f>
        <v>Jack mackerel</v>
      </c>
      <c r="C4" s="387"/>
      <c r="D4" s="377"/>
      <c r="E4" s="177"/>
      <c r="F4" s="326"/>
      <c r="G4" s="317"/>
      <c r="H4" s="318"/>
      <c r="I4" s="336"/>
      <c r="J4" s="177"/>
      <c r="K4" s="178"/>
    </row>
    <row r="5" spans="1:59" ht="18">
      <c r="A5" s="12" t="s">
        <v>13</v>
      </c>
      <c r="B5" s="388">
        <f>'START HERE'!$K$3</f>
        <v>2010</v>
      </c>
      <c r="C5" s="389"/>
      <c r="D5" s="390"/>
      <c r="E5" s="177"/>
      <c r="F5" s="12" t="s">
        <v>39</v>
      </c>
      <c r="G5" s="324" t="s">
        <v>137</v>
      </c>
      <c r="H5" s="334"/>
      <c r="I5" s="335"/>
      <c r="J5" s="177"/>
      <c r="K5" s="178"/>
    </row>
    <row r="6" spans="1:59" ht="16" thickBot="1">
      <c r="A6" s="12"/>
      <c r="B6" s="11"/>
      <c r="C6" s="103"/>
      <c r="D6" s="6"/>
      <c r="F6" s="12" t="s">
        <v>14</v>
      </c>
      <c r="G6" s="381">
        <f>'START HERE'!$F8</f>
        <v>43100</v>
      </c>
      <c r="H6" s="382"/>
      <c r="I6" s="383"/>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4"/>
      <c r="R9" s="404"/>
      <c r="S9" s="404"/>
      <c r="T9" s="404"/>
      <c r="U9" s="404"/>
      <c r="V9" s="404"/>
      <c r="W9" s="404"/>
      <c r="X9" s="404"/>
      <c r="Y9" s="404"/>
      <c r="Z9" s="404"/>
      <c r="AA9" s="404"/>
      <c r="AB9" s="404"/>
      <c r="AC9" s="404"/>
      <c r="AE9" s="2"/>
      <c r="AF9" s="404"/>
      <c r="AG9" s="404"/>
      <c r="AH9" s="404"/>
      <c r="AI9" s="404"/>
      <c r="AJ9" s="404"/>
      <c r="AK9" s="404"/>
      <c r="AL9" s="404"/>
      <c r="AM9" s="404"/>
      <c r="AN9" s="404"/>
      <c r="AO9" s="404"/>
      <c r="AP9" s="404"/>
      <c r="AQ9" s="404"/>
      <c r="AR9" s="404"/>
      <c r="AT9" s="2"/>
      <c r="AU9" s="404"/>
      <c r="AV9" s="404"/>
      <c r="AW9" s="404"/>
      <c r="AX9" s="404"/>
      <c r="AY9" s="404"/>
      <c r="AZ9" s="404"/>
      <c r="BA9" s="404"/>
      <c r="BB9" s="404"/>
      <c r="BC9" s="404"/>
      <c r="BD9" s="404"/>
      <c r="BE9" s="404"/>
      <c r="BF9" s="404"/>
      <c r="BG9" s="404"/>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1640625" defaultRowHeight="12.5"/>
  <cols>
    <col min="1" max="1" width="12.453125" customWidth="1"/>
    <col min="2" max="5" width="11" customWidth="1"/>
    <col min="6" max="6" width="6.7265625" customWidth="1"/>
    <col min="7" max="9" width="10.1796875" customWidth="1"/>
    <col min="10" max="14" width="6.7265625" customWidth="1"/>
    <col min="15" max="15" width="9.4531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 min="257" max="257" width="12.453125" customWidth="1"/>
    <col min="259" max="261" width="9.453125" bestFit="1" customWidth="1"/>
    <col min="262" max="270" width="6.7265625" customWidth="1"/>
    <col min="271" max="271" width="3.7265625" customWidth="1"/>
    <col min="272" max="272" width="12.453125" customWidth="1"/>
    <col min="273" max="285" width="6.7265625" customWidth="1"/>
    <col min="286" max="286" width="3.7265625" customWidth="1"/>
    <col min="287" max="287" width="12.453125" customWidth="1"/>
    <col min="288" max="300" width="6.7265625" customWidth="1"/>
    <col min="301" max="301" width="3.7265625" customWidth="1"/>
    <col min="302" max="302" width="12.453125" customWidth="1"/>
    <col min="303" max="315" width="6.7265625" customWidth="1"/>
    <col min="513" max="513" width="12.453125" customWidth="1"/>
    <col min="515" max="517" width="9.453125" bestFit="1" customWidth="1"/>
    <col min="518" max="526" width="6.7265625" customWidth="1"/>
    <col min="527" max="527" width="3.7265625" customWidth="1"/>
    <col min="528" max="528" width="12.453125" customWidth="1"/>
    <col min="529" max="541" width="6.7265625" customWidth="1"/>
    <col min="542" max="542" width="3.7265625" customWidth="1"/>
    <col min="543" max="543" width="12.453125" customWidth="1"/>
    <col min="544" max="556" width="6.7265625" customWidth="1"/>
    <col min="557" max="557" width="3.7265625" customWidth="1"/>
    <col min="558" max="558" width="12.453125" customWidth="1"/>
    <col min="559" max="571" width="6.7265625" customWidth="1"/>
    <col min="769" max="769" width="12.453125" customWidth="1"/>
    <col min="771" max="773" width="9.453125" bestFit="1" customWidth="1"/>
    <col min="774" max="782" width="6.7265625" customWidth="1"/>
    <col min="783" max="783" width="3.7265625" customWidth="1"/>
    <col min="784" max="784" width="12.453125" customWidth="1"/>
    <col min="785" max="797" width="6.7265625" customWidth="1"/>
    <col min="798" max="798" width="3.7265625" customWidth="1"/>
    <col min="799" max="799" width="12.453125" customWidth="1"/>
    <col min="800" max="812" width="6.7265625" customWidth="1"/>
    <col min="813" max="813" width="3.7265625" customWidth="1"/>
    <col min="814" max="814" width="12.453125" customWidth="1"/>
    <col min="815" max="827" width="6.7265625" customWidth="1"/>
    <col min="1025" max="1025" width="12.453125" customWidth="1"/>
    <col min="1027" max="1029" width="9.453125" bestFit="1" customWidth="1"/>
    <col min="1030" max="1038" width="6.7265625" customWidth="1"/>
    <col min="1039" max="1039" width="3.7265625" customWidth="1"/>
    <col min="1040" max="1040" width="12.453125" customWidth="1"/>
    <col min="1041" max="1053" width="6.7265625" customWidth="1"/>
    <col min="1054" max="1054" width="3.7265625" customWidth="1"/>
    <col min="1055" max="1055" width="12.453125" customWidth="1"/>
    <col min="1056" max="1068" width="6.7265625" customWidth="1"/>
    <col min="1069" max="1069" width="3.7265625" customWidth="1"/>
    <col min="1070" max="1070" width="12.453125" customWidth="1"/>
    <col min="1071" max="1083" width="6.7265625" customWidth="1"/>
    <col min="1281" max="1281" width="12.453125" customWidth="1"/>
    <col min="1283" max="1285" width="9.453125" bestFit="1" customWidth="1"/>
    <col min="1286" max="1294" width="6.7265625" customWidth="1"/>
    <col min="1295" max="1295" width="3.7265625" customWidth="1"/>
    <col min="1296" max="1296" width="12.453125" customWidth="1"/>
    <col min="1297" max="1309" width="6.7265625" customWidth="1"/>
    <col min="1310" max="1310" width="3.7265625" customWidth="1"/>
    <col min="1311" max="1311" width="12.453125" customWidth="1"/>
    <col min="1312" max="1324" width="6.7265625" customWidth="1"/>
    <col min="1325" max="1325" width="3.7265625" customWidth="1"/>
    <col min="1326" max="1326" width="12.453125" customWidth="1"/>
    <col min="1327" max="1339" width="6.7265625" customWidth="1"/>
    <col min="1537" max="1537" width="12.453125" customWidth="1"/>
    <col min="1539" max="1541" width="9.453125" bestFit="1" customWidth="1"/>
    <col min="1542" max="1550" width="6.7265625" customWidth="1"/>
    <col min="1551" max="1551" width="3.7265625" customWidth="1"/>
    <col min="1552" max="1552" width="12.453125" customWidth="1"/>
    <col min="1553" max="1565" width="6.7265625" customWidth="1"/>
    <col min="1566" max="1566" width="3.7265625" customWidth="1"/>
    <col min="1567" max="1567" width="12.453125" customWidth="1"/>
    <col min="1568" max="1580" width="6.7265625" customWidth="1"/>
    <col min="1581" max="1581" width="3.7265625" customWidth="1"/>
    <col min="1582" max="1582" width="12.453125" customWidth="1"/>
    <col min="1583" max="1595" width="6.7265625" customWidth="1"/>
    <col min="1793" max="1793" width="12.453125" customWidth="1"/>
    <col min="1795" max="1797" width="9.453125" bestFit="1" customWidth="1"/>
    <col min="1798" max="1806" width="6.7265625" customWidth="1"/>
    <col min="1807" max="1807" width="3.7265625" customWidth="1"/>
    <col min="1808" max="1808" width="12.453125" customWidth="1"/>
    <col min="1809" max="1821" width="6.7265625" customWidth="1"/>
    <col min="1822" max="1822" width="3.7265625" customWidth="1"/>
    <col min="1823" max="1823" width="12.453125" customWidth="1"/>
    <col min="1824" max="1836" width="6.7265625" customWidth="1"/>
    <col min="1837" max="1837" width="3.7265625" customWidth="1"/>
    <col min="1838" max="1838" width="12.453125" customWidth="1"/>
    <col min="1839" max="1851" width="6.7265625" customWidth="1"/>
    <col min="2049" max="2049" width="12.453125" customWidth="1"/>
    <col min="2051" max="2053" width="9.453125" bestFit="1" customWidth="1"/>
    <col min="2054" max="2062" width="6.7265625" customWidth="1"/>
    <col min="2063" max="2063" width="3.7265625" customWidth="1"/>
    <col min="2064" max="2064" width="12.453125" customWidth="1"/>
    <col min="2065" max="2077" width="6.7265625" customWidth="1"/>
    <col min="2078" max="2078" width="3.7265625" customWidth="1"/>
    <col min="2079" max="2079" width="12.453125" customWidth="1"/>
    <col min="2080" max="2092" width="6.7265625" customWidth="1"/>
    <col min="2093" max="2093" width="3.7265625" customWidth="1"/>
    <col min="2094" max="2094" width="12.453125" customWidth="1"/>
    <col min="2095" max="2107" width="6.7265625" customWidth="1"/>
    <col min="2305" max="2305" width="12.453125" customWidth="1"/>
    <col min="2307" max="2309" width="9.453125" bestFit="1" customWidth="1"/>
    <col min="2310" max="2318" width="6.7265625" customWidth="1"/>
    <col min="2319" max="2319" width="3.7265625" customWidth="1"/>
    <col min="2320" max="2320" width="12.453125" customWidth="1"/>
    <col min="2321" max="2333" width="6.7265625" customWidth="1"/>
    <col min="2334" max="2334" width="3.7265625" customWidth="1"/>
    <col min="2335" max="2335" width="12.453125" customWidth="1"/>
    <col min="2336" max="2348" width="6.7265625" customWidth="1"/>
    <col min="2349" max="2349" width="3.7265625" customWidth="1"/>
    <col min="2350" max="2350" width="12.453125" customWidth="1"/>
    <col min="2351" max="2363" width="6.7265625" customWidth="1"/>
    <col min="2561" max="2561" width="12.453125" customWidth="1"/>
    <col min="2563" max="2565" width="9.453125" bestFit="1" customWidth="1"/>
    <col min="2566" max="2574" width="6.7265625" customWidth="1"/>
    <col min="2575" max="2575" width="3.7265625" customWidth="1"/>
    <col min="2576" max="2576" width="12.453125" customWidth="1"/>
    <col min="2577" max="2589" width="6.7265625" customWidth="1"/>
    <col min="2590" max="2590" width="3.7265625" customWidth="1"/>
    <col min="2591" max="2591" width="12.453125" customWidth="1"/>
    <col min="2592" max="2604" width="6.7265625" customWidth="1"/>
    <col min="2605" max="2605" width="3.7265625" customWidth="1"/>
    <col min="2606" max="2606" width="12.453125" customWidth="1"/>
    <col min="2607" max="2619" width="6.7265625" customWidth="1"/>
    <col min="2817" max="2817" width="12.453125" customWidth="1"/>
    <col min="2819" max="2821" width="9.453125" bestFit="1" customWidth="1"/>
    <col min="2822" max="2830" width="6.7265625" customWidth="1"/>
    <col min="2831" max="2831" width="3.7265625" customWidth="1"/>
    <col min="2832" max="2832" width="12.453125" customWidth="1"/>
    <col min="2833" max="2845" width="6.7265625" customWidth="1"/>
    <col min="2846" max="2846" width="3.7265625" customWidth="1"/>
    <col min="2847" max="2847" width="12.453125" customWidth="1"/>
    <col min="2848" max="2860" width="6.7265625" customWidth="1"/>
    <col min="2861" max="2861" width="3.7265625" customWidth="1"/>
    <col min="2862" max="2862" width="12.453125" customWidth="1"/>
    <col min="2863" max="2875" width="6.7265625" customWidth="1"/>
    <col min="3073" max="3073" width="12.453125" customWidth="1"/>
    <col min="3075" max="3077" width="9.453125" bestFit="1" customWidth="1"/>
    <col min="3078" max="3086" width="6.7265625" customWidth="1"/>
    <col min="3087" max="3087" width="3.7265625" customWidth="1"/>
    <col min="3088" max="3088" width="12.453125" customWidth="1"/>
    <col min="3089" max="3101" width="6.7265625" customWidth="1"/>
    <col min="3102" max="3102" width="3.7265625" customWidth="1"/>
    <col min="3103" max="3103" width="12.453125" customWidth="1"/>
    <col min="3104" max="3116" width="6.7265625" customWidth="1"/>
    <col min="3117" max="3117" width="3.7265625" customWidth="1"/>
    <col min="3118" max="3118" width="12.453125" customWidth="1"/>
    <col min="3119" max="3131" width="6.7265625" customWidth="1"/>
    <col min="3329" max="3329" width="12.453125" customWidth="1"/>
    <col min="3331" max="3333" width="9.453125" bestFit="1" customWidth="1"/>
    <col min="3334" max="3342" width="6.7265625" customWidth="1"/>
    <col min="3343" max="3343" width="3.7265625" customWidth="1"/>
    <col min="3344" max="3344" width="12.453125" customWidth="1"/>
    <col min="3345" max="3357" width="6.7265625" customWidth="1"/>
    <col min="3358" max="3358" width="3.7265625" customWidth="1"/>
    <col min="3359" max="3359" width="12.453125" customWidth="1"/>
    <col min="3360" max="3372" width="6.7265625" customWidth="1"/>
    <col min="3373" max="3373" width="3.7265625" customWidth="1"/>
    <col min="3374" max="3374" width="12.453125" customWidth="1"/>
    <col min="3375" max="3387" width="6.7265625" customWidth="1"/>
    <col min="3585" max="3585" width="12.453125" customWidth="1"/>
    <col min="3587" max="3589" width="9.453125" bestFit="1" customWidth="1"/>
    <col min="3590" max="3598" width="6.7265625" customWidth="1"/>
    <col min="3599" max="3599" width="3.7265625" customWidth="1"/>
    <col min="3600" max="3600" width="12.453125" customWidth="1"/>
    <col min="3601" max="3613" width="6.7265625" customWidth="1"/>
    <col min="3614" max="3614" width="3.7265625" customWidth="1"/>
    <col min="3615" max="3615" width="12.453125" customWidth="1"/>
    <col min="3616" max="3628" width="6.7265625" customWidth="1"/>
    <col min="3629" max="3629" width="3.7265625" customWidth="1"/>
    <col min="3630" max="3630" width="12.453125" customWidth="1"/>
    <col min="3631" max="3643" width="6.7265625" customWidth="1"/>
    <col min="3841" max="3841" width="12.453125" customWidth="1"/>
    <col min="3843" max="3845" width="9.453125" bestFit="1" customWidth="1"/>
    <col min="3846" max="3854" width="6.7265625" customWidth="1"/>
    <col min="3855" max="3855" width="3.7265625" customWidth="1"/>
    <col min="3856" max="3856" width="12.453125" customWidth="1"/>
    <col min="3857" max="3869" width="6.7265625" customWidth="1"/>
    <col min="3870" max="3870" width="3.7265625" customWidth="1"/>
    <col min="3871" max="3871" width="12.453125" customWidth="1"/>
    <col min="3872" max="3884" width="6.7265625" customWidth="1"/>
    <col min="3885" max="3885" width="3.7265625" customWidth="1"/>
    <col min="3886" max="3886" width="12.453125" customWidth="1"/>
    <col min="3887" max="3899" width="6.7265625" customWidth="1"/>
    <col min="4097" max="4097" width="12.453125" customWidth="1"/>
    <col min="4099" max="4101" width="9.453125" bestFit="1" customWidth="1"/>
    <col min="4102" max="4110" width="6.7265625" customWidth="1"/>
    <col min="4111" max="4111" width="3.7265625" customWidth="1"/>
    <col min="4112" max="4112" width="12.453125" customWidth="1"/>
    <col min="4113" max="4125" width="6.7265625" customWidth="1"/>
    <col min="4126" max="4126" width="3.7265625" customWidth="1"/>
    <col min="4127" max="4127" width="12.453125" customWidth="1"/>
    <col min="4128" max="4140" width="6.7265625" customWidth="1"/>
    <col min="4141" max="4141" width="3.7265625" customWidth="1"/>
    <col min="4142" max="4142" width="12.453125" customWidth="1"/>
    <col min="4143" max="4155" width="6.7265625" customWidth="1"/>
    <col min="4353" max="4353" width="12.453125" customWidth="1"/>
    <col min="4355" max="4357" width="9.453125" bestFit="1" customWidth="1"/>
    <col min="4358" max="4366" width="6.7265625" customWidth="1"/>
    <col min="4367" max="4367" width="3.7265625" customWidth="1"/>
    <col min="4368" max="4368" width="12.453125" customWidth="1"/>
    <col min="4369" max="4381" width="6.7265625" customWidth="1"/>
    <col min="4382" max="4382" width="3.7265625" customWidth="1"/>
    <col min="4383" max="4383" width="12.453125" customWidth="1"/>
    <col min="4384" max="4396" width="6.7265625" customWidth="1"/>
    <col min="4397" max="4397" width="3.7265625" customWidth="1"/>
    <col min="4398" max="4398" width="12.453125" customWidth="1"/>
    <col min="4399" max="4411" width="6.7265625" customWidth="1"/>
    <col min="4609" max="4609" width="12.453125" customWidth="1"/>
    <col min="4611" max="4613" width="9.453125" bestFit="1" customWidth="1"/>
    <col min="4614" max="4622" width="6.7265625" customWidth="1"/>
    <col min="4623" max="4623" width="3.7265625" customWidth="1"/>
    <col min="4624" max="4624" width="12.453125" customWidth="1"/>
    <col min="4625" max="4637" width="6.7265625" customWidth="1"/>
    <col min="4638" max="4638" width="3.7265625" customWidth="1"/>
    <col min="4639" max="4639" width="12.453125" customWidth="1"/>
    <col min="4640" max="4652" width="6.7265625" customWidth="1"/>
    <col min="4653" max="4653" width="3.7265625" customWidth="1"/>
    <col min="4654" max="4654" width="12.453125" customWidth="1"/>
    <col min="4655" max="4667" width="6.7265625" customWidth="1"/>
    <col min="4865" max="4865" width="12.453125" customWidth="1"/>
    <col min="4867" max="4869" width="9.453125" bestFit="1" customWidth="1"/>
    <col min="4870" max="4878" width="6.7265625" customWidth="1"/>
    <col min="4879" max="4879" width="3.7265625" customWidth="1"/>
    <col min="4880" max="4880" width="12.453125" customWidth="1"/>
    <col min="4881" max="4893" width="6.7265625" customWidth="1"/>
    <col min="4894" max="4894" width="3.7265625" customWidth="1"/>
    <col min="4895" max="4895" width="12.453125" customWidth="1"/>
    <col min="4896" max="4908" width="6.7265625" customWidth="1"/>
    <col min="4909" max="4909" width="3.7265625" customWidth="1"/>
    <col min="4910" max="4910" width="12.453125" customWidth="1"/>
    <col min="4911" max="4923" width="6.7265625" customWidth="1"/>
    <col min="5121" max="5121" width="12.453125" customWidth="1"/>
    <col min="5123" max="5125" width="9.453125" bestFit="1" customWidth="1"/>
    <col min="5126" max="5134" width="6.7265625" customWidth="1"/>
    <col min="5135" max="5135" width="3.7265625" customWidth="1"/>
    <col min="5136" max="5136" width="12.453125" customWidth="1"/>
    <col min="5137" max="5149" width="6.7265625" customWidth="1"/>
    <col min="5150" max="5150" width="3.7265625" customWidth="1"/>
    <col min="5151" max="5151" width="12.453125" customWidth="1"/>
    <col min="5152" max="5164" width="6.7265625" customWidth="1"/>
    <col min="5165" max="5165" width="3.7265625" customWidth="1"/>
    <col min="5166" max="5166" width="12.453125" customWidth="1"/>
    <col min="5167" max="5179" width="6.7265625" customWidth="1"/>
    <col min="5377" max="5377" width="12.453125" customWidth="1"/>
    <col min="5379" max="5381" width="9.453125" bestFit="1" customWidth="1"/>
    <col min="5382" max="5390" width="6.7265625" customWidth="1"/>
    <col min="5391" max="5391" width="3.7265625" customWidth="1"/>
    <col min="5392" max="5392" width="12.453125" customWidth="1"/>
    <col min="5393" max="5405" width="6.7265625" customWidth="1"/>
    <col min="5406" max="5406" width="3.7265625" customWidth="1"/>
    <col min="5407" max="5407" width="12.453125" customWidth="1"/>
    <col min="5408" max="5420" width="6.7265625" customWidth="1"/>
    <col min="5421" max="5421" width="3.7265625" customWidth="1"/>
    <col min="5422" max="5422" width="12.453125" customWidth="1"/>
    <col min="5423" max="5435" width="6.7265625" customWidth="1"/>
    <col min="5633" max="5633" width="12.453125" customWidth="1"/>
    <col min="5635" max="5637" width="9.453125" bestFit="1" customWidth="1"/>
    <col min="5638" max="5646" width="6.7265625" customWidth="1"/>
    <col min="5647" max="5647" width="3.7265625" customWidth="1"/>
    <col min="5648" max="5648" width="12.453125" customWidth="1"/>
    <col min="5649" max="5661" width="6.7265625" customWidth="1"/>
    <col min="5662" max="5662" width="3.7265625" customWidth="1"/>
    <col min="5663" max="5663" width="12.453125" customWidth="1"/>
    <col min="5664" max="5676" width="6.7265625" customWidth="1"/>
    <col min="5677" max="5677" width="3.7265625" customWidth="1"/>
    <col min="5678" max="5678" width="12.453125" customWidth="1"/>
    <col min="5679" max="5691" width="6.7265625" customWidth="1"/>
    <col min="5889" max="5889" width="12.453125" customWidth="1"/>
    <col min="5891" max="5893" width="9.453125" bestFit="1" customWidth="1"/>
    <col min="5894" max="5902" width="6.7265625" customWidth="1"/>
    <col min="5903" max="5903" width="3.7265625" customWidth="1"/>
    <col min="5904" max="5904" width="12.453125" customWidth="1"/>
    <col min="5905" max="5917" width="6.7265625" customWidth="1"/>
    <col min="5918" max="5918" width="3.7265625" customWidth="1"/>
    <col min="5919" max="5919" width="12.453125" customWidth="1"/>
    <col min="5920" max="5932" width="6.7265625" customWidth="1"/>
    <col min="5933" max="5933" width="3.7265625" customWidth="1"/>
    <col min="5934" max="5934" width="12.453125" customWidth="1"/>
    <col min="5935" max="5947" width="6.7265625" customWidth="1"/>
    <col min="6145" max="6145" width="12.453125" customWidth="1"/>
    <col min="6147" max="6149" width="9.453125" bestFit="1" customWidth="1"/>
    <col min="6150" max="6158" width="6.7265625" customWidth="1"/>
    <col min="6159" max="6159" width="3.7265625" customWidth="1"/>
    <col min="6160" max="6160" width="12.453125" customWidth="1"/>
    <col min="6161" max="6173" width="6.7265625" customWidth="1"/>
    <col min="6174" max="6174" width="3.7265625" customWidth="1"/>
    <col min="6175" max="6175" width="12.453125" customWidth="1"/>
    <col min="6176" max="6188" width="6.7265625" customWidth="1"/>
    <col min="6189" max="6189" width="3.7265625" customWidth="1"/>
    <col min="6190" max="6190" width="12.453125" customWidth="1"/>
    <col min="6191" max="6203" width="6.7265625" customWidth="1"/>
    <col min="6401" max="6401" width="12.453125" customWidth="1"/>
    <col min="6403" max="6405" width="9.453125" bestFit="1" customWidth="1"/>
    <col min="6406" max="6414" width="6.7265625" customWidth="1"/>
    <col min="6415" max="6415" width="3.7265625" customWidth="1"/>
    <col min="6416" max="6416" width="12.453125" customWidth="1"/>
    <col min="6417" max="6429" width="6.7265625" customWidth="1"/>
    <col min="6430" max="6430" width="3.7265625" customWidth="1"/>
    <col min="6431" max="6431" width="12.453125" customWidth="1"/>
    <col min="6432" max="6444" width="6.7265625" customWidth="1"/>
    <col min="6445" max="6445" width="3.7265625" customWidth="1"/>
    <col min="6446" max="6446" width="12.453125" customWidth="1"/>
    <col min="6447" max="6459" width="6.7265625" customWidth="1"/>
    <col min="6657" max="6657" width="12.453125" customWidth="1"/>
    <col min="6659" max="6661" width="9.453125" bestFit="1" customWidth="1"/>
    <col min="6662" max="6670" width="6.7265625" customWidth="1"/>
    <col min="6671" max="6671" width="3.7265625" customWidth="1"/>
    <col min="6672" max="6672" width="12.453125" customWidth="1"/>
    <col min="6673" max="6685" width="6.7265625" customWidth="1"/>
    <col min="6686" max="6686" width="3.7265625" customWidth="1"/>
    <col min="6687" max="6687" width="12.453125" customWidth="1"/>
    <col min="6688" max="6700" width="6.7265625" customWidth="1"/>
    <col min="6701" max="6701" width="3.7265625" customWidth="1"/>
    <col min="6702" max="6702" width="12.453125" customWidth="1"/>
    <col min="6703" max="6715" width="6.7265625" customWidth="1"/>
    <col min="6913" max="6913" width="12.453125" customWidth="1"/>
    <col min="6915" max="6917" width="9.453125" bestFit="1" customWidth="1"/>
    <col min="6918" max="6926" width="6.7265625" customWidth="1"/>
    <col min="6927" max="6927" width="3.7265625" customWidth="1"/>
    <col min="6928" max="6928" width="12.453125" customWidth="1"/>
    <col min="6929" max="6941" width="6.7265625" customWidth="1"/>
    <col min="6942" max="6942" width="3.7265625" customWidth="1"/>
    <col min="6943" max="6943" width="12.453125" customWidth="1"/>
    <col min="6944" max="6956" width="6.7265625" customWidth="1"/>
    <col min="6957" max="6957" width="3.7265625" customWidth="1"/>
    <col min="6958" max="6958" width="12.453125" customWidth="1"/>
    <col min="6959" max="6971" width="6.7265625" customWidth="1"/>
    <col min="7169" max="7169" width="12.453125" customWidth="1"/>
    <col min="7171" max="7173" width="9.453125" bestFit="1" customWidth="1"/>
    <col min="7174" max="7182" width="6.7265625" customWidth="1"/>
    <col min="7183" max="7183" width="3.7265625" customWidth="1"/>
    <col min="7184" max="7184" width="12.453125" customWidth="1"/>
    <col min="7185" max="7197" width="6.7265625" customWidth="1"/>
    <col min="7198" max="7198" width="3.7265625" customWidth="1"/>
    <col min="7199" max="7199" width="12.453125" customWidth="1"/>
    <col min="7200" max="7212" width="6.7265625" customWidth="1"/>
    <col min="7213" max="7213" width="3.7265625" customWidth="1"/>
    <col min="7214" max="7214" width="12.453125" customWidth="1"/>
    <col min="7215" max="7227" width="6.7265625" customWidth="1"/>
    <col min="7425" max="7425" width="12.453125" customWidth="1"/>
    <col min="7427" max="7429" width="9.453125" bestFit="1" customWidth="1"/>
    <col min="7430" max="7438" width="6.7265625" customWidth="1"/>
    <col min="7439" max="7439" width="3.7265625" customWidth="1"/>
    <col min="7440" max="7440" width="12.453125" customWidth="1"/>
    <col min="7441" max="7453" width="6.7265625" customWidth="1"/>
    <col min="7454" max="7454" width="3.7265625" customWidth="1"/>
    <col min="7455" max="7455" width="12.453125" customWidth="1"/>
    <col min="7456" max="7468" width="6.7265625" customWidth="1"/>
    <col min="7469" max="7469" width="3.7265625" customWidth="1"/>
    <col min="7470" max="7470" width="12.453125" customWidth="1"/>
    <col min="7471" max="7483" width="6.7265625" customWidth="1"/>
    <col min="7681" max="7681" width="12.453125" customWidth="1"/>
    <col min="7683" max="7685" width="9.453125" bestFit="1" customWidth="1"/>
    <col min="7686" max="7694" width="6.7265625" customWidth="1"/>
    <col min="7695" max="7695" width="3.7265625" customWidth="1"/>
    <col min="7696" max="7696" width="12.453125" customWidth="1"/>
    <col min="7697" max="7709" width="6.7265625" customWidth="1"/>
    <col min="7710" max="7710" width="3.7265625" customWidth="1"/>
    <col min="7711" max="7711" width="12.453125" customWidth="1"/>
    <col min="7712" max="7724" width="6.7265625" customWidth="1"/>
    <col min="7725" max="7725" width="3.7265625" customWidth="1"/>
    <col min="7726" max="7726" width="12.453125" customWidth="1"/>
    <col min="7727" max="7739" width="6.7265625" customWidth="1"/>
    <col min="7937" max="7937" width="12.453125" customWidth="1"/>
    <col min="7939" max="7941" width="9.453125" bestFit="1" customWidth="1"/>
    <col min="7942" max="7950" width="6.7265625" customWidth="1"/>
    <col min="7951" max="7951" width="3.7265625" customWidth="1"/>
    <col min="7952" max="7952" width="12.453125" customWidth="1"/>
    <col min="7953" max="7965" width="6.7265625" customWidth="1"/>
    <col min="7966" max="7966" width="3.7265625" customWidth="1"/>
    <col min="7967" max="7967" width="12.453125" customWidth="1"/>
    <col min="7968" max="7980" width="6.7265625" customWidth="1"/>
    <col min="7981" max="7981" width="3.7265625" customWidth="1"/>
    <col min="7982" max="7982" width="12.453125" customWidth="1"/>
    <col min="7983" max="7995" width="6.7265625" customWidth="1"/>
    <col min="8193" max="8193" width="12.453125" customWidth="1"/>
    <col min="8195" max="8197" width="9.453125" bestFit="1" customWidth="1"/>
    <col min="8198" max="8206" width="6.7265625" customWidth="1"/>
    <col min="8207" max="8207" width="3.7265625" customWidth="1"/>
    <col min="8208" max="8208" width="12.453125" customWidth="1"/>
    <col min="8209" max="8221" width="6.7265625" customWidth="1"/>
    <col min="8222" max="8222" width="3.7265625" customWidth="1"/>
    <col min="8223" max="8223" width="12.453125" customWidth="1"/>
    <col min="8224" max="8236" width="6.7265625" customWidth="1"/>
    <col min="8237" max="8237" width="3.7265625" customWidth="1"/>
    <col min="8238" max="8238" width="12.453125" customWidth="1"/>
    <col min="8239" max="8251" width="6.7265625" customWidth="1"/>
    <col min="8449" max="8449" width="12.453125" customWidth="1"/>
    <col min="8451" max="8453" width="9.453125" bestFit="1" customWidth="1"/>
    <col min="8454" max="8462" width="6.7265625" customWidth="1"/>
    <col min="8463" max="8463" width="3.7265625" customWidth="1"/>
    <col min="8464" max="8464" width="12.453125" customWidth="1"/>
    <col min="8465" max="8477" width="6.7265625" customWidth="1"/>
    <col min="8478" max="8478" width="3.7265625" customWidth="1"/>
    <col min="8479" max="8479" width="12.453125" customWidth="1"/>
    <col min="8480" max="8492" width="6.7265625" customWidth="1"/>
    <col min="8493" max="8493" width="3.7265625" customWidth="1"/>
    <col min="8494" max="8494" width="12.453125" customWidth="1"/>
    <col min="8495" max="8507" width="6.7265625" customWidth="1"/>
    <col min="8705" max="8705" width="12.453125" customWidth="1"/>
    <col min="8707" max="8709" width="9.453125" bestFit="1" customWidth="1"/>
    <col min="8710" max="8718" width="6.7265625" customWidth="1"/>
    <col min="8719" max="8719" width="3.7265625" customWidth="1"/>
    <col min="8720" max="8720" width="12.453125" customWidth="1"/>
    <col min="8721" max="8733" width="6.7265625" customWidth="1"/>
    <col min="8734" max="8734" width="3.7265625" customWidth="1"/>
    <col min="8735" max="8735" width="12.453125" customWidth="1"/>
    <col min="8736" max="8748" width="6.7265625" customWidth="1"/>
    <col min="8749" max="8749" width="3.7265625" customWidth="1"/>
    <col min="8750" max="8750" width="12.453125" customWidth="1"/>
    <col min="8751" max="8763" width="6.7265625" customWidth="1"/>
    <col min="8961" max="8961" width="12.453125" customWidth="1"/>
    <col min="8963" max="8965" width="9.453125" bestFit="1" customWidth="1"/>
    <col min="8966" max="8974" width="6.7265625" customWidth="1"/>
    <col min="8975" max="8975" width="3.7265625" customWidth="1"/>
    <col min="8976" max="8976" width="12.453125" customWidth="1"/>
    <col min="8977" max="8989" width="6.7265625" customWidth="1"/>
    <col min="8990" max="8990" width="3.7265625" customWidth="1"/>
    <col min="8991" max="8991" width="12.453125" customWidth="1"/>
    <col min="8992" max="9004" width="6.7265625" customWidth="1"/>
    <col min="9005" max="9005" width="3.7265625" customWidth="1"/>
    <col min="9006" max="9006" width="12.453125" customWidth="1"/>
    <col min="9007" max="9019" width="6.7265625" customWidth="1"/>
    <col min="9217" max="9217" width="12.453125" customWidth="1"/>
    <col min="9219" max="9221" width="9.453125" bestFit="1" customWidth="1"/>
    <col min="9222" max="9230" width="6.7265625" customWidth="1"/>
    <col min="9231" max="9231" width="3.7265625" customWidth="1"/>
    <col min="9232" max="9232" width="12.453125" customWidth="1"/>
    <col min="9233" max="9245" width="6.7265625" customWidth="1"/>
    <col min="9246" max="9246" width="3.7265625" customWidth="1"/>
    <col min="9247" max="9247" width="12.453125" customWidth="1"/>
    <col min="9248" max="9260" width="6.7265625" customWidth="1"/>
    <col min="9261" max="9261" width="3.7265625" customWidth="1"/>
    <col min="9262" max="9262" width="12.453125" customWidth="1"/>
    <col min="9263" max="9275" width="6.7265625" customWidth="1"/>
    <col min="9473" max="9473" width="12.453125" customWidth="1"/>
    <col min="9475" max="9477" width="9.453125" bestFit="1" customWidth="1"/>
    <col min="9478" max="9486" width="6.7265625" customWidth="1"/>
    <col min="9487" max="9487" width="3.7265625" customWidth="1"/>
    <col min="9488" max="9488" width="12.453125" customWidth="1"/>
    <col min="9489" max="9501" width="6.7265625" customWidth="1"/>
    <col min="9502" max="9502" width="3.7265625" customWidth="1"/>
    <col min="9503" max="9503" width="12.453125" customWidth="1"/>
    <col min="9504" max="9516" width="6.7265625" customWidth="1"/>
    <col min="9517" max="9517" width="3.7265625" customWidth="1"/>
    <col min="9518" max="9518" width="12.453125" customWidth="1"/>
    <col min="9519" max="9531" width="6.7265625" customWidth="1"/>
    <col min="9729" max="9729" width="12.453125" customWidth="1"/>
    <col min="9731" max="9733" width="9.453125" bestFit="1" customWidth="1"/>
    <col min="9734" max="9742" width="6.7265625" customWidth="1"/>
    <col min="9743" max="9743" width="3.7265625" customWidth="1"/>
    <col min="9744" max="9744" width="12.453125" customWidth="1"/>
    <col min="9745" max="9757" width="6.7265625" customWidth="1"/>
    <col min="9758" max="9758" width="3.7265625" customWidth="1"/>
    <col min="9759" max="9759" width="12.453125" customWidth="1"/>
    <col min="9760" max="9772" width="6.7265625" customWidth="1"/>
    <col min="9773" max="9773" width="3.7265625" customWidth="1"/>
    <col min="9774" max="9774" width="12.453125" customWidth="1"/>
    <col min="9775" max="9787" width="6.7265625" customWidth="1"/>
    <col min="9985" max="9985" width="12.453125" customWidth="1"/>
    <col min="9987" max="9989" width="9.453125" bestFit="1" customWidth="1"/>
    <col min="9990" max="9998" width="6.7265625" customWidth="1"/>
    <col min="9999" max="9999" width="3.7265625" customWidth="1"/>
    <col min="10000" max="10000" width="12.453125" customWidth="1"/>
    <col min="10001" max="10013" width="6.7265625" customWidth="1"/>
    <col min="10014" max="10014" width="3.7265625" customWidth="1"/>
    <col min="10015" max="10015" width="12.453125" customWidth="1"/>
    <col min="10016" max="10028" width="6.7265625" customWidth="1"/>
    <col min="10029" max="10029" width="3.7265625" customWidth="1"/>
    <col min="10030" max="10030" width="12.453125" customWidth="1"/>
    <col min="10031" max="10043" width="6.7265625" customWidth="1"/>
    <col min="10241" max="10241" width="12.453125" customWidth="1"/>
    <col min="10243" max="10245" width="9.453125" bestFit="1" customWidth="1"/>
    <col min="10246" max="10254" width="6.7265625" customWidth="1"/>
    <col min="10255" max="10255" width="3.7265625" customWidth="1"/>
    <col min="10256" max="10256" width="12.453125" customWidth="1"/>
    <col min="10257" max="10269" width="6.7265625" customWidth="1"/>
    <col min="10270" max="10270" width="3.7265625" customWidth="1"/>
    <col min="10271" max="10271" width="12.453125" customWidth="1"/>
    <col min="10272" max="10284" width="6.7265625" customWidth="1"/>
    <col min="10285" max="10285" width="3.7265625" customWidth="1"/>
    <col min="10286" max="10286" width="12.453125" customWidth="1"/>
    <col min="10287" max="10299" width="6.7265625" customWidth="1"/>
    <col min="10497" max="10497" width="12.453125" customWidth="1"/>
    <col min="10499" max="10501" width="9.453125" bestFit="1" customWidth="1"/>
    <col min="10502" max="10510" width="6.7265625" customWidth="1"/>
    <col min="10511" max="10511" width="3.7265625" customWidth="1"/>
    <col min="10512" max="10512" width="12.453125" customWidth="1"/>
    <col min="10513" max="10525" width="6.7265625" customWidth="1"/>
    <col min="10526" max="10526" width="3.7265625" customWidth="1"/>
    <col min="10527" max="10527" width="12.453125" customWidth="1"/>
    <col min="10528" max="10540" width="6.7265625" customWidth="1"/>
    <col min="10541" max="10541" width="3.7265625" customWidth="1"/>
    <col min="10542" max="10542" width="12.453125" customWidth="1"/>
    <col min="10543" max="10555" width="6.7265625" customWidth="1"/>
    <col min="10753" max="10753" width="12.453125" customWidth="1"/>
    <col min="10755" max="10757" width="9.453125" bestFit="1" customWidth="1"/>
    <col min="10758" max="10766" width="6.7265625" customWidth="1"/>
    <col min="10767" max="10767" width="3.7265625" customWidth="1"/>
    <col min="10768" max="10768" width="12.453125" customWidth="1"/>
    <col min="10769" max="10781" width="6.7265625" customWidth="1"/>
    <col min="10782" max="10782" width="3.7265625" customWidth="1"/>
    <col min="10783" max="10783" width="12.453125" customWidth="1"/>
    <col min="10784" max="10796" width="6.7265625" customWidth="1"/>
    <col min="10797" max="10797" width="3.7265625" customWidth="1"/>
    <col min="10798" max="10798" width="12.453125" customWidth="1"/>
    <col min="10799" max="10811" width="6.7265625" customWidth="1"/>
    <col min="11009" max="11009" width="12.453125" customWidth="1"/>
    <col min="11011" max="11013" width="9.453125" bestFit="1" customWidth="1"/>
    <col min="11014" max="11022" width="6.7265625" customWidth="1"/>
    <col min="11023" max="11023" width="3.7265625" customWidth="1"/>
    <col min="11024" max="11024" width="12.453125" customWidth="1"/>
    <col min="11025" max="11037" width="6.7265625" customWidth="1"/>
    <col min="11038" max="11038" width="3.7265625" customWidth="1"/>
    <col min="11039" max="11039" width="12.453125" customWidth="1"/>
    <col min="11040" max="11052" width="6.7265625" customWidth="1"/>
    <col min="11053" max="11053" width="3.7265625" customWidth="1"/>
    <col min="11054" max="11054" width="12.453125" customWidth="1"/>
    <col min="11055" max="11067" width="6.7265625" customWidth="1"/>
    <col min="11265" max="11265" width="12.453125" customWidth="1"/>
    <col min="11267" max="11269" width="9.453125" bestFit="1" customWidth="1"/>
    <col min="11270" max="11278" width="6.7265625" customWidth="1"/>
    <col min="11279" max="11279" width="3.7265625" customWidth="1"/>
    <col min="11280" max="11280" width="12.453125" customWidth="1"/>
    <col min="11281" max="11293" width="6.7265625" customWidth="1"/>
    <col min="11294" max="11294" width="3.7265625" customWidth="1"/>
    <col min="11295" max="11295" width="12.453125" customWidth="1"/>
    <col min="11296" max="11308" width="6.7265625" customWidth="1"/>
    <col min="11309" max="11309" width="3.7265625" customWidth="1"/>
    <col min="11310" max="11310" width="12.453125" customWidth="1"/>
    <col min="11311" max="11323" width="6.7265625" customWidth="1"/>
    <col min="11521" max="11521" width="12.453125" customWidth="1"/>
    <col min="11523" max="11525" width="9.453125" bestFit="1" customWidth="1"/>
    <col min="11526" max="11534" width="6.7265625" customWidth="1"/>
    <col min="11535" max="11535" width="3.7265625" customWidth="1"/>
    <col min="11536" max="11536" width="12.453125" customWidth="1"/>
    <col min="11537" max="11549" width="6.7265625" customWidth="1"/>
    <col min="11550" max="11550" width="3.7265625" customWidth="1"/>
    <col min="11551" max="11551" width="12.453125" customWidth="1"/>
    <col min="11552" max="11564" width="6.7265625" customWidth="1"/>
    <col min="11565" max="11565" width="3.7265625" customWidth="1"/>
    <col min="11566" max="11566" width="12.453125" customWidth="1"/>
    <col min="11567" max="11579" width="6.7265625" customWidth="1"/>
    <col min="11777" max="11777" width="12.453125" customWidth="1"/>
    <col min="11779" max="11781" width="9.453125" bestFit="1" customWidth="1"/>
    <col min="11782" max="11790" width="6.7265625" customWidth="1"/>
    <col min="11791" max="11791" width="3.7265625" customWidth="1"/>
    <col min="11792" max="11792" width="12.453125" customWidth="1"/>
    <col min="11793" max="11805" width="6.7265625" customWidth="1"/>
    <col min="11806" max="11806" width="3.7265625" customWidth="1"/>
    <col min="11807" max="11807" width="12.453125" customWidth="1"/>
    <col min="11808" max="11820" width="6.7265625" customWidth="1"/>
    <col min="11821" max="11821" width="3.7265625" customWidth="1"/>
    <col min="11822" max="11822" width="12.453125" customWidth="1"/>
    <col min="11823" max="11835" width="6.7265625" customWidth="1"/>
    <col min="12033" max="12033" width="12.453125" customWidth="1"/>
    <col min="12035" max="12037" width="9.453125" bestFit="1" customWidth="1"/>
    <col min="12038" max="12046" width="6.7265625" customWidth="1"/>
    <col min="12047" max="12047" width="3.7265625" customWidth="1"/>
    <col min="12048" max="12048" width="12.453125" customWidth="1"/>
    <col min="12049" max="12061" width="6.7265625" customWidth="1"/>
    <col min="12062" max="12062" width="3.7265625" customWidth="1"/>
    <col min="12063" max="12063" width="12.453125" customWidth="1"/>
    <col min="12064" max="12076" width="6.7265625" customWidth="1"/>
    <col min="12077" max="12077" width="3.7265625" customWidth="1"/>
    <col min="12078" max="12078" width="12.453125" customWidth="1"/>
    <col min="12079" max="12091" width="6.7265625" customWidth="1"/>
    <col min="12289" max="12289" width="12.453125" customWidth="1"/>
    <col min="12291" max="12293" width="9.453125" bestFit="1" customWidth="1"/>
    <col min="12294" max="12302" width="6.7265625" customWidth="1"/>
    <col min="12303" max="12303" width="3.7265625" customWidth="1"/>
    <col min="12304" max="12304" width="12.453125" customWidth="1"/>
    <col min="12305" max="12317" width="6.7265625" customWidth="1"/>
    <col min="12318" max="12318" width="3.7265625" customWidth="1"/>
    <col min="12319" max="12319" width="12.453125" customWidth="1"/>
    <col min="12320" max="12332" width="6.7265625" customWidth="1"/>
    <col min="12333" max="12333" width="3.7265625" customWidth="1"/>
    <col min="12334" max="12334" width="12.453125" customWidth="1"/>
    <col min="12335" max="12347" width="6.7265625" customWidth="1"/>
    <col min="12545" max="12545" width="12.453125" customWidth="1"/>
    <col min="12547" max="12549" width="9.453125" bestFit="1" customWidth="1"/>
    <col min="12550" max="12558" width="6.7265625" customWidth="1"/>
    <col min="12559" max="12559" width="3.7265625" customWidth="1"/>
    <col min="12560" max="12560" width="12.453125" customWidth="1"/>
    <col min="12561" max="12573" width="6.7265625" customWidth="1"/>
    <col min="12574" max="12574" width="3.7265625" customWidth="1"/>
    <col min="12575" max="12575" width="12.453125" customWidth="1"/>
    <col min="12576" max="12588" width="6.7265625" customWidth="1"/>
    <col min="12589" max="12589" width="3.7265625" customWidth="1"/>
    <col min="12590" max="12590" width="12.453125" customWidth="1"/>
    <col min="12591" max="12603" width="6.7265625" customWidth="1"/>
    <col min="12801" max="12801" width="12.453125" customWidth="1"/>
    <col min="12803" max="12805" width="9.453125" bestFit="1" customWidth="1"/>
    <col min="12806" max="12814" width="6.7265625" customWidth="1"/>
    <col min="12815" max="12815" width="3.7265625" customWidth="1"/>
    <col min="12816" max="12816" width="12.453125" customWidth="1"/>
    <col min="12817" max="12829" width="6.7265625" customWidth="1"/>
    <col min="12830" max="12830" width="3.7265625" customWidth="1"/>
    <col min="12831" max="12831" width="12.453125" customWidth="1"/>
    <col min="12832" max="12844" width="6.7265625" customWidth="1"/>
    <col min="12845" max="12845" width="3.7265625" customWidth="1"/>
    <col min="12846" max="12846" width="12.453125" customWidth="1"/>
    <col min="12847" max="12859" width="6.7265625" customWidth="1"/>
    <col min="13057" max="13057" width="12.453125" customWidth="1"/>
    <col min="13059" max="13061" width="9.453125" bestFit="1" customWidth="1"/>
    <col min="13062" max="13070" width="6.7265625" customWidth="1"/>
    <col min="13071" max="13071" width="3.7265625" customWidth="1"/>
    <col min="13072" max="13072" width="12.453125" customWidth="1"/>
    <col min="13073" max="13085" width="6.7265625" customWidth="1"/>
    <col min="13086" max="13086" width="3.7265625" customWidth="1"/>
    <col min="13087" max="13087" width="12.453125" customWidth="1"/>
    <col min="13088" max="13100" width="6.7265625" customWidth="1"/>
    <col min="13101" max="13101" width="3.7265625" customWidth="1"/>
    <col min="13102" max="13102" width="12.453125" customWidth="1"/>
    <col min="13103" max="13115" width="6.7265625" customWidth="1"/>
    <col min="13313" max="13313" width="12.453125" customWidth="1"/>
    <col min="13315" max="13317" width="9.453125" bestFit="1" customWidth="1"/>
    <col min="13318" max="13326" width="6.7265625" customWidth="1"/>
    <col min="13327" max="13327" width="3.7265625" customWidth="1"/>
    <col min="13328" max="13328" width="12.453125" customWidth="1"/>
    <col min="13329" max="13341" width="6.7265625" customWidth="1"/>
    <col min="13342" max="13342" width="3.7265625" customWidth="1"/>
    <col min="13343" max="13343" width="12.453125" customWidth="1"/>
    <col min="13344" max="13356" width="6.7265625" customWidth="1"/>
    <col min="13357" max="13357" width="3.7265625" customWidth="1"/>
    <col min="13358" max="13358" width="12.453125" customWidth="1"/>
    <col min="13359" max="13371" width="6.7265625" customWidth="1"/>
    <col min="13569" max="13569" width="12.453125" customWidth="1"/>
    <col min="13571" max="13573" width="9.453125" bestFit="1" customWidth="1"/>
    <col min="13574" max="13582" width="6.7265625" customWidth="1"/>
    <col min="13583" max="13583" width="3.7265625" customWidth="1"/>
    <col min="13584" max="13584" width="12.453125" customWidth="1"/>
    <col min="13585" max="13597" width="6.7265625" customWidth="1"/>
    <col min="13598" max="13598" width="3.7265625" customWidth="1"/>
    <col min="13599" max="13599" width="12.453125" customWidth="1"/>
    <col min="13600" max="13612" width="6.7265625" customWidth="1"/>
    <col min="13613" max="13613" width="3.7265625" customWidth="1"/>
    <col min="13614" max="13614" width="12.453125" customWidth="1"/>
    <col min="13615" max="13627" width="6.7265625" customWidth="1"/>
    <col min="13825" max="13825" width="12.453125" customWidth="1"/>
    <col min="13827" max="13829" width="9.453125" bestFit="1" customWidth="1"/>
    <col min="13830" max="13838" width="6.7265625" customWidth="1"/>
    <col min="13839" max="13839" width="3.7265625" customWidth="1"/>
    <col min="13840" max="13840" width="12.453125" customWidth="1"/>
    <col min="13841" max="13853" width="6.7265625" customWidth="1"/>
    <col min="13854" max="13854" width="3.7265625" customWidth="1"/>
    <col min="13855" max="13855" width="12.453125" customWidth="1"/>
    <col min="13856" max="13868" width="6.7265625" customWidth="1"/>
    <col min="13869" max="13869" width="3.7265625" customWidth="1"/>
    <col min="13870" max="13870" width="12.453125" customWidth="1"/>
    <col min="13871" max="13883" width="6.7265625" customWidth="1"/>
    <col min="14081" max="14081" width="12.453125" customWidth="1"/>
    <col min="14083" max="14085" width="9.453125" bestFit="1" customWidth="1"/>
    <col min="14086" max="14094" width="6.7265625" customWidth="1"/>
    <col min="14095" max="14095" width="3.7265625" customWidth="1"/>
    <col min="14096" max="14096" width="12.453125" customWidth="1"/>
    <col min="14097" max="14109" width="6.7265625" customWidth="1"/>
    <col min="14110" max="14110" width="3.7265625" customWidth="1"/>
    <col min="14111" max="14111" width="12.453125" customWidth="1"/>
    <col min="14112" max="14124" width="6.7265625" customWidth="1"/>
    <col min="14125" max="14125" width="3.7265625" customWidth="1"/>
    <col min="14126" max="14126" width="12.453125" customWidth="1"/>
    <col min="14127" max="14139" width="6.7265625" customWidth="1"/>
    <col min="14337" max="14337" width="12.453125" customWidth="1"/>
    <col min="14339" max="14341" width="9.453125" bestFit="1" customWidth="1"/>
    <col min="14342" max="14350" width="6.7265625" customWidth="1"/>
    <col min="14351" max="14351" width="3.7265625" customWidth="1"/>
    <col min="14352" max="14352" width="12.453125" customWidth="1"/>
    <col min="14353" max="14365" width="6.7265625" customWidth="1"/>
    <col min="14366" max="14366" width="3.7265625" customWidth="1"/>
    <col min="14367" max="14367" width="12.453125" customWidth="1"/>
    <col min="14368" max="14380" width="6.7265625" customWidth="1"/>
    <col min="14381" max="14381" width="3.7265625" customWidth="1"/>
    <col min="14382" max="14382" width="12.453125" customWidth="1"/>
    <col min="14383" max="14395" width="6.7265625" customWidth="1"/>
    <col min="14593" max="14593" width="12.453125" customWidth="1"/>
    <col min="14595" max="14597" width="9.453125" bestFit="1" customWidth="1"/>
    <col min="14598" max="14606" width="6.7265625" customWidth="1"/>
    <col min="14607" max="14607" width="3.7265625" customWidth="1"/>
    <col min="14608" max="14608" width="12.453125" customWidth="1"/>
    <col min="14609" max="14621" width="6.7265625" customWidth="1"/>
    <col min="14622" max="14622" width="3.7265625" customWidth="1"/>
    <col min="14623" max="14623" width="12.453125" customWidth="1"/>
    <col min="14624" max="14636" width="6.7265625" customWidth="1"/>
    <col min="14637" max="14637" width="3.7265625" customWidth="1"/>
    <col min="14638" max="14638" width="12.453125" customWidth="1"/>
    <col min="14639" max="14651" width="6.7265625" customWidth="1"/>
    <col min="14849" max="14849" width="12.453125" customWidth="1"/>
    <col min="14851" max="14853" width="9.453125" bestFit="1" customWidth="1"/>
    <col min="14854" max="14862" width="6.7265625" customWidth="1"/>
    <col min="14863" max="14863" width="3.7265625" customWidth="1"/>
    <col min="14864" max="14864" width="12.453125" customWidth="1"/>
    <col min="14865" max="14877" width="6.7265625" customWidth="1"/>
    <col min="14878" max="14878" width="3.7265625" customWidth="1"/>
    <col min="14879" max="14879" width="12.453125" customWidth="1"/>
    <col min="14880" max="14892" width="6.7265625" customWidth="1"/>
    <col min="14893" max="14893" width="3.7265625" customWidth="1"/>
    <col min="14894" max="14894" width="12.453125" customWidth="1"/>
    <col min="14895" max="14907" width="6.7265625" customWidth="1"/>
    <col min="15105" max="15105" width="12.453125" customWidth="1"/>
    <col min="15107" max="15109" width="9.453125" bestFit="1" customWidth="1"/>
    <col min="15110" max="15118" width="6.7265625" customWidth="1"/>
    <col min="15119" max="15119" width="3.7265625" customWidth="1"/>
    <col min="15120" max="15120" width="12.453125" customWidth="1"/>
    <col min="15121" max="15133" width="6.7265625" customWidth="1"/>
    <col min="15134" max="15134" width="3.7265625" customWidth="1"/>
    <col min="15135" max="15135" width="12.453125" customWidth="1"/>
    <col min="15136" max="15148" width="6.7265625" customWidth="1"/>
    <col min="15149" max="15149" width="3.7265625" customWidth="1"/>
    <col min="15150" max="15150" width="12.453125" customWidth="1"/>
    <col min="15151" max="15163" width="6.7265625" customWidth="1"/>
    <col min="15361" max="15361" width="12.453125" customWidth="1"/>
    <col min="15363" max="15365" width="9.453125" bestFit="1" customWidth="1"/>
    <col min="15366" max="15374" width="6.7265625" customWidth="1"/>
    <col min="15375" max="15375" width="3.7265625" customWidth="1"/>
    <col min="15376" max="15376" width="12.453125" customWidth="1"/>
    <col min="15377" max="15389" width="6.7265625" customWidth="1"/>
    <col min="15390" max="15390" width="3.7265625" customWidth="1"/>
    <col min="15391" max="15391" width="12.453125" customWidth="1"/>
    <col min="15392" max="15404" width="6.7265625" customWidth="1"/>
    <col min="15405" max="15405" width="3.7265625" customWidth="1"/>
    <col min="15406" max="15406" width="12.453125" customWidth="1"/>
    <col min="15407" max="15419" width="6.7265625" customWidth="1"/>
    <col min="15617" max="15617" width="12.453125" customWidth="1"/>
    <col min="15619" max="15621" width="9.453125" bestFit="1" customWidth="1"/>
    <col min="15622" max="15630" width="6.7265625" customWidth="1"/>
    <col min="15631" max="15631" width="3.7265625" customWidth="1"/>
    <col min="15632" max="15632" width="12.453125" customWidth="1"/>
    <col min="15633" max="15645" width="6.7265625" customWidth="1"/>
    <col min="15646" max="15646" width="3.7265625" customWidth="1"/>
    <col min="15647" max="15647" width="12.453125" customWidth="1"/>
    <col min="15648" max="15660" width="6.7265625" customWidth="1"/>
    <col min="15661" max="15661" width="3.7265625" customWidth="1"/>
    <col min="15662" max="15662" width="12.453125" customWidth="1"/>
    <col min="15663" max="15675" width="6.7265625" customWidth="1"/>
    <col min="15873" max="15873" width="12.453125" customWidth="1"/>
    <col min="15875" max="15877" width="9.453125" bestFit="1" customWidth="1"/>
    <col min="15878" max="15886" width="6.7265625" customWidth="1"/>
    <col min="15887" max="15887" width="3.7265625" customWidth="1"/>
    <col min="15888" max="15888" width="12.453125" customWidth="1"/>
    <col min="15889" max="15901" width="6.7265625" customWidth="1"/>
    <col min="15902" max="15902" width="3.7265625" customWidth="1"/>
    <col min="15903" max="15903" width="12.453125" customWidth="1"/>
    <col min="15904" max="15916" width="6.7265625" customWidth="1"/>
    <col min="15917" max="15917" width="3.7265625" customWidth="1"/>
    <col min="15918" max="15918" width="12.453125" customWidth="1"/>
    <col min="15919" max="15931" width="6.7265625" customWidth="1"/>
    <col min="16129" max="16129" width="12.453125" customWidth="1"/>
    <col min="16131" max="16133" width="9.453125" bestFit="1" customWidth="1"/>
    <col min="16134" max="16142" width="6.7265625" customWidth="1"/>
    <col min="16143" max="16143" width="3.7265625" customWidth="1"/>
    <col min="16144" max="16144" width="12.453125" customWidth="1"/>
    <col min="16145" max="16157" width="6.7265625" customWidth="1"/>
    <col min="16158" max="16158" width="3.7265625" customWidth="1"/>
    <col min="16159" max="16159" width="12.453125" customWidth="1"/>
    <col min="16160" max="16172" width="6.7265625" customWidth="1"/>
    <col min="16173" max="16173" width="3.7265625" customWidth="1"/>
    <col min="16174" max="16174" width="12.453125" customWidth="1"/>
    <col min="16175" max="16187" width="6.7265625" customWidth="1"/>
  </cols>
  <sheetData>
    <row r="1" spans="1:59" ht="14.5">
      <c r="A1" s="340" t="s">
        <v>135</v>
      </c>
      <c r="B1" s="340"/>
      <c r="C1" s="340"/>
      <c r="D1" s="340"/>
      <c r="E1" s="340"/>
      <c r="F1" s="340"/>
      <c r="G1" s="340"/>
      <c r="H1" s="340"/>
      <c r="I1" s="340"/>
      <c r="J1" s="340"/>
      <c r="K1" s="178"/>
    </row>
    <row r="2" spans="1:59" ht="16" thickBot="1">
      <c r="A2" s="261" t="s">
        <v>136</v>
      </c>
      <c r="B2" s="6"/>
      <c r="C2" s="11"/>
      <c r="D2" s="6"/>
      <c r="E2" s="6"/>
      <c r="F2" s="6"/>
      <c r="G2" s="6"/>
      <c r="H2" s="6"/>
      <c r="I2" s="6"/>
      <c r="J2" s="177"/>
      <c r="K2" s="178"/>
    </row>
    <row r="3" spans="1:59" ht="16" thickBot="1">
      <c r="A3" s="325" t="s">
        <v>106</v>
      </c>
      <c r="B3" s="376" t="str">
        <f>'START HERE'!F6</f>
        <v>EU</v>
      </c>
      <c r="C3" s="387"/>
      <c r="D3" s="377"/>
      <c r="E3" s="177"/>
      <c r="F3" s="30" t="s">
        <v>38</v>
      </c>
      <c r="G3" s="373" t="str">
        <f>'LEN F3'!F3</f>
        <v>Fleet 3 Peru &amp; Equador</v>
      </c>
      <c r="H3" s="374"/>
      <c r="I3" s="375"/>
      <c r="J3" s="177"/>
      <c r="K3" s="178"/>
    </row>
    <row r="4" spans="1:59" ht="15.5">
      <c r="A4" s="12" t="s">
        <v>18</v>
      </c>
      <c r="B4" s="376" t="str">
        <f>'START HERE'!F5</f>
        <v>Jack mackerel</v>
      </c>
      <c r="C4" s="387"/>
      <c r="D4" s="377"/>
      <c r="E4" s="177"/>
      <c r="F4" s="326"/>
      <c r="G4" s="317"/>
      <c r="H4" s="318"/>
      <c r="I4" s="336"/>
      <c r="J4" s="177"/>
      <c r="K4" s="178"/>
    </row>
    <row r="5" spans="1:59" ht="18">
      <c r="A5" s="12" t="s">
        <v>13</v>
      </c>
      <c r="B5" s="388">
        <f>'START HERE'!$K$3</f>
        <v>2010</v>
      </c>
      <c r="C5" s="389"/>
      <c r="D5" s="390"/>
      <c r="E5" s="177"/>
      <c r="F5" s="12" t="s">
        <v>39</v>
      </c>
      <c r="G5" s="324" t="s">
        <v>137</v>
      </c>
      <c r="H5" s="334"/>
      <c r="I5" s="335"/>
      <c r="J5" s="177"/>
      <c r="K5" s="178"/>
    </row>
    <row r="6" spans="1:59" ht="16" thickBot="1">
      <c r="A6" s="12"/>
      <c r="B6" s="11"/>
      <c r="C6" s="103"/>
      <c r="D6" s="6"/>
      <c r="F6" s="12" t="s">
        <v>14</v>
      </c>
      <c r="G6" s="381">
        <f>'START HERE'!$F8</f>
        <v>43100</v>
      </c>
      <c r="H6" s="382"/>
      <c r="I6" s="383"/>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4"/>
      <c r="R9" s="404"/>
      <c r="S9" s="404"/>
      <c r="T9" s="404"/>
      <c r="U9" s="404"/>
      <c r="V9" s="404"/>
      <c r="W9" s="404"/>
      <c r="X9" s="404"/>
      <c r="Y9" s="404"/>
      <c r="Z9" s="404"/>
      <c r="AA9" s="404"/>
      <c r="AB9" s="404"/>
      <c r="AC9" s="404"/>
      <c r="AE9" s="2"/>
      <c r="AF9" s="404"/>
      <c r="AG9" s="404"/>
      <c r="AH9" s="404"/>
      <c r="AI9" s="404"/>
      <c r="AJ9" s="404"/>
      <c r="AK9" s="404"/>
      <c r="AL9" s="404"/>
      <c r="AM9" s="404"/>
      <c r="AN9" s="404"/>
      <c r="AO9" s="404"/>
      <c r="AP9" s="404"/>
      <c r="AQ9" s="404"/>
      <c r="AR9" s="404"/>
      <c r="AT9" s="2"/>
      <c r="AU9" s="404"/>
      <c r="AV9" s="404"/>
      <c r="AW9" s="404"/>
      <c r="AX9" s="404"/>
      <c r="AY9" s="404"/>
      <c r="AZ9" s="404"/>
      <c r="BA9" s="404"/>
      <c r="BB9" s="404"/>
      <c r="BC9" s="404"/>
      <c r="BD9" s="404"/>
      <c r="BE9" s="404"/>
      <c r="BF9" s="404"/>
      <c r="BG9" s="404"/>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topLeftCell="A34" workbookViewId="0">
      <selection activeCell="O64" sqref="O64"/>
    </sheetView>
  </sheetViews>
  <sheetFormatPr defaultColWidth="8.81640625" defaultRowHeight="12.5"/>
  <cols>
    <col min="1" max="1" width="12.453125" customWidth="1"/>
    <col min="2" max="5" width="11" customWidth="1"/>
    <col min="6" max="6" width="6.7265625" customWidth="1"/>
    <col min="7" max="9" width="10.1796875" customWidth="1"/>
    <col min="10" max="14" width="6.7265625" customWidth="1"/>
    <col min="15" max="15" width="9.453125" customWidth="1"/>
    <col min="16" max="16" width="12.453125" customWidth="1"/>
    <col min="17" max="29" width="6.7265625" customWidth="1"/>
    <col min="30" max="30" width="3.7265625" customWidth="1"/>
    <col min="31" max="31" width="12.453125" customWidth="1"/>
    <col min="32" max="44" width="6.7265625" customWidth="1"/>
    <col min="45" max="45" width="3.7265625" customWidth="1"/>
    <col min="46" max="46" width="12.453125" customWidth="1"/>
    <col min="47" max="59" width="6.7265625" customWidth="1"/>
    <col min="257" max="257" width="12.453125" customWidth="1"/>
    <col min="259" max="261" width="9.453125" bestFit="1" customWidth="1"/>
    <col min="262" max="270" width="6.7265625" customWidth="1"/>
    <col min="271" max="271" width="3.7265625" customWidth="1"/>
    <col min="272" max="272" width="12.453125" customWidth="1"/>
    <col min="273" max="285" width="6.7265625" customWidth="1"/>
    <col min="286" max="286" width="3.7265625" customWidth="1"/>
    <col min="287" max="287" width="12.453125" customWidth="1"/>
    <col min="288" max="300" width="6.7265625" customWidth="1"/>
    <col min="301" max="301" width="3.7265625" customWidth="1"/>
    <col min="302" max="302" width="12.453125" customWidth="1"/>
    <col min="303" max="315" width="6.7265625" customWidth="1"/>
    <col min="513" max="513" width="12.453125" customWidth="1"/>
    <col min="515" max="517" width="9.453125" bestFit="1" customWidth="1"/>
    <col min="518" max="526" width="6.7265625" customWidth="1"/>
    <col min="527" max="527" width="3.7265625" customWidth="1"/>
    <col min="528" max="528" width="12.453125" customWidth="1"/>
    <col min="529" max="541" width="6.7265625" customWidth="1"/>
    <col min="542" max="542" width="3.7265625" customWidth="1"/>
    <col min="543" max="543" width="12.453125" customWidth="1"/>
    <col min="544" max="556" width="6.7265625" customWidth="1"/>
    <col min="557" max="557" width="3.7265625" customWidth="1"/>
    <col min="558" max="558" width="12.453125" customWidth="1"/>
    <col min="559" max="571" width="6.7265625" customWidth="1"/>
    <col min="769" max="769" width="12.453125" customWidth="1"/>
    <col min="771" max="773" width="9.453125" bestFit="1" customWidth="1"/>
    <col min="774" max="782" width="6.7265625" customWidth="1"/>
    <col min="783" max="783" width="3.7265625" customWidth="1"/>
    <col min="784" max="784" width="12.453125" customWidth="1"/>
    <col min="785" max="797" width="6.7265625" customWidth="1"/>
    <col min="798" max="798" width="3.7265625" customWidth="1"/>
    <col min="799" max="799" width="12.453125" customWidth="1"/>
    <col min="800" max="812" width="6.7265625" customWidth="1"/>
    <col min="813" max="813" width="3.7265625" customWidth="1"/>
    <col min="814" max="814" width="12.453125" customWidth="1"/>
    <col min="815" max="827" width="6.7265625" customWidth="1"/>
    <col min="1025" max="1025" width="12.453125" customWidth="1"/>
    <col min="1027" max="1029" width="9.453125" bestFit="1" customWidth="1"/>
    <col min="1030" max="1038" width="6.7265625" customWidth="1"/>
    <col min="1039" max="1039" width="3.7265625" customWidth="1"/>
    <col min="1040" max="1040" width="12.453125" customWidth="1"/>
    <col min="1041" max="1053" width="6.7265625" customWidth="1"/>
    <col min="1054" max="1054" width="3.7265625" customWidth="1"/>
    <col min="1055" max="1055" width="12.453125" customWidth="1"/>
    <col min="1056" max="1068" width="6.7265625" customWidth="1"/>
    <col min="1069" max="1069" width="3.7265625" customWidth="1"/>
    <col min="1070" max="1070" width="12.453125" customWidth="1"/>
    <col min="1071" max="1083" width="6.7265625" customWidth="1"/>
    <col min="1281" max="1281" width="12.453125" customWidth="1"/>
    <col min="1283" max="1285" width="9.453125" bestFit="1" customWidth="1"/>
    <col min="1286" max="1294" width="6.7265625" customWidth="1"/>
    <col min="1295" max="1295" width="3.7265625" customWidth="1"/>
    <col min="1296" max="1296" width="12.453125" customWidth="1"/>
    <col min="1297" max="1309" width="6.7265625" customWidth="1"/>
    <col min="1310" max="1310" width="3.7265625" customWidth="1"/>
    <col min="1311" max="1311" width="12.453125" customWidth="1"/>
    <col min="1312" max="1324" width="6.7265625" customWidth="1"/>
    <col min="1325" max="1325" width="3.7265625" customWidth="1"/>
    <col min="1326" max="1326" width="12.453125" customWidth="1"/>
    <col min="1327" max="1339" width="6.7265625" customWidth="1"/>
    <col min="1537" max="1537" width="12.453125" customWidth="1"/>
    <col min="1539" max="1541" width="9.453125" bestFit="1" customWidth="1"/>
    <col min="1542" max="1550" width="6.7265625" customWidth="1"/>
    <col min="1551" max="1551" width="3.7265625" customWidth="1"/>
    <col min="1552" max="1552" width="12.453125" customWidth="1"/>
    <col min="1553" max="1565" width="6.7265625" customWidth="1"/>
    <col min="1566" max="1566" width="3.7265625" customWidth="1"/>
    <col min="1567" max="1567" width="12.453125" customWidth="1"/>
    <col min="1568" max="1580" width="6.7265625" customWidth="1"/>
    <col min="1581" max="1581" width="3.7265625" customWidth="1"/>
    <col min="1582" max="1582" width="12.453125" customWidth="1"/>
    <col min="1583" max="1595" width="6.7265625" customWidth="1"/>
    <col min="1793" max="1793" width="12.453125" customWidth="1"/>
    <col min="1795" max="1797" width="9.453125" bestFit="1" customWidth="1"/>
    <col min="1798" max="1806" width="6.7265625" customWidth="1"/>
    <col min="1807" max="1807" width="3.7265625" customWidth="1"/>
    <col min="1808" max="1808" width="12.453125" customWidth="1"/>
    <col min="1809" max="1821" width="6.7265625" customWidth="1"/>
    <col min="1822" max="1822" width="3.7265625" customWidth="1"/>
    <col min="1823" max="1823" width="12.453125" customWidth="1"/>
    <col min="1824" max="1836" width="6.7265625" customWidth="1"/>
    <col min="1837" max="1837" width="3.7265625" customWidth="1"/>
    <col min="1838" max="1838" width="12.453125" customWidth="1"/>
    <col min="1839" max="1851" width="6.7265625" customWidth="1"/>
    <col min="2049" max="2049" width="12.453125" customWidth="1"/>
    <col min="2051" max="2053" width="9.453125" bestFit="1" customWidth="1"/>
    <col min="2054" max="2062" width="6.7265625" customWidth="1"/>
    <col min="2063" max="2063" width="3.7265625" customWidth="1"/>
    <col min="2064" max="2064" width="12.453125" customWidth="1"/>
    <col min="2065" max="2077" width="6.7265625" customWidth="1"/>
    <col min="2078" max="2078" width="3.7265625" customWidth="1"/>
    <col min="2079" max="2079" width="12.453125" customWidth="1"/>
    <col min="2080" max="2092" width="6.7265625" customWidth="1"/>
    <col min="2093" max="2093" width="3.7265625" customWidth="1"/>
    <col min="2094" max="2094" width="12.453125" customWidth="1"/>
    <col min="2095" max="2107" width="6.7265625" customWidth="1"/>
    <col min="2305" max="2305" width="12.453125" customWidth="1"/>
    <col min="2307" max="2309" width="9.453125" bestFit="1" customWidth="1"/>
    <col min="2310" max="2318" width="6.7265625" customWidth="1"/>
    <col min="2319" max="2319" width="3.7265625" customWidth="1"/>
    <col min="2320" max="2320" width="12.453125" customWidth="1"/>
    <col min="2321" max="2333" width="6.7265625" customWidth="1"/>
    <col min="2334" max="2334" width="3.7265625" customWidth="1"/>
    <col min="2335" max="2335" width="12.453125" customWidth="1"/>
    <col min="2336" max="2348" width="6.7265625" customWidth="1"/>
    <col min="2349" max="2349" width="3.7265625" customWidth="1"/>
    <col min="2350" max="2350" width="12.453125" customWidth="1"/>
    <col min="2351" max="2363" width="6.7265625" customWidth="1"/>
    <col min="2561" max="2561" width="12.453125" customWidth="1"/>
    <col min="2563" max="2565" width="9.453125" bestFit="1" customWidth="1"/>
    <col min="2566" max="2574" width="6.7265625" customWidth="1"/>
    <col min="2575" max="2575" width="3.7265625" customWidth="1"/>
    <col min="2576" max="2576" width="12.453125" customWidth="1"/>
    <col min="2577" max="2589" width="6.7265625" customWidth="1"/>
    <col min="2590" max="2590" width="3.7265625" customWidth="1"/>
    <col min="2591" max="2591" width="12.453125" customWidth="1"/>
    <col min="2592" max="2604" width="6.7265625" customWidth="1"/>
    <col min="2605" max="2605" width="3.7265625" customWidth="1"/>
    <col min="2606" max="2606" width="12.453125" customWidth="1"/>
    <col min="2607" max="2619" width="6.7265625" customWidth="1"/>
    <col min="2817" max="2817" width="12.453125" customWidth="1"/>
    <col min="2819" max="2821" width="9.453125" bestFit="1" customWidth="1"/>
    <col min="2822" max="2830" width="6.7265625" customWidth="1"/>
    <col min="2831" max="2831" width="3.7265625" customWidth="1"/>
    <col min="2832" max="2832" width="12.453125" customWidth="1"/>
    <col min="2833" max="2845" width="6.7265625" customWidth="1"/>
    <col min="2846" max="2846" width="3.7265625" customWidth="1"/>
    <col min="2847" max="2847" width="12.453125" customWidth="1"/>
    <col min="2848" max="2860" width="6.7265625" customWidth="1"/>
    <col min="2861" max="2861" width="3.7265625" customWidth="1"/>
    <col min="2862" max="2862" width="12.453125" customWidth="1"/>
    <col min="2863" max="2875" width="6.7265625" customWidth="1"/>
    <col min="3073" max="3073" width="12.453125" customWidth="1"/>
    <col min="3075" max="3077" width="9.453125" bestFit="1" customWidth="1"/>
    <col min="3078" max="3086" width="6.7265625" customWidth="1"/>
    <col min="3087" max="3087" width="3.7265625" customWidth="1"/>
    <col min="3088" max="3088" width="12.453125" customWidth="1"/>
    <col min="3089" max="3101" width="6.7265625" customWidth="1"/>
    <col min="3102" max="3102" width="3.7265625" customWidth="1"/>
    <col min="3103" max="3103" width="12.453125" customWidth="1"/>
    <col min="3104" max="3116" width="6.7265625" customWidth="1"/>
    <col min="3117" max="3117" width="3.7265625" customWidth="1"/>
    <col min="3118" max="3118" width="12.453125" customWidth="1"/>
    <col min="3119" max="3131" width="6.7265625" customWidth="1"/>
    <col min="3329" max="3329" width="12.453125" customWidth="1"/>
    <col min="3331" max="3333" width="9.453125" bestFit="1" customWidth="1"/>
    <col min="3334" max="3342" width="6.7265625" customWidth="1"/>
    <col min="3343" max="3343" width="3.7265625" customWidth="1"/>
    <col min="3344" max="3344" width="12.453125" customWidth="1"/>
    <col min="3345" max="3357" width="6.7265625" customWidth="1"/>
    <col min="3358" max="3358" width="3.7265625" customWidth="1"/>
    <col min="3359" max="3359" width="12.453125" customWidth="1"/>
    <col min="3360" max="3372" width="6.7265625" customWidth="1"/>
    <col min="3373" max="3373" width="3.7265625" customWidth="1"/>
    <col min="3374" max="3374" width="12.453125" customWidth="1"/>
    <col min="3375" max="3387" width="6.7265625" customWidth="1"/>
    <col min="3585" max="3585" width="12.453125" customWidth="1"/>
    <col min="3587" max="3589" width="9.453125" bestFit="1" customWidth="1"/>
    <col min="3590" max="3598" width="6.7265625" customWidth="1"/>
    <col min="3599" max="3599" width="3.7265625" customWidth="1"/>
    <col min="3600" max="3600" width="12.453125" customWidth="1"/>
    <col min="3601" max="3613" width="6.7265625" customWidth="1"/>
    <col min="3614" max="3614" width="3.7265625" customWidth="1"/>
    <col min="3615" max="3615" width="12.453125" customWidth="1"/>
    <col min="3616" max="3628" width="6.7265625" customWidth="1"/>
    <col min="3629" max="3629" width="3.7265625" customWidth="1"/>
    <col min="3630" max="3630" width="12.453125" customWidth="1"/>
    <col min="3631" max="3643" width="6.7265625" customWidth="1"/>
    <col min="3841" max="3841" width="12.453125" customWidth="1"/>
    <col min="3843" max="3845" width="9.453125" bestFit="1" customWidth="1"/>
    <col min="3846" max="3854" width="6.7265625" customWidth="1"/>
    <col min="3855" max="3855" width="3.7265625" customWidth="1"/>
    <col min="3856" max="3856" width="12.453125" customWidth="1"/>
    <col min="3857" max="3869" width="6.7265625" customWidth="1"/>
    <col min="3870" max="3870" width="3.7265625" customWidth="1"/>
    <col min="3871" max="3871" width="12.453125" customWidth="1"/>
    <col min="3872" max="3884" width="6.7265625" customWidth="1"/>
    <col min="3885" max="3885" width="3.7265625" customWidth="1"/>
    <col min="3886" max="3886" width="12.453125" customWidth="1"/>
    <col min="3887" max="3899" width="6.7265625" customWidth="1"/>
    <col min="4097" max="4097" width="12.453125" customWidth="1"/>
    <col min="4099" max="4101" width="9.453125" bestFit="1" customWidth="1"/>
    <col min="4102" max="4110" width="6.7265625" customWidth="1"/>
    <col min="4111" max="4111" width="3.7265625" customWidth="1"/>
    <col min="4112" max="4112" width="12.453125" customWidth="1"/>
    <col min="4113" max="4125" width="6.7265625" customWidth="1"/>
    <col min="4126" max="4126" width="3.7265625" customWidth="1"/>
    <col min="4127" max="4127" width="12.453125" customWidth="1"/>
    <col min="4128" max="4140" width="6.7265625" customWidth="1"/>
    <col min="4141" max="4141" width="3.7265625" customWidth="1"/>
    <col min="4142" max="4142" width="12.453125" customWidth="1"/>
    <col min="4143" max="4155" width="6.7265625" customWidth="1"/>
    <col min="4353" max="4353" width="12.453125" customWidth="1"/>
    <col min="4355" max="4357" width="9.453125" bestFit="1" customWidth="1"/>
    <col min="4358" max="4366" width="6.7265625" customWidth="1"/>
    <col min="4367" max="4367" width="3.7265625" customWidth="1"/>
    <col min="4368" max="4368" width="12.453125" customWidth="1"/>
    <col min="4369" max="4381" width="6.7265625" customWidth="1"/>
    <col min="4382" max="4382" width="3.7265625" customWidth="1"/>
    <col min="4383" max="4383" width="12.453125" customWidth="1"/>
    <col min="4384" max="4396" width="6.7265625" customWidth="1"/>
    <col min="4397" max="4397" width="3.7265625" customWidth="1"/>
    <col min="4398" max="4398" width="12.453125" customWidth="1"/>
    <col min="4399" max="4411" width="6.7265625" customWidth="1"/>
    <col min="4609" max="4609" width="12.453125" customWidth="1"/>
    <col min="4611" max="4613" width="9.453125" bestFit="1" customWidth="1"/>
    <col min="4614" max="4622" width="6.7265625" customWidth="1"/>
    <col min="4623" max="4623" width="3.7265625" customWidth="1"/>
    <col min="4624" max="4624" width="12.453125" customWidth="1"/>
    <col min="4625" max="4637" width="6.7265625" customWidth="1"/>
    <col min="4638" max="4638" width="3.7265625" customWidth="1"/>
    <col min="4639" max="4639" width="12.453125" customWidth="1"/>
    <col min="4640" max="4652" width="6.7265625" customWidth="1"/>
    <col min="4653" max="4653" width="3.7265625" customWidth="1"/>
    <col min="4654" max="4654" width="12.453125" customWidth="1"/>
    <col min="4655" max="4667" width="6.7265625" customWidth="1"/>
    <col min="4865" max="4865" width="12.453125" customWidth="1"/>
    <col min="4867" max="4869" width="9.453125" bestFit="1" customWidth="1"/>
    <col min="4870" max="4878" width="6.7265625" customWidth="1"/>
    <col min="4879" max="4879" width="3.7265625" customWidth="1"/>
    <col min="4880" max="4880" width="12.453125" customWidth="1"/>
    <col min="4881" max="4893" width="6.7265625" customWidth="1"/>
    <col min="4894" max="4894" width="3.7265625" customWidth="1"/>
    <col min="4895" max="4895" width="12.453125" customWidth="1"/>
    <col min="4896" max="4908" width="6.7265625" customWidth="1"/>
    <col min="4909" max="4909" width="3.7265625" customWidth="1"/>
    <col min="4910" max="4910" width="12.453125" customWidth="1"/>
    <col min="4911" max="4923" width="6.7265625" customWidth="1"/>
    <col min="5121" max="5121" width="12.453125" customWidth="1"/>
    <col min="5123" max="5125" width="9.453125" bestFit="1" customWidth="1"/>
    <col min="5126" max="5134" width="6.7265625" customWidth="1"/>
    <col min="5135" max="5135" width="3.7265625" customWidth="1"/>
    <col min="5136" max="5136" width="12.453125" customWidth="1"/>
    <col min="5137" max="5149" width="6.7265625" customWidth="1"/>
    <col min="5150" max="5150" width="3.7265625" customWidth="1"/>
    <col min="5151" max="5151" width="12.453125" customWidth="1"/>
    <col min="5152" max="5164" width="6.7265625" customWidth="1"/>
    <col min="5165" max="5165" width="3.7265625" customWidth="1"/>
    <col min="5166" max="5166" width="12.453125" customWidth="1"/>
    <col min="5167" max="5179" width="6.7265625" customWidth="1"/>
    <col min="5377" max="5377" width="12.453125" customWidth="1"/>
    <col min="5379" max="5381" width="9.453125" bestFit="1" customWidth="1"/>
    <col min="5382" max="5390" width="6.7265625" customWidth="1"/>
    <col min="5391" max="5391" width="3.7265625" customWidth="1"/>
    <col min="5392" max="5392" width="12.453125" customWidth="1"/>
    <col min="5393" max="5405" width="6.7265625" customWidth="1"/>
    <col min="5406" max="5406" width="3.7265625" customWidth="1"/>
    <col min="5407" max="5407" width="12.453125" customWidth="1"/>
    <col min="5408" max="5420" width="6.7265625" customWidth="1"/>
    <col min="5421" max="5421" width="3.7265625" customWidth="1"/>
    <col min="5422" max="5422" width="12.453125" customWidth="1"/>
    <col min="5423" max="5435" width="6.7265625" customWidth="1"/>
    <col min="5633" max="5633" width="12.453125" customWidth="1"/>
    <col min="5635" max="5637" width="9.453125" bestFit="1" customWidth="1"/>
    <col min="5638" max="5646" width="6.7265625" customWidth="1"/>
    <col min="5647" max="5647" width="3.7265625" customWidth="1"/>
    <col min="5648" max="5648" width="12.453125" customWidth="1"/>
    <col min="5649" max="5661" width="6.7265625" customWidth="1"/>
    <col min="5662" max="5662" width="3.7265625" customWidth="1"/>
    <col min="5663" max="5663" width="12.453125" customWidth="1"/>
    <col min="5664" max="5676" width="6.7265625" customWidth="1"/>
    <col min="5677" max="5677" width="3.7265625" customWidth="1"/>
    <col min="5678" max="5678" width="12.453125" customWidth="1"/>
    <col min="5679" max="5691" width="6.7265625" customWidth="1"/>
    <col min="5889" max="5889" width="12.453125" customWidth="1"/>
    <col min="5891" max="5893" width="9.453125" bestFit="1" customWidth="1"/>
    <col min="5894" max="5902" width="6.7265625" customWidth="1"/>
    <col min="5903" max="5903" width="3.7265625" customWidth="1"/>
    <col min="5904" max="5904" width="12.453125" customWidth="1"/>
    <col min="5905" max="5917" width="6.7265625" customWidth="1"/>
    <col min="5918" max="5918" width="3.7265625" customWidth="1"/>
    <col min="5919" max="5919" width="12.453125" customWidth="1"/>
    <col min="5920" max="5932" width="6.7265625" customWidth="1"/>
    <col min="5933" max="5933" width="3.7265625" customWidth="1"/>
    <col min="5934" max="5934" width="12.453125" customWidth="1"/>
    <col min="5935" max="5947" width="6.7265625" customWidth="1"/>
    <col min="6145" max="6145" width="12.453125" customWidth="1"/>
    <col min="6147" max="6149" width="9.453125" bestFit="1" customWidth="1"/>
    <col min="6150" max="6158" width="6.7265625" customWidth="1"/>
    <col min="6159" max="6159" width="3.7265625" customWidth="1"/>
    <col min="6160" max="6160" width="12.453125" customWidth="1"/>
    <col min="6161" max="6173" width="6.7265625" customWidth="1"/>
    <col min="6174" max="6174" width="3.7265625" customWidth="1"/>
    <col min="6175" max="6175" width="12.453125" customWidth="1"/>
    <col min="6176" max="6188" width="6.7265625" customWidth="1"/>
    <col min="6189" max="6189" width="3.7265625" customWidth="1"/>
    <col min="6190" max="6190" width="12.453125" customWidth="1"/>
    <col min="6191" max="6203" width="6.7265625" customWidth="1"/>
    <col min="6401" max="6401" width="12.453125" customWidth="1"/>
    <col min="6403" max="6405" width="9.453125" bestFit="1" customWidth="1"/>
    <col min="6406" max="6414" width="6.7265625" customWidth="1"/>
    <col min="6415" max="6415" width="3.7265625" customWidth="1"/>
    <col min="6416" max="6416" width="12.453125" customWidth="1"/>
    <col min="6417" max="6429" width="6.7265625" customWidth="1"/>
    <col min="6430" max="6430" width="3.7265625" customWidth="1"/>
    <col min="6431" max="6431" width="12.453125" customWidth="1"/>
    <col min="6432" max="6444" width="6.7265625" customWidth="1"/>
    <col min="6445" max="6445" width="3.7265625" customWidth="1"/>
    <col min="6446" max="6446" width="12.453125" customWidth="1"/>
    <col min="6447" max="6459" width="6.7265625" customWidth="1"/>
    <col min="6657" max="6657" width="12.453125" customWidth="1"/>
    <col min="6659" max="6661" width="9.453125" bestFit="1" customWidth="1"/>
    <col min="6662" max="6670" width="6.7265625" customWidth="1"/>
    <col min="6671" max="6671" width="3.7265625" customWidth="1"/>
    <col min="6672" max="6672" width="12.453125" customWidth="1"/>
    <col min="6673" max="6685" width="6.7265625" customWidth="1"/>
    <col min="6686" max="6686" width="3.7265625" customWidth="1"/>
    <col min="6687" max="6687" width="12.453125" customWidth="1"/>
    <col min="6688" max="6700" width="6.7265625" customWidth="1"/>
    <col min="6701" max="6701" width="3.7265625" customWidth="1"/>
    <col min="6702" max="6702" width="12.453125" customWidth="1"/>
    <col min="6703" max="6715" width="6.7265625" customWidth="1"/>
    <col min="6913" max="6913" width="12.453125" customWidth="1"/>
    <col min="6915" max="6917" width="9.453125" bestFit="1" customWidth="1"/>
    <col min="6918" max="6926" width="6.7265625" customWidth="1"/>
    <col min="6927" max="6927" width="3.7265625" customWidth="1"/>
    <col min="6928" max="6928" width="12.453125" customWidth="1"/>
    <col min="6929" max="6941" width="6.7265625" customWidth="1"/>
    <col min="6942" max="6942" width="3.7265625" customWidth="1"/>
    <col min="6943" max="6943" width="12.453125" customWidth="1"/>
    <col min="6944" max="6956" width="6.7265625" customWidth="1"/>
    <col min="6957" max="6957" width="3.7265625" customWidth="1"/>
    <col min="6958" max="6958" width="12.453125" customWidth="1"/>
    <col min="6959" max="6971" width="6.7265625" customWidth="1"/>
    <col min="7169" max="7169" width="12.453125" customWidth="1"/>
    <col min="7171" max="7173" width="9.453125" bestFit="1" customWidth="1"/>
    <col min="7174" max="7182" width="6.7265625" customWidth="1"/>
    <col min="7183" max="7183" width="3.7265625" customWidth="1"/>
    <col min="7184" max="7184" width="12.453125" customWidth="1"/>
    <col min="7185" max="7197" width="6.7265625" customWidth="1"/>
    <col min="7198" max="7198" width="3.7265625" customWidth="1"/>
    <col min="7199" max="7199" width="12.453125" customWidth="1"/>
    <col min="7200" max="7212" width="6.7265625" customWidth="1"/>
    <col min="7213" max="7213" width="3.7265625" customWidth="1"/>
    <col min="7214" max="7214" width="12.453125" customWidth="1"/>
    <col min="7215" max="7227" width="6.7265625" customWidth="1"/>
    <col min="7425" max="7425" width="12.453125" customWidth="1"/>
    <col min="7427" max="7429" width="9.453125" bestFit="1" customWidth="1"/>
    <col min="7430" max="7438" width="6.7265625" customWidth="1"/>
    <col min="7439" max="7439" width="3.7265625" customWidth="1"/>
    <col min="7440" max="7440" width="12.453125" customWidth="1"/>
    <col min="7441" max="7453" width="6.7265625" customWidth="1"/>
    <col min="7454" max="7454" width="3.7265625" customWidth="1"/>
    <col min="7455" max="7455" width="12.453125" customWidth="1"/>
    <col min="7456" max="7468" width="6.7265625" customWidth="1"/>
    <col min="7469" max="7469" width="3.7265625" customWidth="1"/>
    <col min="7470" max="7470" width="12.453125" customWidth="1"/>
    <col min="7471" max="7483" width="6.7265625" customWidth="1"/>
    <col min="7681" max="7681" width="12.453125" customWidth="1"/>
    <col min="7683" max="7685" width="9.453125" bestFit="1" customWidth="1"/>
    <col min="7686" max="7694" width="6.7265625" customWidth="1"/>
    <col min="7695" max="7695" width="3.7265625" customWidth="1"/>
    <col min="7696" max="7696" width="12.453125" customWidth="1"/>
    <col min="7697" max="7709" width="6.7265625" customWidth="1"/>
    <col min="7710" max="7710" width="3.7265625" customWidth="1"/>
    <col min="7711" max="7711" width="12.453125" customWidth="1"/>
    <col min="7712" max="7724" width="6.7265625" customWidth="1"/>
    <col min="7725" max="7725" width="3.7265625" customWidth="1"/>
    <col min="7726" max="7726" width="12.453125" customWidth="1"/>
    <col min="7727" max="7739" width="6.7265625" customWidth="1"/>
    <col min="7937" max="7937" width="12.453125" customWidth="1"/>
    <col min="7939" max="7941" width="9.453125" bestFit="1" customWidth="1"/>
    <col min="7942" max="7950" width="6.7265625" customWidth="1"/>
    <col min="7951" max="7951" width="3.7265625" customWidth="1"/>
    <col min="7952" max="7952" width="12.453125" customWidth="1"/>
    <col min="7953" max="7965" width="6.7265625" customWidth="1"/>
    <col min="7966" max="7966" width="3.7265625" customWidth="1"/>
    <col min="7967" max="7967" width="12.453125" customWidth="1"/>
    <col min="7968" max="7980" width="6.7265625" customWidth="1"/>
    <col min="7981" max="7981" width="3.7265625" customWidth="1"/>
    <col min="7982" max="7982" width="12.453125" customWidth="1"/>
    <col min="7983" max="7995" width="6.7265625" customWidth="1"/>
    <col min="8193" max="8193" width="12.453125" customWidth="1"/>
    <col min="8195" max="8197" width="9.453125" bestFit="1" customWidth="1"/>
    <col min="8198" max="8206" width="6.7265625" customWidth="1"/>
    <col min="8207" max="8207" width="3.7265625" customWidth="1"/>
    <col min="8208" max="8208" width="12.453125" customWidth="1"/>
    <col min="8209" max="8221" width="6.7265625" customWidth="1"/>
    <col min="8222" max="8222" width="3.7265625" customWidth="1"/>
    <col min="8223" max="8223" width="12.453125" customWidth="1"/>
    <col min="8224" max="8236" width="6.7265625" customWidth="1"/>
    <col min="8237" max="8237" width="3.7265625" customWidth="1"/>
    <col min="8238" max="8238" width="12.453125" customWidth="1"/>
    <col min="8239" max="8251" width="6.7265625" customWidth="1"/>
    <col min="8449" max="8449" width="12.453125" customWidth="1"/>
    <col min="8451" max="8453" width="9.453125" bestFit="1" customWidth="1"/>
    <col min="8454" max="8462" width="6.7265625" customWidth="1"/>
    <col min="8463" max="8463" width="3.7265625" customWidth="1"/>
    <col min="8464" max="8464" width="12.453125" customWidth="1"/>
    <col min="8465" max="8477" width="6.7265625" customWidth="1"/>
    <col min="8478" max="8478" width="3.7265625" customWidth="1"/>
    <col min="8479" max="8479" width="12.453125" customWidth="1"/>
    <col min="8480" max="8492" width="6.7265625" customWidth="1"/>
    <col min="8493" max="8493" width="3.7265625" customWidth="1"/>
    <col min="8494" max="8494" width="12.453125" customWidth="1"/>
    <col min="8495" max="8507" width="6.7265625" customWidth="1"/>
    <col min="8705" max="8705" width="12.453125" customWidth="1"/>
    <col min="8707" max="8709" width="9.453125" bestFit="1" customWidth="1"/>
    <col min="8710" max="8718" width="6.7265625" customWidth="1"/>
    <col min="8719" max="8719" width="3.7265625" customWidth="1"/>
    <col min="8720" max="8720" width="12.453125" customWidth="1"/>
    <col min="8721" max="8733" width="6.7265625" customWidth="1"/>
    <col min="8734" max="8734" width="3.7265625" customWidth="1"/>
    <col min="8735" max="8735" width="12.453125" customWidth="1"/>
    <col min="8736" max="8748" width="6.7265625" customWidth="1"/>
    <col min="8749" max="8749" width="3.7265625" customWidth="1"/>
    <col min="8750" max="8750" width="12.453125" customWidth="1"/>
    <col min="8751" max="8763" width="6.7265625" customWidth="1"/>
    <col min="8961" max="8961" width="12.453125" customWidth="1"/>
    <col min="8963" max="8965" width="9.453125" bestFit="1" customWidth="1"/>
    <col min="8966" max="8974" width="6.7265625" customWidth="1"/>
    <col min="8975" max="8975" width="3.7265625" customWidth="1"/>
    <col min="8976" max="8976" width="12.453125" customWidth="1"/>
    <col min="8977" max="8989" width="6.7265625" customWidth="1"/>
    <col min="8990" max="8990" width="3.7265625" customWidth="1"/>
    <col min="8991" max="8991" width="12.453125" customWidth="1"/>
    <col min="8992" max="9004" width="6.7265625" customWidth="1"/>
    <col min="9005" max="9005" width="3.7265625" customWidth="1"/>
    <col min="9006" max="9006" width="12.453125" customWidth="1"/>
    <col min="9007" max="9019" width="6.7265625" customWidth="1"/>
    <col min="9217" max="9217" width="12.453125" customWidth="1"/>
    <col min="9219" max="9221" width="9.453125" bestFit="1" customWidth="1"/>
    <col min="9222" max="9230" width="6.7265625" customWidth="1"/>
    <col min="9231" max="9231" width="3.7265625" customWidth="1"/>
    <col min="9232" max="9232" width="12.453125" customWidth="1"/>
    <col min="9233" max="9245" width="6.7265625" customWidth="1"/>
    <col min="9246" max="9246" width="3.7265625" customWidth="1"/>
    <col min="9247" max="9247" width="12.453125" customWidth="1"/>
    <col min="9248" max="9260" width="6.7265625" customWidth="1"/>
    <col min="9261" max="9261" width="3.7265625" customWidth="1"/>
    <col min="9262" max="9262" width="12.453125" customWidth="1"/>
    <col min="9263" max="9275" width="6.7265625" customWidth="1"/>
    <col min="9473" max="9473" width="12.453125" customWidth="1"/>
    <col min="9475" max="9477" width="9.453125" bestFit="1" customWidth="1"/>
    <col min="9478" max="9486" width="6.7265625" customWidth="1"/>
    <col min="9487" max="9487" width="3.7265625" customWidth="1"/>
    <col min="9488" max="9488" width="12.453125" customWidth="1"/>
    <col min="9489" max="9501" width="6.7265625" customWidth="1"/>
    <col min="9502" max="9502" width="3.7265625" customWidth="1"/>
    <col min="9503" max="9503" width="12.453125" customWidth="1"/>
    <col min="9504" max="9516" width="6.7265625" customWidth="1"/>
    <col min="9517" max="9517" width="3.7265625" customWidth="1"/>
    <col min="9518" max="9518" width="12.453125" customWidth="1"/>
    <col min="9519" max="9531" width="6.7265625" customWidth="1"/>
    <col min="9729" max="9729" width="12.453125" customWidth="1"/>
    <col min="9731" max="9733" width="9.453125" bestFit="1" customWidth="1"/>
    <col min="9734" max="9742" width="6.7265625" customWidth="1"/>
    <col min="9743" max="9743" width="3.7265625" customWidth="1"/>
    <col min="9744" max="9744" width="12.453125" customWidth="1"/>
    <col min="9745" max="9757" width="6.7265625" customWidth="1"/>
    <col min="9758" max="9758" width="3.7265625" customWidth="1"/>
    <col min="9759" max="9759" width="12.453125" customWidth="1"/>
    <col min="9760" max="9772" width="6.7265625" customWidth="1"/>
    <col min="9773" max="9773" width="3.7265625" customWidth="1"/>
    <col min="9774" max="9774" width="12.453125" customWidth="1"/>
    <col min="9775" max="9787" width="6.7265625" customWidth="1"/>
    <col min="9985" max="9985" width="12.453125" customWidth="1"/>
    <col min="9987" max="9989" width="9.453125" bestFit="1" customWidth="1"/>
    <col min="9990" max="9998" width="6.7265625" customWidth="1"/>
    <col min="9999" max="9999" width="3.7265625" customWidth="1"/>
    <col min="10000" max="10000" width="12.453125" customWidth="1"/>
    <col min="10001" max="10013" width="6.7265625" customWidth="1"/>
    <col min="10014" max="10014" width="3.7265625" customWidth="1"/>
    <col min="10015" max="10015" width="12.453125" customWidth="1"/>
    <col min="10016" max="10028" width="6.7265625" customWidth="1"/>
    <col min="10029" max="10029" width="3.7265625" customWidth="1"/>
    <col min="10030" max="10030" width="12.453125" customWidth="1"/>
    <col min="10031" max="10043" width="6.7265625" customWidth="1"/>
    <col min="10241" max="10241" width="12.453125" customWidth="1"/>
    <col min="10243" max="10245" width="9.453125" bestFit="1" customWidth="1"/>
    <col min="10246" max="10254" width="6.7265625" customWidth="1"/>
    <col min="10255" max="10255" width="3.7265625" customWidth="1"/>
    <col min="10256" max="10256" width="12.453125" customWidth="1"/>
    <col min="10257" max="10269" width="6.7265625" customWidth="1"/>
    <col min="10270" max="10270" width="3.7265625" customWidth="1"/>
    <col min="10271" max="10271" width="12.453125" customWidth="1"/>
    <col min="10272" max="10284" width="6.7265625" customWidth="1"/>
    <col min="10285" max="10285" width="3.7265625" customWidth="1"/>
    <col min="10286" max="10286" width="12.453125" customWidth="1"/>
    <col min="10287" max="10299" width="6.7265625" customWidth="1"/>
    <col min="10497" max="10497" width="12.453125" customWidth="1"/>
    <col min="10499" max="10501" width="9.453125" bestFit="1" customWidth="1"/>
    <col min="10502" max="10510" width="6.7265625" customWidth="1"/>
    <col min="10511" max="10511" width="3.7265625" customWidth="1"/>
    <col min="10512" max="10512" width="12.453125" customWidth="1"/>
    <col min="10513" max="10525" width="6.7265625" customWidth="1"/>
    <col min="10526" max="10526" width="3.7265625" customWidth="1"/>
    <col min="10527" max="10527" width="12.453125" customWidth="1"/>
    <col min="10528" max="10540" width="6.7265625" customWidth="1"/>
    <col min="10541" max="10541" width="3.7265625" customWidth="1"/>
    <col min="10542" max="10542" width="12.453125" customWidth="1"/>
    <col min="10543" max="10555" width="6.7265625" customWidth="1"/>
    <col min="10753" max="10753" width="12.453125" customWidth="1"/>
    <col min="10755" max="10757" width="9.453125" bestFit="1" customWidth="1"/>
    <col min="10758" max="10766" width="6.7265625" customWidth="1"/>
    <col min="10767" max="10767" width="3.7265625" customWidth="1"/>
    <col min="10768" max="10768" width="12.453125" customWidth="1"/>
    <col min="10769" max="10781" width="6.7265625" customWidth="1"/>
    <col min="10782" max="10782" width="3.7265625" customWidth="1"/>
    <col min="10783" max="10783" width="12.453125" customWidth="1"/>
    <col min="10784" max="10796" width="6.7265625" customWidth="1"/>
    <col min="10797" max="10797" width="3.7265625" customWidth="1"/>
    <col min="10798" max="10798" width="12.453125" customWidth="1"/>
    <col min="10799" max="10811" width="6.7265625" customWidth="1"/>
    <col min="11009" max="11009" width="12.453125" customWidth="1"/>
    <col min="11011" max="11013" width="9.453125" bestFit="1" customWidth="1"/>
    <col min="11014" max="11022" width="6.7265625" customWidth="1"/>
    <col min="11023" max="11023" width="3.7265625" customWidth="1"/>
    <col min="11024" max="11024" width="12.453125" customWidth="1"/>
    <col min="11025" max="11037" width="6.7265625" customWidth="1"/>
    <col min="11038" max="11038" width="3.7265625" customWidth="1"/>
    <col min="11039" max="11039" width="12.453125" customWidth="1"/>
    <col min="11040" max="11052" width="6.7265625" customWidth="1"/>
    <col min="11053" max="11053" width="3.7265625" customWidth="1"/>
    <col min="11054" max="11054" width="12.453125" customWidth="1"/>
    <col min="11055" max="11067" width="6.7265625" customWidth="1"/>
    <col min="11265" max="11265" width="12.453125" customWidth="1"/>
    <col min="11267" max="11269" width="9.453125" bestFit="1" customWidth="1"/>
    <col min="11270" max="11278" width="6.7265625" customWidth="1"/>
    <col min="11279" max="11279" width="3.7265625" customWidth="1"/>
    <col min="11280" max="11280" width="12.453125" customWidth="1"/>
    <col min="11281" max="11293" width="6.7265625" customWidth="1"/>
    <col min="11294" max="11294" width="3.7265625" customWidth="1"/>
    <col min="11295" max="11295" width="12.453125" customWidth="1"/>
    <col min="11296" max="11308" width="6.7265625" customWidth="1"/>
    <col min="11309" max="11309" width="3.7265625" customWidth="1"/>
    <col min="11310" max="11310" width="12.453125" customWidth="1"/>
    <col min="11311" max="11323" width="6.7265625" customWidth="1"/>
    <col min="11521" max="11521" width="12.453125" customWidth="1"/>
    <col min="11523" max="11525" width="9.453125" bestFit="1" customWidth="1"/>
    <col min="11526" max="11534" width="6.7265625" customWidth="1"/>
    <col min="11535" max="11535" width="3.7265625" customWidth="1"/>
    <col min="11536" max="11536" width="12.453125" customWidth="1"/>
    <col min="11537" max="11549" width="6.7265625" customWidth="1"/>
    <col min="11550" max="11550" width="3.7265625" customWidth="1"/>
    <col min="11551" max="11551" width="12.453125" customWidth="1"/>
    <col min="11552" max="11564" width="6.7265625" customWidth="1"/>
    <col min="11565" max="11565" width="3.7265625" customWidth="1"/>
    <col min="11566" max="11566" width="12.453125" customWidth="1"/>
    <col min="11567" max="11579" width="6.7265625" customWidth="1"/>
    <col min="11777" max="11777" width="12.453125" customWidth="1"/>
    <col min="11779" max="11781" width="9.453125" bestFit="1" customWidth="1"/>
    <col min="11782" max="11790" width="6.7265625" customWidth="1"/>
    <col min="11791" max="11791" width="3.7265625" customWidth="1"/>
    <col min="11792" max="11792" width="12.453125" customWidth="1"/>
    <col min="11793" max="11805" width="6.7265625" customWidth="1"/>
    <col min="11806" max="11806" width="3.7265625" customWidth="1"/>
    <col min="11807" max="11807" width="12.453125" customWidth="1"/>
    <col min="11808" max="11820" width="6.7265625" customWidth="1"/>
    <col min="11821" max="11821" width="3.7265625" customWidth="1"/>
    <col min="11822" max="11822" width="12.453125" customWidth="1"/>
    <col min="11823" max="11835" width="6.7265625" customWidth="1"/>
    <col min="12033" max="12033" width="12.453125" customWidth="1"/>
    <col min="12035" max="12037" width="9.453125" bestFit="1" customWidth="1"/>
    <col min="12038" max="12046" width="6.7265625" customWidth="1"/>
    <col min="12047" max="12047" width="3.7265625" customWidth="1"/>
    <col min="12048" max="12048" width="12.453125" customWidth="1"/>
    <col min="12049" max="12061" width="6.7265625" customWidth="1"/>
    <col min="12062" max="12062" width="3.7265625" customWidth="1"/>
    <col min="12063" max="12063" width="12.453125" customWidth="1"/>
    <col min="12064" max="12076" width="6.7265625" customWidth="1"/>
    <col min="12077" max="12077" width="3.7265625" customWidth="1"/>
    <col min="12078" max="12078" width="12.453125" customWidth="1"/>
    <col min="12079" max="12091" width="6.7265625" customWidth="1"/>
    <col min="12289" max="12289" width="12.453125" customWidth="1"/>
    <col min="12291" max="12293" width="9.453125" bestFit="1" customWidth="1"/>
    <col min="12294" max="12302" width="6.7265625" customWidth="1"/>
    <col min="12303" max="12303" width="3.7265625" customWidth="1"/>
    <col min="12304" max="12304" width="12.453125" customWidth="1"/>
    <col min="12305" max="12317" width="6.7265625" customWidth="1"/>
    <col min="12318" max="12318" width="3.7265625" customWidth="1"/>
    <col min="12319" max="12319" width="12.453125" customWidth="1"/>
    <col min="12320" max="12332" width="6.7265625" customWidth="1"/>
    <col min="12333" max="12333" width="3.7265625" customWidth="1"/>
    <col min="12334" max="12334" width="12.453125" customWidth="1"/>
    <col min="12335" max="12347" width="6.7265625" customWidth="1"/>
    <col min="12545" max="12545" width="12.453125" customWidth="1"/>
    <col min="12547" max="12549" width="9.453125" bestFit="1" customWidth="1"/>
    <col min="12550" max="12558" width="6.7265625" customWidth="1"/>
    <col min="12559" max="12559" width="3.7265625" customWidth="1"/>
    <col min="12560" max="12560" width="12.453125" customWidth="1"/>
    <col min="12561" max="12573" width="6.7265625" customWidth="1"/>
    <col min="12574" max="12574" width="3.7265625" customWidth="1"/>
    <col min="12575" max="12575" width="12.453125" customWidth="1"/>
    <col min="12576" max="12588" width="6.7265625" customWidth="1"/>
    <col min="12589" max="12589" width="3.7265625" customWidth="1"/>
    <col min="12590" max="12590" width="12.453125" customWidth="1"/>
    <col min="12591" max="12603" width="6.7265625" customWidth="1"/>
    <col min="12801" max="12801" width="12.453125" customWidth="1"/>
    <col min="12803" max="12805" width="9.453125" bestFit="1" customWidth="1"/>
    <col min="12806" max="12814" width="6.7265625" customWidth="1"/>
    <col min="12815" max="12815" width="3.7265625" customWidth="1"/>
    <col min="12816" max="12816" width="12.453125" customWidth="1"/>
    <col min="12817" max="12829" width="6.7265625" customWidth="1"/>
    <col min="12830" max="12830" width="3.7265625" customWidth="1"/>
    <col min="12831" max="12831" width="12.453125" customWidth="1"/>
    <col min="12832" max="12844" width="6.7265625" customWidth="1"/>
    <col min="12845" max="12845" width="3.7265625" customWidth="1"/>
    <col min="12846" max="12846" width="12.453125" customWidth="1"/>
    <col min="12847" max="12859" width="6.7265625" customWidth="1"/>
    <col min="13057" max="13057" width="12.453125" customWidth="1"/>
    <col min="13059" max="13061" width="9.453125" bestFit="1" customWidth="1"/>
    <col min="13062" max="13070" width="6.7265625" customWidth="1"/>
    <col min="13071" max="13071" width="3.7265625" customWidth="1"/>
    <col min="13072" max="13072" width="12.453125" customWidth="1"/>
    <col min="13073" max="13085" width="6.7265625" customWidth="1"/>
    <col min="13086" max="13086" width="3.7265625" customWidth="1"/>
    <col min="13087" max="13087" width="12.453125" customWidth="1"/>
    <col min="13088" max="13100" width="6.7265625" customWidth="1"/>
    <col min="13101" max="13101" width="3.7265625" customWidth="1"/>
    <col min="13102" max="13102" width="12.453125" customWidth="1"/>
    <col min="13103" max="13115" width="6.7265625" customWidth="1"/>
    <col min="13313" max="13313" width="12.453125" customWidth="1"/>
    <col min="13315" max="13317" width="9.453125" bestFit="1" customWidth="1"/>
    <col min="13318" max="13326" width="6.7265625" customWidth="1"/>
    <col min="13327" max="13327" width="3.7265625" customWidth="1"/>
    <col min="13328" max="13328" width="12.453125" customWidth="1"/>
    <col min="13329" max="13341" width="6.7265625" customWidth="1"/>
    <col min="13342" max="13342" width="3.7265625" customWidth="1"/>
    <col min="13343" max="13343" width="12.453125" customWidth="1"/>
    <col min="13344" max="13356" width="6.7265625" customWidth="1"/>
    <col min="13357" max="13357" width="3.7265625" customWidth="1"/>
    <col min="13358" max="13358" width="12.453125" customWidth="1"/>
    <col min="13359" max="13371" width="6.7265625" customWidth="1"/>
    <col min="13569" max="13569" width="12.453125" customWidth="1"/>
    <col min="13571" max="13573" width="9.453125" bestFit="1" customWidth="1"/>
    <col min="13574" max="13582" width="6.7265625" customWidth="1"/>
    <col min="13583" max="13583" width="3.7265625" customWidth="1"/>
    <col min="13584" max="13584" width="12.453125" customWidth="1"/>
    <col min="13585" max="13597" width="6.7265625" customWidth="1"/>
    <col min="13598" max="13598" width="3.7265625" customWidth="1"/>
    <col min="13599" max="13599" width="12.453125" customWidth="1"/>
    <col min="13600" max="13612" width="6.7265625" customWidth="1"/>
    <col min="13613" max="13613" width="3.7265625" customWidth="1"/>
    <col min="13614" max="13614" width="12.453125" customWidth="1"/>
    <col min="13615" max="13627" width="6.7265625" customWidth="1"/>
    <col min="13825" max="13825" width="12.453125" customWidth="1"/>
    <col min="13827" max="13829" width="9.453125" bestFit="1" customWidth="1"/>
    <col min="13830" max="13838" width="6.7265625" customWidth="1"/>
    <col min="13839" max="13839" width="3.7265625" customWidth="1"/>
    <col min="13840" max="13840" width="12.453125" customWidth="1"/>
    <col min="13841" max="13853" width="6.7265625" customWidth="1"/>
    <col min="13854" max="13854" width="3.7265625" customWidth="1"/>
    <col min="13855" max="13855" width="12.453125" customWidth="1"/>
    <col min="13856" max="13868" width="6.7265625" customWidth="1"/>
    <col min="13869" max="13869" width="3.7265625" customWidth="1"/>
    <col min="13870" max="13870" width="12.453125" customWidth="1"/>
    <col min="13871" max="13883" width="6.7265625" customWidth="1"/>
    <col min="14081" max="14081" width="12.453125" customWidth="1"/>
    <col min="14083" max="14085" width="9.453125" bestFit="1" customWidth="1"/>
    <col min="14086" max="14094" width="6.7265625" customWidth="1"/>
    <col min="14095" max="14095" width="3.7265625" customWidth="1"/>
    <col min="14096" max="14096" width="12.453125" customWidth="1"/>
    <col min="14097" max="14109" width="6.7265625" customWidth="1"/>
    <col min="14110" max="14110" width="3.7265625" customWidth="1"/>
    <col min="14111" max="14111" width="12.453125" customWidth="1"/>
    <col min="14112" max="14124" width="6.7265625" customWidth="1"/>
    <col min="14125" max="14125" width="3.7265625" customWidth="1"/>
    <col min="14126" max="14126" width="12.453125" customWidth="1"/>
    <col min="14127" max="14139" width="6.7265625" customWidth="1"/>
    <col min="14337" max="14337" width="12.453125" customWidth="1"/>
    <col min="14339" max="14341" width="9.453125" bestFit="1" customWidth="1"/>
    <col min="14342" max="14350" width="6.7265625" customWidth="1"/>
    <col min="14351" max="14351" width="3.7265625" customWidth="1"/>
    <col min="14352" max="14352" width="12.453125" customWidth="1"/>
    <col min="14353" max="14365" width="6.7265625" customWidth="1"/>
    <col min="14366" max="14366" width="3.7265625" customWidth="1"/>
    <col min="14367" max="14367" width="12.453125" customWidth="1"/>
    <col min="14368" max="14380" width="6.7265625" customWidth="1"/>
    <col min="14381" max="14381" width="3.7265625" customWidth="1"/>
    <col min="14382" max="14382" width="12.453125" customWidth="1"/>
    <col min="14383" max="14395" width="6.7265625" customWidth="1"/>
    <col min="14593" max="14593" width="12.453125" customWidth="1"/>
    <col min="14595" max="14597" width="9.453125" bestFit="1" customWidth="1"/>
    <col min="14598" max="14606" width="6.7265625" customWidth="1"/>
    <col min="14607" max="14607" width="3.7265625" customWidth="1"/>
    <col min="14608" max="14608" width="12.453125" customWidth="1"/>
    <col min="14609" max="14621" width="6.7265625" customWidth="1"/>
    <col min="14622" max="14622" width="3.7265625" customWidth="1"/>
    <col min="14623" max="14623" width="12.453125" customWidth="1"/>
    <col min="14624" max="14636" width="6.7265625" customWidth="1"/>
    <col min="14637" max="14637" width="3.7265625" customWidth="1"/>
    <col min="14638" max="14638" width="12.453125" customWidth="1"/>
    <col min="14639" max="14651" width="6.7265625" customWidth="1"/>
    <col min="14849" max="14849" width="12.453125" customWidth="1"/>
    <col min="14851" max="14853" width="9.453125" bestFit="1" customWidth="1"/>
    <col min="14854" max="14862" width="6.7265625" customWidth="1"/>
    <col min="14863" max="14863" width="3.7265625" customWidth="1"/>
    <col min="14864" max="14864" width="12.453125" customWidth="1"/>
    <col min="14865" max="14877" width="6.7265625" customWidth="1"/>
    <col min="14878" max="14878" width="3.7265625" customWidth="1"/>
    <col min="14879" max="14879" width="12.453125" customWidth="1"/>
    <col min="14880" max="14892" width="6.7265625" customWidth="1"/>
    <col min="14893" max="14893" width="3.7265625" customWidth="1"/>
    <col min="14894" max="14894" width="12.453125" customWidth="1"/>
    <col min="14895" max="14907" width="6.7265625" customWidth="1"/>
    <col min="15105" max="15105" width="12.453125" customWidth="1"/>
    <col min="15107" max="15109" width="9.453125" bestFit="1" customWidth="1"/>
    <col min="15110" max="15118" width="6.7265625" customWidth="1"/>
    <col min="15119" max="15119" width="3.7265625" customWidth="1"/>
    <col min="15120" max="15120" width="12.453125" customWidth="1"/>
    <col min="15121" max="15133" width="6.7265625" customWidth="1"/>
    <col min="15134" max="15134" width="3.7265625" customWidth="1"/>
    <col min="15135" max="15135" width="12.453125" customWidth="1"/>
    <col min="15136" max="15148" width="6.7265625" customWidth="1"/>
    <col min="15149" max="15149" width="3.7265625" customWidth="1"/>
    <col min="15150" max="15150" width="12.453125" customWidth="1"/>
    <col min="15151" max="15163" width="6.7265625" customWidth="1"/>
    <col min="15361" max="15361" width="12.453125" customWidth="1"/>
    <col min="15363" max="15365" width="9.453125" bestFit="1" customWidth="1"/>
    <col min="15366" max="15374" width="6.7265625" customWidth="1"/>
    <col min="15375" max="15375" width="3.7265625" customWidth="1"/>
    <col min="15376" max="15376" width="12.453125" customWidth="1"/>
    <col min="15377" max="15389" width="6.7265625" customWidth="1"/>
    <col min="15390" max="15390" width="3.7265625" customWidth="1"/>
    <col min="15391" max="15391" width="12.453125" customWidth="1"/>
    <col min="15392" max="15404" width="6.7265625" customWidth="1"/>
    <col min="15405" max="15405" width="3.7265625" customWidth="1"/>
    <col min="15406" max="15406" width="12.453125" customWidth="1"/>
    <col min="15407" max="15419" width="6.7265625" customWidth="1"/>
    <col min="15617" max="15617" width="12.453125" customWidth="1"/>
    <col min="15619" max="15621" width="9.453125" bestFit="1" customWidth="1"/>
    <col min="15622" max="15630" width="6.7265625" customWidth="1"/>
    <col min="15631" max="15631" width="3.7265625" customWidth="1"/>
    <col min="15632" max="15632" width="12.453125" customWidth="1"/>
    <col min="15633" max="15645" width="6.7265625" customWidth="1"/>
    <col min="15646" max="15646" width="3.7265625" customWidth="1"/>
    <col min="15647" max="15647" width="12.453125" customWidth="1"/>
    <col min="15648" max="15660" width="6.7265625" customWidth="1"/>
    <col min="15661" max="15661" width="3.7265625" customWidth="1"/>
    <col min="15662" max="15662" width="12.453125" customWidth="1"/>
    <col min="15663" max="15675" width="6.7265625" customWidth="1"/>
    <col min="15873" max="15873" width="12.453125" customWidth="1"/>
    <col min="15875" max="15877" width="9.453125" bestFit="1" customWidth="1"/>
    <col min="15878" max="15886" width="6.7265625" customWidth="1"/>
    <col min="15887" max="15887" width="3.7265625" customWidth="1"/>
    <col min="15888" max="15888" width="12.453125" customWidth="1"/>
    <col min="15889" max="15901" width="6.7265625" customWidth="1"/>
    <col min="15902" max="15902" width="3.7265625" customWidth="1"/>
    <col min="15903" max="15903" width="12.453125" customWidth="1"/>
    <col min="15904" max="15916" width="6.7265625" customWidth="1"/>
    <col min="15917" max="15917" width="3.7265625" customWidth="1"/>
    <col min="15918" max="15918" width="12.453125" customWidth="1"/>
    <col min="15919" max="15931" width="6.7265625" customWidth="1"/>
    <col min="16129" max="16129" width="12.453125" customWidth="1"/>
    <col min="16131" max="16133" width="9.453125" bestFit="1" customWidth="1"/>
    <col min="16134" max="16142" width="6.7265625" customWidth="1"/>
    <col min="16143" max="16143" width="3.7265625" customWidth="1"/>
    <col min="16144" max="16144" width="12.453125" customWidth="1"/>
    <col min="16145" max="16157" width="6.7265625" customWidth="1"/>
    <col min="16158" max="16158" width="3.7265625" customWidth="1"/>
    <col min="16159" max="16159" width="12.453125" customWidth="1"/>
    <col min="16160" max="16172" width="6.7265625" customWidth="1"/>
    <col min="16173" max="16173" width="3.7265625" customWidth="1"/>
    <col min="16174" max="16174" width="12.453125" customWidth="1"/>
    <col min="16175" max="16187" width="6.7265625" customWidth="1"/>
  </cols>
  <sheetData>
    <row r="1" spans="1:59" ht="14.5">
      <c r="A1" s="340" t="s">
        <v>135</v>
      </c>
      <c r="B1" s="340"/>
      <c r="C1" s="340"/>
      <c r="D1" s="340"/>
      <c r="E1" s="340"/>
      <c r="F1" s="340"/>
      <c r="G1" s="340"/>
      <c r="H1" s="340"/>
      <c r="I1" s="340"/>
      <c r="J1" s="340"/>
      <c r="K1" s="178"/>
    </row>
    <row r="2" spans="1:59" ht="16" thickBot="1">
      <c r="A2" s="261" t="s">
        <v>136</v>
      </c>
      <c r="B2" s="6"/>
      <c r="C2" s="11"/>
      <c r="D2" s="6"/>
      <c r="E2" s="6"/>
      <c r="F2" s="6"/>
      <c r="G2" s="6"/>
      <c r="H2" s="6"/>
      <c r="I2" s="6"/>
      <c r="J2" s="177"/>
      <c r="K2" s="178"/>
    </row>
    <row r="3" spans="1:59" ht="16" thickBot="1">
      <c r="A3" s="325" t="s">
        <v>106</v>
      </c>
      <c r="B3" s="376" t="str">
        <f>'START HERE'!F6</f>
        <v>EU</v>
      </c>
      <c r="C3" s="387"/>
      <c r="D3" s="377"/>
      <c r="E3" s="177"/>
      <c r="F3" s="30" t="s">
        <v>38</v>
      </c>
      <c r="G3" s="373" t="str">
        <f>'LEN F4'!F3</f>
        <v>Fleet 4 Offshore</v>
      </c>
      <c r="H3" s="374"/>
      <c r="I3" s="375"/>
      <c r="J3" s="177"/>
      <c r="K3" s="178"/>
    </row>
    <row r="4" spans="1:59" ht="15.5">
      <c r="A4" s="12" t="s">
        <v>18</v>
      </c>
      <c r="B4" s="376" t="str">
        <f>'START HERE'!F5</f>
        <v>Jack mackerel</v>
      </c>
      <c r="C4" s="387"/>
      <c r="D4" s="377"/>
      <c r="E4" s="177"/>
      <c r="F4" s="326"/>
      <c r="G4" s="317"/>
      <c r="H4" s="318"/>
      <c r="I4" s="336"/>
      <c r="J4" s="177"/>
      <c r="K4" s="178"/>
    </row>
    <row r="5" spans="1:59" ht="18">
      <c r="A5" s="12" t="s">
        <v>13</v>
      </c>
      <c r="B5" s="388">
        <f>'START HERE'!$K$3</f>
        <v>2010</v>
      </c>
      <c r="C5" s="389"/>
      <c r="D5" s="390"/>
      <c r="E5" s="177"/>
      <c r="F5" s="12" t="s">
        <v>39</v>
      </c>
      <c r="G5" s="324" t="s">
        <v>137</v>
      </c>
      <c r="H5" s="334"/>
      <c r="I5" s="335"/>
      <c r="J5" s="177"/>
      <c r="K5" s="178"/>
      <c r="L5" s="149"/>
    </row>
    <row r="6" spans="1:59" ht="16" thickBot="1">
      <c r="A6" s="12"/>
      <c r="B6" s="11"/>
      <c r="C6" s="103"/>
      <c r="D6" s="6"/>
      <c r="F6" s="12" t="s">
        <v>14</v>
      </c>
      <c r="G6" s="381">
        <f>'START HERE'!$F8</f>
        <v>43100</v>
      </c>
      <c r="H6" s="382"/>
      <c r="I6" s="383"/>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4"/>
      <c r="R9" s="404"/>
      <c r="S9" s="404"/>
      <c r="T9" s="404"/>
      <c r="U9" s="404"/>
      <c r="V9" s="404"/>
      <c r="W9" s="404"/>
      <c r="X9" s="404"/>
      <c r="Y9" s="404"/>
      <c r="Z9" s="404"/>
      <c r="AA9" s="404"/>
      <c r="AB9" s="404"/>
      <c r="AC9" s="404"/>
      <c r="AE9" s="2"/>
      <c r="AF9" s="404"/>
      <c r="AG9" s="404"/>
      <c r="AH9" s="404"/>
      <c r="AI9" s="404"/>
      <c r="AJ9" s="404"/>
      <c r="AK9" s="404"/>
      <c r="AL9" s="404"/>
      <c r="AM9" s="404"/>
      <c r="AN9" s="404"/>
      <c r="AO9" s="404"/>
      <c r="AP9" s="404"/>
      <c r="AQ9" s="404"/>
      <c r="AR9" s="404"/>
      <c r="AT9" s="2"/>
      <c r="AU9" s="404"/>
      <c r="AV9" s="404"/>
      <c r="AW9" s="404"/>
      <c r="AX9" s="404"/>
      <c r="AY9" s="404"/>
      <c r="AZ9" s="404"/>
      <c r="BA9" s="404"/>
      <c r="BB9" s="404"/>
      <c r="BC9" s="404"/>
      <c r="BD9" s="404"/>
      <c r="BE9" s="404"/>
      <c r="BF9" s="404"/>
      <c r="BG9" s="404"/>
    </row>
    <row r="10" spans="1:59" ht="18">
      <c r="A10" s="28" t="s">
        <v>42</v>
      </c>
      <c r="B10" s="181">
        <f>'START HERE'!$K$3</f>
        <v>2010</v>
      </c>
      <c r="C10" s="181">
        <f>'START HERE'!$K$3</f>
        <v>2010</v>
      </c>
      <c r="D10" s="181">
        <f>'START HERE'!$K$3</f>
        <v>2010</v>
      </c>
      <c r="E10" s="180">
        <f>'START HERE'!$K$3</f>
        <v>2010</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v>0.5</v>
      </c>
      <c r="C44" s="312"/>
      <c r="D44" s="312"/>
      <c r="E44" s="330"/>
      <c r="P44" s="1"/>
      <c r="AE44" s="1"/>
      <c r="AT44" s="1"/>
    </row>
    <row r="45" spans="1:46">
      <c r="A45" s="195">
        <v>35</v>
      </c>
      <c r="B45" s="311">
        <v>0.53272727272727272</v>
      </c>
      <c r="C45" s="312">
        <v>0.52857142857142858</v>
      </c>
      <c r="D45" s="312"/>
      <c r="E45" s="330"/>
      <c r="P45" s="1"/>
      <c r="AE45" s="1"/>
      <c r="AT45" s="1"/>
    </row>
    <row r="46" spans="1:46">
      <c r="A46" s="195">
        <v>36</v>
      </c>
      <c r="B46" s="311">
        <v>0.57136363636363641</v>
      </c>
      <c r="C46" s="312">
        <v>0.56428571428571428</v>
      </c>
      <c r="D46" s="312"/>
      <c r="E46" s="330"/>
      <c r="P46" s="1"/>
      <c r="AE46" s="1"/>
      <c r="AT46" s="1"/>
    </row>
    <row r="47" spans="1:46">
      <c r="A47" s="195">
        <v>37</v>
      </c>
      <c r="B47" s="311">
        <v>0.60921875000000003</v>
      </c>
      <c r="C47" s="312">
        <v>0.60157894736842099</v>
      </c>
      <c r="D47" s="312"/>
      <c r="E47" s="330"/>
      <c r="P47" s="1"/>
      <c r="AE47" s="1"/>
      <c r="AT47" s="1"/>
    </row>
    <row r="48" spans="1:46">
      <c r="A48" s="195">
        <v>38</v>
      </c>
      <c r="B48" s="311">
        <v>0.66102941176470587</v>
      </c>
      <c r="C48" s="312">
        <v>0.63714285714285712</v>
      </c>
      <c r="D48" s="312"/>
      <c r="E48" s="330"/>
      <c r="P48" s="1"/>
      <c r="AE48" s="1"/>
      <c r="AT48" s="1"/>
    </row>
    <row r="49" spans="1:46">
      <c r="A49" s="195">
        <v>39</v>
      </c>
      <c r="B49" s="311">
        <v>0.69971428571428562</v>
      </c>
      <c r="C49" s="312">
        <v>0.69736842105263153</v>
      </c>
      <c r="D49" s="312"/>
      <c r="E49" s="330"/>
      <c r="P49" s="1"/>
      <c r="AE49" s="1"/>
      <c r="AT49" s="1"/>
    </row>
    <row r="50" spans="1:46">
      <c r="A50" s="195">
        <v>40</v>
      </c>
      <c r="B50" s="311">
        <v>0.75444444444444447</v>
      </c>
      <c r="C50" s="312">
        <v>0.73736842105263156</v>
      </c>
      <c r="D50" s="312"/>
      <c r="E50" s="330"/>
      <c r="P50" s="1"/>
      <c r="AE50" s="1"/>
      <c r="AT50" s="1"/>
    </row>
    <row r="51" spans="1:46">
      <c r="A51" s="195">
        <v>41</v>
      </c>
      <c r="B51" s="311">
        <v>0.81844827586206892</v>
      </c>
      <c r="C51" s="312">
        <v>0.79549999999999998</v>
      </c>
      <c r="D51" s="312"/>
      <c r="E51" s="330"/>
      <c r="P51" s="1"/>
      <c r="AE51" s="1"/>
      <c r="AT51" s="1"/>
    </row>
    <row r="52" spans="1:46">
      <c r="A52" s="195">
        <v>42</v>
      </c>
      <c r="B52" s="311">
        <v>0.86859375000000005</v>
      </c>
      <c r="C52" s="312">
        <v>0.86266666666666658</v>
      </c>
      <c r="D52" s="312"/>
      <c r="E52" s="330"/>
      <c r="P52" s="1"/>
      <c r="AE52" s="1"/>
      <c r="AT52" s="1"/>
    </row>
    <row r="53" spans="1:46">
      <c r="A53" s="195">
        <v>43</v>
      </c>
      <c r="B53" s="311">
        <v>0.90447368421052632</v>
      </c>
      <c r="C53" s="312">
        <v>0.94105263157894736</v>
      </c>
      <c r="D53" s="312"/>
      <c r="E53" s="330"/>
      <c r="P53" s="1"/>
      <c r="AE53" s="1"/>
      <c r="AT53" s="1"/>
    </row>
    <row r="54" spans="1:46">
      <c r="A54" s="195">
        <v>44</v>
      </c>
      <c r="B54" s="311">
        <v>0.99880952380952381</v>
      </c>
      <c r="C54" s="312">
        <v>1.0068181818181818</v>
      </c>
      <c r="D54" s="312"/>
      <c r="E54" s="330"/>
      <c r="P54" s="1"/>
      <c r="AE54" s="1"/>
      <c r="AT54" s="1"/>
    </row>
    <row r="55" spans="1:46">
      <c r="A55" s="195">
        <v>45</v>
      </c>
      <c r="B55" s="311">
        <v>1.0514000000000001</v>
      </c>
      <c r="C55" s="312">
        <v>1.0447368421052632</v>
      </c>
      <c r="D55" s="312"/>
      <c r="E55" s="330"/>
      <c r="P55" s="1"/>
      <c r="AE55" s="1"/>
      <c r="AT55" s="1"/>
    </row>
    <row r="56" spans="1:46">
      <c r="A56" s="195">
        <v>46</v>
      </c>
      <c r="B56" s="311">
        <v>1.1263461538461539</v>
      </c>
      <c r="C56" s="312">
        <v>1.1112500000000001</v>
      </c>
      <c r="D56" s="312"/>
      <c r="E56" s="330"/>
      <c r="P56" s="1"/>
      <c r="AE56" s="1"/>
      <c r="AT56" s="1"/>
    </row>
    <row r="57" spans="1:46">
      <c r="A57" s="195">
        <v>47</v>
      </c>
      <c r="B57" s="311">
        <v>1.1964705882352942</v>
      </c>
      <c r="C57" s="312">
        <v>1.2050000000000001</v>
      </c>
      <c r="D57" s="312"/>
      <c r="E57" s="330"/>
      <c r="P57" s="1"/>
      <c r="AE57" s="1"/>
      <c r="AT57" s="1"/>
    </row>
    <row r="58" spans="1:46">
      <c r="A58" s="195">
        <v>48</v>
      </c>
      <c r="B58" s="311">
        <v>1.2677499999999999</v>
      </c>
      <c r="C58" s="312">
        <v>1.2609999999999999</v>
      </c>
      <c r="D58" s="312"/>
      <c r="E58" s="330"/>
      <c r="P58" s="1"/>
      <c r="AE58" s="1"/>
      <c r="AT58" s="1"/>
    </row>
    <row r="59" spans="1:46">
      <c r="A59" s="195">
        <v>49</v>
      </c>
      <c r="B59" s="311">
        <v>1.3320000000000001</v>
      </c>
      <c r="C59" s="312">
        <v>1.3508333333333333</v>
      </c>
      <c r="D59" s="312"/>
      <c r="E59" s="330"/>
      <c r="P59" s="1"/>
      <c r="AE59" s="1"/>
      <c r="AT59" s="1"/>
    </row>
    <row r="60" spans="1:46">
      <c r="A60" s="195">
        <v>50</v>
      </c>
      <c r="B60" s="311">
        <v>1.3946153846153846</v>
      </c>
      <c r="C60" s="312">
        <v>1.41875</v>
      </c>
      <c r="D60" s="312"/>
      <c r="E60" s="330"/>
      <c r="P60" s="1"/>
      <c r="AE60" s="1"/>
      <c r="AT60" s="1"/>
    </row>
    <row r="61" spans="1:46">
      <c r="A61" s="195">
        <v>51</v>
      </c>
      <c r="B61" s="311">
        <v>1.4590000000000001</v>
      </c>
      <c r="C61" s="312">
        <v>1.48</v>
      </c>
      <c r="D61" s="312"/>
      <c r="E61" s="330"/>
      <c r="P61" s="1"/>
      <c r="AE61" s="1"/>
      <c r="AT61" s="1"/>
    </row>
    <row r="62" spans="1:46">
      <c r="A62" s="195">
        <v>52</v>
      </c>
      <c r="B62" s="311">
        <v>1.4792857142857143</v>
      </c>
      <c r="C62" s="312">
        <v>1.4566666666666668</v>
      </c>
      <c r="D62" s="312"/>
      <c r="E62" s="330"/>
      <c r="P62" s="1"/>
      <c r="AE62" s="1"/>
      <c r="AT62" s="1"/>
    </row>
    <row r="63" spans="1:46">
      <c r="A63" s="195">
        <v>53</v>
      </c>
      <c r="B63" s="311">
        <v>1.57</v>
      </c>
      <c r="C63" s="312">
        <v>1.53</v>
      </c>
      <c r="D63" s="312"/>
      <c r="E63" s="330"/>
      <c r="P63" s="1"/>
      <c r="AE63" s="1"/>
      <c r="AT63" s="1"/>
    </row>
    <row r="64" spans="1:46">
      <c r="A64" s="195">
        <v>54</v>
      </c>
      <c r="B64" s="311">
        <v>1.6533333333333333</v>
      </c>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5"/>
  <cols>
    <col min="1" max="1" width="10.81640625" customWidth="1"/>
    <col min="2" max="2" width="11.1796875" customWidth="1"/>
    <col min="3" max="3" width="14.26953125" customWidth="1"/>
  </cols>
  <sheetData>
    <row r="1" spans="1:4" ht="13">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3.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Tien, Nicola</cp:lastModifiedBy>
  <cp:lastPrinted>2005-03-01T15:40:24Z</cp:lastPrinted>
  <dcterms:created xsi:type="dcterms:W3CDTF">1998-05-02T10:10:47Z</dcterms:created>
  <dcterms:modified xsi:type="dcterms:W3CDTF">2022-05-13T09:14:09Z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