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niels_hintzen_wur_nl/Documents/SPRFMOdata/input/older Data submission/translation nicola/nederland_eu wrs/"/>
    </mc:Choice>
  </mc:AlternateContent>
  <xr:revisionPtr revIDLastSave="92" documentId="11_DD0C879563DB69A4CCA86E391D5C58104AB0E61C" xr6:coauthVersionLast="46" xr6:coauthVersionMax="46" xr10:uidLastSave="{C8E5CD6C-AB8F-458B-9DDB-DAD6FE8BA470}"/>
  <bookViews>
    <workbookView xWindow="-110" yWindow="-110" windowWidth="19420" windowHeight="10420" activeTab="2" xr2:uid="{00000000-000D-0000-FFFF-FFFF00000000}"/>
  </bookViews>
  <sheets>
    <sheet name="LEN raised" sheetId="8" r:id="rId1"/>
    <sheet name="ALK raised" sheetId="9" r:id="rId2"/>
    <sheet name="mei" sheetId="1" r:id="rId3"/>
    <sheet name="jun" sheetId="2" r:id="rId4"/>
    <sheet name="jul" sheetId="3" r:id="rId5"/>
    <sheet name="aug" sheetId="4" r:id="rId6"/>
    <sheet name="sep" sheetId="5" r:id="rId7"/>
    <sheet name="okt" sheetId="6" r:id="rId8"/>
    <sheet name="alles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" i="9" l="1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V15" i="9"/>
  <c r="U15" i="9"/>
  <c r="T15" i="9"/>
  <c r="S15" i="9"/>
  <c r="R15" i="9"/>
  <c r="Q15" i="9"/>
  <c r="P15" i="9"/>
  <c r="O15" i="9"/>
  <c r="N15" i="9"/>
  <c r="K15" i="9"/>
  <c r="J15" i="9"/>
  <c r="I15" i="9"/>
  <c r="H15" i="9"/>
  <c r="G15" i="9"/>
  <c r="F15" i="9"/>
  <c r="E15" i="9"/>
  <c r="D15" i="9"/>
  <c r="C15" i="9"/>
  <c r="V14" i="9"/>
  <c r="U14" i="9"/>
  <c r="T14" i="9"/>
  <c r="S14" i="9"/>
  <c r="R14" i="9"/>
  <c r="Q14" i="9"/>
  <c r="P14" i="9"/>
  <c r="O14" i="9"/>
  <c r="N14" i="9"/>
  <c r="K14" i="9"/>
  <c r="J14" i="9"/>
  <c r="I14" i="9"/>
  <c r="H14" i="9"/>
  <c r="G14" i="9"/>
  <c r="F14" i="9"/>
  <c r="E14" i="9"/>
  <c r="D14" i="9"/>
  <c r="C14" i="9"/>
  <c r="V13" i="9"/>
  <c r="U13" i="9"/>
  <c r="T13" i="9"/>
  <c r="S13" i="9"/>
  <c r="R13" i="9"/>
  <c r="Q13" i="9"/>
  <c r="P13" i="9"/>
  <c r="O13" i="9"/>
  <c r="N13" i="9"/>
  <c r="K13" i="9"/>
  <c r="J13" i="9"/>
  <c r="I13" i="9"/>
  <c r="H13" i="9"/>
  <c r="G13" i="9"/>
  <c r="F13" i="9"/>
  <c r="E13" i="9"/>
  <c r="D13" i="9"/>
  <c r="C13" i="9"/>
  <c r="V12" i="9"/>
  <c r="U12" i="9"/>
  <c r="T12" i="9"/>
  <c r="S12" i="9"/>
  <c r="R12" i="9"/>
  <c r="Q12" i="9"/>
  <c r="P12" i="9"/>
  <c r="O12" i="9"/>
  <c r="N12" i="9"/>
  <c r="K12" i="9"/>
  <c r="J12" i="9"/>
  <c r="I12" i="9"/>
  <c r="H12" i="9"/>
  <c r="G12" i="9"/>
  <c r="F12" i="9"/>
  <c r="E12" i="9"/>
  <c r="D12" i="9"/>
  <c r="C12" i="9"/>
  <c r="V11" i="9"/>
  <c r="U11" i="9"/>
  <c r="T11" i="9"/>
  <c r="S11" i="9"/>
  <c r="R11" i="9"/>
  <c r="Q11" i="9"/>
  <c r="P11" i="9"/>
  <c r="O11" i="9"/>
  <c r="N11" i="9"/>
  <c r="K11" i="9"/>
  <c r="J11" i="9"/>
  <c r="I11" i="9"/>
  <c r="H11" i="9"/>
  <c r="G11" i="9"/>
  <c r="F11" i="9"/>
  <c r="E11" i="9"/>
  <c r="D11" i="9"/>
  <c r="C11" i="9"/>
  <c r="V10" i="9"/>
  <c r="U10" i="9"/>
  <c r="T10" i="9"/>
  <c r="S10" i="9"/>
  <c r="R10" i="9"/>
  <c r="Q10" i="9"/>
  <c r="P10" i="9"/>
  <c r="O10" i="9"/>
  <c r="N10" i="9"/>
  <c r="K10" i="9"/>
  <c r="J10" i="9"/>
  <c r="I10" i="9"/>
  <c r="H10" i="9"/>
  <c r="G10" i="9"/>
  <c r="F10" i="9"/>
  <c r="E10" i="9"/>
  <c r="D10" i="9"/>
  <c r="C10" i="9"/>
  <c r="V9" i="9"/>
  <c r="U9" i="9"/>
  <c r="T9" i="9"/>
  <c r="S9" i="9"/>
  <c r="R9" i="9"/>
  <c r="Q9" i="9"/>
  <c r="P9" i="9"/>
  <c r="O9" i="9"/>
  <c r="N9" i="9"/>
  <c r="K9" i="9"/>
  <c r="J9" i="9"/>
  <c r="I9" i="9"/>
  <c r="H9" i="9"/>
  <c r="G9" i="9"/>
  <c r="F9" i="9"/>
  <c r="E9" i="9"/>
  <c r="D9" i="9"/>
  <c r="C9" i="9"/>
  <c r="V8" i="9"/>
  <c r="U8" i="9"/>
  <c r="T8" i="9"/>
  <c r="S8" i="9"/>
  <c r="R8" i="9"/>
  <c r="Q8" i="9"/>
  <c r="P8" i="9"/>
  <c r="O8" i="9"/>
  <c r="N8" i="9"/>
  <c r="K8" i="9"/>
  <c r="J8" i="9"/>
  <c r="I8" i="9"/>
  <c r="H8" i="9"/>
  <c r="G8" i="9"/>
  <c r="F8" i="9"/>
  <c r="E8" i="9"/>
  <c r="D8" i="9"/>
  <c r="C8" i="9"/>
  <c r="V7" i="9"/>
  <c r="U7" i="9"/>
  <c r="T7" i="9"/>
  <c r="S7" i="9"/>
  <c r="R7" i="9"/>
  <c r="Q7" i="9"/>
  <c r="P7" i="9"/>
  <c r="O7" i="9"/>
  <c r="N7" i="9"/>
  <c r="K7" i="9"/>
  <c r="J7" i="9"/>
  <c r="I7" i="9"/>
  <c r="H7" i="9"/>
  <c r="G7" i="9"/>
  <c r="F7" i="9"/>
  <c r="E7" i="9"/>
  <c r="D7" i="9"/>
  <c r="C7" i="9"/>
  <c r="V6" i="9"/>
  <c r="U6" i="9"/>
  <c r="T6" i="9"/>
  <c r="S6" i="9"/>
  <c r="R6" i="9"/>
  <c r="Q6" i="9"/>
  <c r="P6" i="9"/>
  <c r="O6" i="9"/>
  <c r="N6" i="9"/>
  <c r="K6" i="9"/>
  <c r="J6" i="9"/>
  <c r="I6" i="9"/>
  <c r="H6" i="9"/>
  <c r="G6" i="9"/>
  <c r="F6" i="9"/>
  <c r="E6" i="9"/>
  <c r="D6" i="9"/>
  <c r="C6" i="9"/>
  <c r="V5" i="9"/>
  <c r="U5" i="9"/>
  <c r="T5" i="9"/>
  <c r="S5" i="9"/>
  <c r="R5" i="9"/>
  <c r="Q5" i="9"/>
  <c r="P5" i="9"/>
  <c r="O5" i="9"/>
  <c r="N5" i="9"/>
  <c r="K5" i="9"/>
  <c r="J5" i="9"/>
  <c r="I5" i="9"/>
  <c r="H5" i="9"/>
  <c r="G5" i="9"/>
  <c r="F5" i="9"/>
  <c r="E5" i="9"/>
  <c r="D5" i="9"/>
  <c r="C5" i="9"/>
  <c r="B5" i="9"/>
  <c r="B14" i="9"/>
  <c r="B13" i="9"/>
  <c r="B12" i="9"/>
  <c r="B11" i="9"/>
  <c r="B10" i="9"/>
  <c r="B9" i="9"/>
  <c r="B8" i="9"/>
  <c r="B7" i="9"/>
  <c r="B6" i="9"/>
  <c r="B15" i="9"/>
  <c r="B16" i="9"/>
  <c r="C16" i="9"/>
  <c r="D16" i="9"/>
  <c r="E16" i="9"/>
  <c r="F16" i="9"/>
  <c r="G16" i="9"/>
  <c r="H16" i="9"/>
  <c r="I16" i="9"/>
  <c r="J16" i="9"/>
  <c r="K16" i="9"/>
  <c r="N16" i="9"/>
  <c r="O16" i="9"/>
  <c r="P16" i="9"/>
  <c r="Q16" i="9"/>
  <c r="R16" i="9"/>
  <c r="S16" i="9"/>
  <c r="T16" i="9"/>
  <c r="U16" i="9"/>
  <c r="V16" i="9"/>
  <c r="B17" i="9"/>
  <c r="C17" i="9"/>
  <c r="D17" i="9"/>
  <c r="E17" i="9"/>
  <c r="F17" i="9"/>
  <c r="G17" i="9"/>
  <c r="H17" i="9"/>
  <c r="I17" i="9"/>
  <c r="J17" i="9"/>
  <c r="K17" i="9"/>
  <c r="N17" i="9"/>
  <c r="O17" i="9"/>
  <c r="P17" i="9"/>
  <c r="Q17" i="9"/>
  <c r="R17" i="9"/>
  <c r="S17" i="9"/>
  <c r="T17" i="9"/>
  <c r="U17" i="9"/>
  <c r="V17" i="9"/>
  <c r="B18" i="9"/>
  <c r="C18" i="9"/>
  <c r="D18" i="9"/>
  <c r="E18" i="9"/>
  <c r="F18" i="9"/>
  <c r="G18" i="9"/>
  <c r="H18" i="9"/>
  <c r="I18" i="9"/>
  <c r="J18" i="9"/>
  <c r="K18" i="9"/>
  <c r="N18" i="9"/>
  <c r="O18" i="9"/>
  <c r="P18" i="9"/>
  <c r="Q18" i="9"/>
  <c r="R18" i="9"/>
  <c r="S18" i="9"/>
  <c r="T18" i="9"/>
  <c r="U18" i="9"/>
  <c r="V18" i="9"/>
  <c r="B19" i="9"/>
  <c r="C19" i="9"/>
  <c r="D19" i="9"/>
  <c r="E19" i="9"/>
  <c r="F19" i="9"/>
  <c r="G19" i="9"/>
  <c r="H19" i="9"/>
  <c r="I19" i="9"/>
  <c r="J19" i="9"/>
  <c r="K19" i="9"/>
  <c r="N19" i="9"/>
  <c r="O19" i="9"/>
  <c r="P19" i="9"/>
  <c r="Q19" i="9"/>
  <c r="R19" i="9"/>
  <c r="S19" i="9"/>
  <c r="T19" i="9"/>
  <c r="U19" i="9"/>
  <c r="V19" i="9"/>
  <c r="B20" i="9"/>
  <c r="C20" i="9"/>
  <c r="D20" i="9"/>
  <c r="E20" i="9"/>
  <c r="F20" i="9"/>
  <c r="G20" i="9"/>
  <c r="H20" i="9"/>
  <c r="I20" i="9"/>
  <c r="J20" i="9"/>
  <c r="K20" i="9"/>
  <c r="N20" i="9"/>
  <c r="O20" i="9"/>
  <c r="P20" i="9"/>
  <c r="Q20" i="9"/>
  <c r="R20" i="9"/>
  <c r="S20" i="9"/>
  <c r="T20" i="9"/>
  <c r="U20" i="9"/>
  <c r="V20" i="9"/>
  <c r="B21" i="9"/>
  <c r="C21" i="9"/>
  <c r="D21" i="9"/>
  <c r="E21" i="9"/>
  <c r="F21" i="9"/>
  <c r="G21" i="9"/>
  <c r="H21" i="9"/>
  <c r="I21" i="9"/>
  <c r="J21" i="9"/>
  <c r="K21" i="9"/>
  <c r="N21" i="9"/>
  <c r="O21" i="9"/>
  <c r="P21" i="9"/>
  <c r="Q21" i="9"/>
  <c r="R21" i="9"/>
  <c r="S21" i="9"/>
  <c r="T21" i="9"/>
  <c r="U21" i="9"/>
  <c r="V21" i="9"/>
  <c r="B22" i="9"/>
  <c r="C22" i="9"/>
  <c r="D22" i="9"/>
  <c r="E22" i="9"/>
  <c r="F22" i="9"/>
  <c r="G22" i="9"/>
  <c r="H22" i="9"/>
  <c r="I22" i="9"/>
  <c r="J22" i="9"/>
  <c r="K22" i="9"/>
  <c r="N22" i="9"/>
  <c r="O22" i="9"/>
  <c r="P22" i="9"/>
  <c r="Q22" i="9"/>
  <c r="R22" i="9"/>
  <c r="S22" i="9"/>
  <c r="T22" i="9"/>
  <c r="U22" i="9"/>
  <c r="V22" i="9"/>
  <c r="B23" i="9"/>
  <c r="C23" i="9"/>
  <c r="D23" i="9"/>
  <c r="E23" i="9"/>
  <c r="F23" i="9"/>
  <c r="G23" i="9"/>
  <c r="H23" i="9"/>
  <c r="I23" i="9"/>
  <c r="J23" i="9"/>
  <c r="K23" i="9"/>
  <c r="N23" i="9"/>
  <c r="O23" i="9"/>
  <c r="P23" i="9"/>
  <c r="Q23" i="9"/>
  <c r="R23" i="9"/>
  <c r="S23" i="9"/>
  <c r="T23" i="9"/>
  <c r="U23" i="9"/>
  <c r="V23" i="9"/>
  <c r="B24" i="9"/>
  <c r="C24" i="9"/>
  <c r="D24" i="9"/>
  <c r="E24" i="9"/>
  <c r="F24" i="9"/>
  <c r="G24" i="9"/>
  <c r="H24" i="9"/>
  <c r="I24" i="9"/>
  <c r="J24" i="9"/>
  <c r="K24" i="9"/>
  <c r="N24" i="9"/>
  <c r="O24" i="9"/>
  <c r="P24" i="9"/>
  <c r="Q24" i="9"/>
  <c r="R24" i="9"/>
  <c r="S24" i="9"/>
  <c r="T24" i="9"/>
  <c r="U24" i="9"/>
  <c r="V24" i="9"/>
  <c r="B25" i="9"/>
  <c r="C25" i="9"/>
  <c r="D25" i="9"/>
  <c r="E25" i="9"/>
  <c r="F25" i="9"/>
  <c r="G25" i="9"/>
  <c r="H25" i="9"/>
  <c r="I25" i="9"/>
  <c r="J25" i="9"/>
  <c r="K25" i="9"/>
  <c r="N25" i="9"/>
  <c r="O25" i="9"/>
  <c r="P25" i="9"/>
  <c r="Q25" i="9"/>
  <c r="R25" i="9"/>
  <c r="S25" i="9"/>
  <c r="T25" i="9"/>
  <c r="U25" i="9"/>
  <c r="V25" i="9"/>
  <c r="B26" i="9"/>
  <c r="C26" i="9"/>
  <c r="D26" i="9"/>
  <c r="E26" i="9"/>
  <c r="F26" i="9"/>
  <c r="G26" i="9"/>
  <c r="H26" i="9"/>
  <c r="I26" i="9"/>
  <c r="J26" i="9"/>
  <c r="K26" i="9"/>
  <c r="N26" i="9"/>
  <c r="O26" i="9"/>
  <c r="P26" i="9"/>
  <c r="Q26" i="9"/>
  <c r="R26" i="9"/>
  <c r="S26" i="9"/>
  <c r="T26" i="9"/>
  <c r="U26" i="9"/>
  <c r="V26" i="9"/>
  <c r="B27" i="9"/>
  <c r="C27" i="9"/>
  <c r="D27" i="9"/>
  <c r="E27" i="9"/>
  <c r="F27" i="9"/>
  <c r="G27" i="9"/>
  <c r="H27" i="9"/>
  <c r="I27" i="9"/>
  <c r="J27" i="9"/>
  <c r="K27" i="9"/>
  <c r="N27" i="9"/>
  <c r="O27" i="9"/>
  <c r="P27" i="9"/>
  <c r="Q27" i="9"/>
  <c r="R27" i="9"/>
  <c r="S27" i="9"/>
  <c r="T27" i="9"/>
  <c r="U27" i="9"/>
  <c r="V27" i="9"/>
  <c r="B28" i="9"/>
  <c r="C28" i="9"/>
  <c r="D28" i="9"/>
  <c r="E28" i="9"/>
  <c r="F28" i="9"/>
  <c r="G28" i="9"/>
  <c r="H28" i="9"/>
  <c r="I28" i="9"/>
  <c r="J28" i="9"/>
  <c r="K28" i="9"/>
  <c r="N28" i="9"/>
  <c r="O28" i="9"/>
  <c r="P28" i="9"/>
  <c r="Q28" i="9"/>
  <c r="R28" i="9"/>
  <c r="S28" i="9"/>
  <c r="T28" i="9"/>
  <c r="U28" i="9"/>
  <c r="V28" i="9"/>
  <c r="B29" i="9"/>
  <c r="C29" i="9"/>
  <c r="D29" i="9"/>
  <c r="E29" i="9"/>
  <c r="F29" i="9"/>
  <c r="G29" i="9"/>
  <c r="H29" i="9"/>
  <c r="I29" i="9"/>
  <c r="J29" i="9"/>
  <c r="K29" i="9"/>
  <c r="N29" i="9"/>
  <c r="O29" i="9"/>
  <c r="P29" i="9"/>
  <c r="Q29" i="9"/>
  <c r="R29" i="9"/>
  <c r="S29" i="9"/>
  <c r="T29" i="9"/>
  <c r="U29" i="9"/>
  <c r="V29" i="9"/>
  <c r="B30" i="9"/>
  <c r="C30" i="9"/>
  <c r="D30" i="9"/>
  <c r="E30" i="9"/>
  <c r="F30" i="9"/>
  <c r="G30" i="9"/>
  <c r="H30" i="9"/>
  <c r="I30" i="9"/>
  <c r="J30" i="9"/>
  <c r="K30" i="9"/>
  <c r="N30" i="9"/>
  <c r="O30" i="9"/>
  <c r="P30" i="9"/>
  <c r="Q30" i="9"/>
  <c r="R30" i="9"/>
  <c r="S30" i="9"/>
  <c r="T30" i="9"/>
  <c r="U30" i="9"/>
  <c r="V30" i="9"/>
  <c r="B31" i="9"/>
  <c r="C31" i="9"/>
  <c r="D31" i="9"/>
  <c r="E31" i="9"/>
  <c r="F31" i="9"/>
  <c r="G31" i="9"/>
  <c r="H31" i="9"/>
  <c r="I31" i="9"/>
  <c r="J31" i="9"/>
  <c r="K31" i="9"/>
  <c r="N31" i="9"/>
  <c r="O31" i="9"/>
  <c r="P31" i="9"/>
  <c r="Q31" i="9"/>
  <c r="R31" i="9"/>
  <c r="S31" i="9"/>
  <c r="T31" i="9"/>
  <c r="U31" i="9"/>
  <c r="V31" i="9"/>
  <c r="B32" i="9"/>
  <c r="C32" i="9"/>
  <c r="D32" i="9"/>
  <c r="E32" i="9"/>
  <c r="F32" i="9"/>
  <c r="G32" i="9"/>
  <c r="H32" i="9"/>
  <c r="I32" i="9"/>
  <c r="J32" i="9"/>
  <c r="K32" i="9"/>
  <c r="N32" i="9"/>
  <c r="O32" i="9"/>
  <c r="P32" i="9"/>
  <c r="Q32" i="9"/>
  <c r="R32" i="9"/>
  <c r="S32" i="9"/>
  <c r="T32" i="9"/>
  <c r="U32" i="9"/>
  <c r="V32" i="9"/>
  <c r="B33" i="9"/>
  <c r="C33" i="9"/>
  <c r="D33" i="9"/>
  <c r="E33" i="9"/>
  <c r="F33" i="9"/>
  <c r="G33" i="9"/>
  <c r="H33" i="9"/>
  <c r="I33" i="9"/>
  <c r="J33" i="9"/>
  <c r="K33" i="9"/>
  <c r="N33" i="9"/>
  <c r="O33" i="9"/>
  <c r="P33" i="9"/>
  <c r="Q33" i="9"/>
  <c r="R33" i="9"/>
  <c r="S33" i="9"/>
  <c r="T33" i="9"/>
  <c r="U33" i="9"/>
  <c r="V33" i="9"/>
  <c r="B34" i="9"/>
  <c r="C34" i="9"/>
  <c r="D34" i="9"/>
  <c r="E34" i="9"/>
  <c r="F34" i="9"/>
  <c r="G34" i="9"/>
  <c r="H34" i="9"/>
  <c r="I34" i="9"/>
  <c r="J34" i="9"/>
  <c r="K34" i="9"/>
  <c r="N34" i="9"/>
  <c r="O34" i="9"/>
  <c r="P34" i="9"/>
  <c r="Q34" i="9"/>
  <c r="R34" i="9"/>
  <c r="S34" i="9"/>
  <c r="T34" i="9"/>
  <c r="U34" i="9"/>
  <c r="V34" i="9"/>
  <c r="B35" i="9"/>
  <c r="C35" i="9"/>
  <c r="D35" i="9"/>
  <c r="E35" i="9"/>
  <c r="F35" i="9"/>
  <c r="G35" i="9"/>
  <c r="H35" i="9"/>
  <c r="I35" i="9"/>
  <c r="J35" i="9"/>
  <c r="K35" i="9"/>
  <c r="N35" i="9"/>
  <c r="O35" i="9"/>
  <c r="P35" i="9"/>
  <c r="Q35" i="9"/>
  <c r="R35" i="9"/>
  <c r="S35" i="9"/>
  <c r="T35" i="9"/>
  <c r="U35" i="9"/>
  <c r="V35" i="9"/>
  <c r="B36" i="9"/>
  <c r="C36" i="9"/>
  <c r="D36" i="9"/>
  <c r="E36" i="9"/>
  <c r="F36" i="9"/>
  <c r="G36" i="9"/>
  <c r="H36" i="9"/>
  <c r="I36" i="9"/>
  <c r="J36" i="9"/>
  <c r="K36" i="9"/>
  <c r="N36" i="9"/>
  <c r="O36" i="9"/>
  <c r="P36" i="9"/>
  <c r="Q36" i="9"/>
  <c r="R36" i="9"/>
  <c r="S36" i="9"/>
  <c r="T36" i="9"/>
  <c r="U36" i="9"/>
  <c r="V36" i="9"/>
  <c r="B37" i="9"/>
  <c r="C37" i="9"/>
  <c r="D37" i="9"/>
  <c r="E37" i="9"/>
  <c r="F37" i="9"/>
  <c r="G37" i="9"/>
  <c r="H37" i="9"/>
  <c r="I37" i="9"/>
  <c r="J37" i="9"/>
  <c r="K37" i="9"/>
  <c r="N37" i="9"/>
  <c r="O37" i="9"/>
  <c r="P37" i="9"/>
  <c r="Q37" i="9"/>
  <c r="R37" i="9"/>
  <c r="S37" i="9"/>
  <c r="T37" i="9"/>
  <c r="U37" i="9"/>
  <c r="V37" i="9"/>
  <c r="B38" i="9"/>
  <c r="C38" i="9"/>
  <c r="D38" i="9"/>
  <c r="E38" i="9"/>
  <c r="F38" i="9"/>
  <c r="G38" i="9"/>
  <c r="H38" i="9"/>
  <c r="I38" i="9"/>
  <c r="J38" i="9"/>
  <c r="K38" i="9"/>
  <c r="N38" i="9"/>
  <c r="O38" i="9"/>
  <c r="P38" i="9"/>
  <c r="Q38" i="9"/>
  <c r="R38" i="9"/>
  <c r="S38" i="9"/>
  <c r="T38" i="9"/>
  <c r="U38" i="9"/>
  <c r="V38" i="9"/>
  <c r="B39" i="9"/>
  <c r="C39" i="9"/>
  <c r="D39" i="9"/>
  <c r="E39" i="9"/>
  <c r="F39" i="9"/>
  <c r="G39" i="9"/>
  <c r="H39" i="9"/>
  <c r="I39" i="9"/>
  <c r="J39" i="9"/>
  <c r="K39" i="9"/>
  <c r="N39" i="9"/>
  <c r="O39" i="9"/>
  <c r="P39" i="9"/>
  <c r="Q39" i="9"/>
  <c r="R39" i="9"/>
  <c r="S39" i="9"/>
  <c r="T39" i="9"/>
  <c r="U39" i="9"/>
  <c r="V39" i="9"/>
  <c r="B40" i="9"/>
  <c r="C40" i="9"/>
  <c r="D40" i="9"/>
  <c r="E40" i="9"/>
  <c r="F40" i="9"/>
  <c r="G40" i="9"/>
  <c r="H40" i="9"/>
  <c r="I40" i="9"/>
  <c r="J40" i="9"/>
  <c r="K40" i="9"/>
  <c r="N40" i="9"/>
  <c r="O40" i="9"/>
  <c r="P40" i="9"/>
  <c r="Q40" i="9"/>
  <c r="R40" i="9"/>
  <c r="S40" i="9"/>
  <c r="T40" i="9"/>
  <c r="U40" i="9"/>
  <c r="V40" i="9"/>
  <c r="B41" i="9"/>
  <c r="C41" i="9"/>
  <c r="D41" i="9"/>
  <c r="E41" i="9"/>
  <c r="F41" i="9"/>
  <c r="G41" i="9"/>
  <c r="H41" i="9"/>
  <c r="I41" i="9"/>
  <c r="J41" i="9"/>
  <c r="K41" i="9"/>
  <c r="N41" i="9"/>
  <c r="O41" i="9"/>
  <c r="P41" i="9"/>
  <c r="Q41" i="9"/>
  <c r="R41" i="9"/>
  <c r="S41" i="9"/>
  <c r="T41" i="9"/>
  <c r="U41" i="9"/>
  <c r="V41" i="9"/>
  <c r="B42" i="9"/>
  <c r="C42" i="9"/>
  <c r="D42" i="9"/>
  <c r="E42" i="9"/>
  <c r="F42" i="9"/>
  <c r="G42" i="9"/>
  <c r="H42" i="9"/>
  <c r="I42" i="9"/>
  <c r="J42" i="9"/>
  <c r="K42" i="9"/>
  <c r="N42" i="9"/>
  <c r="O42" i="9"/>
  <c r="P42" i="9"/>
  <c r="Q42" i="9"/>
  <c r="R42" i="9"/>
  <c r="S42" i="9"/>
  <c r="T42" i="9"/>
  <c r="U42" i="9"/>
  <c r="V42" i="9"/>
  <c r="C43" i="9"/>
  <c r="D43" i="9"/>
  <c r="E43" i="9"/>
  <c r="F43" i="9"/>
  <c r="G43" i="9"/>
  <c r="H43" i="9"/>
  <c r="I43" i="9"/>
  <c r="J43" i="9"/>
  <c r="K43" i="9"/>
  <c r="N43" i="9"/>
  <c r="O43" i="9"/>
  <c r="P43" i="9"/>
  <c r="Q43" i="9"/>
  <c r="R43" i="9"/>
  <c r="S43" i="9"/>
  <c r="T43" i="9"/>
  <c r="U43" i="9"/>
  <c r="V43" i="9"/>
  <c r="B43" i="9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2" i="8"/>
  <c r="A44" i="1"/>
  <c r="I43" i="8" l="1"/>
  <c r="Y15" i="1" l="1"/>
  <c r="V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B43" i="6"/>
  <c r="AF42" i="6"/>
  <c r="W42" i="6"/>
  <c r="AP42" i="6" s="1"/>
  <c r="AN41" i="6"/>
  <c r="AG41" i="6"/>
  <c r="AB41" i="6"/>
  <c r="X41" i="6"/>
  <c r="W41" i="6"/>
  <c r="AM41" i="6" s="1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AO39" i="6"/>
  <c r="AK39" i="6"/>
  <c r="AH39" i="6"/>
  <c r="AG39" i="6"/>
  <c r="AD39" i="6"/>
  <c r="AC39" i="6"/>
  <c r="Z39" i="6"/>
  <c r="Y39" i="6"/>
  <c r="W39" i="6"/>
  <c r="AN39" i="6" s="1"/>
  <c r="AA38" i="6"/>
  <c r="W38" i="6"/>
  <c r="AJ37" i="6"/>
  <c r="AF37" i="6"/>
  <c r="X37" i="6"/>
  <c r="W37" i="6"/>
  <c r="AP37" i="6" s="1"/>
  <c r="AO36" i="6"/>
  <c r="AN36" i="6"/>
  <c r="AJ36" i="6"/>
  <c r="AG36" i="6"/>
  <c r="AC36" i="6"/>
  <c r="AB36" i="6"/>
  <c r="Y36" i="6"/>
  <c r="X36" i="6"/>
  <c r="W36" i="6"/>
  <c r="AM36" i="6" s="1"/>
  <c r="AP35" i="6"/>
  <c r="AG35" i="6"/>
  <c r="Z35" i="6"/>
  <c r="W35" i="6"/>
  <c r="AN35" i="6" s="1"/>
  <c r="W34" i="6"/>
  <c r="AN33" i="6"/>
  <c r="AJ33" i="6"/>
  <c r="AB33" i="6"/>
  <c r="W33" i="6"/>
  <c r="AP33" i="6" s="1"/>
  <c r="AF32" i="6"/>
  <c r="W32" i="6"/>
  <c r="AM32" i="6" s="1"/>
  <c r="AL31" i="6"/>
  <c r="AG31" i="6"/>
  <c r="AC31" i="6"/>
  <c r="AB31" i="6"/>
  <c r="Y31" i="6"/>
  <c r="W31" i="6"/>
  <c r="AN31" i="6" s="1"/>
  <c r="W30" i="6"/>
  <c r="AJ29" i="6"/>
  <c r="AF29" i="6"/>
  <c r="X29" i="6"/>
  <c r="W29" i="6"/>
  <c r="AP29" i="6" s="1"/>
  <c r="AO28" i="6"/>
  <c r="AN28" i="6"/>
  <c r="AJ28" i="6"/>
  <c r="AG28" i="6"/>
  <c r="AC28" i="6"/>
  <c r="AB28" i="6"/>
  <c r="Y28" i="6"/>
  <c r="X28" i="6"/>
  <c r="W28" i="6"/>
  <c r="AM28" i="6" s="1"/>
  <c r="AP27" i="6"/>
  <c r="AO27" i="6"/>
  <c r="AK27" i="6"/>
  <c r="AH27" i="6"/>
  <c r="AG27" i="6"/>
  <c r="AD27" i="6"/>
  <c r="AC27" i="6"/>
  <c r="Z27" i="6"/>
  <c r="Y27" i="6"/>
  <c r="W27" i="6"/>
  <c r="AN27" i="6" s="1"/>
  <c r="AI26" i="6"/>
  <c r="W26" i="6"/>
  <c r="AE26" i="6" s="1"/>
  <c r="AJ25" i="6"/>
  <c r="X25" i="6"/>
  <c r="W25" i="6"/>
  <c r="AP25" i="6" s="1"/>
  <c r="AO24" i="6"/>
  <c r="AN24" i="6"/>
  <c r="AJ24" i="6"/>
  <c r="AG24" i="6"/>
  <c r="AC24" i="6"/>
  <c r="AB24" i="6"/>
  <c r="Y24" i="6"/>
  <c r="X24" i="6"/>
  <c r="W24" i="6"/>
  <c r="AM24" i="6" s="1"/>
  <c r="AP23" i="6"/>
  <c r="AO23" i="6"/>
  <c r="AK23" i="6"/>
  <c r="AH23" i="6"/>
  <c r="AG23" i="6"/>
  <c r="AD23" i="6"/>
  <c r="AC23" i="6"/>
  <c r="Z23" i="6"/>
  <c r="Y23" i="6"/>
  <c r="W23" i="6"/>
  <c r="AN23" i="6" s="1"/>
  <c r="W22" i="6"/>
  <c r="X21" i="6"/>
  <c r="W21" i="6"/>
  <c r="AP21" i="6" s="1"/>
  <c r="AN20" i="6"/>
  <c r="AG20" i="6"/>
  <c r="AC20" i="6"/>
  <c r="AB20" i="6"/>
  <c r="X20" i="6"/>
  <c r="W20" i="6"/>
  <c r="AM20" i="6" s="1"/>
  <c r="AP19" i="6"/>
  <c r="AO19" i="6"/>
  <c r="AK19" i="6"/>
  <c r="AH19" i="6"/>
  <c r="AD19" i="6"/>
  <c r="AC19" i="6"/>
  <c r="Z19" i="6"/>
  <c r="Y19" i="6"/>
  <c r="W19" i="6"/>
  <c r="AN19" i="6" s="1"/>
  <c r="W18" i="6"/>
  <c r="X17" i="6"/>
  <c r="W17" i="6"/>
  <c r="AP17" i="6" s="1"/>
  <c r="AN16" i="6"/>
  <c r="AG16" i="6"/>
  <c r="AC16" i="6"/>
  <c r="AB16" i="6"/>
  <c r="X16" i="6"/>
  <c r="W16" i="6"/>
  <c r="AM16" i="6" s="1"/>
  <c r="AD15" i="6"/>
  <c r="W15" i="6"/>
  <c r="AN15" i="6" s="1"/>
  <c r="AA14" i="6"/>
  <c r="W14" i="6"/>
  <c r="AN13" i="6"/>
  <c r="W13" i="6"/>
  <c r="AP13" i="6" s="1"/>
  <c r="W12" i="6"/>
  <c r="AH11" i="6"/>
  <c r="AG11" i="6"/>
  <c r="AC11" i="6"/>
  <c r="W11" i="6"/>
  <c r="AN11" i="6" s="1"/>
  <c r="W10" i="6"/>
  <c r="AJ9" i="6"/>
  <c r="AI9" i="6"/>
  <c r="AA9" i="6"/>
  <c r="W9" i="6"/>
  <c r="AB9" i="6" s="1"/>
  <c r="AO8" i="6"/>
  <c r="AN8" i="6"/>
  <c r="AJ8" i="6"/>
  <c r="AG8" i="6"/>
  <c r="AC8" i="6"/>
  <c r="AB8" i="6"/>
  <c r="Y8" i="6"/>
  <c r="X8" i="6"/>
  <c r="W8" i="6"/>
  <c r="AM8" i="6" s="1"/>
  <c r="AK7" i="6"/>
  <c r="W7" i="6"/>
  <c r="AP6" i="6"/>
  <c r="AH6" i="6"/>
  <c r="Z6" i="6"/>
  <c r="W6" i="6"/>
  <c r="W5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V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B43" i="5"/>
  <c r="AJ42" i="5"/>
  <c r="AF42" i="5"/>
  <c r="AB42" i="5"/>
  <c r="X42" i="5"/>
  <c r="W42" i="5"/>
  <c r="AP42" i="5" s="1"/>
  <c r="AC41" i="5"/>
  <c r="W41" i="5"/>
  <c r="AM41" i="5" s="1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Z39" i="5"/>
  <c r="W39" i="5"/>
  <c r="AN39" i="5" s="1"/>
  <c r="W38" i="5"/>
  <c r="AO38" i="5" s="1"/>
  <c r="AN37" i="5"/>
  <c r="W37" i="5"/>
  <c r="AP37" i="5" s="1"/>
  <c r="AO36" i="5"/>
  <c r="AL36" i="5"/>
  <c r="AK36" i="5"/>
  <c r="AJ36" i="5"/>
  <c r="AH36" i="5"/>
  <c r="AF36" i="5"/>
  <c r="AD36" i="5"/>
  <c r="AB36" i="5"/>
  <c r="Z36" i="5"/>
  <c r="Y36" i="5"/>
  <c r="X36" i="5"/>
  <c r="W36" i="5"/>
  <c r="AM36" i="5" s="1"/>
  <c r="AP35" i="5"/>
  <c r="AL35" i="5"/>
  <c r="AD35" i="5"/>
  <c r="W35" i="5"/>
  <c r="AN35" i="5" s="1"/>
  <c r="W34" i="5"/>
  <c r="AO34" i="5" s="1"/>
  <c r="AJ33" i="5"/>
  <c r="AF33" i="5"/>
  <c r="X33" i="5"/>
  <c r="W33" i="5"/>
  <c r="AP33" i="5" s="1"/>
  <c r="AO32" i="5"/>
  <c r="AL32" i="5"/>
  <c r="AK32" i="5"/>
  <c r="AH32" i="5"/>
  <c r="AD32" i="5"/>
  <c r="AB32" i="5"/>
  <c r="Z32" i="5"/>
  <c r="X32" i="5"/>
  <c r="W32" i="5"/>
  <c r="AM32" i="5" s="1"/>
  <c r="AP31" i="5"/>
  <c r="AL31" i="5"/>
  <c r="AD31" i="5"/>
  <c r="Z31" i="5"/>
  <c r="W31" i="5"/>
  <c r="AN31" i="5" s="1"/>
  <c r="W30" i="5"/>
  <c r="AO30" i="5" s="1"/>
  <c r="X29" i="5"/>
  <c r="W29" i="5"/>
  <c r="AP29" i="5" s="1"/>
  <c r="AO28" i="5"/>
  <c r="AH28" i="5"/>
  <c r="AD28" i="5"/>
  <c r="X28" i="5"/>
  <c r="W28" i="5"/>
  <c r="AM28" i="5" s="1"/>
  <c r="AL27" i="5"/>
  <c r="AH27" i="5"/>
  <c r="AD27" i="5"/>
  <c r="Z27" i="5"/>
  <c r="W27" i="5"/>
  <c r="AN27" i="5" s="1"/>
  <c r="W26" i="5"/>
  <c r="AO26" i="5" s="1"/>
  <c r="AN25" i="5"/>
  <c r="AF25" i="5"/>
  <c r="W25" i="5"/>
  <c r="AP25" i="5" s="1"/>
  <c r="AO24" i="5"/>
  <c r="AN24" i="5"/>
  <c r="AK24" i="5"/>
  <c r="AD24" i="5"/>
  <c r="AC24" i="5"/>
  <c r="Z24" i="5"/>
  <c r="W24" i="5"/>
  <c r="AM24" i="5" s="1"/>
  <c r="AL23" i="5"/>
  <c r="AH23" i="5"/>
  <c r="Z23" i="5"/>
  <c r="W23" i="5"/>
  <c r="AN23" i="5" s="1"/>
  <c r="W22" i="5"/>
  <c r="AO22" i="5" s="1"/>
  <c r="AF21" i="5"/>
  <c r="W21" i="5"/>
  <c r="AK20" i="5"/>
  <c r="AG20" i="5"/>
  <c r="Z20" i="5"/>
  <c r="W20" i="5"/>
  <c r="Z19" i="5"/>
  <c r="W19" i="5"/>
  <c r="AN19" i="5" s="1"/>
  <c r="W18" i="5"/>
  <c r="AO18" i="5" s="1"/>
  <c r="W17" i="5"/>
  <c r="AN16" i="5"/>
  <c r="W16" i="5"/>
  <c r="AP15" i="5"/>
  <c r="AH15" i="5"/>
  <c r="AD15" i="5"/>
  <c r="Z15" i="5"/>
  <c r="Y15" i="5"/>
  <c r="W15" i="5"/>
  <c r="AN15" i="5" s="1"/>
  <c r="W14" i="5"/>
  <c r="AO14" i="5" s="1"/>
  <c r="AN13" i="5"/>
  <c r="AF13" i="5"/>
  <c r="W13" i="5"/>
  <c r="AP13" i="5" s="1"/>
  <c r="AO12" i="5"/>
  <c r="AN12" i="5"/>
  <c r="AK12" i="5"/>
  <c r="AD12" i="5"/>
  <c r="AC12" i="5"/>
  <c r="Z12" i="5"/>
  <c r="W12" i="5"/>
  <c r="AM12" i="5" s="1"/>
  <c r="AL11" i="5"/>
  <c r="AH11" i="5"/>
  <c r="Z11" i="5"/>
  <c r="W11" i="5"/>
  <c r="AN11" i="5" s="1"/>
  <c r="W10" i="5"/>
  <c r="AO10" i="5" s="1"/>
  <c r="AF9" i="5"/>
  <c r="AB9" i="5"/>
  <c r="W9" i="5"/>
  <c r="AK8" i="5"/>
  <c r="AJ8" i="5"/>
  <c r="AG8" i="5"/>
  <c r="AC8" i="5"/>
  <c r="W8" i="5"/>
  <c r="Z7" i="5"/>
  <c r="W7" i="5"/>
  <c r="W6" i="5"/>
  <c r="AO6" i="5" s="1"/>
  <c r="AN5" i="5"/>
  <c r="W5" i="5"/>
  <c r="AB6" i="4"/>
  <c r="AD6" i="4"/>
  <c r="AE6" i="4"/>
  <c r="AG6" i="4"/>
  <c r="Y7" i="4"/>
  <c r="AA7" i="4"/>
  <c r="AB7" i="4"/>
  <c r="AD7" i="4"/>
  <c r="AO7" i="4"/>
  <c r="AA8" i="4"/>
  <c r="X9" i="4"/>
  <c r="AD9" i="4"/>
  <c r="AG9" i="4"/>
  <c r="AH9" i="4"/>
  <c r="AO9" i="4"/>
  <c r="AA11" i="4"/>
  <c r="AB11" i="4"/>
  <c r="AI11" i="4"/>
  <c r="Z12" i="4"/>
  <c r="AB12" i="4"/>
  <c r="AC12" i="4"/>
  <c r="AE12" i="4"/>
  <c r="AK12" i="4"/>
  <c r="AM12" i="4"/>
  <c r="AN12" i="4"/>
  <c r="AO12" i="4"/>
  <c r="AC13" i="4"/>
  <c r="AD13" i="4"/>
  <c r="AE13" i="4"/>
  <c r="AG13" i="4"/>
  <c r="AM13" i="4"/>
  <c r="AO13" i="4"/>
  <c r="AP13" i="4"/>
  <c r="Y14" i="4"/>
  <c r="AE14" i="4"/>
  <c r="AG14" i="4"/>
  <c r="AH14" i="4"/>
  <c r="AI14" i="4"/>
  <c r="AN14" i="4"/>
  <c r="AO14" i="4"/>
  <c r="AP14" i="4"/>
  <c r="AP5" i="4"/>
  <c r="AK5" i="4"/>
  <c r="AJ5" i="4"/>
  <c r="AI5" i="4"/>
  <c r="AH5" i="4"/>
  <c r="AC5" i="4"/>
  <c r="AB5" i="4"/>
  <c r="AA5" i="4"/>
  <c r="Z5" i="4"/>
  <c r="X5" i="4"/>
  <c r="W6" i="4"/>
  <c r="Y6" i="4" s="1"/>
  <c r="W7" i="4"/>
  <c r="W8" i="4"/>
  <c r="Y8" i="4" s="1"/>
  <c r="W9" i="4"/>
  <c r="W10" i="4"/>
  <c r="W11" i="4"/>
  <c r="AM11" i="4" s="1"/>
  <c r="W12" i="4"/>
  <c r="AG12" i="4" s="1"/>
  <c r="W13" i="4"/>
  <c r="Z13" i="4" s="1"/>
  <c r="W14" i="4"/>
  <c r="AD14" i="4" s="1"/>
  <c r="W5" i="4"/>
  <c r="AO5" i="4" s="1"/>
  <c r="V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B43" i="4"/>
  <c r="AN42" i="4"/>
  <c r="AJ42" i="4"/>
  <c r="AF42" i="4"/>
  <c r="W42" i="4"/>
  <c r="AP42" i="4" s="1"/>
  <c r="AN41" i="4"/>
  <c r="AJ41" i="4"/>
  <c r="AG41" i="4"/>
  <c r="X41" i="4"/>
  <c r="W41" i="4"/>
  <c r="AM41" i="4" s="1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AO39" i="4"/>
  <c r="AK39" i="4"/>
  <c r="AH39" i="4"/>
  <c r="AG39" i="4"/>
  <c r="AD39" i="4"/>
  <c r="AC39" i="4"/>
  <c r="Z39" i="4"/>
  <c r="Y39" i="4"/>
  <c r="W39" i="4"/>
  <c r="AN39" i="4" s="1"/>
  <c r="W38" i="4"/>
  <c r="AO38" i="4" s="1"/>
  <c r="AN37" i="4"/>
  <c r="AJ37" i="4"/>
  <c r="AF37" i="4"/>
  <c r="W37" i="4"/>
  <c r="AP37" i="4" s="1"/>
  <c r="AN36" i="4"/>
  <c r="AJ36" i="4"/>
  <c r="AG36" i="4"/>
  <c r="X36" i="4"/>
  <c r="W36" i="4"/>
  <c r="AM36" i="4" s="1"/>
  <c r="AP35" i="4"/>
  <c r="AO35" i="4"/>
  <c r="AH35" i="4"/>
  <c r="AD35" i="4"/>
  <c r="AC35" i="4"/>
  <c r="Z35" i="4"/>
  <c r="Y35" i="4"/>
  <c r="W35" i="4"/>
  <c r="AN35" i="4" s="1"/>
  <c r="W34" i="4"/>
  <c r="AO34" i="4" s="1"/>
  <c r="AF33" i="4"/>
  <c r="X33" i="4"/>
  <c r="W33" i="4"/>
  <c r="AG32" i="4"/>
  <c r="AF32" i="4"/>
  <c r="AC32" i="4"/>
  <c r="AB32" i="4"/>
  <c r="W32" i="4"/>
  <c r="AM32" i="4" s="1"/>
  <c r="AO31" i="4"/>
  <c r="AK31" i="4"/>
  <c r="AH31" i="4"/>
  <c r="Y31" i="4"/>
  <c r="W31" i="4"/>
  <c r="AN31" i="4" s="1"/>
  <c r="W30" i="4"/>
  <c r="AO30" i="4" s="1"/>
  <c r="W29" i="4"/>
  <c r="AN29" i="4" s="1"/>
  <c r="AN28" i="4"/>
  <c r="AK28" i="4"/>
  <c r="AB28" i="4"/>
  <c r="X28" i="4"/>
  <c r="W28" i="4"/>
  <c r="AH27" i="4"/>
  <c r="AG27" i="4"/>
  <c r="AD27" i="4"/>
  <c r="AC27" i="4"/>
  <c r="W27" i="4"/>
  <c r="AN27" i="4" s="1"/>
  <c r="W26" i="4"/>
  <c r="AO26" i="4" s="1"/>
  <c r="AN25" i="4"/>
  <c r="W25" i="4"/>
  <c r="W24" i="4"/>
  <c r="AM24" i="4" s="1"/>
  <c r="Z23" i="4"/>
  <c r="W23" i="4"/>
  <c r="AN23" i="4" s="1"/>
  <c r="W22" i="4"/>
  <c r="AO22" i="4" s="1"/>
  <c r="AN21" i="4"/>
  <c r="W21" i="4"/>
  <c r="AP21" i="4" s="1"/>
  <c r="AN20" i="4"/>
  <c r="W20" i="4"/>
  <c r="W19" i="4"/>
  <c r="AN19" i="4" s="1"/>
  <c r="W18" i="4"/>
  <c r="AO18" i="4" s="1"/>
  <c r="W17" i="4"/>
  <c r="AO16" i="4"/>
  <c r="AN16" i="4"/>
  <c r="AG16" i="4"/>
  <c r="W16" i="4"/>
  <c r="AM16" i="4" s="1"/>
  <c r="W15" i="4"/>
  <c r="AO15" i="4" s="1"/>
  <c r="V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B43" i="3"/>
  <c r="AJ42" i="3"/>
  <c r="AG42" i="3"/>
  <c r="AF42" i="3"/>
  <c r="AC42" i="3"/>
  <c r="AB42" i="3"/>
  <c r="W42" i="3"/>
  <c r="AP42" i="3" s="1"/>
  <c r="AP41" i="3"/>
  <c r="AL41" i="3"/>
  <c r="AK41" i="3"/>
  <c r="Z41" i="3"/>
  <c r="W41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39" i="3"/>
  <c r="AN39" i="3" s="1"/>
  <c r="AJ38" i="3"/>
  <c r="AF38" i="3"/>
  <c r="AB38" i="3"/>
  <c r="X38" i="3"/>
  <c r="W38" i="3"/>
  <c r="AO38" i="3" s="1"/>
  <c r="AJ37" i="3"/>
  <c r="AG37" i="3"/>
  <c r="AF37" i="3"/>
  <c r="AC37" i="3"/>
  <c r="AB37" i="3"/>
  <c r="W37" i="3"/>
  <c r="AP37" i="3" s="1"/>
  <c r="W36" i="3"/>
  <c r="AK36" i="3" s="1"/>
  <c r="W35" i="3"/>
  <c r="AN35" i="3" s="1"/>
  <c r="W34" i="3"/>
  <c r="AO34" i="3" s="1"/>
  <c r="W33" i="3"/>
  <c r="AP32" i="3"/>
  <c r="Y32" i="3"/>
  <c r="W32" i="3"/>
  <c r="AM32" i="3" s="1"/>
  <c r="W31" i="3"/>
  <c r="AN31" i="3" s="1"/>
  <c r="AN30" i="3"/>
  <c r="X30" i="3"/>
  <c r="W30" i="3"/>
  <c r="AO30" i="3" s="1"/>
  <c r="W29" i="3"/>
  <c r="AP29" i="3" s="1"/>
  <c r="AK28" i="3"/>
  <c r="AH28" i="3"/>
  <c r="AC28" i="3"/>
  <c r="Z28" i="3"/>
  <c r="W28" i="3"/>
  <c r="AM28" i="3" s="1"/>
  <c r="W27" i="3"/>
  <c r="AN27" i="3" s="1"/>
  <c r="X26" i="3"/>
  <c r="W26" i="3"/>
  <c r="AO26" i="3" s="1"/>
  <c r="AN25" i="3"/>
  <c r="AF25" i="3"/>
  <c r="W25" i="3"/>
  <c r="AP25" i="3" s="1"/>
  <c r="W24" i="3"/>
  <c r="AM24" i="3" s="1"/>
  <c r="W23" i="3"/>
  <c r="AN23" i="3" s="1"/>
  <c r="AF22" i="3"/>
  <c r="W22" i="3"/>
  <c r="AO21" i="3"/>
  <c r="X21" i="3"/>
  <c r="W21" i="3"/>
  <c r="AP21" i="3" s="1"/>
  <c r="AO20" i="3"/>
  <c r="AG20" i="3"/>
  <c r="W20" i="3"/>
  <c r="AM20" i="3" s="1"/>
  <c r="W19" i="3"/>
  <c r="AN19" i="3" s="1"/>
  <c r="W18" i="3"/>
  <c r="AO18" i="3" s="1"/>
  <c r="AO17" i="3"/>
  <c r="AJ17" i="3"/>
  <c r="AG17" i="3"/>
  <c r="AB17" i="3"/>
  <c r="W17" i="3"/>
  <c r="AP17" i="3" s="1"/>
  <c r="AH16" i="3"/>
  <c r="AG16" i="3"/>
  <c r="Z16" i="3"/>
  <c r="Y16" i="3"/>
  <c r="W16" i="3"/>
  <c r="AM16" i="3" s="1"/>
  <c r="W15" i="3"/>
  <c r="AN15" i="3" s="1"/>
  <c r="B43" i="2"/>
  <c r="W35" i="2"/>
  <c r="W34" i="2"/>
  <c r="Z34" i="2" s="1"/>
  <c r="W33" i="2"/>
  <c r="AN33" i="2" s="1"/>
  <c r="W32" i="2"/>
  <c r="AB32" i="2" s="1"/>
  <c r="W31" i="2"/>
  <c r="W30" i="2"/>
  <c r="AN30" i="2" s="1"/>
  <c r="W29" i="2"/>
  <c r="W28" i="2"/>
  <c r="W27" i="2"/>
  <c r="W26" i="2"/>
  <c r="AK26" i="2" s="1"/>
  <c r="W25" i="2"/>
  <c r="AN25" i="2" s="1"/>
  <c r="W24" i="2"/>
  <c r="X24" i="2" s="1"/>
  <c r="W23" i="2"/>
  <c r="W22" i="2"/>
  <c r="AK22" i="2" s="1"/>
  <c r="W21" i="2"/>
  <c r="W20" i="2"/>
  <c r="W19" i="2"/>
  <c r="AG19" i="2" s="1"/>
  <c r="W18" i="2"/>
  <c r="AL18" i="2" s="1"/>
  <c r="W17" i="2"/>
  <c r="AN17" i="2" s="1"/>
  <c r="W16" i="2"/>
  <c r="AJ16" i="2" s="1"/>
  <c r="W15" i="2"/>
  <c r="AG15" i="2"/>
  <c r="X20" i="2"/>
  <c r="AK23" i="2"/>
  <c r="AN24" i="2"/>
  <c r="X28" i="2"/>
  <c r="AN29" i="2"/>
  <c r="AJ31" i="2"/>
  <c r="W36" i="2"/>
  <c r="P43" i="2"/>
  <c r="O43" i="2"/>
  <c r="G43" i="2"/>
  <c r="AL22" i="2"/>
  <c r="AF20" i="2"/>
  <c r="AN21" i="2"/>
  <c r="AF28" i="2"/>
  <c r="S43" i="2"/>
  <c r="L43" i="2"/>
  <c r="K43" i="2"/>
  <c r="AO18" i="2"/>
  <c r="V43" i="2"/>
  <c r="R43" i="2"/>
  <c r="Q43" i="2"/>
  <c r="N43" i="2"/>
  <c r="M43" i="2"/>
  <c r="J43" i="2"/>
  <c r="I43" i="2"/>
  <c r="F43" i="2"/>
  <c r="E43" i="2"/>
  <c r="W42" i="2"/>
  <c r="AN42" i="2" s="1"/>
  <c r="W41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AJ39" i="2"/>
  <c r="AG39" i="2"/>
  <c r="AF39" i="2"/>
  <c r="AC39" i="2"/>
  <c r="AB39" i="2"/>
  <c r="X39" i="2"/>
  <c r="W39" i="2"/>
  <c r="AP39" i="2" s="1"/>
  <c r="AP38" i="2"/>
  <c r="AO38" i="2"/>
  <c r="AN38" i="2"/>
  <c r="AL38" i="2"/>
  <c r="AF38" i="2"/>
  <c r="AD38" i="2"/>
  <c r="AC38" i="2"/>
  <c r="AB38" i="2"/>
  <c r="W38" i="2"/>
  <c r="AM38" i="2" s="1"/>
  <c r="W37" i="2"/>
  <c r="AN37" i="2" s="1"/>
  <c r="AF34" i="2"/>
  <c r="AO31" i="2"/>
  <c r="AC30" i="2"/>
  <c r="AN28" i="2"/>
  <c r="AN20" i="2"/>
  <c r="AB16" i="2"/>
  <c r="Y15" i="2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P17" i="5" l="1"/>
  <c r="AB17" i="5"/>
  <c r="X17" i="5"/>
  <c r="AJ17" i="5"/>
  <c r="AF17" i="5"/>
  <c r="AN17" i="5"/>
  <c r="AJ27" i="2"/>
  <c r="AB27" i="2"/>
  <c r="AK27" i="2"/>
  <c r="Y10" i="4"/>
  <c r="AG10" i="4"/>
  <c r="AO10" i="4"/>
  <c r="AB10" i="4"/>
  <c r="AB43" i="4" s="1"/>
  <c r="AJ10" i="4"/>
  <c r="AA10" i="4"/>
  <c r="AL10" i="4"/>
  <c r="AC10" i="4"/>
  <c r="AM10" i="4"/>
  <c r="AD10" i="4"/>
  <c r="AN10" i="4"/>
  <c r="AE10" i="4"/>
  <c r="AP10" i="4"/>
  <c r="AH10" i="4"/>
  <c r="Z10" i="4"/>
  <c r="AF10" i="4"/>
  <c r="AI10" i="4"/>
  <c r="AK10" i="4"/>
  <c r="X10" i="4"/>
  <c r="AO19" i="2"/>
  <c r="AJ19" i="2"/>
  <c r="AI18" i="6"/>
  <c r="AE18" i="6"/>
  <c r="AA18" i="6"/>
  <c r="AP17" i="4"/>
  <c r="AF17" i="4"/>
  <c r="AB17" i="4"/>
  <c r="AM12" i="6"/>
  <c r="AF12" i="6"/>
  <c r="AC12" i="6"/>
  <c r="AB12" i="6"/>
  <c r="AO12" i="6"/>
  <c r="Y12" i="6"/>
  <c r="AN12" i="6"/>
  <c r="X12" i="6"/>
  <c r="AJ12" i="6"/>
  <c r="AG12" i="6"/>
  <c r="AK12" i="6"/>
  <c r="Z36" i="3"/>
  <c r="Y15" i="4"/>
  <c r="X11" i="4"/>
  <c r="AO41" i="2"/>
  <c r="AN41" i="2"/>
  <c r="AJ41" i="2"/>
  <c r="AF41" i="2"/>
  <c r="AB41" i="2"/>
  <c r="AM20" i="4"/>
  <c r="AF20" i="4"/>
  <c r="AM36" i="3"/>
  <c r="AH36" i="3"/>
  <c r="AG36" i="3"/>
  <c r="AD36" i="3"/>
  <c r="AC36" i="3"/>
  <c r="AO36" i="3"/>
  <c r="Y36" i="3"/>
  <c r="AN15" i="4"/>
  <c r="AG15" i="4"/>
  <c r="AP29" i="4"/>
  <c r="AJ29" i="4"/>
  <c r="AF29" i="4"/>
  <c r="AB29" i="4"/>
  <c r="X29" i="4"/>
  <c r="AE8" i="4"/>
  <c r="AM8" i="4"/>
  <c r="Z8" i="4"/>
  <c r="AH8" i="4"/>
  <c r="AP8" i="4"/>
  <c r="AB8" i="4"/>
  <c r="AJ8" i="4"/>
  <c r="AC8" i="4"/>
  <c r="AK8" i="4"/>
  <c r="AD8" i="4"/>
  <c r="AF8" i="4"/>
  <c r="AG8" i="4"/>
  <c r="AI8" i="4"/>
  <c r="X8" i="4"/>
  <c r="AN8" i="4"/>
  <c r="AQ40" i="1"/>
  <c r="X41" i="2"/>
  <c r="AO32" i="2"/>
  <c r="AL36" i="3"/>
  <c r="X20" i="4"/>
  <c r="AP25" i="4"/>
  <c r="X25" i="4"/>
  <c r="AM28" i="4"/>
  <c r="AJ28" i="4"/>
  <c r="AG28" i="4"/>
  <c r="AF28" i="4"/>
  <c r="AC28" i="4"/>
  <c r="AO28" i="4"/>
  <c r="Y28" i="4"/>
  <c r="W43" i="2"/>
  <c r="AP33" i="3"/>
  <c r="AO33" i="3"/>
  <c r="AJ33" i="3"/>
  <c r="AG33" i="3"/>
  <c r="Y33" i="3"/>
  <c r="AP36" i="3"/>
  <c r="AM41" i="3"/>
  <c r="AH41" i="3"/>
  <c r="AG41" i="3"/>
  <c r="AD41" i="3"/>
  <c r="AC41" i="3"/>
  <c r="AO41" i="3"/>
  <c r="Y41" i="3"/>
  <c r="AO8" i="4"/>
  <c r="AO22" i="3"/>
  <c r="AB22" i="3"/>
  <c r="AB33" i="3"/>
  <c r="AP33" i="4"/>
  <c r="AN33" i="4"/>
  <c r="AJ33" i="4"/>
  <c r="AB33" i="4"/>
  <c r="AD11" i="4"/>
  <c r="AL11" i="4"/>
  <c r="Y11" i="4"/>
  <c r="AG11" i="4"/>
  <c r="AO11" i="4"/>
  <c r="AC11" i="4"/>
  <c r="AN11" i="4"/>
  <c r="AE11" i="4"/>
  <c r="AP11" i="4"/>
  <c r="AF11" i="4"/>
  <c r="AH11" i="4"/>
  <c r="Z11" i="4"/>
  <c r="AJ11" i="4"/>
  <c r="AK11" i="4"/>
  <c r="AL8" i="4"/>
  <c r="AL31" i="4"/>
  <c r="AK36" i="4"/>
  <c r="AK41" i="4"/>
  <c r="AB9" i="4"/>
  <c r="AJ9" i="4"/>
  <c r="AE9" i="4"/>
  <c r="AM9" i="4"/>
  <c r="AP9" i="4"/>
  <c r="AF9" i="4"/>
  <c r="AN7" i="5"/>
  <c r="AD7" i="5"/>
  <c r="AP7" i="5"/>
  <c r="AL7" i="5"/>
  <c r="AP21" i="5"/>
  <c r="AN21" i="5"/>
  <c r="AJ21" i="5"/>
  <c r="AB21" i="5"/>
  <c r="X21" i="5"/>
  <c r="AG38" i="2"/>
  <c r="AK39" i="2"/>
  <c r="AO16" i="3"/>
  <c r="Y21" i="3"/>
  <c r="AB26" i="3"/>
  <c r="AP28" i="3"/>
  <c r="Z32" i="3"/>
  <c r="AK37" i="3"/>
  <c r="AN38" i="3"/>
  <c r="AK42" i="3"/>
  <c r="AC23" i="4"/>
  <c r="AK27" i="4"/>
  <c r="Z31" i="4"/>
  <c r="AP31" i="4"/>
  <c r="AJ32" i="4"/>
  <c r="AG35" i="4"/>
  <c r="Y36" i="4"/>
  <c r="AO36" i="4"/>
  <c r="AL39" i="4"/>
  <c r="Y41" i="4"/>
  <c r="AO41" i="4"/>
  <c r="Z7" i="4"/>
  <c r="Z43" i="4" s="1"/>
  <c r="AH7" i="4"/>
  <c r="AP7" i="4"/>
  <c r="AC7" i="4"/>
  <c r="AK7" i="4"/>
  <c r="AE7" i="4"/>
  <c r="AM7" i="4"/>
  <c r="X7" i="4"/>
  <c r="AF7" i="4"/>
  <c r="AN7" i="4"/>
  <c r="AD5" i="4"/>
  <c r="AL5" i="4"/>
  <c r="AM14" i="4"/>
  <c r="AL13" i="4"/>
  <c r="AB13" i="4"/>
  <c r="AJ12" i="4"/>
  <c r="Y12" i="4"/>
  <c r="AN9" i="4"/>
  <c r="AC9" i="4"/>
  <c r="AC43" i="4" s="1"/>
  <c r="AL7" i="4"/>
  <c r="AO6" i="4"/>
  <c r="AO43" i="4" s="1"/>
  <c r="AH7" i="5"/>
  <c r="AP9" i="5"/>
  <c r="AN9" i="5"/>
  <c r="AJ9" i="5"/>
  <c r="X9" i="5"/>
  <c r="AH26" i="2"/>
  <c r="X38" i="2"/>
  <c r="AH38" i="2"/>
  <c r="AN39" i="2"/>
  <c r="AP16" i="3"/>
  <c r="AF21" i="3"/>
  <c r="AN26" i="3"/>
  <c r="AG32" i="3"/>
  <c r="X37" i="3"/>
  <c r="AN37" i="3"/>
  <c r="X42" i="3"/>
  <c r="AN42" i="3"/>
  <c r="X16" i="4"/>
  <c r="X21" i="4"/>
  <c r="AH23" i="4"/>
  <c r="AL27" i="4"/>
  <c r="AC31" i="4"/>
  <c r="AK32" i="4"/>
  <c r="AB36" i="4"/>
  <c r="AB41" i="4"/>
  <c r="AC14" i="4"/>
  <c r="X14" i="4"/>
  <c r="AF14" i="4"/>
  <c r="AC6" i="4"/>
  <c r="AK6" i="4"/>
  <c r="AK43" i="4" s="1"/>
  <c r="X6" i="4"/>
  <c r="AF6" i="4"/>
  <c r="AN6" i="4"/>
  <c r="Z6" i="4"/>
  <c r="AH6" i="4"/>
  <c r="AH43" i="4" s="1"/>
  <c r="AP6" i="4"/>
  <c r="AA6" i="4"/>
  <c r="AA43" i="4" s="1"/>
  <c r="AI6" i="4"/>
  <c r="AI43" i="4" s="1"/>
  <c r="AE5" i="4"/>
  <c r="AM5" i="4"/>
  <c r="AL14" i="4"/>
  <c r="AB14" i="4"/>
  <c r="AK13" i="4"/>
  <c r="AH12" i="4"/>
  <c r="X12" i="4"/>
  <c r="AL9" i="4"/>
  <c r="AA9" i="4"/>
  <c r="AQ9" i="4" s="1"/>
  <c r="AJ7" i="4"/>
  <c r="AM6" i="4"/>
  <c r="AM8" i="5"/>
  <c r="AN8" i="5"/>
  <c r="AN43" i="5" s="1"/>
  <c r="AL8" i="5"/>
  <c r="AB8" i="5"/>
  <c r="AH8" i="5"/>
  <c r="X8" i="5"/>
  <c r="AP8" i="5"/>
  <c r="AF8" i="5"/>
  <c r="AO8" i="5"/>
  <c r="AD8" i="5"/>
  <c r="AM16" i="5"/>
  <c r="AJ16" i="5"/>
  <c r="Y16" i="5"/>
  <c r="AH16" i="5"/>
  <c r="X16" i="5"/>
  <c r="AP16" i="5"/>
  <c r="AF16" i="5"/>
  <c r="AO16" i="5"/>
  <c r="AD16" i="5"/>
  <c r="AL16" i="5"/>
  <c r="AB16" i="5"/>
  <c r="AK16" i="5"/>
  <c r="Z16" i="5"/>
  <c r="Y38" i="2"/>
  <c r="AJ38" i="2"/>
  <c r="Y39" i="2"/>
  <c r="AO39" i="2"/>
  <c r="AL34" i="2"/>
  <c r="AG21" i="3"/>
  <c r="AH32" i="3"/>
  <c r="Y37" i="3"/>
  <c r="AO37" i="3"/>
  <c r="Y42" i="3"/>
  <c r="AO42" i="3"/>
  <c r="Y16" i="4"/>
  <c r="AB21" i="4"/>
  <c r="AK23" i="4"/>
  <c r="Y27" i="4"/>
  <c r="AO27" i="4"/>
  <c r="AD31" i="4"/>
  <c r="X32" i="4"/>
  <c r="AN32" i="4"/>
  <c r="AK35" i="4"/>
  <c r="AC36" i="4"/>
  <c r="X37" i="4"/>
  <c r="AP39" i="4"/>
  <c r="AC41" i="4"/>
  <c r="X42" i="4"/>
  <c r="X13" i="4"/>
  <c r="AF13" i="4"/>
  <c r="AN13" i="4"/>
  <c r="AA13" i="4"/>
  <c r="AI13" i="4"/>
  <c r="AF5" i="4"/>
  <c r="AN5" i="4"/>
  <c r="AK14" i="4"/>
  <c r="AA14" i="4"/>
  <c r="AJ13" i="4"/>
  <c r="Y13" i="4"/>
  <c r="AK9" i="4"/>
  <c r="Z9" i="4"/>
  <c r="AI7" i="4"/>
  <c r="AL6" i="4"/>
  <c r="AP5" i="5"/>
  <c r="X5" i="5"/>
  <c r="X43" i="5" s="1"/>
  <c r="AJ5" i="5"/>
  <c r="AJ43" i="5" s="1"/>
  <c r="AF5" i="5"/>
  <c r="AF43" i="5" s="1"/>
  <c r="Y8" i="5"/>
  <c r="AC16" i="5"/>
  <c r="AM20" i="5"/>
  <c r="AN20" i="5"/>
  <c r="AC20" i="5"/>
  <c r="AL20" i="5"/>
  <c r="AB20" i="5"/>
  <c r="AJ20" i="5"/>
  <c r="Y20" i="5"/>
  <c r="AH20" i="5"/>
  <c r="X20" i="5"/>
  <c r="AP20" i="5"/>
  <c r="AF20" i="5"/>
  <c r="AO20" i="5"/>
  <c r="AD20" i="5"/>
  <c r="Z38" i="2"/>
  <c r="AK38" i="2"/>
  <c r="AQ40" i="2"/>
  <c r="Y17" i="3"/>
  <c r="Y20" i="3"/>
  <c r="AN21" i="3"/>
  <c r="X25" i="3"/>
  <c r="AO32" i="3"/>
  <c r="AF16" i="4"/>
  <c r="AF21" i="4"/>
  <c r="AP23" i="4"/>
  <c r="Z27" i="4"/>
  <c r="AP27" i="4"/>
  <c r="AG31" i="4"/>
  <c r="Y32" i="4"/>
  <c r="AO32" i="4"/>
  <c r="AL35" i="4"/>
  <c r="AF36" i="4"/>
  <c r="AB37" i="4"/>
  <c r="AQ40" i="4"/>
  <c r="AF41" i="4"/>
  <c r="AB42" i="4"/>
  <c r="AA12" i="4"/>
  <c r="AI12" i="4"/>
  <c r="AD12" i="4"/>
  <c r="AL12" i="4"/>
  <c r="Y5" i="4"/>
  <c r="AG5" i="4"/>
  <c r="AJ14" i="4"/>
  <c r="Z14" i="4"/>
  <c r="AH13" i="4"/>
  <c r="AP12" i="4"/>
  <c r="AF12" i="4"/>
  <c r="AI9" i="4"/>
  <c r="Y9" i="4"/>
  <c r="AG7" i="4"/>
  <c r="AJ6" i="4"/>
  <c r="AJ43" i="4" s="1"/>
  <c r="AB5" i="5"/>
  <c r="Z8" i="5"/>
  <c r="AG16" i="5"/>
  <c r="AN7" i="6"/>
  <c r="AD7" i="6"/>
  <c r="AC7" i="6"/>
  <c r="AP7" i="6"/>
  <c r="AP43" i="6" s="1"/>
  <c r="Z7" i="6"/>
  <c r="AO7" i="6"/>
  <c r="Y7" i="6"/>
  <c r="AL7" i="6"/>
  <c r="X7" i="6"/>
  <c r="AH7" i="6"/>
  <c r="AG7" i="6"/>
  <c r="X12" i="5"/>
  <c r="AH12" i="5"/>
  <c r="X13" i="5"/>
  <c r="AL19" i="5"/>
  <c r="X24" i="5"/>
  <c r="AH24" i="5"/>
  <c r="X25" i="5"/>
  <c r="AB28" i="5"/>
  <c r="AL28" i="5"/>
  <c r="AJ29" i="5"/>
  <c r="AF32" i="5"/>
  <c r="AP32" i="5"/>
  <c r="AF37" i="5"/>
  <c r="AL39" i="5"/>
  <c r="Z41" i="5"/>
  <c r="Y11" i="6"/>
  <c r="AO11" i="6"/>
  <c r="AF13" i="6"/>
  <c r="Z15" i="6"/>
  <c r="AP15" i="6"/>
  <c r="AJ16" i="6"/>
  <c r="AJ17" i="6"/>
  <c r="AJ20" i="6"/>
  <c r="AJ21" i="6"/>
  <c r="AA26" i="6"/>
  <c r="AH31" i="6"/>
  <c r="AB32" i="6"/>
  <c r="X35" i="6"/>
  <c r="AL35" i="6"/>
  <c r="AF36" i="6"/>
  <c r="AB37" i="6"/>
  <c r="AP39" i="6"/>
  <c r="AC41" i="6"/>
  <c r="X42" i="6"/>
  <c r="Y12" i="5"/>
  <c r="AJ12" i="5"/>
  <c r="AB13" i="5"/>
  <c r="AP19" i="5"/>
  <c r="Y24" i="5"/>
  <c r="AJ24" i="5"/>
  <c r="AB25" i="5"/>
  <c r="AC28" i="5"/>
  <c r="AN28" i="5"/>
  <c r="AN29" i="5"/>
  <c r="AG32" i="5"/>
  <c r="Z35" i="5"/>
  <c r="AJ37" i="5"/>
  <c r="AP39" i="5"/>
  <c r="AB41" i="5"/>
  <c r="AQ4" i="5"/>
  <c r="Z11" i="6"/>
  <c r="AP11" i="6"/>
  <c r="AJ13" i="6"/>
  <c r="AC15" i="6"/>
  <c r="AK16" i="6"/>
  <c r="AN17" i="6"/>
  <c r="AK20" i="6"/>
  <c r="AN21" i="6"/>
  <c r="X31" i="6"/>
  <c r="AK31" i="6"/>
  <c r="AC32" i="6"/>
  <c r="X33" i="6"/>
  <c r="Y35" i="6"/>
  <c r="AO35" i="6"/>
  <c r="AQ40" i="6"/>
  <c r="AF41" i="6"/>
  <c r="AB42" i="6"/>
  <c r="AD11" i="5"/>
  <c r="AB12" i="5"/>
  <c r="AL12" i="5"/>
  <c r="AJ13" i="5"/>
  <c r="AL15" i="5"/>
  <c r="AD23" i="5"/>
  <c r="AB24" i="5"/>
  <c r="AL24" i="5"/>
  <c r="AJ25" i="5"/>
  <c r="AP27" i="5"/>
  <c r="AF28" i="5"/>
  <c r="AP28" i="5"/>
  <c r="Y32" i="5"/>
  <c r="AJ32" i="5"/>
  <c r="AB33" i="5"/>
  <c r="AH35" i="5"/>
  <c r="AC36" i="5"/>
  <c r="AN36" i="5"/>
  <c r="AG41" i="5"/>
  <c r="AN42" i="5"/>
  <c r="AF8" i="6"/>
  <c r="AD11" i="6"/>
  <c r="AG15" i="6"/>
  <c r="Y16" i="6"/>
  <c r="AO16" i="6"/>
  <c r="AG19" i="6"/>
  <c r="Y20" i="6"/>
  <c r="AO20" i="6"/>
  <c r="AL23" i="6"/>
  <c r="AF24" i="6"/>
  <c r="AB25" i="6"/>
  <c r="AL27" i="6"/>
  <c r="AF28" i="6"/>
  <c r="AB29" i="6"/>
  <c r="Z31" i="6"/>
  <c r="AO31" i="6"/>
  <c r="AG32" i="6"/>
  <c r="AF33" i="6"/>
  <c r="AC35" i="6"/>
  <c r="AK36" i="6"/>
  <c r="AN37" i="6"/>
  <c r="AJ41" i="6"/>
  <c r="AJ42" i="6"/>
  <c r="AG28" i="5"/>
  <c r="AK41" i="5"/>
  <c r="AH15" i="6"/>
  <c r="AF25" i="6"/>
  <c r="AP31" i="6"/>
  <c r="AJ32" i="6"/>
  <c r="AD35" i="6"/>
  <c r="AK41" i="6"/>
  <c r="AN42" i="6"/>
  <c r="AO41" i="5"/>
  <c r="AK15" i="6"/>
  <c r="AK32" i="6"/>
  <c r="AP11" i="5"/>
  <c r="AF12" i="5"/>
  <c r="AP12" i="5"/>
  <c r="AD19" i="5"/>
  <c r="AP23" i="5"/>
  <c r="AF24" i="5"/>
  <c r="AP24" i="5"/>
  <c r="Y28" i="5"/>
  <c r="AJ28" i="5"/>
  <c r="AB29" i="5"/>
  <c r="AH31" i="5"/>
  <c r="AC32" i="5"/>
  <c r="AN32" i="5"/>
  <c r="AN33" i="5"/>
  <c r="AG36" i="5"/>
  <c r="X37" i="5"/>
  <c r="AD39" i="5"/>
  <c r="X41" i="5"/>
  <c r="AK8" i="6"/>
  <c r="AK11" i="6"/>
  <c r="X13" i="6"/>
  <c r="X15" i="6"/>
  <c r="AL15" i="6"/>
  <c r="AF16" i="6"/>
  <c r="AB17" i="6"/>
  <c r="AL19" i="6"/>
  <c r="AF20" i="6"/>
  <c r="AB21" i="6"/>
  <c r="AK24" i="6"/>
  <c r="AN25" i="6"/>
  <c r="AK28" i="6"/>
  <c r="AN29" i="6"/>
  <c r="AD31" i="6"/>
  <c r="X32" i="6"/>
  <c r="AN32" i="6"/>
  <c r="AH35" i="6"/>
  <c r="AL39" i="6"/>
  <c r="Y41" i="6"/>
  <c r="AO41" i="6"/>
  <c r="AG12" i="5"/>
  <c r="AH19" i="5"/>
  <c r="AG24" i="5"/>
  <c r="Z28" i="5"/>
  <c r="AK28" i="5"/>
  <c r="AF29" i="5"/>
  <c r="AB37" i="5"/>
  <c r="AH39" i="5"/>
  <c r="Y41" i="5"/>
  <c r="AL11" i="6"/>
  <c r="AB13" i="6"/>
  <c r="Y15" i="6"/>
  <c r="AO15" i="6"/>
  <c r="AF17" i="6"/>
  <c r="AF21" i="6"/>
  <c r="Y32" i="6"/>
  <c r="AO32" i="6"/>
  <c r="AK35" i="6"/>
  <c r="AQ4" i="6"/>
  <c r="AP5" i="6"/>
  <c r="AL5" i="6"/>
  <c r="AH5" i="6"/>
  <c r="AH43" i="6" s="1"/>
  <c r="AD5" i="6"/>
  <c r="Z5" i="6"/>
  <c r="AO5" i="6"/>
  <c r="AO43" i="6" s="1"/>
  <c r="AK5" i="6"/>
  <c r="AK43" i="6" s="1"/>
  <c r="AG5" i="6"/>
  <c r="AG43" i="6" s="1"/>
  <c r="AC5" i="6"/>
  <c r="AC43" i="6" s="1"/>
  <c r="Y5" i="6"/>
  <c r="AO10" i="6"/>
  <c r="AK10" i="6"/>
  <c r="AG10" i="6"/>
  <c r="AC10" i="6"/>
  <c r="Y10" i="6"/>
  <c r="AP10" i="6"/>
  <c r="AH10" i="6"/>
  <c r="Z10" i="6"/>
  <c r="AN10" i="6"/>
  <c r="AJ10" i="6"/>
  <c r="AF10" i="6"/>
  <c r="AB10" i="6"/>
  <c r="X10" i="6"/>
  <c r="AL10" i="6"/>
  <c r="AO22" i="6"/>
  <c r="AK22" i="6"/>
  <c r="AG22" i="6"/>
  <c r="AC22" i="6"/>
  <c r="Y22" i="6"/>
  <c r="AP22" i="6"/>
  <c r="AH22" i="6"/>
  <c r="Z22" i="6"/>
  <c r="AN22" i="6"/>
  <c r="AJ22" i="6"/>
  <c r="AF22" i="6"/>
  <c r="AB22" i="6"/>
  <c r="X22" i="6"/>
  <c r="AL22" i="6"/>
  <c r="AD22" i="6"/>
  <c r="AO30" i="6"/>
  <c r="AK30" i="6"/>
  <c r="AG30" i="6"/>
  <c r="AC30" i="6"/>
  <c r="Y30" i="6"/>
  <c r="AN30" i="6"/>
  <c r="AJ30" i="6"/>
  <c r="AF30" i="6"/>
  <c r="AB30" i="6"/>
  <c r="X30" i="6"/>
  <c r="AP30" i="6"/>
  <c r="AL30" i="6"/>
  <c r="AH30" i="6"/>
  <c r="AD30" i="6"/>
  <c r="Z30" i="6"/>
  <c r="AO34" i="6"/>
  <c r="AK34" i="6"/>
  <c r="AG34" i="6"/>
  <c r="AC34" i="6"/>
  <c r="Y34" i="6"/>
  <c r="AN34" i="6"/>
  <c r="AJ34" i="6"/>
  <c r="AF34" i="6"/>
  <c r="AB34" i="6"/>
  <c r="X34" i="6"/>
  <c r="AP34" i="6"/>
  <c r="AL34" i="6"/>
  <c r="AH34" i="6"/>
  <c r="AD34" i="6"/>
  <c r="Z34" i="6"/>
  <c r="AO6" i="6"/>
  <c r="AK6" i="6"/>
  <c r="AG6" i="6"/>
  <c r="AC6" i="6"/>
  <c r="Y6" i="6"/>
  <c r="AN6" i="6"/>
  <c r="AN43" i="6" s="1"/>
  <c r="AJ6" i="6"/>
  <c r="AF6" i="6"/>
  <c r="AF43" i="6" s="1"/>
  <c r="AB6" i="6"/>
  <c r="X6" i="6"/>
  <c r="AO14" i="6"/>
  <c r="AK14" i="6"/>
  <c r="AG14" i="6"/>
  <c r="AC14" i="6"/>
  <c r="Y14" i="6"/>
  <c r="AL14" i="6"/>
  <c r="AD14" i="6"/>
  <c r="AN14" i="6"/>
  <c r="AJ14" i="6"/>
  <c r="AF14" i="6"/>
  <c r="AB14" i="6"/>
  <c r="X14" i="6"/>
  <c r="AP14" i="6"/>
  <c r="AH14" i="6"/>
  <c r="Z14" i="6"/>
  <c r="AO38" i="6"/>
  <c r="AK38" i="6"/>
  <c r="AG38" i="6"/>
  <c r="AC38" i="6"/>
  <c r="Y38" i="6"/>
  <c r="AN38" i="6"/>
  <c r="AJ38" i="6"/>
  <c r="AF38" i="6"/>
  <c r="AB38" i="6"/>
  <c r="X38" i="6"/>
  <c r="AP38" i="6"/>
  <c r="AL38" i="6"/>
  <c r="AH38" i="6"/>
  <c r="AD38" i="6"/>
  <c r="Z38" i="6"/>
  <c r="AP9" i="6"/>
  <c r="AL9" i="6"/>
  <c r="AH9" i="6"/>
  <c r="AD9" i="6"/>
  <c r="Z9" i="6"/>
  <c r="AO9" i="6"/>
  <c r="AK9" i="6"/>
  <c r="AG9" i="6"/>
  <c r="AC9" i="6"/>
  <c r="Y9" i="6"/>
  <c r="Y43" i="6" s="1"/>
  <c r="AE5" i="6"/>
  <c r="AM5" i="6"/>
  <c r="AM43" i="6" s="1"/>
  <c r="AI10" i="6"/>
  <c r="AM22" i="6"/>
  <c r="AM30" i="6"/>
  <c r="AM34" i="6"/>
  <c r="AB5" i="6"/>
  <c r="AJ5" i="6"/>
  <c r="AJ43" i="6" s="1"/>
  <c r="AE6" i="6"/>
  <c r="AM6" i="6"/>
  <c r="AE10" i="6"/>
  <c r="AM14" i="6"/>
  <c r="AI22" i="6"/>
  <c r="AI30" i="6"/>
  <c r="AI34" i="6"/>
  <c r="AM38" i="6"/>
  <c r="X5" i="6"/>
  <c r="X43" i="6" s="1"/>
  <c r="AF5" i="6"/>
  <c r="AN5" i="6"/>
  <c r="AA6" i="6"/>
  <c r="AI6" i="6"/>
  <c r="AE9" i="6"/>
  <c r="AE43" i="6" s="1"/>
  <c r="AM9" i="6"/>
  <c r="AA10" i="6"/>
  <c r="AM10" i="6"/>
  <c r="AE14" i="6"/>
  <c r="AA22" i="6"/>
  <c r="AA30" i="6"/>
  <c r="AA34" i="6"/>
  <c r="AE38" i="6"/>
  <c r="AO18" i="6"/>
  <c r="AK18" i="6"/>
  <c r="AG18" i="6"/>
  <c r="AC18" i="6"/>
  <c r="Y18" i="6"/>
  <c r="AP18" i="6"/>
  <c r="AH18" i="6"/>
  <c r="Z18" i="6"/>
  <c r="AN18" i="6"/>
  <c r="AJ18" i="6"/>
  <c r="AF18" i="6"/>
  <c r="AB18" i="6"/>
  <c r="X18" i="6"/>
  <c r="AL18" i="6"/>
  <c r="AD18" i="6"/>
  <c r="AO26" i="6"/>
  <c r="AK26" i="6"/>
  <c r="AG26" i="6"/>
  <c r="AC26" i="6"/>
  <c r="Y26" i="6"/>
  <c r="AP26" i="6"/>
  <c r="AN26" i="6"/>
  <c r="AJ26" i="6"/>
  <c r="AF26" i="6"/>
  <c r="AB26" i="6"/>
  <c r="X26" i="6"/>
  <c r="AL26" i="6"/>
  <c r="AH26" i="6"/>
  <c r="AD26" i="6"/>
  <c r="Z26" i="6"/>
  <c r="Z43" i="6" s="1"/>
  <c r="AA5" i="6"/>
  <c r="AA43" i="6" s="1"/>
  <c r="AI5" i="6"/>
  <c r="AI43" i="6" s="1"/>
  <c r="AD6" i="6"/>
  <c r="AL6" i="6"/>
  <c r="X9" i="6"/>
  <c r="AF9" i="6"/>
  <c r="AN9" i="6"/>
  <c r="AD10" i="6"/>
  <c r="AI14" i="6"/>
  <c r="AM18" i="6"/>
  <c r="AE22" i="6"/>
  <c r="AM26" i="6"/>
  <c r="AE30" i="6"/>
  <c r="AE34" i="6"/>
  <c r="AI38" i="6"/>
  <c r="AE13" i="6"/>
  <c r="AM13" i="6"/>
  <c r="AA17" i="6"/>
  <c r="AI17" i="6"/>
  <c r="AA21" i="6"/>
  <c r="AI21" i="6"/>
  <c r="AA25" i="6"/>
  <c r="AE25" i="6"/>
  <c r="AI25" i="6"/>
  <c r="AM25" i="6"/>
  <c r="AA29" i="6"/>
  <c r="AE29" i="6"/>
  <c r="AI29" i="6"/>
  <c r="AM29" i="6"/>
  <c r="AA33" i="6"/>
  <c r="AE33" i="6"/>
  <c r="AI33" i="6"/>
  <c r="AM33" i="6"/>
  <c r="AA37" i="6"/>
  <c r="AE37" i="6"/>
  <c r="AI37" i="6"/>
  <c r="AM37" i="6"/>
  <c r="AA42" i="6"/>
  <c r="AE42" i="6"/>
  <c r="AI42" i="6"/>
  <c r="AM42" i="6"/>
  <c r="AA7" i="6"/>
  <c r="AE7" i="6"/>
  <c r="AI7" i="6"/>
  <c r="AM7" i="6"/>
  <c r="Z8" i="6"/>
  <c r="AD8" i="6"/>
  <c r="AH8" i="6"/>
  <c r="AL8" i="6"/>
  <c r="AP8" i="6"/>
  <c r="AA11" i="6"/>
  <c r="AE11" i="6"/>
  <c r="AI11" i="6"/>
  <c r="AM11" i="6"/>
  <c r="Z12" i="6"/>
  <c r="AD12" i="6"/>
  <c r="AH12" i="6"/>
  <c r="AL12" i="6"/>
  <c r="AP12" i="6"/>
  <c r="Y13" i="6"/>
  <c r="AC13" i="6"/>
  <c r="AG13" i="6"/>
  <c r="AK13" i="6"/>
  <c r="AO13" i="6"/>
  <c r="AA15" i="6"/>
  <c r="AE15" i="6"/>
  <c r="AI15" i="6"/>
  <c r="AM15" i="6"/>
  <c r="Z16" i="6"/>
  <c r="AD16" i="6"/>
  <c r="AH16" i="6"/>
  <c r="AL16" i="6"/>
  <c r="AP16" i="6"/>
  <c r="Y17" i="6"/>
  <c r="AC17" i="6"/>
  <c r="AG17" i="6"/>
  <c r="AK17" i="6"/>
  <c r="AO17" i="6"/>
  <c r="AA19" i="6"/>
  <c r="AE19" i="6"/>
  <c r="AI19" i="6"/>
  <c r="AM19" i="6"/>
  <c r="Z20" i="6"/>
  <c r="AD20" i="6"/>
  <c r="AH20" i="6"/>
  <c r="AL20" i="6"/>
  <c r="AP20" i="6"/>
  <c r="Y21" i="6"/>
  <c r="AC21" i="6"/>
  <c r="AG21" i="6"/>
  <c r="AK21" i="6"/>
  <c r="AO21" i="6"/>
  <c r="AA23" i="6"/>
  <c r="AE23" i="6"/>
  <c r="AI23" i="6"/>
  <c r="AM23" i="6"/>
  <c r="Z24" i="6"/>
  <c r="AD24" i="6"/>
  <c r="AH24" i="6"/>
  <c r="AL24" i="6"/>
  <c r="AP24" i="6"/>
  <c r="Y25" i="6"/>
  <c r="AC25" i="6"/>
  <c r="AG25" i="6"/>
  <c r="AK25" i="6"/>
  <c r="AO25" i="6"/>
  <c r="AA27" i="6"/>
  <c r="AE27" i="6"/>
  <c r="AI27" i="6"/>
  <c r="AM27" i="6"/>
  <c r="Z28" i="6"/>
  <c r="AD28" i="6"/>
  <c r="AH28" i="6"/>
  <c r="AL28" i="6"/>
  <c r="AP28" i="6"/>
  <c r="Y29" i="6"/>
  <c r="AC29" i="6"/>
  <c r="AG29" i="6"/>
  <c r="AK29" i="6"/>
  <c r="AO29" i="6"/>
  <c r="AA31" i="6"/>
  <c r="AE31" i="6"/>
  <c r="AI31" i="6"/>
  <c r="AM31" i="6"/>
  <c r="Z32" i="6"/>
  <c r="AD32" i="6"/>
  <c r="AH32" i="6"/>
  <c r="AL32" i="6"/>
  <c r="AP32" i="6"/>
  <c r="Y33" i="6"/>
  <c r="AC33" i="6"/>
  <c r="AG33" i="6"/>
  <c r="AK33" i="6"/>
  <c r="AO33" i="6"/>
  <c r="AA35" i="6"/>
  <c r="AE35" i="6"/>
  <c r="AI35" i="6"/>
  <c r="AM35" i="6"/>
  <c r="Z36" i="6"/>
  <c r="AD36" i="6"/>
  <c r="AH36" i="6"/>
  <c r="AL36" i="6"/>
  <c r="AP36" i="6"/>
  <c r="Y37" i="6"/>
  <c r="AC37" i="6"/>
  <c r="AG37" i="6"/>
  <c r="AK37" i="6"/>
  <c r="AO37" i="6"/>
  <c r="AA39" i="6"/>
  <c r="AE39" i="6"/>
  <c r="AI39" i="6"/>
  <c r="AM39" i="6"/>
  <c r="Z41" i="6"/>
  <c r="AD41" i="6"/>
  <c r="AH41" i="6"/>
  <c r="AL41" i="6"/>
  <c r="AP41" i="6"/>
  <c r="Y42" i="6"/>
  <c r="AC42" i="6"/>
  <c r="AG42" i="6"/>
  <c r="AK42" i="6"/>
  <c r="AO42" i="6"/>
  <c r="W43" i="6"/>
  <c r="AA13" i="6"/>
  <c r="AI13" i="6"/>
  <c r="AE17" i="6"/>
  <c r="AM17" i="6"/>
  <c r="AE21" i="6"/>
  <c r="AM21" i="6"/>
  <c r="AB7" i="6"/>
  <c r="AB43" i="6" s="1"/>
  <c r="AF7" i="6"/>
  <c r="AJ7" i="6"/>
  <c r="AA8" i="6"/>
  <c r="AE8" i="6"/>
  <c r="AI8" i="6"/>
  <c r="X11" i="6"/>
  <c r="AB11" i="6"/>
  <c r="AF11" i="6"/>
  <c r="AJ11" i="6"/>
  <c r="AA12" i="6"/>
  <c r="AE12" i="6"/>
  <c r="AI12" i="6"/>
  <c r="Z13" i="6"/>
  <c r="AD13" i="6"/>
  <c r="AH13" i="6"/>
  <c r="AL13" i="6"/>
  <c r="AB15" i="6"/>
  <c r="AF15" i="6"/>
  <c r="AJ15" i="6"/>
  <c r="AA16" i="6"/>
  <c r="AE16" i="6"/>
  <c r="AI16" i="6"/>
  <c r="Z17" i="6"/>
  <c r="AD17" i="6"/>
  <c r="AH17" i="6"/>
  <c r="AL17" i="6"/>
  <c r="X19" i="6"/>
  <c r="AB19" i="6"/>
  <c r="AF19" i="6"/>
  <c r="AJ19" i="6"/>
  <c r="AA20" i="6"/>
  <c r="AE20" i="6"/>
  <c r="AI20" i="6"/>
  <c r="Z21" i="6"/>
  <c r="AD21" i="6"/>
  <c r="AH21" i="6"/>
  <c r="AL21" i="6"/>
  <c r="X23" i="6"/>
  <c r="AB23" i="6"/>
  <c r="AF23" i="6"/>
  <c r="AJ23" i="6"/>
  <c r="AA24" i="6"/>
  <c r="AE24" i="6"/>
  <c r="AI24" i="6"/>
  <c r="Z25" i="6"/>
  <c r="AD25" i="6"/>
  <c r="AH25" i="6"/>
  <c r="AL25" i="6"/>
  <c r="X27" i="6"/>
  <c r="AB27" i="6"/>
  <c r="AF27" i="6"/>
  <c r="AJ27" i="6"/>
  <c r="AA28" i="6"/>
  <c r="AE28" i="6"/>
  <c r="AI28" i="6"/>
  <c r="Z29" i="6"/>
  <c r="AD29" i="6"/>
  <c r="AH29" i="6"/>
  <c r="AL29" i="6"/>
  <c r="AF31" i="6"/>
  <c r="AJ31" i="6"/>
  <c r="AA32" i="6"/>
  <c r="AE32" i="6"/>
  <c r="AI32" i="6"/>
  <c r="Z33" i="6"/>
  <c r="AD33" i="6"/>
  <c r="AH33" i="6"/>
  <c r="AL33" i="6"/>
  <c r="AB35" i="6"/>
  <c r="AF35" i="6"/>
  <c r="AJ35" i="6"/>
  <c r="AA36" i="6"/>
  <c r="AE36" i="6"/>
  <c r="AI36" i="6"/>
  <c r="Z37" i="6"/>
  <c r="AD37" i="6"/>
  <c r="AH37" i="6"/>
  <c r="AL37" i="6"/>
  <c r="X39" i="6"/>
  <c r="AB39" i="6"/>
  <c r="AF39" i="6"/>
  <c r="AJ39" i="6"/>
  <c r="AA41" i="6"/>
  <c r="AE41" i="6"/>
  <c r="AI41" i="6"/>
  <c r="Z42" i="6"/>
  <c r="AD42" i="6"/>
  <c r="AH42" i="6"/>
  <c r="AL42" i="6"/>
  <c r="AQ40" i="5"/>
  <c r="AA6" i="5"/>
  <c r="AM6" i="5"/>
  <c r="AE10" i="5"/>
  <c r="AM14" i="5"/>
  <c r="AE18" i="5"/>
  <c r="AM18" i="5"/>
  <c r="AE22" i="5"/>
  <c r="AA26" i="5"/>
  <c r="AI26" i="5"/>
  <c r="AE30" i="5"/>
  <c r="AM30" i="5"/>
  <c r="AE34" i="5"/>
  <c r="AM34" i="5"/>
  <c r="AA38" i="5"/>
  <c r="AI38" i="5"/>
  <c r="AM38" i="5"/>
  <c r="Y5" i="5"/>
  <c r="AC5" i="5"/>
  <c r="AC43" i="5" s="1"/>
  <c r="AG5" i="5"/>
  <c r="AG43" i="5" s="1"/>
  <c r="AK5" i="5"/>
  <c r="AK43" i="5" s="1"/>
  <c r="AO5" i="5"/>
  <c r="X6" i="5"/>
  <c r="AB6" i="5"/>
  <c r="AF6" i="5"/>
  <c r="AJ6" i="5"/>
  <c r="AN6" i="5"/>
  <c r="AA7" i="5"/>
  <c r="AE7" i="5"/>
  <c r="AE43" i="5" s="1"/>
  <c r="AI7" i="5"/>
  <c r="AM7" i="5"/>
  <c r="Y9" i="5"/>
  <c r="AC9" i="5"/>
  <c r="AG9" i="5"/>
  <c r="AK9" i="5"/>
  <c r="AO9" i="5"/>
  <c r="X10" i="5"/>
  <c r="AB10" i="5"/>
  <c r="AF10" i="5"/>
  <c r="AJ10" i="5"/>
  <c r="AN10" i="5"/>
  <c r="AA11" i="5"/>
  <c r="AE11" i="5"/>
  <c r="AI11" i="5"/>
  <c r="AM11" i="5"/>
  <c r="Y13" i="5"/>
  <c r="AC13" i="5"/>
  <c r="AG13" i="5"/>
  <c r="AK13" i="5"/>
  <c r="AO13" i="5"/>
  <c r="X14" i="5"/>
  <c r="AB14" i="5"/>
  <c r="AF14" i="5"/>
  <c r="AJ14" i="5"/>
  <c r="AN14" i="5"/>
  <c r="AA15" i="5"/>
  <c r="AE15" i="5"/>
  <c r="AI15" i="5"/>
  <c r="AM15" i="5"/>
  <c r="Y17" i="5"/>
  <c r="AC17" i="5"/>
  <c r="AG17" i="5"/>
  <c r="AK17" i="5"/>
  <c r="AO17" i="5"/>
  <c r="X18" i="5"/>
  <c r="AB18" i="5"/>
  <c r="AF18" i="5"/>
  <c r="AJ18" i="5"/>
  <c r="AN18" i="5"/>
  <c r="AA19" i="5"/>
  <c r="AE19" i="5"/>
  <c r="AI19" i="5"/>
  <c r="AM19" i="5"/>
  <c r="Y21" i="5"/>
  <c r="AC21" i="5"/>
  <c r="AG21" i="5"/>
  <c r="AK21" i="5"/>
  <c r="AO21" i="5"/>
  <c r="X22" i="5"/>
  <c r="AB22" i="5"/>
  <c r="AF22" i="5"/>
  <c r="AJ22" i="5"/>
  <c r="AN22" i="5"/>
  <c r="AA23" i="5"/>
  <c r="AE23" i="5"/>
  <c r="AI23" i="5"/>
  <c r="AM23" i="5"/>
  <c r="Y25" i="5"/>
  <c r="AC25" i="5"/>
  <c r="AG25" i="5"/>
  <c r="AK25" i="5"/>
  <c r="AO25" i="5"/>
  <c r="X26" i="5"/>
  <c r="AB26" i="5"/>
  <c r="AF26" i="5"/>
  <c r="AJ26" i="5"/>
  <c r="AN26" i="5"/>
  <c r="AA27" i="5"/>
  <c r="AE27" i="5"/>
  <c r="AI27" i="5"/>
  <c r="AM27" i="5"/>
  <c r="Y29" i="5"/>
  <c r="AC29" i="5"/>
  <c r="AG29" i="5"/>
  <c r="AK29" i="5"/>
  <c r="AO29" i="5"/>
  <c r="X30" i="5"/>
  <c r="AB30" i="5"/>
  <c r="AF30" i="5"/>
  <c r="AJ30" i="5"/>
  <c r="AN30" i="5"/>
  <c r="AA31" i="5"/>
  <c r="AE31" i="5"/>
  <c r="AI31" i="5"/>
  <c r="AM31" i="5"/>
  <c r="Y33" i="5"/>
  <c r="AC33" i="5"/>
  <c r="AG33" i="5"/>
  <c r="AK33" i="5"/>
  <c r="AO33" i="5"/>
  <c r="X34" i="5"/>
  <c r="AB34" i="5"/>
  <c r="AF34" i="5"/>
  <c r="AJ34" i="5"/>
  <c r="AN34" i="5"/>
  <c r="AA35" i="5"/>
  <c r="AE35" i="5"/>
  <c r="AI35" i="5"/>
  <c r="AM35" i="5"/>
  <c r="AP36" i="5"/>
  <c r="Y37" i="5"/>
  <c r="AC37" i="5"/>
  <c r="AG37" i="5"/>
  <c r="AK37" i="5"/>
  <c r="AO37" i="5"/>
  <c r="X38" i="5"/>
  <c r="AB38" i="5"/>
  <c r="AF38" i="5"/>
  <c r="AJ38" i="5"/>
  <c r="AN38" i="5"/>
  <c r="AA39" i="5"/>
  <c r="AE39" i="5"/>
  <c r="AI39" i="5"/>
  <c r="AM39" i="5"/>
  <c r="AD41" i="5"/>
  <c r="AH41" i="5"/>
  <c r="AL41" i="5"/>
  <c r="AP41" i="5"/>
  <c r="Y42" i="5"/>
  <c r="AC42" i="5"/>
  <c r="AG42" i="5"/>
  <c r="AK42" i="5"/>
  <c r="AO42" i="5"/>
  <c r="W43" i="5"/>
  <c r="AE6" i="5"/>
  <c r="AI10" i="5"/>
  <c r="AI14" i="5"/>
  <c r="AA18" i="5"/>
  <c r="AI22" i="5"/>
  <c r="AM22" i="5"/>
  <c r="AE26" i="5"/>
  <c r="AM26" i="5"/>
  <c r="AA30" i="5"/>
  <c r="AI30" i="5"/>
  <c r="AA34" i="5"/>
  <c r="AI34" i="5"/>
  <c r="AE38" i="5"/>
  <c r="AA5" i="5"/>
  <c r="AE5" i="5"/>
  <c r="AI5" i="5"/>
  <c r="AI43" i="5" s="1"/>
  <c r="AM5" i="5"/>
  <c r="AM43" i="5" s="1"/>
  <c r="Z6" i="5"/>
  <c r="AD6" i="5"/>
  <c r="AH6" i="5"/>
  <c r="AL6" i="5"/>
  <c r="AP6" i="5"/>
  <c r="Y7" i="5"/>
  <c r="AC7" i="5"/>
  <c r="AG7" i="5"/>
  <c r="AK7" i="5"/>
  <c r="AO7" i="5"/>
  <c r="AO43" i="5" s="1"/>
  <c r="AA9" i="5"/>
  <c r="AE9" i="5"/>
  <c r="AI9" i="5"/>
  <c r="AM9" i="5"/>
  <c r="Z10" i="5"/>
  <c r="AD10" i="5"/>
  <c r="AH10" i="5"/>
  <c r="AL10" i="5"/>
  <c r="AP10" i="5"/>
  <c r="Y11" i="5"/>
  <c r="AC11" i="5"/>
  <c r="AG11" i="5"/>
  <c r="AK11" i="5"/>
  <c r="AO11" i="5"/>
  <c r="AA13" i="5"/>
  <c r="AE13" i="5"/>
  <c r="AI13" i="5"/>
  <c r="AM13" i="5"/>
  <c r="Z14" i="5"/>
  <c r="AD14" i="5"/>
  <c r="AH14" i="5"/>
  <c r="AL14" i="5"/>
  <c r="AP14" i="5"/>
  <c r="AC15" i="5"/>
  <c r="AG15" i="5"/>
  <c r="AK15" i="5"/>
  <c r="AO15" i="5"/>
  <c r="AA17" i="5"/>
  <c r="AE17" i="5"/>
  <c r="AI17" i="5"/>
  <c r="AM17" i="5"/>
  <c r="Z18" i="5"/>
  <c r="AD18" i="5"/>
  <c r="AH18" i="5"/>
  <c r="AL18" i="5"/>
  <c r="AP18" i="5"/>
  <c r="Y19" i="5"/>
  <c r="AC19" i="5"/>
  <c r="AG19" i="5"/>
  <c r="AK19" i="5"/>
  <c r="AO19" i="5"/>
  <c r="AA21" i="5"/>
  <c r="AE21" i="5"/>
  <c r="AI21" i="5"/>
  <c r="AM21" i="5"/>
  <c r="Z22" i="5"/>
  <c r="AD22" i="5"/>
  <c r="AH22" i="5"/>
  <c r="AL22" i="5"/>
  <c r="AP22" i="5"/>
  <c r="Y23" i="5"/>
  <c r="AC23" i="5"/>
  <c r="AG23" i="5"/>
  <c r="AK23" i="5"/>
  <c r="AO23" i="5"/>
  <c r="AA25" i="5"/>
  <c r="AE25" i="5"/>
  <c r="AI25" i="5"/>
  <c r="AM25" i="5"/>
  <c r="Z26" i="5"/>
  <c r="AD26" i="5"/>
  <c r="AH26" i="5"/>
  <c r="AL26" i="5"/>
  <c r="AP26" i="5"/>
  <c r="Y27" i="5"/>
  <c r="AC27" i="5"/>
  <c r="AG27" i="5"/>
  <c r="AK27" i="5"/>
  <c r="AO27" i="5"/>
  <c r="AA29" i="5"/>
  <c r="AE29" i="5"/>
  <c r="AI29" i="5"/>
  <c r="AM29" i="5"/>
  <c r="Z30" i="5"/>
  <c r="AD30" i="5"/>
  <c r="AH30" i="5"/>
  <c r="AL30" i="5"/>
  <c r="AP30" i="5"/>
  <c r="Y31" i="5"/>
  <c r="AC31" i="5"/>
  <c r="AG31" i="5"/>
  <c r="AK31" i="5"/>
  <c r="AO31" i="5"/>
  <c r="AA33" i="5"/>
  <c r="AE33" i="5"/>
  <c r="AI33" i="5"/>
  <c r="AM33" i="5"/>
  <c r="Z34" i="5"/>
  <c r="AD34" i="5"/>
  <c r="AH34" i="5"/>
  <c r="AL34" i="5"/>
  <c r="AP34" i="5"/>
  <c r="Y35" i="5"/>
  <c r="AC35" i="5"/>
  <c r="AG35" i="5"/>
  <c r="AK35" i="5"/>
  <c r="AO35" i="5"/>
  <c r="AA37" i="5"/>
  <c r="AE37" i="5"/>
  <c r="AI37" i="5"/>
  <c r="AM37" i="5"/>
  <c r="Z38" i="5"/>
  <c r="AD38" i="5"/>
  <c r="AH38" i="5"/>
  <c r="AL38" i="5"/>
  <c r="AP38" i="5"/>
  <c r="Y39" i="5"/>
  <c r="AC39" i="5"/>
  <c r="AG39" i="5"/>
  <c r="AK39" i="5"/>
  <c r="AO39" i="5"/>
  <c r="AF41" i="5"/>
  <c r="AJ41" i="5"/>
  <c r="AN41" i="5"/>
  <c r="AA42" i="5"/>
  <c r="AE42" i="5"/>
  <c r="AI42" i="5"/>
  <c r="AM42" i="5"/>
  <c r="AI6" i="5"/>
  <c r="AA10" i="5"/>
  <c r="AM10" i="5"/>
  <c r="AA14" i="5"/>
  <c r="AE14" i="5"/>
  <c r="AI18" i="5"/>
  <c r="AA22" i="5"/>
  <c r="Z5" i="5"/>
  <c r="AD5" i="5"/>
  <c r="AD43" i="5" s="1"/>
  <c r="AH5" i="5"/>
  <c r="AL5" i="5"/>
  <c r="Y6" i="5"/>
  <c r="Y43" i="5" s="1"/>
  <c r="AC6" i="5"/>
  <c r="AG6" i="5"/>
  <c r="AK6" i="5"/>
  <c r="X7" i="5"/>
  <c r="AB7" i="5"/>
  <c r="AB43" i="5" s="1"/>
  <c r="AF7" i="5"/>
  <c r="AJ7" i="5"/>
  <c r="AA8" i="5"/>
  <c r="AA43" i="5" s="1"/>
  <c r="AE8" i="5"/>
  <c r="AI8" i="5"/>
  <c r="Z9" i="5"/>
  <c r="AD9" i="5"/>
  <c r="AH9" i="5"/>
  <c r="AL9" i="5"/>
  <c r="AL43" i="5" s="1"/>
  <c r="Y10" i="5"/>
  <c r="AC10" i="5"/>
  <c r="AG10" i="5"/>
  <c r="AK10" i="5"/>
  <c r="X11" i="5"/>
  <c r="AB11" i="5"/>
  <c r="AF11" i="5"/>
  <c r="AJ11" i="5"/>
  <c r="AA12" i="5"/>
  <c r="AE12" i="5"/>
  <c r="AI12" i="5"/>
  <c r="Z13" i="5"/>
  <c r="AD13" i="5"/>
  <c r="AH13" i="5"/>
  <c r="AL13" i="5"/>
  <c r="Y14" i="5"/>
  <c r="AC14" i="5"/>
  <c r="AG14" i="5"/>
  <c r="AK14" i="5"/>
  <c r="X15" i="5"/>
  <c r="AB15" i="5"/>
  <c r="AF15" i="5"/>
  <c r="AJ15" i="5"/>
  <c r="AA16" i="5"/>
  <c r="AQ16" i="5" s="1"/>
  <c r="AE16" i="5"/>
  <c r="AI16" i="5"/>
  <c r="Z17" i="5"/>
  <c r="AD17" i="5"/>
  <c r="AH17" i="5"/>
  <c r="AL17" i="5"/>
  <c r="Y18" i="5"/>
  <c r="AC18" i="5"/>
  <c r="AG18" i="5"/>
  <c r="AK18" i="5"/>
  <c r="X19" i="5"/>
  <c r="AB19" i="5"/>
  <c r="AF19" i="5"/>
  <c r="AJ19" i="5"/>
  <c r="AA20" i="5"/>
  <c r="AE20" i="5"/>
  <c r="AI20" i="5"/>
  <c r="Z21" i="5"/>
  <c r="AD21" i="5"/>
  <c r="AH21" i="5"/>
  <c r="AL21" i="5"/>
  <c r="Y22" i="5"/>
  <c r="AC22" i="5"/>
  <c r="AG22" i="5"/>
  <c r="AK22" i="5"/>
  <c r="X23" i="5"/>
  <c r="AB23" i="5"/>
  <c r="AF23" i="5"/>
  <c r="AJ23" i="5"/>
  <c r="AA24" i="5"/>
  <c r="AE24" i="5"/>
  <c r="AI24" i="5"/>
  <c r="Z25" i="5"/>
  <c r="AD25" i="5"/>
  <c r="AH25" i="5"/>
  <c r="AL25" i="5"/>
  <c r="Y26" i="5"/>
  <c r="AC26" i="5"/>
  <c r="AG26" i="5"/>
  <c r="AK26" i="5"/>
  <c r="X27" i="5"/>
  <c r="AB27" i="5"/>
  <c r="AF27" i="5"/>
  <c r="AJ27" i="5"/>
  <c r="AA28" i="5"/>
  <c r="AE28" i="5"/>
  <c r="AI28" i="5"/>
  <c r="Z29" i="5"/>
  <c r="AD29" i="5"/>
  <c r="AH29" i="5"/>
  <c r="AL29" i="5"/>
  <c r="Y30" i="5"/>
  <c r="AC30" i="5"/>
  <c r="AG30" i="5"/>
  <c r="AK30" i="5"/>
  <c r="X31" i="5"/>
  <c r="AB31" i="5"/>
  <c r="AF31" i="5"/>
  <c r="AJ31" i="5"/>
  <c r="AA32" i="5"/>
  <c r="AE32" i="5"/>
  <c r="AI32" i="5"/>
  <c r="Z33" i="5"/>
  <c r="AD33" i="5"/>
  <c r="AH33" i="5"/>
  <c r="AL33" i="5"/>
  <c r="Y34" i="5"/>
  <c r="AC34" i="5"/>
  <c r="AG34" i="5"/>
  <c r="AK34" i="5"/>
  <c r="X35" i="5"/>
  <c r="AB35" i="5"/>
  <c r="AF35" i="5"/>
  <c r="AJ35" i="5"/>
  <c r="AA36" i="5"/>
  <c r="AE36" i="5"/>
  <c r="AI36" i="5"/>
  <c r="Z37" i="5"/>
  <c r="AD37" i="5"/>
  <c r="AH37" i="5"/>
  <c r="AL37" i="5"/>
  <c r="Y38" i="5"/>
  <c r="AC38" i="5"/>
  <c r="AG38" i="5"/>
  <c r="AK38" i="5"/>
  <c r="X39" i="5"/>
  <c r="AB39" i="5"/>
  <c r="AF39" i="5"/>
  <c r="AJ39" i="5"/>
  <c r="AA41" i="5"/>
  <c r="AE41" i="5"/>
  <c r="AI41" i="5"/>
  <c r="Z42" i="5"/>
  <c r="AD42" i="5"/>
  <c r="AH42" i="5"/>
  <c r="AL42" i="5"/>
  <c r="AD19" i="4"/>
  <c r="AL19" i="4"/>
  <c r="AC24" i="4"/>
  <c r="AK24" i="4"/>
  <c r="AD15" i="4"/>
  <c r="AL15" i="4"/>
  <c r="AC19" i="4"/>
  <c r="AK19" i="4"/>
  <c r="AC20" i="4"/>
  <c r="AK20" i="4"/>
  <c r="AB24" i="4"/>
  <c r="AJ24" i="4"/>
  <c r="AJ25" i="4"/>
  <c r="AC15" i="4"/>
  <c r="AK15" i="4"/>
  <c r="AC16" i="4"/>
  <c r="AK16" i="4"/>
  <c r="X17" i="4"/>
  <c r="AN17" i="4"/>
  <c r="Z19" i="4"/>
  <c r="AH19" i="4"/>
  <c r="AP19" i="4"/>
  <c r="AB20" i="4"/>
  <c r="AJ20" i="4"/>
  <c r="AJ21" i="4"/>
  <c r="Y23" i="4"/>
  <c r="AG23" i="4"/>
  <c r="AO23" i="4"/>
  <c r="Y24" i="4"/>
  <c r="AG24" i="4"/>
  <c r="AO24" i="4"/>
  <c r="AF25" i="4"/>
  <c r="Z15" i="4"/>
  <c r="AH15" i="4"/>
  <c r="AP15" i="4"/>
  <c r="AB16" i="4"/>
  <c r="AJ16" i="4"/>
  <c r="AJ17" i="4"/>
  <c r="Y19" i="4"/>
  <c r="AG19" i="4"/>
  <c r="AO19" i="4"/>
  <c r="Y20" i="4"/>
  <c r="AG20" i="4"/>
  <c r="AO20" i="4"/>
  <c r="AD23" i="4"/>
  <c r="AL23" i="4"/>
  <c r="X24" i="4"/>
  <c r="AF24" i="4"/>
  <c r="AN24" i="4"/>
  <c r="AB25" i="4"/>
  <c r="AE18" i="4"/>
  <c r="AM18" i="4"/>
  <c r="AA22" i="4"/>
  <c r="AI22" i="4"/>
  <c r="AA26" i="4"/>
  <c r="AI26" i="4"/>
  <c r="AA30" i="4"/>
  <c r="AI30" i="4"/>
  <c r="AA34" i="4"/>
  <c r="AI34" i="4"/>
  <c r="AI38" i="4"/>
  <c r="AE17" i="4"/>
  <c r="AM17" i="4"/>
  <c r="Z18" i="4"/>
  <c r="AH18" i="4"/>
  <c r="AP18" i="4"/>
  <c r="AI21" i="4"/>
  <c r="AD22" i="4"/>
  <c r="AP22" i="4"/>
  <c r="AA25" i="4"/>
  <c r="AE25" i="4"/>
  <c r="AM25" i="4"/>
  <c r="Z26" i="4"/>
  <c r="AH26" i="4"/>
  <c r="AP26" i="4"/>
  <c r="AE29" i="4"/>
  <c r="AM29" i="4"/>
  <c r="Z30" i="4"/>
  <c r="AH30" i="4"/>
  <c r="AE33" i="4"/>
  <c r="AM33" i="4"/>
  <c r="Z34" i="4"/>
  <c r="AH34" i="4"/>
  <c r="AP34" i="4"/>
  <c r="AA37" i="4"/>
  <c r="AI37" i="4"/>
  <c r="AD38" i="4"/>
  <c r="AL38" i="4"/>
  <c r="AE42" i="4"/>
  <c r="AA15" i="4"/>
  <c r="AE15" i="4"/>
  <c r="AI15" i="4"/>
  <c r="AM15" i="4"/>
  <c r="Z16" i="4"/>
  <c r="AD16" i="4"/>
  <c r="AH16" i="4"/>
  <c r="AL16" i="4"/>
  <c r="AP16" i="4"/>
  <c r="Y17" i="4"/>
  <c r="AC17" i="4"/>
  <c r="AG17" i="4"/>
  <c r="AK17" i="4"/>
  <c r="AO17" i="4"/>
  <c r="X18" i="4"/>
  <c r="AB18" i="4"/>
  <c r="AF18" i="4"/>
  <c r="AJ18" i="4"/>
  <c r="AN18" i="4"/>
  <c r="AA19" i="4"/>
  <c r="AE19" i="4"/>
  <c r="AI19" i="4"/>
  <c r="AM19" i="4"/>
  <c r="Z20" i="4"/>
  <c r="AD20" i="4"/>
  <c r="AH20" i="4"/>
  <c r="AL20" i="4"/>
  <c r="AP20" i="4"/>
  <c r="Y21" i="4"/>
  <c r="AC21" i="4"/>
  <c r="AG21" i="4"/>
  <c r="AK21" i="4"/>
  <c r="AO21" i="4"/>
  <c r="X22" i="4"/>
  <c r="AB22" i="4"/>
  <c r="AF22" i="4"/>
  <c r="AJ22" i="4"/>
  <c r="AN22" i="4"/>
  <c r="AA23" i="4"/>
  <c r="AE23" i="4"/>
  <c r="AI23" i="4"/>
  <c r="AM23" i="4"/>
  <c r="Z24" i="4"/>
  <c r="AD24" i="4"/>
  <c r="AH24" i="4"/>
  <c r="AL24" i="4"/>
  <c r="AP24" i="4"/>
  <c r="AP43" i="4" s="1"/>
  <c r="Y25" i="4"/>
  <c r="AC25" i="4"/>
  <c r="AG25" i="4"/>
  <c r="AK25" i="4"/>
  <c r="AO25" i="4"/>
  <c r="X26" i="4"/>
  <c r="AB26" i="4"/>
  <c r="AF26" i="4"/>
  <c r="AJ26" i="4"/>
  <c r="AN26" i="4"/>
  <c r="AA27" i="4"/>
  <c r="AE27" i="4"/>
  <c r="AI27" i="4"/>
  <c r="AM27" i="4"/>
  <c r="Z28" i="4"/>
  <c r="AD28" i="4"/>
  <c r="AH28" i="4"/>
  <c r="AL28" i="4"/>
  <c r="AP28" i="4"/>
  <c r="Y29" i="4"/>
  <c r="AC29" i="4"/>
  <c r="AG29" i="4"/>
  <c r="AK29" i="4"/>
  <c r="AO29" i="4"/>
  <c r="X30" i="4"/>
  <c r="AB30" i="4"/>
  <c r="AF30" i="4"/>
  <c r="AJ30" i="4"/>
  <c r="AN30" i="4"/>
  <c r="AA31" i="4"/>
  <c r="AE31" i="4"/>
  <c r="AI31" i="4"/>
  <c r="AM31" i="4"/>
  <c r="Z32" i="4"/>
  <c r="AD32" i="4"/>
  <c r="AH32" i="4"/>
  <c r="AL32" i="4"/>
  <c r="AP32" i="4"/>
  <c r="Y33" i="4"/>
  <c r="AC33" i="4"/>
  <c r="AG33" i="4"/>
  <c r="AK33" i="4"/>
  <c r="AO33" i="4"/>
  <c r="X34" i="4"/>
  <c r="AB34" i="4"/>
  <c r="AF34" i="4"/>
  <c r="AJ34" i="4"/>
  <c r="AN34" i="4"/>
  <c r="AA35" i="4"/>
  <c r="AE35" i="4"/>
  <c r="AI35" i="4"/>
  <c r="AM35" i="4"/>
  <c r="Z36" i="4"/>
  <c r="AD36" i="4"/>
  <c r="AH36" i="4"/>
  <c r="AL36" i="4"/>
  <c r="AP36" i="4"/>
  <c r="Y37" i="4"/>
  <c r="AC37" i="4"/>
  <c r="AG37" i="4"/>
  <c r="AK37" i="4"/>
  <c r="AO37" i="4"/>
  <c r="X38" i="4"/>
  <c r="AB38" i="4"/>
  <c r="AF38" i="4"/>
  <c r="AJ38" i="4"/>
  <c r="AN38" i="4"/>
  <c r="AA39" i="4"/>
  <c r="AE39" i="4"/>
  <c r="AI39" i="4"/>
  <c r="AM39" i="4"/>
  <c r="Z41" i="4"/>
  <c r="AD41" i="4"/>
  <c r="AH41" i="4"/>
  <c r="AL41" i="4"/>
  <c r="AP41" i="4"/>
  <c r="Y42" i="4"/>
  <c r="AC42" i="4"/>
  <c r="AG42" i="4"/>
  <c r="AK42" i="4"/>
  <c r="AO42" i="4"/>
  <c r="W43" i="4"/>
  <c r="AA18" i="4"/>
  <c r="AI18" i="4"/>
  <c r="AE22" i="4"/>
  <c r="AM22" i="4"/>
  <c r="AE26" i="4"/>
  <c r="AM26" i="4"/>
  <c r="AE30" i="4"/>
  <c r="AM30" i="4"/>
  <c r="AE34" i="4"/>
  <c r="AM34" i="4"/>
  <c r="AA38" i="4"/>
  <c r="AE38" i="4"/>
  <c r="AM38" i="4"/>
  <c r="AA17" i="4"/>
  <c r="AI17" i="4"/>
  <c r="AD18" i="4"/>
  <c r="AL18" i="4"/>
  <c r="AA21" i="4"/>
  <c r="AE21" i="4"/>
  <c r="AM21" i="4"/>
  <c r="Z22" i="4"/>
  <c r="AH22" i="4"/>
  <c r="AL22" i="4"/>
  <c r="AI25" i="4"/>
  <c r="AD26" i="4"/>
  <c r="AL26" i="4"/>
  <c r="AA29" i="4"/>
  <c r="AI29" i="4"/>
  <c r="AD30" i="4"/>
  <c r="AL30" i="4"/>
  <c r="AP30" i="4"/>
  <c r="AA33" i="4"/>
  <c r="AI33" i="4"/>
  <c r="AD34" i="4"/>
  <c r="AL34" i="4"/>
  <c r="AE37" i="4"/>
  <c r="AM37" i="4"/>
  <c r="Z38" i="4"/>
  <c r="AH38" i="4"/>
  <c r="AP38" i="4"/>
  <c r="AA42" i="4"/>
  <c r="AI42" i="4"/>
  <c r="AM42" i="4"/>
  <c r="X15" i="4"/>
  <c r="AB15" i="4"/>
  <c r="AF15" i="4"/>
  <c r="AJ15" i="4"/>
  <c r="AA16" i="4"/>
  <c r="AE16" i="4"/>
  <c r="AI16" i="4"/>
  <c r="Z17" i="4"/>
  <c r="AD17" i="4"/>
  <c r="AH17" i="4"/>
  <c r="AL17" i="4"/>
  <c r="Y18" i="4"/>
  <c r="AC18" i="4"/>
  <c r="AG18" i="4"/>
  <c r="AK18" i="4"/>
  <c r="X19" i="4"/>
  <c r="AB19" i="4"/>
  <c r="AF19" i="4"/>
  <c r="AJ19" i="4"/>
  <c r="AA20" i="4"/>
  <c r="AE20" i="4"/>
  <c r="AI20" i="4"/>
  <c r="Z21" i="4"/>
  <c r="AD21" i="4"/>
  <c r="AH21" i="4"/>
  <c r="AL21" i="4"/>
  <c r="Y22" i="4"/>
  <c r="AC22" i="4"/>
  <c r="AG22" i="4"/>
  <c r="AK22" i="4"/>
  <c r="X23" i="4"/>
  <c r="AB23" i="4"/>
  <c r="AF23" i="4"/>
  <c r="AJ23" i="4"/>
  <c r="AA24" i="4"/>
  <c r="AE24" i="4"/>
  <c r="AI24" i="4"/>
  <c r="Z25" i="4"/>
  <c r="AD25" i="4"/>
  <c r="AH25" i="4"/>
  <c r="AL25" i="4"/>
  <c r="Y26" i="4"/>
  <c r="AC26" i="4"/>
  <c r="AG26" i="4"/>
  <c r="AK26" i="4"/>
  <c r="X27" i="4"/>
  <c r="AB27" i="4"/>
  <c r="AF27" i="4"/>
  <c r="AJ27" i="4"/>
  <c r="AA28" i="4"/>
  <c r="AE28" i="4"/>
  <c r="AI28" i="4"/>
  <c r="Z29" i="4"/>
  <c r="AD29" i="4"/>
  <c r="AH29" i="4"/>
  <c r="AL29" i="4"/>
  <c r="Y30" i="4"/>
  <c r="AC30" i="4"/>
  <c r="AG30" i="4"/>
  <c r="AK30" i="4"/>
  <c r="X31" i="4"/>
  <c r="AB31" i="4"/>
  <c r="AF31" i="4"/>
  <c r="AJ31" i="4"/>
  <c r="AA32" i="4"/>
  <c r="AE32" i="4"/>
  <c r="AI32" i="4"/>
  <c r="Z33" i="4"/>
  <c r="AD33" i="4"/>
  <c r="AH33" i="4"/>
  <c r="AL33" i="4"/>
  <c r="Y34" i="4"/>
  <c r="AC34" i="4"/>
  <c r="AG34" i="4"/>
  <c r="AK34" i="4"/>
  <c r="X35" i="4"/>
  <c r="AB35" i="4"/>
  <c r="AF35" i="4"/>
  <c r="AJ35" i="4"/>
  <c r="AA36" i="4"/>
  <c r="AE36" i="4"/>
  <c r="AI36" i="4"/>
  <c r="Z37" i="4"/>
  <c r="AD37" i="4"/>
  <c r="AH37" i="4"/>
  <c r="AL37" i="4"/>
  <c r="Y38" i="4"/>
  <c r="AC38" i="4"/>
  <c r="AG38" i="4"/>
  <c r="AK38" i="4"/>
  <c r="X39" i="4"/>
  <c r="AB39" i="4"/>
  <c r="AF39" i="4"/>
  <c r="AJ39" i="4"/>
  <c r="AA41" i="4"/>
  <c r="AE41" i="4"/>
  <c r="AI41" i="4"/>
  <c r="Z42" i="4"/>
  <c r="AD42" i="4"/>
  <c r="AH42" i="4"/>
  <c r="AL42" i="4"/>
  <c r="AJ18" i="3"/>
  <c r="AL24" i="3"/>
  <c r="AK29" i="3"/>
  <c r="AJ34" i="3"/>
  <c r="AF18" i="3"/>
  <c r="AD20" i="3"/>
  <c r="AL20" i="3"/>
  <c r="AK24" i="3"/>
  <c r="AC25" i="3"/>
  <c r="AK25" i="3"/>
  <c r="AB29" i="3"/>
  <c r="AJ29" i="3"/>
  <c r="AJ30" i="3"/>
  <c r="AF34" i="3"/>
  <c r="AC16" i="3"/>
  <c r="AK16" i="3"/>
  <c r="AC17" i="3"/>
  <c r="AK17" i="3"/>
  <c r="X18" i="3"/>
  <c r="AN18" i="3"/>
  <c r="Z20" i="3"/>
  <c r="AH20" i="3"/>
  <c r="AP20" i="3"/>
  <c r="AB21" i="3"/>
  <c r="AJ21" i="3"/>
  <c r="AJ22" i="3"/>
  <c r="Y24" i="3"/>
  <c r="AG24" i="3"/>
  <c r="AO24" i="3"/>
  <c r="Y25" i="3"/>
  <c r="AG25" i="3"/>
  <c r="AO25" i="3"/>
  <c r="AF26" i="3"/>
  <c r="AD28" i="3"/>
  <c r="AL28" i="3"/>
  <c r="X29" i="3"/>
  <c r="AF29" i="3"/>
  <c r="AN29" i="3"/>
  <c r="AB30" i="3"/>
  <c r="AC32" i="3"/>
  <c r="AK32" i="3"/>
  <c r="AC33" i="3"/>
  <c r="AK33" i="3"/>
  <c r="X34" i="3"/>
  <c r="AN34" i="3"/>
  <c r="AD24" i="3"/>
  <c r="AC29" i="3"/>
  <c r="AC24" i="3"/>
  <c r="AD16" i="3"/>
  <c r="AL16" i="3"/>
  <c r="X17" i="3"/>
  <c r="AF17" i="3"/>
  <c r="AN17" i="3"/>
  <c r="AB18" i="3"/>
  <c r="AC20" i="3"/>
  <c r="AK20" i="3"/>
  <c r="AC21" i="3"/>
  <c r="AK21" i="3"/>
  <c r="X22" i="3"/>
  <c r="AN22" i="3"/>
  <c r="Z24" i="3"/>
  <c r="AH24" i="3"/>
  <c r="AP24" i="3"/>
  <c r="AB25" i="3"/>
  <c r="AJ25" i="3"/>
  <c r="AJ26" i="3"/>
  <c r="Y28" i="3"/>
  <c r="AG28" i="3"/>
  <c r="AO28" i="3"/>
  <c r="Y29" i="3"/>
  <c r="AG29" i="3"/>
  <c r="AO29" i="3"/>
  <c r="AF30" i="3"/>
  <c r="AD32" i="3"/>
  <c r="AL32" i="3"/>
  <c r="X33" i="3"/>
  <c r="AF33" i="3"/>
  <c r="AN33" i="3"/>
  <c r="AB34" i="3"/>
  <c r="AQ40" i="3"/>
  <c r="AE15" i="3"/>
  <c r="AM15" i="3"/>
  <c r="AA19" i="3"/>
  <c r="AI19" i="3"/>
  <c r="AA23" i="3"/>
  <c r="AI23" i="3"/>
  <c r="AA27" i="3"/>
  <c r="AE27" i="3"/>
  <c r="AM27" i="3"/>
  <c r="AE31" i="3"/>
  <c r="AE35" i="3"/>
  <c r="AM35" i="3"/>
  <c r="AA39" i="3"/>
  <c r="AI39" i="3"/>
  <c r="Z15" i="3"/>
  <c r="AH15" i="3"/>
  <c r="AP15" i="3"/>
  <c r="AE18" i="3"/>
  <c r="AM18" i="3"/>
  <c r="Z19" i="3"/>
  <c r="AH19" i="3"/>
  <c r="AP19" i="3"/>
  <c r="AA22" i="3"/>
  <c r="AI22" i="3"/>
  <c r="AD23" i="3"/>
  <c r="AL23" i="3"/>
  <c r="AA26" i="3"/>
  <c r="AI26" i="3"/>
  <c r="AD27" i="3"/>
  <c r="AL27" i="3"/>
  <c r="AE30" i="3"/>
  <c r="AM30" i="3"/>
  <c r="Z31" i="3"/>
  <c r="AH31" i="3"/>
  <c r="AP31" i="3"/>
  <c r="AI34" i="3"/>
  <c r="AD35" i="3"/>
  <c r="AL35" i="3"/>
  <c r="AE38" i="3"/>
  <c r="AD39" i="3"/>
  <c r="Y15" i="3"/>
  <c r="AC15" i="3"/>
  <c r="AG15" i="3"/>
  <c r="AK15" i="3"/>
  <c r="AO15" i="3"/>
  <c r="X16" i="3"/>
  <c r="AB16" i="3"/>
  <c r="AF16" i="3"/>
  <c r="AJ16" i="3"/>
  <c r="AN16" i="3"/>
  <c r="AA17" i="3"/>
  <c r="AE17" i="3"/>
  <c r="AI17" i="3"/>
  <c r="AM17" i="3"/>
  <c r="Z18" i="3"/>
  <c r="AD18" i="3"/>
  <c r="AH18" i="3"/>
  <c r="AL18" i="3"/>
  <c r="AP18" i="3"/>
  <c r="Y19" i="3"/>
  <c r="AC19" i="3"/>
  <c r="AG19" i="3"/>
  <c r="AK19" i="3"/>
  <c r="AO19" i="3"/>
  <c r="X20" i="3"/>
  <c r="AB20" i="3"/>
  <c r="AF20" i="3"/>
  <c r="AJ20" i="3"/>
  <c r="AN20" i="3"/>
  <c r="AA21" i="3"/>
  <c r="AE21" i="3"/>
  <c r="AI21" i="3"/>
  <c r="AM21" i="3"/>
  <c r="Z22" i="3"/>
  <c r="AD22" i="3"/>
  <c r="AH22" i="3"/>
  <c r="AL22" i="3"/>
  <c r="AP22" i="3"/>
  <c r="Y23" i="3"/>
  <c r="AC23" i="3"/>
  <c r="AG23" i="3"/>
  <c r="AK23" i="3"/>
  <c r="AO23" i="3"/>
  <c r="X24" i="3"/>
  <c r="AB24" i="3"/>
  <c r="AF24" i="3"/>
  <c r="AJ24" i="3"/>
  <c r="AN24" i="3"/>
  <c r="AA25" i="3"/>
  <c r="AE25" i="3"/>
  <c r="AI25" i="3"/>
  <c r="AM25" i="3"/>
  <c r="Z26" i="3"/>
  <c r="AD26" i="3"/>
  <c r="AH26" i="3"/>
  <c r="AL26" i="3"/>
  <c r="AP26" i="3"/>
  <c r="Y27" i="3"/>
  <c r="AC27" i="3"/>
  <c r="AG27" i="3"/>
  <c r="AK27" i="3"/>
  <c r="AO27" i="3"/>
  <c r="X28" i="3"/>
  <c r="AB28" i="3"/>
  <c r="AF28" i="3"/>
  <c r="AJ28" i="3"/>
  <c r="AN28" i="3"/>
  <c r="AA29" i="3"/>
  <c r="AE29" i="3"/>
  <c r="AI29" i="3"/>
  <c r="AM29" i="3"/>
  <c r="Z30" i="3"/>
  <c r="AD30" i="3"/>
  <c r="AH30" i="3"/>
  <c r="AL30" i="3"/>
  <c r="AP30" i="3"/>
  <c r="Y31" i="3"/>
  <c r="AC31" i="3"/>
  <c r="AG31" i="3"/>
  <c r="AK31" i="3"/>
  <c r="AO31" i="3"/>
  <c r="X32" i="3"/>
  <c r="AB32" i="3"/>
  <c r="AF32" i="3"/>
  <c r="AJ32" i="3"/>
  <c r="AN32" i="3"/>
  <c r="AA33" i="3"/>
  <c r="AE33" i="3"/>
  <c r="AI33" i="3"/>
  <c r="AM33" i="3"/>
  <c r="Z34" i="3"/>
  <c r="AD34" i="3"/>
  <c r="AH34" i="3"/>
  <c r="AL34" i="3"/>
  <c r="AP34" i="3"/>
  <c r="Y35" i="3"/>
  <c r="AC35" i="3"/>
  <c r="AG35" i="3"/>
  <c r="AK35" i="3"/>
  <c r="AO35" i="3"/>
  <c r="X36" i="3"/>
  <c r="AB36" i="3"/>
  <c r="AF36" i="3"/>
  <c r="AJ36" i="3"/>
  <c r="AN36" i="3"/>
  <c r="AA37" i="3"/>
  <c r="AE37" i="3"/>
  <c r="AI37" i="3"/>
  <c r="AM37" i="3"/>
  <c r="Z38" i="3"/>
  <c r="AD38" i="3"/>
  <c r="AH38" i="3"/>
  <c r="AL38" i="3"/>
  <c r="AP38" i="3"/>
  <c r="Y39" i="3"/>
  <c r="AC39" i="3"/>
  <c r="AG39" i="3"/>
  <c r="AK39" i="3"/>
  <c r="AO39" i="3"/>
  <c r="X41" i="3"/>
  <c r="AB41" i="3"/>
  <c r="AF41" i="3"/>
  <c r="AJ41" i="3"/>
  <c r="AN41" i="3"/>
  <c r="AA42" i="3"/>
  <c r="AE42" i="3"/>
  <c r="AI42" i="3"/>
  <c r="AM42" i="3"/>
  <c r="AA15" i="3"/>
  <c r="AI15" i="3"/>
  <c r="AE19" i="3"/>
  <c r="AM19" i="3"/>
  <c r="AE23" i="3"/>
  <c r="AM23" i="3"/>
  <c r="AI27" i="3"/>
  <c r="AA31" i="3"/>
  <c r="AI31" i="3"/>
  <c r="AM31" i="3"/>
  <c r="AA35" i="3"/>
  <c r="AI35" i="3"/>
  <c r="AE39" i="3"/>
  <c r="AM39" i="3"/>
  <c r="W43" i="3"/>
  <c r="AD15" i="3"/>
  <c r="AL15" i="3"/>
  <c r="AA18" i="3"/>
  <c r="AI18" i="3"/>
  <c r="AD19" i="3"/>
  <c r="AL19" i="3"/>
  <c r="AE22" i="3"/>
  <c r="AM22" i="3"/>
  <c r="Z23" i="3"/>
  <c r="AH23" i="3"/>
  <c r="AP23" i="3"/>
  <c r="AE26" i="3"/>
  <c r="AM26" i="3"/>
  <c r="Z27" i="3"/>
  <c r="AH27" i="3"/>
  <c r="AP27" i="3"/>
  <c r="AA30" i="3"/>
  <c r="AI30" i="3"/>
  <c r="AD31" i="3"/>
  <c r="AL31" i="3"/>
  <c r="AA34" i="3"/>
  <c r="AE34" i="3"/>
  <c r="AM34" i="3"/>
  <c r="Z35" i="3"/>
  <c r="AH35" i="3"/>
  <c r="AP35" i="3"/>
  <c r="AA38" i="3"/>
  <c r="AI38" i="3"/>
  <c r="AM38" i="3"/>
  <c r="Z39" i="3"/>
  <c r="AH39" i="3"/>
  <c r="AL39" i="3"/>
  <c r="AP39" i="3"/>
  <c r="X15" i="3"/>
  <c r="AB15" i="3"/>
  <c r="AF15" i="3"/>
  <c r="AJ15" i="3"/>
  <c r="AA16" i="3"/>
  <c r="AE16" i="3"/>
  <c r="AI16" i="3"/>
  <c r="Z17" i="3"/>
  <c r="AD17" i="3"/>
  <c r="AH17" i="3"/>
  <c r="AL17" i="3"/>
  <c r="Y18" i="3"/>
  <c r="AC18" i="3"/>
  <c r="AG18" i="3"/>
  <c r="AK18" i="3"/>
  <c r="X19" i="3"/>
  <c r="AB19" i="3"/>
  <c r="AF19" i="3"/>
  <c r="AJ19" i="3"/>
  <c r="AA20" i="3"/>
  <c r="AE20" i="3"/>
  <c r="AI20" i="3"/>
  <c r="Z21" i="3"/>
  <c r="AD21" i="3"/>
  <c r="AH21" i="3"/>
  <c r="AL21" i="3"/>
  <c r="Y22" i="3"/>
  <c r="AC22" i="3"/>
  <c r="AG22" i="3"/>
  <c r="AK22" i="3"/>
  <c r="X23" i="3"/>
  <c r="AB23" i="3"/>
  <c r="AF23" i="3"/>
  <c r="AJ23" i="3"/>
  <c r="AA24" i="3"/>
  <c r="AE24" i="3"/>
  <c r="AI24" i="3"/>
  <c r="Z25" i="3"/>
  <c r="AD25" i="3"/>
  <c r="AH25" i="3"/>
  <c r="AL25" i="3"/>
  <c r="Y26" i="3"/>
  <c r="AC26" i="3"/>
  <c r="AG26" i="3"/>
  <c r="AK26" i="3"/>
  <c r="X27" i="3"/>
  <c r="AB27" i="3"/>
  <c r="AF27" i="3"/>
  <c r="AJ27" i="3"/>
  <c r="AA28" i="3"/>
  <c r="AE28" i="3"/>
  <c r="AI28" i="3"/>
  <c r="Z29" i="3"/>
  <c r="AD29" i="3"/>
  <c r="AH29" i="3"/>
  <c r="AL29" i="3"/>
  <c r="Y30" i="3"/>
  <c r="AC30" i="3"/>
  <c r="AG30" i="3"/>
  <c r="AK30" i="3"/>
  <c r="X31" i="3"/>
  <c r="AB31" i="3"/>
  <c r="AF31" i="3"/>
  <c r="AJ31" i="3"/>
  <c r="AA32" i="3"/>
  <c r="AE32" i="3"/>
  <c r="AI32" i="3"/>
  <c r="Z33" i="3"/>
  <c r="AD33" i="3"/>
  <c r="AH33" i="3"/>
  <c r="AL33" i="3"/>
  <c r="Y34" i="3"/>
  <c r="AC34" i="3"/>
  <c r="AG34" i="3"/>
  <c r="AK34" i="3"/>
  <c r="X35" i="3"/>
  <c r="AB35" i="3"/>
  <c r="AF35" i="3"/>
  <c r="AJ35" i="3"/>
  <c r="AA36" i="3"/>
  <c r="AE36" i="3"/>
  <c r="AI36" i="3"/>
  <c r="Z37" i="3"/>
  <c r="AD37" i="3"/>
  <c r="AH37" i="3"/>
  <c r="AL37" i="3"/>
  <c r="Y38" i="3"/>
  <c r="AC38" i="3"/>
  <c r="AG38" i="3"/>
  <c r="AK38" i="3"/>
  <c r="X39" i="3"/>
  <c r="AB39" i="3"/>
  <c r="AF39" i="3"/>
  <c r="AJ39" i="3"/>
  <c r="AA41" i="3"/>
  <c r="AE41" i="3"/>
  <c r="AI41" i="3"/>
  <c r="Z42" i="3"/>
  <c r="AD42" i="3"/>
  <c r="AH42" i="3"/>
  <c r="AL42" i="3"/>
  <c r="AM18" i="2"/>
  <c r="AC22" i="2"/>
  <c r="AP26" i="2"/>
  <c r="AH30" i="2"/>
  <c r="AO30" i="2"/>
  <c r="AD18" i="2"/>
  <c r="Y19" i="2"/>
  <c r="AJ23" i="2"/>
  <c r="AG31" i="2"/>
  <c r="AO15" i="2"/>
  <c r="AB23" i="2"/>
  <c r="Y31" i="2"/>
  <c r="AJ32" i="2"/>
  <c r="AF24" i="2"/>
  <c r="AJ15" i="2"/>
  <c r="AF36" i="2"/>
  <c r="AB36" i="2"/>
  <c r="AF15" i="2"/>
  <c r="AF19" i="2"/>
  <c r="AG23" i="2"/>
  <c r="AG27" i="2"/>
  <c r="X31" i="2"/>
  <c r="AN31" i="2"/>
  <c r="AJ36" i="2"/>
  <c r="AP15" i="2"/>
  <c r="AC15" i="2"/>
  <c r="AK15" i="2"/>
  <c r="AP19" i="2"/>
  <c r="AC19" i="2"/>
  <c r="AK19" i="2"/>
  <c r="X23" i="2"/>
  <c r="AF23" i="2"/>
  <c r="AN23" i="2"/>
  <c r="Z26" i="2"/>
  <c r="X27" i="2"/>
  <c r="AF27" i="2"/>
  <c r="AN27" i="2"/>
  <c r="X30" i="2"/>
  <c r="AP31" i="2"/>
  <c r="AC31" i="2"/>
  <c r="AK31" i="2"/>
  <c r="AP34" i="2"/>
  <c r="X15" i="2"/>
  <c r="AN15" i="2"/>
  <c r="X19" i="2"/>
  <c r="AN19" i="2"/>
  <c r="Y23" i="2"/>
  <c r="AO23" i="2"/>
  <c r="Y27" i="2"/>
  <c r="AO27" i="2"/>
  <c r="AF31" i="2"/>
  <c r="AB15" i="2"/>
  <c r="AB19" i="2"/>
  <c r="AP23" i="2"/>
  <c r="AC23" i="2"/>
  <c r="AP27" i="2"/>
  <c r="AC27" i="2"/>
  <c r="AB31" i="2"/>
  <c r="AK34" i="2"/>
  <c r="X16" i="2"/>
  <c r="AO20" i="2"/>
  <c r="AJ24" i="2"/>
  <c r="AO28" i="2"/>
  <c r="AJ28" i="2"/>
  <c r="AF16" i="2"/>
  <c r="AB20" i="2"/>
  <c r="AB24" i="2"/>
  <c r="AB28" i="2"/>
  <c r="X32" i="2"/>
  <c r="AN32" i="2"/>
  <c r="AN16" i="2"/>
  <c r="AJ20" i="2"/>
  <c r="AO24" i="2"/>
  <c r="AF32" i="2"/>
  <c r="AO16" i="2"/>
  <c r="AK35" i="2"/>
  <c r="AC35" i="2"/>
  <c r="AP35" i="2"/>
  <c r="AG35" i="2"/>
  <c r="AJ35" i="2"/>
  <c r="AN35" i="2"/>
  <c r="X35" i="2"/>
  <c r="AO35" i="2"/>
  <c r="Y35" i="2"/>
  <c r="AB35" i="2"/>
  <c r="AC18" i="2"/>
  <c r="Z22" i="2"/>
  <c r="Y26" i="2"/>
  <c r="AO26" i="2"/>
  <c r="AB30" i="2"/>
  <c r="AL30" i="2"/>
  <c r="Y34" i="2"/>
  <c r="AJ34" i="2"/>
  <c r="H43" i="2"/>
  <c r="Z18" i="2"/>
  <c r="AH18" i="2"/>
  <c r="AP18" i="2"/>
  <c r="Y22" i="2"/>
  <c r="AG22" i="2"/>
  <c r="AO22" i="2"/>
  <c r="AM26" i="2"/>
  <c r="AD26" i="2"/>
  <c r="AL26" i="2"/>
  <c r="Z30" i="2"/>
  <c r="AF30" i="2"/>
  <c r="AK30" i="2"/>
  <c r="AP30" i="2"/>
  <c r="X34" i="2"/>
  <c r="AC34" i="2"/>
  <c r="AH34" i="2"/>
  <c r="AN34" i="2"/>
  <c r="AF35" i="2"/>
  <c r="AK18" i="2"/>
  <c r="AH22" i="2"/>
  <c r="AP22" i="2"/>
  <c r="AG26" i="2"/>
  <c r="AM30" i="2"/>
  <c r="AG30" i="2"/>
  <c r="AD34" i="2"/>
  <c r="AO34" i="2"/>
  <c r="Y18" i="2"/>
  <c r="AG18" i="2"/>
  <c r="AM22" i="2"/>
  <c r="AD22" i="2"/>
  <c r="AC26" i="2"/>
  <c r="Y30" i="2"/>
  <c r="AD30" i="2"/>
  <c r="AJ30" i="2"/>
  <c r="AM34" i="2"/>
  <c r="AB34" i="2"/>
  <c r="AG34" i="2"/>
  <c r="AE17" i="2"/>
  <c r="AE21" i="2"/>
  <c r="AM21" i="2"/>
  <c r="AA25" i="2"/>
  <c r="AI25" i="2"/>
  <c r="AE29" i="2"/>
  <c r="AM29" i="2"/>
  <c r="AA16" i="2"/>
  <c r="AM16" i="2"/>
  <c r="Z17" i="2"/>
  <c r="AH17" i="2"/>
  <c r="AE20" i="2"/>
  <c r="AM20" i="2"/>
  <c r="Z21" i="2"/>
  <c r="AH21" i="2"/>
  <c r="AP21" i="2"/>
  <c r="AI24" i="2"/>
  <c r="AD25" i="2"/>
  <c r="AL25" i="2"/>
  <c r="AA28" i="2"/>
  <c r="AI28" i="2"/>
  <c r="Z29" i="2"/>
  <c r="AH29" i="2"/>
  <c r="AP29" i="2"/>
  <c r="AE32" i="2"/>
  <c r="AM32" i="2"/>
  <c r="Z33" i="2"/>
  <c r="AH33" i="2"/>
  <c r="AP33" i="2"/>
  <c r="AE36" i="2"/>
  <c r="AP37" i="2"/>
  <c r="AA15" i="2"/>
  <c r="AE15" i="2"/>
  <c r="AI15" i="2"/>
  <c r="AM15" i="2"/>
  <c r="Z16" i="2"/>
  <c r="AD16" i="2"/>
  <c r="AH16" i="2"/>
  <c r="AL16" i="2"/>
  <c r="AP16" i="2"/>
  <c r="Y17" i="2"/>
  <c r="AC17" i="2"/>
  <c r="AG17" i="2"/>
  <c r="AK17" i="2"/>
  <c r="AO17" i="2"/>
  <c r="X18" i="2"/>
  <c r="AB18" i="2"/>
  <c r="AF18" i="2"/>
  <c r="AJ18" i="2"/>
  <c r="AN18" i="2"/>
  <c r="AA19" i="2"/>
  <c r="AE19" i="2"/>
  <c r="AI19" i="2"/>
  <c r="AM19" i="2"/>
  <c r="Z20" i="2"/>
  <c r="AD20" i="2"/>
  <c r="AH20" i="2"/>
  <c r="AL20" i="2"/>
  <c r="AP20" i="2"/>
  <c r="Y21" i="2"/>
  <c r="AC21" i="2"/>
  <c r="AG21" i="2"/>
  <c r="AK21" i="2"/>
  <c r="AO21" i="2"/>
  <c r="X22" i="2"/>
  <c r="AB22" i="2"/>
  <c r="AF22" i="2"/>
  <c r="AJ22" i="2"/>
  <c r="AN22" i="2"/>
  <c r="AA23" i="2"/>
  <c r="AE23" i="2"/>
  <c r="AI23" i="2"/>
  <c r="AM23" i="2"/>
  <c r="Z24" i="2"/>
  <c r="AD24" i="2"/>
  <c r="AH24" i="2"/>
  <c r="AL24" i="2"/>
  <c r="AP24" i="2"/>
  <c r="Y25" i="2"/>
  <c r="AC25" i="2"/>
  <c r="AG25" i="2"/>
  <c r="AK25" i="2"/>
  <c r="AO25" i="2"/>
  <c r="X26" i="2"/>
  <c r="AB26" i="2"/>
  <c r="AF26" i="2"/>
  <c r="AJ26" i="2"/>
  <c r="AN26" i="2"/>
  <c r="AA27" i="2"/>
  <c r="AE27" i="2"/>
  <c r="AI27" i="2"/>
  <c r="AM27" i="2"/>
  <c r="Z28" i="2"/>
  <c r="AD28" i="2"/>
  <c r="AH28" i="2"/>
  <c r="AL28" i="2"/>
  <c r="AP28" i="2"/>
  <c r="Y29" i="2"/>
  <c r="AC29" i="2"/>
  <c r="AG29" i="2"/>
  <c r="AK29" i="2"/>
  <c r="AO29" i="2"/>
  <c r="AA31" i="2"/>
  <c r="AE31" i="2"/>
  <c r="AI31" i="2"/>
  <c r="AM31" i="2"/>
  <c r="Z32" i="2"/>
  <c r="AD32" i="2"/>
  <c r="AH32" i="2"/>
  <c r="AL32" i="2"/>
  <c r="AP32" i="2"/>
  <c r="Y33" i="2"/>
  <c r="AC33" i="2"/>
  <c r="AG33" i="2"/>
  <c r="AK33" i="2"/>
  <c r="AO33" i="2"/>
  <c r="AA35" i="2"/>
  <c r="AE35" i="2"/>
  <c r="AI35" i="2"/>
  <c r="AM35" i="2"/>
  <c r="Z36" i="2"/>
  <c r="AL36" i="2"/>
  <c r="AP36" i="2"/>
  <c r="Y37" i="2"/>
  <c r="AC37" i="2"/>
  <c r="AG37" i="2"/>
  <c r="AK37" i="2"/>
  <c r="AO37" i="2"/>
  <c r="AA39" i="2"/>
  <c r="AE39" i="2"/>
  <c r="AI39" i="2"/>
  <c r="AM39" i="2"/>
  <c r="Z41" i="2"/>
  <c r="AD41" i="2"/>
  <c r="AH41" i="2"/>
  <c r="AL41" i="2"/>
  <c r="AP41" i="2"/>
  <c r="Y42" i="2"/>
  <c r="AC42" i="2"/>
  <c r="AG42" i="2"/>
  <c r="AK42" i="2"/>
  <c r="AO42" i="2"/>
  <c r="AA17" i="2"/>
  <c r="AI17" i="2"/>
  <c r="AM17" i="2"/>
  <c r="AA21" i="2"/>
  <c r="AI21" i="2"/>
  <c r="AE25" i="2"/>
  <c r="AM25" i="2"/>
  <c r="AA29" i="2"/>
  <c r="AI29" i="2"/>
  <c r="AA33" i="2"/>
  <c r="AE33" i="2"/>
  <c r="AI33" i="2"/>
  <c r="AM33" i="2"/>
  <c r="AA37" i="2"/>
  <c r="AE37" i="2"/>
  <c r="AI37" i="2"/>
  <c r="AM37" i="2"/>
  <c r="AA42" i="2"/>
  <c r="AE42" i="2"/>
  <c r="AI42" i="2"/>
  <c r="AM42" i="2"/>
  <c r="AE16" i="2"/>
  <c r="AI16" i="2"/>
  <c r="AD17" i="2"/>
  <c r="AL17" i="2"/>
  <c r="AP17" i="2"/>
  <c r="AA20" i="2"/>
  <c r="AI20" i="2"/>
  <c r="AD21" i="2"/>
  <c r="AL21" i="2"/>
  <c r="AA24" i="2"/>
  <c r="AE24" i="2"/>
  <c r="AM24" i="2"/>
  <c r="Z25" i="2"/>
  <c r="AH25" i="2"/>
  <c r="AP25" i="2"/>
  <c r="AE28" i="2"/>
  <c r="AM28" i="2"/>
  <c r="AD29" i="2"/>
  <c r="AL29" i="2"/>
  <c r="AA32" i="2"/>
  <c r="AI32" i="2"/>
  <c r="AD33" i="2"/>
  <c r="AL33" i="2"/>
  <c r="AA36" i="2"/>
  <c r="Z37" i="2"/>
  <c r="AD37" i="2"/>
  <c r="AH37" i="2"/>
  <c r="AL37" i="2"/>
  <c r="AA41" i="2"/>
  <c r="AE41" i="2"/>
  <c r="AI41" i="2"/>
  <c r="AM41" i="2"/>
  <c r="Z42" i="2"/>
  <c r="AD42" i="2"/>
  <c r="AH42" i="2"/>
  <c r="AL42" i="2"/>
  <c r="AP42" i="2"/>
  <c r="Z15" i="2"/>
  <c r="AD15" i="2"/>
  <c r="AH15" i="2"/>
  <c r="AL15" i="2"/>
  <c r="Y16" i="2"/>
  <c r="AC16" i="2"/>
  <c r="AG16" i="2"/>
  <c r="AK16" i="2"/>
  <c r="X17" i="2"/>
  <c r="AB17" i="2"/>
  <c r="AF17" i="2"/>
  <c r="AJ17" i="2"/>
  <c r="AA18" i="2"/>
  <c r="AE18" i="2"/>
  <c r="AI18" i="2"/>
  <c r="Z19" i="2"/>
  <c r="AD19" i="2"/>
  <c r="AH19" i="2"/>
  <c r="AL19" i="2"/>
  <c r="Y20" i="2"/>
  <c r="AC20" i="2"/>
  <c r="AG20" i="2"/>
  <c r="AK20" i="2"/>
  <c r="X21" i="2"/>
  <c r="AB21" i="2"/>
  <c r="AF21" i="2"/>
  <c r="AJ21" i="2"/>
  <c r="AA22" i="2"/>
  <c r="AE22" i="2"/>
  <c r="AI22" i="2"/>
  <c r="Z23" i="2"/>
  <c r="AD23" i="2"/>
  <c r="AH23" i="2"/>
  <c r="AL23" i="2"/>
  <c r="Y24" i="2"/>
  <c r="AC24" i="2"/>
  <c r="AG24" i="2"/>
  <c r="AK24" i="2"/>
  <c r="X25" i="2"/>
  <c r="AB25" i="2"/>
  <c r="AF25" i="2"/>
  <c r="AJ25" i="2"/>
  <c r="AA26" i="2"/>
  <c r="AE26" i="2"/>
  <c r="AI26" i="2"/>
  <c r="Z27" i="2"/>
  <c r="AD27" i="2"/>
  <c r="AH27" i="2"/>
  <c r="AL27" i="2"/>
  <c r="Y28" i="2"/>
  <c r="AC28" i="2"/>
  <c r="AG28" i="2"/>
  <c r="AK28" i="2"/>
  <c r="X29" i="2"/>
  <c r="AB29" i="2"/>
  <c r="AF29" i="2"/>
  <c r="AJ29" i="2"/>
  <c r="AA30" i="2"/>
  <c r="AE30" i="2"/>
  <c r="AI30" i="2"/>
  <c r="Z31" i="2"/>
  <c r="AD31" i="2"/>
  <c r="AH31" i="2"/>
  <c r="AL31" i="2"/>
  <c r="Y32" i="2"/>
  <c r="AC32" i="2"/>
  <c r="AG32" i="2"/>
  <c r="AK32" i="2"/>
  <c r="X33" i="2"/>
  <c r="AB33" i="2"/>
  <c r="AF33" i="2"/>
  <c r="AJ33" i="2"/>
  <c r="AA34" i="2"/>
  <c r="AE34" i="2"/>
  <c r="AI34" i="2"/>
  <c r="Z35" i="2"/>
  <c r="AD35" i="2"/>
  <c r="AH35" i="2"/>
  <c r="AL35" i="2"/>
  <c r="Y36" i="2"/>
  <c r="AC36" i="2"/>
  <c r="AG36" i="2"/>
  <c r="X37" i="2"/>
  <c r="AB37" i="2"/>
  <c r="AF37" i="2"/>
  <c r="AJ37" i="2"/>
  <c r="AA38" i="2"/>
  <c r="AE38" i="2"/>
  <c r="AQ38" i="2" s="1"/>
  <c r="AI38" i="2"/>
  <c r="Z39" i="2"/>
  <c r="AD39" i="2"/>
  <c r="AH39" i="2"/>
  <c r="AL39" i="2"/>
  <c r="Y41" i="2"/>
  <c r="AC41" i="2"/>
  <c r="AG41" i="2"/>
  <c r="AK41" i="2"/>
  <c r="X42" i="2"/>
  <c r="AB42" i="2"/>
  <c r="AF42" i="2"/>
  <c r="AJ42" i="2"/>
  <c r="AD43" i="4" l="1"/>
  <c r="AQ38" i="3"/>
  <c r="AD43" i="6"/>
  <c r="AM43" i="4"/>
  <c r="AE43" i="4"/>
  <c r="AQ6" i="4"/>
  <c r="AQ35" i="5"/>
  <c r="AQ20" i="5"/>
  <c r="AL43" i="6"/>
  <c r="AG43" i="4"/>
  <c r="AP43" i="5"/>
  <c r="AQ7" i="4"/>
  <c r="AQ8" i="4"/>
  <c r="Z43" i="5"/>
  <c r="Y43" i="4"/>
  <c r="AN43" i="4"/>
  <c r="AQ13" i="4"/>
  <c r="AQ12" i="4"/>
  <c r="AQ10" i="4"/>
  <c r="AH43" i="5"/>
  <c r="AQ28" i="5"/>
  <c r="AQ39" i="3"/>
  <c r="AQ37" i="3"/>
  <c r="AF43" i="4"/>
  <c r="AQ32" i="5"/>
  <c r="X43" i="4"/>
  <c r="AQ14" i="4"/>
  <c r="AQ36" i="5"/>
  <c r="AQ19" i="5"/>
  <c r="AQ12" i="5"/>
  <c r="AQ5" i="4"/>
  <c r="AL43" i="4"/>
  <c r="AQ11" i="4"/>
  <c r="AQ29" i="6"/>
  <c r="AQ13" i="6"/>
  <c r="AQ39" i="6"/>
  <c r="AQ37" i="6"/>
  <c r="AQ19" i="6"/>
  <c r="AQ12" i="6"/>
  <c r="AQ41" i="6"/>
  <c r="AQ35" i="6"/>
  <c r="AQ32" i="6"/>
  <c r="AQ31" i="6"/>
  <c r="AQ28" i="6"/>
  <c r="AQ24" i="6"/>
  <c r="AQ21" i="6"/>
  <c r="AQ16" i="6"/>
  <c r="AQ36" i="6"/>
  <c r="AQ42" i="6"/>
  <c r="AQ33" i="6"/>
  <c r="AQ8" i="6"/>
  <c r="AQ7" i="6"/>
  <c r="AQ25" i="6"/>
  <c r="AQ22" i="6"/>
  <c r="AQ20" i="6"/>
  <c r="AQ18" i="6"/>
  <c r="AQ30" i="6"/>
  <c r="AQ26" i="6"/>
  <c r="AQ27" i="6"/>
  <c r="AQ9" i="6"/>
  <c r="AQ17" i="6"/>
  <c r="AQ14" i="6"/>
  <c r="AQ6" i="6"/>
  <c r="AQ43" i="6" s="1"/>
  <c r="AQ10" i="6"/>
  <c r="AQ5" i="6"/>
  <c r="AQ23" i="6"/>
  <c r="AQ11" i="6"/>
  <c r="AQ15" i="6"/>
  <c r="AQ38" i="6"/>
  <c r="AQ34" i="6"/>
  <c r="AQ42" i="5"/>
  <c r="AQ37" i="5"/>
  <c r="AQ33" i="5"/>
  <c r="AQ25" i="5"/>
  <c r="AQ9" i="5"/>
  <c r="AQ29" i="5"/>
  <c r="AQ21" i="5"/>
  <c r="AQ13" i="5"/>
  <c r="AQ5" i="5"/>
  <c r="AQ43" i="5" s="1"/>
  <c r="AQ41" i="5"/>
  <c r="AQ24" i="5"/>
  <c r="AQ8" i="5"/>
  <c r="AQ15" i="5"/>
  <c r="AQ31" i="5"/>
  <c r="AQ34" i="5"/>
  <c r="AQ26" i="5"/>
  <c r="AQ18" i="5"/>
  <c r="AQ10" i="5"/>
  <c r="AQ17" i="5"/>
  <c r="AQ38" i="5"/>
  <c r="AQ27" i="5"/>
  <c r="AQ11" i="5"/>
  <c r="AQ39" i="5"/>
  <c r="AQ23" i="5"/>
  <c r="AQ7" i="5"/>
  <c r="AQ30" i="5"/>
  <c r="AQ22" i="5"/>
  <c r="AQ14" i="5"/>
  <c r="AQ6" i="5"/>
  <c r="AQ16" i="4"/>
  <c r="AQ27" i="4"/>
  <c r="AQ36" i="4"/>
  <c r="AQ33" i="4"/>
  <c r="AQ32" i="4"/>
  <c r="AQ28" i="4"/>
  <c r="AQ21" i="4"/>
  <c r="AQ37" i="4"/>
  <c r="AQ41" i="4"/>
  <c r="AQ29" i="4"/>
  <c r="AQ24" i="4"/>
  <c r="AQ42" i="4"/>
  <c r="AQ25" i="4"/>
  <c r="AQ20" i="4"/>
  <c r="AQ15" i="4"/>
  <c r="AQ38" i="4"/>
  <c r="AQ39" i="4"/>
  <c r="AQ17" i="4"/>
  <c r="AQ31" i="4"/>
  <c r="AQ26" i="4"/>
  <c r="AQ22" i="4"/>
  <c r="AQ23" i="4"/>
  <c r="AQ34" i="4"/>
  <c r="AQ18" i="4"/>
  <c r="AQ35" i="4"/>
  <c r="AQ19" i="4"/>
  <c r="AQ30" i="4"/>
  <c r="AQ25" i="3"/>
  <c r="AQ23" i="3"/>
  <c r="AQ22" i="3"/>
  <c r="AQ21" i="3"/>
  <c r="AQ33" i="3"/>
  <c r="AQ18" i="3"/>
  <c r="AQ26" i="3"/>
  <c r="AQ34" i="3"/>
  <c r="AQ17" i="3"/>
  <c r="AQ30" i="3"/>
  <c r="AQ29" i="3"/>
  <c r="AQ42" i="3"/>
  <c r="AN43" i="3"/>
  <c r="X43" i="3"/>
  <c r="AQ15" i="3"/>
  <c r="AQ19" i="3"/>
  <c r="AJ43" i="3"/>
  <c r="AD43" i="3"/>
  <c r="AH43" i="3"/>
  <c r="AQ31" i="3"/>
  <c r="AL43" i="3"/>
  <c r="AA43" i="3"/>
  <c r="AQ36" i="3"/>
  <c r="AQ20" i="3"/>
  <c r="AO43" i="3"/>
  <c r="Y43" i="3"/>
  <c r="AP43" i="3"/>
  <c r="AE43" i="3"/>
  <c r="AF43" i="3"/>
  <c r="AQ28" i="3"/>
  <c r="AG43" i="3"/>
  <c r="Z43" i="3"/>
  <c r="AQ35" i="3"/>
  <c r="AQ41" i="3"/>
  <c r="AQ24" i="3"/>
  <c r="AK43" i="3"/>
  <c r="AQ27" i="3"/>
  <c r="AB43" i="3"/>
  <c r="AI43" i="3"/>
  <c r="AQ32" i="3"/>
  <c r="AQ16" i="3"/>
  <c r="AC43" i="3"/>
  <c r="AM43" i="3"/>
  <c r="AH36" i="2"/>
  <c r="AH43" i="2" s="1"/>
  <c r="AO36" i="2"/>
  <c r="AO43" i="2" s="1"/>
  <c r="AN36" i="2"/>
  <c r="AN43" i="2" s="1"/>
  <c r="X36" i="2"/>
  <c r="AK36" i="2"/>
  <c r="AK43" i="2" s="1"/>
  <c r="AI36" i="2"/>
  <c r="AI43" i="2" s="1"/>
  <c r="AD36" i="2"/>
  <c r="AD43" i="2" s="1"/>
  <c r="AM36" i="2"/>
  <c r="AM43" i="2" s="1"/>
  <c r="AQ34" i="2"/>
  <c r="AQ33" i="2"/>
  <c r="AQ32" i="2"/>
  <c r="AQ31" i="2"/>
  <c r="AQ27" i="2"/>
  <c r="AQ20" i="2"/>
  <c r="AQ19" i="2"/>
  <c r="AQ17" i="2"/>
  <c r="AQ16" i="2"/>
  <c r="AQ30" i="2"/>
  <c r="AG43" i="2"/>
  <c r="AB43" i="2"/>
  <c r="AP43" i="2"/>
  <c r="AQ28" i="2"/>
  <c r="AC43" i="2"/>
  <c r="AJ43" i="2"/>
  <c r="AQ41" i="2"/>
  <c r="AQ39" i="2"/>
  <c r="AQ24" i="2"/>
  <c r="AQ23" i="2"/>
  <c r="AF43" i="2"/>
  <c r="AQ35" i="2"/>
  <c r="AQ26" i="2"/>
  <c r="AE43" i="2"/>
  <c r="AQ42" i="2"/>
  <c r="AQ25" i="2"/>
  <c r="AQ18" i="2"/>
  <c r="Z43" i="2"/>
  <c r="AQ29" i="2"/>
  <c r="AQ22" i="2"/>
  <c r="AQ37" i="2"/>
  <c r="AQ21" i="2"/>
  <c r="AL43" i="2"/>
  <c r="AQ15" i="2"/>
  <c r="AA43" i="2"/>
  <c r="Y43" i="2"/>
  <c r="V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W42" i="1"/>
  <c r="W41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AD27" i="1" l="1"/>
  <c r="AL27" i="1"/>
  <c r="AE27" i="1"/>
  <c r="AM27" i="1"/>
  <c r="X27" i="1"/>
  <c r="AF27" i="1"/>
  <c r="AN27" i="1"/>
  <c r="Y27" i="1"/>
  <c r="AG27" i="1"/>
  <c r="AO27" i="1"/>
  <c r="AK27" i="1"/>
  <c r="AP27" i="1"/>
  <c r="Z27" i="1"/>
  <c r="AA27" i="1"/>
  <c r="AB27" i="1"/>
  <c r="AC27" i="1"/>
  <c r="AI27" i="1"/>
  <c r="AH27" i="1"/>
  <c r="AJ27" i="1"/>
  <c r="Z36" i="1"/>
  <c r="AH36" i="1"/>
  <c r="AP36" i="1"/>
  <c r="AA36" i="1"/>
  <c r="AB36" i="1"/>
  <c r="AJ36" i="1"/>
  <c r="AC36" i="1"/>
  <c r="AK36" i="1"/>
  <c r="AD36" i="1"/>
  <c r="AL36" i="1"/>
  <c r="X36" i="1"/>
  <c r="AF36" i="1"/>
  <c r="AN36" i="1"/>
  <c r="AE36" i="1"/>
  <c r="AG36" i="1"/>
  <c r="AI36" i="1"/>
  <c r="AM36" i="1"/>
  <c r="Y36" i="1"/>
  <c r="AO36" i="1"/>
  <c r="AQ43" i="4"/>
  <c r="X21" i="1"/>
  <c r="AF21" i="1"/>
  <c r="AN21" i="1"/>
  <c r="Y21" i="1"/>
  <c r="AG21" i="1"/>
  <c r="AO21" i="1"/>
  <c r="Z21" i="1"/>
  <c r="AH21" i="1"/>
  <c r="AP21" i="1"/>
  <c r="AA21" i="1"/>
  <c r="AI21" i="1"/>
  <c r="AM21" i="1"/>
  <c r="AB21" i="1"/>
  <c r="AC21" i="1"/>
  <c r="AD21" i="1"/>
  <c r="AE21" i="1"/>
  <c r="AK21" i="1"/>
  <c r="AL21" i="1"/>
  <c r="AJ21" i="1"/>
  <c r="AE29" i="1"/>
  <c r="AM29" i="1"/>
  <c r="X29" i="1"/>
  <c r="AN29" i="1"/>
  <c r="AF29" i="1"/>
  <c r="Y29" i="1"/>
  <c r="AG29" i="1"/>
  <c r="AO29" i="1"/>
  <c r="Z29" i="1"/>
  <c r="AH29" i="1"/>
  <c r="AP29" i="1"/>
  <c r="AA29" i="1"/>
  <c r="AI29" i="1"/>
  <c r="AC29" i="1"/>
  <c r="AK29" i="1"/>
  <c r="AB29" i="1"/>
  <c r="AJ29" i="1"/>
  <c r="AL29" i="1"/>
  <c r="AD29" i="1"/>
  <c r="AE37" i="1"/>
  <c r="AM37" i="1"/>
  <c r="Y37" i="1"/>
  <c r="AG37" i="1"/>
  <c r="AO37" i="1"/>
  <c r="Z37" i="1"/>
  <c r="AH37" i="1"/>
  <c r="AP37" i="1"/>
  <c r="AA37" i="1"/>
  <c r="AI37" i="1"/>
  <c r="AC37" i="1"/>
  <c r="AK37" i="1"/>
  <c r="AB37" i="1"/>
  <c r="AF37" i="1"/>
  <c r="AL37" i="1"/>
  <c r="AN37" i="1"/>
  <c r="AD37" i="1"/>
  <c r="AJ37" i="1"/>
  <c r="X37" i="1"/>
  <c r="AC22" i="1"/>
  <c r="AK22" i="1"/>
  <c r="AD22" i="1"/>
  <c r="AL22" i="1"/>
  <c r="AE22" i="1"/>
  <c r="AM22" i="1"/>
  <c r="X22" i="1"/>
  <c r="AF22" i="1"/>
  <c r="AN22" i="1"/>
  <c r="AJ22" i="1"/>
  <c r="AO22" i="1"/>
  <c r="Y22" i="1"/>
  <c r="Z22" i="1"/>
  <c r="AP22" i="1"/>
  <c r="AA22" i="1"/>
  <c r="AB22" i="1"/>
  <c r="AH22" i="1"/>
  <c r="AG22" i="1"/>
  <c r="AI22" i="1"/>
  <c r="AB30" i="1"/>
  <c r="AJ30" i="1"/>
  <c r="AC30" i="1"/>
  <c r="AK30" i="1"/>
  <c r="AD30" i="1"/>
  <c r="AL30" i="1"/>
  <c r="AE30" i="1"/>
  <c r="AM30" i="1"/>
  <c r="X30" i="1"/>
  <c r="AF30" i="1"/>
  <c r="AN30" i="1"/>
  <c r="Z30" i="1"/>
  <c r="AH30" i="1"/>
  <c r="AP30" i="1"/>
  <c r="AO30" i="1"/>
  <c r="Y30" i="1"/>
  <c r="AA30" i="1"/>
  <c r="AG30" i="1"/>
  <c r="AI30" i="1"/>
  <c r="AB38" i="1"/>
  <c r="AJ38" i="1"/>
  <c r="AD38" i="1"/>
  <c r="AL38" i="1"/>
  <c r="AE38" i="1"/>
  <c r="AM38" i="1"/>
  <c r="X38" i="1"/>
  <c r="AF38" i="1"/>
  <c r="AN38" i="1"/>
  <c r="Z38" i="1"/>
  <c r="AH38" i="1"/>
  <c r="AP38" i="1"/>
  <c r="AI38" i="1"/>
  <c r="AK38" i="1"/>
  <c r="AO38" i="1"/>
  <c r="AG38" i="1"/>
  <c r="Y38" i="1"/>
  <c r="AA38" i="1"/>
  <c r="AC38" i="1"/>
  <c r="AC35" i="1"/>
  <c r="AK35" i="1"/>
  <c r="AD35" i="1"/>
  <c r="AL35" i="1"/>
  <c r="AE35" i="1"/>
  <c r="AM35" i="1"/>
  <c r="X35" i="1"/>
  <c r="AF35" i="1"/>
  <c r="AN35" i="1"/>
  <c r="Y35" i="1"/>
  <c r="AG35" i="1"/>
  <c r="AO35" i="1"/>
  <c r="AA35" i="1"/>
  <c r="AI35" i="1"/>
  <c r="Z35" i="1"/>
  <c r="AB35" i="1"/>
  <c r="AH35" i="1"/>
  <c r="AJ35" i="1"/>
  <c r="AP35" i="1"/>
  <c r="AA28" i="1"/>
  <c r="AB28" i="1"/>
  <c r="AC28" i="1"/>
  <c r="AD28" i="1"/>
  <c r="AH28" i="1"/>
  <c r="AP28" i="1"/>
  <c r="AI28" i="1"/>
  <c r="X28" i="1"/>
  <c r="AJ28" i="1"/>
  <c r="Y28" i="1"/>
  <c r="AK28" i="1"/>
  <c r="Z28" i="1"/>
  <c r="AL28" i="1"/>
  <c r="AF28" i="1"/>
  <c r="AN28" i="1"/>
  <c r="AG28" i="1"/>
  <c r="AE28" i="1"/>
  <c r="AM28" i="1"/>
  <c r="AO28" i="1"/>
  <c r="AD15" i="1"/>
  <c r="AL15" i="1"/>
  <c r="AF15" i="1"/>
  <c r="AN15" i="1"/>
  <c r="AG15" i="1"/>
  <c r="AO15" i="1"/>
  <c r="AP15" i="1"/>
  <c r="Z15" i="1"/>
  <c r="AH15" i="1"/>
  <c r="AB15" i="1"/>
  <c r="AJ15" i="1"/>
  <c r="AC15" i="1"/>
  <c r="AI15" i="1"/>
  <c r="AK15" i="1"/>
  <c r="X15" i="1"/>
  <c r="AE15" i="1"/>
  <c r="AM15" i="1"/>
  <c r="AA15" i="1"/>
  <c r="Y31" i="1"/>
  <c r="AG31" i="1"/>
  <c r="AO31" i="1"/>
  <c r="Z31" i="1"/>
  <c r="AH31" i="1"/>
  <c r="AP31" i="1"/>
  <c r="AA31" i="1"/>
  <c r="AI31" i="1"/>
  <c r="AB31" i="1"/>
  <c r="AJ31" i="1"/>
  <c r="AC31" i="1"/>
  <c r="AK31" i="1"/>
  <c r="AE31" i="1"/>
  <c r="AM31" i="1"/>
  <c r="AD31" i="1"/>
  <c r="AN31" i="1"/>
  <c r="X31" i="1"/>
  <c r="AF31" i="1"/>
  <c r="AL31" i="1"/>
  <c r="Y39" i="1"/>
  <c r="AG39" i="1"/>
  <c r="AO39" i="1"/>
  <c r="AA39" i="1"/>
  <c r="AI39" i="1"/>
  <c r="AB39" i="1"/>
  <c r="AJ39" i="1"/>
  <c r="AC39" i="1"/>
  <c r="AK39" i="1"/>
  <c r="AE39" i="1"/>
  <c r="AM39" i="1"/>
  <c r="AF39" i="1"/>
  <c r="AL39" i="1"/>
  <c r="AP39" i="1"/>
  <c r="AH39" i="1"/>
  <c r="AN39" i="1"/>
  <c r="X39" i="1"/>
  <c r="AQ39" i="1" s="1"/>
  <c r="Z39" i="1"/>
  <c r="AD39" i="1"/>
  <c r="AE16" i="1"/>
  <c r="AM16" i="1"/>
  <c r="X16" i="1"/>
  <c r="AF16" i="1"/>
  <c r="AN16" i="1"/>
  <c r="Y16" i="1"/>
  <c r="AG16" i="1"/>
  <c r="AO16" i="1"/>
  <c r="Z16" i="1"/>
  <c r="AH16" i="1"/>
  <c r="AP16" i="1"/>
  <c r="AL16" i="1"/>
  <c r="AA16" i="1"/>
  <c r="AB16" i="1"/>
  <c r="AC16" i="1"/>
  <c r="AD16" i="1"/>
  <c r="AJ16" i="1"/>
  <c r="AI16" i="1"/>
  <c r="AK16" i="1"/>
  <c r="AE24" i="1"/>
  <c r="AM24" i="1"/>
  <c r="X24" i="1"/>
  <c r="AQ24" i="1" s="1"/>
  <c r="AF24" i="1"/>
  <c r="AN24" i="1"/>
  <c r="Y24" i="1"/>
  <c r="AG24" i="1"/>
  <c r="AO24" i="1"/>
  <c r="Z24" i="1"/>
  <c r="AH24" i="1"/>
  <c r="AP24" i="1"/>
  <c r="AD24" i="1"/>
  <c r="AI24" i="1"/>
  <c r="AJ24" i="1"/>
  <c r="AK24" i="1"/>
  <c r="AL24" i="1"/>
  <c r="AB24" i="1"/>
  <c r="AA24" i="1"/>
  <c r="AC24" i="1"/>
  <c r="AD32" i="1"/>
  <c r="AL32" i="1"/>
  <c r="AE32" i="1"/>
  <c r="AM32" i="1"/>
  <c r="X32" i="1"/>
  <c r="AF32" i="1"/>
  <c r="AN32" i="1"/>
  <c r="Y32" i="1"/>
  <c r="AG32" i="1"/>
  <c r="AO32" i="1"/>
  <c r="Z32" i="1"/>
  <c r="AH32" i="1"/>
  <c r="AP32" i="1"/>
  <c r="AB32" i="1"/>
  <c r="AJ32" i="1"/>
  <c r="AI32" i="1"/>
  <c r="AA32" i="1"/>
  <c r="AC32" i="1"/>
  <c r="AK32" i="1"/>
  <c r="AB17" i="1"/>
  <c r="AJ17" i="1"/>
  <c r="AC17" i="1"/>
  <c r="AK17" i="1"/>
  <c r="AD17" i="1"/>
  <c r="AL17" i="1"/>
  <c r="AE17" i="1"/>
  <c r="AM17" i="1"/>
  <c r="AI17" i="1"/>
  <c r="X17" i="1"/>
  <c r="AN17" i="1"/>
  <c r="Y17" i="1"/>
  <c r="AO17" i="1"/>
  <c r="Z17" i="1"/>
  <c r="AP17" i="1"/>
  <c r="AA17" i="1"/>
  <c r="AG17" i="1"/>
  <c r="AF17" i="1"/>
  <c r="AH17" i="1"/>
  <c r="AB25" i="1"/>
  <c r="AJ25" i="1"/>
  <c r="AC25" i="1"/>
  <c r="AK25" i="1"/>
  <c r="AD25" i="1"/>
  <c r="AL25" i="1"/>
  <c r="AE25" i="1"/>
  <c r="AM25" i="1"/>
  <c r="AA25" i="1"/>
  <c r="AF25" i="1"/>
  <c r="AG25" i="1"/>
  <c r="AH25" i="1"/>
  <c r="AI25" i="1"/>
  <c r="Y25" i="1"/>
  <c r="AO25" i="1"/>
  <c r="X25" i="1"/>
  <c r="Z25" i="1"/>
  <c r="AN25" i="1"/>
  <c r="AP25" i="1"/>
  <c r="AA33" i="1"/>
  <c r="AI33" i="1"/>
  <c r="AB33" i="1"/>
  <c r="AJ33" i="1"/>
  <c r="AC33" i="1"/>
  <c r="AK33" i="1"/>
  <c r="AD33" i="1"/>
  <c r="AL33" i="1"/>
  <c r="AE33" i="1"/>
  <c r="AM33" i="1"/>
  <c r="Y33" i="1"/>
  <c r="AG33" i="1"/>
  <c r="AO33" i="1"/>
  <c r="X33" i="1"/>
  <c r="Z33" i="1"/>
  <c r="AF33" i="1"/>
  <c r="AH33" i="1"/>
  <c r="AN33" i="1"/>
  <c r="AP33" i="1"/>
  <c r="X42" i="1"/>
  <c r="AF42" i="1"/>
  <c r="AN42" i="1"/>
  <c r="Z42" i="1"/>
  <c r="AH42" i="1"/>
  <c r="AP42" i="1"/>
  <c r="AA42" i="1"/>
  <c r="AI42" i="1"/>
  <c r="AB42" i="1"/>
  <c r="AJ42" i="1"/>
  <c r="AD42" i="1"/>
  <c r="AL42" i="1"/>
  <c r="AE42" i="1"/>
  <c r="AK42" i="1"/>
  <c r="AG42" i="1"/>
  <c r="AM42" i="1"/>
  <c r="AC42" i="1"/>
  <c r="AO42" i="1"/>
  <c r="Y42" i="1"/>
  <c r="AD19" i="1"/>
  <c r="AL19" i="1"/>
  <c r="AE19" i="1"/>
  <c r="AM19" i="1"/>
  <c r="X19" i="1"/>
  <c r="AF19" i="1"/>
  <c r="AN19" i="1"/>
  <c r="Y19" i="1"/>
  <c r="AG19" i="1"/>
  <c r="AO19" i="1"/>
  <c r="AC19" i="1"/>
  <c r="AH19" i="1"/>
  <c r="AI19" i="1"/>
  <c r="AJ19" i="1"/>
  <c r="AK19" i="1"/>
  <c r="AA19" i="1"/>
  <c r="AP19" i="1"/>
  <c r="Z19" i="1"/>
  <c r="AB19" i="1"/>
  <c r="AA20" i="1"/>
  <c r="AI20" i="1"/>
  <c r="AB20" i="1"/>
  <c r="AJ20" i="1"/>
  <c r="AC20" i="1"/>
  <c r="AK20" i="1"/>
  <c r="AD20" i="1"/>
  <c r="AL20" i="1"/>
  <c r="Z20" i="1"/>
  <c r="AP20" i="1"/>
  <c r="AE20" i="1"/>
  <c r="AF20" i="1"/>
  <c r="AG20" i="1"/>
  <c r="AH20" i="1"/>
  <c r="X20" i="1"/>
  <c r="AN20" i="1"/>
  <c r="AM20" i="1"/>
  <c r="Y20" i="1"/>
  <c r="AO20" i="1"/>
  <c r="Z23" i="1"/>
  <c r="AH23" i="1"/>
  <c r="AP23" i="1"/>
  <c r="AA23" i="1"/>
  <c r="AI23" i="1"/>
  <c r="AB23" i="1"/>
  <c r="AJ23" i="1"/>
  <c r="AC23" i="1"/>
  <c r="AK23" i="1"/>
  <c r="AG23" i="1"/>
  <c r="AL23" i="1"/>
  <c r="AM23" i="1"/>
  <c r="X23" i="1"/>
  <c r="AN23" i="1"/>
  <c r="Y23" i="1"/>
  <c r="AO23" i="1"/>
  <c r="AE23" i="1"/>
  <c r="AD23" i="1"/>
  <c r="AF23" i="1"/>
  <c r="AA41" i="1"/>
  <c r="AI41" i="1"/>
  <c r="AC41" i="1"/>
  <c r="AK41" i="1"/>
  <c r="AD41" i="1"/>
  <c r="AL41" i="1"/>
  <c r="AE41" i="1"/>
  <c r="AM41" i="1"/>
  <c r="Y41" i="1"/>
  <c r="AG41" i="1"/>
  <c r="AO41" i="1"/>
  <c r="AB41" i="1"/>
  <c r="AF41" i="1"/>
  <c r="AJ41" i="1"/>
  <c r="Z41" i="1"/>
  <c r="AH41" i="1"/>
  <c r="AN41" i="1"/>
  <c r="AP41" i="1"/>
  <c r="X41" i="1"/>
  <c r="Y18" i="1"/>
  <c r="AG18" i="1"/>
  <c r="AO18" i="1"/>
  <c r="Z18" i="1"/>
  <c r="AH18" i="1"/>
  <c r="AP18" i="1"/>
  <c r="AA18" i="1"/>
  <c r="AI18" i="1"/>
  <c r="AB18" i="1"/>
  <c r="AJ18" i="1"/>
  <c r="AF18" i="1"/>
  <c r="AK18" i="1"/>
  <c r="AL18" i="1"/>
  <c r="AM18" i="1"/>
  <c r="X18" i="1"/>
  <c r="AQ18" i="1" s="1"/>
  <c r="AN18" i="1"/>
  <c r="AD18" i="1"/>
  <c r="AC18" i="1"/>
  <c r="AE18" i="1"/>
  <c r="Y26" i="1"/>
  <c r="AG26" i="1"/>
  <c r="AO26" i="1"/>
  <c r="Z26" i="1"/>
  <c r="AH26" i="1"/>
  <c r="AP26" i="1"/>
  <c r="AA26" i="1"/>
  <c r="AI26" i="1"/>
  <c r="AB26" i="1"/>
  <c r="AJ26" i="1"/>
  <c r="X26" i="1"/>
  <c r="AN26" i="1"/>
  <c r="AC26" i="1"/>
  <c r="AD26" i="1"/>
  <c r="AE26" i="1"/>
  <c r="AF26" i="1"/>
  <c r="AL26" i="1"/>
  <c r="AK26" i="1"/>
  <c r="AM26" i="1"/>
  <c r="X34" i="1"/>
  <c r="AF34" i="1"/>
  <c r="AN34" i="1"/>
  <c r="Y34" i="1"/>
  <c r="AG34" i="1"/>
  <c r="AO34" i="1"/>
  <c r="Z34" i="1"/>
  <c r="AH34" i="1"/>
  <c r="AP34" i="1"/>
  <c r="AA34" i="1"/>
  <c r="AI34" i="1"/>
  <c r="AB34" i="1"/>
  <c r="AJ34" i="1"/>
  <c r="AD34" i="1"/>
  <c r="AL34" i="1"/>
  <c r="AC34" i="1"/>
  <c r="AK34" i="1"/>
  <c r="AE34" i="1"/>
  <c r="AM34" i="1"/>
  <c r="AQ43" i="3"/>
  <c r="AQ36" i="2"/>
  <c r="X43" i="2"/>
  <c r="AQ43" i="2" s="1"/>
  <c r="AQ34" i="1" l="1"/>
  <c r="AE43" i="1"/>
  <c r="AD43" i="1"/>
  <c r="AQ37" i="1"/>
  <c r="AQ21" i="1"/>
  <c r="AQ23" i="1"/>
  <c r="Z43" i="1"/>
  <c r="AQ35" i="1"/>
  <c r="AQ26" i="1"/>
  <c r="AQ20" i="1"/>
  <c r="AQ32" i="1"/>
  <c r="X43" i="1"/>
  <c r="AQ15" i="1"/>
  <c r="AP43" i="1"/>
  <c r="AQ22" i="1"/>
  <c r="AL43" i="1"/>
  <c r="AQ33" i="1"/>
  <c r="AQ16" i="1"/>
  <c r="AI43" i="1"/>
  <c r="AG43" i="1"/>
  <c r="AQ38" i="1"/>
  <c r="AQ29" i="1"/>
  <c r="AQ27" i="1"/>
  <c r="AO43" i="1"/>
  <c r="AQ25" i="1"/>
  <c r="AC43" i="1"/>
  <c r="Y43" i="1"/>
  <c r="AQ28" i="1"/>
  <c r="AQ30" i="1"/>
  <c r="AK43" i="1"/>
  <c r="AQ36" i="1"/>
  <c r="AQ42" i="1"/>
  <c r="AF43" i="1"/>
  <c r="AQ17" i="1"/>
  <c r="AQ31" i="1"/>
  <c r="AJ43" i="1"/>
  <c r="AN43" i="1"/>
  <c r="AQ19" i="1"/>
  <c r="AA43" i="1"/>
  <c r="AB43" i="1"/>
  <c r="AQ41" i="1"/>
  <c r="AM43" i="1"/>
  <c r="AH43" i="1"/>
  <c r="AQ43" i="1" l="1"/>
</calcChain>
</file>

<file path=xl/sharedStrings.xml><?xml version="1.0" encoding="utf-8"?>
<sst xmlns="http://schemas.openxmlformats.org/spreadsheetml/2006/main" count="313" uniqueCount="44">
  <si>
    <t>MAY 2014</t>
  </si>
  <si>
    <t>cm / Age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</si>
  <si>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</si>
  <si>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</si>
  <si>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</si>
  <si>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</si>
  <si>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</si>
  <si>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</si>
  <si>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</si>
  <si>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</si>
  <si>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</si>
  <si>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</si>
  <si>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</si>
  <si>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</si>
  <si>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</si>
  <si>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</si>
  <si>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</si>
  <si>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</si>
  <si>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</si>
  <si>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</si>
  <si>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</si>
  <si>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total</t>
  </si>
  <si>
    <t>som</t>
  </si>
  <si>
    <t>JUNE 2014</t>
  </si>
  <si>
    <t>JULY 2014</t>
  </si>
  <si>
    <t>August 2014</t>
  </si>
  <si>
    <t>totaal</t>
  </si>
  <si>
    <t>age</t>
  </si>
  <si>
    <t>jun</t>
  </si>
  <si>
    <t>jul</t>
  </si>
  <si>
    <t>mei</t>
  </si>
  <si>
    <t>aug</t>
  </si>
  <si>
    <t>sep</t>
  </si>
  <si>
    <t>okt</t>
  </si>
  <si>
    <t>may</t>
  </si>
  <si>
    <t>june</t>
  </si>
  <si>
    <t>july</t>
  </si>
  <si>
    <t>august</t>
  </si>
  <si>
    <t>september</t>
  </si>
  <si>
    <t>october</t>
  </si>
  <si>
    <t>sum</t>
  </si>
  <si>
    <t>length</t>
  </si>
  <si>
    <t>ALL MONTHS</t>
  </si>
  <si>
    <t>12+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</si>
</sst>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1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2" borderId="8" xfId="0" applyFill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0" fillId="2" borderId="0" xfId="0" applyFill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3" xfId="0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6" xfId="0" applyFill="1" applyBorder="1"/>
    <xf numFmtId="0" fontId="0" fillId="2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1" xfId="0" applyFill="1" applyBorder="1"/>
    <xf numFmtId="0" fontId="0" fillId="0" borderId="10" xfId="0" applyFill="1" applyBorder="1"/>
    <xf numFmtId="0" fontId="0" fillId="0" borderId="12" xfId="0" applyFill="1" applyBorder="1"/>
    <xf numFmtId="49" fontId="3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2204855643044663"/>
          <c:y val="0.21296296296296308"/>
        </c:manualLayout>
      </c:layout>
      <c:overlay val="0"/>
      <c:txPr>
        <a:bodyPr/>
        <a:lstStyle/>
        <a:p>
          <a:pPr>
            <a:defRPr sz="1400"/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alles!$C$1</c:f>
              <c:strCache>
                <c:ptCount val="1"/>
                <c:pt idx="0">
                  <c:v>mei</c:v>
                </c:pt>
              </c:strCache>
            </c:strRef>
          </c:tx>
          <c:invertIfNegative val="0"/>
          <c:cat>
            <c:numRef>
              <c:f>alles!$B$2:$B$17</c:f>
              <c:numCache>
                <c:formatCode>General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</c:numCache>
            </c:numRef>
          </c:cat>
          <c:val>
            <c:numRef>
              <c:f>alles!$C$2:$C$17</c:f>
              <c:numCache>
                <c:formatCode>General</c:formatCode>
                <c:ptCount val="16"/>
                <c:pt idx="0">
                  <c:v>0</c:v>
                </c:pt>
                <c:pt idx="1">
                  <c:v>28.370353008014945</c:v>
                </c:pt>
                <c:pt idx="2">
                  <c:v>181.78342524595135</c:v>
                </c:pt>
                <c:pt idx="3">
                  <c:v>784.6473902650373</c:v>
                </c:pt>
                <c:pt idx="4">
                  <c:v>1251.7036599974299</c:v>
                </c:pt>
                <c:pt idx="5">
                  <c:v>914.38494498047135</c:v>
                </c:pt>
                <c:pt idx="6">
                  <c:v>408.70918637530644</c:v>
                </c:pt>
                <c:pt idx="7">
                  <c:v>254.16656371792482</c:v>
                </c:pt>
                <c:pt idx="8">
                  <c:v>106.37951863756975</c:v>
                </c:pt>
                <c:pt idx="9">
                  <c:v>75.201726917857599</c:v>
                </c:pt>
                <c:pt idx="10">
                  <c:v>67.005482673289606</c:v>
                </c:pt>
                <c:pt idx="11">
                  <c:v>53.166512483389042</c:v>
                </c:pt>
                <c:pt idx="12">
                  <c:v>19.675663190268928</c:v>
                </c:pt>
                <c:pt idx="13">
                  <c:v>25.233064897002542</c:v>
                </c:pt>
                <c:pt idx="14">
                  <c:v>20.901561080001848</c:v>
                </c:pt>
                <c:pt idx="15">
                  <c:v>9.9759531733455749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7-48EE-B4B7-3C8A66FE2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559360"/>
        <c:axId val="172585728"/>
      </c:barChart>
      <c:catAx>
        <c:axId val="17255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585728"/>
        <c:crosses val="autoZero"/>
        <c:auto val="1"/>
        <c:lblAlgn val="ctr"/>
        <c:lblOffset val="100"/>
        <c:noMultiLvlLbl val="0"/>
      </c:catAx>
      <c:valAx>
        <c:axId val="1725857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900" b="0"/>
                </a:pPr>
                <a:r>
                  <a:rPr lang="en-US" sz="900" b="0"/>
                  <a:t>x 1000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2559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2204855643044685"/>
          <c:y val="0.21296296296296319"/>
        </c:manualLayout>
      </c:layout>
      <c:overlay val="0"/>
      <c:txPr>
        <a:bodyPr/>
        <a:lstStyle/>
        <a:p>
          <a:pPr>
            <a:defRPr sz="1400"/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alles!$D$1</c:f>
              <c:strCache>
                <c:ptCount val="1"/>
                <c:pt idx="0">
                  <c:v>jun</c:v>
                </c:pt>
              </c:strCache>
            </c:strRef>
          </c:tx>
          <c:invertIfNegative val="0"/>
          <c:cat>
            <c:numRef>
              <c:f>alles!$B$2:$B$17</c:f>
              <c:numCache>
                <c:formatCode>General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</c:numCache>
            </c:numRef>
          </c:cat>
          <c:val>
            <c:numRef>
              <c:f>alles!$D$2:$D$17</c:f>
              <c:numCache>
                <c:formatCode>General</c:formatCode>
                <c:ptCount val="16"/>
                <c:pt idx="0">
                  <c:v>0</c:v>
                </c:pt>
                <c:pt idx="1">
                  <c:v>71.357056073409538</c:v>
                </c:pt>
                <c:pt idx="2">
                  <c:v>239.21302553342821</c:v>
                </c:pt>
                <c:pt idx="3">
                  <c:v>1743.5098511764345</c:v>
                </c:pt>
                <c:pt idx="4">
                  <c:v>2746.5249415949929</c:v>
                </c:pt>
                <c:pt idx="5">
                  <c:v>2850.9544904732743</c:v>
                </c:pt>
                <c:pt idx="6">
                  <c:v>1191.049157797509</c:v>
                </c:pt>
                <c:pt idx="7">
                  <c:v>537.79698158332201</c:v>
                </c:pt>
                <c:pt idx="8">
                  <c:v>339.18409769344424</c:v>
                </c:pt>
                <c:pt idx="9">
                  <c:v>172.69193936045681</c:v>
                </c:pt>
                <c:pt idx="10">
                  <c:v>155.72778453526684</c:v>
                </c:pt>
                <c:pt idx="11">
                  <c:v>80.908348981046885</c:v>
                </c:pt>
                <c:pt idx="12">
                  <c:v>19.819344536534604</c:v>
                </c:pt>
                <c:pt idx="13">
                  <c:v>59.144719415369686</c:v>
                </c:pt>
                <c:pt idx="14">
                  <c:v>63.166969874277626</c:v>
                </c:pt>
                <c:pt idx="15">
                  <c:v>32.509987542097221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E-4368-AAEB-47DF0046F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609920"/>
        <c:axId val="172611456"/>
      </c:barChart>
      <c:catAx>
        <c:axId val="17260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611456"/>
        <c:crosses val="autoZero"/>
        <c:auto val="1"/>
        <c:lblAlgn val="ctr"/>
        <c:lblOffset val="100"/>
        <c:noMultiLvlLbl val="0"/>
      </c:catAx>
      <c:valAx>
        <c:axId val="17261145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900" b="0"/>
                </a:pPr>
                <a:r>
                  <a:rPr lang="en-US" sz="900" b="0"/>
                  <a:t>x 1000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2609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2204855643044719"/>
          <c:y val="0.21296296296296327"/>
        </c:manualLayout>
      </c:layout>
      <c:overlay val="0"/>
      <c:txPr>
        <a:bodyPr/>
        <a:lstStyle/>
        <a:p>
          <a:pPr>
            <a:defRPr sz="1400"/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alles!$E$1</c:f>
              <c:strCache>
                <c:ptCount val="1"/>
                <c:pt idx="0">
                  <c:v>jul</c:v>
                </c:pt>
              </c:strCache>
            </c:strRef>
          </c:tx>
          <c:invertIfNegative val="0"/>
          <c:cat>
            <c:numRef>
              <c:f>alles!$B$2:$B$17</c:f>
              <c:numCache>
                <c:formatCode>General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</c:numCache>
            </c:numRef>
          </c:cat>
          <c:val>
            <c:numRef>
              <c:f>alles!$E$2:$E$17</c:f>
              <c:numCache>
                <c:formatCode>General</c:formatCode>
                <c:ptCount val="16"/>
                <c:pt idx="0">
                  <c:v>0</c:v>
                </c:pt>
                <c:pt idx="1">
                  <c:v>30.407131351221523</c:v>
                </c:pt>
                <c:pt idx="2">
                  <c:v>139.59462334294736</c:v>
                </c:pt>
                <c:pt idx="3">
                  <c:v>1342.9760729517429</c:v>
                </c:pt>
                <c:pt idx="4">
                  <c:v>2200.6957489583911</c:v>
                </c:pt>
                <c:pt idx="5">
                  <c:v>1500.5674879281826</c:v>
                </c:pt>
                <c:pt idx="6">
                  <c:v>670.55524805060077</c:v>
                </c:pt>
                <c:pt idx="7">
                  <c:v>263.36936060867902</c:v>
                </c:pt>
                <c:pt idx="8">
                  <c:v>77.1307638010679</c:v>
                </c:pt>
                <c:pt idx="9">
                  <c:v>85.85127269074718</c:v>
                </c:pt>
                <c:pt idx="10">
                  <c:v>29.201705284572924</c:v>
                </c:pt>
                <c:pt idx="11">
                  <c:v>9.7794578344003575</c:v>
                </c:pt>
                <c:pt idx="12">
                  <c:v>3.5785805027531876</c:v>
                </c:pt>
                <c:pt idx="13">
                  <c:v>12.31523751048363</c:v>
                </c:pt>
                <c:pt idx="14">
                  <c:v>3.7119665835660589</c:v>
                </c:pt>
                <c:pt idx="15">
                  <c:v>7.992136865712931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E-4990-B251-9747A99BA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417984"/>
        <c:axId val="173419520"/>
      </c:barChart>
      <c:catAx>
        <c:axId val="17341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419520"/>
        <c:crosses val="autoZero"/>
        <c:auto val="1"/>
        <c:lblAlgn val="ctr"/>
        <c:lblOffset val="100"/>
        <c:noMultiLvlLbl val="0"/>
      </c:catAx>
      <c:valAx>
        <c:axId val="1734195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900" b="0"/>
                </a:pPr>
                <a:r>
                  <a:rPr lang="en-US" sz="900" b="0"/>
                  <a:t>x 1000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417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2204855643044763"/>
          <c:y val="0.21296296296296338"/>
        </c:manualLayout>
      </c:layout>
      <c:overlay val="0"/>
      <c:txPr>
        <a:bodyPr/>
        <a:lstStyle/>
        <a:p>
          <a:pPr>
            <a:defRPr sz="1400"/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alles!$F$1</c:f>
              <c:strCache>
                <c:ptCount val="1"/>
                <c:pt idx="0">
                  <c:v>aug</c:v>
                </c:pt>
              </c:strCache>
            </c:strRef>
          </c:tx>
          <c:invertIfNegative val="0"/>
          <c:cat>
            <c:numRef>
              <c:f>alles!$B$2:$B$17</c:f>
              <c:numCache>
                <c:formatCode>General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</c:numCache>
            </c:numRef>
          </c:cat>
          <c:val>
            <c:numRef>
              <c:f>alles!$F$2:$F$17</c:f>
              <c:numCache>
                <c:formatCode>General</c:formatCode>
                <c:ptCount val="16"/>
                <c:pt idx="0">
                  <c:v>296.26693285482753</c:v>
                </c:pt>
                <c:pt idx="1">
                  <c:v>9855.8899262801642</c:v>
                </c:pt>
                <c:pt idx="2">
                  <c:v>7309.6674307014009</c:v>
                </c:pt>
                <c:pt idx="3">
                  <c:v>2501.6453563191194</c:v>
                </c:pt>
                <c:pt idx="4">
                  <c:v>959.97755991216093</c:v>
                </c:pt>
                <c:pt idx="5">
                  <c:v>615.14131909035075</c:v>
                </c:pt>
                <c:pt idx="6">
                  <c:v>70.495651315505143</c:v>
                </c:pt>
                <c:pt idx="7">
                  <c:v>14.949291381685576</c:v>
                </c:pt>
                <c:pt idx="8">
                  <c:v>1.4594219340896812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7-4BB7-83FC-B383E5BC0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435520"/>
        <c:axId val="173441408"/>
      </c:barChart>
      <c:catAx>
        <c:axId val="173435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441408"/>
        <c:crosses val="autoZero"/>
        <c:auto val="1"/>
        <c:lblAlgn val="ctr"/>
        <c:lblOffset val="100"/>
        <c:noMultiLvlLbl val="0"/>
      </c:catAx>
      <c:valAx>
        <c:axId val="17344140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900" b="0"/>
                </a:pPr>
                <a:r>
                  <a:rPr lang="en-US" sz="900" b="0"/>
                  <a:t>x 1000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435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2204855643044785"/>
          <c:y val="0.21296296296296346"/>
        </c:manualLayout>
      </c:layout>
      <c:overlay val="0"/>
      <c:txPr>
        <a:bodyPr/>
        <a:lstStyle/>
        <a:p>
          <a:pPr>
            <a:defRPr sz="1400"/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alles!$G$1</c:f>
              <c:strCache>
                <c:ptCount val="1"/>
                <c:pt idx="0">
                  <c:v>sep</c:v>
                </c:pt>
              </c:strCache>
            </c:strRef>
          </c:tx>
          <c:invertIfNegative val="0"/>
          <c:cat>
            <c:numRef>
              <c:f>alles!$B$2:$B$17</c:f>
              <c:numCache>
                <c:formatCode>General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</c:numCache>
            </c:numRef>
          </c:cat>
          <c:val>
            <c:numRef>
              <c:f>alles!$G$2:$G$17</c:f>
              <c:numCache>
                <c:formatCode>General</c:formatCode>
                <c:ptCount val="16"/>
                <c:pt idx="0">
                  <c:v>323.5182888482467</c:v>
                </c:pt>
                <c:pt idx="1">
                  <c:v>2588.3704223441732</c:v>
                </c:pt>
                <c:pt idx="2">
                  <c:v>1754.1403498715767</c:v>
                </c:pt>
                <c:pt idx="3">
                  <c:v>300.26169939157751</c:v>
                </c:pt>
                <c:pt idx="4">
                  <c:v>93.428630355722674</c:v>
                </c:pt>
                <c:pt idx="5">
                  <c:v>37.04234343405129</c:v>
                </c:pt>
                <c:pt idx="6">
                  <c:v>13.199077057982826</c:v>
                </c:pt>
                <c:pt idx="7">
                  <c:v>17.231458120540101</c:v>
                </c:pt>
                <c:pt idx="8">
                  <c:v>1.2377171513152194</c:v>
                </c:pt>
                <c:pt idx="9">
                  <c:v>2.7776306452905208</c:v>
                </c:pt>
                <c:pt idx="10">
                  <c:v>0.93552080865513698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5-4963-ABE4-F5322CC6C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551616"/>
        <c:axId val="173553152"/>
      </c:barChart>
      <c:catAx>
        <c:axId val="17355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553152"/>
        <c:crosses val="autoZero"/>
        <c:auto val="1"/>
        <c:lblAlgn val="ctr"/>
        <c:lblOffset val="100"/>
        <c:noMultiLvlLbl val="0"/>
      </c:catAx>
      <c:valAx>
        <c:axId val="17355315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900" b="0"/>
                </a:pPr>
                <a:r>
                  <a:rPr lang="en-US" sz="900" b="0"/>
                  <a:t>x 1000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551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2204855643044819"/>
          <c:y val="0.21296296296296352"/>
        </c:manualLayout>
      </c:layout>
      <c:overlay val="0"/>
      <c:txPr>
        <a:bodyPr/>
        <a:lstStyle/>
        <a:p>
          <a:pPr>
            <a:defRPr sz="1400"/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alles!$H$1</c:f>
              <c:strCache>
                <c:ptCount val="1"/>
                <c:pt idx="0">
                  <c:v>okt</c:v>
                </c:pt>
              </c:strCache>
            </c:strRef>
          </c:tx>
          <c:invertIfNegative val="0"/>
          <c:cat>
            <c:numRef>
              <c:f>alles!$B$2:$B$17</c:f>
              <c:numCache>
                <c:formatCode>General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</c:numCache>
            </c:numRef>
          </c:cat>
          <c:val>
            <c:numRef>
              <c:f>alles!$H$2:$H$17</c:f>
              <c:numCache>
                <c:formatCode>General</c:formatCode>
                <c:ptCount val="16"/>
                <c:pt idx="0">
                  <c:v>176.91672099295224</c:v>
                </c:pt>
                <c:pt idx="1">
                  <c:v>1621.0056996335043</c:v>
                </c:pt>
                <c:pt idx="2">
                  <c:v>1296.1771961951385</c:v>
                </c:pt>
                <c:pt idx="3">
                  <c:v>239.3084113452112</c:v>
                </c:pt>
                <c:pt idx="4">
                  <c:v>28.442688047166421</c:v>
                </c:pt>
                <c:pt idx="5">
                  <c:v>1.4416629406152137</c:v>
                </c:pt>
                <c:pt idx="6">
                  <c:v>0.26503067484662579</c:v>
                </c:pt>
                <c:pt idx="7">
                  <c:v>0.1135845749342682</c:v>
                </c:pt>
                <c:pt idx="8">
                  <c:v>0.18930762489044697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4-4874-9697-46E7B0F78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569152"/>
        <c:axId val="173570688"/>
      </c:barChart>
      <c:catAx>
        <c:axId val="17356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570688"/>
        <c:crosses val="autoZero"/>
        <c:auto val="1"/>
        <c:lblAlgn val="ctr"/>
        <c:lblOffset val="100"/>
        <c:noMultiLvlLbl val="0"/>
      </c:catAx>
      <c:valAx>
        <c:axId val="1735706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900" b="0"/>
                </a:pPr>
                <a:r>
                  <a:rPr lang="en-US" sz="900" b="0"/>
                  <a:t>x 1000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5691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</xdr:row>
      <xdr:rowOff>7620</xdr:rowOff>
    </xdr:from>
    <xdr:to>
      <xdr:col>16</xdr:col>
      <xdr:colOff>312420</xdr:colOff>
      <xdr:row>9</xdr:row>
      <xdr:rowOff>106680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16</xdr:col>
      <xdr:colOff>304800</xdr:colOff>
      <xdr:row>18</xdr:row>
      <xdr:rowOff>99060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16</xdr:col>
      <xdr:colOff>304800</xdr:colOff>
      <xdr:row>27</xdr:row>
      <xdr:rowOff>99060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16</xdr:col>
      <xdr:colOff>304800</xdr:colOff>
      <xdr:row>36</xdr:row>
      <xdr:rowOff>99060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16</xdr:col>
      <xdr:colOff>304800</xdr:colOff>
      <xdr:row>45</xdr:row>
      <xdr:rowOff>99060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46</xdr:row>
      <xdr:rowOff>0</xdr:rowOff>
    </xdr:from>
    <xdr:to>
      <xdr:col>16</xdr:col>
      <xdr:colOff>304800</xdr:colOff>
      <xdr:row>54</xdr:row>
      <xdr:rowOff>99060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C928-4312-4349-B37D-FDF87303A384}">
  <dimension ref="A1:I43"/>
  <sheetViews>
    <sheetView topLeftCell="A31" workbookViewId="0">
      <selection activeCell="I43" sqref="I43"/>
    </sheetView>
  </sheetViews>
  <sheetFormatPr defaultRowHeight="15" x14ac:dyDescent="0.25"/>
  <sheetData>
    <row r="1" spans="1:9" x14ac:dyDescent="0.25"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I1" t="s">
        <v>40</v>
      </c>
    </row>
    <row r="2" spans="1:9" x14ac:dyDescent="0.25">
      <c r="A2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>
        <f>SUM(B2:G2)</f>
        <v>0</v>
      </c>
    </row>
    <row r="3" spans="1:9" x14ac:dyDescent="0.25">
      <c r="A3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>
        <f t="shared" ref="I3:I42" si="0">SUM(B3:G3)</f>
        <v>0</v>
      </c>
    </row>
    <row r="4" spans="1:9" x14ac:dyDescent="0.25">
      <c r="A4">
        <v>17</v>
      </c>
      <c r="B4">
        <v>0</v>
      </c>
      <c r="C4">
        <v>0</v>
      </c>
      <c r="D4">
        <v>0</v>
      </c>
      <c r="E4">
        <v>0</v>
      </c>
      <c r="F4">
        <v>6.2350000000000003</v>
      </c>
      <c r="G4">
        <v>0</v>
      </c>
      <c r="I4">
        <f t="shared" si="0"/>
        <v>6.2350000000000003</v>
      </c>
    </row>
    <row r="5" spans="1:9" x14ac:dyDescent="0.25">
      <c r="A5">
        <v>18</v>
      </c>
      <c r="B5">
        <v>0</v>
      </c>
      <c r="C5">
        <v>0</v>
      </c>
      <c r="D5">
        <v>0</v>
      </c>
      <c r="E5">
        <v>3.6417893030794168</v>
      </c>
      <c r="F5">
        <v>101.8100566893424</v>
      </c>
      <c r="G5">
        <v>16.159078545740272</v>
      </c>
      <c r="I5">
        <f t="shared" si="0"/>
        <v>121.6109245381621</v>
      </c>
    </row>
    <row r="6" spans="1:9" x14ac:dyDescent="0.25">
      <c r="A6">
        <v>19</v>
      </c>
      <c r="B6">
        <v>0</v>
      </c>
      <c r="C6">
        <v>0</v>
      </c>
      <c r="D6">
        <v>0</v>
      </c>
      <c r="E6">
        <v>37.221058346839548</v>
      </c>
      <c r="F6">
        <v>49.21549886621316</v>
      </c>
      <c r="G6">
        <v>65.841406618680352</v>
      </c>
      <c r="I6">
        <f t="shared" si="0"/>
        <v>152.27796383173308</v>
      </c>
    </row>
    <row r="7" spans="1:9" x14ac:dyDescent="0.25">
      <c r="A7">
        <v>20</v>
      </c>
      <c r="B7">
        <v>0</v>
      </c>
      <c r="C7">
        <v>0</v>
      </c>
      <c r="D7">
        <v>0</v>
      </c>
      <c r="E7">
        <v>29.218400324149112</v>
      </c>
      <c r="F7">
        <v>6.2067233560090713</v>
      </c>
      <c r="G7">
        <v>30.355457592018649</v>
      </c>
      <c r="I7">
        <f t="shared" si="0"/>
        <v>65.780581272176832</v>
      </c>
    </row>
    <row r="8" spans="1:9" x14ac:dyDescent="0.25">
      <c r="A8">
        <v>21</v>
      </c>
      <c r="B8">
        <v>0</v>
      </c>
      <c r="C8">
        <v>0</v>
      </c>
      <c r="D8">
        <v>0</v>
      </c>
      <c r="E8">
        <v>37.972032414910863</v>
      </c>
      <c r="F8">
        <v>0</v>
      </c>
      <c r="G8">
        <v>37.836497174666036</v>
      </c>
      <c r="I8">
        <f t="shared" si="0"/>
        <v>75.808529589576892</v>
      </c>
    </row>
    <row r="9" spans="1:9" x14ac:dyDescent="0.25">
      <c r="A9">
        <v>22</v>
      </c>
      <c r="B9">
        <v>0</v>
      </c>
      <c r="C9">
        <v>0</v>
      </c>
      <c r="D9">
        <v>0</v>
      </c>
      <c r="E9">
        <v>5.8454197730956245</v>
      </c>
      <c r="F9">
        <v>2.0714285714285716</v>
      </c>
      <c r="G9">
        <v>6.5705708698395453</v>
      </c>
      <c r="I9">
        <f t="shared" si="0"/>
        <v>14.48741921436374</v>
      </c>
    </row>
    <row r="10" spans="1:9" x14ac:dyDescent="0.25">
      <c r="A10">
        <v>23</v>
      </c>
      <c r="B10">
        <v>0</v>
      </c>
      <c r="C10">
        <v>0</v>
      </c>
      <c r="D10">
        <v>0</v>
      </c>
      <c r="E10">
        <v>0</v>
      </c>
      <c r="F10">
        <v>2.0714285714285716</v>
      </c>
      <c r="G10">
        <v>7.3933012817989896</v>
      </c>
      <c r="I10">
        <f t="shared" si="0"/>
        <v>9.4647298532275617</v>
      </c>
    </row>
    <row r="11" spans="1:9" x14ac:dyDescent="0.25">
      <c r="A11">
        <v>24</v>
      </c>
      <c r="B11">
        <v>0</v>
      </c>
      <c r="C11">
        <v>0</v>
      </c>
      <c r="D11">
        <v>0</v>
      </c>
      <c r="E11">
        <v>23.143918962722854</v>
      </c>
      <c r="F11">
        <v>0</v>
      </c>
      <c r="G11">
        <v>5.9196605178880519</v>
      </c>
      <c r="I11">
        <f t="shared" si="0"/>
        <v>29.063579480610905</v>
      </c>
    </row>
    <row r="12" spans="1:9" x14ac:dyDescent="0.25">
      <c r="A12">
        <v>25</v>
      </c>
      <c r="B12">
        <v>0</v>
      </c>
      <c r="C12">
        <v>0</v>
      </c>
      <c r="D12">
        <v>0</v>
      </c>
      <c r="E12">
        <v>122.16231442463534</v>
      </c>
      <c r="F12">
        <v>58.689871159700445</v>
      </c>
      <c r="G12">
        <v>16.845170011438078</v>
      </c>
      <c r="I12">
        <f t="shared" si="0"/>
        <v>197.69735559577387</v>
      </c>
    </row>
    <row r="13" spans="1:9" x14ac:dyDescent="0.25">
      <c r="A13">
        <v>26</v>
      </c>
      <c r="B13">
        <v>0</v>
      </c>
      <c r="C13">
        <v>0</v>
      </c>
      <c r="D13">
        <v>0</v>
      </c>
      <c r="E13">
        <v>1276.5776288492709</v>
      </c>
      <c r="F13">
        <v>1091.3570695567741</v>
      </c>
      <c r="G13">
        <v>89.322862371458953</v>
      </c>
      <c r="I13">
        <f t="shared" si="0"/>
        <v>2457.2575607775038</v>
      </c>
    </row>
    <row r="14" spans="1:9" x14ac:dyDescent="0.25">
      <c r="A14">
        <v>27</v>
      </c>
      <c r="B14">
        <v>0</v>
      </c>
      <c r="C14">
        <v>0</v>
      </c>
      <c r="D14">
        <v>0</v>
      </c>
      <c r="E14">
        <v>8427.8688184764997</v>
      </c>
      <c r="F14">
        <v>0</v>
      </c>
      <c r="G14">
        <v>0</v>
      </c>
      <c r="I14">
        <f t="shared" si="0"/>
        <v>8427.8688184764997</v>
      </c>
    </row>
    <row r="15" spans="1:9" x14ac:dyDescent="0.25">
      <c r="A15">
        <v>28</v>
      </c>
      <c r="B15">
        <v>10.881683883668272</v>
      </c>
      <c r="C15">
        <v>2.7137509448691013</v>
      </c>
      <c r="D15">
        <v>6.612063557145115</v>
      </c>
      <c r="E15">
        <v>4829.6592074554301</v>
      </c>
      <c r="F15">
        <v>2413.4970478412283</v>
      </c>
      <c r="G15">
        <v>1427.6532449440995</v>
      </c>
      <c r="I15">
        <f t="shared" si="0"/>
        <v>8691.0169986264409</v>
      </c>
    </row>
    <row r="16" spans="1:9" x14ac:dyDescent="0.25">
      <c r="A16">
        <v>29</v>
      </c>
      <c r="B16">
        <v>19.809139177874197</v>
      </c>
      <c r="C16">
        <v>38.879701037066937</v>
      </c>
      <c r="D16">
        <v>22.85628260354094</v>
      </c>
      <c r="E16">
        <v>1217.8682739059968</v>
      </c>
      <c r="F16">
        <v>927.48264819965732</v>
      </c>
      <c r="G16">
        <v>1261.195054440949</v>
      </c>
      <c r="I16">
        <f t="shared" si="0"/>
        <v>3488.091099365085</v>
      </c>
    </row>
    <row r="17" spans="1:9" x14ac:dyDescent="0.25">
      <c r="A17">
        <v>30</v>
      </c>
      <c r="B17">
        <v>13.730814392718894</v>
      </c>
      <c r="C17">
        <v>47.102638682723814</v>
      </c>
      <c r="D17">
        <v>42.758641173332272</v>
      </c>
      <c r="E17">
        <v>212.29659967585093</v>
      </c>
      <c r="F17">
        <v>136.95728651434413</v>
      </c>
      <c r="G17">
        <v>316.36309608885449</v>
      </c>
      <c r="I17">
        <f t="shared" si="0"/>
        <v>769.20907652782455</v>
      </c>
    </row>
    <row r="18" spans="1:9" x14ac:dyDescent="0.25">
      <c r="A18">
        <v>31</v>
      </c>
      <c r="B18">
        <v>1.7116346955980561</v>
      </c>
      <c r="C18">
        <v>18.90095766785921</v>
      </c>
      <c r="D18">
        <v>13.994510502292126</v>
      </c>
      <c r="E18">
        <v>364.68924473257698</v>
      </c>
      <c r="F18">
        <v>11.255553192595867</v>
      </c>
      <c r="G18">
        <v>53.494756880115695</v>
      </c>
      <c r="I18">
        <f t="shared" si="0"/>
        <v>464.04665767103796</v>
      </c>
    </row>
    <row r="19" spans="1:9" x14ac:dyDescent="0.25">
      <c r="A19">
        <v>32</v>
      </c>
      <c r="B19">
        <v>34.300081104701199</v>
      </c>
      <c r="C19">
        <v>31.153679325294956</v>
      </c>
      <c r="D19">
        <v>17.617990650358308</v>
      </c>
      <c r="E19">
        <v>1025.7174959481363</v>
      </c>
      <c r="F19">
        <v>71.372189448472099</v>
      </c>
      <c r="G19">
        <v>8.8122960251366713</v>
      </c>
      <c r="I19">
        <f t="shared" si="0"/>
        <v>1188.9737325020994</v>
      </c>
    </row>
    <row r="20" spans="1:9" x14ac:dyDescent="0.25">
      <c r="A20">
        <v>33</v>
      </c>
      <c r="B20">
        <v>247.10074931474801</v>
      </c>
      <c r="C20">
        <v>394.41964819791485</v>
      </c>
      <c r="D20">
        <v>270.93076152321112</v>
      </c>
      <c r="E20">
        <v>1269.0475915721233</v>
      </c>
      <c r="F20">
        <v>42.684351298289513</v>
      </c>
      <c r="G20">
        <v>1.5108891571445107</v>
      </c>
      <c r="I20">
        <f t="shared" si="0"/>
        <v>2225.6939910634314</v>
      </c>
    </row>
    <row r="21" spans="1:9" x14ac:dyDescent="0.25">
      <c r="A21">
        <v>34</v>
      </c>
      <c r="B21">
        <v>326.29148273518155</v>
      </c>
      <c r="C21">
        <v>813.34247068817206</v>
      </c>
      <c r="D21">
        <v>678.97873812770047</v>
      </c>
      <c r="E21">
        <v>916.65808427876823</v>
      </c>
      <c r="F21">
        <v>49.770375102941948</v>
      </c>
      <c r="G21">
        <v>12.736282347722009</v>
      </c>
      <c r="I21">
        <f t="shared" si="0"/>
        <v>2797.7774332804861</v>
      </c>
    </row>
    <row r="22" spans="1:9" x14ac:dyDescent="0.25">
      <c r="A22">
        <v>35</v>
      </c>
      <c r="B22">
        <v>475.84522732709797</v>
      </c>
      <c r="C22">
        <v>1043.0424283820967</v>
      </c>
      <c r="D22">
        <v>908.31509840341448</v>
      </c>
      <c r="E22">
        <v>658.07364667747174</v>
      </c>
      <c r="F22">
        <v>46.681037631308264</v>
      </c>
      <c r="G22">
        <v>3.9647445967621913</v>
      </c>
      <c r="I22">
        <f t="shared" si="0"/>
        <v>3135.9221830181509</v>
      </c>
    </row>
    <row r="23" spans="1:9" x14ac:dyDescent="0.25">
      <c r="A23">
        <v>36</v>
      </c>
      <c r="B23">
        <v>648.73919999646887</v>
      </c>
      <c r="C23">
        <v>1592.0142771308592</v>
      </c>
      <c r="D23">
        <v>1174.5132797680208</v>
      </c>
      <c r="E23">
        <v>443.16168557536469</v>
      </c>
      <c r="F23">
        <v>64.604202007286517</v>
      </c>
      <c r="G23">
        <v>0</v>
      </c>
      <c r="I23">
        <f t="shared" si="0"/>
        <v>3923.0326444779998</v>
      </c>
    </row>
    <row r="24" spans="1:9" x14ac:dyDescent="0.25">
      <c r="A24">
        <v>37</v>
      </c>
      <c r="B24">
        <v>551.31618770827902</v>
      </c>
      <c r="C24">
        <v>1583.283078438672</v>
      </c>
      <c r="D24">
        <v>1052.958124209611</v>
      </c>
      <c r="E24">
        <v>365.46631442463536</v>
      </c>
      <c r="F24">
        <v>9.0869078031377271</v>
      </c>
      <c r="G24">
        <v>1.3180096902749987</v>
      </c>
      <c r="I24">
        <f t="shared" si="0"/>
        <v>3563.42862227461</v>
      </c>
    </row>
    <row r="25" spans="1:9" x14ac:dyDescent="0.25">
      <c r="A25">
        <v>38</v>
      </c>
      <c r="B25">
        <v>374.92616747955276</v>
      </c>
      <c r="C25">
        <v>1147.816812688347</v>
      </c>
      <c r="D25">
        <v>729.46326914717042</v>
      </c>
      <c r="E25">
        <v>209.14482820097246</v>
      </c>
      <c r="F25">
        <v>0</v>
      </c>
      <c r="G25">
        <v>0</v>
      </c>
      <c r="I25">
        <f t="shared" si="0"/>
        <v>2461.3510775160426</v>
      </c>
    </row>
    <row r="26" spans="1:9" x14ac:dyDescent="0.25">
      <c r="A26">
        <v>39</v>
      </c>
      <c r="B26">
        <v>269.99352643240832</v>
      </c>
      <c r="C26">
        <v>903.71990704693565</v>
      </c>
      <c r="D26">
        <v>455.36432563362837</v>
      </c>
      <c r="E26">
        <v>105.43211993517019</v>
      </c>
      <c r="F26">
        <v>4.8112042800555583</v>
      </c>
      <c r="G26">
        <v>0</v>
      </c>
      <c r="I26">
        <f t="shared" si="0"/>
        <v>1739.3210833281983</v>
      </c>
    </row>
    <row r="27" spans="1:9" x14ac:dyDescent="0.25">
      <c r="A27">
        <v>40</v>
      </c>
      <c r="B27">
        <v>178.28764357628697</v>
      </c>
      <c r="C27">
        <v>695.22396488796244</v>
      </c>
      <c r="D27">
        <v>290.68345460862577</v>
      </c>
      <c r="E27">
        <v>21.227340356564021</v>
      </c>
      <c r="F27">
        <v>0.87605379365716574</v>
      </c>
      <c r="G27">
        <v>0</v>
      </c>
      <c r="I27">
        <f t="shared" si="0"/>
        <v>1186.2984572230964</v>
      </c>
    </row>
    <row r="28" spans="1:9" x14ac:dyDescent="0.25">
      <c r="A28">
        <v>41</v>
      </c>
      <c r="B28">
        <v>145.95796398730573</v>
      </c>
      <c r="C28">
        <v>492.38923393923022</v>
      </c>
      <c r="D28">
        <v>202.90858658710084</v>
      </c>
      <c r="E28">
        <v>13.204385737439223</v>
      </c>
      <c r="F28">
        <v>21.547982699483867</v>
      </c>
      <c r="G28">
        <v>0</v>
      </c>
      <c r="I28">
        <f t="shared" si="0"/>
        <v>876.00815295055997</v>
      </c>
    </row>
    <row r="29" spans="1:9" x14ac:dyDescent="0.25">
      <c r="A29">
        <v>42</v>
      </c>
      <c r="B29">
        <v>103.45551378228187</v>
      </c>
      <c r="C29">
        <v>344.95495706234095</v>
      </c>
      <c r="D29">
        <v>162.69268322202024</v>
      </c>
      <c r="E29">
        <v>4.3782658022690439</v>
      </c>
      <c r="F29">
        <v>0</v>
      </c>
      <c r="G29">
        <v>0.56792287467134095</v>
      </c>
      <c r="I29">
        <f t="shared" si="0"/>
        <v>616.04934274358345</v>
      </c>
    </row>
    <row r="30" spans="1:9" x14ac:dyDescent="0.25">
      <c r="A30">
        <v>43</v>
      </c>
      <c r="B30">
        <v>79.489932556199477</v>
      </c>
      <c r="C30">
        <v>291.08382417514849</v>
      </c>
      <c r="D30">
        <v>130.18534001541258</v>
      </c>
      <c r="E30">
        <v>5.8164246353322522</v>
      </c>
      <c r="F30">
        <v>5.5263295099061525</v>
      </c>
      <c r="G30">
        <v>0</v>
      </c>
      <c r="I30">
        <f t="shared" si="0"/>
        <v>512.10185089199899</v>
      </c>
    </row>
    <row r="31" spans="1:9" x14ac:dyDescent="0.25">
      <c r="A31">
        <v>44</v>
      </c>
      <c r="B31">
        <v>85.864760989411138</v>
      </c>
      <c r="C31">
        <v>264.96283681951877</v>
      </c>
      <c r="D31">
        <v>60.22696633931394</v>
      </c>
      <c r="E31">
        <v>0</v>
      </c>
      <c r="F31">
        <v>5.5263295099061525</v>
      </c>
      <c r="G31">
        <v>0</v>
      </c>
      <c r="I31">
        <f t="shared" si="0"/>
        <v>416.58089365814999</v>
      </c>
    </row>
    <row r="32" spans="1:9" x14ac:dyDescent="0.25">
      <c r="A32">
        <v>45</v>
      </c>
      <c r="B32">
        <v>81.266258956828025</v>
      </c>
      <c r="C32">
        <v>205.13551979329503</v>
      </c>
      <c r="D32">
        <v>72.935929102118237</v>
      </c>
      <c r="E32">
        <v>0</v>
      </c>
      <c r="F32">
        <v>2.8065624259654109</v>
      </c>
      <c r="G32">
        <v>0</v>
      </c>
      <c r="I32">
        <f t="shared" si="0"/>
        <v>362.1442702782067</v>
      </c>
    </row>
    <row r="33" spans="1:9" x14ac:dyDescent="0.25">
      <c r="A33">
        <v>46</v>
      </c>
      <c r="B33">
        <v>60.519090056011905</v>
      </c>
      <c r="C33">
        <v>134.67556319545204</v>
      </c>
      <c r="D33">
        <v>41.463640876936452</v>
      </c>
      <c r="E33">
        <v>0</v>
      </c>
      <c r="F33">
        <v>0</v>
      </c>
      <c r="G33">
        <v>0</v>
      </c>
      <c r="I33">
        <f t="shared" si="0"/>
        <v>236.65829412840037</v>
      </c>
    </row>
    <row r="34" spans="1:9" x14ac:dyDescent="0.25">
      <c r="A34">
        <v>47</v>
      </c>
      <c r="B34">
        <v>28.798590689400992</v>
      </c>
      <c r="C34">
        <v>126.53204133831559</v>
      </c>
      <c r="D34">
        <v>19.558915668800715</v>
      </c>
      <c r="E34">
        <v>0</v>
      </c>
      <c r="F34">
        <v>0</v>
      </c>
      <c r="G34">
        <v>0</v>
      </c>
      <c r="I34">
        <f t="shared" si="0"/>
        <v>174.8895476965173</v>
      </c>
    </row>
    <row r="35" spans="1:9" x14ac:dyDescent="0.25">
      <c r="A35">
        <v>48</v>
      </c>
      <c r="B35">
        <v>32.836431278386648</v>
      </c>
      <c r="C35">
        <v>79.277378146138417</v>
      </c>
      <c r="D35">
        <v>14.31432201101275</v>
      </c>
      <c r="E35">
        <v>0</v>
      </c>
      <c r="F35">
        <v>0</v>
      </c>
      <c r="G35">
        <v>0</v>
      </c>
      <c r="I35">
        <f t="shared" si="0"/>
        <v>126.42813143553782</v>
      </c>
    </row>
    <row r="36" spans="1:9" x14ac:dyDescent="0.25">
      <c r="A36">
        <v>49</v>
      </c>
      <c r="B36">
        <v>5.8788586946446619</v>
      </c>
      <c r="C36">
        <v>22.944355814813008</v>
      </c>
      <c r="D36">
        <v>7.2705916884023605</v>
      </c>
      <c r="E36">
        <v>0</v>
      </c>
      <c r="F36">
        <v>0</v>
      </c>
      <c r="G36">
        <v>0</v>
      </c>
      <c r="I36">
        <f t="shared" si="0"/>
        <v>36.093806197860033</v>
      </c>
    </row>
    <row r="37" spans="1:9" x14ac:dyDescent="0.25">
      <c r="A37">
        <v>50</v>
      </c>
      <c r="B37">
        <v>7.5527565623082724</v>
      </c>
      <c r="C37">
        <v>27.795525982145897</v>
      </c>
      <c r="D37">
        <v>0.23001221809463587</v>
      </c>
      <c r="E37">
        <v>0</v>
      </c>
      <c r="F37">
        <v>0</v>
      </c>
      <c r="G37">
        <v>0</v>
      </c>
      <c r="I37">
        <f t="shared" si="0"/>
        <v>35.578294762548808</v>
      </c>
    </row>
    <row r="38" spans="1:9" x14ac:dyDescent="0.25">
      <c r="A38">
        <v>51</v>
      </c>
      <c r="B38">
        <v>4.307389359945974</v>
      </c>
      <c r="C38">
        <v>1.9513593750730998</v>
      </c>
      <c r="D38">
        <v>0.23001221809463587</v>
      </c>
      <c r="E38">
        <v>0</v>
      </c>
      <c r="F38">
        <v>0</v>
      </c>
      <c r="G38">
        <v>0</v>
      </c>
      <c r="I38">
        <f t="shared" si="0"/>
        <v>6.4887609531137098</v>
      </c>
    </row>
    <row r="39" spans="1:9" x14ac:dyDescent="0.25">
      <c r="A39">
        <v>52</v>
      </c>
      <c r="B39">
        <v>0.23181194302587843</v>
      </c>
      <c r="C39">
        <v>0.24278541061956008</v>
      </c>
      <c r="D39">
        <v>0.6632544097112445</v>
      </c>
      <c r="E39">
        <v>0</v>
      </c>
      <c r="F39">
        <v>0</v>
      </c>
      <c r="G39">
        <v>0</v>
      </c>
      <c r="I39">
        <f t="shared" si="0"/>
        <v>1.1378517633566831</v>
      </c>
    </row>
    <row r="40" spans="1:9" x14ac:dyDescent="0.25">
      <c r="A40">
        <v>53</v>
      </c>
      <c r="B40">
        <v>1.6954617693404366</v>
      </c>
      <c r="C40">
        <v>0</v>
      </c>
      <c r="D40">
        <v>0</v>
      </c>
      <c r="E40">
        <v>0</v>
      </c>
      <c r="F40">
        <v>0</v>
      </c>
      <c r="G40">
        <v>0</v>
      </c>
      <c r="I40">
        <f t="shared" si="0"/>
        <v>1.6954617693404366</v>
      </c>
    </row>
    <row r="41" spans="1:9" x14ac:dyDescent="0.25">
      <c r="A41">
        <v>54</v>
      </c>
      <c r="B41">
        <v>0.23181194302587843</v>
      </c>
      <c r="C41">
        <v>0</v>
      </c>
      <c r="D41">
        <v>1.1689662042891769</v>
      </c>
      <c r="E41">
        <v>0</v>
      </c>
      <c r="F41">
        <v>0</v>
      </c>
      <c r="G41">
        <v>0</v>
      </c>
      <c r="I41">
        <f t="shared" si="0"/>
        <v>1.4007781473150553</v>
      </c>
    </row>
    <row r="42" spans="1:9" x14ac:dyDescent="0.25">
      <c r="A42">
        <v>55</v>
      </c>
      <c r="B42">
        <v>0.39354120560207273</v>
      </c>
      <c r="C42">
        <v>0</v>
      </c>
      <c r="D42">
        <v>0</v>
      </c>
      <c r="E42">
        <v>0</v>
      </c>
      <c r="F42">
        <v>0</v>
      </c>
      <c r="G42">
        <v>0</v>
      </c>
      <c r="I42">
        <f t="shared" si="0"/>
        <v>0.39354120560207273</v>
      </c>
    </row>
    <row r="43" spans="1:9" x14ac:dyDescent="0.25">
      <c r="I43">
        <f>SUM(I2:I42)</f>
        <v>50595.364498086237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98C6-6C3B-4F12-8ED5-2131672BCA54}">
  <dimension ref="A1:V45"/>
  <sheetViews>
    <sheetView workbookViewId="0">
      <pane ySplit="890" topLeftCell="A42" activePane="bottomLeft"/>
      <selection activeCell="L4" sqref="L4"/>
      <selection pane="bottomLeft" activeCell="L46" sqref="L46"/>
    </sheetView>
  </sheetViews>
  <sheetFormatPr defaultRowHeight="15" x14ac:dyDescent="0.25"/>
  <sheetData>
    <row r="1" spans="1:22" ht="15.75" thickBot="1" x14ac:dyDescent="0.3">
      <c r="B1" t="s">
        <v>42</v>
      </c>
    </row>
    <row r="2" spans="1:22" ht="15.75" thickBot="1" x14ac:dyDescent="0.3">
      <c r="A2" t="s">
        <v>41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43</v>
      </c>
      <c r="M2" s="4"/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5" t="s">
        <v>20</v>
      </c>
    </row>
    <row r="3" spans="1:22" x14ac:dyDescent="0.25">
      <c r="A3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f>SUM(N3:V3)</f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f t="shared" ref="L4:L43" si="0">SUM(N4:V4)</f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>
        <v>17</v>
      </c>
      <c r="B5">
        <f>SUM(sep!D4, okt!D4)</f>
        <v>2</v>
      </c>
      <c r="C5">
        <f>SUM(sep!E4, okt!E4)</f>
        <v>0</v>
      </c>
      <c r="D5">
        <f>SUM(sep!F4, okt!F4)</f>
        <v>0</v>
      </c>
      <c r="E5">
        <f>SUM(sep!G4, okt!G4)</f>
        <v>0</v>
      </c>
      <c r="F5">
        <f>SUM(sep!H4, okt!H4)</f>
        <v>0</v>
      </c>
      <c r="G5">
        <f>SUM(sep!I4, okt!I4)</f>
        <v>0</v>
      </c>
      <c r="H5">
        <f>SUM(sep!J4, okt!J4)</f>
        <v>0</v>
      </c>
      <c r="I5">
        <f>SUM(sep!K4, okt!K4)</f>
        <v>0</v>
      </c>
      <c r="J5">
        <f>SUM(sep!L4, okt!L4)</f>
        <v>0</v>
      </c>
      <c r="K5">
        <f>SUM(sep!M4, okt!M4)</f>
        <v>0</v>
      </c>
      <c r="L5">
        <f t="shared" si="0"/>
        <v>0</v>
      </c>
      <c r="N5">
        <f>SUM(sep!N4, okt!N4)</f>
        <v>0</v>
      </c>
      <c r="O5">
        <f>SUM(sep!O4, okt!O4)</f>
        <v>0</v>
      </c>
      <c r="P5">
        <f>SUM(sep!P4, okt!P4)</f>
        <v>0</v>
      </c>
      <c r="Q5">
        <f>SUM(sep!Q4, okt!Q4)</f>
        <v>0</v>
      </c>
      <c r="R5">
        <f>SUM(sep!R4, okt!R4)</f>
        <v>0</v>
      </c>
      <c r="S5">
        <f>SUM(sep!S4, okt!S4)</f>
        <v>0</v>
      </c>
      <c r="T5">
        <f>SUM(sep!T4, okt!T4)</f>
        <v>0</v>
      </c>
      <c r="U5">
        <f>SUM(sep!U4, okt!U4)</f>
        <v>0</v>
      </c>
      <c r="V5">
        <f>SUM(sep!V4, okt!V4)</f>
        <v>0</v>
      </c>
    </row>
    <row r="6" spans="1:22" x14ac:dyDescent="0.25">
      <c r="A6">
        <v>18</v>
      </c>
      <c r="B6">
        <f>SUM(aug!D5, sep!D5, okt!D5)</f>
        <v>3</v>
      </c>
      <c r="C6">
        <f>SUM(aug!E5, sep!E5, okt!E5)</f>
        <v>0</v>
      </c>
      <c r="D6">
        <f>SUM(aug!F5, sep!F5, okt!F5)</f>
        <v>0</v>
      </c>
      <c r="E6">
        <f>SUM(aug!G5, sep!G5, okt!G5)</f>
        <v>0</v>
      </c>
      <c r="F6">
        <f>SUM(aug!H5, sep!H5, okt!H5)</f>
        <v>0</v>
      </c>
      <c r="G6">
        <f>SUM(aug!I5, sep!I5, okt!I5)</f>
        <v>0</v>
      </c>
      <c r="H6">
        <f>SUM(aug!J5, sep!J5, okt!J5)</f>
        <v>0</v>
      </c>
      <c r="I6">
        <f>SUM(aug!K5, sep!K5, okt!K5)</f>
        <v>0</v>
      </c>
      <c r="J6">
        <f>SUM(aug!L5, sep!L5, okt!L5)</f>
        <v>0</v>
      </c>
      <c r="K6">
        <f>SUM(aug!M5, sep!M5, okt!M5)</f>
        <v>0</v>
      </c>
      <c r="L6">
        <f t="shared" si="0"/>
        <v>0</v>
      </c>
      <c r="N6">
        <f>SUM(aug!N5, sep!N5, okt!N5)</f>
        <v>0</v>
      </c>
      <c r="O6">
        <f>SUM(aug!O5, sep!O5, okt!O5)</f>
        <v>0</v>
      </c>
      <c r="P6">
        <f>SUM(aug!P5, sep!P5, okt!P5)</f>
        <v>0</v>
      </c>
      <c r="Q6">
        <f>SUM(aug!Q5, sep!Q5, okt!Q5)</f>
        <v>0</v>
      </c>
      <c r="R6">
        <f>SUM(aug!R5, sep!R5, okt!R5)</f>
        <v>0</v>
      </c>
      <c r="S6">
        <f>SUM(aug!S5, sep!S5, okt!S5)</f>
        <v>0</v>
      </c>
      <c r="T6">
        <f>SUM(aug!T5, sep!T5, okt!T5)</f>
        <v>0</v>
      </c>
      <c r="U6">
        <f>SUM(aug!U5, sep!U5, okt!U5)</f>
        <v>0</v>
      </c>
      <c r="V6">
        <f>SUM(aug!V5, sep!V5, okt!V5)</f>
        <v>0</v>
      </c>
    </row>
    <row r="7" spans="1:22" x14ac:dyDescent="0.25">
      <c r="A7">
        <v>19</v>
      </c>
      <c r="B7">
        <f>SUM(aug!D6, sep!D6, okt!D6)</f>
        <v>3</v>
      </c>
      <c r="C7">
        <f>SUM(aug!E6, sep!E6, okt!E6)</f>
        <v>0</v>
      </c>
      <c r="D7">
        <f>SUM(aug!F6, sep!F6, okt!F6)</f>
        <v>0</v>
      </c>
      <c r="E7">
        <f>SUM(aug!G6, sep!G6, okt!G6)</f>
        <v>0</v>
      </c>
      <c r="F7">
        <f>SUM(aug!H6, sep!H6, okt!H6)</f>
        <v>0</v>
      </c>
      <c r="G7">
        <f>SUM(aug!I6, sep!I6, okt!I6)</f>
        <v>0</v>
      </c>
      <c r="H7">
        <f>SUM(aug!J6, sep!J6, okt!J6)</f>
        <v>0</v>
      </c>
      <c r="I7">
        <f>SUM(aug!K6, sep!K6, okt!K6)</f>
        <v>0</v>
      </c>
      <c r="J7">
        <f>SUM(aug!L6, sep!L6, okt!L6)</f>
        <v>0</v>
      </c>
      <c r="K7">
        <f>SUM(aug!M6, sep!M6, okt!M6)</f>
        <v>0</v>
      </c>
      <c r="L7">
        <f t="shared" si="0"/>
        <v>0</v>
      </c>
      <c r="N7">
        <f>SUM(aug!N6, sep!N6, okt!N6)</f>
        <v>0</v>
      </c>
      <c r="O7">
        <f>SUM(aug!O6, sep!O6, okt!O6)</f>
        <v>0</v>
      </c>
      <c r="P7">
        <f>SUM(aug!P6, sep!P6, okt!P6)</f>
        <v>0</v>
      </c>
      <c r="Q7">
        <f>SUM(aug!Q6, sep!Q6, okt!Q6)</f>
        <v>0</v>
      </c>
      <c r="R7">
        <f>SUM(aug!R6, sep!R6, okt!R6)</f>
        <v>0</v>
      </c>
      <c r="S7">
        <f>SUM(aug!S6, sep!S6, okt!S6)</f>
        <v>0</v>
      </c>
      <c r="T7">
        <f>SUM(aug!T6, sep!T6, okt!T6)</f>
        <v>0</v>
      </c>
      <c r="U7">
        <f>SUM(aug!U6, sep!U6, okt!U6)</f>
        <v>0</v>
      </c>
      <c r="V7">
        <f>SUM(aug!V6, sep!V6, okt!V6)</f>
        <v>0</v>
      </c>
    </row>
    <row r="8" spans="1:22" x14ac:dyDescent="0.25">
      <c r="A8">
        <v>20</v>
      </c>
      <c r="B8">
        <f>SUM(aug!D7, sep!D7, okt!D7)</f>
        <v>3</v>
      </c>
      <c r="C8">
        <f>SUM(aug!E7, sep!E7, okt!E7)</f>
        <v>0</v>
      </c>
      <c r="D8">
        <f>SUM(aug!F7, sep!F7, okt!F7)</f>
        <v>0</v>
      </c>
      <c r="E8">
        <f>SUM(aug!G7, sep!G7, okt!G7)</f>
        <v>0</v>
      </c>
      <c r="F8">
        <f>SUM(aug!H7, sep!H7, okt!H7)</f>
        <v>0</v>
      </c>
      <c r="G8">
        <f>SUM(aug!I7, sep!I7, okt!I7)</f>
        <v>0</v>
      </c>
      <c r="H8">
        <f>SUM(aug!J7, sep!J7, okt!J7)</f>
        <v>0</v>
      </c>
      <c r="I8">
        <f>SUM(aug!K7, sep!K7, okt!K7)</f>
        <v>0</v>
      </c>
      <c r="J8">
        <f>SUM(aug!L7, sep!L7, okt!L7)</f>
        <v>0</v>
      </c>
      <c r="K8">
        <f>SUM(aug!M7, sep!M7, okt!M7)</f>
        <v>0</v>
      </c>
      <c r="L8">
        <f t="shared" si="0"/>
        <v>0</v>
      </c>
      <c r="N8">
        <f>SUM(aug!N7, sep!N7, okt!N7)</f>
        <v>0</v>
      </c>
      <c r="O8">
        <f>SUM(aug!O7, sep!O7, okt!O7)</f>
        <v>0</v>
      </c>
      <c r="P8">
        <f>SUM(aug!P7, sep!P7, okt!P7)</f>
        <v>0</v>
      </c>
      <c r="Q8">
        <f>SUM(aug!Q7, sep!Q7, okt!Q7)</f>
        <v>0</v>
      </c>
      <c r="R8">
        <f>SUM(aug!R7, sep!R7, okt!R7)</f>
        <v>0</v>
      </c>
      <c r="S8">
        <f>SUM(aug!S7, sep!S7, okt!S7)</f>
        <v>0</v>
      </c>
      <c r="T8">
        <f>SUM(aug!T7, sep!T7, okt!T7)</f>
        <v>0</v>
      </c>
      <c r="U8">
        <f>SUM(aug!U7, sep!U7, okt!U7)</f>
        <v>0</v>
      </c>
      <c r="V8">
        <f>SUM(aug!V7, sep!V7, okt!V7)</f>
        <v>0</v>
      </c>
    </row>
    <row r="9" spans="1:22" x14ac:dyDescent="0.25">
      <c r="A9">
        <v>21</v>
      </c>
      <c r="B9">
        <f>SUM(aug!D8, sep!D8, okt!D8)</f>
        <v>3</v>
      </c>
      <c r="C9">
        <f>SUM(aug!E8, sep!E8, okt!E8)</f>
        <v>0</v>
      </c>
      <c r="D9">
        <f>SUM(aug!F8, sep!F8, okt!F8)</f>
        <v>0</v>
      </c>
      <c r="E9">
        <f>SUM(aug!G8, sep!G8, okt!G8)</f>
        <v>0</v>
      </c>
      <c r="F9">
        <f>SUM(aug!H8, sep!H8, okt!H8)</f>
        <v>0</v>
      </c>
      <c r="G9">
        <f>SUM(aug!I8, sep!I8, okt!I8)</f>
        <v>0</v>
      </c>
      <c r="H9">
        <f>SUM(aug!J8, sep!J8, okt!J8)</f>
        <v>0</v>
      </c>
      <c r="I9">
        <f>SUM(aug!K8, sep!K8, okt!K8)</f>
        <v>0</v>
      </c>
      <c r="J9">
        <f>SUM(aug!L8, sep!L8, okt!L8)</f>
        <v>0</v>
      </c>
      <c r="K9">
        <f>SUM(aug!M8, sep!M8, okt!M8)</f>
        <v>0</v>
      </c>
      <c r="L9">
        <f t="shared" si="0"/>
        <v>0</v>
      </c>
      <c r="N9">
        <f>SUM(aug!N8, sep!N8, okt!N8)</f>
        <v>0</v>
      </c>
      <c r="O9">
        <f>SUM(aug!O8, sep!O8, okt!O8)</f>
        <v>0</v>
      </c>
      <c r="P9">
        <f>SUM(aug!P8, sep!P8, okt!P8)</f>
        <v>0</v>
      </c>
      <c r="Q9">
        <f>SUM(aug!Q8, sep!Q8, okt!Q8)</f>
        <v>0</v>
      </c>
      <c r="R9">
        <f>SUM(aug!R8, sep!R8, okt!R8)</f>
        <v>0</v>
      </c>
      <c r="S9">
        <f>SUM(aug!S8, sep!S8, okt!S8)</f>
        <v>0</v>
      </c>
      <c r="T9">
        <f>SUM(aug!T8, sep!T8, okt!T8)</f>
        <v>0</v>
      </c>
      <c r="U9">
        <f>SUM(aug!U8, sep!U8, okt!U8)</f>
        <v>0</v>
      </c>
      <c r="V9">
        <f>SUM(aug!V8, sep!V8, okt!V8)</f>
        <v>0</v>
      </c>
    </row>
    <row r="10" spans="1:22" x14ac:dyDescent="0.25">
      <c r="A10">
        <v>22</v>
      </c>
      <c r="B10">
        <f>SUM(aug!D9, sep!D9, okt!D9)</f>
        <v>3</v>
      </c>
      <c r="C10">
        <f>SUM(aug!E9, sep!E9, okt!E9)</f>
        <v>0</v>
      </c>
      <c r="D10">
        <f>SUM(aug!F9, sep!F9, okt!F9)</f>
        <v>0</v>
      </c>
      <c r="E10">
        <f>SUM(aug!G9, sep!G9, okt!G9)</f>
        <v>0</v>
      </c>
      <c r="F10">
        <f>SUM(aug!H9, sep!H9, okt!H9)</f>
        <v>0</v>
      </c>
      <c r="G10">
        <f>SUM(aug!I9, sep!I9, okt!I9)</f>
        <v>0</v>
      </c>
      <c r="H10">
        <f>SUM(aug!J9, sep!J9, okt!J9)</f>
        <v>0</v>
      </c>
      <c r="I10">
        <f>SUM(aug!K9, sep!K9, okt!K9)</f>
        <v>0</v>
      </c>
      <c r="J10">
        <f>SUM(aug!L9, sep!L9, okt!L9)</f>
        <v>0</v>
      </c>
      <c r="K10">
        <f>SUM(aug!M9, sep!M9, okt!M9)</f>
        <v>0</v>
      </c>
      <c r="L10">
        <f t="shared" si="0"/>
        <v>0</v>
      </c>
      <c r="N10">
        <f>SUM(aug!N9, sep!N9, okt!N9)</f>
        <v>0</v>
      </c>
      <c r="O10">
        <f>SUM(aug!O9, sep!O9, okt!O9)</f>
        <v>0</v>
      </c>
      <c r="P10">
        <f>SUM(aug!P9, sep!P9, okt!P9)</f>
        <v>0</v>
      </c>
      <c r="Q10">
        <f>SUM(aug!Q9, sep!Q9, okt!Q9)</f>
        <v>0</v>
      </c>
      <c r="R10">
        <f>SUM(aug!R9, sep!R9, okt!R9)</f>
        <v>0</v>
      </c>
      <c r="S10">
        <f>SUM(aug!S9, sep!S9, okt!S9)</f>
        <v>0</v>
      </c>
      <c r="T10">
        <f>SUM(aug!T9, sep!T9, okt!T9)</f>
        <v>0</v>
      </c>
      <c r="U10">
        <f>SUM(aug!U9, sep!U9, okt!U9)</f>
        <v>0</v>
      </c>
      <c r="V10">
        <f>SUM(aug!V9, sep!V9, okt!V9)</f>
        <v>0</v>
      </c>
    </row>
    <row r="11" spans="1:22" x14ac:dyDescent="0.25">
      <c r="A11">
        <v>23</v>
      </c>
      <c r="B11">
        <f>SUM(aug!D10, sep!D10, okt!D10)</f>
        <v>3</v>
      </c>
      <c r="C11">
        <f>SUM(aug!E10, sep!E10, okt!E10)</f>
        <v>0</v>
      </c>
      <c r="D11">
        <f>SUM(aug!F10, sep!F10, okt!F10)</f>
        <v>0</v>
      </c>
      <c r="E11">
        <f>SUM(aug!G10, sep!G10, okt!G10)</f>
        <v>0</v>
      </c>
      <c r="F11">
        <f>SUM(aug!H10, sep!H10, okt!H10)</f>
        <v>0</v>
      </c>
      <c r="G11">
        <f>SUM(aug!I10, sep!I10, okt!I10)</f>
        <v>0</v>
      </c>
      <c r="H11">
        <f>SUM(aug!J10, sep!J10, okt!J10)</f>
        <v>0</v>
      </c>
      <c r="I11">
        <f>SUM(aug!K10, sep!K10, okt!K10)</f>
        <v>0</v>
      </c>
      <c r="J11">
        <f>SUM(aug!L10, sep!L10, okt!L10)</f>
        <v>0</v>
      </c>
      <c r="K11">
        <f>SUM(aug!M10, sep!M10, okt!M10)</f>
        <v>0</v>
      </c>
      <c r="L11">
        <f t="shared" si="0"/>
        <v>0</v>
      </c>
      <c r="N11">
        <f>SUM(aug!N10, sep!N10, okt!N10)</f>
        <v>0</v>
      </c>
      <c r="O11">
        <f>SUM(aug!O10, sep!O10, okt!O10)</f>
        <v>0</v>
      </c>
      <c r="P11">
        <f>SUM(aug!P10, sep!P10, okt!P10)</f>
        <v>0</v>
      </c>
      <c r="Q11">
        <f>SUM(aug!Q10, sep!Q10, okt!Q10)</f>
        <v>0</v>
      </c>
      <c r="R11">
        <f>SUM(aug!R10, sep!R10, okt!R10)</f>
        <v>0</v>
      </c>
      <c r="S11">
        <f>SUM(aug!S10, sep!S10, okt!S10)</f>
        <v>0</v>
      </c>
      <c r="T11">
        <f>SUM(aug!T10, sep!T10, okt!T10)</f>
        <v>0</v>
      </c>
      <c r="U11">
        <f>SUM(aug!U10, sep!U10, okt!U10)</f>
        <v>0</v>
      </c>
      <c r="V11">
        <f>SUM(aug!V10, sep!V10, okt!V10)</f>
        <v>0</v>
      </c>
    </row>
    <row r="12" spans="1:22" x14ac:dyDescent="0.25">
      <c r="A12">
        <v>24</v>
      </c>
      <c r="B12">
        <f>SUM(aug!D11, sep!D11, okt!D11)</f>
        <v>0</v>
      </c>
      <c r="C12">
        <f>SUM(aug!E11, sep!E11, okt!E11)</f>
        <v>3</v>
      </c>
      <c r="D12">
        <f>SUM(aug!F11, sep!F11, okt!F11)</f>
        <v>0</v>
      </c>
      <c r="E12">
        <f>SUM(aug!G11, sep!G11, okt!G11)</f>
        <v>0</v>
      </c>
      <c r="F12">
        <f>SUM(aug!H11, sep!H11, okt!H11)</f>
        <v>0</v>
      </c>
      <c r="G12">
        <f>SUM(aug!I11, sep!I11, okt!I11)</f>
        <v>0</v>
      </c>
      <c r="H12">
        <f>SUM(aug!J11, sep!J11, okt!J11)</f>
        <v>0</v>
      </c>
      <c r="I12">
        <f>SUM(aug!K11, sep!K11, okt!K11)</f>
        <v>0</v>
      </c>
      <c r="J12">
        <f>SUM(aug!L11, sep!L11, okt!L11)</f>
        <v>0</v>
      </c>
      <c r="K12">
        <f>SUM(aug!M11, sep!M11, okt!M11)</f>
        <v>0</v>
      </c>
      <c r="L12">
        <f t="shared" si="0"/>
        <v>0</v>
      </c>
      <c r="N12">
        <f>SUM(aug!N11, sep!N11, okt!N11)</f>
        <v>0</v>
      </c>
      <c r="O12">
        <f>SUM(aug!O11, sep!O11, okt!O11)</f>
        <v>0</v>
      </c>
      <c r="P12">
        <f>SUM(aug!P11, sep!P11, okt!P11)</f>
        <v>0</v>
      </c>
      <c r="Q12">
        <f>SUM(aug!Q11, sep!Q11, okt!Q11)</f>
        <v>0</v>
      </c>
      <c r="R12">
        <f>SUM(aug!R11, sep!R11, okt!R11)</f>
        <v>0</v>
      </c>
      <c r="S12">
        <f>SUM(aug!S11, sep!S11, okt!S11)</f>
        <v>0</v>
      </c>
      <c r="T12">
        <f>SUM(aug!T11, sep!T11, okt!T11)</f>
        <v>0</v>
      </c>
      <c r="U12">
        <f>SUM(aug!U11, sep!U11, okt!U11)</f>
        <v>0</v>
      </c>
      <c r="V12">
        <f>SUM(aug!V11, sep!V11, okt!V11)</f>
        <v>0</v>
      </c>
    </row>
    <row r="13" spans="1:22" x14ac:dyDescent="0.25">
      <c r="A13">
        <v>25</v>
      </c>
      <c r="B13">
        <f>SUM(aug!D12, sep!D12, okt!D12)</f>
        <v>0</v>
      </c>
      <c r="C13">
        <f>SUM(aug!E12, sep!E12, okt!E12)</f>
        <v>3</v>
      </c>
      <c r="D13">
        <f>SUM(aug!F12, sep!F12, okt!F12)</f>
        <v>0</v>
      </c>
      <c r="E13">
        <f>SUM(aug!G12, sep!G12, okt!G12)</f>
        <v>0</v>
      </c>
      <c r="F13">
        <f>SUM(aug!H12, sep!H12, okt!H12)</f>
        <v>0</v>
      </c>
      <c r="G13">
        <f>SUM(aug!I12, sep!I12, okt!I12)</f>
        <v>0</v>
      </c>
      <c r="H13">
        <f>SUM(aug!J12, sep!J12, okt!J12)</f>
        <v>0</v>
      </c>
      <c r="I13">
        <f>SUM(aug!K12, sep!K12, okt!K12)</f>
        <v>0</v>
      </c>
      <c r="J13">
        <f>SUM(aug!L12, sep!L12, okt!L12)</f>
        <v>0</v>
      </c>
      <c r="K13">
        <f>SUM(aug!M12, sep!M12, okt!M12)</f>
        <v>0</v>
      </c>
      <c r="L13">
        <f t="shared" si="0"/>
        <v>0</v>
      </c>
      <c r="N13">
        <f>SUM(aug!N12, sep!N12, okt!N12)</f>
        <v>0</v>
      </c>
      <c r="O13">
        <f>SUM(aug!O12, sep!O12, okt!O12)</f>
        <v>0</v>
      </c>
      <c r="P13">
        <f>SUM(aug!P12, sep!P12, okt!P12)</f>
        <v>0</v>
      </c>
      <c r="Q13">
        <f>SUM(aug!Q12, sep!Q12, okt!Q12)</f>
        <v>0</v>
      </c>
      <c r="R13">
        <f>SUM(aug!R12, sep!R12, okt!R12)</f>
        <v>0</v>
      </c>
      <c r="S13">
        <f>SUM(aug!S12, sep!S12, okt!S12)</f>
        <v>0</v>
      </c>
      <c r="T13">
        <f>SUM(aug!T12, sep!T12, okt!T12)</f>
        <v>0</v>
      </c>
      <c r="U13">
        <f>SUM(aug!U12, sep!U12, okt!U12)</f>
        <v>0</v>
      </c>
      <c r="V13">
        <f>SUM(aug!V12, sep!V12, okt!V12)</f>
        <v>0</v>
      </c>
    </row>
    <row r="14" spans="1:22" x14ac:dyDescent="0.25">
      <c r="A14">
        <v>26</v>
      </c>
      <c r="B14">
        <f>SUM(aug!D13, sep!D13, okt!D13)</f>
        <v>6</v>
      </c>
      <c r="C14">
        <f>SUM(aug!E13, sep!E13, okt!E13)</f>
        <v>27</v>
      </c>
      <c r="D14">
        <f>SUM(aug!F13, sep!F13, okt!F13)</f>
        <v>9</v>
      </c>
      <c r="E14">
        <f>SUM(aug!G13, sep!G13, okt!G13)</f>
        <v>0</v>
      </c>
      <c r="F14">
        <f>SUM(aug!H13, sep!H13, okt!H13)</f>
        <v>0</v>
      </c>
      <c r="G14">
        <f>SUM(aug!I13, sep!I13, okt!I13)</f>
        <v>0</v>
      </c>
      <c r="H14">
        <f>SUM(aug!J13, sep!J13, okt!J13)</f>
        <v>0</v>
      </c>
      <c r="I14">
        <f>SUM(aug!K13, sep!K13, okt!K13)</f>
        <v>0</v>
      </c>
      <c r="J14">
        <f>SUM(aug!L13, sep!L13, okt!L13)</f>
        <v>0</v>
      </c>
      <c r="K14">
        <f>SUM(aug!M13, sep!M13, okt!M13)</f>
        <v>0</v>
      </c>
      <c r="L14">
        <f t="shared" si="0"/>
        <v>0</v>
      </c>
      <c r="N14">
        <f>SUM(aug!N13, sep!N13, okt!N13)</f>
        <v>0</v>
      </c>
      <c r="O14">
        <f>SUM(aug!O13, sep!O13, okt!O13)</f>
        <v>0</v>
      </c>
      <c r="P14">
        <f>SUM(aug!P13, sep!P13, okt!P13)</f>
        <v>0</v>
      </c>
      <c r="Q14">
        <f>SUM(aug!Q13, sep!Q13, okt!Q13)</f>
        <v>0</v>
      </c>
      <c r="R14">
        <f>SUM(aug!R13, sep!R13, okt!R13)</f>
        <v>0</v>
      </c>
      <c r="S14">
        <f>SUM(aug!S13, sep!S13, okt!S13)</f>
        <v>0</v>
      </c>
      <c r="T14">
        <f>SUM(aug!T13, sep!T13, okt!T13)</f>
        <v>0</v>
      </c>
      <c r="U14">
        <f>SUM(aug!U13, sep!U13, okt!U13)</f>
        <v>0</v>
      </c>
      <c r="V14">
        <f>SUM(aug!V13, sep!V13, okt!V13)</f>
        <v>0</v>
      </c>
    </row>
    <row r="15" spans="1:22" x14ac:dyDescent="0.25">
      <c r="A15">
        <v>27</v>
      </c>
      <c r="B15">
        <f>SUM(aug!D14, sep!D14, okt!D14)</f>
        <v>0</v>
      </c>
      <c r="C15">
        <f>SUM(aug!E14, sep!E14, okt!E14)</f>
        <v>156</v>
      </c>
      <c r="D15">
        <f>SUM(aug!F14, sep!F14, okt!F14)</f>
        <v>78</v>
      </c>
      <c r="E15">
        <f>SUM(aug!G14, sep!G14, okt!G14)</f>
        <v>6</v>
      </c>
      <c r="F15">
        <f>SUM(aug!H14, sep!H14, okt!H14)</f>
        <v>0</v>
      </c>
      <c r="G15">
        <f>SUM(aug!I14, sep!I14, okt!I14)</f>
        <v>0</v>
      </c>
      <c r="H15">
        <f>SUM(aug!J14, sep!J14, okt!J14)</f>
        <v>0</v>
      </c>
      <c r="I15">
        <f>SUM(aug!K14, sep!K14, okt!K14)</f>
        <v>0</v>
      </c>
      <c r="J15">
        <f>SUM(aug!L14, sep!L14, okt!L14)</f>
        <v>0</v>
      </c>
      <c r="K15">
        <f>SUM(aug!M14, sep!M14, okt!M14)</f>
        <v>0</v>
      </c>
      <c r="L15">
        <f t="shared" si="0"/>
        <v>0</v>
      </c>
      <c r="N15">
        <f>SUM(aug!N14, sep!N14, okt!N14)</f>
        <v>0</v>
      </c>
      <c r="O15">
        <f>SUM(aug!O14, sep!O14, okt!O14)</f>
        <v>0</v>
      </c>
      <c r="P15">
        <f>SUM(aug!P14, sep!P14, okt!P14)</f>
        <v>0</v>
      </c>
      <c r="Q15">
        <f>SUM(aug!Q14, sep!Q14, okt!Q14)</f>
        <v>0</v>
      </c>
      <c r="R15">
        <f>SUM(aug!R14, sep!R14, okt!R14)</f>
        <v>0</v>
      </c>
      <c r="S15">
        <f>SUM(aug!S14, sep!S14, okt!S14)</f>
        <v>0</v>
      </c>
      <c r="T15">
        <f>SUM(aug!T14, sep!T14, okt!T14)</f>
        <v>0</v>
      </c>
      <c r="U15">
        <f>SUM(aug!U14, sep!U14, okt!U14)</f>
        <v>0</v>
      </c>
      <c r="V15">
        <f>SUM(aug!V14, sep!V14, okt!V14)</f>
        <v>0</v>
      </c>
    </row>
    <row r="16" spans="1:22" x14ac:dyDescent="0.25">
      <c r="A16">
        <v>28</v>
      </c>
      <c r="B16">
        <f>SUM(mei!D15, jun!D15, jul!D15, aug!D15, sep!D15, okt!D15)</f>
        <v>0</v>
      </c>
      <c r="C16">
        <f>SUM(mei!E15, jun!E15, jul!E15, aug!E15, sep!E15, okt!E15)</f>
        <v>107</v>
      </c>
      <c r="D16">
        <f>SUM(mei!F15, jun!F15, jul!F15, aug!F15, sep!F15, okt!F15)</f>
        <v>70</v>
      </c>
      <c r="E16">
        <f>SUM(mei!G15, jun!G15, jul!G15, aug!G15, sep!G15, okt!G15)</f>
        <v>7</v>
      </c>
      <c r="F16">
        <f>SUM(mei!H15, jun!H15, jul!H15, aug!H15, sep!H15, okt!H15)</f>
        <v>3</v>
      </c>
      <c r="G16">
        <f>SUM(mei!I15, jun!I15, jul!I15, aug!I15, sep!I15, okt!I15)</f>
        <v>0</v>
      </c>
      <c r="H16">
        <f>SUM(mei!J15, jun!J15, jul!J15, aug!J15, sep!J15, okt!J15)</f>
        <v>0</v>
      </c>
      <c r="I16">
        <f>SUM(mei!K15, jun!K15, jul!K15, aug!K15, sep!K15, okt!K15)</f>
        <v>0</v>
      </c>
      <c r="J16">
        <f>SUM(mei!L15, jun!L15, jul!L15, aug!L15, sep!L15, okt!L15)</f>
        <v>0</v>
      </c>
      <c r="K16">
        <f>SUM(mei!M15, jun!M15, jul!M15, aug!M15, sep!M15, okt!M15)</f>
        <v>0</v>
      </c>
      <c r="L16">
        <f t="shared" si="0"/>
        <v>0</v>
      </c>
      <c r="N16">
        <f>SUM(mei!N15, jun!N15, jul!N15, aug!N15, sep!N15, okt!N15)</f>
        <v>0</v>
      </c>
      <c r="O16">
        <f>SUM(mei!O15, jun!O15, jul!O15, aug!O15, sep!O15, okt!O15)</f>
        <v>0</v>
      </c>
      <c r="P16">
        <f>SUM(mei!P15, jun!P15, jul!P15, aug!P15, sep!P15, okt!P15)</f>
        <v>0</v>
      </c>
      <c r="Q16">
        <f>SUM(mei!Q15, jun!Q15, jul!Q15, aug!Q15, sep!Q15, okt!Q15)</f>
        <v>0</v>
      </c>
      <c r="R16">
        <f>SUM(mei!R15, jun!R15, jul!R15, aug!R15, sep!R15, okt!R15)</f>
        <v>0</v>
      </c>
      <c r="S16">
        <f>SUM(mei!S15, jun!S15, jul!S15, aug!S15, sep!S15, okt!S15)</f>
        <v>0</v>
      </c>
      <c r="T16">
        <f>SUM(mei!T15, jun!T15, jul!T15, aug!T15, sep!T15, okt!T15)</f>
        <v>0</v>
      </c>
      <c r="U16">
        <f>SUM(mei!U15, jun!U15, jul!U15, aug!U15, sep!U15, okt!U15)</f>
        <v>0</v>
      </c>
      <c r="V16">
        <f>SUM(mei!V15, jun!V15, jul!V15, aug!V15, sep!V15, okt!V15)</f>
        <v>0</v>
      </c>
    </row>
    <row r="17" spans="1:22" x14ac:dyDescent="0.25">
      <c r="A17">
        <v>29</v>
      </c>
      <c r="B17">
        <f>SUM(mei!D16, jun!D16, jul!D16, aug!D16, sep!D16, okt!D16)</f>
        <v>0</v>
      </c>
      <c r="C17">
        <f>SUM(mei!E16, jun!E16, jul!E16, aug!E16, sep!E16, okt!E16)</f>
        <v>30</v>
      </c>
      <c r="D17">
        <f>SUM(mei!F16, jun!F16, jul!F16, aug!F16, sep!F16, okt!F16)</f>
        <v>34</v>
      </c>
      <c r="E17">
        <f>SUM(mei!G16, jun!G16, jul!G16, aug!G16, sep!G16, okt!G16)</f>
        <v>3</v>
      </c>
      <c r="F17">
        <f>SUM(mei!H16, jun!H16, jul!H16, aug!H16, sep!H16, okt!H16)</f>
        <v>1</v>
      </c>
      <c r="G17">
        <f>SUM(mei!I16, jun!I16, jul!I16, aug!I16, sep!I16, okt!I16)</f>
        <v>0</v>
      </c>
      <c r="H17">
        <f>SUM(mei!J16, jun!J16, jul!J16, aug!J16, sep!J16, okt!J16)</f>
        <v>0</v>
      </c>
      <c r="I17">
        <f>SUM(mei!K16, jun!K16, jul!K16, aug!K16, sep!K16, okt!K16)</f>
        <v>0</v>
      </c>
      <c r="J17">
        <f>SUM(mei!L16, jun!L16, jul!L16, aug!L16, sep!L16, okt!L16)</f>
        <v>0</v>
      </c>
      <c r="K17">
        <f>SUM(mei!M16, jun!M16, jul!M16, aug!M16, sep!M16, okt!M16)</f>
        <v>0</v>
      </c>
      <c r="L17">
        <f t="shared" si="0"/>
        <v>0</v>
      </c>
      <c r="N17">
        <f>SUM(mei!N16, jun!N16, jul!N16, aug!N16, sep!N16, okt!N16)</f>
        <v>0</v>
      </c>
      <c r="O17">
        <f>SUM(mei!O16, jun!O16, jul!O16, aug!O16, sep!O16, okt!O16)</f>
        <v>0</v>
      </c>
      <c r="P17">
        <f>SUM(mei!P16, jun!P16, jul!P16, aug!P16, sep!P16, okt!P16)</f>
        <v>0</v>
      </c>
      <c r="Q17">
        <f>SUM(mei!Q16, jun!Q16, jul!Q16, aug!Q16, sep!Q16, okt!Q16)</f>
        <v>0</v>
      </c>
      <c r="R17">
        <f>SUM(mei!R16, jun!R16, jul!R16, aug!R16, sep!R16, okt!R16)</f>
        <v>0</v>
      </c>
      <c r="S17">
        <f>SUM(mei!S16, jun!S16, jul!S16, aug!S16, sep!S16, okt!S16)</f>
        <v>0</v>
      </c>
      <c r="T17">
        <f>SUM(mei!T16, jun!T16, jul!T16, aug!T16, sep!T16, okt!T16)</f>
        <v>0</v>
      </c>
      <c r="U17">
        <f>SUM(mei!U16, jun!U16, jul!U16, aug!U16, sep!U16, okt!U16)</f>
        <v>0</v>
      </c>
      <c r="V17">
        <f>SUM(mei!V16, jun!V16, jul!V16, aug!V16, sep!V16, okt!V16)</f>
        <v>0</v>
      </c>
    </row>
    <row r="18" spans="1:22" x14ac:dyDescent="0.25">
      <c r="A18">
        <v>30</v>
      </c>
      <c r="B18">
        <f>SUM(mei!D17, jun!D17, jul!D17, aug!D17, sep!D17, okt!D17)</f>
        <v>0</v>
      </c>
      <c r="C18">
        <f>SUM(mei!E17, jun!E17, jul!E17, aug!E17, sep!E17, okt!E17)</f>
        <v>19</v>
      </c>
      <c r="D18">
        <f>SUM(mei!F17, jun!F17, jul!F17, aug!F17, sep!F17, okt!F17)</f>
        <v>14</v>
      </c>
      <c r="E18">
        <f>SUM(mei!G17, jun!G17, jul!G17, aug!G17, sep!G17, okt!G17)</f>
        <v>3</v>
      </c>
      <c r="F18">
        <f>SUM(mei!H17, jun!H17, jul!H17, aug!H17, sep!H17, okt!H17)</f>
        <v>0</v>
      </c>
      <c r="G18">
        <f>SUM(mei!I17, jun!I17, jul!I17, aug!I17, sep!I17, okt!I17)</f>
        <v>0</v>
      </c>
      <c r="H18">
        <f>SUM(mei!J17, jun!J17, jul!J17, aug!J17, sep!J17, okt!J17)</f>
        <v>0</v>
      </c>
      <c r="I18">
        <f>SUM(mei!K17, jun!K17, jul!K17, aug!K17, sep!K17, okt!K17)</f>
        <v>0</v>
      </c>
      <c r="J18">
        <f>SUM(mei!L17, jun!L17, jul!L17, aug!L17, sep!L17, okt!L17)</f>
        <v>0</v>
      </c>
      <c r="K18">
        <f>SUM(mei!M17, jun!M17, jul!M17, aug!M17, sep!M17, okt!M17)</f>
        <v>0</v>
      </c>
      <c r="L18">
        <f t="shared" si="0"/>
        <v>0</v>
      </c>
      <c r="N18">
        <f>SUM(mei!N17, jun!N17, jul!N17, aug!N17, sep!N17, okt!N17)</f>
        <v>0</v>
      </c>
      <c r="O18">
        <f>SUM(mei!O17, jun!O17, jul!O17, aug!O17, sep!O17, okt!O17)</f>
        <v>0</v>
      </c>
      <c r="P18">
        <f>SUM(mei!P17, jun!P17, jul!P17, aug!P17, sep!P17, okt!P17)</f>
        <v>0</v>
      </c>
      <c r="Q18">
        <f>SUM(mei!Q17, jun!Q17, jul!Q17, aug!Q17, sep!Q17, okt!Q17)</f>
        <v>0</v>
      </c>
      <c r="R18">
        <f>SUM(mei!R17, jun!R17, jul!R17, aug!R17, sep!R17, okt!R17)</f>
        <v>0</v>
      </c>
      <c r="S18">
        <f>SUM(mei!S17, jun!S17, jul!S17, aug!S17, sep!S17, okt!S17)</f>
        <v>0</v>
      </c>
      <c r="T18">
        <f>SUM(mei!T17, jun!T17, jul!T17, aug!T17, sep!T17, okt!T17)</f>
        <v>0</v>
      </c>
      <c r="U18">
        <f>SUM(mei!U17, jun!U17, jul!U17, aug!U17, sep!U17, okt!U17)</f>
        <v>0</v>
      </c>
      <c r="V18">
        <f>SUM(mei!V17, jun!V17, jul!V17, aug!V17, sep!V17, okt!V17)</f>
        <v>0</v>
      </c>
    </row>
    <row r="19" spans="1:22" x14ac:dyDescent="0.25">
      <c r="A19">
        <v>31</v>
      </c>
      <c r="B19">
        <f>SUM(mei!D18, jun!D18, jul!D18, aug!D18, sep!D18, okt!D18)</f>
        <v>0</v>
      </c>
      <c r="C19">
        <f>SUM(mei!E18, jun!E18, jul!E18, aug!E18, sep!E18, okt!E18)</f>
        <v>1</v>
      </c>
      <c r="D19">
        <f>SUM(mei!F18, jun!F18, jul!F18, aug!F18, sep!F18, okt!F18)</f>
        <v>20</v>
      </c>
      <c r="E19">
        <f>SUM(mei!G18, jun!G18, jul!G18, aug!G18, sep!G18, okt!G18)</f>
        <v>6</v>
      </c>
      <c r="F19">
        <f>SUM(mei!H18, jun!H18, jul!H18, aug!H18, sep!H18, okt!H18)</f>
        <v>0</v>
      </c>
      <c r="G19">
        <f>SUM(mei!I18, jun!I18, jul!I18, aug!I18, sep!I18, okt!I18)</f>
        <v>0</v>
      </c>
      <c r="H19">
        <f>SUM(mei!J18, jun!J18, jul!J18, aug!J18, sep!J18, okt!J18)</f>
        <v>0</v>
      </c>
      <c r="I19">
        <f>SUM(mei!K18, jun!K18, jul!K18, aug!K18, sep!K18, okt!K18)</f>
        <v>0</v>
      </c>
      <c r="J19">
        <f>SUM(mei!L18, jun!L18, jul!L18, aug!L18, sep!L18, okt!L18)</f>
        <v>0</v>
      </c>
      <c r="K19">
        <f>SUM(mei!M18, jun!M18, jul!M18, aug!M18, sep!M18, okt!M18)</f>
        <v>0</v>
      </c>
      <c r="L19">
        <f t="shared" si="0"/>
        <v>0</v>
      </c>
      <c r="N19">
        <f>SUM(mei!N18, jun!N18, jul!N18, aug!N18, sep!N18, okt!N18)</f>
        <v>0</v>
      </c>
      <c r="O19">
        <f>SUM(mei!O18, jun!O18, jul!O18, aug!O18, sep!O18, okt!O18)</f>
        <v>0</v>
      </c>
      <c r="P19">
        <f>SUM(mei!P18, jun!P18, jul!P18, aug!P18, sep!P18, okt!P18)</f>
        <v>0</v>
      </c>
      <c r="Q19">
        <f>SUM(mei!Q18, jun!Q18, jul!Q18, aug!Q18, sep!Q18, okt!Q18)</f>
        <v>0</v>
      </c>
      <c r="R19">
        <f>SUM(mei!R18, jun!R18, jul!R18, aug!R18, sep!R18, okt!R18)</f>
        <v>0</v>
      </c>
      <c r="S19">
        <f>SUM(mei!S18, jun!S18, jul!S18, aug!S18, sep!S18, okt!S18)</f>
        <v>0</v>
      </c>
      <c r="T19">
        <f>SUM(mei!T18, jun!T18, jul!T18, aug!T18, sep!T18, okt!T18)</f>
        <v>0</v>
      </c>
      <c r="U19">
        <f>SUM(mei!U18, jun!U18, jul!U18, aug!U18, sep!U18, okt!U18)</f>
        <v>0</v>
      </c>
      <c r="V19">
        <f>SUM(mei!V18, jun!V18, jul!V18, aug!V18, sep!V18, okt!V18)</f>
        <v>0</v>
      </c>
    </row>
    <row r="20" spans="1:22" x14ac:dyDescent="0.25">
      <c r="A20">
        <v>32</v>
      </c>
      <c r="B20">
        <f>SUM(mei!D19, jun!D19, jul!D19, aug!D19, sep!D19, okt!D19)</f>
        <v>0</v>
      </c>
      <c r="C20">
        <f>SUM(mei!E19, jun!E19, jul!E19, aug!E19, sep!E19, okt!E19)</f>
        <v>3</v>
      </c>
      <c r="D20">
        <f>SUM(mei!F19, jun!F19, jul!F19, aug!F19, sep!F19, okt!F19)</f>
        <v>31</v>
      </c>
      <c r="E20">
        <f>SUM(mei!G19, jun!G19, jul!G19, aug!G19, sep!G19, okt!G19)</f>
        <v>29</v>
      </c>
      <c r="F20">
        <f>SUM(mei!H19, jun!H19, jul!H19, aug!H19, sep!H19, okt!H19)</f>
        <v>0</v>
      </c>
      <c r="G20">
        <f>SUM(mei!I19, jun!I19, jul!I19, aug!I19, sep!I19, okt!I19)</f>
        <v>0</v>
      </c>
      <c r="H20">
        <f>SUM(mei!J19, jun!J19, jul!J19, aug!J19, sep!J19, okt!J19)</f>
        <v>0</v>
      </c>
      <c r="I20">
        <f>SUM(mei!K19, jun!K19, jul!K19, aug!K19, sep!K19, okt!K19)</f>
        <v>0</v>
      </c>
      <c r="J20">
        <f>SUM(mei!L19, jun!L19, jul!L19, aug!L19, sep!L19, okt!L19)</f>
        <v>0</v>
      </c>
      <c r="K20">
        <f>SUM(mei!M19, jun!M19, jul!M19, aug!M19, sep!M19, okt!M19)</f>
        <v>0</v>
      </c>
      <c r="L20">
        <f t="shared" si="0"/>
        <v>0</v>
      </c>
      <c r="N20">
        <f>SUM(mei!N19, jun!N19, jul!N19, aug!N19, sep!N19, okt!N19)</f>
        <v>0</v>
      </c>
      <c r="O20">
        <f>SUM(mei!O19, jun!O19, jul!O19, aug!O19, sep!O19, okt!O19)</f>
        <v>0</v>
      </c>
      <c r="P20">
        <f>SUM(mei!P19, jun!P19, jul!P19, aug!P19, sep!P19, okt!P19)</f>
        <v>0</v>
      </c>
      <c r="Q20">
        <f>SUM(mei!Q19, jun!Q19, jul!Q19, aug!Q19, sep!Q19, okt!Q19)</f>
        <v>0</v>
      </c>
      <c r="R20">
        <f>SUM(mei!R19, jun!R19, jul!R19, aug!R19, sep!R19, okt!R19)</f>
        <v>0</v>
      </c>
      <c r="S20">
        <f>SUM(mei!S19, jun!S19, jul!S19, aug!S19, sep!S19, okt!S19)</f>
        <v>0</v>
      </c>
      <c r="T20">
        <f>SUM(mei!T19, jun!T19, jul!T19, aug!T19, sep!T19, okt!T19)</f>
        <v>0</v>
      </c>
      <c r="U20">
        <f>SUM(mei!U19, jun!U19, jul!U19, aug!U19, sep!U19, okt!U19)</f>
        <v>0</v>
      </c>
      <c r="V20">
        <f>SUM(mei!V19, jun!V19, jul!V19, aug!V19, sep!V19, okt!V19)</f>
        <v>0</v>
      </c>
    </row>
    <row r="21" spans="1:22" x14ac:dyDescent="0.25">
      <c r="A21">
        <v>33</v>
      </c>
      <c r="B21">
        <f>SUM(mei!D20, jun!D20, jul!D20, aug!D20, sep!D20, okt!D20)</f>
        <v>0</v>
      </c>
      <c r="C21">
        <f>SUM(mei!E20, jun!E20, jul!E20, aug!E20, sep!E20, okt!E20)</f>
        <v>1</v>
      </c>
      <c r="D21">
        <f>SUM(mei!F20, jun!F20, jul!F20, aug!F20, sep!F20, okt!F20)</f>
        <v>44</v>
      </c>
      <c r="E21">
        <f>SUM(mei!G20, jun!G20, jul!G20, aug!G20, sep!G20, okt!G20)</f>
        <v>78</v>
      </c>
      <c r="F21">
        <f>SUM(mei!H20, jun!H20, jul!H20, aug!H20, sep!H20, okt!H20)</f>
        <v>3</v>
      </c>
      <c r="G21">
        <f>SUM(mei!I20, jun!I20, jul!I20, aug!I20, sep!I20, okt!I20)</f>
        <v>2</v>
      </c>
      <c r="H21">
        <f>SUM(mei!J20, jun!J20, jul!J20, aug!J20, sep!J20, okt!J20)</f>
        <v>0</v>
      </c>
      <c r="I21">
        <f>SUM(mei!K20, jun!K20, jul!K20, aug!K20, sep!K20, okt!K20)</f>
        <v>0</v>
      </c>
      <c r="J21">
        <f>SUM(mei!L20, jun!L20, jul!L20, aug!L20, sep!L20, okt!L20)</f>
        <v>0</v>
      </c>
      <c r="K21">
        <f>SUM(mei!M20, jun!M20, jul!M20, aug!M20, sep!M20, okt!M20)</f>
        <v>0</v>
      </c>
      <c r="L21">
        <f t="shared" si="0"/>
        <v>0</v>
      </c>
      <c r="N21">
        <f>SUM(mei!N20, jun!N20, jul!N20, aug!N20, sep!N20, okt!N20)</f>
        <v>0</v>
      </c>
      <c r="O21">
        <f>SUM(mei!O20, jun!O20, jul!O20, aug!O20, sep!O20, okt!O20)</f>
        <v>0</v>
      </c>
      <c r="P21">
        <f>SUM(mei!P20, jun!P20, jul!P20, aug!P20, sep!P20, okt!P20)</f>
        <v>0</v>
      </c>
      <c r="Q21">
        <f>SUM(mei!Q20, jun!Q20, jul!Q20, aug!Q20, sep!Q20, okt!Q20)</f>
        <v>0</v>
      </c>
      <c r="R21">
        <f>SUM(mei!R20, jun!R20, jul!R20, aug!R20, sep!R20, okt!R20)</f>
        <v>0</v>
      </c>
      <c r="S21">
        <f>SUM(mei!S20, jun!S20, jul!S20, aug!S20, sep!S20, okt!S20)</f>
        <v>0</v>
      </c>
      <c r="T21">
        <f>SUM(mei!T20, jun!T20, jul!T20, aug!T20, sep!T20, okt!T20)</f>
        <v>0</v>
      </c>
      <c r="U21">
        <f>SUM(mei!U20, jun!U20, jul!U20, aug!U20, sep!U20, okt!U20)</f>
        <v>0</v>
      </c>
      <c r="V21">
        <f>SUM(mei!V20, jun!V20, jul!V20, aug!V20, sep!V20, okt!V20)</f>
        <v>0</v>
      </c>
    </row>
    <row r="22" spans="1:22" x14ac:dyDescent="0.25">
      <c r="A22">
        <v>34</v>
      </c>
      <c r="B22">
        <f>SUM(mei!D21, jun!D21, jul!D21, aug!D21, sep!D21, okt!D21)</f>
        <v>0</v>
      </c>
      <c r="C22">
        <f>SUM(mei!E21, jun!E21, jul!E21, aug!E21, sep!E21, okt!E21)</f>
        <v>0</v>
      </c>
      <c r="D22">
        <f>SUM(mei!F21, jun!F21, jul!F21, aug!F21, sep!F21, okt!F21)</f>
        <v>107</v>
      </c>
      <c r="E22">
        <f>SUM(mei!G21, jun!G21, jul!G21, aug!G21, sep!G21, okt!G21)</f>
        <v>141</v>
      </c>
      <c r="F22">
        <f>SUM(mei!H21, jun!H21, jul!H21, aug!H21, sep!H21, okt!H21)</f>
        <v>26</v>
      </c>
      <c r="G22">
        <f>SUM(mei!I21, jun!I21, jul!I21, aug!I21, sep!I21, okt!I21)</f>
        <v>7</v>
      </c>
      <c r="H22">
        <f>SUM(mei!J21, jun!J21, jul!J21, aug!J21, sep!J21, okt!J21)</f>
        <v>0</v>
      </c>
      <c r="I22">
        <f>SUM(mei!K21, jun!K21, jul!K21, aug!K21, sep!K21, okt!K21)</f>
        <v>0</v>
      </c>
      <c r="J22">
        <f>SUM(mei!L21, jun!L21, jul!L21, aug!L21, sep!L21, okt!L21)</f>
        <v>0</v>
      </c>
      <c r="K22">
        <f>SUM(mei!M21, jun!M21, jul!M21, aug!M21, sep!M21, okt!M21)</f>
        <v>0</v>
      </c>
      <c r="L22">
        <f t="shared" si="0"/>
        <v>0</v>
      </c>
      <c r="N22">
        <f>SUM(mei!N21, jun!N21, jul!N21, aug!N21, sep!N21, okt!N21)</f>
        <v>0</v>
      </c>
      <c r="O22">
        <f>SUM(mei!O21, jun!O21, jul!O21, aug!O21, sep!O21, okt!O21)</f>
        <v>0</v>
      </c>
      <c r="P22">
        <f>SUM(mei!P21, jun!P21, jul!P21, aug!P21, sep!P21, okt!P21)</f>
        <v>0</v>
      </c>
      <c r="Q22">
        <f>SUM(mei!Q21, jun!Q21, jul!Q21, aug!Q21, sep!Q21, okt!Q21)</f>
        <v>0</v>
      </c>
      <c r="R22">
        <f>SUM(mei!R21, jun!R21, jul!R21, aug!R21, sep!R21, okt!R21)</f>
        <v>0</v>
      </c>
      <c r="S22">
        <f>SUM(mei!S21, jun!S21, jul!S21, aug!S21, sep!S21, okt!S21)</f>
        <v>0</v>
      </c>
      <c r="T22">
        <f>SUM(mei!T21, jun!T21, jul!T21, aug!T21, sep!T21, okt!T21)</f>
        <v>0</v>
      </c>
      <c r="U22">
        <f>SUM(mei!U21, jun!U21, jul!U21, aug!U21, sep!U21, okt!U21)</f>
        <v>0</v>
      </c>
      <c r="V22">
        <f>SUM(mei!V21, jun!V21, jul!V21, aug!V21, sep!V21, okt!V21)</f>
        <v>0</v>
      </c>
    </row>
    <row r="23" spans="1:22" x14ac:dyDescent="0.25">
      <c r="A23">
        <v>35</v>
      </c>
      <c r="B23">
        <f>SUM(mei!D22, jun!D22, jul!D22, aug!D22, sep!D22, okt!D22)</f>
        <v>0</v>
      </c>
      <c r="C23">
        <f>SUM(mei!E22, jun!E22, jul!E22, aug!E22, sep!E22, okt!E22)</f>
        <v>0</v>
      </c>
      <c r="D23">
        <f>SUM(mei!F22, jun!F22, jul!F22, aug!F22, sep!F22, okt!F22)</f>
        <v>0</v>
      </c>
      <c r="E23">
        <f>SUM(mei!G22, jun!G22, jul!G22, aug!G22, sep!G22, okt!G22)</f>
        <v>81</v>
      </c>
      <c r="F23">
        <f>SUM(mei!H22, jun!H22, jul!H22, aug!H22, sep!H22, okt!H22)</f>
        <v>101</v>
      </c>
      <c r="G23">
        <f>SUM(mei!I22, jun!I22, jul!I22, aug!I22, sep!I22, okt!I22)</f>
        <v>10</v>
      </c>
      <c r="H23">
        <f>SUM(mei!J22, jun!J22, jul!J22, aug!J22, sep!J22, okt!J22)</f>
        <v>0</v>
      </c>
      <c r="I23">
        <f>SUM(mei!K22, jun!K22, jul!K22, aug!K22, sep!K22, okt!K22)</f>
        <v>0</v>
      </c>
      <c r="J23">
        <f>SUM(mei!L22, jun!L22, jul!L22, aug!L22, sep!L22, okt!L22)</f>
        <v>0</v>
      </c>
      <c r="K23">
        <f>SUM(mei!M22, jun!M22, jul!M22, aug!M22, sep!M22, okt!M22)</f>
        <v>0</v>
      </c>
      <c r="L23">
        <f t="shared" si="0"/>
        <v>0</v>
      </c>
      <c r="N23">
        <f>SUM(mei!N22, jun!N22, jul!N22, aug!N22, sep!N22, okt!N22)</f>
        <v>0</v>
      </c>
      <c r="O23">
        <f>SUM(mei!O22, jun!O22, jul!O22, aug!O22, sep!O22, okt!O22)</f>
        <v>0</v>
      </c>
      <c r="P23">
        <f>SUM(mei!P22, jun!P22, jul!P22, aug!P22, sep!P22, okt!P22)</f>
        <v>0</v>
      </c>
      <c r="Q23">
        <f>SUM(mei!Q22, jun!Q22, jul!Q22, aug!Q22, sep!Q22, okt!Q22)</f>
        <v>0</v>
      </c>
      <c r="R23">
        <f>SUM(mei!R22, jun!R22, jul!R22, aug!R22, sep!R22, okt!R22)</f>
        <v>0</v>
      </c>
      <c r="S23">
        <f>SUM(mei!S22, jun!S22, jul!S22, aug!S22, sep!S22, okt!S22)</f>
        <v>0</v>
      </c>
      <c r="T23">
        <f>SUM(mei!T22, jun!T22, jul!T22, aug!T22, sep!T22, okt!T22)</f>
        <v>0</v>
      </c>
      <c r="U23">
        <f>SUM(mei!U22, jun!U22, jul!U22, aug!U22, sep!U22, okt!U22)</f>
        <v>0</v>
      </c>
      <c r="V23">
        <f>SUM(mei!V22, jun!V22, jul!V22, aug!V22, sep!V22, okt!V22)</f>
        <v>0</v>
      </c>
    </row>
    <row r="24" spans="1:22" x14ac:dyDescent="0.25">
      <c r="A24">
        <v>36</v>
      </c>
      <c r="B24">
        <f>SUM(mei!D23, jun!D23, jul!D23, aug!D23, sep!D23, okt!D23)</f>
        <v>0</v>
      </c>
      <c r="C24">
        <f>SUM(mei!E23, jun!E23, jul!E23, aug!E23, sep!E23, okt!E23)</f>
        <v>0</v>
      </c>
      <c r="D24">
        <f>SUM(mei!F23, jun!F23, jul!F23, aug!F23, sep!F23, okt!F23)</f>
        <v>1</v>
      </c>
      <c r="E24">
        <f>SUM(mei!G23, jun!G23, jul!G23, aug!G23, sep!G23, okt!G23)</f>
        <v>37</v>
      </c>
      <c r="F24">
        <f>SUM(mei!H23, jun!H23, jul!H23, aug!H23, sep!H23, okt!H23)</f>
        <v>181</v>
      </c>
      <c r="G24">
        <f>SUM(mei!I23, jun!I23, jul!I23, aug!I23, sep!I23, okt!I23)</f>
        <v>34</v>
      </c>
      <c r="H24">
        <f>SUM(mei!J23, jun!J23, jul!J23, aug!J23, sep!J23, okt!J23)</f>
        <v>0</v>
      </c>
      <c r="I24">
        <f>SUM(mei!K23, jun!K23, jul!K23, aug!K23, sep!K23, okt!K23)</f>
        <v>0</v>
      </c>
      <c r="J24">
        <f>SUM(mei!L23, jun!L23, jul!L23, aug!L23, sep!L23, okt!L23)</f>
        <v>0</v>
      </c>
      <c r="K24">
        <f>SUM(mei!M23, jun!M23, jul!M23, aug!M23, sep!M23, okt!M23)</f>
        <v>0</v>
      </c>
      <c r="L24">
        <f t="shared" si="0"/>
        <v>0</v>
      </c>
      <c r="N24">
        <f>SUM(mei!N23, jun!N23, jul!N23, aug!N23, sep!N23, okt!N23)</f>
        <v>0</v>
      </c>
      <c r="O24">
        <f>SUM(mei!O23, jun!O23, jul!O23, aug!O23, sep!O23, okt!O23)</f>
        <v>0</v>
      </c>
      <c r="P24">
        <f>SUM(mei!P23, jun!P23, jul!P23, aug!P23, sep!P23, okt!P23)</f>
        <v>0</v>
      </c>
      <c r="Q24">
        <f>SUM(mei!Q23, jun!Q23, jul!Q23, aug!Q23, sep!Q23, okt!Q23)</f>
        <v>0</v>
      </c>
      <c r="R24">
        <f>SUM(mei!R23, jun!R23, jul!R23, aug!R23, sep!R23, okt!R23)</f>
        <v>0</v>
      </c>
      <c r="S24">
        <f>SUM(mei!S23, jun!S23, jul!S23, aug!S23, sep!S23, okt!S23)</f>
        <v>0</v>
      </c>
      <c r="T24">
        <f>SUM(mei!T23, jun!T23, jul!T23, aug!T23, sep!T23, okt!T23)</f>
        <v>0</v>
      </c>
      <c r="U24">
        <f>SUM(mei!U23, jun!U23, jul!U23, aug!U23, sep!U23, okt!U23)</f>
        <v>0</v>
      </c>
      <c r="V24">
        <f>SUM(mei!V23, jun!V23, jul!V23, aug!V23, sep!V23, okt!V23)</f>
        <v>0</v>
      </c>
    </row>
    <row r="25" spans="1:22" x14ac:dyDescent="0.25">
      <c r="A25">
        <v>37</v>
      </c>
      <c r="B25">
        <f>SUM(mei!D24, jun!D24, jul!D24, aug!D24, sep!D24, okt!D24)</f>
        <v>0</v>
      </c>
      <c r="C25">
        <f>SUM(mei!E24, jun!E24, jul!E24, aug!E24, sep!E24, okt!E24)</f>
        <v>0</v>
      </c>
      <c r="D25">
        <f>SUM(mei!F24, jun!F24, jul!F24, aug!F24, sep!F24, okt!F24)</f>
        <v>0</v>
      </c>
      <c r="E25">
        <f>SUM(mei!G24, jun!G24, jul!G24, aug!G24, sep!G24, okt!G24)</f>
        <v>6</v>
      </c>
      <c r="F25">
        <f>SUM(mei!H24, jun!H24, jul!H24, aug!H24, sep!H24, okt!H24)</f>
        <v>112</v>
      </c>
      <c r="G25">
        <f>SUM(mei!I24, jun!I24, jul!I24, aug!I24, sep!I24, okt!I24)</f>
        <v>105</v>
      </c>
      <c r="H25">
        <f>SUM(mei!J24, jun!J24, jul!J24, aug!J24, sep!J24, okt!J24)</f>
        <v>5</v>
      </c>
      <c r="I25">
        <f>SUM(mei!K24, jun!K24, jul!K24, aug!K24, sep!K24, okt!K24)</f>
        <v>1</v>
      </c>
      <c r="J25">
        <f>SUM(mei!L24, jun!L24, jul!L24, aug!L24, sep!L24, okt!L24)</f>
        <v>0</v>
      </c>
      <c r="K25">
        <f>SUM(mei!M24, jun!M24, jul!M24, aug!M24, sep!M24, okt!M24)</f>
        <v>0</v>
      </c>
      <c r="L25">
        <f t="shared" si="0"/>
        <v>0</v>
      </c>
      <c r="N25">
        <f>SUM(mei!N24, jun!N24, jul!N24, aug!N24, sep!N24, okt!N24)</f>
        <v>0</v>
      </c>
      <c r="O25">
        <f>SUM(mei!O24, jun!O24, jul!O24, aug!O24, sep!O24, okt!O24)</f>
        <v>0</v>
      </c>
      <c r="P25">
        <f>SUM(mei!P24, jun!P24, jul!P24, aug!P24, sep!P24, okt!P24)</f>
        <v>0</v>
      </c>
      <c r="Q25">
        <f>SUM(mei!Q24, jun!Q24, jul!Q24, aug!Q24, sep!Q24, okt!Q24)</f>
        <v>0</v>
      </c>
      <c r="R25">
        <f>SUM(mei!R24, jun!R24, jul!R24, aug!R24, sep!R24, okt!R24)</f>
        <v>0</v>
      </c>
      <c r="S25">
        <f>SUM(mei!S24, jun!S24, jul!S24, aug!S24, sep!S24, okt!S24)</f>
        <v>0</v>
      </c>
      <c r="T25">
        <f>SUM(mei!T24, jun!T24, jul!T24, aug!T24, sep!T24, okt!T24)</f>
        <v>0</v>
      </c>
      <c r="U25">
        <f>SUM(mei!U24, jun!U24, jul!U24, aug!U24, sep!U24, okt!U24)</f>
        <v>0</v>
      </c>
      <c r="V25">
        <f>SUM(mei!V24, jun!V24, jul!V24, aug!V24, sep!V24, okt!V24)</f>
        <v>0</v>
      </c>
    </row>
    <row r="26" spans="1:22" x14ac:dyDescent="0.25">
      <c r="A26">
        <v>38</v>
      </c>
      <c r="B26">
        <f>SUM(mei!D25, jun!D25, jul!D25, aug!D25, sep!D25, okt!D25)</f>
        <v>0</v>
      </c>
      <c r="C26">
        <f>SUM(mei!E25, jun!E25, jul!E25, aug!E25, sep!E25, okt!E25)</f>
        <v>0</v>
      </c>
      <c r="D26">
        <f>SUM(mei!F25, jun!F25, jul!F25, aug!F25, sep!F25, okt!F25)</f>
        <v>0</v>
      </c>
      <c r="E26">
        <f>SUM(mei!G25, jun!G25, jul!G25, aug!G25, sep!G25, okt!G25)</f>
        <v>1</v>
      </c>
      <c r="F26">
        <f>SUM(mei!H25, jun!H25, jul!H25, aug!H25, sep!H25, okt!H25)</f>
        <v>35</v>
      </c>
      <c r="G26">
        <f>SUM(mei!I25, jun!I25, jul!I25, aug!I25, sep!I25, okt!I25)</f>
        <v>143</v>
      </c>
      <c r="H26">
        <f>SUM(mei!J25, jun!J25, jul!J25, aug!J25, sep!J25, okt!J25)</f>
        <v>15</v>
      </c>
      <c r="I26">
        <f>SUM(mei!K25, jun!K25, jul!K25, aug!K25, sep!K25, okt!K25)</f>
        <v>1</v>
      </c>
      <c r="J26">
        <f>SUM(mei!L25, jun!L25, jul!L25, aug!L25, sep!L25, okt!L25)</f>
        <v>0</v>
      </c>
      <c r="K26">
        <f>SUM(mei!M25, jun!M25, jul!M25, aug!M25, sep!M25, okt!M25)</f>
        <v>0</v>
      </c>
      <c r="L26">
        <f t="shared" si="0"/>
        <v>0</v>
      </c>
      <c r="N26">
        <f>SUM(mei!N25, jun!N25, jul!N25, aug!N25, sep!N25, okt!N25)</f>
        <v>0</v>
      </c>
      <c r="O26">
        <f>SUM(mei!O25, jun!O25, jul!O25, aug!O25, sep!O25, okt!O25)</f>
        <v>0</v>
      </c>
      <c r="P26">
        <f>SUM(mei!P25, jun!P25, jul!P25, aug!P25, sep!P25, okt!P25)</f>
        <v>0</v>
      </c>
      <c r="Q26">
        <f>SUM(mei!Q25, jun!Q25, jul!Q25, aug!Q25, sep!Q25, okt!Q25)</f>
        <v>0</v>
      </c>
      <c r="R26">
        <f>SUM(mei!R25, jun!R25, jul!R25, aug!R25, sep!R25, okt!R25)</f>
        <v>0</v>
      </c>
      <c r="S26">
        <f>SUM(mei!S25, jun!S25, jul!S25, aug!S25, sep!S25, okt!S25)</f>
        <v>0</v>
      </c>
      <c r="T26">
        <f>SUM(mei!T25, jun!T25, jul!T25, aug!T25, sep!T25, okt!T25)</f>
        <v>0</v>
      </c>
      <c r="U26">
        <f>SUM(mei!U25, jun!U25, jul!U25, aug!U25, sep!U25, okt!U25)</f>
        <v>0</v>
      </c>
      <c r="V26">
        <f>SUM(mei!V25, jun!V25, jul!V25, aug!V25, sep!V25, okt!V25)</f>
        <v>0</v>
      </c>
    </row>
    <row r="27" spans="1:22" x14ac:dyDescent="0.25">
      <c r="A27">
        <v>39</v>
      </c>
      <c r="B27">
        <f>SUM(mei!D26, jun!D26, jul!D26, aug!D26, sep!D26, okt!D26)</f>
        <v>0</v>
      </c>
      <c r="C27">
        <f>SUM(mei!E26, jun!E26, jul!E26, aug!E26, sep!E26, okt!E26)</f>
        <v>0</v>
      </c>
      <c r="D27">
        <f>SUM(mei!F26, jun!F26, jul!F26, aug!F26, sep!F26, okt!F26)</f>
        <v>0</v>
      </c>
      <c r="E27">
        <f>SUM(mei!G26, jun!G26, jul!G26, aug!G26, sep!G26, okt!G26)</f>
        <v>0</v>
      </c>
      <c r="F27">
        <f>SUM(mei!H26, jun!H26, jul!H26, aug!H26, sep!H26, okt!H26)</f>
        <v>4</v>
      </c>
      <c r="G27">
        <f>SUM(mei!I26, jun!I26, jul!I26, aug!I26, sep!I26, okt!I26)</f>
        <v>137</v>
      </c>
      <c r="H27">
        <f>SUM(mei!J26, jun!J26, jul!J26, aug!J26, sep!J26, okt!J26)</f>
        <v>89</v>
      </c>
      <c r="I27">
        <f>SUM(mei!K26, jun!K26, jul!K26, aug!K26, sep!K26, okt!K26)</f>
        <v>7</v>
      </c>
      <c r="J27">
        <f>SUM(mei!L26, jun!L26, jul!L26, aug!L26, sep!L26, okt!L26)</f>
        <v>0</v>
      </c>
      <c r="K27">
        <f>SUM(mei!M26, jun!M26, jul!M26, aug!M26, sep!M26, okt!M26)</f>
        <v>0</v>
      </c>
      <c r="L27">
        <f t="shared" si="0"/>
        <v>0</v>
      </c>
      <c r="N27">
        <f>SUM(mei!N26, jun!N26, jul!N26, aug!N26, sep!N26, okt!N26)</f>
        <v>0</v>
      </c>
      <c r="O27">
        <f>SUM(mei!O26, jun!O26, jul!O26, aug!O26, sep!O26, okt!O26)</f>
        <v>0</v>
      </c>
      <c r="P27">
        <f>SUM(mei!P26, jun!P26, jul!P26, aug!P26, sep!P26, okt!P26)</f>
        <v>0</v>
      </c>
      <c r="Q27">
        <f>SUM(mei!Q26, jun!Q26, jul!Q26, aug!Q26, sep!Q26, okt!Q26)</f>
        <v>0</v>
      </c>
      <c r="R27">
        <f>SUM(mei!R26, jun!R26, jul!R26, aug!R26, sep!R26, okt!R26)</f>
        <v>0</v>
      </c>
      <c r="S27">
        <f>SUM(mei!S26, jun!S26, jul!S26, aug!S26, sep!S26, okt!S26)</f>
        <v>0</v>
      </c>
      <c r="T27">
        <f>SUM(mei!T26, jun!T26, jul!T26, aug!T26, sep!T26, okt!T26)</f>
        <v>0</v>
      </c>
      <c r="U27">
        <f>SUM(mei!U26, jun!U26, jul!U26, aug!U26, sep!U26, okt!U26)</f>
        <v>0</v>
      </c>
      <c r="V27">
        <f>SUM(mei!V26, jun!V26, jul!V26, aug!V26, sep!V26, okt!V26)</f>
        <v>0</v>
      </c>
    </row>
    <row r="28" spans="1:22" x14ac:dyDescent="0.25">
      <c r="A28">
        <v>40</v>
      </c>
      <c r="B28">
        <f>SUM(mei!D27, jun!D27, jul!D27, aug!D27, sep!D27, okt!D27)</f>
        <v>0</v>
      </c>
      <c r="C28">
        <f>SUM(mei!E27, jun!E27, jul!E27, aug!E27, sep!E27, okt!E27)</f>
        <v>0</v>
      </c>
      <c r="D28">
        <f>SUM(mei!F27, jun!F27, jul!F27, aug!F27, sep!F27, okt!F27)</f>
        <v>0</v>
      </c>
      <c r="E28">
        <f>SUM(mei!G27, jun!G27, jul!G27, aug!G27, sep!G27, okt!G27)</f>
        <v>0</v>
      </c>
      <c r="F28">
        <f>SUM(mei!H27, jun!H27, jul!H27, aug!H27, sep!H27, okt!H27)</f>
        <v>5</v>
      </c>
      <c r="G28">
        <f>SUM(mei!I27, jun!I27, jul!I27, aug!I27, sep!I27, okt!I27)</f>
        <v>52</v>
      </c>
      <c r="H28">
        <f>SUM(mei!J27, jun!J27, jul!J27, aug!J27, sep!J27, okt!J27)</f>
        <v>128</v>
      </c>
      <c r="I28">
        <f>SUM(mei!K27, jun!K27, jul!K27, aug!K27, sep!K27, okt!K27)</f>
        <v>13</v>
      </c>
      <c r="J28">
        <f>SUM(mei!L27, jun!L27, jul!L27, aug!L27, sep!L27, okt!L27)</f>
        <v>0</v>
      </c>
      <c r="K28">
        <f>SUM(mei!M27, jun!M27, jul!M27, aug!M27, sep!M27, okt!M27)</f>
        <v>0</v>
      </c>
      <c r="L28">
        <f t="shared" si="0"/>
        <v>0</v>
      </c>
      <c r="N28">
        <f>SUM(mei!N27, jun!N27, jul!N27, aug!N27, sep!N27, okt!N27)</f>
        <v>0</v>
      </c>
      <c r="O28">
        <f>SUM(mei!O27, jun!O27, jul!O27, aug!O27, sep!O27, okt!O27)</f>
        <v>0</v>
      </c>
      <c r="P28">
        <f>SUM(mei!P27, jun!P27, jul!P27, aug!P27, sep!P27, okt!P27)</f>
        <v>0</v>
      </c>
      <c r="Q28">
        <f>SUM(mei!Q27, jun!Q27, jul!Q27, aug!Q27, sep!Q27, okt!Q27)</f>
        <v>0</v>
      </c>
      <c r="R28">
        <f>SUM(mei!R27, jun!R27, jul!R27, aug!R27, sep!R27, okt!R27)</f>
        <v>0</v>
      </c>
      <c r="S28">
        <f>SUM(mei!S27, jun!S27, jul!S27, aug!S27, sep!S27, okt!S27)</f>
        <v>0</v>
      </c>
      <c r="T28">
        <f>SUM(mei!T27, jun!T27, jul!T27, aug!T27, sep!T27, okt!T27)</f>
        <v>0</v>
      </c>
      <c r="U28">
        <f>SUM(mei!U27, jun!U27, jul!U27, aug!U27, sep!U27, okt!U27)</f>
        <v>0</v>
      </c>
      <c r="V28">
        <f>SUM(mei!V27, jun!V27, jul!V27, aug!V27, sep!V27, okt!V27)</f>
        <v>0</v>
      </c>
    </row>
    <row r="29" spans="1:22" x14ac:dyDescent="0.25">
      <c r="A29">
        <v>41</v>
      </c>
      <c r="B29">
        <f>SUM(mei!D28, jun!D28, jul!D28, aug!D28, sep!D28, okt!D28)</f>
        <v>0</v>
      </c>
      <c r="C29">
        <f>SUM(mei!E28, jun!E28, jul!E28, aug!E28, sep!E28, okt!E28)</f>
        <v>0</v>
      </c>
      <c r="D29">
        <f>SUM(mei!F28, jun!F28, jul!F28, aug!F28, sep!F28, okt!F28)</f>
        <v>0</v>
      </c>
      <c r="E29">
        <f>SUM(mei!G28, jun!G28, jul!G28, aug!G28, sep!G28, okt!G28)</f>
        <v>0</v>
      </c>
      <c r="F29">
        <f>SUM(mei!H28, jun!H28, jul!H28, aug!H28, sep!H28, okt!H28)</f>
        <v>0</v>
      </c>
      <c r="G29">
        <f>SUM(mei!I28, jun!I28, jul!I28, aug!I28, sep!I28, okt!I28)</f>
        <v>12</v>
      </c>
      <c r="H29">
        <f>SUM(mei!J28, jun!J28, jul!J28, aug!J28, sep!J28, okt!J28)</f>
        <v>45</v>
      </c>
      <c r="I29">
        <f>SUM(mei!K28, jun!K28, jul!K28, aug!K28, sep!K28, okt!K28)</f>
        <v>49</v>
      </c>
      <c r="J29">
        <f>SUM(mei!L28, jun!L28, jul!L28, aug!L28, sep!L28, okt!L28)</f>
        <v>3</v>
      </c>
      <c r="K29">
        <f>SUM(mei!M28, jun!M28, jul!M28, aug!M28, sep!M28, okt!M28)</f>
        <v>0</v>
      </c>
      <c r="L29">
        <f t="shared" si="0"/>
        <v>0</v>
      </c>
      <c r="N29">
        <f>SUM(mei!N28, jun!N28, jul!N28, aug!N28, sep!N28, okt!N28)</f>
        <v>0</v>
      </c>
      <c r="O29">
        <f>SUM(mei!O28, jun!O28, jul!O28, aug!O28, sep!O28, okt!O28)</f>
        <v>0</v>
      </c>
      <c r="P29">
        <f>SUM(mei!P28, jun!P28, jul!P28, aug!P28, sep!P28, okt!P28)</f>
        <v>0</v>
      </c>
      <c r="Q29">
        <f>SUM(mei!Q28, jun!Q28, jul!Q28, aug!Q28, sep!Q28, okt!Q28)</f>
        <v>0</v>
      </c>
      <c r="R29">
        <f>SUM(mei!R28, jun!R28, jul!R28, aug!R28, sep!R28, okt!R28)</f>
        <v>0</v>
      </c>
      <c r="S29">
        <f>SUM(mei!S28, jun!S28, jul!S28, aug!S28, sep!S28, okt!S28)</f>
        <v>0</v>
      </c>
      <c r="T29">
        <f>SUM(mei!T28, jun!T28, jul!T28, aug!T28, sep!T28, okt!T28)</f>
        <v>0</v>
      </c>
      <c r="U29">
        <f>SUM(mei!U28, jun!U28, jul!U28, aug!U28, sep!U28, okt!U28)</f>
        <v>0</v>
      </c>
      <c r="V29">
        <f>SUM(mei!V28, jun!V28, jul!V28, aug!V28, sep!V28, okt!V28)</f>
        <v>0</v>
      </c>
    </row>
    <row r="30" spans="1:22" x14ac:dyDescent="0.25">
      <c r="A30">
        <v>42</v>
      </c>
      <c r="B30">
        <f>SUM(mei!D29, jun!D29, jul!D29, aug!D29, sep!D29, okt!D29)</f>
        <v>0</v>
      </c>
      <c r="C30">
        <f>SUM(mei!E29, jun!E29, jul!E29, aug!E29, sep!E29, okt!E29)</f>
        <v>0</v>
      </c>
      <c r="D30">
        <f>SUM(mei!F29, jun!F29, jul!F29, aug!F29, sep!F29, okt!F29)</f>
        <v>0</v>
      </c>
      <c r="E30">
        <f>SUM(mei!G29, jun!G29, jul!G29, aug!G29, sep!G29, okt!G29)</f>
        <v>0</v>
      </c>
      <c r="F30">
        <f>SUM(mei!H29, jun!H29, jul!H29, aug!H29, sep!H29, okt!H29)</f>
        <v>0</v>
      </c>
      <c r="G30">
        <f>SUM(mei!I29, jun!I29, jul!I29, aug!I29, sep!I29, okt!I29)</f>
        <v>1</v>
      </c>
      <c r="H30">
        <f>SUM(mei!J29, jun!J29, jul!J29, aug!J29, sep!J29, okt!J29)</f>
        <v>50</v>
      </c>
      <c r="I30">
        <f>SUM(mei!K29, jun!K29, jul!K29, aug!K29, sep!K29, okt!K29)</f>
        <v>39</v>
      </c>
      <c r="J30">
        <f>SUM(mei!L29, jun!L29, jul!L29, aug!L29, sep!L29, okt!L29)</f>
        <v>24</v>
      </c>
      <c r="K30">
        <f>SUM(mei!M29, jun!M29, jul!M29, aug!M29, sep!M29, okt!M29)</f>
        <v>2</v>
      </c>
      <c r="L30">
        <f t="shared" si="0"/>
        <v>0</v>
      </c>
      <c r="N30">
        <f>SUM(mei!N29, jun!N29, jul!N29, aug!N29, sep!N29, okt!N29)</f>
        <v>0</v>
      </c>
      <c r="O30">
        <f>SUM(mei!O29, jun!O29, jul!O29, aug!O29, sep!O29, okt!O29)</f>
        <v>0</v>
      </c>
      <c r="P30">
        <f>SUM(mei!P29, jun!P29, jul!P29, aug!P29, sep!P29, okt!P29)</f>
        <v>0</v>
      </c>
      <c r="Q30">
        <f>SUM(mei!Q29, jun!Q29, jul!Q29, aug!Q29, sep!Q29, okt!Q29)</f>
        <v>0</v>
      </c>
      <c r="R30">
        <f>SUM(mei!R29, jun!R29, jul!R29, aug!R29, sep!R29, okt!R29)</f>
        <v>0</v>
      </c>
      <c r="S30">
        <f>SUM(mei!S29, jun!S29, jul!S29, aug!S29, sep!S29, okt!S29)</f>
        <v>0</v>
      </c>
      <c r="T30">
        <f>SUM(mei!T29, jun!T29, jul!T29, aug!T29, sep!T29, okt!T29)</f>
        <v>0</v>
      </c>
      <c r="U30">
        <f>SUM(mei!U29, jun!U29, jul!U29, aug!U29, sep!U29, okt!U29)</f>
        <v>0</v>
      </c>
      <c r="V30">
        <f>SUM(mei!V29, jun!V29, jul!V29, aug!V29, sep!V29, okt!V29)</f>
        <v>0</v>
      </c>
    </row>
    <row r="31" spans="1:22" s="38" customFormat="1" x14ac:dyDescent="0.25">
      <c r="A31" s="38">
        <v>43</v>
      </c>
      <c r="B31" s="38">
        <f>SUM(mei!D30, jun!D30, jul!D30, aug!D30, sep!D30, okt!D30)</f>
        <v>0</v>
      </c>
      <c r="C31" s="38">
        <f>SUM(mei!E30, jun!E30, jul!E30, aug!E30, sep!E30, okt!E30)</f>
        <v>0</v>
      </c>
      <c r="D31" s="38">
        <f>SUM(mei!F30, jun!F30, jul!F30, aug!F30, sep!F30, okt!F30)</f>
        <v>0</v>
      </c>
      <c r="E31" s="38">
        <f>SUM(mei!G30, jun!G30, jul!G30, aug!G30, sep!G30, okt!G30)</f>
        <v>0</v>
      </c>
      <c r="F31" s="38">
        <f>SUM(mei!H30, jun!H30, jul!H30, aug!H30, sep!H30, okt!H30)</f>
        <v>0</v>
      </c>
      <c r="G31" s="38">
        <f>SUM(mei!I30, jun!I30, jul!I30, aug!I30, sep!I30, okt!I30)</f>
        <v>4</v>
      </c>
      <c r="H31" s="38">
        <f>SUM(mei!J30, jun!J30, jul!J30, aug!J30, sep!J30, okt!J30)</f>
        <v>27</v>
      </c>
      <c r="I31" s="38">
        <f>SUM(mei!K30, jun!K30, jul!K30, aug!K30, sep!K30, okt!K30)</f>
        <v>41</v>
      </c>
      <c r="J31" s="38">
        <f>SUM(mei!L30, jun!L30, jul!L30, aug!L30, sep!L30, okt!L30)</f>
        <v>19</v>
      </c>
      <c r="K31" s="38">
        <f>SUM(mei!M30, jun!M30, jul!M30, aug!M30, sep!M30, okt!M30)</f>
        <v>2</v>
      </c>
      <c r="L31">
        <f t="shared" si="0"/>
        <v>1</v>
      </c>
      <c r="N31" s="38">
        <f>SUM(mei!N30, jun!N30, jul!N30, aug!N30, sep!N30, okt!N30)</f>
        <v>1</v>
      </c>
      <c r="O31" s="38">
        <f>SUM(mei!O30, jun!O30, jul!O30, aug!O30, sep!O30, okt!O30)</f>
        <v>0</v>
      </c>
      <c r="P31" s="38">
        <f>SUM(mei!P30, jun!P30, jul!P30, aug!P30, sep!P30, okt!P30)</f>
        <v>0</v>
      </c>
      <c r="Q31" s="38">
        <f>SUM(mei!Q30, jun!Q30, jul!Q30, aug!Q30, sep!Q30, okt!Q30)</f>
        <v>0</v>
      </c>
      <c r="R31" s="38">
        <f>SUM(mei!R30, jun!R30, jul!R30, aug!R30, sep!R30, okt!R30)</f>
        <v>0</v>
      </c>
      <c r="S31" s="38">
        <f>SUM(mei!S30, jun!S30, jul!S30, aug!S30, sep!S30, okt!S30)</f>
        <v>0</v>
      </c>
      <c r="T31" s="38">
        <f>SUM(mei!T30, jun!T30, jul!T30, aug!T30, sep!T30, okt!T30)</f>
        <v>0</v>
      </c>
      <c r="U31" s="38">
        <f>SUM(mei!U30, jun!U30, jul!U30, aug!U30, sep!U30, okt!U30)</f>
        <v>0</v>
      </c>
      <c r="V31" s="38">
        <f>SUM(mei!V30, jun!V30, jul!V30, aug!V30, sep!V30, okt!V30)</f>
        <v>0</v>
      </c>
    </row>
    <row r="32" spans="1:22" x14ac:dyDescent="0.25">
      <c r="A32">
        <v>44</v>
      </c>
      <c r="B32">
        <f>SUM(mei!D31, jun!D31, jul!D31, aug!D31, sep!D31, okt!D31)</f>
        <v>0</v>
      </c>
      <c r="C32">
        <f>SUM(mei!E31, jun!E31, jul!E31, aug!E31, sep!E31, okt!E31)</f>
        <v>0</v>
      </c>
      <c r="D32">
        <f>SUM(mei!F31, jun!F31, jul!F31, aug!F31, sep!F31, okt!F31)</f>
        <v>0</v>
      </c>
      <c r="E32">
        <f>SUM(mei!G31, jun!G31, jul!G31, aug!G31, sep!G31, okt!G31)</f>
        <v>0</v>
      </c>
      <c r="F32">
        <f>SUM(mei!H31, jun!H31, jul!H31, aug!H31, sep!H31, okt!H31)</f>
        <v>0</v>
      </c>
      <c r="G32">
        <f>SUM(mei!I31, jun!I31, jul!I31, aug!I31, sep!I31, okt!I31)</f>
        <v>0</v>
      </c>
      <c r="H32">
        <f>SUM(mei!J31, jun!J31, jul!J31, aug!J31, sep!J31, okt!J31)</f>
        <v>1</v>
      </c>
      <c r="I32">
        <f>SUM(mei!K31, jun!K31, jul!K31, aug!K31, sep!K31, okt!K31)</f>
        <v>32</v>
      </c>
      <c r="J32">
        <f>SUM(mei!L31, jun!L31, jul!L31, aug!L31, sep!L31, okt!L31)</f>
        <v>25</v>
      </c>
      <c r="K32">
        <f>SUM(mei!M31, jun!M31, jul!M31, aug!M31, sep!M31, okt!M31)</f>
        <v>24</v>
      </c>
      <c r="L32">
        <f t="shared" si="0"/>
        <v>1</v>
      </c>
      <c r="N32">
        <f>SUM(mei!N31, jun!N31, jul!N31, aug!N31, sep!N31, okt!N31)</f>
        <v>1</v>
      </c>
      <c r="O32">
        <f>SUM(mei!O31, jun!O31, jul!O31, aug!O31, sep!O31, okt!O31)</f>
        <v>0</v>
      </c>
      <c r="P32">
        <f>SUM(mei!P31, jun!P31, jul!P31, aug!P31, sep!P31, okt!P31)</f>
        <v>0</v>
      </c>
      <c r="Q32">
        <f>SUM(mei!Q31, jun!Q31, jul!Q31, aug!Q31, sep!Q31, okt!Q31)</f>
        <v>0</v>
      </c>
      <c r="R32">
        <f>SUM(mei!R31, jun!R31, jul!R31, aug!R31, sep!R31, okt!R31)</f>
        <v>0</v>
      </c>
      <c r="S32">
        <f>SUM(mei!S31, jun!S31, jul!S31, aug!S31, sep!S31, okt!S31)</f>
        <v>0</v>
      </c>
      <c r="T32">
        <f>SUM(mei!T31, jun!T31, jul!T31, aug!T31, sep!T31, okt!T31)</f>
        <v>0</v>
      </c>
      <c r="U32">
        <f>SUM(mei!U31, jun!U31, jul!U31, aug!U31, sep!U31, okt!U31)</f>
        <v>0</v>
      </c>
      <c r="V32">
        <f>SUM(mei!V31, jun!V31, jul!V31, aug!V31, sep!V31, okt!V31)</f>
        <v>0</v>
      </c>
    </row>
    <row r="33" spans="1:22" x14ac:dyDescent="0.25">
      <c r="A33">
        <v>45</v>
      </c>
      <c r="B33">
        <f>SUM(mei!D32, jun!D32, jul!D32, aug!D32, sep!D32, okt!D32)</f>
        <v>0</v>
      </c>
      <c r="C33">
        <f>SUM(mei!E32, jun!E32, jul!E32, aug!E32, sep!E32, okt!E32)</f>
        <v>0</v>
      </c>
      <c r="D33">
        <f>SUM(mei!F32, jun!F32, jul!F32, aug!F32, sep!F32, okt!F32)</f>
        <v>0</v>
      </c>
      <c r="E33">
        <f>SUM(mei!G32, jun!G32, jul!G32, aug!G32, sep!G32, okt!G32)</f>
        <v>0</v>
      </c>
      <c r="F33">
        <f>SUM(mei!H32, jun!H32, jul!H32, aug!H32, sep!H32, okt!H32)</f>
        <v>0</v>
      </c>
      <c r="G33">
        <f>SUM(mei!I32, jun!I32, jul!I32, aug!I32, sep!I32, okt!I32)</f>
        <v>0</v>
      </c>
      <c r="H33">
        <f>SUM(mei!J32, jun!J32, jul!J32, aug!J32, sep!J32, okt!J32)</f>
        <v>0</v>
      </c>
      <c r="I33">
        <f>SUM(mei!K32, jun!K32, jul!K32, aug!K32, sep!K32, okt!K32)</f>
        <v>5</v>
      </c>
      <c r="J33">
        <f>SUM(mei!L32, jun!L32, jul!L32, aug!L32, sep!L32, okt!L32)</f>
        <v>17</v>
      </c>
      <c r="K33">
        <f>SUM(mei!M32, jun!M32, jul!M32, aug!M32, sep!M32, okt!M32)</f>
        <v>27</v>
      </c>
      <c r="L33">
        <f t="shared" si="0"/>
        <v>35</v>
      </c>
      <c r="N33">
        <f>SUM(mei!N32, jun!N32, jul!N32, aug!N32, sep!N32, okt!N32)</f>
        <v>30</v>
      </c>
      <c r="O33">
        <f>SUM(mei!O32, jun!O32, jul!O32, aug!O32, sep!O32, okt!O32)</f>
        <v>2</v>
      </c>
      <c r="P33">
        <f>SUM(mei!P32, jun!P32, jul!P32, aug!P32, sep!P32, okt!P32)</f>
        <v>1</v>
      </c>
      <c r="Q33">
        <f>SUM(mei!Q32, jun!Q32, jul!Q32, aug!Q32, sep!Q32, okt!Q32)</f>
        <v>0</v>
      </c>
      <c r="R33">
        <f>SUM(mei!R32, jun!R32, jul!R32, aug!R32, sep!R32, okt!R32)</f>
        <v>2</v>
      </c>
      <c r="S33">
        <f>SUM(mei!S32, jun!S32, jul!S32, aug!S32, sep!S32, okt!S32)</f>
        <v>0</v>
      </c>
      <c r="T33">
        <f>SUM(mei!T32, jun!T32, jul!T32, aug!T32, sep!T32, okt!T32)</f>
        <v>0</v>
      </c>
      <c r="U33">
        <f>SUM(mei!U32, jun!U32, jul!U32, aug!U32, sep!U32, okt!U32)</f>
        <v>0</v>
      </c>
      <c r="V33">
        <f>SUM(mei!V32, jun!V32, jul!V32, aug!V32, sep!V32, okt!V32)</f>
        <v>0</v>
      </c>
    </row>
    <row r="34" spans="1:22" x14ac:dyDescent="0.25">
      <c r="A34">
        <v>46</v>
      </c>
      <c r="B34">
        <f>SUM(mei!D33, jun!D33, jul!D33, aug!D33, sep!D33, okt!D33)</f>
        <v>0</v>
      </c>
      <c r="C34">
        <f>SUM(mei!E33, jun!E33, jul!E33, aug!E33, sep!E33, okt!E33)</f>
        <v>0</v>
      </c>
      <c r="D34">
        <f>SUM(mei!F33, jun!F33, jul!F33, aug!F33, sep!F33, okt!F33)</f>
        <v>0</v>
      </c>
      <c r="E34">
        <f>SUM(mei!G33, jun!G33, jul!G33, aug!G33, sep!G33, okt!G33)</f>
        <v>0</v>
      </c>
      <c r="F34">
        <f>SUM(mei!H33, jun!H33, jul!H33, aug!H33, sep!H33, okt!H33)</f>
        <v>0</v>
      </c>
      <c r="G34">
        <f>SUM(mei!I33, jun!I33, jul!I33, aug!I33, sep!I33, okt!I33)</f>
        <v>0</v>
      </c>
      <c r="H34">
        <f>SUM(mei!J33, jun!J33, jul!J33, aug!J33, sep!J33, okt!J33)</f>
        <v>0</v>
      </c>
      <c r="I34">
        <f>SUM(mei!K33, jun!K33, jul!K33, aug!K33, sep!K33, okt!K33)</f>
        <v>0</v>
      </c>
      <c r="J34">
        <f>SUM(mei!L33, jun!L33, jul!L33, aug!L33, sep!L33, okt!L33)</f>
        <v>2</v>
      </c>
      <c r="K34">
        <f>SUM(mei!M33, jun!M33, jul!M33, aug!M33, sep!M33, okt!M33)</f>
        <v>16</v>
      </c>
      <c r="L34">
        <f t="shared" si="0"/>
        <v>16</v>
      </c>
      <c r="N34">
        <f>SUM(mei!N33, jun!N33, jul!N33, aug!N33, sep!N33, okt!N33)</f>
        <v>4</v>
      </c>
      <c r="O34">
        <f>SUM(mei!O33, jun!O33, jul!O33, aug!O33, sep!O33, okt!O33)</f>
        <v>8</v>
      </c>
      <c r="P34">
        <f>SUM(mei!P33, jun!P33, jul!P33, aug!P33, sep!P33, okt!P33)</f>
        <v>2</v>
      </c>
      <c r="Q34">
        <f>SUM(mei!Q33, jun!Q33, jul!Q33, aug!Q33, sep!Q33, okt!Q33)</f>
        <v>1</v>
      </c>
      <c r="R34">
        <f>SUM(mei!R33, jun!R33, jul!R33, aug!R33, sep!R33, okt!R33)</f>
        <v>1</v>
      </c>
      <c r="S34">
        <f>SUM(mei!S33, jun!S33, jul!S33, aug!S33, sep!S33, okt!S33)</f>
        <v>0</v>
      </c>
      <c r="T34">
        <f>SUM(mei!T33, jun!T33, jul!T33, aug!T33, sep!T33, okt!T33)</f>
        <v>0</v>
      </c>
      <c r="U34">
        <f>SUM(mei!U33, jun!U33, jul!U33, aug!U33, sep!U33, okt!U33)</f>
        <v>0</v>
      </c>
      <c r="V34">
        <f>SUM(mei!V33, jun!V33, jul!V33, aug!V33, sep!V33, okt!V33)</f>
        <v>0</v>
      </c>
    </row>
    <row r="35" spans="1:22" x14ac:dyDescent="0.25">
      <c r="A35">
        <v>47</v>
      </c>
      <c r="B35">
        <f>SUM(mei!D34, jun!D34, jul!D34, aug!D34, sep!D34, okt!D34)</f>
        <v>0</v>
      </c>
      <c r="C35">
        <f>SUM(mei!E34, jun!E34, jul!E34, aug!E34, sep!E34, okt!E34)</f>
        <v>0</v>
      </c>
      <c r="D35">
        <f>SUM(mei!F34, jun!F34, jul!F34, aug!F34, sep!F34, okt!F34)</f>
        <v>0</v>
      </c>
      <c r="E35">
        <f>SUM(mei!G34, jun!G34, jul!G34, aug!G34, sep!G34, okt!G34)</f>
        <v>0</v>
      </c>
      <c r="F35">
        <f>SUM(mei!H34, jun!H34, jul!H34, aug!H34, sep!H34, okt!H34)</f>
        <v>0</v>
      </c>
      <c r="G35">
        <f>SUM(mei!I34, jun!I34, jul!I34, aug!I34, sep!I34, okt!I34)</f>
        <v>0</v>
      </c>
      <c r="H35">
        <f>SUM(mei!J34, jun!J34, jul!J34, aug!J34, sep!J34, okt!J34)</f>
        <v>0</v>
      </c>
      <c r="I35">
        <f>SUM(mei!K34, jun!K34, jul!K34, aug!K34, sep!K34, okt!K34)</f>
        <v>0</v>
      </c>
      <c r="J35">
        <f>SUM(mei!L34, jun!L34, jul!L34, aug!L34, sep!L34, okt!L34)</f>
        <v>0</v>
      </c>
      <c r="K35">
        <f>SUM(mei!M34, jun!M34, jul!M34, aug!M34, sep!M34, okt!M34)</f>
        <v>0</v>
      </c>
      <c r="L35">
        <f t="shared" si="0"/>
        <v>28</v>
      </c>
      <c r="N35">
        <f>SUM(mei!N34, jun!N34, jul!N34, aug!N34, sep!N34, okt!N34)</f>
        <v>9</v>
      </c>
      <c r="O35">
        <f>SUM(mei!O34, jun!O34, jul!O34, aug!O34, sep!O34, okt!O34)</f>
        <v>13</v>
      </c>
      <c r="P35">
        <f>SUM(mei!P34, jun!P34, jul!P34, aug!P34, sep!P34, okt!P34)</f>
        <v>1</v>
      </c>
      <c r="Q35">
        <f>SUM(mei!Q34, jun!Q34, jul!Q34, aug!Q34, sep!Q34, okt!Q34)</f>
        <v>4</v>
      </c>
      <c r="R35">
        <f>SUM(mei!R34, jun!R34, jul!R34, aug!R34, sep!R34, okt!R34)</f>
        <v>1</v>
      </c>
      <c r="S35">
        <f>SUM(mei!S34, jun!S34, jul!S34, aug!S34, sep!S34, okt!S34)</f>
        <v>0</v>
      </c>
      <c r="T35">
        <f>SUM(mei!T34, jun!T34, jul!T34, aug!T34, sep!T34, okt!T34)</f>
        <v>0</v>
      </c>
      <c r="U35">
        <f>SUM(mei!U34, jun!U34, jul!U34, aug!U34, sep!U34, okt!U34)</f>
        <v>0</v>
      </c>
      <c r="V35">
        <f>SUM(mei!V34, jun!V34, jul!V34, aug!V34, sep!V34, okt!V34)</f>
        <v>0</v>
      </c>
    </row>
    <row r="36" spans="1:22" x14ac:dyDescent="0.25">
      <c r="A36">
        <v>48</v>
      </c>
      <c r="B36">
        <f>SUM(mei!D35, jun!D35, jul!D35, aug!D35, sep!D35, okt!D35)</f>
        <v>0</v>
      </c>
      <c r="C36">
        <f>SUM(mei!E35, jun!E35, jul!E35, aug!E35, sep!E35, okt!E35)</f>
        <v>0</v>
      </c>
      <c r="D36">
        <f>SUM(mei!F35, jun!F35, jul!F35, aug!F35, sep!F35, okt!F35)</f>
        <v>0</v>
      </c>
      <c r="E36">
        <f>SUM(mei!G35, jun!G35, jul!G35, aug!G35, sep!G35, okt!G35)</f>
        <v>0</v>
      </c>
      <c r="F36">
        <f>SUM(mei!H35, jun!H35, jul!H35, aug!H35, sep!H35, okt!H35)</f>
        <v>0</v>
      </c>
      <c r="G36">
        <f>SUM(mei!I35, jun!I35, jul!I35, aug!I35, sep!I35, okt!I35)</f>
        <v>0</v>
      </c>
      <c r="H36">
        <f>SUM(mei!J35, jun!J35, jul!J35, aug!J35, sep!J35, okt!J35)</f>
        <v>0</v>
      </c>
      <c r="I36">
        <f>SUM(mei!K35, jun!K35, jul!K35, aug!K35, sep!K35, okt!K35)</f>
        <v>0</v>
      </c>
      <c r="J36">
        <f>SUM(mei!L35, jun!L35, jul!L35, aug!L35, sep!L35, okt!L35)</f>
        <v>0</v>
      </c>
      <c r="K36">
        <f>SUM(mei!M35, jun!M35, jul!M35, aug!M35, sep!M35, okt!M35)</f>
        <v>1</v>
      </c>
      <c r="L36">
        <f t="shared" si="0"/>
        <v>29</v>
      </c>
      <c r="N36">
        <f>SUM(mei!N35, jun!N35, jul!N35, aug!N35, sep!N35, okt!N35)</f>
        <v>0</v>
      </c>
      <c r="O36">
        <f>SUM(mei!O35, jun!O35, jul!O35, aug!O35, sep!O35, okt!O35)</f>
        <v>2</v>
      </c>
      <c r="P36">
        <f>SUM(mei!P35, jun!P35, jul!P35, aug!P35, sep!P35, okt!P35)</f>
        <v>6</v>
      </c>
      <c r="Q36">
        <f>SUM(mei!Q35, jun!Q35, jul!Q35, aug!Q35, sep!Q35, okt!Q35)</f>
        <v>13</v>
      </c>
      <c r="R36">
        <f>SUM(mei!R35, jun!R35, jul!R35, aug!R35, sep!R35, okt!R35)</f>
        <v>2</v>
      </c>
      <c r="S36">
        <f>SUM(mei!S35, jun!S35, jul!S35, aug!S35, sep!S35, okt!S35)</f>
        <v>6</v>
      </c>
      <c r="T36">
        <f>SUM(mei!T35, jun!T35, jul!T35, aug!T35, sep!T35, okt!T35)</f>
        <v>0</v>
      </c>
      <c r="U36">
        <f>SUM(mei!U35, jun!U35, jul!U35, aug!U35, sep!U35, okt!U35)</f>
        <v>0</v>
      </c>
      <c r="V36">
        <f>SUM(mei!V35, jun!V35, jul!V35, aug!V35, sep!V35, okt!V35)</f>
        <v>0</v>
      </c>
    </row>
    <row r="37" spans="1:22" x14ac:dyDescent="0.25">
      <c r="A37">
        <v>49</v>
      </c>
      <c r="B37">
        <f>SUM(mei!D36, jun!D36, jul!D36, aug!D36, sep!D36, okt!D36)</f>
        <v>0</v>
      </c>
      <c r="C37">
        <f>SUM(mei!E36, jun!E36, jul!E36, aug!E36, sep!E36, okt!E36)</f>
        <v>0</v>
      </c>
      <c r="D37">
        <f>SUM(mei!F36, jun!F36, jul!F36, aug!F36, sep!F36, okt!F36)</f>
        <v>0</v>
      </c>
      <c r="E37">
        <f>SUM(mei!G36, jun!G36, jul!G36, aug!G36, sep!G36, okt!G36)</f>
        <v>0</v>
      </c>
      <c r="F37">
        <f>SUM(mei!H36, jun!H36, jul!H36, aug!H36, sep!H36, okt!H36)</f>
        <v>0</v>
      </c>
      <c r="G37">
        <f>SUM(mei!I36, jun!I36, jul!I36, aug!I36, sep!I36, okt!I36)</f>
        <v>0</v>
      </c>
      <c r="H37">
        <f>SUM(mei!J36, jun!J36, jul!J36, aug!J36, sep!J36, okt!J36)</f>
        <v>0</v>
      </c>
      <c r="I37">
        <f>SUM(mei!K36, jun!K36, jul!K36, aug!K36, sep!K36, okt!K36)</f>
        <v>0</v>
      </c>
      <c r="J37">
        <f>SUM(mei!L36, jun!L36, jul!L36, aug!L36, sep!L36, okt!L36)</f>
        <v>0</v>
      </c>
      <c r="K37">
        <f>SUM(mei!M36, jun!M36, jul!M36, aug!M36, sep!M36, okt!M36)</f>
        <v>0</v>
      </c>
      <c r="L37">
        <f t="shared" si="0"/>
        <v>24</v>
      </c>
      <c r="N37">
        <f>SUM(mei!N36, jun!N36, jul!N36, aug!N36, sep!N36, okt!N36)</f>
        <v>0</v>
      </c>
      <c r="O37">
        <f>SUM(mei!O36, jun!O36, jul!O36, aug!O36, sep!O36, okt!O36)</f>
        <v>0</v>
      </c>
      <c r="P37">
        <f>SUM(mei!P36, jun!P36, jul!P36, aug!P36, sep!P36, okt!P36)</f>
        <v>0</v>
      </c>
      <c r="Q37">
        <f>SUM(mei!Q36, jun!Q36, jul!Q36, aug!Q36, sep!Q36, okt!Q36)</f>
        <v>0</v>
      </c>
      <c r="R37">
        <f>SUM(mei!R36, jun!R36, jul!R36, aug!R36, sep!R36, okt!R36)</f>
        <v>12</v>
      </c>
      <c r="S37">
        <f>SUM(mei!S36, jun!S36, jul!S36, aug!S36, sep!S36, okt!S36)</f>
        <v>12</v>
      </c>
      <c r="T37">
        <f>SUM(mei!T36, jun!T36, jul!T36, aug!T36, sep!T36, okt!T36)</f>
        <v>0</v>
      </c>
      <c r="U37">
        <f>SUM(mei!U36, jun!U36, jul!U36, aug!U36, sep!U36, okt!U36)</f>
        <v>0</v>
      </c>
      <c r="V37">
        <f>SUM(mei!V36, jun!V36, jul!V36, aug!V36, sep!V36, okt!V36)</f>
        <v>0</v>
      </c>
    </row>
    <row r="38" spans="1:22" x14ac:dyDescent="0.25">
      <c r="A38">
        <v>50</v>
      </c>
      <c r="B38">
        <f>SUM(mei!D37, jun!D37, jul!D37, aug!D37, sep!D37, okt!D37)</f>
        <v>0</v>
      </c>
      <c r="C38">
        <f>SUM(mei!E37, jun!E37, jul!E37, aug!E37, sep!E37, okt!E37)</f>
        <v>0</v>
      </c>
      <c r="D38">
        <f>SUM(mei!F37, jun!F37, jul!F37, aug!F37, sep!F37, okt!F37)</f>
        <v>0</v>
      </c>
      <c r="E38">
        <f>SUM(mei!G37, jun!G37, jul!G37, aug!G37, sep!G37, okt!G37)</f>
        <v>0</v>
      </c>
      <c r="F38">
        <f>SUM(mei!H37, jun!H37, jul!H37, aug!H37, sep!H37, okt!H37)</f>
        <v>0</v>
      </c>
      <c r="G38">
        <f>SUM(mei!I37, jun!I37, jul!I37, aug!I37, sep!I37, okt!I37)</f>
        <v>0</v>
      </c>
      <c r="H38">
        <f>SUM(mei!J37, jun!J37, jul!J37, aug!J37, sep!J37, okt!J37)</f>
        <v>0</v>
      </c>
      <c r="I38">
        <f>SUM(mei!K37, jun!K37, jul!K37, aug!K37, sep!K37, okt!K37)</f>
        <v>0</v>
      </c>
      <c r="J38">
        <f>SUM(mei!L37, jun!L37, jul!L37, aug!L37, sep!L37, okt!L37)</f>
        <v>0</v>
      </c>
      <c r="K38">
        <f>SUM(mei!M37, jun!M37, jul!M37, aug!M37, sep!M37, okt!M37)</f>
        <v>0</v>
      </c>
      <c r="L38">
        <f t="shared" si="0"/>
        <v>18</v>
      </c>
      <c r="N38">
        <f>SUM(mei!N37, jun!N37, jul!N37, aug!N37, sep!N37, okt!N37)</f>
        <v>0</v>
      </c>
      <c r="O38">
        <f>SUM(mei!O37, jun!O37, jul!O37, aug!O37, sep!O37, okt!O37)</f>
        <v>0</v>
      </c>
      <c r="P38">
        <f>SUM(mei!P37, jun!P37, jul!P37, aug!P37, sep!P37, okt!P37)</f>
        <v>0</v>
      </c>
      <c r="Q38">
        <f>SUM(mei!Q37, jun!Q37, jul!Q37, aug!Q37, sep!Q37, okt!Q37)</f>
        <v>12</v>
      </c>
      <c r="R38">
        <f>SUM(mei!R37, jun!R37, jul!R37, aug!R37, sep!R37, okt!R37)</f>
        <v>6</v>
      </c>
      <c r="S38">
        <f>SUM(mei!S37, jun!S37, jul!S37, aug!S37, sep!S37, okt!S37)</f>
        <v>0</v>
      </c>
      <c r="T38">
        <f>SUM(mei!T37, jun!T37, jul!T37, aug!T37, sep!T37, okt!T37)</f>
        <v>0</v>
      </c>
      <c r="U38">
        <f>SUM(mei!U37, jun!U37, jul!U37, aug!U37, sep!U37, okt!U37)</f>
        <v>0</v>
      </c>
      <c r="V38">
        <f>SUM(mei!V37, jun!V37, jul!V37, aug!V37, sep!V37, okt!V37)</f>
        <v>0</v>
      </c>
    </row>
    <row r="39" spans="1:22" x14ac:dyDescent="0.25">
      <c r="A39">
        <v>51</v>
      </c>
      <c r="B39">
        <f>SUM(mei!D38, jun!D38, jul!D38, aug!D38, sep!D38, okt!D38)</f>
        <v>0</v>
      </c>
      <c r="C39">
        <f>SUM(mei!E38, jun!E38, jul!E38, aug!E38, sep!E38, okt!E38)</f>
        <v>0</v>
      </c>
      <c r="D39">
        <f>SUM(mei!F38, jun!F38, jul!F38, aug!F38, sep!F38, okt!F38)</f>
        <v>0</v>
      </c>
      <c r="E39">
        <f>SUM(mei!G38, jun!G38, jul!G38, aug!G38, sep!G38, okt!G38)</f>
        <v>0</v>
      </c>
      <c r="F39">
        <f>SUM(mei!H38, jun!H38, jul!H38, aug!H38, sep!H38, okt!H38)</f>
        <v>0</v>
      </c>
      <c r="G39">
        <f>SUM(mei!I38, jun!I38, jul!I38, aug!I38, sep!I38, okt!I38)</f>
        <v>0</v>
      </c>
      <c r="H39">
        <f>SUM(mei!J38, jun!J38, jul!J38, aug!J38, sep!J38, okt!J38)</f>
        <v>0</v>
      </c>
      <c r="I39">
        <f>SUM(mei!K38, jun!K38, jul!K38, aug!K38, sep!K38, okt!K38)</f>
        <v>0</v>
      </c>
      <c r="J39">
        <f>SUM(mei!L38, jun!L38, jul!L38, aug!L38, sep!L38, okt!L38)</f>
        <v>0</v>
      </c>
      <c r="K39">
        <f>SUM(mei!M38, jun!M38, jul!M38, aug!M38, sep!M38, okt!M38)</f>
        <v>0</v>
      </c>
      <c r="L39">
        <f t="shared" si="0"/>
        <v>12</v>
      </c>
      <c r="N39">
        <f>SUM(mei!N38, jun!N38, jul!N38, aug!N38, sep!N38, okt!N38)</f>
        <v>0</v>
      </c>
      <c r="O39">
        <f>SUM(mei!O38, jun!O38, jul!O38, aug!O38, sep!O38, okt!O38)</f>
        <v>0</v>
      </c>
      <c r="P39">
        <f>SUM(mei!P38, jun!P38, jul!P38, aug!P38, sep!P38, okt!P38)</f>
        <v>0</v>
      </c>
      <c r="Q39">
        <f>SUM(mei!Q38, jun!Q38, jul!Q38, aug!Q38, sep!Q38, okt!Q38)</f>
        <v>6</v>
      </c>
      <c r="R39">
        <f>SUM(mei!R38, jun!R38, jul!R38, aug!R38, sep!R38, okt!R38)</f>
        <v>0</v>
      </c>
      <c r="S39">
        <f>SUM(mei!S38, jun!S38, jul!S38, aug!S38, sep!S38, okt!S38)</f>
        <v>6</v>
      </c>
      <c r="T39">
        <f>SUM(mei!T38, jun!T38, jul!T38, aug!T38, sep!T38, okt!T38)</f>
        <v>0</v>
      </c>
      <c r="U39">
        <f>SUM(mei!U38, jun!U38, jul!U38, aug!U38, sep!U38, okt!U38)</f>
        <v>0</v>
      </c>
      <c r="V39">
        <f>SUM(mei!V38, jun!V38, jul!V38, aug!V38, sep!V38, okt!V38)</f>
        <v>0</v>
      </c>
    </row>
    <row r="40" spans="1:22" x14ac:dyDescent="0.25">
      <c r="A40">
        <v>52</v>
      </c>
      <c r="B40">
        <f>SUM(mei!D39, jun!D39, jul!D39, aug!D39, sep!D39, okt!D39)</f>
        <v>0</v>
      </c>
      <c r="C40">
        <f>SUM(mei!E39, jun!E39, jul!E39, aug!E39, sep!E39, okt!E39)</f>
        <v>0</v>
      </c>
      <c r="D40">
        <f>SUM(mei!F39, jun!F39, jul!F39, aug!F39, sep!F39, okt!F39)</f>
        <v>0</v>
      </c>
      <c r="E40">
        <f>SUM(mei!G39, jun!G39, jul!G39, aug!G39, sep!G39, okt!G39)</f>
        <v>0</v>
      </c>
      <c r="F40">
        <f>SUM(mei!H39, jun!H39, jul!H39, aug!H39, sep!H39, okt!H39)</f>
        <v>0</v>
      </c>
      <c r="G40">
        <f>SUM(mei!I39, jun!I39, jul!I39, aug!I39, sep!I39, okt!I39)</f>
        <v>0</v>
      </c>
      <c r="H40">
        <f>SUM(mei!J39, jun!J39, jul!J39, aug!J39, sep!J39, okt!J39)</f>
        <v>0</v>
      </c>
      <c r="I40">
        <f>SUM(mei!K39, jun!K39, jul!K39, aug!K39, sep!K39, okt!K39)</f>
        <v>0</v>
      </c>
      <c r="J40">
        <f>SUM(mei!L39, jun!L39, jul!L39, aug!L39, sep!L39, okt!L39)</f>
        <v>0</v>
      </c>
      <c r="K40">
        <f>SUM(mei!M39, jun!M39, jul!M39, aug!M39, sep!M39, okt!M39)</f>
        <v>0</v>
      </c>
      <c r="L40">
        <f t="shared" si="0"/>
        <v>6</v>
      </c>
      <c r="N40">
        <f>SUM(mei!N39, jun!N39, jul!N39, aug!N39, sep!N39, okt!N39)</f>
        <v>0</v>
      </c>
      <c r="O40">
        <f>SUM(mei!O39, jun!O39, jul!O39, aug!O39, sep!O39, okt!O39)</f>
        <v>0</v>
      </c>
      <c r="P40">
        <f>SUM(mei!P39, jun!P39, jul!P39, aug!P39, sep!P39, okt!P39)</f>
        <v>0</v>
      </c>
      <c r="Q40">
        <f>SUM(mei!Q39, jun!Q39, jul!Q39, aug!Q39, sep!Q39, okt!Q39)</f>
        <v>0</v>
      </c>
      <c r="R40">
        <f>SUM(mei!R39, jun!R39, jul!R39, aug!R39, sep!R39, okt!R39)</f>
        <v>0</v>
      </c>
      <c r="S40">
        <f>SUM(mei!S39, jun!S39, jul!S39, aug!S39, sep!S39, okt!S39)</f>
        <v>6</v>
      </c>
      <c r="T40">
        <f>SUM(mei!T39, jun!T39, jul!T39, aug!T39, sep!T39, okt!T39)</f>
        <v>0</v>
      </c>
      <c r="U40">
        <f>SUM(mei!U39, jun!U39, jul!U39, aug!U39, sep!U39, okt!U39)</f>
        <v>0</v>
      </c>
      <c r="V40">
        <f>SUM(mei!V39, jun!V39, jul!V39, aug!V39, sep!V39, okt!V39)</f>
        <v>0</v>
      </c>
    </row>
    <row r="41" spans="1:22" x14ac:dyDescent="0.25">
      <c r="A41">
        <v>53</v>
      </c>
      <c r="B41">
        <f>SUM(mei!D40, jun!D40, jul!D40, aug!D40, sep!D40, okt!D40)</f>
        <v>0</v>
      </c>
      <c r="C41">
        <f>SUM(mei!E40, jun!E40, jul!E40, aug!E40, sep!E40, okt!E40)</f>
        <v>0</v>
      </c>
      <c r="D41">
        <f>SUM(mei!F40, jun!F40, jul!F40, aug!F40, sep!F40, okt!F40)</f>
        <v>0</v>
      </c>
      <c r="E41">
        <f>SUM(mei!G40, jun!G40, jul!G40, aug!G40, sep!G40, okt!G40)</f>
        <v>0</v>
      </c>
      <c r="F41">
        <f>SUM(mei!H40, jun!H40, jul!H40, aug!H40, sep!H40, okt!H40)</f>
        <v>0</v>
      </c>
      <c r="G41">
        <f>SUM(mei!I40, jun!I40, jul!I40, aug!I40, sep!I40, okt!I40)</f>
        <v>0</v>
      </c>
      <c r="H41">
        <f>SUM(mei!J40, jun!J40, jul!J40, aug!J40, sep!J40, okt!J40)</f>
        <v>0</v>
      </c>
      <c r="I41">
        <f>SUM(mei!K40, jun!K40, jul!K40, aug!K40, sep!K40, okt!K40)</f>
        <v>0</v>
      </c>
      <c r="J41">
        <f>SUM(mei!L40, jun!L40, jul!L40, aug!L40, sep!L40, okt!L40)</f>
        <v>0</v>
      </c>
      <c r="K41">
        <f>SUM(mei!M40, jun!M40, jul!M40, aug!M40, sep!M40, okt!M40)</f>
        <v>0</v>
      </c>
      <c r="L41">
        <f t="shared" si="0"/>
        <v>12</v>
      </c>
      <c r="N41">
        <f>SUM(mei!N40, jun!N40, jul!N40, aug!N40, sep!N40, okt!N40)</f>
        <v>0</v>
      </c>
      <c r="O41">
        <f>SUM(mei!O40, jun!O40, jul!O40, aug!O40, sep!O40, okt!O40)</f>
        <v>0</v>
      </c>
      <c r="P41">
        <f>SUM(mei!P40, jun!P40, jul!P40, aug!P40, sep!P40, okt!P40)</f>
        <v>0</v>
      </c>
      <c r="Q41">
        <f>SUM(mei!Q40, jun!Q40, jul!Q40, aug!Q40, sep!Q40, okt!Q40)</f>
        <v>12</v>
      </c>
      <c r="R41">
        <f>SUM(mei!R40, jun!R40, jul!R40, aug!R40, sep!R40, okt!R40)</f>
        <v>0</v>
      </c>
      <c r="S41">
        <f>SUM(mei!S40, jun!S40, jul!S40, aug!S40, sep!S40, okt!S40)</f>
        <v>0</v>
      </c>
      <c r="T41">
        <f>SUM(mei!T40, jun!T40, jul!T40, aug!T40, sep!T40, okt!T40)</f>
        <v>0</v>
      </c>
      <c r="U41">
        <f>SUM(mei!U40, jun!U40, jul!U40, aug!U40, sep!U40, okt!U40)</f>
        <v>0</v>
      </c>
      <c r="V41">
        <f>SUM(mei!V40, jun!V40, jul!V40, aug!V40, sep!V40, okt!V40)</f>
        <v>0</v>
      </c>
    </row>
    <row r="42" spans="1:22" x14ac:dyDescent="0.25">
      <c r="A42">
        <v>54</v>
      </c>
      <c r="B42">
        <f>SUM(mei!D41, jun!D41, jul!D41, aug!D41, sep!D41, okt!D41)</f>
        <v>0</v>
      </c>
      <c r="C42">
        <f>SUM(mei!E41, jun!E41, jul!E41, aug!E41, sep!E41, okt!E41)</f>
        <v>0</v>
      </c>
      <c r="D42">
        <f>SUM(mei!F41, jun!F41, jul!F41, aug!F41, sep!F41, okt!F41)</f>
        <v>0</v>
      </c>
      <c r="E42">
        <f>SUM(mei!G41, jun!G41, jul!G41, aug!G41, sep!G41, okt!G41)</f>
        <v>0</v>
      </c>
      <c r="F42">
        <f>SUM(mei!H41, jun!H41, jul!H41, aug!H41, sep!H41, okt!H41)</f>
        <v>0</v>
      </c>
      <c r="G42">
        <f>SUM(mei!I41, jun!I41, jul!I41, aug!I41, sep!I41, okt!I41)</f>
        <v>0</v>
      </c>
      <c r="H42">
        <f>SUM(mei!J41, jun!J41, jul!J41, aug!J41, sep!J41, okt!J41)</f>
        <v>0</v>
      </c>
      <c r="I42">
        <f>SUM(mei!K41, jun!K41, jul!K41, aug!K41, sep!K41, okt!K41)</f>
        <v>0</v>
      </c>
      <c r="J42">
        <f>SUM(mei!L41, jun!L41, jul!L41, aug!L41, sep!L41, okt!L41)</f>
        <v>0</v>
      </c>
      <c r="K42">
        <f>SUM(mei!M41, jun!M41, jul!M41, aug!M41, sep!M41, okt!M41)</f>
        <v>0</v>
      </c>
      <c r="L42">
        <f t="shared" si="0"/>
        <v>6</v>
      </c>
      <c r="N42">
        <f>SUM(mei!N41, jun!N41, jul!N41, aug!N41, sep!N41, okt!N41)</f>
        <v>0</v>
      </c>
      <c r="O42">
        <f>SUM(mei!O41, jun!O41, jul!O41, aug!O41, sep!O41, okt!O41)</f>
        <v>0</v>
      </c>
      <c r="P42">
        <f>SUM(mei!P41, jun!P41, jul!P41, aug!P41, sep!P41, okt!P41)</f>
        <v>0</v>
      </c>
      <c r="Q42">
        <f>SUM(mei!Q41, jun!Q41, jul!Q41, aug!Q41, sep!Q41, okt!Q41)</f>
        <v>0</v>
      </c>
      <c r="R42">
        <f>SUM(mei!R41, jun!R41, jul!R41, aug!R41, sep!R41, okt!R41)</f>
        <v>0</v>
      </c>
      <c r="S42">
        <f>SUM(mei!S41, jun!S41, jul!S41, aug!S41, sep!S41, okt!S41)</f>
        <v>0</v>
      </c>
      <c r="T42">
        <f>SUM(mei!T41, jun!T41, jul!T41, aug!T41, sep!T41, okt!T41)</f>
        <v>0</v>
      </c>
      <c r="U42">
        <f>SUM(mei!U41, jun!U41, jul!U41, aug!U41, sep!U41, okt!U41)</f>
        <v>0</v>
      </c>
      <c r="V42">
        <f>SUM(mei!V41, jun!V41, jul!V41, aug!V41, sep!V41, okt!V41)</f>
        <v>6</v>
      </c>
    </row>
    <row r="43" spans="1:22" x14ac:dyDescent="0.25">
      <c r="A43">
        <v>55</v>
      </c>
      <c r="B43">
        <f>SUM(mei!D42, jun!D42, jul!D42, aug!D42, sep!D42, okt!D42)</f>
        <v>0</v>
      </c>
      <c r="C43">
        <f>SUM(mei!E42, jun!E42, jul!E42, aug!E42, sep!E42, okt!E42)</f>
        <v>0</v>
      </c>
      <c r="D43">
        <f>SUM(mei!F42, jun!F42, jul!F42, aug!F42, sep!F42, okt!F42)</f>
        <v>0</v>
      </c>
      <c r="E43">
        <f>SUM(mei!G42, jun!G42, jul!G42, aug!G42, sep!G42, okt!G42)</f>
        <v>0</v>
      </c>
      <c r="F43">
        <f>SUM(mei!H42, jun!H42, jul!H42, aug!H42, sep!H42, okt!H42)</f>
        <v>0</v>
      </c>
      <c r="G43">
        <f>SUM(mei!I42, jun!I42, jul!I42, aug!I42, sep!I42, okt!I42)</f>
        <v>0</v>
      </c>
      <c r="H43">
        <f>SUM(mei!J42, jun!J42, jul!J42, aug!J42, sep!J42, okt!J42)</f>
        <v>0</v>
      </c>
      <c r="I43">
        <f>SUM(mei!K42, jun!K42, jul!K42, aug!K42, sep!K42, okt!K42)</f>
        <v>0</v>
      </c>
      <c r="J43">
        <f>SUM(mei!L42, jun!L42, jul!L42, aug!L42, sep!L42, okt!L42)</f>
        <v>0</v>
      </c>
      <c r="K43">
        <f>SUM(mei!M42, jun!M42, jul!M42, aug!M42, sep!M42, okt!M42)</f>
        <v>0</v>
      </c>
      <c r="L43">
        <f t="shared" si="0"/>
        <v>6</v>
      </c>
      <c r="N43">
        <f>SUM(mei!N42, jun!N42, jul!N42, aug!N42, sep!N42, okt!N42)</f>
        <v>0</v>
      </c>
      <c r="O43">
        <f>SUM(mei!O42, jun!O42, jul!O42, aug!O42, sep!O42, okt!O42)</f>
        <v>0</v>
      </c>
      <c r="P43">
        <f>SUM(mei!P42, jun!P42, jul!P42, aug!P42, sep!P42, okt!P42)</f>
        <v>0</v>
      </c>
      <c r="Q43">
        <f>SUM(mei!Q42, jun!Q42, jul!Q42, aug!Q42, sep!Q42, okt!Q42)</f>
        <v>0</v>
      </c>
      <c r="R43">
        <f>SUM(mei!R42, jun!R42, jul!R42, aug!R42, sep!R42, okt!R42)</f>
        <v>0</v>
      </c>
      <c r="S43">
        <f>SUM(mei!S42, jun!S42, jul!S42, aug!S42, sep!S42, okt!S42)</f>
        <v>6</v>
      </c>
      <c r="T43">
        <f>SUM(mei!T42, jun!T42, jul!T42, aug!T42, sep!T42, okt!T42)</f>
        <v>0</v>
      </c>
      <c r="U43">
        <f>SUM(mei!U42, jun!U42, jul!U42, aug!U42, sep!U42, okt!U42)</f>
        <v>0</v>
      </c>
      <c r="V43">
        <f>SUM(mei!V42, jun!V42, jul!V42, aug!V42, sep!V42, okt!V42)</f>
        <v>0</v>
      </c>
    </row>
    <row r="45" spans="1:22" x14ac:dyDescent="0.25">
      <c r="L45">
        <f>SUM(B3:L43)</f>
        <v>3064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44"/>
  <sheetViews>
    <sheetView tabSelected="1" topLeftCell="A14" zoomScale="80" zoomScaleNormal="80" workbookViewId="0">
      <selection activeCell="D14" sqref="D14:V14"/>
    </sheetView>
  </sheetViews>
  <sheetFormatPr defaultRowHeight="15" x14ac:dyDescent="0.25"/>
  <cols>
    <col min="3" max="22" width="5.7109375" customWidth="1"/>
  </cols>
  <sheetData>
    <row r="2" spans="1:43" x14ac:dyDescent="0.25">
      <c r="A2">
        <v>15</v>
      </c>
      <c r="B2">
        <v>0</v>
      </c>
    </row>
    <row r="3" spans="1:43" x14ac:dyDescent="0.25">
      <c r="A3">
        <v>16</v>
      </c>
      <c r="B3">
        <v>0</v>
      </c>
    </row>
    <row r="4" spans="1:43" x14ac:dyDescent="0.25">
      <c r="A4">
        <v>17</v>
      </c>
      <c r="B4">
        <v>0</v>
      </c>
    </row>
    <row r="5" spans="1:43" x14ac:dyDescent="0.25">
      <c r="A5">
        <v>18</v>
      </c>
      <c r="B5">
        <v>0</v>
      </c>
    </row>
    <row r="6" spans="1:43" x14ac:dyDescent="0.25">
      <c r="A6">
        <v>19</v>
      </c>
      <c r="B6">
        <v>0</v>
      </c>
    </row>
    <row r="7" spans="1:43" x14ac:dyDescent="0.25">
      <c r="A7">
        <v>20</v>
      </c>
      <c r="B7">
        <v>0</v>
      </c>
    </row>
    <row r="8" spans="1:43" x14ac:dyDescent="0.25">
      <c r="A8">
        <v>21</v>
      </c>
      <c r="B8">
        <v>0</v>
      </c>
    </row>
    <row r="9" spans="1:43" x14ac:dyDescent="0.25">
      <c r="A9">
        <v>22</v>
      </c>
      <c r="B9">
        <v>0</v>
      </c>
    </row>
    <row r="10" spans="1:43" x14ac:dyDescent="0.25">
      <c r="A10">
        <v>23</v>
      </c>
      <c r="B10">
        <v>0</v>
      </c>
    </row>
    <row r="11" spans="1:43" x14ac:dyDescent="0.25">
      <c r="A11">
        <v>24</v>
      </c>
      <c r="B11">
        <v>0</v>
      </c>
    </row>
    <row r="12" spans="1:43" x14ac:dyDescent="0.25">
      <c r="A12">
        <v>25</v>
      </c>
      <c r="B12">
        <v>0</v>
      </c>
    </row>
    <row r="13" spans="1:43" ht="15.75" thickBot="1" x14ac:dyDescent="0.3">
      <c r="A13">
        <v>26</v>
      </c>
      <c r="B13">
        <v>0</v>
      </c>
      <c r="C13" s="1" t="s">
        <v>0</v>
      </c>
    </row>
    <row r="14" spans="1:43" ht="15.75" thickBot="1" x14ac:dyDescent="0.3">
      <c r="A14">
        <v>27</v>
      </c>
      <c r="B14">
        <v>0</v>
      </c>
      <c r="C14" s="2" t="s">
        <v>1</v>
      </c>
      <c r="D14" s="3" t="s">
        <v>2</v>
      </c>
      <c r="E14" s="4" t="s">
        <v>3</v>
      </c>
      <c r="F14" s="4" t="s">
        <v>4</v>
      </c>
      <c r="G14" s="4" t="s">
        <v>5</v>
      </c>
      <c r="H14" s="4" t="s">
        <v>6</v>
      </c>
      <c r="I14" s="4" t="s">
        <v>7</v>
      </c>
      <c r="J14" s="4" t="s">
        <v>8</v>
      </c>
      <c r="K14" s="4" t="s">
        <v>9</v>
      </c>
      <c r="L14" s="4" t="s">
        <v>10</v>
      </c>
      <c r="M14" s="4" t="s">
        <v>11</v>
      </c>
      <c r="N14" s="4" t="s">
        <v>12</v>
      </c>
      <c r="O14" s="4" t="s">
        <v>13</v>
      </c>
      <c r="P14" s="4" t="s">
        <v>14</v>
      </c>
      <c r="Q14" s="4" t="s">
        <v>15</v>
      </c>
      <c r="R14" s="4" t="s">
        <v>16</v>
      </c>
      <c r="S14" s="4" t="s">
        <v>17</v>
      </c>
      <c r="T14" s="4" t="s">
        <v>18</v>
      </c>
      <c r="U14" s="4" t="s">
        <v>19</v>
      </c>
      <c r="V14" s="5" t="s">
        <v>20</v>
      </c>
      <c r="W14" s="6" t="s">
        <v>21</v>
      </c>
      <c r="X14" s="3" t="s">
        <v>2</v>
      </c>
      <c r="Y14" s="4" t="s">
        <v>3</v>
      </c>
      <c r="Z14" s="4" t="s">
        <v>4</v>
      </c>
      <c r="AA14" s="4" t="s">
        <v>5</v>
      </c>
      <c r="AB14" s="4" t="s">
        <v>6</v>
      </c>
      <c r="AC14" s="4" t="s">
        <v>7</v>
      </c>
      <c r="AD14" s="4" t="s">
        <v>8</v>
      </c>
      <c r="AE14" s="4" t="s">
        <v>9</v>
      </c>
      <c r="AF14" s="4" t="s">
        <v>10</v>
      </c>
      <c r="AG14" s="4" t="s">
        <v>11</v>
      </c>
      <c r="AH14" s="4" t="s">
        <v>12</v>
      </c>
      <c r="AI14" s="4" t="s">
        <v>13</v>
      </c>
      <c r="AJ14" s="4" t="s">
        <v>14</v>
      </c>
      <c r="AK14" s="4" t="s">
        <v>15</v>
      </c>
      <c r="AL14" s="4" t="s">
        <v>16</v>
      </c>
      <c r="AM14" s="4" t="s">
        <v>17</v>
      </c>
      <c r="AN14" s="4" t="s">
        <v>18</v>
      </c>
      <c r="AO14" s="4" t="s">
        <v>19</v>
      </c>
      <c r="AP14" s="5" t="s">
        <v>20</v>
      </c>
    </row>
    <row r="15" spans="1:43" x14ac:dyDescent="0.25">
      <c r="A15">
        <v>28</v>
      </c>
      <c r="B15">
        <v>10.881683883668272</v>
      </c>
      <c r="C15" s="7">
        <v>28</v>
      </c>
      <c r="D15" s="8"/>
      <c r="E15" s="9">
        <v>4</v>
      </c>
      <c r="F15" s="9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>
        <f t="shared" ref="W15:W39" si="0">SUM(E15:V15)</f>
        <v>5</v>
      </c>
      <c r="X15">
        <f>D15/$W15*$B15</f>
        <v>0</v>
      </c>
      <c r="Y15">
        <f>E15/$W15*$B15</f>
        <v>8.7053471069346173</v>
      </c>
      <c r="Z15">
        <f t="shared" ref="Y15:AP15" si="1">F15/$W15*$B15</f>
        <v>2.1763367767336543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  <c r="AJ15">
        <f t="shared" si="1"/>
        <v>0</v>
      </c>
      <c r="AK15">
        <f t="shared" si="1"/>
        <v>0</v>
      </c>
      <c r="AL15">
        <f t="shared" si="1"/>
        <v>0</v>
      </c>
      <c r="AM15">
        <f t="shared" si="1"/>
        <v>0</v>
      </c>
      <c r="AN15">
        <f t="shared" si="1"/>
        <v>0</v>
      </c>
      <c r="AO15">
        <f t="shared" si="1"/>
        <v>0</v>
      </c>
      <c r="AP15">
        <f t="shared" si="1"/>
        <v>0</v>
      </c>
      <c r="AQ15">
        <f>SUM(X15:AP15)</f>
        <v>10.881683883668272</v>
      </c>
    </row>
    <row r="16" spans="1:43" x14ac:dyDescent="0.25">
      <c r="A16">
        <v>29</v>
      </c>
      <c r="B16">
        <v>19.809139177874197</v>
      </c>
      <c r="C16" s="11">
        <v>29</v>
      </c>
      <c r="D16" s="12"/>
      <c r="E16" s="13">
        <v>5</v>
      </c>
      <c r="F16" s="13">
        <v>1</v>
      </c>
      <c r="G16" s="14"/>
      <c r="H16" s="13">
        <v>1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>
        <f t="shared" si="0"/>
        <v>7</v>
      </c>
      <c r="X16">
        <f t="shared" ref="X16:X42" si="2">D16/$W16*$B16</f>
        <v>0</v>
      </c>
      <c r="Y16">
        <f t="shared" ref="Y16:Y42" si="3">E16/$W16*$B16</f>
        <v>14.149385127052998</v>
      </c>
      <c r="Z16">
        <f t="shared" ref="Z16:Z42" si="4">F16/$W16*$B16</f>
        <v>2.8298770254105996</v>
      </c>
      <c r="AA16">
        <f t="shared" ref="AA16:AA42" si="5">G16/$W16*$B16</f>
        <v>0</v>
      </c>
      <c r="AB16">
        <f t="shared" ref="AB16:AB42" si="6">H16/$W16*$B16</f>
        <v>2.8298770254105996</v>
      </c>
      <c r="AC16">
        <f t="shared" ref="AC16:AC42" si="7">I16/$W16*$B16</f>
        <v>0</v>
      </c>
      <c r="AD16">
        <f t="shared" ref="AD16:AD42" si="8">J16/$W16*$B16</f>
        <v>0</v>
      </c>
      <c r="AE16">
        <f t="shared" ref="AE16:AE42" si="9">K16/$W16*$B16</f>
        <v>0</v>
      </c>
      <c r="AF16">
        <f t="shared" ref="AF16:AF42" si="10">L16/$W16*$B16</f>
        <v>0</v>
      </c>
      <c r="AG16">
        <f t="shared" ref="AG16:AG42" si="11">M16/$W16*$B16</f>
        <v>0</v>
      </c>
      <c r="AH16">
        <f t="shared" ref="AH16:AH42" si="12">N16/$W16*$B16</f>
        <v>0</v>
      </c>
      <c r="AI16">
        <f t="shared" ref="AI16:AI42" si="13">O16/$W16*$B16</f>
        <v>0</v>
      </c>
      <c r="AJ16">
        <f t="shared" ref="AJ16:AJ42" si="14">P16/$W16*$B16</f>
        <v>0</v>
      </c>
      <c r="AK16">
        <f t="shared" ref="AK16:AK42" si="15">Q16/$W16*$B16</f>
        <v>0</v>
      </c>
      <c r="AL16">
        <f t="shared" ref="AL16:AL42" si="16">R16/$W16*$B16</f>
        <v>0</v>
      </c>
      <c r="AM16">
        <f t="shared" ref="AM16:AM42" si="17">S16/$W16*$B16</f>
        <v>0</v>
      </c>
      <c r="AN16">
        <f t="shared" ref="AN16:AN42" si="18">T16/$W16*$B16</f>
        <v>0</v>
      </c>
      <c r="AO16">
        <f t="shared" ref="AO16:AO42" si="19">U16/$W16*$B16</f>
        <v>0</v>
      </c>
      <c r="AP16">
        <f t="shared" ref="AP16:AP42" si="20">V16/$W16*$B16</f>
        <v>0</v>
      </c>
      <c r="AQ16">
        <f t="shared" ref="AQ16:AQ43" si="21">SUM(X16:AP16)</f>
        <v>19.809139177874197</v>
      </c>
    </row>
    <row r="17" spans="1:43" x14ac:dyDescent="0.25">
      <c r="A17">
        <v>30</v>
      </c>
      <c r="B17">
        <v>13.730814392718894</v>
      </c>
      <c r="C17" s="11">
        <v>30</v>
      </c>
      <c r="D17" s="12"/>
      <c r="E17" s="13">
        <v>1</v>
      </c>
      <c r="F17" s="13">
        <v>4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>
        <f t="shared" si="0"/>
        <v>5</v>
      </c>
      <c r="X17">
        <f t="shared" si="2"/>
        <v>0</v>
      </c>
      <c r="Y17">
        <f t="shared" si="3"/>
        <v>2.7461628785437791</v>
      </c>
      <c r="Z17">
        <f t="shared" si="4"/>
        <v>10.984651514175116</v>
      </c>
      <c r="AA17">
        <f t="shared" si="5"/>
        <v>0</v>
      </c>
      <c r="AB17">
        <f t="shared" si="6"/>
        <v>0</v>
      </c>
      <c r="AC17">
        <f t="shared" si="7"/>
        <v>0</v>
      </c>
      <c r="AD17">
        <f t="shared" si="8"/>
        <v>0</v>
      </c>
      <c r="AE17">
        <f t="shared" si="9"/>
        <v>0</v>
      </c>
      <c r="AF17">
        <f t="shared" si="10"/>
        <v>0</v>
      </c>
      <c r="AG17">
        <f t="shared" si="11"/>
        <v>0</v>
      </c>
      <c r="AH17">
        <f t="shared" si="12"/>
        <v>0</v>
      </c>
      <c r="AI17">
        <f t="shared" si="13"/>
        <v>0</v>
      </c>
      <c r="AJ17">
        <f t="shared" si="14"/>
        <v>0</v>
      </c>
      <c r="AK17">
        <f t="shared" si="15"/>
        <v>0</v>
      </c>
      <c r="AL17">
        <f t="shared" si="16"/>
        <v>0</v>
      </c>
      <c r="AM17">
        <f t="shared" si="17"/>
        <v>0</v>
      </c>
      <c r="AN17">
        <f t="shared" si="18"/>
        <v>0</v>
      </c>
      <c r="AO17">
        <f t="shared" si="19"/>
        <v>0</v>
      </c>
      <c r="AP17">
        <f t="shared" si="20"/>
        <v>0</v>
      </c>
      <c r="AQ17">
        <f t="shared" si="21"/>
        <v>13.730814392718894</v>
      </c>
    </row>
    <row r="18" spans="1:43" x14ac:dyDescent="0.25">
      <c r="A18">
        <v>31</v>
      </c>
      <c r="B18">
        <v>1.7116346955980561</v>
      </c>
      <c r="C18" s="11">
        <v>31</v>
      </c>
      <c r="D18" s="12"/>
      <c r="E18" s="14"/>
      <c r="F18" s="13">
        <v>2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>
        <f t="shared" si="0"/>
        <v>2</v>
      </c>
      <c r="X18">
        <f t="shared" si="2"/>
        <v>0</v>
      </c>
      <c r="Y18">
        <f t="shared" si="3"/>
        <v>0</v>
      </c>
      <c r="Z18">
        <f t="shared" si="4"/>
        <v>1.7116346955980561</v>
      </c>
      <c r="AA18">
        <f t="shared" si="5"/>
        <v>0</v>
      </c>
      <c r="AB18">
        <f t="shared" si="6"/>
        <v>0</v>
      </c>
      <c r="AC18">
        <f t="shared" si="7"/>
        <v>0</v>
      </c>
      <c r="AD18">
        <f t="shared" si="8"/>
        <v>0</v>
      </c>
      <c r="AE18">
        <f t="shared" si="9"/>
        <v>0</v>
      </c>
      <c r="AF18">
        <f t="shared" si="10"/>
        <v>0</v>
      </c>
      <c r="AG18">
        <f t="shared" si="11"/>
        <v>0</v>
      </c>
      <c r="AH18">
        <f t="shared" si="12"/>
        <v>0</v>
      </c>
      <c r="AI18">
        <f t="shared" si="13"/>
        <v>0</v>
      </c>
      <c r="AJ18">
        <f t="shared" si="14"/>
        <v>0</v>
      </c>
      <c r="AK18">
        <f t="shared" si="15"/>
        <v>0</v>
      </c>
      <c r="AL18">
        <f t="shared" si="16"/>
        <v>0</v>
      </c>
      <c r="AM18">
        <f t="shared" si="17"/>
        <v>0</v>
      </c>
      <c r="AN18">
        <f t="shared" si="18"/>
        <v>0</v>
      </c>
      <c r="AO18">
        <f t="shared" si="19"/>
        <v>0</v>
      </c>
      <c r="AP18">
        <f t="shared" si="20"/>
        <v>0</v>
      </c>
      <c r="AQ18">
        <f t="shared" si="21"/>
        <v>1.7116346955980561</v>
      </c>
    </row>
    <row r="19" spans="1:43" x14ac:dyDescent="0.25">
      <c r="A19">
        <v>32</v>
      </c>
      <c r="B19">
        <v>34.300081104701199</v>
      </c>
      <c r="C19" s="11">
        <v>32</v>
      </c>
      <c r="D19" s="12"/>
      <c r="E19" s="14"/>
      <c r="F19" s="13">
        <v>9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>
        <f t="shared" si="0"/>
        <v>9</v>
      </c>
      <c r="X19">
        <f t="shared" si="2"/>
        <v>0</v>
      </c>
      <c r="Y19">
        <f t="shared" si="3"/>
        <v>0</v>
      </c>
      <c r="Z19">
        <f t="shared" si="4"/>
        <v>34.300081104701199</v>
      </c>
      <c r="AA19">
        <f t="shared" si="5"/>
        <v>0</v>
      </c>
      <c r="AB19">
        <f t="shared" si="6"/>
        <v>0</v>
      </c>
      <c r="AC19">
        <f t="shared" si="7"/>
        <v>0</v>
      </c>
      <c r="AD19">
        <f t="shared" si="8"/>
        <v>0</v>
      </c>
      <c r="AE19">
        <f t="shared" si="9"/>
        <v>0</v>
      </c>
      <c r="AF19">
        <f t="shared" si="10"/>
        <v>0</v>
      </c>
      <c r="AG19">
        <f t="shared" si="11"/>
        <v>0</v>
      </c>
      <c r="AH19">
        <f t="shared" si="12"/>
        <v>0</v>
      </c>
      <c r="AI19">
        <f t="shared" si="13"/>
        <v>0</v>
      </c>
      <c r="AJ19">
        <f t="shared" si="14"/>
        <v>0</v>
      </c>
      <c r="AK19">
        <f t="shared" si="15"/>
        <v>0</v>
      </c>
      <c r="AL19">
        <f t="shared" si="16"/>
        <v>0</v>
      </c>
      <c r="AM19">
        <f t="shared" si="17"/>
        <v>0</v>
      </c>
      <c r="AN19">
        <f t="shared" si="18"/>
        <v>0</v>
      </c>
      <c r="AO19">
        <f t="shared" si="19"/>
        <v>0</v>
      </c>
      <c r="AP19">
        <f t="shared" si="20"/>
        <v>0</v>
      </c>
      <c r="AQ19">
        <f t="shared" si="21"/>
        <v>34.300081104701199</v>
      </c>
    </row>
    <row r="20" spans="1:43" x14ac:dyDescent="0.25">
      <c r="A20">
        <v>33</v>
      </c>
      <c r="B20">
        <v>247.10074931474801</v>
      </c>
      <c r="C20" s="11">
        <v>33</v>
      </c>
      <c r="D20" s="12"/>
      <c r="E20" s="14"/>
      <c r="F20" s="13">
        <v>11</v>
      </c>
      <c r="G20" s="13">
        <v>17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>
        <f t="shared" si="0"/>
        <v>28</v>
      </c>
      <c r="X20">
        <f t="shared" si="2"/>
        <v>0</v>
      </c>
      <c r="Y20">
        <f t="shared" si="3"/>
        <v>0</v>
      </c>
      <c r="Z20">
        <f t="shared" si="4"/>
        <v>97.075294373651005</v>
      </c>
      <c r="AA20">
        <f t="shared" si="5"/>
        <v>150.025454941097</v>
      </c>
      <c r="AB20">
        <f t="shared" si="6"/>
        <v>0</v>
      </c>
      <c r="AC20">
        <f t="shared" si="7"/>
        <v>0</v>
      </c>
      <c r="AD20">
        <f t="shared" si="8"/>
        <v>0</v>
      </c>
      <c r="AE20">
        <f t="shared" si="9"/>
        <v>0</v>
      </c>
      <c r="AF20">
        <f t="shared" si="10"/>
        <v>0</v>
      </c>
      <c r="AG20">
        <f t="shared" si="11"/>
        <v>0</v>
      </c>
      <c r="AH20">
        <f t="shared" si="12"/>
        <v>0</v>
      </c>
      <c r="AI20">
        <f t="shared" si="13"/>
        <v>0</v>
      </c>
      <c r="AJ20">
        <f t="shared" si="14"/>
        <v>0</v>
      </c>
      <c r="AK20">
        <f t="shared" si="15"/>
        <v>0</v>
      </c>
      <c r="AL20">
        <f t="shared" si="16"/>
        <v>0</v>
      </c>
      <c r="AM20">
        <f t="shared" si="17"/>
        <v>0</v>
      </c>
      <c r="AN20">
        <f t="shared" si="18"/>
        <v>0</v>
      </c>
      <c r="AO20">
        <f t="shared" si="19"/>
        <v>0</v>
      </c>
      <c r="AP20">
        <f t="shared" si="20"/>
        <v>0</v>
      </c>
      <c r="AQ20">
        <f t="shared" si="21"/>
        <v>247.10074931474799</v>
      </c>
    </row>
    <row r="21" spans="1:43" x14ac:dyDescent="0.25">
      <c r="A21">
        <v>34</v>
      </c>
      <c r="B21">
        <v>326.29148273518155</v>
      </c>
      <c r="C21" s="11">
        <v>34</v>
      </c>
      <c r="D21" s="12"/>
      <c r="E21" s="14"/>
      <c r="F21" s="13">
        <v>1</v>
      </c>
      <c r="G21" s="13">
        <v>38</v>
      </c>
      <c r="H21" s="13">
        <v>4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>
        <f t="shared" si="0"/>
        <v>43</v>
      </c>
      <c r="X21">
        <f t="shared" si="2"/>
        <v>0</v>
      </c>
      <c r="Y21">
        <f t="shared" si="3"/>
        <v>0</v>
      </c>
      <c r="Z21">
        <f t="shared" si="4"/>
        <v>7.5881740170972449</v>
      </c>
      <c r="AA21">
        <f t="shared" si="5"/>
        <v>288.35061264969534</v>
      </c>
      <c r="AB21">
        <f t="shared" si="6"/>
        <v>30.35269606838898</v>
      </c>
      <c r="AC21">
        <f t="shared" si="7"/>
        <v>0</v>
      </c>
      <c r="AD21">
        <f t="shared" si="8"/>
        <v>0</v>
      </c>
      <c r="AE21">
        <f t="shared" si="9"/>
        <v>0</v>
      </c>
      <c r="AF21">
        <f t="shared" si="10"/>
        <v>0</v>
      </c>
      <c r="AG21">
        <f t="shared" si="11"/>
        <v>0</v>
      </c>
      <c r="AH21">
        <f t="shared" si="12"/>
        <v>0</v>
      </c>
      <c r="AI21">
        <f t="shared" si="13"/>
        <v>0</v>
      </c>
      <c r="AJ21">
        <f t="shared" si="14"/>
        <v>0</v>
      </c>
      <c r="AK21">
        <f t="shared" si="15"/>
        <v>0</v>
      </c>
      <c r="AL21">
        <f t="shared" si="16"/>
        <v>0</v>
      </c>
      <c r="AM21">
        <f t="shared" si="17"/>
        <v>0</v>
      </c>
      <c r="AN21">
        <f t="shared" si="18"/>
        <v>0</v>
      </c>
      <c r="AO21">
        <f t="shared" si="19"/>
        <v>0</v>
      </c>
      <c r="AP21">
        <f t="shared" si="20"/>
        <v>0</v>
      </c>
      <c r="AQ21">
        <f t="shared" si="21"/>
        <v>326.29148273518155</v>
      </c>
    </row>
    <row r="22" spans="1:43" x14ac:dyDescent="0.25">
      <c r="A22">
        <v>35</v>
      </c>
      <c r="B22">
        <v>475.84522732709797</v>
      </c>
      <c r="C22" s="11">
        <v>35</v>
      </c>
      <c r="D22" s="12"/>
      <c r="E22" s="14"/>
      <c r="F22" s="14"/>
      <c r="G22" s="13">
        <v>18</v>
      </c>
      <c r="H22" s="13">
        <v>31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>
        <f t="shared" si="0"/>
        <v>49</v>
      </c>
      <c r="X22">
        <f t="shared" si="2"/>
        <v>0</v>
      </c>
      <c r="Y22">
        <f t="shared" si="3"/>
        <v>0</v>
      </c>
      <c r="Z22">
        <f t="shared" si="4"/>
        <v>0</v>
      </c>
      <c r="AA22">
        <f t="shared" si="5"/>
        <v>174.8002875895462</v>
      </c>
      <c r="AB22">
        <f t="shared" si="6"/>
        <v>301.04493973755177</v>
      </c>
      <c r="AC22">
        <f t="shared" si="7"/>
        <v>0</v>
      </c>
      <c r="AD22">
        <f t="shared" si="8"/>
        <v>0</v>
      </c>
      <c r="AE22">
        <f t="shared" si="9"/>
        <v>0</v>
      </c>
      <c r="AF22">
        <f t="shared" si="10"/>
        <v>0</v>
      </c>
      <c r="AG22">
        <f t="shared" si="11"/>
        <v>0</v>
      </c>
      <c r="AH22">
        <f t="shared" si="12"/>
        <v>0</v>
      </c>
      <c r="AI22">
        <f t="shared" si="13"/>
        <v>0</v>
      </c>
      <c r="AJ22">
        <f t="shared" si="14"/>
        <v>0</v>
      </c>
      <c r="AK22">
        <f t="shared" si="15"/>
        <v>0</v>
      </c>
      <c r="AL22">
        <f t="shared" si="16"/>
        <v>0</v>
      </c>
      <c r="AM22">
        <f t="shared" si="17"/>
        <v>0</v>
      </c>
      <c r="AN22">
        <f t="shared" si="18"/>
        <v>0</v>
      </c>
      <c r="AO22">
        <f t="shared" si="19"/>
        <v>0</v>
      </c>
      <c r="AP22">
        <f t="shared" si="20"/>
        <v>0</v>
      </c>
      <c r="AQ22">
        <f t="shared" si="21"/>
        <v>475.84522732709797</v>
      </c>
    </row>
    <row r="23" spans="1:43" x14ac:dyDescent="0.25">
      <c r="A23">
        <v>36</v>
      </c>
      <c r="B23">
        <v>648.73919999646887</v>
      </c>
      <c r="C23" s="11">
        <v>36</v>
      </c>
      <c r="D23" s="12"/>
      <c r="E23" s="14"/>
      <c r="F23" s="13">
        <v>1</v>
      </c>
      <c r="G23" s="13">
        <v>11</v>
      </c>
      <c r="H23" s="13">
        <v>69</v>
      </c>
      <c r="I23" s="13">
        <v>7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>
        <f t="shared" si="0"/>
        <v>88</v>
      </c>
      <c r="X23">
        <f t="shared" si="2"/>
        <v>0</v>
      </c>
      <c r="Y23">
        <f t="shared" si="3"/>
        <v>0</v>
      </c>
      <c r="Z23">
        <f t="shared" si="4"/>
        <v>7.3720363635962372</v>
      </c>
      <c r="AA23">
        <f t="shared" si="5"/>
        <v>81.092399999558609</v>
      </c>
      <c r="AB23">
        <f t="shared" si="6"/>
        <v>508.67050908814036</v>
      </c>
      <c r="AC23">
        <f t="shared" si="7"/>
        <v>51.60425454517366</v>
      </c>
      <c r="AD23">
        <f t="shared" si="8"/>
        <v>0</v>
      </c>
      <c r="AE23">
        <f t="shared" si="9"/>
        <v>0</v>
      </c>
      <c r="AF23">
        <f t="shared" si="10"/>
        <v>0</v>
      </c>
      <c r="AG23">
        <f t="shared" si="11"/>
        <v>0</v>
      </c>
      <c r="AH23">
        <f t="shared" si="12"/>
        <v>0</v>
      </c>
      <c r="AI23">
        <f t="shared" si="13"/>
        <v>0</v>
      </c>
      <c r="AJ23">
        <f t="shared" si="14"/>
        <v>0</v>
      </c>
      <c r="AK23">
        <f t="shared" si="15"/>
        <v>0</v>
      </c>
      <c r="AL23">
        <f t="shared" si="16"/>
        <v>0</v>
      </c>
      <c r="AM23">
        <f t="shared" si="17"/>
        <v>0</v>
      </c>
      <c r="AN23">
        <f t="shared" si="18"/>
        <v>0</v>
      </c>
      <c r="AO23">
        <f t="shared" si="19"/>
        <v>0</v>
      </c>
      <c r="AP23">
        <f t="shared" si="20"/>
        <v>0</v>
      </c>
      <c r="AQ23">
        <f t="shared" si="21"/>
        <v>648.73919999646887</v>
      </c>
    </row>
    <row r="24" spans="1:43" x14ac:dyDescent="0.25">
      <c r="A24">
        <v>37</v>
      </c>
      <c r="B24">
        <v>551.31618770827902</v>
      </c>
      <c r="C24" s="11">
        <v>37</v>
      </c>
      <c r="D24" s="12"/>
      <c r="E24" s="14"/>
      <c r="F24" s="14"/>
      <c r="G24" s="13">
        <v>2</v>
      </c>
      <c r="H24" s="13">
        <v>33</v>
      </c>
      <c r="I24" s="13">
        <v>43</v>
      </c>
      <c r="J24" s="13">
        <v>1</v>
      </c>
      <c r="K24" s="13">
        <v>1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>
        <f t="shared" si="0"/>
        <v>80</v>
      </c>
      <c r="X24">
        <f t="shared" si="2"/>
        <v>0</v>
      </c>
      <c r="Y24">
        <f t="shared" si="3"/>
        <v>0</v>
      </c>
      <c r="Z24">
        <f t="shared" si="4"/>
        <v>0</v>
      </c>
      <c r="AA24">
        <f t="shared" si="5"/>
        <v>13.782904692706976</v>
      </c>
      <c r="AB24">
        <f t="shared" si="6"/>
        <v>227.41792742966507</v>
      </c>
      <c r="AC24">
        <f t="shared" si="7"/>
        <v>296.33245089319996</v>
      </c>
      <c r="AD24">
        <f t="shared" si="8"/>
        <v>6.8914523463534882</v>
      </c>
      <c r="AE24">
        <f t="shared" si="9"/>
        <v>6.8914523463534882</v>
      </c>
      <c r="AF24">
        <f t="shared" si="10"/>
        <v>0</v>
      </c>
      <c r="AG24">
        <f t="shared" si="11"/>
        <v>0</v>
      </c>
      <c r="AH24">
        <f t="shared" si="12"/>
        <v>0</v>
      </c>
      <c r="AI24">
        <f t="shared" si="13"/>
        <v>0</v>
      </c>
      <c r="AJ24">
        <f t="shared" si="14"/>
        <v>0</v>
      </c>
      <c r="AK24">
        <f t="shared" si="15"/>
        <v>0</v>
      </c>
      <c r="AL24">
        <f t="shared" si="16"/>
        <v>0</v>
      </c>
      <c r="AM24">
        <f t="shared" si="17"/>
        <v>0</v>
      </c>
      <c r="AN24">
        <f t="shared" si="18"/>
        <v>0</v>
      </c>
      <c r="AO24">
        <f t="shared" si="19"/>
        <v>0</v>
      </c>
      <c r="AP24">
        <f t="shared" si="20"/>
        <v>0</v>
      </c>
      <c r="AQ24">
        <f t="shared" si="21"/>
        <v>551.31618770827902</v>
      </c>
    </row>
    <row r="25" spans="1:43" x14ac:dyDescent="0.25">
      <c r="A25">
        <v>38</v>
      </c>
      <c r="B25">
        <v>374.92616747955276</v>
      </c>
      <c r="C25" s="11">
        <v>38</v>
      </c>
      <c r="D25" s="12"/>
      <c r="E25" s="14"/>
      <c r="F25" s="14"/>
      <c r="G25" s="14"/>
      <c r="H25" s="13">
        <v>12</v>
      </c>
      <c r="I25" s="13">
        <v>55</v>
      </c>
      <c r="J25" s="13">
        <v>9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>
        <f t="shared" si="0"/>
        <v>76</v>
      </c>
      <c r="X25">
        <f t="shared" si="2"/>
        <v>0</v>
      </c>
      <c r="Y25">
        <f t="shared" si="3"/>
        <v>0</v>
      </c>
      <c r="Z25">
        <f t="shared" si="4"/>
        <v>0</v>
      </c>
      <c r="AA25">
        <f t="shared" si="5"/>
        <v>0</v>
      </c>
      <c r="AB25">
        <f t="shared" si="6"/>
        <v>59.198868549403066</v>
      </c>
      <c r="AC25">
        <f t="shared" si="7"/>
        <v>271.32814751809741</v>
      </c>
      <c r="AD25">
        <f t="shared" si="8"/>
        <v>44.399151412052298</v>
      </c>
      <c r="AE25">
        <f t="shared" si="9"/>
        <v>0</v>
      </c>
      <c r="AF25">
        <f t="shared" si="10"/>
        <v>0</v>
      </c>
      <c r="AG25">
        <f t="shared" si="11"/>
        <v>0</v>
      </c>
      <c r="AH25">
        <f t="shared" si="12"/>
        <v>0</v>
      </c>
      <c r="AI25">
        <f t="shared" si="13"/>
        <v>0</v>
      </c>
      <c r="AJ25">
        <f t="shared" si="14"/>
        <v>0</v>
      </c>
      <c r="AK25">
        <f t="shared" si="15"/>
        <v>0</v>
      </c>
      <c r="AL25">
        <f t="shared" si="16"/>
        <v>0</v>
      </c>
      <c r="AM25">
        <f t="shared" si="17"/>
        <v>0</v>
      </c>
      <c r="AN25">
        <f t="shared" si="18"/>
        <v>0</v>
      </c>
      <c r="AO25">
        <f t="shared" si="19"/>
        <v>0</v>
      </c>
      <c r="AP25">
        <f t="shared" si="20"/>
        <v>0</v>
      </c>
      <c r="AQ25">
        <f t="shared" si="21"/>
        <v>374.92616747955276</v>
      </c>
    </row>
    <row r="26" spans="1:43" x14ac:dyDescent="0.25">
      <c r="A26">
        <v>39</v>
      </c>
      <c r="B26">
        <v>269.99352643240832</v>
      </c>
      <c r="C26" s="11">
        <v>39</v>
      </c>
      <c r="D26" s="12"/>
      <c r="E26" s="14"/>
      <c r="F26" s="14"/>
      <c r="G26" s="14"/>
      <c r="H26" s="14"/>
      <c r="I26" s="13">
        <v>30</v>
      </c>
      <c r="J26" s="13">
        <v>24</v>
      </c>
      <c r="K26" s="13">
        <v>2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>
        <f t="shared" si="0"/>
        <v>56</v>
      </c>
      <c r="X26">
        <f t="shared" si="2"/>
        <v>0</v>
      </c>
      <c r="Y26">
        <f t="shared" si="3"/>
        <v>0</v>
      </c>
      <c r="Z26">
        <f t="shared" si="4"/>
        <v>0</v>
      </c>
      <c r="AA26">
        <f t="shared" si="5"/>
        <v>0</v>
      </c>
      <c r="AB26">
        <f t="shared" si="6"/>
        <v>0</v>
      </c>
      <c r="AC26">
        <f t="shared" si="7"/>
        <v>144.63938916021874</v>
      </c>
      <c r="AD26">
        <f t="shared" si="8"/>
        <v>115.71151132817499</v>
      </c>
      <c r="AE26">
        <f t="shared" si="9"/>
        <v>9.6426259440145827</v>
      </c>
      <c r="AF26">
        <f t="shared" si="10"/>
        <v>0</v>
      </c>
      <c r="AG26">
        <f t="shared" si="11"/>
        <v>0</v>
      </c>
      <c r="AH26">
        <f t="shared" si="12"/>
        <v>0</v>
      </c>
      <c r="AI26">
        <f t="shared" si="13"/>
        <v>0</v>
      </c>
      <c r="AJ26">
        <f t="shared" si="14"/>
        <v>0</v>
      </c>
      <c r="AK26">
        <f t="shared" si="15"/>
        <v>0</v>
      </c>
      <c r="AL26">
        <f t="shared" si="16"/>
        <v>0</v>
      </c>
      <c r="AM26">
        <f t="shared" si="17"/>
        <v>0</v>
      </c>
      <c r="AN26">
        <f t="shared" si="18"/>
        <v>0</v>
      </c>
      <c r="AO26">
        <f t="shared" si="19"/>
        <v>0</v>
      </c>
      <c r="AP26">
        <f t="shared" si="20"/>
        <v>0</v>
      </c>
      <c r="AQ26">
        <f t="shared" si="21"/>
        <v>269.99352643240832</v>
      </c>
    </row>
    <row r="27" spans="1:43" x14ac:dyDescent="0.25">
      <c r="A27">
        <v>40</v>
      </c>
      <c r="B27">
        <v>178.28764357628697</v>
      </c>
      <c r="C27" s="11">
        <v>40</v>
      </c>
      <c r="D27" s="12"/>
      <c r="E27" s="14"/>
      <c r="F27" s="14"/>
      <c r="G27" s="14"/>
      <c r="H27" s="14"/>
      <c r="I27" s="13">
        <v>15</v>
      </c>
      <c r="J27" s="13">
        <v>35</v>
      </c>
      <c r="K27" s="13">
        <v>3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>
        <f t="shared" si="0"/>
        <v>53</v>
      </c>
      <c r="X27">
        <f t="shared" si="2"/>
        <v>0</v>
      </c>
      <c r="Y27">
        <f t="shared" si="3"/>
        <v>0</v>
      </c>
      <c r="Z27">
        <f t="shared" si="4"/>
        <v>0</v>
      </c>
      <c r="AA27">
        <f t="shared" si="5"/>
        <v>0</v>
      </c>
      <c r="AB27">
        <f t="shared" si="6"/>
        <v>0</v>
      </c>
      <c r="AC27">
        <f t="shared" si="7"/>
        <v>50.458767049892536</v>
      </c>
      <c r="AD27">
        <f t="shared" si="8"/>
        <v>117.73712311641592</v>
      </c>
      <c r="AE27">
        <f t="shared" si="9"/>
        <v>10.091753409978509</v>
      </c>
      <c r="AF27">
        <f t="shared" si="10"/>
        <v>0</v>
      </c>
      <c r="AG27">
        <f t="shared" si="11"/>
        <v>0</v>
      </c>
      <c r="AH27">
        <f t="shared" si="12"/>
        <v>0</v>
      </c>
      <c r="AI27">
        <f t="shared" si="13"/>
        <v>0</v>
      </c>
      <c r="AJ27">
        <f t="shared" si="14"/>
        <v>0</v>
      </c>
      <c r="AK27">
        <f t="shared" si="15"/>
        <v>0</v>
      </c>
      <c r="AL27">
        <f t="shared" si="16"/>
        <v>0</v>
      </c>
      <c r="AM27">
        <f t="shared" si="17"/>
        <v>0</v>
      </c>
      <c r="AN27">
        <f t="shared" si="18"/>
        <v>0</v>
      </c>
      <c r="AO27">
        <f t="shared" si="19"/>
        <v>0</v>
      </c>
      <c r="AP27">
        <f t="shared" si="20"/>
        <v>0</v>
      </c>
      <c r="AQ27">
        <f t="shared" si="21"/>
        <v>178.28764357628697</v>
      </c>
    </row>
    <row r="28" spans="1:43" x14ac:dyDescent="0.25">
      <c r="A28">
        <v>41</v>
      </c>
      <c r="B28">
        <v>145.95796398730573</v>
      </c>
      <c r="C28" s="11">
        <v>41</v>
      </c>
      <c r="D28" s="12"/>
      <c r="E28" s="14"/>
      <c r="F28" s="14"/>
      <c r="G28" s="14"/>
      <c r="H28" s="14"/>
      <c r="I28" s="13">
        <v>2</v>
      </c>
      <c r="J28" s="13">
        <v>11</v>
      </c>
      <c r="K28" s="13">
        <v>21</v>
      </c>
      <c r="L28" s="13">
        <v>2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>
        <f t="shared" si="0"/>
        <v>36</v>
      </c>
      <c r="X28">
        <f t="shared" si="2"/>
        <v>0</v>
      </c>
      <c r="Y28">
        <f t="shared" si="3"/>
        <v>0</v>
      </c>
      <c r="Z28">
        <f t="shared" si="4"/>
        <v>0</v>
      </c>
      <c r="AA28">
        <f t="shared" si="5"/>
        <v>0</v>
      </c>
      <c r="AB28">
        <f t="shared" si="6"/>
        <v>0</v>
      </c>
      <c r="AC28">
        <f t="shared" si="7"/>
        <v>8.108775777072541</v>
      </c>
      <c r="AD28">
        <f t="shared" si="8"/>
        <v>44.598266773898978</v>
      </c>
      <c r="AE28">
        <f t="shared" si="9"/>
        <v>85.142145659261686</v>
      </c>
      <c r="AF28">
        <f t="shared" si="10"/>
        <v>8.108775777072541</v>
      </c>
      <c r="AG28">
        <f t="shared" si="11"/>
        <v>0</v>
      </c>
      <c r="AH28">
        <f t="shared" si="12"/>
        <v>0</v>
      </c>
      <c r="AI28">
        <f t="shared" si="13"/>
        <v>0</v>
      </c>
      <c r="AJ28">
        <f t="shared" si="14"/>
        <v>0</v>
      </c>
      <c r="AK28">
        <f t="shared" si="15"/>
        <v>0</v>
      </c>
      <c r="AL28">
        <f t="shared" si="16"/>
        <v>0</v>
      </c>
      <c r="AM28">
        <f t="shared" si="17"/>
        <v>0</v>
      </c>
      <c r="AN28">
        <f t="shared" si="18"/>
        <v>0</v>
      </c>
      <c r="AO28">
        <f t="shared" si="19"/>
        <v>0</v>
      </c>
      <c r="AP28">
        <f t="shared" si="20"/>
        <v>0</v>
      </c>
      <c r="AQ28">
        <f t="shared" si="21"/>
        <v>145.95796398730573</v>
      </c>
    </row>
    <row r="29" spans="1:43" x14ac:dyDescent="0.25">
      <c r="A29">
        <v>42</v>
      </c>
      <c r="B29">
        <v>103.45551378228187</v>
      </c>
      <c r="C29" s="11">
        <v>42</v>
      </c>
      <c r="D29" s="12"/>
      <c r="E29" s="14"/>
      <c r="F29" s="14"/>
      <c r="G29" s="14"/>
      <c r="H29" s="14"/>
      <c r="I29" s="13">
        <v>1</v>
      </c>
      <c r="J29" s="13">
        <v>11</v>
      </c>
      <c r="K29" s="13">
        <v>21</v>
      </c>
      <c r="L29" s="13">
        <v>4</v>
      </c>
      <c r="M29" s="13">
        <v>2</v>
      </c>
      <c r="N29" s="14"/>
      <c r="O29" s="14"/>
      <c r="P29" s="14"/>
      <c r="Q29" s="14"/>
      <c r="R29" s="14"/>
      <c r="S29" s="14"/>
      <c r="T29" s="14"/>
      <c r="U29" s="14"/>
      <c r="V29" s="14"/>
      <c r="W29">
        <f t="shared" si="0"/>
        <v>39</v>
      </c>
      <c r="X29">
        <f t="shared" si="2"/>
        <v>0</v>
      </c>
      <c r="Y29">
        <f t="shared" si="3"/>
        <v>0</v>
      </c>
      <c r="Z29">
        <f t="shared" si="4"/>
        <v>0</v>
      </c>
      <c r="AA29">
        <f t="shared" si="5"/>
        <v>0</v>
      </c>
      <c r="AB29">
        <f t="shared" si="6"/>
        <v>0</v>
      </c>
      <c r="AC29">
        <f t="shared" si="7"/>
        <v>2.6527054815969708</v>
      </c>
      <c r="AD29">
        <f t="shared" si="8"/>
        <v>29.179760297566681</v>
      </c>
      <c r="AE29">
        <f t="shared" si="9"/>
        <v>55.706815113536386</v>
      </c>
      <c r="AF29">
        <f t="shared" si="10"/>
        <v>10.610821926387883</v>
      </c>
      <c r="AG29">
        <f t="shared" si="11"/>
        <v>5.3054109631939417</v>
      </c>
      <c r="AH29">
        <f t="shared" si="12"/>
        <v>0</v>
      </c>
      <c r="AI29">
        <f t="shared" si="13"/>
        <v>0</v>
      </c>
      <c r="AJ29">
        <f t="shared" si="14"/>
        <v>0</v>
      </c>
      <c r="AK29">
        <f t="shared" si="15"/>
        <v>0</v>
      </c>
      <c r="AL29">
        <f t="shared" si="16"/>
        <v>0</v>
      </c>
      <c r="AM29">
        <f t="shared" si="17"/>
        <v>0</v>
      </c>
      <c r="AN29">
        <f t="shared" si="18"/>
        <v>0</v>
      </c>
      <c r="AO29">
        <f t="shared" si="19"/>
        <v>0</v>
      </c>
      <c r="AP29">
        <f t="shared" si="20"/>
        <v>0</v>
      </c>
      <c r="AQ29">
        <f t="shared" si="21"/>
        <v>103.45551378228186</v>
      </c>
    </row>
    <row r="30" spans="1:43" s="16" customFormat="1" x14ac:dyDescent="0.25">
      <c r="A30" s="16">
        <v>43</v>
      </c>
      <c r="B30" s="16">
        <v>79.489932556199477</v>
      </c>
      <c r="C30" s="17">
        <v>43</v>
      </c>
      <c r="D30" s="18"/>
      <c r="E30" s="19"/>
      <c r="F30" s="19"/>
      <c r="G30" s="19"/>
      <c r="H30" s="19"/>
      <c r="I30" s="19"/>
      <c r="J30" s="13">
        <v>3</v>
      </c>
      <c r="K30" s="13">
        <v>15</v>
      </c>
      <c r="L30" s="13">
        <v>11</v>
      </c>
      <c r="M30" s="13">
        <v>1</v>
      </c>
      <c r="N30" s="13">
        <v>1</v>
      </c>
      <c r="O30" s="19"/>
      <c r="P30" s="19"/>
      <c r="Q30" s="19"/>
      <c r="R30" s="19"/>
      <c r="S30" s="19"/>
      <c r="T30" s="19"/>
      <c r="U30" s="19"/>
      <c r="V30" s="19"/>
      <c r="W30" s="16">
        <f t="shared" si="0"/>
        <v>31</v>
      </c>
      <c r="X30">
        <f t="shared" si="2"/>
        <v>0</v>
      </c>
      <c r="Y30">
        <f t="shared" si="3"/>
        <v>0</v>
      </c>
      <c r="Z30">
        <f t="shared" si="4"/>
        <v>0</v>
      </c>
      <c r="AA30">
        <f t="shared" si="5"/>
        <v>0</v>
      </c>
      <c r="AB30">
        <f t="shared" si="6"/>
        <v>0</v>
      </c>
      <c r="AC30">
        <f t="shared" si="7"/>
        <v>0</v>
      </c>
      <c r="AD30">
        <f t="shared" si="8"/>
        <v>7.6925741183418843</v>
      </c>
      <c r="AE30">
        <f t="shared" si="9"/>
        <v>38.462870591709425</v>
      </c>
      <c r="AF30">
        <f t="shared" si="10"/>
        <v>28.206105100586914</v>
      </c>
      <c r="AG30">
        <f t="shared" si="11"/>
        <v>2.5641913727806283</v>
      </c>
      <c r="AH30">
        <f t="shared" si="12"/>
        <v>2.5641913727806283</v>
      </c>
      <c r="AI30">
        <f t="shared" si="13"/>
        <v>0</v>
      </c>
      <c r="AJ30">
        <f t="shared" si="14"/>
        <v>0</v>
      </c>
      <c r="AK30">
        <f t="shared" si="15"/>
        <v>0</v>
      </c>
      <c r="AL30">
        <f t="shared" si="16"/>
        <v>0</v>
      </c>
      <c r="AM30">
        <f t="shared" si="17"/>
        <v>0</v>
      </c>
      <c r="AN30">
        <f t="shared" si="18"/>
        <v>0</v>
      </c>
      <c r="AO30">
        <f t="shared" si="19"/>
        <v>0</v>
      </c>
      <c r="AP30">
        <f t="shared" si="20"/>
        <v>0</v>
      </c>
      <c r="AQ30" s="16">
        <f t="shared" si="21"/>
        <v>79.489932556199477</v>
      </c>
    </row>
    <row r="31" spans="1:43" x14ac:dyDescent="0.25">
      <c r="A31">
        <v>44</v>
      </c>
      <c r="B31">
        <v>85.864760989411138</v>
      </c>
      <c r="C31" s="11">
        <v>44</v>
      </c>
      <c r="D31" s="12"/>
      <c r="E31" s="14"/>
      <c r="F31" s="14"/>
      <c r="G31" s="14"/>
      <c r="H31" s="14"/>
      <c r="I31" s="14"/>
      <c r="J31" s="13">
        <v>1</v>
      </c>
      <c r="K31" s="13">
        <v>9</v>
      </c>
      <c r="L31" s="13">
        <v>13</v>
      </c>
      <c r="M31" s="13">
        <v>9</v>
      </c>
      <c r="N31" s="13">
        <v>1</v>
      </c>
      <c r="O31" s="14"/>
      <c r="P31" s="14"/>
      <c r="Q31" s="14"/>
      <c r="R31" s="14"/>
      <c r="S31" s="14"/>
      <c r="T31" s="14"/>
      <c r="U31" s="14"/>
      <c r="V31" s="14"/>
      <c r="W31">
        <f t="shared" si="0"/>
        <v>33</v>
      </c>
      <c r="X31">
        <f t="shared" si="2"/>
        <v>0</v>
      </c>
      <c r="Y31">
        <f t="shared" si="3"/>
        <v>0</v>
      </c>
      <c r="Z31">
        <f t="shared" si="4"/>
        <v>0</v>
      </c>
      <c r="AA31">
        <f t="shared" si="5"/>
        <v>0</v>
      </c>
      <c r="AB31">
        <f t="shared" si="6"/>
        <v>0</v>
      </c>
      <c r="AC31">
        <f t="shared" si="7"/>
        <v>0</v>
      </c>
      <c r="AD31">
        <f t="shared" si="8"/>
        <v>2.6019624542245801</v>
      </c>
      <c r="AE31">
        <f t="shared" si="9"/>
        <v>23.417662088021217</v>
      </c>
      <c r="AF31">
        <f t="shared" si="10"/>
        <v>33.825511904919537</v>
      </c>
      <c r="AG31">
        <f t="shared" si="11"/>
        <v>23.417662088021217</v>
      </c>
      <c r="AH31">
        <f t="shared" si="12"/>
        <v>2.6019624542245801</v>
      </c>
      <c r="AI31">
        <f t="shared" si="13"/>
        <v>0</v>
      </c>
      <c r="AJ31">
        <f t="shared" si="14"/>
        <v>0</v>
      </c>
      <c r="AK31">
        <f t="shared" si="15"/>
        <v>0</v>
      </c>
      <c r="AL31">
        <f t="shared" si="16"/>
        <v>0</v>
      </c>
      <c r="AM31">
        <f t="shared" si="17"/>
        <v>0</v>
      </c>
      <c r="AN31">
        <f t="shared" si="18"/>
        <v>0</v>
      </c>
      <c r="AO31">
        <f t="shared" si="19"/>
        <v>0</v>
      </c>
      <c r="AP31">
        <f t="shared" si="20"/>
        <v>0</v>
      </c>
      <c r="AQ31">
        <f t="shared" si="21"/>
        <v>85.864760989411124</v>
      </c>
    </row>
    <row r="32" spans="1:43" x14ac:dyDescent="0.25">
      <c r="A32">
        <v>45</v>
      </c>
      <c r="B32">
        <v>81.266258956828025</v>
      </c>
      <c r="C32" s="11">
        <v>45</v>
      </c>
      <c r="D32" s="12"/>
      <c r="E32" s="14"/>
      <c r="F32" s="14"/>
      <c r="G32" s="14"/>
      <c r="H32" s="14"/>
      <c r="I32" s="14"/>
      <c r="J32" s="14"/>
      <c r="K32" s="14"/>
      <c r="L32" s="13">
        <v>4</v>
      </c>
      <c r="M32" s="13">
        <v>9</v>
      </c>
      <c r="N32" s="13">
        <v>13</v>
      </c>
      <c r="O32" s="13">
        <v>1</v>
      </c>
      <c r="P32" s="13">
        <v>1</v>
      </c>
      <c r="Q32" s="14"/>
      <c r="R32" s="13">
        <v>1</v>
      </c>
      <c r="S32" s="14"/>
      <c r="T32" s="14"/>
      <c r="U32" s="14"/>
      <c r="V32" s="14"/>
      <c r="W32">
        <f t="shared" si="0"/>
        <v>29</v>
      </c>
      <c r="X32">
        <f t="shared" si="2"/>
        <v>0</v>
      </c>
      <c r="Y32">
        <f t="shared" si="3"/>
        <v>0</v>
      </c>
      <c r="Z32">
        <f t="shared" si="4"/>
        <v>0</v>
      </c>
      <c r="AA32">
        <f t="shared" si="5"/>
        <v>0</v>
      </c>
      <c r="AB32">
        <f t="shared" si="6"/>
        <v>0</v>
      </c>
      <c r="AC32">
        <f t="shared" si="7"/>
        <v>0</v>
      </c>
      <c r="AD32">
        <f t="shared" si="8"/>
        <v>0</v>
      </c>
      <c r="AE32">
        <f t="shared" si="9"/>
        <v>0</v>
      </c>
      <c r="AF32">
        <f t="shared" si="10"/>
        <v>11.209139166459037</v>
      </c>
      <c r="AG32">
        <f t="shared" si="11"/>
        <v>25.220563124532838</v>
      </c>
      <c r="AH32">
        <f t="shared" si="12"/>
        <v>36.429702290991877</v>
      </c>
      <c r="AI32">
        <f t="shared" si="13"/>
        <v>2.8022847916147593</v>
      </c>
      <c r="AJ32">
        <f t="shared" si="14"/>
        <v>2.8022847916147593</v>
      </c>
      <c r="AK32">
        <f t="shared" si="15"/>
        <v>0</v>
      </c>
      <c r="AL32">
        <f t="shared" si="16"/>
        <v>2.8022847916147593</v>
      </c>
      <c r="AM32">
        <f t="shared" si="17"/>
        <v>0</v>
      </c>
      <c r="AN32">
        <f t="shared" si="18"/>
        <v>0</v>
      </c>
      <c r="AO32">
        <f t="shared" si="19"/>
        <v>0</v>
      </c>
      <c r="AP32">
        <f t="shared" si="20"/>
        <v>0</v>
      </c>
      <c r="AQ32">
        <f t="shared" si="21"/>
        <v>81.266258956828011</v>
      </c>
    </row>
    <row r="33" spans="1:43" x14ac:dyDescent="0.25">
      <c r="A33">
        <v>46</v>
      </c>
      <c r="B33">
        <v>60.519090056011905</v>
      </c>
      <c r="C33" s="11">
        <v>46</v>
      </c>
      <c r="D33" s="12"/>
      <c r="E33" s="14"/>
      <c r="F33" s="14"/>
      <c r="G33" s="14"/>
      <c r="H33" s="14"/>
      <c r="I33" s="14"/>
      <c r="J33" s="14"/>
      <c r="K33" s="14"/>
      <c r="L33" s="13">
        <v>1</v>
      </c>
      <c r="M33" s="13">
        <v>2</v>
      </c>
      <c r="N33" s="13">
        <v>2</v>
      </c>
      <c r="O33" s="13">
        <v>6</v>
      </c>
      <c r="P33" s="13">
        <v>2</v>
      </c>
      <c r="Q33" s="13">
        <v>1</v>
      </c>
      <c r="R33" s="13">
        <v>1</v>
      </c>
      <c r="S33" s="14"/>
      <c r="T33" s="14"/>
      <c r="U33" s="14"/>
      <c r="V33" s="14"/>
      <c r="W33">
        <f t="shared" si="0"/>
        <v>15</v>
      </c>
      <c r="X33">
        <f t="shared" si="2"/>
        <v>0</v>
      </c>
      <c r="Y33">
        <f t="shared" si="3"/>
        <v>0</v>
      </c>
      <c r="Z33">
        <f t="shared" si="4"/>
        <v>0</v>
      </c>
      <c r="AA33">
        <f t="shared" si="5"/>
        <v>0</v>
      </c>
      <c r="AB33">
        <f t="shared" si="6"/>
        <v>0</v>
      </c>
      <c r="AC33">
        <f t="shared" si="7"/>
        <v>0</v>
      </c>
      <c r="AD33">
        <f t="shared" si="8"/>
        <v>0</v>
      </c>
      <c r="AE33">
        <f t="shared" si="9"/>
        <v>0</v>
      </c>
      <c r="AF33">
        <f t="shared" si="10"/>
        <v>4.0346060037341269</v>
      </c>
      <c r="AG33">
        <f t="shared" si="11"/>
        <v>8.0692120074682538</v>
      </c>
      <c r="AH33">
        <f t="shared" si="12"/>
        <v>8.0692120074682538</v>
      </c>
      <c r="AI33">
        <f t="shared" si="13"/>
        <v>24.207636022404763</v>
      </c>
      <c r="AJ33">
        <f t="shared" si="14"/>
        <v>8.0692120074682538</v>
      </c>
      <c r="AK33">
        <f t="shared" si="15"/>
        <v>4.0346060037341269</v>
      </c>
      <c r="AL33">
        <f t="shared" si="16"/>
        <v>4.0346060037341269</v>
      </c>
      <c r="AM33">
        <f t="shared" si="17"/>
        <v>0</v>
      </c>
      <c r="AN33">
        <f t="shared" si="18"/>
        <v>0</v>
      </c>
      <c r="AO33">
        <f t="shared" si="19"/>
        <v>0</v>
      </c>
      <c r="AP33">
        <f t="shared" si="20"/>
        <v>0</v>
      </c>
      <c r="AQ33">
        <f t="shared" si="21"/>
        <v>60.519090056011905</v>
      </c>
    </row>
    <row r="34" spans="1:43" x14ac:dyDescent="0.25">
      <c r="A34">
        <v>47</v>
      </c>
      <c r="B34">
        <v>28.798590689400992</v>
      </c>
      <c r="C34" s="11">
        <v>47</v>
      </c>
      <c r="D34" s="12"/>
      <c r="E34" s="14"/>
      <c r="F34" s="14"/>
      <c r="G34" s="14"/>
      <c r="H34" s="14"/>
      <c r="I34" s="14"/>
      <c r="J34" s="14"/>
      <c r="K34" s="14"/>
      <c r="L34" s="14"/>
      <c r="M34" s="14"/>
      <c r="N34" s="13">
        <v>3</v>
      </c>
      <c r="O34" s="13">
        <v>4</v>
      </c>
      <c r="P34" s="13">
        <v>1</v>
      </c>
      <c r="Q34" s="14"/>
      <c r="R34" s="14"/>
      <c r="S34" s="14"/>
      <c r="T34" s="14"/>
      <c r="U34" s="14"/>
      <c r="V34" s="14"/>
      <c r="W34">
        <f t="shared" si="0"/>
        <v>8</v>
      </c>
      <c r="X34">
        <f t="shared" si="2"/>
        <v>0</v>
      </c>
      <c r="Y34">
        <f t="shared" si="3"/>
        <v>0</v>
      </c>
      <c r="Z34">
        <f t="shared" si="4"/>
        <v>0</v>
      </c>
      <c r="AA34">
        <f t="shared" si="5"/>
        <v>0</v>
      </c>
      <c r="AB34">
        <f t="shared" si="6"/>
        <v>0</v>
      </c>
      <c r="AC34">
        <f t="shared" si="7"/>
        <v>0</v>
      </c>
      <c r="AD34">
        <f t="shared" si="8"/>
        <v>0</v>
      </c>
      <c r="AE34">
        <f t="shared" si="9"/>
        <v>0</v>
      </c>
      <c r="AF34">
        <f t="shared" si="10"/>
        <v>0</v>
      </c>
      <c r="AG34">
        <f t="shared" si="11"/>
        <v>0</v>
      </c>
      <c r="AH34">
        <f t="shared" si="12"/>
        <v>10.799471508525372</v>
      </c>
      <c r="AI34">
        <f t="shared" si="13"/>
        <v>14.399295344700496</v>
      </c>
      <c r="AJ34">
        <f t="shared" si="14"/>
        <v>3.599823836175124</v>
      </c>
      <c r="AK34">
        <f t="shared" si="15"/>
        <v>0</v>
      </c>
      <c r="AL34">
        <f t="shared" si="16"/>
        <v>0</v>
      </c>
      <c r="AM34">
        <f t="shared" si="17"/>
        <v>0</v>
      </c>
      <c r="AN34">
        <f t="shared" si="18"/>
        <v>0</v>
      </c>
      <c r="AO34">
        <f t="shared" si="19"/>
        <v>0</v>
      </c>
      <c r="AP34">
        <f t="shared" si="20"/>
        <v>0</v>
      </c>
      <c r="AQ34">
        <f t="shared" si="21"/>
        <v>28.798590689400992</v>
      </c>
    </row>
    <row r="35" spans="1:43" x14ac:dyDescent="0.25">
      <c r="A35">
        <v>48</v>
      </c>
      <c r="B35">
        <v>32.836431278386648</v>
      </c>
      <c r="C35" s="11">
        <v>48</v>
      </c>
      <c r="D35" s="12"/>
      <c r="E35" s="14"/>
      <c r="F35" s="14"/>
      <c r="G35" s="14"/>
      <c r="H35" s="14"/>
      <c r="I35" s="14"/>
      <c r="J35" s="14"/>
      <c r="K35" s="14"/>
      <c r="L35" s="14"/>
      <c r="M35" s="13">
        <v>1</v>
      </c>
      <c r="N35" s="14"/>
      <c r="O35" s="13">
        <v>2</v>
      </c>
      <c r="P35" s="13">
        <v>1</v>
      </c>
      <c r="Q35" s="13">
        <v>3</v>
      </c>
      <c r="R35" s="13">
        <v>2</v>
      </c>
      <c r="S35" s="13">
        <v>1</v>
      </c>
      <c r="T35" s="14"/>
      <c r="U35" s="14"/>
      <c r="V35" s="14"/>
      <c r="W35">
        <f t="shared" si="0"/>
        <v>10</v>
      </c>
      <c r="X35">
        <f t="shared" si="2"/>
        <v>0</v>
      </c>
      <c r="Y35">
        <f t="shared" si="3"/>
        <v>0</v>
      </c>
      <c r="Z35">
        <f t="shared" si="4"/>
        <v>0</v>
      </c>
      <c r="AA35">
        <f t="shared" si="5"/>
        <v>0</v>
      </c>
      <c r="AB35">
        <f t="shared" si="6"/>
        <v>0</v>
      </c>
      <c r="AC35">
        <f t="shared" si="7"/>
        <v>0</v>
      </c>
      <c r="AD35">
        <f t="shared" si="8"/>
        <v>0</v>
      </c>
      <c r="AE35">
        <f t="shared" si="9"/>
        <v>0</v>
      </c>
      <c r="AF35">
        <f t="shared" si="10"/>
        <v>0</v>
      </c>
      <c r="AG35">
        <f t="shared" si="11"/>
        <v>3.2836431278386651</v>
      </c>
      <c r="AH35">
        <f t="shared" si="12"/>
        <v>0</v>
      </c>
      <c r="AI35">
        <f t="shared" si="13"/>
        <v>6.5672862556773302</v>
      </c>
      <c r="AJ35">
        <f t="shared" si="14"/>
        <v>3.2836431278386651</v>
      </c>
      <c r="AK35">
        <f t="shared" si="15"/>
        <v>9.8509293835159948</v>
      </c>
      <c r="AL35">
        <f t="shared" si="16"/>
        <v>6.5672862556773302</v>
      </c>
      <c r="AM35">
        <f t="shared" si="17"/>
        <v>3.2836431278386651</v>
      </c>
      <c r="AN35">
        <f t="shared" si="18"/>
        <v>0</v>
      </c>
      <c r="AO35">
        <f t="shared" si="19"/>
        <v>0</v>
      </c>
      <c r="AP35">
        <f t="shared" si="20"/>
        <v>0</v>
      </c>
      <c r="AQ35">
        <f t="shared" si="21"/>
        <v>32.836431278386648</v>
      </c>
    </row>
    <row r="36" spans="1:43" x14ac:dyDescent="0.25">
      <c r="A36">
        <v>49</v>
      </c>
      <c r="B36">
        <v>5.8788586946446619</v>
      </c>
      <c r="C36" s="11">
        <v>49</v>
      </c>
      <c r="D36" s="12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3">
        <v>2</v>
      </c>
      <c r="S36" s="13">
        <v>2</v>
      </c>
      <c r="T36" s="14"/>
      <c r="U36" s="14"/>
      <c r="V36" s="14"/>
      <c r="W36">
        <f t="shared" si="0"/>
        <v>4</v>
      </c>
      <c r="X36">
        <f t="shared" si="2"/>
        <v>0</v>
      </c>
      <c r="Y36">
        <f t="shared" si="3"/>
        <v>0</v>
      </c>
      <c r="Z36">
        <f t="shared" si="4"/>
        <v>0</v>
      </c>
      <c r="AA36">
        <f t="shared" si="5"/>
        <v>0</v>
      </c>
      <c r="AB36">
        <f t="shared" si="6"/>
        <v>0</v>
      </c>
      <c r="AC36">
        <f t="shared" si="7"/>
        <v>0</v>
      </c>
      <c r="AD36">
        <f t="shared" si="8"/>
        <v>0</v>
      </c>
      <c r="AE36">
        <f t="shared" si="9"/>
        <v>0</v>
      </c>
      <c r="AF36">
        <f t="shared" si="10"/>
        <v>0</v>
      </c>
      <c r="AG36">
        <f t="shared" si="11"/>
        <v>0</v>
      </c>
      <c r="AH36">
        <f t="shared" si="12"/>
        <v>0</v>
      </c>
      <c r="AI36">
        <f t="shared" si="13"/>
        <v>0</v>
      </c>
      <c r="AJ36">
        <f t="shared" si="14"/>
        <v>0</v>
      </c>
      <c r="AK36">
        <f t="shared" si="15"/>
        <v>0</v>
      </c>
      <c r="AL36">
        <f t="shared" si="16"/>
        <v>2.939429347322331</v>
      </c>
      <c r="AM36">
        <f t="shared" si="17"/>
        <v>2.939429347322331</v>
      </c>
      <c r="AN36">
        <f t="shared" si="18"/>
        <v>0</v>
      </c>
      <c r="AO36">
        <f t="shared" si="19"/>
        <v>0</v>
      </c>
      <c r="AP36">
        <f t="shared" si="20"/>
        <v>0</v>
      </c>
      <c r="AQ36">
        <f t="shared" si="21"/>
        <v>5.8788586946446619</v>
      </c>
    </row>
    <row r="37" spans="1:43" x14ac:dyDescent="0.25">
      <c r="A37">
        <v>50</v>
      </c>
      <c r="B37">
        <v>7.5527565623082724</v>
      </c>
      <c r="C37" s="11">
        <v>50</v>
      </c>
      <c r="D37" s="12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3">
        <v>2</v>
      </c>
      <c r="R37" s="13">
        <v>1</v>
      </c>
      <c r="S37" s="14"/>
      <c r="T37" s="14"/>
      <c r="U37" s="14"/>
      <c r="V37" s="14"/>
      <c r="W37">
        <f t="shared" si="0"/>
        <v>3</v>
      </c>
      <c r="X37">
        <f t="shared" si="2"/>
        <v>0</v>
      </c>
      <c r="Y37">
        <f t="shared" si="3"/>
        <v>0</v>
      </c>
      <c r="Z37">
        <f t="shared" si="4"/>
        <v>0</v>
      </c>
      <c r="AA37">
        <f t="shared" si="5"/>
        <v>0</v>
      </c>
      <c r="AB37">
        <f t="shared" si="6"/>
        <v>0</v>
      </c>
      <c r="AC37">
        <f t="shared" si="7"/>
        <v>0</v>
      </c>
      <c r="AD37">
        <f t="shared" si="8"/>
        <v>0</v>
      </c>
      <c r="AE37">
        <f t="shared" si="9"/>
        <v>0</v>
      </c>
      <c r="AF37">
        <f t="shared" si="10"/>
        <v>0</v>
      </c>
      <c r="AG37">
        <f t="shared" si="11"/>
        <v>0</v>
      </c>
      <c r="AH37">
        <f t="shared" si="12"/>
        <v>0</v>
      </c>
      <c r="AI37">
        <f t="shared" si="13"/>
        <v>0</v>
      </c>
      <c r="AJ37">
        <f t="shared" si="14"/>
        <v>0</v>
      </c>
      <c r="AK37">
        <f t="shared" si="15"/>
        <v>5.035171041538848</v>
      </c>
      <c r="AL37">
        <f t="shared" si="16"/>
        <v>2.517585520769424</v>
      </c>
      <c r="AM37">
        <f t="shared" si="17"/>
        <v>0</v>
      </c>
      <c r="AN37">
        <f t="shared" si="18"/>
        <v>0</v>
      </c>
      <c r="AO37">
        <f t="shared" si="19"/>
        <v>0</v>
      </c>
      <c r="AP37">
        <f t="shared" si="20"/>
        <v>0</v>
      </c>
      <c r="AQ37">
        <f t="shared" si="21"/>
        <v>7.5527565623082715</v>
      </c>
    </row>
    <row r="38" spans="1:43" x14ac:dyDescent="0.25">
      <c r="A38">
        <v>51</v>
      </c>
      <c r="B38">
        <v>4.307389359945974</v>
      </c>
      <c r="C38" s="11">
        <v>51</v>
      </c>
      <c r="D38" s="12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3">
        <v>1</v>
      </c>
      <c r="R38" s="14"/>
      <c r="S38" s="13">
        <v>1</v>
      </c>
      <c r="T38" s="14"/>
      <c r="U38" s="14"/>
      <c r="V38" s="14"/>
      <c r="W38">
        <f t="shared" si="0"/>
        <v>2</v>
      </c>
      <c r="X38">
        <f t="shared" si="2"/>
        <v>0</v>
      </c>
      <c r="Y38">
        <f t="shared" si="3"/>
        <v>0</v>
      </c>
      <c r="Z38">
        <f t="shared" si="4"/>
        <v>0</v>
      </c>
      <c r="AA38">
        <f t="shared" si="5"/>
        <v>0</v>
      </c>
      <c r="AB38">
        <f t="shared" si="6"/>
        <v>0</v>
      </c>
      <c r="AC38">
        <f t="shared" si="7"/>
        <v>0</v>
      </c>
      <c r="AD38">
        <f t="shared" si="8"/>
        <v>0</v>
      </c>
      <c r="AE38">
        <f t="shared" si="9"/>
        <v>0</v>
      </c>
      <c r="AF38">
        <f t="shared" si="10"/>
        <v>0</v>
      </c>
      <c r="AG38">
        <f t="shared" si="11"/>
        <v>0</v>
      </c>
      <c r="AH38">
        <f t="shared" si="12"/>
        <v>0</v>
      </c>
      <c r="AI38">
        <f t="shared" si="13"/>
        <v>0</v>
      </c>
      <c r="AJ38">
        <f t="shared" si="14"/>
        <v>0</v>
      </c>
      <c r="AK38">
        <f t="shared" si="15"/>
        <v>2.153694679972987</v>
      </c>
      <c r="AL38">
        <f t="shared" si="16"/>
        <v>0</v>
      </c>
      <c r="AM38">
        <f t="shared" si="17"/>
        <v>2.153694679972987</v>
      </c>
      <c r="AN38">
        <f t="shared" si="18"/>
        <v>0</v>
      </c>
      <c r="AO38">
        <f t="shared" si="19"/>
        <v>0</v>
      </c>
      <c r="AP38">
        <f t="shared" si="20"/>
        <v>0</v>
      </c>
      <c r="AQ38">
        <f t="shared" si="21"/>
        <v>4.307389359945974</v>
      </c>
    </row>
    <row r="39" spans="1:43" x14ac:dyDescent="0.25">
      <c r="A39">
        <v>52</v>
      </c>
      <c r="B39">
        <v>0.23181194302587843</v>
      </c>
      <c r="C39" s="11">
        <v>52</v>
      </c>
      <c r="D39" s="12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3">
        <v>1</v>
      </c>
      <c r="T39" s="14"/>
      <c r="U39" s="14"/>
      <c r="V39" s="14"/>
      <c r="W39">
        <f t="shared" si="0"/>
        <v>1</v>
      </c>
      <c r="X39">
        <f t="shared" si="2"/>
        <v>0</v>
      </c>
      <c r="Y39">
        <f t="shared" si="3"/>
        <v>0</v>
      </c>
      <c r="Z39">
        <f t="shared" si="4"/>
        <v>0</v>
      </c>
      <c r="AA39">
        <f t="shared" si="5"/>
        <v>0</v>
      </c>
      <c r="AB39">
        <f t="shared" si="6"/>
        <v>0</v>
      </c>
      <c r="AC39">
        <f t="shared" si="7"/>
        <v>0</v>
      </c>
      <c r="AD39">
        <f t="shared" si="8"/>
        <v>0</v>
      </c>
      <c r="AE39">
        <f t="shared" si="9"/>
        <v>0</v>
      </c>
      <c r="AF39">
        <f t="shared" si="10"/>
        <v>0</v>
      </c>
      <c r="AG39">
        <f t="shared" si="11"/>
        <v>0</v>
      </c>
      <c r="AH39">
        <f t="shared" si="12"/>
        <v>0</v>
      </c>
      <c r="AI39">
        <f t="shared" si="13"/>
        <v>0</v>
      </c>
      <c r="AJ39">
        <f t="shared" si="14"/>
        <v>0</v>
      </c>
      <c r="AK39">
        <f t="shared" si="15"/>
        <v>0</v>
      </c>
      <c r="AL39">
        <f t="shared" si="16"/>
        <v>0</v>
      </c>
      <c r="AM39">
        <f t="shared" si="17"/>
        <v>0.23181194302587843</v>
      </c>
      <c r="AN39">
        <f t="shared" si="18"/>
        <v>0</v>
      </c>
      <c r="AO39">
        <f t="shared" si="19"/>
        <v>0</v>
      </c>
      <c r="AP39">
        <f t="shared" si="20"/>
        <v>0</v>
      </c>
      <c r="AQ39">
        <f t="shared" si="21"/>
        <v>0.23181194302587843</v>
      </c>
    </row>
    <row r="40" spans="1:43" x14ac:dyDescent="0.25">
      <c r="A40">
        <v>53</v>
      </c>
      <c r="B40">
        <v>1.6954617693404366</v>
      </c>
      <c r="C40" s="11">
        <v>53</v>
      </c>
      <c r="D40" s="12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3">
        <v>2</v>
      </c>
      <c r="R40" s="14"/>
      <c r="S40" s="14"/>
      <c r="T40" s="14"/>
      <c r="U40" s="14"/>
      <c r="V40" s="14"/>
      <c r="W40">
        <v>2</v>
      </c>
      <c r="X40">
        <f t="shared" si="2"/>
        <v>0</v>
      </c>
      <c r="Y40">
        <f t="shared" si="3"/>
        <v>0</v>
      </c>
      <c r="Z40">
        <f t="shared" si="4"/>
        <v>0</v>
      </c>
      <c r="AA40">
        <f t="shared" si="5"/>
        <v>0</v>
      </c>
      <c r="AB40">
        <f t="shared" si="6"/>
        <v>0</v>
      </c>
      <c r="AC40">
        <f t="shared" si="7"/>
        <v>0</v>
      </c>
      <c r="AD40">
        <f t="shared" si="8"/>
        <v>0</v>
      </c>
      <c r="AE40">
        <f t="shared" si="9"/>
        <v>0</v>
      </c>
      <c r="AF40">
        <f t="shared" si="10"/>
        <v>0</v>
      </c>
      <c r="AG40">
        <f t="shared" si="11"/>
        <v>0</v>
      </c>
      <c r="AH40">
        <f t="shared" si="12"/>
        <v>0</v>
      </c>
      <c r="AI40">
        <f t="shared" si="13"/>
        <v>0</v>
      </c>
      <c r="AJ40">
        <f t="shared" si="14"/>
        <v>0</v>
      </c>
      <c r="AK40">
        <f t="shared" si="15"/>
        <v>1.6954617693404366</v>
      </c>
      <c r="AL40">
        <f t="shared" si="16"/>
        <v>0</v>
      </c>
      <c r="AM40">
        <f t="shared" si="17"/>
        <v>0</v>
      </c>
      <c r="AN40">
        <f t="shared" si="18"/>
        <v>0</v>
      </c>
      <c r="AO40">
        <f t="shared" si="19"/>
        <v>0</v>
      </c>
      <c r="AP40">
        <f t="shared" si="20"/>
        <v>0</v>
      </c>
      <c r="AQ40">
        <f t="shared" si="21"/>
        <v>1.6954617693404366</v>
      </c>
    </row>
    <row r="41" spans="1:43" x14ac:dyDescent="0.25">
      <c r="A41">
        <v>54</v>
      </c>
      <c r="B41">
        <v>0.23181194302587843</v>
      </c>
      <c r="C41" s="11">
        <v>54</v>
      </c>
      <c r="D41" s="12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3">
        <v>1</v>
      </c>
      <c r="W41">
        <f>SUM(E41:V41)</f>
        <v>1</v>
      </c>
      <c r="X41">
        <f t="shared" si="2"/>
        <v>0</v>
      </c>
      <c r="Y41">
        <f t="shared" si="3"/>
        <v>0</v>
      </c>
      <c r="Z41">
        <f t="shared" si="4"/>
        <v>0</v>
      </c>
      <c r="AA41">
        <f t="shared" si="5"/>
        <v>0</v>
      </c>
      <c r="AB41">
        <f t="shared" si="6"/>
        <v>0</v>
      </c>
      <c r="AC41">
        <f t="shared" si="7"/>
        <v>0</v>
      </c>
      <c r="AD41">
        <f t="shared" si="8"/>
        <v>0</v>
      </c>
      <c r="AE41">
        <f t="shared" si="9"/>
        <v>0</v>
      </c>
      <c r="AF41">
        <f t="shared" si="10"/>
        <v>0</v>
      </c>
      <c r="AG41">
        <f t="shared" si="11"/>
        <v>0</v>
      </c>
      <c r="AH41">
        <f t="shared" si="12"/>
        <v>0</v>
      </c>
      <c r="AI41">
        <f t="shared" si="13"/>
        <v>0</v>
      </c>
      <c r="AJ41">
        <f t="shared" si="14"/>
        <v>0</v>
      </c>
      <c r="AK41">
        <f t="shared" si="15"/>
        <v>0</v>
      </c>
      <c r="AL41">
        <f t="shared" si="16"/>
        <v>0</v>
      </c>
      <c r="AM41">
        <f t="shared" si="17"/>
        <v>0</v>
      </c>
      <c r="AN41">
        <f t="shared" si="18"/>
        <v>0</v>
      </c>
      <c r="AO41">
        <f t="shared" si="19"/>
        <v>0</v>
      </c>
      <c r="AP41">
        <f t="shared" si="20"/>
        <v>0.23181194302587843</v>
      </c>
      <c r="AQ41">
        <f t="shared" si="21"/>
        <v>0.23181194302587843</v>
      </c>
    </row>
    <row r="42" spans="1:43" ht="15.75" thickBot="1" x14ac:dyDescent="0.3">
      <c r="A42">
        <v>55</v>
      </c>
      <c r="B42">
        <v>0.39354120560207273</v>
      </c>
      <c r="C42" s="15">
        <v>55</v>
      </c>
      <c r="D42" s="1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3">
        <v>1</v>
      </c>
      <c r="T42" s="14"/>
      <c r="U42" s="14"/>
      <c r="V42" s="14"/>
      <c r="W42">
        <f>SUM(E42:V42)</f>
        <v>1</v>
      </c>
      <c r="X42">
        <f t="shared" si="2"/>
        <v>0</v>
      </c>
      <c r="Y42">
        <f t="shared" si="3"/>
        <v>0</v>
      </c>
      <c r="Z42">
        <f t="shared" si="4"/>
        <v>0</v>
      </c>
      <c r="AA42">
        <f t="shared" si="5"/>
        <v>0</v>
      </c>
      <c r="AB42">
        <f t="shared" si="6"/>
        <v>0</v>
      </c>
      <c r="AC42">
        <f t="shared" si="7"/>
        <v>0</v>
      </c>
      <c r="AD42">
        <f t="shared" si="8"/>
        <v>0</v>
      </c>
      <c r="AE42">
        <f t="shared" si="9"/>
        <v>0</v>
      </c>
      <c r="AF42">
        <f t="shared" si="10"/>
        <v>0</v>
      </c>
      <c r="AG42">
        <f t="shared" si="11"/>
        <v>0</v>
      </c>
      <c r="AH42">
        <f t="shared" si="12"/>
        <v>0</v>
      </c>
      <c r="AI42">
        <f t="shared" si="13"/>
        <v>0</v>
      </c>
      <c r="AJ42">
        <f t="shared" si="14"/>
        <v>0</v>
      </c>
      <c r="AK42">
        <f t="shared" si="15"/>
        <v>0</v>
      </c>
      <c r="AL42">
        <f t="shared" si="16"/>
        <v>0</v>
      </c>
      <c r="AM42">
        <f t="shared" si="17"/>
        <v>0.39354120560207273</v>
      </c>
      <c r="AN42">
        <f t="shared" si="18"/>
        <v>0</v>
      </c>
      <c r="AO42">
        <f t="shared" si="19"/>
        <v>0</v>
      </c>
      <c r="AP42">
        <f t="shared" si="20"/>
        <v>0</v>
      </c>
      <c r="AQ42">
        <f t="shared" si="21"/>
        <v>0.39354120560207273</v>
      </c>
    </row>
    <row r="43" spans="1:43" x14ac:dyDescent="0.25">
      <c r="A43" t="s">
        <v>22</v>
      </c>
      <c r="B43">
        <v>4201.5618955768696</v>
      </c>
      <c r="C43" t="s">
        <v>21</v>
      </c>
      <c r="E43">
        <f t="shared" ref="E43:S43" si="22">SUM(E15:E42)</f>
        <v>10</v>
      </c>
      <c r="F43">
        <f t="shared" si="22"/>
        <v>30</v>
      </c>
      <c r="G43">
        <f t="shared" si="22"/>
        <v>86</v>
      </c>
      <c r="H43">
        <f t="shared" si="22"/>
        <v>150</v>
      </c>
      <c r="I43">
        <f t="shared" si="22"/>
        <v>153</v>
      </c>
      <c r="J43">
        <f t="shared" si="22"/>
        <v>95</v>
      </c>
      <c r="K43">
        <f t="shared" si="22"/>
        <v>72</v>
      </c>
      <c r="L43">
        <f t="shared" si="22"/>
        <v>35</v>
      </c>
      <c r="M43">
        <f t="shared" si="22"/>
        <v>24</v>
      </c>
      <c r="N43">
        <f t="shared" si="22"/>
        <v>20</v>
      </c>
      <c r="O43">
        <f t="shared" si="22"/>
        <v>13</v>
      </c>
      <c r="P43">
        <f t="shared" si="22"/>
        <v>5</v>
      </c>
      <c r="Q43">
        <f t="shared" si="22"/>
        <v>9</v>
      </c>
      <c r="R43">
        <f t="shared" si="22"/>
        <v>7</v>
      </c>
      <c r="S43">
        <f t="shared" si="22"/>
        <v>6</v>
      </c>
      <c r="V43">
        <f>SUM(V15:V42)</f>
        <v>1</v>
      </c>
      <c r="W43" s="1">
        <v>714</v>
      </c>
      <c r="X43">
        <f>SUM(X15:X42)</f>
        <v>0</v>
      </c>
      <c r="Y43">
        <f t="shared" ref="Y43:AP43" si="23">SUM(Y15:Y42)</f>
        <v>25.600895112531393</v>
      </c>
      <c r="Z43">
        <f t="shared" si="23"/>
        <v>164.03808587096313</v>
      </c>
      <c r="AA43">
        <f t="shared" si="23"/>
        <v>708.0516598726042</v>
      </c>
      <c r="AB43">
        <f t="shared" si="23"/>
        <v>1129.5148178985598</v>
      </c>
      <c r="AC43">
        <f t="shared" si="23"/>
        <v>825.12449042525191</v>
      </c>
      <c r="AD43">
        <f t="shared" si="23"/>
        <v>368.81180184702885</v>
      </c>
      <c r="AE43">
        <f t="shared" si="23"/>
        <v>229.35532515287528</v>
      </c>
      <c r="AF43">
        <f t="shared" si="23"/>
        <v>95.994959879160035</v>
      </c>
      <c r="AG43">
        <f t="shared" si="23"/>
        <v>67.860682683835535</v>
      </c>
      <c r="AH43">
        <f t="shared" si="23"/>
        <v>60.464539633990711</v>
      </c>
      <c r="AI43">
        <f t="shared" si="23"/>
        <v>47.976502414397352</v>
      </c>
      <c r="AJ43">
        <f t="shared" si="23"/>
        <v>17.754963763096804</v>
      </c>
      <c r="AK43">
        <f t="shared" si="23"/>
        <v>22.769862878102394</v>
      </c>
      <c r="AL43">
        <f t="shared" si="23"/>
        <v>18.861191919117971</v>
      </c>
      <c r="AM43">
        <f t="shared" si="23"/>
        <v>9.0021203037619344</v>
      </c>
      <c r="AN43">
        <f t="shared" si="23"/>
        <v>0</v>
      </c>
      <c r="AO43">
        <f t="shared" si="23"/>
        <v>0</v>
      </c>
      <c r="AP43">
        <f t="shared" si="23"/>
        <v>0.23181194302587843</v>
      </c>
      <c r="AQ43">
        <f t="shared" si="21"/>
        <v>3791.4137115983026</v>
      </c>
    </row>
    <row r="44" spans="1:43" s="16" customFormat="1" x14ac:dyDescent="0.25">
      <c r="A44" s="16">
        <f>SUM(B2:B42)</f>
        <v>3791.413711598304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44"/>
  <sheetViews>
    <sheetView topLeftCell="A12" zoomScale="80" zoomScaleNormal="80" workbookViewId="0">
      <selection activeCell="B1" sqref="B1:B1048576"/>
    </sheetView>
  </sheetViews>
  <sheetFormatPr defaultRowHeight="15" x14ac:dyDescent="0.25"/>
  <cols>
    <col min="3" max="22" width="5.7109375" customWidth="1"/>
  </cols>
  <sheetData>
    <row r="2" spans="1:43" x14ac:dyDescent="0.25">
      <c r="A2">
        <v>15</v>
      </c>
      <c r="B2">
        <v>0</v>
      </c>
    </row>
    <row r="3" spans="1:43" x14ac:dyDescent="0.25">
      <c r="A3">
        <v>16</v>
      </c>
      <c r="B3">
        <v>0</v>
      </c>
    </row>
    <row r="4" spans="1:43" x14ac:dyDescent="0.25">
      <c r="A4">
        <v>17</v>
      </c>
      <c r="B4">
        <v>0</v>
      </c>
    </row>
    <row r="5" spans="1:43" x14ac:dyDescent="0.25">
      <c r="A5">
        <v>18</v>
      </c>
      <c r="B5">
        <v>0</v>
      </c>
    </row>
    <row r="6" spans="1:43" x14ac:dyDescent="0.25">
      <c r="A6">
        <v>19</v>
      </c>
      <c r="B6">
        <v>0</v>
      </c>
    </row>
    <row r="7" spans="1:43" x14ac:dyDescent="0.25">
      <c r="A7">
        <v>20</v>
      </c>
      <c r="B7">
        <v>0</v>
      </c>
    </row>
    <row r="8" spans="1:43" x14ac:dyDescent="0.25">
      <c r="A8">
        <v>21</v>
      </c>
      <c r="B8">
        <v>0</v>
      </c>
    </row>
    <row r="9" spans="1:43" x14ac:dyDescent="0.25">
      <c r="A9">
        <v>22</v>
      </c>
      <c r="B9">
        <v>0</v>
      </c>
    </row>
    <row r="10" spans="1:43" x14ac:dyDescent="0.25">
      <c r="A10">
        <v>23</v>
      </c>
      <c r="B10">
        <v>0</v>
      </c>
    </row>
    <row r="11" spans="1:43" x14ac:dyDescent="0.25">
      <c r="A11">
        <v>24</v>
      </c>
      <c r="B11">
        <v>0</v>
      </c>
    </row>
    <row r="12" spans="1:43" x14ac:dyDescent="0.25">
      <c r="A12">
        <v>25</v>
      </c>
      <c r="B12">
        <v>0</v>
      </c>
    </row>
    <row r="13" spans="1:43" ht="16.5" thickBot="1" x14ac:dyDescent="0.3">
      <c r="A13">
        <v>26</v>
      </c>
      <c r="B13">
        <v>0</v>
      </c>
      <c r="C13" s="37" t="s">
        <v>23</v>
      </c>
      <c r="D13" s="37"/>
    </row>
    <row r="14" spans="1:43" ht="15.75" thickBot="1" x14ac:dyDescent="0.3">
      <c r="A14">
        <v>27</v>
      </c>
      <c r="B14">
        <v>0</v>
      </c>
      <c r="C14" s="2" t="s">
        <v>1</v>
      </c>
      <c r="D14" s="3" t="s">
        <v>2</v>
      </c>
      <c r="E14" s="4" t="s">
        <v>3</v>
      </c>
      <c r="F14" s="4" t="s">
        <v>4</v>
      </c>
      <c r="G14" s="4" t="s">
        <v>5</v>
      </c>
      <c r="H14" s="4" t="s">
        <v>6</v>
      </c>
      <c r="I14" s="4" t="s">
        <v>7</v>
      </c>
      <c r="J14" s="4" t="s">
        <v>8</v>
      </c>
      <c r="K14" s="4" t="s">
        <v>9</v>
      </c>
      <c r="L14" s="4" t="s">
        <v>10</v>
      </c>
      <c r="M14" s="4" t="s">
        <v>11</v>
      </c>
      <c r="N14" s="4" t="s">
        <v>12</v>
      </c>
      <c r="O14" s="4" t="s">
        <v>13</v>
      </c>
      <c r="P14" s="4" t="s">
        <v>14</v>
      </c>
      <c r="Q14" s="4" t="s">
        <v>15</v>
      </c>
      <c r="R14" s="4" t="s">
        <v>16</v>
      </c>
      <c r="S14" s="4" t="s">
        <v>17</v>
      </c>
      <c r="T14" s="5" t="s">
        <v>18</v>
      </c>
      <c r="U14" s="4" t="s">
        <v>19</v>
      </c>
      <c r="V14" s="5" t="s">
        <v>20</v>
      </c>
      <c r="W14" s="20" t="s">
        <v>21</v>
      </c>
      <c r="X14" s="3" t="s">
        <v>2</v>
      </c>
      <c r="Y14" s="4" t="s">
        <v>3</v>
      </c>
      <c r="Z14" s="4" t="s">
        <v>4</v>
      </c>
      <c r="AA14" s="4" t="s">
        <v>5</v>
      </c>
      <c r="AB14" s="4" t="s">
        <v>6</v>
      </c>
      <c r="AC14" s="4" t="s">
        <v>7</v>
      </c>
      <c r="AD14" s="4" t="s">
        <v>8</v>
      </c>
      <c r="AE14" s="4" t="s">
        <v>9</v>
      </c>
      <c r="AF14" s="4" t="s">
        <v>10</v>
      </c>
      <c r="AG14" s="4" t="s">
        <v>11</v>
      </c>
      <c r="AH14" s="4" t="s">
        <v>12</v>
      </c>
      <c r="AI14" s="4" t="s">
        <v>13</v>
      </c>
      <c r="AJ14" s="4" t="s">
        <v>14</v>
      </c>
      <c r="AK14" s="4" t="s">
        <v>15</v>
      </c>
      <c r="AL14" s="4" t="s">
        <v>16</v>
      </c>
      <c r="AM14" s="4" t="s">
        <v>17</v>
      </c>
      <c r="AN14" s="4" t="s">
        <v>18</v>
      </c>
      <c r="AO14" s="4" t="s">
        <v>19</v>
      </c>
      <c r="AP14" s="5" t="s">
        <v>20</v>
      </c>
    </row>
    <row r="15" spans="1:43" x14ac:dyDescent="0.25">
      <c r="A15">
        <v>28</v>
      </c>
      <c r="B15">
        <v>2.7137509448691013</v>
      </c>
      <c r="C15" s="7">
        <v>28</v>
      </c>
      <c r="D15" s="21"/>
      <c r="E15" s="22">
        <v>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>
        <f t="shared" ref="W15:W35" si="0">SUM(E15:V15)</f>
        <v>1</v>
      </c>
      <c r="X15">
        <f>D15/$W15*$B15</f>
        <v>0</v>
      </c>
      <c r="Y15">
        <f t="shared" ref="Y15:AP29" si="1">E15/$W15*$B15</f>
        <v>2.7137509448691013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  <c r="AJ15">
        <f t="shared" si="1"/>
        <v>0</v>
      </c>
      <c r="AK15">
        <f t="shared" si="1"/>
        <v>0</v>
      </c>
      <c r="AL15">
        <f t="shared" si="1"/>
        <v>0</v>
      </c>
      <c r="AM15">
        <f t="shared" si="1"/>
        <v>0</v>
      </c>
      <c r="AN15">
        <f t="shared" si="1"/>
        <v>0</v>
      </c>
      <c r="AO15">
        <f t="shared" si="1"/>
        <v>0</v>
      </c>
      <c r="AP15">
        <f t="shared" si="1"/>
        <v>0</v>
      </c>
      <c r="AQ15">
        <f>SUM(X15:AP15)</f>
        <v>2.7137509448691013</v>
      </c>
    </row>
    <row r="16" spans="1:43" x14ac:dyDescent="0.25">
      <c r="A16">
        <v>29</v>
      </c>
      <c r="B16">
        <v>38.879701037066937</v>
      </c>
      <c r="C16" s="11">
        <v>29</v>
      </c>
      <c r="D16" s="23"/>
      <c r="E16" s="24">
        <v>5</v>
      </c>
      <c r="F16" s="24">
        <v>4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>
        <f t="shared" si="0"/>
        <v>9</v>
      </c>
      <c r="X16">
        <f t="shared" ref="X16:AA42" si="2">D16/$W16*$B16</f>
        <v>0</v>
      </c>
      <c r="Y16">
        <f t="shared" si="1"/>
        <v>21.599833909481632</v>
      </c>
      <c r="Z16">
        <f t="shared" si="1"/>
        <v>17.279867127585305</v>
      </c>
      <c r="AA16">
        <f t="shared" si="1"/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  <c r="AF16">
        <f t="shared" si="1"/>
        <v>0</v>
      </c>
      <c r="AG16">
        <f t="shared" si="1"/>
        <v>0</v>
      </c>
      <c r="AH16">
        <f t="shared" si="1"/>
        <v>0</v>
      </c>
      <c r="AI16">
        <f t="shared" si="1"/>
        <v>0</v>
      </c>
      <c r="AJ16">
        <f t="shared" si="1"/>
        <v>0</v>
      </c>
      <c r="AK16">
        <f t="shared" si="1"/>
        <v>0</v>
      </c>
      <c r="AL16">
        <f t="shared" si="1"/>
        <v>0</v>
      </c>
      <c r="AM16">
        <f t="shared" si="1"/>
        <v>0</v>
      </c>
      <c r="AN16">
        <f t="shared" si="1"/>
        <v>0</v>
      </c>
      <c r="AO16">
        <f t="shared" si="1"/>
        <v>0</v>
      </c>
      <c r="AP16">
        <f t="shared" si="1"/>
        <v>0</v>
      </c>
      <c r="AQ16">
        <f t="shared" ref="AQ16:AQ43" si="3">SUM(X16:AP16)</f>
        <v>38.879701037066937</v>
      </c>
    </row>
    <row r="17" spans="1:43" x14ac:dyDescent="0.25">
      <c r="A17">
        <v>30</v>
      </c>
      <c r="B17">
        <v>47.102638682723814</v>
      </c>
      <c r="C17" s="11">
        <v>30</v>
      </c>
      <c r="D17" s="23"/>
      <c r="E17" s="24">
        <v>6</v>
      </c>
      <c r="F17" s="24">
        <v>4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>
        <f t="shared" si="0"/>
        <v>10</v>
      </c>
      <c r="X17">
        <f t="shared" si="2"/>
        <v>0</v>
      </c>
      <c r="Y17">
        <f t="shared" si="1"/>
        <v>28.261583209634288</v>
      </c>
      <c r="Z17">
        <f t="shared" si="1"/>
        <v>18.841055473089526</v>
      </c>
      <c r="AA17">
        <f t="shared" si="1"/>
        <v>0</v>
      </c>
      <c r="AB17">
        <f t="shared" si="1"/>
        <v>0</v>
      </c>
      <c r="AC17">
        <f t="shared" si="1"/>
        <v>0</v>
      </c>
      <c r="AD17">
        <f t="shared" si="1"/>
        <v>0</v>
      </c>
      <c r="AE17">
        <f t="shared" si="1"/>
        <v>0</v>
      </c>
      <c r="AF17">
        <f t="shared" si="1"/>
        <v>0</v>
      </c>
      <c r="AG17">
        <f t="shared" si="1"/>
        <v>0</v>
      </c>
      <c r="AH17">
        <f t="shared" si="1"/>
        <v>0</v>
      </c>
      <c r="AI17">
        <f t="shared" si="1"/>
        <v>0</v>
      </c>
      <c r="AJ17">
        <f t="shared" si="1"/>
        <v>0</v>
      </c>
      <c r="AK17">
        <f t="shared" si="1"/>
        <v>0</v>
      </c>
      <c r="AL17">
        <f t="shared" si="1"/>
        <v>0</v>
      </c>
      <c r="AM17">
        <f t="shared" si="1"/>
        <v>0</v>
      </c>
      <c r="AN17">
        <f t="shared" si="1"/>
        <v>0</v>
      </c>
      <c r="AO17">
        <f t="shared" si="1"/>
        <v>0</v>
      </c>
      <c r="AP17">
        <f t="shared" si="1"/>
        <v>0</v>
      </c>
      <c r="AQ17">
        <f t="shared" si="3"/>
        <v>47.102638682723814</v>
      </c>
    </row>
    <row r="18" spans="1:43" x14ac:dyDescent="0.25">
      <c r="A18">
        <v>31</v>
      </c>
      <c r="B18">
        <v>18.90095766785921</v>
      </c>
      <c r="C18" s="11">
        <v>31</v>
      </c>
      <c r="D18" s="12"/>
      <c r="E18" s="14"/>
      <c r="F18" s="24">
        <v>4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>
        <f t="shared" si="0"/>
        <v>4</v>
      </c>
      <c r="X18">
        <f t="shared" si="2"/>
        <v>0</v>
      </c>
      <c r="Y18">
        <f t="shared" si="1"/>
        <v>0</v>
      </c>
      <c r="Z18">
        <f t="shared" si="1"/>
        <v>18.90095766785921</v>
      </c>
      <c r="AA18">
        <f t="shared" si="1"/>
        <v>0</v>
      </c>
      <c r="AB18">
        <f t="shared" si="1"/>
        <v>0</v>
      </c>
      <c r="AC18">
        <f t="shared" si="1"/>
        <v>0</v>
      </c>
      <c r="AD18">
        <f t="shared" si="1"/>
        <v>0</v>
      </c>
      <c r="AE18">
        <f t="shared" si="1"/>
        <v>0</v>
      </c>
      <c r="AF18">
        <f t="shared" si="1"/>
        <v>0</v>
      </c>
      <c r="AG18">
        <f t="shared" si="1"/>
        <v>0</v>
      </c>
      <c r="AH18">
        <f t="shared" si="1"/>
        <v>0</v>
      </c>
      <c r="AI18">
        <f t="shared" si="1"/>
        <v>0</v>
      </c>
      <c r="AJ18">
        <f t="shared" si="1"/>
        <v>0</v>
      </c>
      <c r="AK18">
        <f t="shared" si="1"/>
        <v>0</v>
      </c>
      <c r="AL18">
        <f t="shared" si="1"/>
        <v>0</v>
      </c>
      <c r="AM18">
        <f t="shared" si="1"/>
        <v>0</v>
      </c>
      <c r="AN18">
        <f t="shared" si="1"/>
        <v>0</v>
      </c>
      <c r="AO18">
        <f t="shared" si="1"/>
        <v>0</v>
      </c>
      <c r="AP18">
        <f t="shared" si="1"/>
        <v>0</v>
      </c>
      <c r="AQ18">
        <f t="shared" si="3"/>
        <v>18.90095766785921</v>
      </c>
    </row>
    <row r="19" spans="1:43" x14ac:dyDescent="0.25">
      <c r="A19">
        <v>32</v>
      </c>
      <c r="B19">
        <v>31.153679325294956</v>
      </c>
      <c r="C19" s="11">
        <v>32</v>
      </c>
      <c r="D19" s="12"/>
      <c r="E19" s="14"/>
      <c r="F19" s="24">
        <v>3</v>
      </c>
      <c r="G19" s="24">
        <v>2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>
        <f t="shared" si="0"/>
        <v>5</v>
      </c>
      <c r="X19">
        <f t="shared" si="2"/>
        <v>0</v>
      </c>
      <c r="Y19">
        <f t="shared" si="1"/>
        <v>0</v>
      </c>
      <c r="Z19">
        <f t="shared" si="1"/>
        <v>18.692207595176974</v>
      </c>
      <c r="AA19">
        <f t="shared" si="1"/>
        <v>12.461471730117983</v>
      </c>
      <c r="AB19">
        <f t="shared" si="1"/>
        <v>0</v>
      </c>
      <c r="AC19">
        <f t="shared" si="1"/>
        <v>0</v>
      </c>
      <c r="AD19">
        <f t="shared" si="1"/>
        <v>0</v>
      </c>
      <c r="AE19">
        <f t="shared" si="1"/>
        <v>0</v>
      </c>
      <c r="AF19">
        <f t="shared" si="1"/>
        <v>0</v>
      </c>
      <c r="AG19">
        <f t="shared" si="1"/>
        <v>0</v>
      </c>
      <c r="AH19">
        <f t="shared" si="1"/>
        <v>0</v>
      </c>
      <c r="AI19">
        <f t="shared" si="1"/>
        <v>0</v>
      </c>
      <c r="AJ19">
        <f t="shared" si="1"/>
        <v>0</v>
      </c>
      <c r="AK19">
        <f t="shared" si="1"/>
        <v>0</v>
      </c>
      <c r="AL19">
        <f t="shared" si="1"/>
        <v>0</v>
      </c>
      <c r="AM19">
        <f t="shared" si="1"/>
        <v>0</v>
      </c>
      <c r="AN19">
        <f t="shared" si="1"/>
        <v>0</v>
      </c>
      <c r="AO19">
        <f t="shared" si="1"/>
        <v>0</v>
      </c>
      <c r="AP19">
        <f t="shared" si="1"/>
        <v>0</v>
      </c>
      <c r="AQ19">
        <f t="shared" si="3"/>
        <v>31.153679325294959</v>
      </c>
    </row>
    <row r="20" spans="1:43" x14ac:dyDescent="0.25">
      <c r="A20">
        <v>33</v>
      </c>
      <c r="B20">
        <v>394.41964819791485</v>
      </c>
      <c r="C20" s="11">
        <v>33</v>
      </c>
      <c r="D20" s="12"/>
      <c r="E20" s="24">
        <v>1</v>
      </c>
      <c r="F20" s="24">
        <v>4</v>
      </c>
      <c r="G20" s="24">
        <v>16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>
        <f t="shared" si="0"/>
        <v>21</v>
      </c>
      <c r="X20">
        <f t="shared" si="2"/>
        <v>0</v>
      </c>
      <c r="Y20">
        <f t="shared" si="1"/>
        <v>18.781888009424517</v>
      </c>
      <c r="Z20">
        <f t="shared" si="1"/>
        <v>75.127552037698067</v>
      </c>
      <c r="AA20">
        <f t="shared" si="1"/>
        <v>300.51020815079227</v>
      </c>
      <c r="AB20">
        <f t="shared" si="1"/>
        <v>0</v>
      </c>
      <c r="AC20">
        <f t="shared" si="1"/>
        <v>0</v>
      </c>
      <c r="AD20">
        <f t="shared" si="1"/>
        <v>0</v>
      </c>
      <c r="AE20">
        <f t="shared" si="1"/>
        <v>0</v>
      </c>
      <c r="AF20">
        <f t="shared" si="1"/>
        <v>0</v>
      </c>
      <c r="AG20">
        <f t="shared" si="1"/>
        <v>0</v>
      </c>
      <c r="AH20">
        <f t="shared" si="1"/>
        <v>0</v>
      </c>
      <c r="AI20">
        <f t="shared" si="1"/>
        <v>0</v>
      </c>
      <c r="AJ20">
        <f t="shared" si="1"/>
        <v>0</v>
      </c>
      <c r="AK20">
        <f t="shared" si="1"/>
        <v>0</v>
      </c>
      <c r="AL20">
        <f t="shared" si="1"/>
        <v>0</v>
      </c>
      <c r="AM20">
        <f t="shared" si="1"/>
        <v>0</v>
      </c>
      <c r="AN20">
        <f t="shared" si="1"/>
        <v>0</v>
      </c>
      <c r="AO20">
        <f t="shared" si="1"/>
        <v>0</v>
      </c>
      <c r="AP20">
        <f t="shared" si="1"/>
        <v>0</v>
      </c>
      <c r="AQ20">
        <f t="shared" si="3"/>
        <v>394.41964819791485</v>
      </c>
    </row>
    <row r="21" spans="1:43" x14ac:dyDescent="0.25">
      <c r="A21">
        <v>34</v>
      </c>
      <c r="B21">
        <v>813.34247068817206</v>
      </c>
      <c r="C21" s="11">
        <v>34</v>
      </c>
      <c r="D21" s="12"/>
      <c r="E21" s="14"/>
      <c r="F21" s="24">
        <v>5</v>
      </c>
      <c r="G21" s="24">
        <v>35</v>
      </c>
      <c r="H21" s="24">
        <v>4</v>
      </c>
      <c r="I21" s="24">
        <v>1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>
        <f t="shared" si="0"/>
        <v>45</v>
      </c>
      <c r="X21">
        <f t="shared" si="2"/>
        <v>0</v>
      </c>
      <c r="Y21">
        <f t="shared" si="1"/>
        <v>0</v>
      </c>
      <c r="Z21">
        <f t="shared" si="1"/>
        <v>90.371385632019113</v>
      </c>
      <c r="AA21">
        <f t="shared" si="1"/>
        <v>632.59969942413386</v>
      </c>
      <c r="AB21">
        <f t="shared" si="1"/>
        <v>72.297108505615299</v>
      </c>
      <c r="AC21">
        <f t="shared" si="1"/>
        <v>18.074277126403825</v>
      </c>
      <c r="AD21">
        <f t="shared" si="1"/>
        <v>0</v>
      </c>
      <c r="AE21">
        <f t="shared" si="1"/>
        <v>0</v>
      </c>
      <c r="AF21">
        <f t="shared" si="1"/>
        <v>0</v>
      </c>
      <c r="AG21">
        <f t="shared" si="1"/>
        <v>0</v>
      </c>
      <c r="AH21">
        <f t="shared" si="1"/>
        <v>0</v>
      </c>
      <c r="AI21">
        <f t="shared" si="1"/>
        <v>0</v>
      </c>
      <c r="AJ21">
        <f t="shared" si="1"/>
        <v>0</v>
      </c>
      <c r="AK21">
        <f t="shared" si="1"/>
        <v>0</v>
      </c>
      <c r="AL21">
        <f t="shared" si="1"/>
        <v>0</v>
      </c>
      <c r="AM21">
        <f t="shared" si="1"/>
        <v>0</v>
      </c>
      <c r="AN21">
        <f t="shared" si="1"/>
        <v>0</v>
      </c>
      <c r="AO21">
        <f t="shared" si="1"/>
        <v>0</v>
      </c>
      <c r="AP21">
        <f t="shared" si="1"/>
        <v>0</v>
      </c>
      <c r="AQ21">
        <f t="shared" si="3"/>
        <v>813.34247068817206</v>
      </c>
    </row>
    <row r="22" spans="1:43" x14ac:dyDescent="0.25">
      <c r="A22">
        <v>35</v>
      </c>
      <c r="B22">
        <v>1043.0424283820967</v>
      </c>
      <c r="C22" s="11">
        <v>35</v>
      </c>
      <c r="D22" s="12"/>
      <c r="E22" s="14"/>
      <c r="F22" s="14"/>
      <c r="G22" s="24">
        <v>23</v>
      </c>
      <c r="H22" s="24">
        <v>16</v>
      </c>
      <c r="I22" s="24">
        <v>2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>
        <f t="shared" si="0"/>
        <v>41</v>
      </c>
      <c r="X22">
        <f t="shared" si="2"/>
        <v>0</v>
      </c>
      <c r="Y22">
        <f t="shared" si="1"/>
        <v>0</v>
      </c>
      <c r="Z22">
        <f t="shared" si="1"/>
        <v>0</v>
      </c>
      <c r="AA22">
        <f t="shared" si="1"/>
        <v>585.12136226312748</v>
      </c>
      <c r="AB22">
        <f t="shared" si="1"/>
        <v>407.04094766130601</v>
      </c>
      <c r="AC22">
        <f t="shared" si="1"/>
        <v>50.880118457663251</v>
      </c>
      <c r="AD22">
        <f t="shared" si="1"/>
        <v>0</v>
      </c>
      <c r="AE22">
        <f t="shared" si="1"/>
        <v>0</v>
      </c>
      <c r="AF22">
        <f t="shared" si="1"/>
        <v>0</v>
      </c>
      <c r="AG22">
        <f t="shared" si="1"/>
        <v>0</v>
      </c>
      <c r="AH22">
        <f t="shared" si="1"/>
        <v>0</v>
      </c>
      <c r="AI22">
        <f t="shared" si="1"/>
        <v>0</v>
      </c>
      <c r="AJ22">
        <f t="shared" si="1"/>
        <v>0</v>
      </c>
      <c r="AK22">
        <f t="shared" si="1"/>
        <v>0</v>
      </c>
      <c r="AL22">
        <f t="shared" si="1"/>
        <v>0</v>
      </c>
      <c r="AM22">
        <f t="shared" si="1"/>
        <v>0</v>
      </c>
      <c r="AN22">
        <f t="shared" si="1"/>
        <v>0</v>
      </c>
      <c r="AO22">
        <f t="shared" si="1"/>
        <v>0</v>
      </c>
      <c r="AP22">
        <f t="shared" si="1"/>
        <v>0</v>
      </c>
      <c r="AQ22">
        <f t="shared" si="3"/>
        <v>1043.0424283820967</v>
      </c>
    </row>
    <row r="23" spans="1:43" x14ac:dyDescent="0.25">
      <c r="A23">
        <v>36</v>
      </c>
      <c r="B23">
        <v>1592.0142771308592</v>
      </c>
      <c r="C23" s="11">
        <v>36</v>
      </c>
      <c r="D23" s="12"/>
      <c r="E23" s="14"/>
      <c r="F23" s="14"/>
      <c r="G23" s="24">
        <v>8</v>
      </c>
      <c r="H23" s="24">
        <v>60</v>
      </c>
      <c r="I23" s="24">
        <v>8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>
        <f t="shared" si="0"/>
        <v>76</v>
      </c>
      <c r="X23">
        <f t="shared" si="2"/>
        <v>0</v>
      </c>
      <c r="Y23">
        <f t="shared" si="1"/>
        <v>0</v>
      </c>
      <c r="Z23">
        <f t="shared" si="1"/>
        <v>0</v>
      </c>
      <c r="AA23">
        <f t="shared" si="1"/>
        <v>167.58045022430096</v>
      </c>
      <c r="AB23">
        <f t="shared" si="1"/>
        <v>1256.8533766822572</v>
      </c>
      <c r="AC23">
        <f t="shared" si="1"/>
        <v>167.58045022430096</v>
      </c>
      <c r="AD23">
        <f t="shared" si="1"/>
        <v>0</v>
      </c>
      <c r="AE23">
        <f t="shared" si="1"/>
        <v>0</v>
      </c>
      <c r="AF23">
        <f t="shared" si="1"/>
        <v>0</v>
      </c>
      <c r="AG23">
        <f t="shared" si="1"/>
        <v>0</v>
      </c>
      <c r="AH23">
        <f t="shared" si="1"/>
        <v>0</v>
      </c>
      <c r="AI23">
        <f t="shared" si="1"/>
        <v>0</v>
      </c>
      <c r="AJ23">
        <f t="shared" si="1"/>
        <v>0</v>
      </c>
      <c r="AK23">
        <f t="shared" si="1"/>
        <v>0</v>
      </c>
      <c r="AL23">
        <f t="shared" si="1"/>
        <v>0</v>
      </c>
      <c r="AM23">
        <f t="shared" si="1"/>
        <v>0</v>
      </c>
      <c r="AN23">
        <f t="shared" si="1"/>
        <v>0</v>
      </c>
      <c r="AO23">
        <f t="shared" si="1"/>
        <v>0</v>
      </c>
      <c r="AP23">
        <f t="shared" si="1"/>
        <v>0</v>
      </c>
      <c r="AQ23">
        <f t="shared" si="3"/>
        <v>1592.014277130859</v>
      </c>
    </row>
    <row r="24" spans="1:43" x14ac:dyDescent="0.25">
      <c r="A24">
        <v>37</v>
      </c>
      <c r="B24">
        <v>1583.283078438672</v>
      </c>
      <c r="C24" s="11">
        <v>37</v>
      </c>
      <c r="D24" s="12"/>
      <c r="E24" s="14"/>
      <c r="F24" s="14"/>
      <c r="G24" s="24">
        <v>2</v>
      </c>
      <c r="H24" s="24">
        <v>35</v>
      </c>
      <c r="I24" s="24">
        <v>30</v>
      </c>
      <c r="J24" s="24">
        <v>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>
        <f t="shared" si="0"/>
        <v>70</v>
      </c>
      <c r="X24">
        <f t="shared" si="2"/>
        <v>0</v>
      </c>
      <c r="Y24">
        <f t="shared" si="1"/>
        <v>0</v>
      </c>
      <c r="Z24">
        <f t="shared" si="1"/>
        <v>0</v>
      </c>
      <c r="AA24">
        <f t="shared" si="1"/>
        <v>45.236659383962056</v>
      </c>
      <c r="AB24">
        <f t="shared" si="1"/>
        <v>791.64153921933598</v>
      </c>
      <c r="AC24">
        <f t="shared" si="1"/>
        <v>678.54989075943081</v>
      </c>
      <c r="AD24">
        <f t="shared" si="1"/>
        <v>67.854989075943081</v>
      </c>
      <c r="AE24">
        <f t="shared" si="1"/>
        <v>0</v>
      </c>
      <c r="AF24">
        <f t="shared" si="1"/>
        <v>0</v>
      </c>
      <c r="AG24">
        <f t="shared" si="1"/>
        <v>0</v>
      </c>
      <c r="AH24">
        <f t="shared" si="1"/>
        <v>0</v>
      </c>
      <c r="AI24">
        <f t="shared" si="1"/>
        <v>0</v>
      </c>
      <c r="AJ24">
        <f t="shared" si="1"/>
        <v>0</v>
      </c>
      <c r="AK24">
        <f t="shared" si="1"/>
        <v>0</v>
      </c>
      <c r="AL24">
        <f t="shared" si="1"/>
        <v>0</v>
      </c>
      <c r="AM24">
        <f t="shared" si="1"/>
        <v>0</v>
      </c>
      <c r="AN24">
        <f t="shared" si="1"/>
        <v>0</v>
      </c>
      <c r="AO24">
        <f t="shared" si="1"/>
        <v>0</v>
      </c>
      <c r="AP24">
        <f t="shared" si="1"/>
        <v>0</v>
      </c>
      <c r="AQ24">
        <f t="shared" si="3"/>
        <v>1583.283078438672</v>
      </c>
    </row>
    <row r="25" spans="1:43" x14ac:dyDescent="0.25">
      <c r="A25">
        <v>38</v>
      </c>
      <c r="B25">
        <v>1147.816812688347</v>
      </c>
      <c r="C25" s="11">
        <v>38</v>
      </c>
      <c r="D25" s="12"/>
      <c r="E25" s="14"/>
      <c r="F25" s="14"/>
      <c r="G25" s="14"/>
      <c r="H25" s="24">
        <v>8</v>
      </c>
      <c r="I25" s="24">
        <v>55</v>
      </c>
      <c r="J25" s="24">
        <v>4</v>
      </c>
      <c r="K25" s="24">
        <v>1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>
        <f t="shared" si="0"/>
        <v>68</v>
      </c>
      <c r="X25">
        <f t="shared" si="2"/>
        <v>0</v>
      </c>
      <c r="Y25">
        <f t="shared" si="1"/>
        <v>0</v>
      </c>
      <c r="Z25">
        <f t="shared" si="1"/>
        <v>0</v>
      </c>
      <c r="AA25">
        <f t="shared" si="1"/>
        <v>0</v>
      </c>
      <c r="AB25">
        <f t="shared" si="1"/>
        <v>135.03727208098201</v>
      </c>
      <c r="AC25">
        <f t="shared" si="1"/>
        <v>928.38124555675131</v>
      </c>
      <c r="AD25">
        <f t="shared" si="1"/>
        <v>67.518636040491003</v>
      </c>
      <c r="AE25">
        <f t="shared" si="1"/>
        <v>16.879659010122751</v>
      </c>
      <c r="AF25">
        <f t="shared" si="1"/>
        <v>0</v>
      </c>
      <c r="AG25">
        <f t="shared" si="1"/>
        <v>0</v>
      </c>
      <c r="AH25">
        <f t="shared" si="1"/>
        <v>0</v>
      </c>
      <c r="AI25">
        <f t="shared" si="1"/>
        <v>0</v>
      </c>
      <c r="AJ25">
        <f t="shared" si="1"/>
        <v>0</v>
      </c>
      <c r="AK25">
        <f t="shared" si="1"/>
        <v>0</v>
      </c>
      <c r="AL25">
        <f t="shared" si="1"/>
        <v>0</v>
      </c>
      <c r="AM25">
        <f t="shared" si="1"/>
        <v>0</v>
      </c>
      <c r="AN25">
        <f t="shared" si="1"/>
        <v>0</v>
      </c>
      <c r="AO25">
        <f t="shared" si="1"/>
        <v>0</v>
      </c>
      <c r="AP25">
        <f t="shared" si="1"/>
        <v>0</v>
      </c>
      <c r="AQ25">
        <f t="shared" si="3"/>
        <v>1147.816812688347</v>
      </c>
    </row>
    <row r="26" spans="1:43" x14ac:dyDescent="0.25">
      <c r="A26">
        <v>39</v>
      </c>
      <c r="B26">
        <v>903.71990704693565</v>
      </c>
      <c r="C26" s="11">
        <v>39</v>
      </c>
      <c r="D26" s="12"/>
      <c r="E26" s="14"/>
      <c r="F26" s="14"/>
      <c r="G26" s="14"/>
      <c r="H26" s="24">
        <v>4</v>
      </c>
      <c r="I26" s="24">
        <v>39</v>
      </c>
      <c r="J26" s="24">
        <v>9</v>
      </c>
      <c r="K26" s="24">
        <v>1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>
        <f t="shared" si="0"/>
        <v>53</v>
      </c>
      <c r="X26">
        <f t="shared" si="2"/>
        <v>0</v>
      </c>
      <c r="Y26">
        <f t="shared" si="1"/>
        <v>0</v>
      </c>
      <c r="Z26">
        <f t="shared" si="1"/>
        <v>0</v>
      </c>
      <c r="AA26">
        <f t="shared" si="1"/>
        <v>0</v>
      </c>
      <c r="AB26">
        <f t="shared" si="1"/>
        <v>68.205276003542309</v>
      </c>
      <c r="AC26">
        <f t="shared" si="1"/>
        <v>665.00144103453749</v>
      </c>
      <c r="AD26">
        <f t="shared" si="1"/>
        <v>153.46187100797019</v>
      </c>
      <c r="AE26">
        <f t="shared" si="1"/>
        <v>17.051319000885577</v>
      </c>
      <c r="AF26">
        <f t="shared" si="1"/>
        <v>0</v>
      </c>
      <c r="AG26">
        <f t="shared" si="1"/>
        <v>0</v>
      </c>
      <c r="AH26">
        <f t="shared" si="1"/>
        <v>0</v>
      </c>
      <c r="AI26">
        <f t="shared" si="1"/>
        <v>0</v>
      </c>
      <c r="AJ26">
        <f t="shared" si="1"/>
        <v>0</v>
      </c>
      <c r="AK26">
        <f t="shared" si="1"/>
        <v>0</v>
      </c>
      <c r="AL26">
        <f t="shared" si="1"/>
        <v>0</v>
      </c>
      <c r="AM26">
        <f t="shared" si="1"/>
        <v>0</v>
      </c>
      <c r="AN26">
        <f t="shared" si="1"/>
        <v>0</v>
      </c>
      <c r="AO26">
        <f t="shared" si="1"/>
        <v>0</v>
      </c>
      <c r="AP26">
        <f t="shared" si="1"/>
        <v>0</v>
      </c>
      <c r="AQ26">
        <f t="shared" si="3"/>
        <v>903.71990704693553</v>
      </c>
    </row>
    <row r="27" spans="1:43" x14ac:dyDescent="0.25">
      <c r="A27">
        <v>40</v>
      </c>
      <c r="B27">
        <v>695.22396488796244</v>
      </c>
      <c r="C27" s="11">
        <v>40</v>
      </c>
      <c r="D27" s="12"/>
      <c r="E27" s="14"/>
      <c r="F27" s="14"/>
      <c r="G27" s="14"/>
      <c r="H27" s="24">
        <v>1</v>
      </c>
      <c r="I27" s="24">
        <v>17</v>
      </c>
      <c r="J27" s="24">
        <v>25</v>
      </c>
      <c r="K27" s="24">
        <v>2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>
        <f t="shared" si="0"/>
        <v>45</v>
      </c>
      <c r="X27">
        <f t="shared" si="2"/>
        <v>0</v>
      </c>
      <c r="Y27">
        <f t="shared" si="1"/>
        <v>0</v>
      </c>
      <c r="Z27">
        <f t="shared" si="1"/>
        <v>0</v>
      </c>
      <c r="AA27">
        <f t="shared" si="1"/>
        <v>0</v>
      </c>
      <c r="AB27">
        <f t="shared" si="1"/>
        <v>15.449421441954721</v>
      </c>
      <c r="AC27">
        <f t="shared" si="1"/>
        <v>262.64016451323027</v>
      </c>
      <c r="AD27">
        <f t="shared" si="1"/>
        <v>386.23553604886803</v>
      </c>
      <c r="AE27">
        <f t="shared" si="1"/>
        <v>30.898842883909442</v>
      </c>
      <c r="AF27">
        <f t="shared" si="1"/>
        <v>0</v>
      </c>
      <c r="AG27">
        <f t="shared" si="1"/>
        <v>0</v>
      </c>
      <c r="AH27">
        <f t="shared" si="1"/>
        <v>0</v>
      </c>
      <c r="AI27">
        <f t="shared" si="1"/>
        <v>0</v>
      </c>
      <c r="AJ27">
        <f t="shared" si="1"/>
        <v>0</v>
      </c>
      <c r="AK27">
        <f t="shared" si="1"/>
        <v>0</v>
      </c>
      <c r="AL27">
        <f t="shared" si="1"/>
        <v>0</v>
      </c>
      <c r="AM27">
        <f t="shared" si="1"/>
        <v>0</v>
      </c>
      <c r="AN27">
        <f t="shared" si="1"/>
        <v>0</v>
      </c>
      <c r="AO27">
        <f t="shared" si="1"/>
        <v>0</v>
      </c>
      <c r="AP27">
        <f t="shared" si="1"/>
        <v>0</v>
      </c>
      <c r="AQ27">
        <f t="shared" si="3"/>
        <v>695.22396488796244</v>
      </c>
    </row>
    <row r="28" spans="1:43" x14ac:dyDescent="0.25">
      <c r="A28">
        <v>41</v>
      </c>
      <c r="B28">
        <v>492.38923393923022</v>
      </c>
      <c r="C28" s="11">
        <v>41</v>
      </c>
      <c r="D28" s="12"/>
      <c r="E28" s="14"/>
      <c r="F28" s="14"/>
      <c r="G28" s="14"/>
      <c r="H28" s="14"/>
      <c r="I28" s="24">
        <v>6</v>
      </c>
      <c r="J28" s="24">
        <v>22</v>
      </c>
      <c r="K28" s="24">
        <v>8</v>
      </c>
      <c r="L28" s="24">
        <v>1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>
        <f t="shared" si="0"/>
        <v>37</v>
      </c>
      <c r="X28">
        <f t="shared" si="2"/>
        <v>0</v>
      </c>
      <c r="Y28">
        <f t="shared" si="1"/>
        <v>0</v>
      </c>
      <c r="Z28">
        <f t="shared" si="1"/>
        <v>0</v>
      </c>
      <c r="AA28">
        <f t="shared" si="1"/>
        <v>0</v>
      </c>
      <c r="AB28">
        <f t="shared" si="1"/>
        <v>0</v>
      </c>
      <c r="AC28">
        <f t="shared" si="1"/>
        <v>79.846902800956258</v>
      </c>
      <c r="AD28">
        <f t="shared" si="1"/>
        <v>292.77197693683962</v>
      </c>
      <c r="AE28">
        <f t="shared" si="1"/>
        <v>106.46253706794168</v>
      </c>
      <c r="AF28">
        <f t="shared" si="1"/>
        <v>13.30781713349271</v>
      </c>
      <c r="AG28">
        <f t="shared" si="1"/>
        <v>0</v>
      </c>
      <c r="AH28">
        <f t="shared" si="1"/>
        <v>0</v>
      </c>
      <c r="AI28">
        <f t="shared" si="1"/>
        <v>0</v>
      </c>
      <c r="AJ28">
        <f t="shared" si="1"/>
        <v>0</v>
      </c>
      <c r="AK28">
        <f t="shared" si="1"/>
        <v>0</v>
      </c>
      <c r="AL28">
        <f t="shared" si="1"/>
        <v>0</v>
      </c>
      <c r="AM28">
        <f t="shared" si="1"/>
        <v>0</v>
      </c>
      <c r="AN28">
        <f t="shared" si="1"/>
        <v>0</v>
      </c>
      <c r="AO28">
        <f t="shared" si="1"/>
        <v>0</v>
      </c>
      <c r="AP28">
        <f t="shared" si="1"/>
        <v>0</v>
      </c>
      <c r="AQ28">
        <f t="shared" si="3"/>
        <v>492.38923393923028</v>
      </c>
    </row>
    <row r="29" spans="1:43" x14ac:dyDescent="0.25">
      <c r="A29">
        <v>42</v>
      </c>
      <c r="B29">
        <v>344.95495706234095</v>
      </c>
      <c r="C29" s="11">
        <v>42</v>
      </c>
      <c r="D29" s="12"/>
      <c r="E29" s="14"/>
      <c r="F29" s="14"/>
      <c r="G29" s="14"/>
      <c r="H29" s="14"/>
      <c r="I29" s="14"/>
      <c r="J29" s="24">
        <v>11</v>
      </c>
      <c r="K29" s="24">
        <v>6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>
        <f t="shared" si="0"/>
        <v>17</v>
      </c>
      <c r="X29">
        <f t="shared" si="2"/>
        <v>0</v>
      </c>
      <c r="Y29">
        <f t="shared" si="1"/>
        <v>0</v>
      </c>
      <c r="Z29">
        <f t="shared" si="1"/>
        <v>0</v>
      </c>
      <c r="AA29">
        <f t="shared" si="1"/>
        <v>0</v>
      </c>
      <c r="AB29">
        <f t="shared" ref="AB29:AP42" si="4">H29/$W29*$B29</f>
        <v>0</v>
      </c>
      <c r="AC29">
        <f t="shared" si="4"/>
        <v>0</v>
      </c>
      <c r="AD29">
        <f t="shared" si="4"/>
        <v>223.2061486873971</v>
      </c>
      <c r="AE29">
        <f t="shared" si="4"/>
        <v>121.74880837494388</v>
      </c>
      <c r="AF29">
        <f t="shared" si="4"/>
        <v>0</v>
      </c>
      <c r="AG29">
        <f t="shared" si="4"/>
        <v>0</v>
      </c>
      <c r="AH29">
        <f t="shared" si="4"/>
        <v>0</v>
      </c>
      <c r="AI29">
        <f t="shared" si="4"/>
        <v>0</v>
      </c>
      <c r="AJ29">
        <f t="shared" si="4"/>
        <v>0</v>
      </c>
      <c r="AK29">
        <f t="shared" si="4"/>
        <v>0</v>
      </c>
      <c r="AL29">
        <f t="shared" si="4"/>
        <v>0</v>
      </c>
      <c r="AM29">
        <f t="shared" si="4"/>
        <v>0</v>
      </c>
      <c r="AN29">
        <f t="shared" si="4"/>
        <v>0</v>
      </c>
      <c r="AO29">
        <f t="shared" si="4"/>
        <v>0</v>
      </c>
      <c r="AP29">
        <f t="shared" si="4"/>
        <v>0</v>
      </c>
      <c r="AQ29">
        <f t="shared" si="3"/>
        <v>344.95495706234101</v>
      </c>
    </row>
    <row r="30" spans="1:43" s="16" customFormat="1" x14ac:dyDescent="0.25">
      <c r="A30" s="16">
        <v>43</v>
      </c>
      <c r="B30" s="16">
        <v>291.08382417514849</v>
      </c>
      <c r="C30" s="11">
        <v>43</v>
      </c>
      <c r="D30" s="12"/>
      <c r="E30" s="14"/>
      <c r="F30" s="14"/>
      <c r="G30" s="14"/>
      <c r="H30" s="14"/>
      <c r="I30" s="14"/>
      <c r="J30" s="14"/>
      <c r="K30" s="24">
        <v>14</v>
      </c>
      <c r="L30" s="24">
        <v>8</v>
      </c>
      <c r="M30" s="24">
        <v>1</v>
      </c>
      <c r="N30" s="14"/>
      <c r="O30" s="14"/>
      <c r="P30" s="14"/>
      <c r="Q30" s="14"/>
      <c r="R30" s="14"/>
      <c r="S30" s="14"/>
      <c r="T30" s="14"/>
      <c r="U30" s="14"/>
      <c r="V30" s="14"/>
      <c r="W30">
        <f t="shared" si="0"/>
        <v>23</v>
      </c>
      <c r="X30">
        <f t="shared" si="2"/>
        <v>0</v>
      </c>
      <c r="Y30">
        <f t="shared" si="2"/>
        <v>0</v>
      </c>
      <c r="Z30">
        <f t="shared" si="2"/>
        <v>0</v>
      </c>
      <c r="AA30">
        <f t="shared" si="2"/>
        <v>0</v>
      </c>
      <c r="AB30">
        <f t="shared" si="4"/>
        <v>0</v>
      </c>
      <c r="AC30">
        <f t="shared" si="4"/>
        <v>0</v>
      </c>
      <c r="AD30">
        <f t="shared" si="4"/>
        <v>0</v>
      </c>
      <c r="AE30">
        <f t="shared" si="4"/>
        <v>177.18145819356866</v>
      </c>
      <c r="AF30">
        <f t="shared" si="4"/>
        <v>101.24654753918207</v>
      </c>
      <c r="AG30">
        <f t="shared" si="4"/>
        <v>12.655818442397759</v>
      </c>
      <c r="AH30">
        <f t="shared" si="4"/>
        <v>0</v>
      </c>
      <c r="AI30">
        <f t="shared" si="4"/>
        <v>0</v>
      </c>
      <c r="AJ30">
        <f t="shared" si="4"/>
        <v>0</v>
      </c>
      <c r="AK30">
        <f t="shared" si="4"/>
        <v>0</v>
      </c>
      <c r="AL30">
        <f t="shared" si="4"/>
        <v>0</v>
      </c>
      <c r="AM30">
        <f t="shared" si="4"/>
        <v>0</v>
      </c>
      <c r="AN30">
        <f t="shared" si="4"/>
        <v>0</v>
      </c>
      <c r="AO30">
        <f t="shared" si="4"/>
        <v>0</v>
      </c>
      <c r="AP30">
        <f t="shared" si="4"/>
        <v>0</v>
      </c>
      <c r="AQ30" s="16">
        <f t="shared" si="3"/>
        <v>291.08382417514849</v>
      </c>
    </row>
    <row r="31" spans="1:43" x14ac:dyDescent="0.25">
      <c r="A31">
        <v>44</v>
      </c>
      <c r="B31">
        <v>264.96283681951877</v>
      </c>
      <c r="C31" s="11">
        <v>44</v>
      </c>
      <c r="D31" s="12"/>
      <c r="E31" s="14"/>
      <c r="F31" s="14"/>
      <c r="G31" s="14"/>
      <c r="H31" s="14"/>
      <c r="I31" s="14"/>
      <c r="J31" s="14"/>
      <c r="K31" s="24">
        <v>3</v>
      </c>
      <c r="L31" s="24">
        <v>8</v>
      </c>
      <c r="M31" s="24">
        <v>3</v>
      </c>
      <c r="N31" s="14"/>
      <c r="O31" s="14"/>
      <c r="P31" s="14"/>
      <c r="Q31" s="14"/>
      <c r="R31" s="14"/>
      <c r="S31" s="14"/>
      <c r="T31" s="14"/>
      <c r="U31" s="14"/>
      <c r="V31" s="14"/>
      <c r="W31">
        <f t="shared" si="0"/>
        <v>14</v>
      </c>
      <c r="X31">
        <f t="shared" si="2"/>
        <v>0</v>
      </c>
      <c r="Y31">
        <f t="shared" si="2"/>
        <v>0</v>
      </c>
      <c r="Z31">
        <f t="shared" si="2"/>
        <v>0</v>
      </c>
      <c r="AA31">
        <f t="shared" si="2"/>
        <v>0</v>
      </c>
      <c r="AB31">
        <f t="shared" si="4"/>
        <v>0</v>
      </c>
      <c r="AC31">
        <f t="shared" si="4"/>
        <v>0</v>
      </c>
      <c r="AD31">
        <f t="shared" si="4"/>
        <v>0</v>
      </c>
      <c r="AE31">
        <f t="shared" si="4"/>
        <v>56.777750747039732</v>
      </c>
      <c r="AF31">
        <f t="shared" si="4"/>
        <v>151.40733532543928</v>
      </c>
      <c r="AG31">
        <f t="shared" si="4"/>
        <v>56.777750747039732</v>
      </c>
      <c r="AH31">
        <f t="shared" si="4"/>
        <v>0</v>
      </c>
      <c r="AI31">
        <f t="shared" si="4"/>
        <v>0</v>
      </c>
      <c r="AJ31">
        <f t="shared" si="4"/>
        <v>0</v>
      </c>
      <c r="AK31">
        <f t="shared" si="4"/>
        <v>0</v>
      </c>
      <c r="AL31">
        <f t="shared" si="4"/>
        <v>0</v>
      </c>
      <c r="AM31">
        <f t="shared" si="4"/>
        <v>0</v>
      </c>
      <c r="AN31">
        <f t="shared" si="4"/>
        <v>0</v>
      </c>
      <c r="AO31">
        <f t="shared" si="4"/>
        <v>0</v>
      </c>
      <c r="AP31">
        <f t="shared" si="4"/>
        <v>0</v>
      </c>
      <c r="AQ31">
        <f t="shared" si="3"/>
        <v>264.96283681951877</v>
      </c>
    </row>
    <row r="32" spans="1:43" x14ac:dyDescent="0.25">
      <c r="A32">
        <v>45</v>
      </c>
      <c r="B32">
        <v>205.13551979329503</v>
      </c>
      <c r="C32" s="11">
        <v>45</v>
      </c>
      <c r="D32" s="12"/>
      <c r="E32" s="14"/>
      <c r="F32" s="14"/>
      <c r="G32" s="14"/>
      <c r="H32" s="14"/>
      <c r="I32" s="14"/>
      <c r="J32" s="14"/>
      <c r="K32" s="24">
        <v>1</v>
      </c>
      <c r="L32" s="24">
        <v>5</v>
      </c>
      <c r="M32" s="24">
        <v>6</v>
      </c>
      <c r="N32" s="24">
        <v>5</v>
      </c>
      <c r="O32" s="24">
        <v>1</v>
      </c>
      <c r="P32" s="14"/>
      <c r="Q32" s="14"/>
      <c r="R32" s="24">
        <v>1</v>
      </c>
      <c r="S32" s="14"/>
      <c r="T32" s="14"/>
      <c r="U32" s="14"/>
      <c r="V32" s="14"/>
      <c r="W32">
        <f t="shared" si="0"/>
        <v>19</v>
      </c>
      <c r="X32">
        <f t="shared" si="2"/>
        <v>0</v>
      </c>
      <c r="Y32">
        <f t="shared" si="2"/>
        <v>0</v>
      </c>
      <c r="Z32">
        <f t="shared" si="2"/>
        <v>0</v>
      </c>
      <c r="AA32">
        <f t="shared" si="2"/>
        <v>0</v>
      </c>
      <c r="AB32">
        <f t="shared" si="4"/>
        <v>0</v>
      </c>
      <c r="AC32">
        <f t="shared" si="4"/>
        <v>0</v>
      </c>
      <c r="AD32">
        <f t="shared" si="4"/>
        <v>0</v>
      </c>
      <c r="AE32">
        <f t="shared" si="4"/>
        <v>10.796606304910265</v>
      </c>
      <c r="AF32">
        <f t="shared" si="4"/>
        <v>53.983031524551322</v>
      </c>
      <c r="AG32">
        <f t="shared" si="4"/>
        <v>64.779637829461592</v>
      </c>
      <c r="AH32">
        <f t="shared" si="4"/>
        <v>53.983031524551322</v>
      </c>
      <c r="AI32">
        <f t="shared" si="4"/>
        <v>10.796606304910265</v>
      </c>
      <c r="AJ32">
        <f t="shared" si="4"/>
        <v>0</v>
      </c>
      <c r="AK32">
        <f t="shared" si="4"/>
        <v>0</v>
      </c>
      <c r="AL32">
        <f t="shared" si="4"/>
        <v>10.796606304910265</v>
      </c>
      <c r="AM32">
        <f t="shared" si="4"/>
        <v>0</v>
      </c>
      <c r="AN32">
        <f t="shared" si="4"/>
        <v>0</v>
      </c>
      <c r="AO32">
        <f t="shared" si="4"/>
        <v>0</v>
      </c>
      <c r="AP32">
        <f t="shared" si="4"/>
        <v>0</v>
      </c>
      <c r="AQ32">
        <f t="shared" si="3"/>
        <v>205.13551979329503</v>
      </c>
    </row>
    <row r="33" spans="1:43" x14ac:dyDescent="0.25">
      <c r="A33">
        <v>46</v>
      </c>
      <c r="B33">
        <v>134.67556319545204</v>
      </c>
      <c r="C33" s="11">
        <v>46</v>
      </c>
      <c r="D33" s="12"/>
      <c r="E33" s="14"/>
      <c r="F33" s="14"/>
      <c r="G33" s="14"/>
      <c r="H33" s="14"/>
      <c r="I33" s="14"/>
      <c r="J33" s="14"/>
      <c r="K33" s="14"/>
      <c r="L33" s="24">
        <v>1</v>
      </c>
      <c r="M33" s="24">
        <v>2</v>
      </c>
      <c r="N33" s="24">
        <v>2</v>
      </c>
      <c r="O33" s="24">
        <v>2</v>
      </c>
      <c r="P33" s="14"/>
      <c r="Q33" s="14"/>
      <c r="R33" s="14"/>
      <c r="S33" s="14"/>
      <c r="T33" s="14"/>
      <c r="U33" s="14"/>
      <c r="V33" s="14"/>
      <c r="W33">
        <f t="shared" si="0"/>
        <v>7</v>
      </c>
      <c r="X33">
        <f t="shared" si="2"/>
        <v>0</v>
      </c>
      <c r="Y33">
        <f t="shared" si="2"/>
        <v>0</v>
      </c>
      <c r="Z33">
        <f t="shared" si="2"/>
        <v>0</v>
      </c>
      <c r="AA33">
        <f t="shared" si="2"/>
        <v>0</v>
      </c>
      <c r="AB33">
        <f t="shared" si="4"/>
        <v>0</v>
      </c>
      <c r="AC33">
        <f t="shared" si="4"/>
        <v>0</v>
      </c>
      <c r="AD33">
        <f t="shared" si="4"/>
        <v>0</v>
      </c>
      <c r="AE33">
        <f t="shared" si="4"/>
        <v>0</v>
      </c>
      <c r="AF33">
        <f t="shared" si="4"/>
        <v>19.239366170778862</v>
      </c>
      <c r="AG33">
        <f t="shared" si="4"/>
        <v>38.478732341557723</v>
      </c>
      <c r="AH33">
        <f t="shared" si="4"/>
        <v>38.478732341557723</v>
      </c>
      <c r="AI33">
        <f t="shared" si="4"/>
        <v>38.478732341557723</v>
      </c>
      <c r="AJ33">
        <f t="shared" si="4"/>
        <v>0</v>
      </c>
      <c r="AK33">
        <f t="shared" si="4"/>
        <v>0</v>
      </c>
      <c r="AL33">
        <f t="shared" si="4"/>
        <v>0</v>
      </c>
      <c r="AM33">
        <f t="shared" si="4"/>
        <v>0</v>
      </c>
      <c r="AN33">
        <f t="shared" si="4"/>
        <v>0</v>
      </c>
      <c r="AO33">
        <f t="shared" si="4"/>
        <v>0</v>
      </c>
      <c r="AP33">
        <f t="shared" si="4"/>
        <v>0</v>
      </c>
      <c r="AQ33">
        <f t="shared" si="3"/>
        <v>134.67556319545204</v>
      </c>
    </row>
    <row r="34" spans="1:43" x14ac:dyDescent="0.25">
      <c r="A34">
        <v>47</v>
      </c>
      <c r="B34">
        <v>126.53204133831559</v>
      </c>
      <c r="C34" s="11">
        <v>47</v>
      </c>
      <c r="D34" s="12"/>
      <c r="E34" s="14"/>
      <c r="F34" s="14"/>
      <c r="G34" s="14"/>
      <c r="H34" s="14"/>
      <c r="I34" s="14"/>
      <c r="J34" s="14"/>
      <c r="K34" s="14"/>
      <c r="L34" s="14"/>
      <c r="M34" s="14"/>
      <c r="N34" s="24">
        <v>2</v>
      </c>
      <c r="O34" s="24">
        <v>1</v>
      </c>
      <c r="P34" s="14"/>
      <c r="Q34" s="14"/>
      <c r="R34" s="24">
        <v>1</v>
      </c>
      <c r="S34" s="14"/>
      <c r="T34" s="14"/>
      <c r="U34" s="14"/>
      <c r="V34" s="14"/>
      <c r="W34">
        <f t="shared" si="0"/>
        <v>4</v>
      </c>
      <c r="X34">
        <f t="shared" si="2"/>
        <v>0</v>
      </c>
      <c r="Y34">
        <f t="shared" si="2"/>
        <v>0</v>
      </c>
      <c r="Z34">
        <f t="shared" si="2"/>
        <v>0</v>
      </c>
      <c r="AA34">
        <f t="shared" si="2"/>
        <v>0</v>
      </c>
      <c r="AB34">
        <f t="shared" si="4"/>
        <v>0</v>
      </c>
      <c r="AC34">
        <f t="shared" si="4"/>
        <v>0</v>
      </c>
      <c r="AD34">
        <f t="shared" si="4"/>
        <v>0</v>
      </c>
      <c r="AE34">
        <f t="shared" si="4"/>
        <v>0</v>
      </c>
      <c r="AF34">
        <f t="shared" si="4"/>
        <v>0</v>
      </c>
      <c r="AG34">
        <f t="shared" si="4"/>
        <v>0</v>
      </c>
      <c r="AH34">
        <f t="shared" si="4"/>
        <v>63.266020669157797</v>
      </c>
      <c r="AI34">
        <f t="shared" si="4"/>
        <v>31.633010334578898</v>
      </c>
      <c r="AJ34">
        <f t="shared" si="4"/>
        <v>0</v>
      </c>
      <c r="AK34">
        <f t="shared" si="4"/>
        <v>0</v>
      </c>
      <c r="AL34">
        <f t="shared" si="4"/>
        <v>31.633010334578898</v>
      </c>
      <c r="AM34">
        <f t="shared" si="4"/>
        <v>0</v>
      </c>
      <c r="AN34">
        <f t="shared" si="4"/>
        <v>0</v>
      </c>
      <c r="AO34">
        <f t="shared" si="4"/>
        <v>0</v>
      </c>
      <c r="AP34">
        <f t="shared" si="4"/>
        <v>0</v>
      </c>
      <c r="AQ34">
        <f t="shared" si="3"/>
        <v>126.53204133831559</v>
      </c>
    </row>
    <row r="35" spans="1:43" x14ac:dyDescent="0.25">
      <c r="A35">
        <v>48</v>
      </c>
      <c r="B35">
        <v>79.277378146138417</v>
      </c>
      <c r="C35" s="11">
        <v>48</v>
      </c>
      <c r="D35" s="25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24">
        <v>1</v>
      </c>
      <c r="Q35" s="24">
        <v>2</v>
      </c>
      <c r="R35" s="14"/>
      <c r="S35" s="24">
        <v>1</v>
      </c>
      <c r="T35" s="14"/>
      <c r="U35" s="14"/>
      <c r="V35" s="14"/>
      <c r="W35">
        <f t="shared" si="0"/>
        <v>4</v>
      </c>
      <c r="X35">
        <f t="shared" si="2"/>
        <v>0</v>
      </c>
      <c r="Y35">
        <f t="shared" si="2"/>
        <v>0</v>
      </c>
      <c r="Z35">
        <f t="shared" si="2"/>
        <v>0</v>
      </c>
      <c r="AA35">
        <f t="shared" si="2"/>
        <v>0</v>
      </c>
      <c r="AB35">
        <f t="shared" si="4"/>
        <v>0</v>
      </c>
      <c r="AC35">
        <f t="shared" si="4"/>
        <v>0</v>
      </c>
      <c r="AD35">
        <f t="shared" si="4"/>
        <v>0</v>
      </c>
      <c r="AE35">
        <f t="shared" si="4"/>
        <v>0</v>
      </c>
      <c r="AF35">
        <f t="shared" si="4"/>
        <v>0</v>
      </c>
      <c r="AG35">
        <f t="shared" si="4"/>
        <v>0</v>
      </c>
      <c r="AH35">
        <f t="shared" si="4"/>
        <v>0</v>
      </c>
      <c r="AI35">
        <f t="shared" si="4"/>
        <v>0</v>
      </c>
      <c r="AJ35">
        <f t="shared" si="4"/>
        <v>19.819344536534604</v>
      </c>
      <c r="AK35">
        <f t="shared" si="4"/>
        <v>39.638689073069209</v>
      </c>
      <c r="AL35">
        <f t="shared" si="4"/>
        <v>0</v>
      </c>
      <c r="AM35">
        <f t="shared" si="4"/>
        <v>19.819344536534604</v>
      </c>
      <c r="AN35">
        <f t="shared" si="4"/>
        <v>0</v>
      </c>
      <c r="AO35">
        <f t="shared" si="4"/>
        <v>0</v>
      </c>
      <c r="AP35">
        <f t="shared" si="4"/>
        <v>0</v>
      </c>
      <c r="AQ35">
        <f t="shared" si="3"/>
        <v>79.277378146138417</v>
      </c>
    </row>
    <row r="36" spans="1:43" x14ac:dyDescent="0.25">
      <c r="A36">
        <v>49</v>
      </c>
      <c r="B36">
        <v>22.944355814813008</v>
      </c>
      <c r="C36" s="11">
        <v>49</v>
      </c>
      <c r="D36" s="12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3">
        <v>2</v>
      </c>
      <c r="S36" s="13">
        <v>2</v>
      </c>
      <c r="T36" s="14"/>
      <c r="U36" s="14"/>
      <c r="V36" s="14"/>
      <c r="W36">
        <f t="shared" ref="W36:W39" si="5">SUM(E36:V36)</f>
        <v>4</v>
      </c>
      <c r="X36">
        <f t="shared" si="2"/>
        <v>0</v>
      </c>
      <c r="Y36">
        <f t="shared" si="2"/>
        <v>0</v>
      </c>
      <c r="Z36">
        <f t="shared" si="2"/>
        <v>0</v>
      </c>
      <c r="AA36">
        <f t="shared" si="2"/>
        <v>0</v>
      </c>
      <c r="AB36">
        <f t="shared" si="4"/>
        <v>0</v>
      </c>
      <c r="AC36">
        <f t="shared" si="4"/>
        <v>0</v>
      </c>
      <c r="AD36">
        <f t="shared" si="4"/>
        <v>0</v>
      </c>
      <c r="AE36">
        <f t="shared" si="4"/>
        <v>0</v>
      </c>
      <c r="AF36">
        <f t="shared" si="4"/>
        <v>0</v>
      </c>
      <c r="AG36">
        <f t="shared" si="4"/>
        <v>0</v>
      </c>
      <c r="AH36">
        <f t="shared" si="4"/>
        <v>0</v>
      </c>
      <c r="AI36">
        <f t="shared" si="4"/>
        <v>0</v>
      </c>
      <c r="AJ36">
        <f t="shared" si="4"/>
        <v>0</v>
      </c>
      <c r="AK36">
        <f t="shared" si="4"/>
        <v>0</v>
      </c>
      <c r="AL36">
        <f t="shared" si="4"/>
        <v>11.472177907406504</v>
      </c>
      <c r="AM36">
        <f t="shared" si="4"/>
        <v>11.472177907406504</v>
      </c>
      <c r="AN36">
        <f t="shared" si="4"/>
        <v>0</v>
      </c>
      <c r="AO36">
        <f t="shared" si="4"/>
        <v>0</v>
      </c>
      <c r="AP36">
        <f t="shared" si="4"/>
        <v>0</v>
      </c>
      <c r="AQ36">
        <f t="shared" si="3"/>
        <v>22.944355814813008</v>
      </c>
    </row>
    <row r="37" spans="1:43" x14ac:dyDescent="0.25">
      <c r="A37">
        <v>50</v>
      </c>
      <c r="B37">
        <v>27.795525982145897</v>
      </c>
      <c r="C37" s="11">
        <v>50</v>
      </c>
      <c r="D37" s="12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3">
        <v>2</v>
      </c>
      <c r="R37" s="13">
        <v>1</v>
      </c>
      <c r="S37" s="14"/>
      <c r="T37" s="14"/>
      <c r="U37" s="14"/>
      <c r="V37" s="14"/>
      <c r="W37">
        <f t="shared" si="5"/>
        <v>3</v>
      </c>
      <c r="X37">
        <f t="shared" si="2"/>
        <v>0</v>
      </c>
      <c r="Y37">
        <f t="shared" si="2"/>
        <v>0</v>
      </c>
      <c r="Z37">
        <f t="shared" si="2"/>
        <v>0</v>
      </c>
      <c r="AA37">
        <f t="shared" si="2"/>
        <v>0</v>
      </c>
      <c r="AB37">
        <f t="shared" si="4"/>
        <v>0</v>
      </c>
      <c r="AC37">
        <f t="shared" si="4"/>
        <v>0</v>
      </c>
      <c r="AD37">
        <f t="shared" si="4"/>
        <v>0</v>
      </c>
      <c r="AE37">
        <f t="shared" si="4"/>
        <v>0</v>
      </c>
      <c r="AF37">
        <f t="shared" si="4"/>
        <v>0</v>
      </c>
      <c r="AG37">
        <f t="shared" si="4"/>
        <v>0</v>
      </c>
      <c r="AH37">
        <f t="shared" si="4"/>
        <v>0</v>
      </c>
      <c r="AI37">
        <f t="shared" si="4"/>
        <v>0</v>
      </c>
      <c r="AJ37">
        <f t="shared" si="4"/>
        <v>0</v>
      </c>
      <c r="AK37">
        <f t="shared" si="4"/>
        <v>18.530350654763929</v>
      </c>
      <c r="AL37">
        <f t="shared" si="4"/>
        <v>9.2651753273819644</v>
      </c>
      <c r="AM37">
        <f t="shared" si="4"/>
        <v>0</v>
      </c>
      <c r="AN37">
        <f t="shared" si="4"/>
        <v>0</v>
      </c>
      <c r="AO37">
        <f t="shared" si="4"/>
        <v>0</v>
      </c>
      <c r="AP37">
        <f t="shared" si="4"/>
        <v>0</v>
      </c>
      <c r="AQ37">
        <f t="shared" si="3"/>
        <v>27.795525982145893</v>
      </c>
    </row>
    <row r="38" spans="1:43" x14ac:dyDescent="0.25">
      <c r="A38">
        <v>51</v>
      </c>
      <c r="B38">
        <v>1.9513593750730998</v>
      </c>
      <c r="C38" s="11">
        <v>51</v>
      </c>
      <c r="D38" s="12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3">
        <v>1</v>
      </c>
      <c r="R38" s="14"/>
      <c r="S38" s="13">
        <v>1</v>
      </c>
      <c r="T38" s="14"/>
      <c r="U38" s="14"/>
      <c r="V38" s="14"/>
      <c r="W38">
        <f t="shared" si="5"/>
        <v>2</v>
      </c>
      <c r="X38">
        <f t="shared" si="2"/>
        <v>0</v>
      </c>
      <c r="Y38">
        <f t="shared" si="2"/>
        <v>0</v>
      </c>
      <c r="Z38">
        <f t="shared" si="2"/>
        <v>0</v>
      </c>
      <c r="AA38">
        <f t="shared" si="2"/>
        <v>0</v>
      </c>
      <c r="AB38">
        <f t="shared" si="4"/>
        <v>0</v>
      </c>
      <c r="AC38">
        <f t="shared" si="4"/>
        <v>0</v>
      </c>
      <c r="AD38">
        <f t="shared" si="4"/>
        <v>0</v>
      </c>
      <c r="AE38">
        <f t="shared" si="4"/>
        <v>0</v>
      </c>
      <c r="AF38">
        <f t="shared" si="4"/>
        <v>0</v>
      </c>
      <c r="AG38">
        <f t="shared" si="4"/>
        <v>0</v>
      </c>
      <c r="AH38">
        <f t="shared" si="4"/>
        <v>0</v>
      </c>
      <c r="AI38">
        <f t="shared" si="4"/>
        <v>0</v>
      </c>
      <c r="AJ38">
        <f t="shared" si="4"/>
        <v>0</v>
      </c>
      <c r="AK38">
        <f t="shared" si="4"/>
        <v>0.97567968753654988</v>
      </c>
      <c r="AL38">
        <f t="shared" si="4"/>
        <v>0</v>
      </c>
      <c r="AM38">
        <f t="shared" si="4"/>
        <v>0.97567968753654988</v>
      </c>
      <c r="AN38">
        <f t="shared" si="4"/>
        <v>0</v>
      </c>
      <c r="AO38">
        <f t="shared" si="4"/>
        <v>0</v>
      </c>
      <c r="AP38">
        <f t="shared" si="4"/>
        <v>0</v>
      </c>
      <c r="AQ38">
        <f t="shared" si="3"/>
        <v>1.9513593750730998</v>
      </c>
    </row>
    <row r="39" spans="1:43" x14ac:dyDescent="0.25">
      <c r="A39">
        <v>52</v>
      </c>
      <c r="B39">
        <v>0.24278541061956008</v>
      </c>
      <c r="C39" s="11">
        <v>52</v>
      </c>
      <c r="D39" s="12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3">
        <v>1</v>
      </c>
      <c r="T39" s="14"/>
      <c r="U39" s="14"/>
      <c r="V39" s="14"/>
      <c r="W39">
        <f t="shared" si="5"/>
        <v>1</v>
      </c>
      <c r="X39">
        <f t="shared" si="2"/>
        <v>0</v>
      </c>
      <c r="Y39">
        <f t="shared" si="2"/>
        <v>0</v>
      </c>
      <c r="Z39">
        <f t="shared" si="2"/>
        <v>0</v>
      </c>
      <c r="AA39">
        <f t="shared" si="2"/>
        <v>0</v>
      </c>
      <c r="AB39">
        <f t="shared" si="4"/>
        <v>0</v>
      </c>
      <c r="AC39">
        <f t="shared" si="4"/>
        <v>0</v>
      </c>
      <c r="AD39">
        <f t="shared" si="4"/>
        <v>0</v>
      </c>
      <c r="AE39">
        <f t="shared" si="4"/>
        <v>0</v>
      </c>
      <c r="AF39">
        <f t="shared" si="4"/>
        <v>0</v>
      </c>
      <c r="AG39">
        <f t="shared" si="4"/>
        <v>0</v>
      </c>
      <c r="AH39">
        <f t="shared" si="4"/>
        <v>0</v>
      </c>
      <c r="AI39">
        <f t="shared" si="4"/>
        <v>0</v>
      </c>
      <c r="AJ39">
        <f t="shared" si="4"/>
        <v>0</v>
      </c>
      <c r="AK39">
        <f t="shared" si="4"/>
        <v>0</v>
      </c>
      <c r="AL39">
        <f t="shared" si="4"/>
        <v>0</v>
      </c>
      <c r="AM39">
        <f t="shared" si="4"/>
        <v>0.24278541061956008</v>
      </c>
      <c r="AN39">
        <f t="shared" si="4"/>
        <v>0</v>
      </c>
      <c r="AO39">
        <f t="shared" si="4"/>
        <v>0</v>
      </c>
      <c r="AP39">
        <f t="shared" si="4"/>
        <v>0</v>
      </c>
      <c r="AQ39">
        <f t="shared" si="3"/>
        <v>0.24278541061956008</v>
      </c>
    </row>
    <row r="40" spans="1:43" x14ac:dyDescent="0.25">
      <c r="A40">
        <v>53</v>
      </c>
      <c r="B40">
        <v>0</v>
      </c>
      <c r="C40" s="11">
        <v>53</v>
      </c>
      <c r="D40" s="12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3">
        <v>2</v>
      </c>
      <c r="R40" s="14"/>
      <c r="S40" s="14"/>
      <c r="T40" s="14"/>
      <c r="U40" s="14"/>
      <c r="V40" s="14"/>
      <c r="W40">
        <v>2</v>
      </c>
      <c r="X40">
        <f t="shared" si="2"/>
        <v>0</v>
      </c>
      <c r="Y40">
        <f t="shared" si="2"/>
        <v>0</v>
      </c>
      <c r="Z40">
        <f t="shared" si="2"/>
        <v>0</v>
      </c>
      <c r="AA40">
        <f t="shared" si="2"/>
        <v>0</v>
      </c>
      <c r="AB40">
        <f t="shared" si="4"/>
        <v>0</v>
      </c>
      <c r="AC40">
        <f t="shared" si="4"/>
        <v>0</v>
      </c>
      <c r="AD40">
        <f t="shared" si="4"/>
        <v>0</v>
      </c>
      <c r="AE40">
        <f t="shared" si="4"/>
        <v>0</v>
      </c>
      <c r="AF40">
        <f t="shared" si="4"/>
        <v>0</v>
      </c>
      <c r="AG40">
        <f t="shared" si="4"/>
        <v>0</v>
      </c>
      <c r="AH40">
        <f t="shared" si="4"/>
        <v>0</v>
      </c>
      <c r="AI40">
        <f t="shared" si="4"/>
        <v>0</v>
      </c>
      <c r="AJ40">
        <f t="shared" si="4"/>
        <v>0</v>
      </c>
      <c r="AK40">
        <f t="shared" si="4"/>
        <v>0</v>
      </c>
      <c r="AL40">
        <f t="shared" si="4"/>
        <v>0</v>
      </c>
      <c r="AM40">
        <f t="shared" si="4"/>
        <v>0</v>
      </c>
      <c r="AN40">
        <f t="shared" si="4"/>
        <v>0</v>
      </c>
      <c r="AO40">
        <f t="shared" si="4"/>
        <v>0</v>
      </c>
      <c r="AP40">
        <f t="shared" si="4"/>
        <v>0</v>
      </c>
      <c r="AQ40">
        <f t="shared" si="3"/>
        <v>0</v>
      </c>
    </row>
    <row r="41" spans="1:43" x14ac:dyDescent="0.25">
      <c r="A41">
        <v>54</v>
      </c>
      <c r="B41">
        <v>0</v>
      </c>
      <c r="C41" s="11">
        <v>54</v>
      </c>
      <c r="D41" s="12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3">
        <v>1</v>
      </c>
      <c r="W41">
        <f>SUM(E41:V41)</f>
        <v>1</v>
      </c>
      <c r="X41">
        <f t="shared" si="2"/>
        <v>0</v>
      </c>
      <c r="Y41">
        <f t="shared" si="2"/>
        <v>0</v>
      </c>
      <c r="Z41">
        <f t="shared" si="2"/>
        <v>0</v>
      </c>
      <c r="AA41">
        <f t="shared" si="2"/>
        <v>0</v>
      </c>
      <c r="AB41">
        <f t="shared" si="4"/>
        <v>0</v>
      </c>
      <c r="AC41">
        <f t="shared" si="4"/>
        <v>0</v>
      </c>
      <c r="AD41">
        <f t="shared" si="4"/>
        <v>0</v>
      </c>
      <c r="AE41">
        <f t="shared" si="4"/>
        <v>0</v>
      </c>
      <c r="AF41">
        <f t="shared" si="4"/>
        <v>0</v>
      </c>
      <c r="AG41">
        <f t="shared" si="4"/>
        <v>0</v>
      </c>
      <c r="AH41">
        <f t="shared" si="4"/>
        <v>0</v>
      </c>
      <c r="AI41">
        <f t="shared" si="4"/>
        <v>0</v>
      </c>
      <c r="AJ41">
        <f t="shared" si="4"/>
        <v>0</v>
      </c>
      <c r="AK41">
        <f t="shared" si="4"/>
        <v>0</v>
      </c>
      <c r="AL41">
        <f t="shared" si="4"/>
        <v>0</v>
      </c>
      <c r="AM41">
        <f t="shared" si="4"/>
        <v>0</v>
      </c>
      <c r="AN41">
        <f t="shared" si="4"/>
        <v>0</v>
      </c>
      <c r="AO41">
        <f t="shared" si="4"/>
        <v>0</v>
      </c>
      <c r="AP41">
        <f t="shared" si="4"/>
        <v>0</v>
      </c>
      <c r="AQ41">
        <f t="shared" si="3"/>
        <v>0</v>
      </c>
    </row>
    <row r="42" spans="1:43" ht="15.75" thickBot="1" x14ac:dyDescent="0.3">
      <c r="A42">
        <v>55</v>
      </c>
      <c r="B42">
        <v>0</v>
      </c>
      <c r="C42" s="15">
        <v>55</v>
      </c>
      <c r="D42" s="1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3">
        <v>1</v>
      </c>
      <c r="T42" s="14"/>
      <c r="U42" s="14"/>
      <c r="V42" s="14"/>
      <c r="W42">
        <f>SUM(E42:V42)</f>
        <v>1</v>
      </c>
      <c r="X42">
        <f t="shared" si="2"/>
        <v>0</v>
      </c>
      <c r="Y42">
        <f t="shared" si="2"/>
        <v>0</v>
      </c>
      <c r="Z42">
        <f t="shared" si="2"/>
        <v>0</v>
      </c>
      <c r="AA42">
        <f t="shared" si="2"/>
        <v>0</v>
      </c>
      <c r="AB42">
        <f t="shared" si="4"/>
        <v>0</v>
      </c>
      <c r="AC42">
        <f t="shared" si="4"/>
        <v>0</v>
      </c>
      <c r="AD42">
        <f t="shared" si="4"/>
        <v>0</v>
      </c>
      <c r="AE42">
        <f t="shared" si="4"/>
        <v>0</v>
      </c>
      <c r="AF42">
        <f t="shared" si="4"/>
        <v>0</v>
      </c>
      <c r="AG42">
        <f t="shared" si="4"/>
        <v>0</v>
      </c>
      <c r="AH42">
        <f t="shared" si="4"/>
        <v>0</v>
      </c>
      <c r="AI42">
        <f t="shared" si="4"/>
        <v>0</v>
      </c>
      <c r="AJ42">
        <f t="shared" si="4"/>
        <v>0</v>
      </c>
      <c r="AK42">
        <f t="shared" si="4"/>
        <v>0</v>
      </c>
      <c r="AL42">
        <f t="shared" si="4"/>
        <v>0</v>
      </c>
      <c r="AM42">
        <f t="shared" si="4"/>
        <v>0</v>
      </c>
      <c r="AN42">
        <f t="shared" si="4"/>
        <v>0</v>
      </c>
      <c r="AO42">
        <f t="shared" si="4"/>
        <v>0</v>
      </c>
      <c r="AP42">
        <f t="shared" si="4"/>
        <v>0</v>
      </c>
      <c r="AQ42">
        <f t="shared" si="3"/>
        <v>0</v>
      </c>
    </row>
    <row r="43" spans="1:43" x14ac:dyDescent="0.25">
      <c r="A43" t="s">
        <v>22</v>
      </c>
      <c r="B43">
        <f>SUM(B2:B42)</f>
        <v>10303.558696170863</v>
      </c>
      <c r="C43" t="s">
        <v>21</v>
      </c>
      <c r="E43">
        <f t="shared" ref="E43:S43" si="6">SUM(E15:E42)</f>
        <v>13</v>
      </c>
      <c r="F43">
        <f t="shared" si="6"/>
        <v>24</v>
      </c>
      <c r="G43">
        <f t="shared" si="6"/>
        <v>86</v>
      </c>
      <c r="H43">
        <f t="shared" si="6"/>
        <v>128</v>
      </c>
      <c r="I43">
        <f t="shared" si="6"/>
        <v>158</v>
      </c>
      <c r="J43">
        <f t="shared" si="6"/>
        <v>74</v>
      </c>
      <c r="K43">
        <f t="shared" si="6"/>
        <v>36</v>
      </c>
      <c r="L43">
        <f t="shared" si="6"/>
        <v>23</v>
      </c>
      <c r="M43">
        <f t="shared" si="6"/>
        <v>12</v>
      </c>
      <c r="N43">
        <f t="shared" si="6"/>
        <v>9</v>
      </c>
      <c r="O43">
        <f t="shared" si="6"/>
        <v>4</v>
      </c>
      <c r="P43">
        <f t="shared" si="6"/>
        <v>1</v>
      </c>
      <c r="Q43">
        <f t="shared" si="6"/>
        <v>7</v>
      </c>
      <c r="R43">
        <f t="shared" si="6"/>
        <v>5</v>
      </c>
      <c r="S43">
        <f t="shared" si="6"/>
        <v>6</v>
      </c>
      <c r="V43">
        <f>SUM(V15:V42)</f>
        <v>1</v>
      </c>
      <c r="W43" s="1">
        <f>SUM(W15:W42)</f>
        <v>587</v>
      </c>
      <c r="X43">
        <f>SUM(X15:X42)</f>
        <v>0</v>
      </c>
      <c r="Y43">
        <f t="shared" ref="Y43:AP43" si="7">SUM(Y15:Y42)</f>
        <v>71.357056073409538</v>
      </c>
      <c r="Z43">
        <f t="shared" si="7"/>
        <v>239.21302553342821</v>
      </c>
      <c r="AA43">
        <f t="shared" si="7"/>
        <v>1743.5098511764345</v>
      </c>
      <c r="AB43">
        <f t="shared" si="7"/>
        <v>2746.5249415949929</v>
      </c>
      <c r="AC43">
        <f t="shared" si="7"/>
        <v>2850.9544904732743</v>
      </c>
      <c r="AD43">
        <f t="shared" si="7"/>
        <v>1191.049157797509</v>
      </c>
      <c r="AE43">
        <f t="shared" si="7"/>
        <v>537.79698158332201</v>
      </c>
      <c r="AF43">
        <f t="shared" si="7"/>
        <v>339.18409769344424</v>
      </c>
      <c r="AG43">
        <f t="shared" si="7"/>
        <v>172.69193936045681</v>
      </c>
      <c r="AH43">
        <f t="shared" si="7"/>
        <v>155.72778453526684</v>
      </c>
      <c r="AI43">
        <f t="shared" si="7"/>
        <v>80.908348981046885</v>
      </c>
      <c r="AJ43">
        <f t="shared" si="7"/>
        <v>19.819344536534604</v>
      </c>
      <c r="AK43">
        <f t="shared" si="7"/>
        <v>59.144719415369686</v>
      </c>
      <c r="AL43">
        <f t="shared" si="7"/>
        <v>63.166969874277626</v>
      </c>
      <c r="AM43">
        <f t="shared" si="7"/>
        <v>32.509987542097221</v>
      </c>
      <c r="AN43">
        <f t="shared" si="7"/>
        <v>0</v>
      </c>
      <c r="AO43">
        <f t="shared" si="7"/>
        <v>0</v>
      </c>
      <c r="AP43">
        <f t="shared" si="7"/>
        <v>0</v>
      </c>
      <c r="AQ43">
        <f t="shared" si="3"/>
        <v>10303.558696170861</v>
      </c>
    </row>
    <row r="44" spans="1:43" s="16" customFormat="1" x14ac:dyDescent="0.25"/>
  </sheetData>
  <mergeCells count="1">
    <mergeCell ref="C13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Q44"/>
  <sheetViews>
    <sheetView topLeftCell="A6" zoomScale="80" zoomScaleNormal="80" workbookViewId="0">
      <selection activeCell="B1" sqref="B1:B1048576"/>
    </sheetView>
  </sheetViews>
  <sheetFormatPr defaultRowHeight="15" x14ac:dyDescent="0.25"/>
  <cols>
    <col min="3" max="22" width="5.7109375" customWidth="1"/>
  </cols>
  <sheetData>
    <row r="2" spans="1:43" x14ac:dyDescent="0.25">
      <c r="A2">
        <v>15</v>
      </c>
      <c r="B2">
        <v>0</v>
      </c>
    </row>
    <row r="3" spans="1:43" x14ac:dyDescent="0.25">
      <c r="A3">
        <v>16</v>
      </c>
      <c r="B3">
        <v>0</v>
      </c>
    </row>
    <row r="4" spans="1:43" x14ac:dyDescent="0.25">
      <c r="A4">
        <v>17</v>
      </c>
      <c r="B4">
        <v>0</v>
      </c>
    </row>
    <row r="5" spans="1:43" x14ac:dyDescent="0.25">
      <c r="A5">
        <v>18</v>
      </c>
      <c r="B5">
        <v>0</v>
      </c>
    </row>
    <row r="6" spans="1:43" x14ac:dyDescent="0.25">
      <c r="A6">
        <v>19</v>
      </c>
      <c r="B6">
        <v>0</v>
      </c>
    </row>
    <row r="7" spans="1:43" x14ac:dyDescent="0.25">
      <c r="A7">
        <v>20</v>
      </c>
      <c r="B7">
        <v>0</v>
      </c>
    </row>
    <row r="8" spans="1:43" x14ac:dyDescent="0.25">
      <c r="A8">
        <v>21</v>
      </c>
      <c r="B8">
        <v>0</v>
      </c>
    </row>
    <row r="9" spans="1:43" x14ac:dyDescent="0.25">
      <c r="A9">
        <v>22</v>
      </c>
      <c r="B9">
        <v>0</v>
      </c>
    </row>
    <row r="10" spans="1:43" x14ac:dyDescent="0.25">
      <c r="A10">
        <v>23</v>
      </c>
      <c r="B10">
        <v>0</v>
      </c>
    </row>
    <row r="11" spans="1:43" x14ac:dyDescent="0.25">
      <c r="A11">
        <v>24</v>
      </c>
      <c r="B11">
        <v>0</v>
      </c>
    </row>
    <row r="12" spans="1:43" x14ac:dyDescent="0.25">
      <c r="A12">
        <v>25</v>
      </c>
      <c r="B12">
        <v>0</v>
      </c>
    </row>
    <row r="13" spans="1:43" ht="15.75" thickBot="1" x14ac:dyDescent="0.3">
      <c r="A13">
        <v>26</v>
      </c>
      <c r="B13">
        <v>0</v>
      </c>
      <c r="C13" s="1" t="s">
        <v>24</v>
      </c>
    </row>
    <row r="14" spans="1:43" ht="15.75" thickBot="1" x14ac:dyDescent="0.3">
      <c r="A14">
        <v>27</v>
      </c>
      <c r="B14">
        <v>0</v>
      </c>
      <c r="C14" s="2" t="s">
        <v>1</v>
      </c>
      <c r="D14" s="26" t="s">
        <v>2</v>
      </c>
      <c r="E14" s="27" t="s">
        <v>3</v>
      </c>
      <c r="F14" s="27" t="s">
        <v>4</v>
      </c>
      <c r="G14" s="27" t="s">
        <v>5</v>
      </c>
      <c r="H14" s="27" t="s">
        <v>6</v>
      </c>
      <c r="I14" s="27" t="s">
        <v>7</v>
      </c>
      <c r="J14" s="27" t="s">
        <v>8</v>
      </c>
      <c r="K14" s="27" t="s">
        <v>9</v>
      </c>
      <c r="L14" s="27" t="s">
        <v>10</v>
      </c>
      <c r="M14" s="27" t="s">
        <v>11</v>
      </c>
      <c r="N14" s="28" t="s">
        <v>12</v>
      </c>
      <c r="O14" s="4" t="s">
        <v>13</v>
      </c>
      <c r="P14" s="4" t="s">
        <v>14</v>
      </c>
      <c r="Q14" s="4" t="s">
        <v>15</v>
      </c>
      <c r="R14" s="4" t="s">
        <v>16</v>
      </c>
      <c r="S14" s="4" t="s">
        <v>17</v>
      </c>
      <c r="T14" s="5" t="s">
        <v>18</v>
      </c>
      <c r="U14" s="4" t="s">
        <v>19</v>
      </c>
      <c r="V14" s="5" t="s">
        <v>20</v>
      </c>
      <c r="W14" s="20" t="s">
        <v>21</v>
      </c>
      <c r="X14" s="3" t="s">
        <v>2</v>
      </c>
      <c r="Y14" s="4" t="s">
        <v>3</v>
      </c>
      <c r="Z14" s="4" t="s">
        <v>4</v>
      </c>
      <c r="AA14" s="4" t="s">
        <v>5</v>
      </c>
      <c r="AB14" s="4" t="s">
        <v>6</v>
      </c>
      <c r="AC14" s="4" t="s">
        <v>7</v>
      </c>
      <c r="AD14" s="4" t="s">
        <v>8</v>
      </c>
      <c r="AE14" s="4" t="s">
        <v>9</v>
      </c>
      <c r="AF14" s="4" t="s">
        <v>10</v>
      </c>
      <c r="AG14" s="4" t="s">
        <v>11</v>
      </c>
      <c r="AH14" s="4" t="s">
        <v>12</v>
      </c>
      <c r="AI14" s="4" t="s">
        <v>13</v>
      </c>
      <c r="AJ14" s="4" t="s">
        <v>14</v>
      </c>
      <c r="AK14" s="4" t="s">
        <v>15</v>
      </c>
      <c r="AL14" s="4" t="s">
        <v>16</v>
      </c>
      <c r="AM14" s="4" t="s">
        <v>17</v>
      </c>
      <c r="AN14" s="4" t="s">
        <v>18</v>
      </c>
      <c r="AO14" s="4" t="s">
        <v>19</v>
      </c>
      <c r="AP14" s="5" t="s">
        <v>20</v>
      </c>
    </row>
    <row r="15" spans="1:43" x14ac:dyDescent="0.25">
      <c r="A15">
        <v>28</v>
      </c>
      <c r="B15">
        <v>6.612063557145115</v>
      </c>
      <c r="C15" s="7">
        <v>28</v>
      </c>
      <c r="D15" s="8"/>
      <c r="E15" s="22">
        <v>3</v>
      </c>
      <c r="F15" s="10"/>
      <c r="G15" s="22">
        <v>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>
        <f t="shared" ref="W15:W39" si="0">SUM(E15:V15)</f>
        <v>4</v>
      </c>
      <c r="X15">
        <f>D15/$W15*$B15</f>
        <v>0</v>
      </c>
      <c r="Y15">
        <f t="shared" ref="Y15:AN29" si="1">E15/$W15*$B15</f>
        <v>4.9590476678588367</v>
      </c>
      <c r="Z15">
        <f t="shared" si="1"/>
        <v>0</v>
      </c>
      <c r="AA15">
        <f t="shared" si="1"/>
        <v>1.6530158892862787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  <c r="AJ15">
        <f t="shared" si="1"/>
        <v>0</v>
      </c>
      <c r="AK15">
        <f t="shared" si="1"/>
        <v>0</v>
      </c>
      <c r="AL15">
        <f t="shared" si="1"/>
        <v>0</v>
      </c>
      <c r="AM15">
        <f t="shared" si="1"/>
        <v>0</v>
      </c>
      <c r="AN15">
        <f t="shared" si="1"/>
        <v>0</v>
      </c>
      <c r="AO15">
        <f t="shared" ref="AB15:AP30" si="2">U15/$W15*$B15</f>
        <v>0</v>
      </c>
      <c r="AP15">
        <f t="shared" si="2"/>
        <v>0</v>
      </c>
      <c r="AQ15">
        <f>SUM(X15:AP15)</f>
        <v>6.612063557145115</v>
      </c>
    </row>
    <row r="16" spans="1:43" x14ac:dyDescent="0.25">
      <c r="A16">
        <v>29</v>
      </c>
      <c r="B16">
        <v>22.85628260354094</v>
      </c>
      <c r="C16" s="11">
        <v>29</v>
      </c>
      <c r="D16" s="12"/>
      <c r="E16" s="24">
        <v>2</v>
      </c>
      <c r="F16" s="24">
        <v>5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>
        <f t="shared" si="0"/>
        <v>7</v>
      </c>
      <c r="X16">
        <f t="shared" ref="X16:AM42" si="3">D16/$W16*$B16</f>
        <v>0</v>
      </c>
      <c r="Y16">
        <f t="shared" si="1"/>
        <v>6.5303664581545542</v>
      </c>
      <c r="Z16">
        <f t="shared" si="1"/>
        <v>16.325916145386387</v>
      </c>
      <c r="AA16">
        <f t="shared" si="1"/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  <c r="AF16">
        <f t="shared" si="1"/>
        <v>0</v>
      </c>
      <c r="AG16">
        <f t="shared" si="1"/>
        <v>0</v>
      </c>
      <c r="AH16">
        <f t="shared" si="1"/>
        <v>0</v>
      </c>
      <c r="AI16">
        <f t="shared" si="1"/>
        <v>0</v>
      </c>
      <c r="AJ16">
        <f t="shared" si="1"/>
        <v>0</v>
      </c>
      <c r="AK16">
        <f t="shared" si="1"/>
        <v>0</v>
      </c>
      <c r="AL16">
        <f t="shared" si="1"/>
        <v>0</v>
      </c>
      <c r="AM16">
        <f t="shared" si="1"/>
        <v>0</v>
      </c>
      <c r="AN16">
        <f t="shared" si="1"/>
        <v>0</v>
      </c>
      <c r="AO16">
        <f t="shared" si="2"/>
        <v>0</v>
      </c>
      <c r="AP16">
        <f t="shared" si="2"/>
        <v>0</v>
      </c>
      <c r="AQ16">
        <f t="shared" ref="AQ16:AQ43" si="4">SUM(X16:AP16)</f>
        <v>22.85628260354094</v>
      </c>
    </row>
    <row r="17" spans="1:43" x14ac:dyDescent="0.25">
      <c r="A17">
        <v>30</v>
      </c>
      <c r="B17">
        <v>42.758641173332272</v>
      </c>
      <c r="C17" s="11">
        <v>30</v>
      </c>
      <c r="D17" s="12"/>
      <c r="E17" s="24">
        <v>3</v>
      </c>
      <c r="F17" s="24">
        <v>6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>
        <f t="shared" si="0"/>
        <v>9</v>
      </c>
      <c r="X17">
        <f t="shared" si="3"/>
        <v>0</v>
      </c>
      <c r="Y17">
        <f t="shared" si="1"/>
        <v>14.252880391110757</v>
      </c>
      <c r="Z17">
        <f t="shared" si="1"/>
        <v>28.505760782221515</v>
      </c>
      <c r="AA17">
        <f t="shared" si="1"/>
        <v>0</v>
      </c>
      <c r="AB17">
        <f t="shared" si="1"/>
        <v>0</v>
      </c>
      <c r="AC17">
        <f t="shared" si="1"/>
        <v>0</v>
      </c>
      <c r="AD17">
        <f t="shared" si="1"/>
        <v>0</v>
      </c>
      <c r="AE17">
        <f t="shared" si="1"/>
        <v>0</v>
      </c>
      <c r="AF17">
        <f t="shared" si="1"/>
        <v>0</v>
      </c>
      <c r="AG17">
        <f t="shared" si="1"/>
        <v>0</v>
      </c>
      <c r="AH17">
        <f t="shared" si="1"/>
        <v>0</v>
      </c>
      <c r="AI17">
        <f t="shared" si="1"/>
        <v>0</v>
      </c>
      <c r="AJ17">
        <f t="shared" si="1"/>
        <v>0</v>
      </c>
      <c r="AK17">
        <f t="shared" si="1"/>
        <v>0</v>
      </c>
      <c r="AL17">
        <f t="shared" si="1"/>
        <v>0</v>
      </c>
      <c r="AM17">
        <f t="shared" si="1"/>
        <v>0</v>
      </c>
      <c r="AN17">
        <f t="shared" si="1"/>
        <v>0</v>
      </c>
      <c r="AO17">
        <f t="shared" si="2"/>
        <v>0</v>
      </c>
      <c r="AP17">
        <f t="shared" si="2"/>
        <v>0</v>
      </c>
      <c r="AQ17">
        <f t="shared" si="4"/>
        <v>42.758641173332272</v>
      </c>
    </row>
    <row r="18" spans="1:43" x14ac:dyDescent="0.25">
      <c r="A18">
        <v>31</v>
      </c>
      <c r="B18">
        <v>13.994510502292126</v>
      </c>
      <c r="C18" s="11">
        <v>31</v>
      </c>
      <c r="D18" s="12"/>
      <c r="E18" s="24">
        <v>1</v>
      </c>
      <c r="F18" s="24">
        <v>2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>
        <f t="shared" si="0"/>
        <v>3</v>
      </c>
      <c r="X18">
        <f t="shared" si="3"/>
        <v>0</v>
      </c>
      <c r="Y18">
        <f t="shared" si="1"/>
        <v>4.6648368340973754</v>
      </c>
      <c r="Z18">
        <f t="shared" si="1"/>
        <v>9.3296736681947507</v>
      </c>
      <c r="AA18">
        <f t="shared" si="1"/>
        <v>0</v>
      </c>
      <c r="AB18">
        <f t="shared" si="1"/>
        <v>0</v>
      </c>
      <c r="AC18">
        <f t="shared" si="1"/>
        <v>0</v>
      </c>
      <c r="AD18">
        <f t="shared" si="1"/>
        <v>0</v>
      </c>
      <c r="AE18">
        <f t="shared" si="1"/>
        <v>0</v>
      </c>
      <c r="AF18">
        <f t="shared" si="1"/>
        <v>0</v>
      </c>
      <c r="AG18">
        <f t="shared" si="1"/>
        <v>0</v>
      </c>
      <c r="AH18">
        <f t="shared" si="1"/>
        <v>0</v>
      </c>
      <c r="AI18">
        <f t="shared" si="1"/>
        <v>0</v>
      </c>
      <c r="AJ18">
        <f t="shared" si="1"/>
        <v>0</v>
      </c>
      <c r="AK18">
        <f t="shared" si="1"/>
        <v>0</v>
      </c>
      <c r="AL18">
        <f t="shared" si="1"/>
        <v>0</v>
      </c>
      <c r="AM18">
        <f t="shared" si="1"/>
        <v>0</v>
      </c>
      <c r="AN18">
        <f t="shared" si="1"/>
        <v>0</v>
      </c>
      <c r="AO18">
        <f t="shared" si="2"/>
        <v>0</v>
      </c>
      <c r="AP18">
        <f t="shared" si="2"/>
        <v>0</v>
      </c>
      <c r="AQ18">
        <f t="shared" si="4"/>
        <v>13.994510502292126</v>
      </c>
    </row>
    <row r="19" spans="1:43" x14ac:dyDescent="0.25">
      <c r="A19">
        <v>32</v>
      </c>
      <c r="B19">
        <v>17.617990650358308</v>
      </c>
      <c r="C19" s="11">
        <v>32</v>
      </c>
      <c r="D19" s="12"/>
      <c r="E19" s="14"/>
      <c r="F19" s="24">
        <v>1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>
        <f t="shared" si="0"/>
        <v>1</v>
      </c>
      <c r="X19">
        <f t="shared" si="3"/>
        <v>0</v>
      </c>
      <c r="Y19">
        <f t="shared" si="1"/>
        <v>0</v>
      </c>
      <c r="Z19">
        <f t="shared" si="1"/>
        <v>17.617990650358308</v>
      </c>
      <c r="AA19">
        <f t="shared" si="1"/>
        <v>0</v>
      </c>
      <c r="AB19">
        <f t="shared" si="1"/>
        <v>0</v>
      </c>
      <c r="AC19">
        <f t="shared" si="1"/>
        <v>0</v>
      </c>
      <c r="AD19">
        <f t="shared" si="1"/>
        <v>0</v>
      </c>
      <c r="AE19">
        <f t="shared" si="1"/>
        <v>0</v>
      </c>
      <c r="AF19">
        <f t="shared" si="1"/>
        <v>0</v>
      </c>
      <c r="AG19">
        <f t="shared" si="1"/>
        <v>0</v>
      </c>
      <c r="AH19">
        <f t="shared" si="1"/>
        <v>0</v>
      </c>
      <c r="AI19">
        <f t="shared" si="1"/>
        <v>0</v>
      </c>
      <c r="AJ19">
        <f t="shared" si="1"/>
        <v>0</v>
      </c>
      <c r="AK19">
        <f t="shared" si="1"/>
        <v>0</v>
      </c>
      <c r="AL19">
        <f t="shared" si="1"/>
        <v>0</v>
      </c>
      <c r="AM19">
        <f t="shared" si="1"/>
        <v>0</v>
      </c>
      <c r="AN19">
        <f t="shared" si="1"/>
        <v>0</v>
      </c>
      <c r="AO19">
        <f t="shared" si="2"/>
        <v>0</v>
      </c>
      <c r="AP19">
        <f t="shared" si="2"/>
        <v>0</v>
      </c>
      <c r="AQ19">
        <f t="shared" si="4"/>
        <v>17.617990650358308</v>
      </c>
    </row>
    <row r="20" spans="1:43" x14ac:dyDescent="0.25">
      <c r="A20">
        <v>33</v>
      </c>
      <c r="B20">
        <v>270.93076152321112</v>
      </c>
      <c r="C20" s="11">
        <v>33</v>
      </c>
      <c r="D20" s="12"/>
      <c r="E20" s="14"/>
      <c r="F20" s="24">
        <v>2</v>
      </c>
      <c r="G20" s="24">
        <v>12</v>
      </c>
      <c r="H20" s="14"/>
      <c r="I20" s="24">
        <v>2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>
        <f t="shared" si="0"/>
        <v>16</v>
      </c>
      <c r="X20">
        <f t="shared" si="3"/>
        <v>0</v>
      </c>
      <c r="Y20">
        <f t="shared" si="1"/>
        <v>0</v>
      </c>
      <c r="Z20">
        <f t="shared" si="1"/>
        <v>33.86634519040139</v>
      </c>
      <c r="AA20">
        <f t="shared" si="1"/>
        <v>203.19807114240834</v>
      </c>
      <c r="AB20">
        <f t="shared" si="1"/>
        <v>0</v>
      </c>
      <c r="AC20">
        <f t="shared" si="1"/>
        <v>33.86634519040139</v>
      </c>
      <c r="AD20">
        <f t="shared" si="1"/>
        <v>0</v>
      </c>
      <c r="AE20">
        <f t="shared" si="1"/>
        <v>0</v>
      </c>
      <c r="AF20">
        <f t="shared" si="1"/>
        <v>0</v>
      </c>
      <c r="AG20">
        <f t="shared" si="1"/>
        <v>0</v>
      </c>
      <c r="AH20">
        <f t="shared" si="1"/>
        <v>0</v>
      </c>
      <c r="AI20">
        <f t="shared" si="1"/>
        <v>0</v>
      </c>
      <c r="AJ20">
        <f t="shared" si="1"/>
        <v>0</v>
      </c>
      <c r="AK20">
        <f t="shared" si="1"/>
        <v>0</v>
      </c>
      <c r="AL20">
        <f t="shared" si="1"/>
        <v>0</v>
      </c>
      <c r="AM20">
        <f t="shared" si="1"/>
        <v>0</v>
      </c>
      <c r="AN20">
        <f t="shared" si="1"/>
        <v>0</v>
      </c>
      <c r="AO20">
        <f t="shared" si="2"/>
        <v>0</v>
      </c>
      <c r="AP20">
        <f t="shared" si="2"/>
        <v>0</v>
      </c>
      <c r="AQ20">
        <f t="shared" si="4"/>
        <v>270.93076152321112</v>
      </c>
    </row>
    <row r="21" spans="1:43" x14ac:dyDescent="0.25">
      <c r="A21">
        <v>34</v>
      </c>
      <c r="B21">
        <v>678.97873812770047</v>
      </c>
      <c r="C21" s="11">
        <v>34</v>
      </c>
      <c r="D21" s="12"/>
      <c r="E21" s="14"/>
      <c r="F21" s="24">
        <v>2</v>
      </c>
      <c r="G21" s="24">
        <v>35</v>
      </c>
      <c r="H21" s="24">
        <v>3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>
        <f t="shared" si="0"/>
        <v>40</v>
      </c>
      <c r="X21">
        <f t="shared" si="3"/>
        <v>0</v>
      </c>
      <c r="Y21">
        <f t="shared" si="1"/>
        <v>0</v>
      </c>
      <c r="Z21">
        <f t="shared" si="1"/>
        <v>33.948936906385022</v>
      </c>
      <c r="AA21">
        <f t="shared" si="1"/>
        <v>594.10639586173795</v>
      </c>
      <c r="AB21">
        <f t="shared" si="1"/>
        <v>50.923405359577536</v>
      </c>
      <c r="AC21">
        <f t="shared" si="1"/>
        <v>0</v>
      </c>
      <c r="AD21">
        <f t="shared" si="1"/>
        <v>0</v>
      </c>
      <c r="AE21">
        <f t="shared" si="1"/>
        <v>0</v>
      </c>
      <c r="AF21">
        <f t="shared" si="1"/>
        <v>0</v>
      </c>
      <c r="AG21">
        <f t="shared" si="1"/>
        <v>0</v>
      </c>
      <c r="AH21">
        <f t="shared" si="1"/>
        <v>0</v>
      </c>
      <c r="AI21">
        <f t="shared" si="1"/>
        <v>0</v>
      </c>
      <c r="AJ21">
        <f t="shared" si="1"/>
        <v>0</v>
      </c>
      <c r="AK21">
        <f t="shared" si="1"/>
        <v>0</v>
      </c>
      <c r="AL21">
        <f t="shared" si="1"/>
        <v>0</v>
      </c>
      <c r="AM21">
        <f t="shared" si="1"/>
        <v>0</v>
      </c>
      <c r="AN21">
        <f t="shared" si="1"/>
        <v>0</v>
      </c>
      <c r="AO21">
        <f t="shared" si="2"/>
        <v>0</v>
      </c>
      <c r="AP21">
        <f t="shared" si="2"/>
        <v>0</v>
      </c>
      <c r="AQ21">
        <f t="shared" si="4"/>
        <v>678.97873812770047</v>
      </c>
    </row>
    <row r="22" spans="1:43" x14ac:dyDescent="0.25">
      <c r="A22">
        <v>35</v>
      </c>
      <c r="B22">
        <v>908.31509840341448</v>
      </c>
      <c r="C22" s="11">
        <v>35</v>
      </c>
      <c r="D22" s="12"/>
      <c r="E22" s="14"/>
      <c r="F22" s="14"/>
      <c r="G22" s="24">
        <v>25</v>
      </c>
      <c r="H22" s="24">
        <v>30</v>
      </c>
      <c r="I22" s="24">
        <v>5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>
        <f t="shared" si="0"/>
        <v>60</v>
      </c>
      <c r="X22">
        <f t="shared" si="3"/>
        <v>0</v>
      </c>
      <c r="Y22">
        <f t="shared" si="1"/>
        <v>0</v>
      </c>
      <c r="Z22">
        <f t="shared" si="1"/>
        <v>0</v>
      </c>
      <c r="AA22">
        <f t="shared" si="1"/>
        <v>378.46462433475602</v>
      </c>
      <c r="AB22">
        <f t="shared" si="1"/>
        <v>454.15754920170724</v>
      </c>
      <c r="AC22">
        <f t="shared" si="1"/>
        <v>75.692924866951202</v>
      </c>
      <c r="AD22">
        <f t="shared" si="1"/>
        <v>0</v>
      </c>
      <c r="AE22">
        <f t="shared" si="1"/>
        <v>0</v>
      </c>
      <c r="AF22">
        <f t="shared" si="1"/>
        <v>0</v>
      </c>
      <c r="AG22">
        <f t="shared" si="1"/>
        <v>0</v>
      </c>
      <c r="AH22">
        <f t="shared" si="1"/>
        <v>0</v>
      </c>
      <c r="AI22">
        <f t="shared" si="1"/>
        <v>0</v>
      </c>
      <c r="AJ22">
        <f t="shared" si="1"/>
        <v>0</v>
      </c>
      <c r="AK22">
        <f t="shared" si="1"/>
        <v>0</v>
      </c>
      <c r="AL22">
        <f t="shared" si="1"/>
        <v>0</v>
      </c>
      <c r="AM22">
        <f t="shared" si="1"/>
        <v>0</v>
      </c>
      <c r="AN22">
        <f t="shared" si="1"/>
        <v>0</v>
      </c>
      <c r="AO22">
        <f t="shared" si="2"/>
        <v>0</v>
      </c>
      <c r="AP22">
        <f t="shared" si="2"/>
        <v>0</v>
      </c>
      <c r="AQ22">
        <f t="shared" si="4"/>
        <v>908.31509840341448</v>
      </c>
    </row>
    <row r="23" spans="1:43" x14ac:dyDescent="0.25">
      <c r="A23">
        <v>36</v>
      </c>
      <c r="B23">
        <v>1174.5132797680208</v>
      </c>
      <c r="C23" s="11">
        <v>36</v>
      </c>
      <c r="D23" s="12"/>
      <c r="E23" s="14"/>
      <c r="F23" s="14"/>
      <c r="G23" s="24">
        <v>6</v>
      </c>
      <c r="H23" s="24">
        <v>46</v>
      </c>
      <c r="I23" s="24">
        <v>10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>
        <f t="shared" si="0"/>
        <v>62</v>
      </c>
      <c r="X23">
        <f t="shared" si="3"/>
        <v>0</v>
      </c>
      <c r="Y23">
        <f t="shared" si="1"/>
        <v>0</v>
      </c>
      <c r="Z23">
        <f t="shared" si="1"/>
        <v>0</v>
      </c>
      <c r="AA23">
        <f t="shared" si="1"/>
        <v>113.66257546142135</v>
      </c>
      <c r="AB23">
        <f t="shared" si="1"/>
        <v>871.41307853756382</v>
      </c>
      <c r="AC23">
        <f t="shared" si="1"/>
        <v>189.43762576903561</v>
      </c>
      <c r="AD23">
        <f t="shared" si="1"/>
        <v>0</v>
      </c>
      <c r="AE23">
        <f t="shared" si="1"/>
        <v>0</v>
      </c>
      <c r="AF23">
        <f t="shared" si="1"/>
        <v>0</v>
      </c>
      <c r="AG23">
        <f t="shared" si="1"/>
        <v>0</v>
      </c>
      <c r="AH23">
        <f t="shared" si="1"/>
        <v>0</v>
      </c>
      <c r="AI23">
        <f t="shared" si="1"/>
        <v>0</v>
      </c>
      <c r="AJ23">
        <f t="shared" si="1"/>
        <v>0</v>
      </c>
      <c r="AK23">
        <f t="shared" si="1"/>
        <v>0</v>
      </c>
      <c r="AL23">
        <f t="shared" si="1"/>
        <v>0</v>
      </c>
      <c r="AM23">
        <f t="shared" si="1"/>
        <v>0</v>
      </c>
      <c r="AN23">
        <f t="shared" si="1"/>
        <v>0</v>
      </c>
      <c r="AO23">
        <f t="shared" si="2"/>
        <v>0</v>
      </c>
      <c r="AP23">
        <f t="shared" si="2"/>
        <v>0</v>
      </c>
      <c r="AQ23">
        <f t="shared" si="4"/>
        <v>1174.5132797680208</v>
      </c>
    </row>
    <row r="24" spans="1:43" x14ac:dyDescent="0.25">
      <c r="A24">
        <v>37</v>
      </c>
      <c r="B24">
        <v>1052.958124209611</v>
      </c>
      <c r="C24" s="11">
        <v>37</v>
      </c>
      <c r="D24" s="12"/>
      <c r="E24" s="14"/>
      <c r="F24" s="14"/>
      <c r="G24" s="24">
        <v>2</v>
      </c>
      <c r="H24" s="24">
        <v>35</v>
      </c>
      <c r="I24" s="24">
        <v>23</v>
      </c>
      <c r="J24" s="24">
        <v>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>
        <f t="shared" si="0"/>
        <v>61</v>
      </c>
      <c r="X24">
        <f t="shared" si="3"/>
        <v>0</v>
      </c>
      <c r="Y24">
        <f t="shared" si="1"/>
        <v>0</v>
      </c>
      <c r="Z24">
        <f t="shared" si="1"/>
        <v>0</v>
      </c>
      <c r="AA24">
        <f t="shared" si="1"/>
        <v>34.523217187200366</v>
      </c>
      <c r="AB24">
        <f t="shared" si="1"/>
        <v>604.15630077600633</v>
      </c>
      <c r="AC24">
        <f t="shared" si="1"/>
        <v>397.01699765280415</v>
      </c>
      <c r="AD24">
        <f t="shared" si="1"/>
        <v>17.261608593600183</v>
      </c>
      <c r="AE24">
        <f t="shared" si="1"/>
        <v>0</v>
      </c>
      <c r="AF24">
        <f t="shared" si="1"/>
        <v>0</v>
      </c>
      <c r="AG24">
        <f t="shared" si="1"/>
        <v>0</v>
      </c>
      <c r="AH24">
        <f t="shared" si="1"/>
        <v>0</v>
      </c>
      <c r="AI24">
        <f t="shared" si="1"/>
        <v>0</v>
      </c>
      <c r="AJ24">
        <f t="shared" si="1"/>
        <v>0</v>
      </c>
      <c r="AK24">
        <f t="shared" si="1"/>
        <v>0</v>
      </c>
      <c r="AL24">
        <f t="shared" si="1"/>
        <v>0</v>
      </c>
      <c r="AM24">
        <f t="shared" si="1"/>
        <v>0</v>
      </c>
      <c r="AN24">
        <f t="shared" si="1"/>
        <v>0</v>
      </c>
      <c r="AO24">
        <f t="shared" si="2"/>
        <v>0</v>
      </c>
      <c r="AP24">
        <f t="shared" si="2"/>
        <v>0</v>
      </c>
      <c r="AQ24">
        <f t="shared" si="4"/>
        <v>1052.958124209611</v>
      </c>
    </row>
    <row r="25" spans="1:43" x14ac:dyDescent="0.25">
      <c r="A25">
        <v>38</v>
      </c>
      <c r="B25">
        <v>729.46326914717042</v>
      </c>
      <c r="C25" s="11">
        <v>38</v>
      </c>
      <c r="D25" s="12"/>
      <c r="E25" s="14"/>
      <c r="F25" s="14"/>
      <c r="G25" s="24">
        <v>1</v>
      </c>
      <c r="H25" s="24">
        <v>12</v>
      </c>
      <c r="I25" s="24">
        <v>27</v>
      </c>
      <c r="J25" s="24">
        <v>2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>
        <f t="shared" si="0"/>
        <v>42</v>
      </c>
      <c r="X25">
        <f t="shared" si="3"/>
        <v>0</v>
      </c>
      <c r="Y25">
        <f t="shared" si="1"/>
        <v>0</v>
      </c>
      <c r="Z25">
        <f t="shared" si="1"/>
        <v>0</v>
      </c>
      <c r="AA25">
        <f t="shared" si="1"/>
        <v>17.368173074932628</v>
      </c>
      <c r="AB25">
        <f t="shared" si="1"/>
        <v>208.41807689919153</v>
      </c>
      <c r="AC25">
        <f t="shared" si="1"/>
        <v>468.94067302318103</v>
      </c>
      <c r="AD25">
        <f t="shared" si="1"/>
        <v>34.736346149865255</v>
      </c>
      <c r="AE25">
        <f t="shared" si="1"/>
        <v>0</v>
      </c>
      <c r="AF25">
        <f t="shared" si="1"/>
        <v>0</v>
      </c>
      <c r="AG25">
        <f t="shared" si="1"/>
        <v>0</v>
      </c>
      <c r="AH25">
        <f t="shared" si="1"/>
        <v>0</v>
      </c>
      <c r="AI25">
        <f t="shared" si="1"/>
        <v>0</v>
      </c>
      <c r="AJ25">
        <f t="shared" si="1"/>
        <v>0</v>
      </c>
      <c r="AK25">
        <f t="shared" si="1"/>
        <v>0</v>
      </c>
      <c r="AL25">
        <f t="shared" si="1"/>
        <v>0</v>
      </c>
      <c r="AM25">
        <f t="shared" si="1"/>
        <v>0</v>
      </c>
      <c r="AN25">
        <f t="shared" si="1"/>
        <v>0</v>
      </c>
      <c r="AO25">
        <f t="shared" si="2"/>
        <v>0</v>
      </c>
      <c r="AP25">
        <f t="shared" si="2"/>
        <v>0</v>
      </c>
      <c r="AQ25">
        <f t="shared" si="4"/>
        <v>729.46326914717042</v>
      </c>
    </row>
    <row r="26" spans="1:43" x14ac:dyDescent="0.25">
      <c r="A26">
        <v>39</v>
      </c>
      <c r="B26">
        <v>455.36432563362837</v>
      </c>
      <c r="C26" s="11">
        <v>39</v>
      </c>
      <c r="D26" s="12"/>
      <c r="E26" s="14"/>
      <c r="F26" s="14"/>
      <c r="G26" s="14"/>
      <c r="H26" s="14"/>
      <c r="I26" s="24">
        <v>17</v>
      </c>
      <c r="J26" s="24">
        <v>14</v>
      </c>
      <c r="K26" s="24">
        <v>1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>
        <f t="shared" si="0"/>
        <v>32</v>
      </c>
      <c r="X26">
        <f t="shared" si="3"/>
        <v>0</v>
      </c>
      <c r="Y26">
        <f t="shared" si="1"/>
        <v>0</v>
      </c>
      <c r="Z26">
        <f t="shared" si="1"/>
        <v>0</v>
      </c>
      <c r="AA26">
        <f t="shared" si="1"/>
        <v>0</v>
      </c>
      <c r="AB26">
        <f t="shared" si="1"/>
        <v>0</v>
      </c>
      <c r="AC26">
        <f t="shared" si="1"/>
        <v>241.91229799286506</v>
      </c>
      <c r="AD26">
        <f t="shared" si="1"/>
        <v>199.22189246471243</v>
      </c>
      <c r="AE26">
        <f t="shared" si="1"/>
        <v>14.230135176050887</v>
      </c>
      <c r="AF26">
        <f t="shared" si="1"/>
        <v>0</v>
      </c>
      <c r="AG26">
        <f t="shared" si="1"/>
        <v>0</v>
      </c>
      <c r="AH26">
        <f t="shared" si="1"/>
        <v>0</v>
      </c>
      <c r="AI26">
        <f t="shared" si="1"/>
        <v>0</v>
      </c>
      <c r="AJ26">
        <f t="shared" si="1"/>
        <v>0</v>
      </c>
      <c r="AK26">
        <f t="shared" si="1"/>
        <v>0</v>
      </c>
      <c r="AL26">
        <f t="shared" si="1"/>
        <v>0</v>
      </c>
      <c r="AM26">
        <f t="shared" si="1"/>
        <v>0</v>
      </c>
      <c r="AN26">
        <f t="shared" si="1"/>
        <v>0</v>
      </c>
      <c r="AO26">
        <f t="shared" si="2"/>
        <v>0</v>
      </c>
      <c r="AP26">
        <f t="shared" si="2"/>
        <v>0</v>
      </c>
      <c r="AQ26">
        <f t="shared" si="4"/>
        <v>455.36432563362837</v>
      </c>
    </row>
    <row r="27" spans="1:43" x14ac:dyDescent="0.25">
      <c r="A27">
        <v>40</v>
      </c>
      <c r="B27">
        <v>290.68345460862577</v>
      </c>
      <c r="C27" s="11">
        <v>40</v>
      </c>
      <c r="D27" s="12"/>
      <c r="E27" s="14"/>
      <c r="F27" s="14"/>
      <c r="G27" s="14"/>
      <c r="H27" s="24">
        <v>1</v>
      </c>
      <c r="I27" s="24">
        <v>5</v>
      </c>
      <c r="J27" s="24">
        <v>17</v>
      </c>
      <c r="K27" s="24">
        <v>2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>
        <f t="shared" si="0"/>
        <v>25</v>
      </c>
      <c r="X27">
        <f t="shared" si="3"/>
        <v>0</v>
      </c>
      <c r="Y27">
        <f t="shared" si="1"/>
        <v>0</v>
      </c>
      <c r="Z27">
        <f t="shared" si="1"/>
        <v>0</v>
      </c>
      <c r="AA27">
        <f t="shared" si="1"/>
        <v>0</v>
      </c>
      <c r="AB27">
        <f t="shared" si="1"/>
        <v>11.627338184345032</v>
      </c>
      <c r="AC27">
        <f t="shared" si="1"/>
        <v>58.136690921725155</v>
      </c>
      <c r="AD27">
        <f t="shared" si="1"/>
        <v>197.66474913386554</v>
      </c>
      <c r="AE27">
        <f t="shared" si="1"/>
        <v>23.254676368690063</v>
      </c>
      <c r="AF27">
        <f t="shared" si="1"/>
        <v>0</v>
      </c>
      <c r="AG27">
        <f t="shared" si="1"/>
        <v>0</v>
      </c>
      <c r="AH27">
        <f t="shared" si="1"/>
        <v>0</v>
      </c>
      <c r="AI27">
        <f t="shared" si="1"/>
        <v>0</v>
      </c>
      <c r="AJ27">
        <f t="shared" si="1"/>
        <v>0</v>
      </c>
      <c r="AK27">
        <f t="shared" si="1"/>
        <v>0</v>
      </c>
      <c r="AL27">
        <f t="shared" si="1"/>
        <v>0</v>
      </c>
      <c r="AM27">
        <f t="shared" si="1"/>
        <v>0</v>
      </c>
      <c r="AN27">
        <f t="shared" si="1"/>
        <v>0</v>
      </c>
      <c r="AO27">
        <f t="shared" si="2"/>
        <v>0</v>
      </c>
      <c r="AP27">
        <f t="shared" si="2"/>
        <v>0</v>
      </c>
      <c r="AQ27">
        <f t="shared" si="4"/>
        <v>290.68345460862577</v>
      </c>
    </row>
    <row r="28" spans="1:43" x14ac:dyDescent="0.25">
      <c r="A28">
        <v>41</v>
      </c>
      <c r="B28">
        <v>202.90858658710084</v>
      </c>
      <c r="C28" s="11">
        <v>41</v>
      </c>
      <c r="D28" s="12"/>
      <c r="E28" s="14"/>
      <c r="F28" s="14"/>
      <c r="G28" s="14"/>
      <c r="H28" s="14"/>
      <c r="I28" s="24">
        <v>1</v>
      </c>
      <c r="J28" s="24">
        <v>3</v>
      </c>
      <c r="K28" s="24">
        <v>5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>
        <f t="shared" si="0"/>
        <v>9</v>
      </c>
      <c r="X28">
        <f t="shared" si="3"/>
        <v>0</v>
      </c>
      <c r="Y28">
        <f t="shared" si="1"/>
        <v>0</v>
      </c>
      <c r="Z28">
        <f t="shared" si="1"/>
        <v>0</v>
      </c>
      <c r="AA28">
        <f t="shared" si="1"/>
        <v>0</v>
      </c>
      <c r="AB28">
        <f t="shared" si="1"/>
        <v>0</v>
      </c>
      <c r="AC28">
        <f t="shared" si="1"/>
        <v>22.54539850967787</v>
      </c>
      <c r="AD28">
        <f t="shared" si="1"/>
        <v>67.636195529033614</v>
      </c>
      <c r="AE28">
        <f t="shared" si="1"/>
        <v>112.72699254838936</v>
      </c>
      <c r="AF28">
        <f t="shared" si="1"/>
        <v>0</v>
      </c>
      <c r="AG28">
        <f t="shared" si="1"/>
        <v>0</v>
      </c>
      <c r="AH28">
        <f t="shared" si="1"/>
        <v>0</v>
      </c>
      <c r="AI28">
        <f t="shared" si="1"/>
        <v>0</v>
      </c>
      <c r="AJ28">
        <f t="shared" si="1"/>
        <v>0</v>
      </c>
      <c r="AK28">
        <f t="shared" si="1"/>
        <v>0</v>
      </c>
      <c r="AL28">
        <f t="shared" si="1"/>
        <v>0</v>
      </c>
      <c r="AM28">
        <f t="shared" si="1"/>
        <v>0</v>
      </c>
      <c r="AN28">
        <f t="shared" si="1"/>
        <v>0</v>
      </c>
      <c r="AO28">
        <f t="shared" si="2"/>
        <v>0</v>
      </c>
      <c r="AP28">
        <f t="shared" si="2"/>
        <v>0</v>
      </c>
      <c r="AQ28">
        <f t="shared" si="4"/>
        <v>202.90858658710084</v>
      </c>
    </row>
    <row r="29" spans="1:43" x14ac:dyDescent="0.25">
      <c r="A29">
        <v>42</v>
      </c>
      <c r="B29">
        <v>162.69268322202024</v>
      </c>
      <c r="C29" s="11">
        <v>42</v>
      </c>
      <c r="D29" s="12"/>
      <c r="E29" s="14"/>
      <c r="F29" s="14"/>
      <c r="G29" s="14"/>
      <c r="H29" s="14"/>
      <c r="I29" s="14"/>
      <c r="J29" s="24">
        <v>7</v>
      </c>
      <c r="K29" s="24">
        <v>3</v>
      </c>
      <c r="L29" s="24">
        <v>5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>
        <f t="shared" si="0"/>
        <v>15</v>
      </c>
      <c r="X29">
        <f t="shared" si="3"/>
        <v>0</v>
      </c>
      <c r="Y29">
        <f t="shared" si="1"/>
        <v>0</v>
      </c>
      <c r="Z29">
        <f t="shared" si="1"/>
        <v>0</v>
      </c>
      <c r="AA29">
        <f t="shared" si="1"/>
        <v>0</v>
      </c>
      <c r="AB29">
        <f t="shared" si="1"/>
        <v>0</v>
      </c>
      <c r="AC29">
        <f t="shared" si="1"/>
        <v>0</v>
      </c>
      <c r="AD29">
        <f t="shared" si="1"/>
        <v>75.923252170276115</v>
      </c>
      <c r="AE29">
        <f t="shared" si="1"/>
        <v>32.538536644404047</v>
      </c>
      <c r="AF29">
        <f t="shared" si="1"/>
        <v>54.230894407340074</v>
      </c>
      <c r="AG29">
        <f t="shared" si="1"/>
        <v>0</v>
      </c>
      <c r="AH29">
        <f t="shared" si="1"/>
        <v>0</v>
      </c>
      <c r="AI29">
        <f t="shared" si="1"/>
        <v>0</v>
      </c>
      <c r="AJ29">
        <f t="shared" si="1"/>
        <v>0</v>
      </c>
      <c r="AK29">
        <f t="shared" si="1"/>
        <v>0</v>
      </c>
      <c r="AL29">
        <f t="shared" si="1"/>
        <v>0</v>
      </c>
      <c r="AM29">
        <f t="shared" si="1"/>
        <v>0</v>
      </c>
      <c r="AN29">
        <f t="shared" si="1"/>
        <v>0</v>
      </c>
      <c r="AO29">
        <f t="shared" si="2"/>
        <v>0</v>
      </c>
      <c r="AP29">
        <f t="shared" si="2"/>
        <v>0</v>
      </c>
      <c r="AQ29">
        <f t="shared" si="4"/>
        <v>162.69268322202024</v>
      </c>
    </row>
    <row r="30" spans="1:43" s="16" customFormat="1" x14ac:dyDescent="0.25">
      <c r="A30" s="16">
        <v>43</v>
      </c>
      <c r="B30" s="16">
        <v>130.18534001541258</v>
      </c>
      <c r="C30" s="11">
        <v>43</v>
      </c>
      <c r="D30" s="12"/>
      <c r="E30" s="14"/>
      <c r="F30" s="14"/>
      <c r="G30" s="14"/>
      <c r="H30" s="14"/>
      <c r="I30" s="24">
        <v>1</v>
      </c>
      <c r="J30" s="24">
        <v>6</v>
      </c>
      <c r="K30" s="24">
        <v>3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>
        <f t="shared" si="0"/>
        <v>10</v>
      </c>
      <c r="X30">
        <f t="shared" si="3"/>
        <v>0</v>
      </c>
      <c r="Y30">
        <f t="shared" si="3"/>
        <v>0</v>
      </c>
      <c r="Z30">
        <f t="shared" si="3"/>
        <v>0</v>
      </c>
      <c r="AA30">
        <f t="shared" si="3"/>
        <v>0</v>
      </c>
      <c r="AB30">
        <f t="shared" si="2"/>
        <v>0</v>
      </c>
      <c r="AC30">
        <f t="shared" si="2"/>
        <v>13.018534001541259</v>
      </c>
      <c r="AD30">
        <f t="shared" si="2"/>
        <v>78.111204009247544</v>
      </c>
      <c r="AE30">
        <f t="shared" si="2"/>
        <v>39.055602004623772</v>
      </c>
      <c r="AF30">
        <f t="shared" si="2"/>
        <v>0</v>
      </c>
      <c r="AG30">
        <f t="shared" si="2"/>
        <v>0</v>
      </c>
      <c r="AH30">
        <f t="shared" si="2"/>
        <v>0</v>
      </c>
      <c r="AI30">
        <f t="shared" si="2"/>
        <v>0</v>
      </c>
      <c r="AJ30">
        <f t="shared" si="2"/>
        <v>0</v>
      </c>
      <c r="AK30">
        <f t="shared" si="2"/>
        <v>0</v>
      </c>
      <c r="AL30">
        <f t="shared" si="2"/>
        <v>0</v>
      </c>
      <c r="AM30">
        <f t="shared" si="2"/>
        <v>0</v>
      </c>
      <c r="AN30">
        <f t="shared" si="2"/>
        <v>0</v>
      </c>
      <c r="AO30">
        <f t="shared" si="2"/>
        <v>0</v>
      </c>
      <c r="AP30">
        <f t="shared" si="2"/>
        <v>0</v>
      </c>
      <c r="AQ30" s="16">
        <f t="shared" si="4"/>
        <v>130.18534001541258</v>
      </c>
    </row>
    <row r="31" spans="1:43" x14ac:dyDescent="0.25">
      <c r="A31">
        <v>44</v>
      </c>
      <c r="B31">
        <v>60.22696633931394</v>
      </c>
      <c r="C31" s="11">
        <v>44</v>
      </c>
      <c r="D31" s="12"/>
      <c r="E31" s="14"/>
      <c r="F31" s="14"/>
      <c r="G31" s="14"/>
      <c r="H31" s="14"/>
      <c r="I31" s="14"/>
      <c r="J31" s="14"/>
      <c r="K31" s="24">
        <v>5</v>
      </c>
      <c r="L31" s="24">
        <v>1</v>
      </c>
      <c r="M31" s="24">
        <v>3</v>
      </c>
      <c r="N31" s="14"/>
      <c r="O31" s="14"/>
      <c r="P31" s="14"/>
      <c r="Q31" s="14"/>
      <c r="R31" s="14"/>
      <c r="S31" s="14"/>
      <c r="T31" s="14"/>
      <c r="U31" s="14"/>
      <c r="V31" s="14"/>
      <c r="W31">
        <f t="shared" si="0"/>
        <v>9</v>
      </c>
      <c r="X31">
        <f t="shared" si="3"/>
        <v>0</v>
      </c>
      <c r="Y31">
        <f t="shared" si="3"/>
        <v>0</v>
      </c>
      <c r="Z31">
        <f t="shared" si="3"/>
        <v>0</v>
      </c>
      <c r="AA31">
        <f t="shared" si="3"/>
        <v>0</v>
      </c>
      <c r="AB31">
        <f t="shared" si="3"/>
        <v>0</v>
      </c>
      <c r="AC31">
        <f t="shared" si="3"/>
        <v>0</v>
      </c>
      <c r="AD31">
        <f t="shared" si="3"/>
        <v>0</v>
      </c>
      <c r="AE31">
        <f t="shared" si="3"/>
        <v>33.459425744063303</v>
      </c>
      <c r="AF31">
        <f t="shared" si="3"/>
        <v>6.6918851488126592</v>
      </c>
      <c r="AG31">
        <f t="shared" si="3"/>
        <v>20.075655446437978</v>
      </c>
      <c r="AH31">
        <f t="shared" si="3"/>
        <v>0</v>
      </c>
      <c r="AI31">
        <f t="shared" si="3"/>
        <v>0</v>
      </c>
      <c r="AJ31">
        <f t="shared" si="3"/>
        <v>0</v>
      </c>
      <c r="AK31">
        <f t="shared" si="3"/>
        <v>0</v>
      </c>
      <c r="AL31">
        <f t="shared" si="3"/>
        <v>0</v>
      </c>
      <c r="AM31">
        <f t="shared" si="3"/>
        <v>0</v>
      </c>
      <c r="AN31">
        <f t="shared" ref="AB31:AP42" si="5">T31/$W31*$B31</f>
        <v>0</v>
      </c>
      <c r="AO31">
        <f t="shared" si="5"/>
        <v>0</v>
      </c>
      <c r="AP31">
        <f t="shared" si="5"/>
        <v>0</v>
      </c>
      <c r="AQ31">
        <f t="shared" si="4"/>
        <v>60.22696633931394</v>
      </c>
    </row>
    <row r="32" spans="1:43" x14ac:dyDescent="0.25">
      <c r="A32">
        <v>45</v>
      </c>
      <c r="B32">
        <v>72.935929102118237</v>
      </c>
      <c r="C32" s="11">
        <v>45</v>
      </c>
      <c r="D32" s="12"/>
      <c r="E32" s="14"/>
      <c r="F32" s="14"/>
      <c r="G32" s="14"/>
      <c r="H32" s="14"/>
      <c r="I32" s="14"/>
      <c r="J32" s="14"/>
      <c r="K32" s="24">
        <v>1</v>
      </c>
      <c r="L32" s="24">
        <v>2</v>
      </c>
      <c r="M32" s="24">
        <v>3</v>
      </c>
      <c r="N32" s="24">
        <v>3</v>
      </c>
      <c r="O32" s="14"/>
      <c r="P32" s="14"/>
      <c r="Q32" s="14"/>
      <c r="R32" s="14"/>
      <c r="S32" s="14"/>
      <c r="T32" s="14"/>
      <c r="U32" s="14"/>
      <c r="V32" s="14"/>
      <c r="W32">
        <f t="shared" si="0"/>
        <v>9</v>
      </c>
      <c r="X32">
        <f t="shared" si="3"/>
        <v>0</v>
      </c>
      <c r="Y32">
        <f t="shared" si="3"/>
        <v>0</v>
      </c>
      <c r="Z32">
        <f t="shared" si="3"/>
        <v>0</v>
      </c>
      <c r="AA32">
        <f t="shared" si="3"/>
        <v>0</v>
      </c>
      <c r="AB32">
        <f t="shared" si="5"/>
        <v>0</v>
      </c>
      <c r="AC32">
        <f t="shared" si="5"/>
        <v>0</v>
      </c>
      <c r="AD32">
        <f t="shared" si="5"/>
        <v>0</v>
      </c>
      <c r="AE32">
        <f t="shared" si="5"/>
        <v>8.1039921224575817</v>
      </c>
      <c r="AF32">
        <f t="shared" si="5"/>
        <v>16.207984244915163</v>
      </c>
      <c r="AG32">
        <f t="shared" si="5"/>
        <v>24.311976367372743</v>
      </c>
      <c r="AH32">
        <f t="shared" si="5"/>
        <v>24.311976367372743</v>
      </c>
      <c r="AI32">
        <f t="shared" si="5"/>
        <v>0</v>
      </c>
      <c r="AJ32">
        <f t="shared" si="5"/>
        <v>0</v>
      </c>
      <c r="AK32">
        <f t="shared" si="5"/>
        <v>0</v>
      </c>
      <c r="AL32">
        <f t="shared" si="5"/>
        <v>0</v>
      </c>
      <c r="AM32">
        <f t="shared" si="5"/>
        <v>0</v>
      </c>
      <c r="AN32">
        <f t="shared" si="5"/>
        <v>0</v>
      </c>
      <c r="AO32">
        <f t="shared" si="5"/>
        <v>0</v>
      </c>
      <c r="AP32">
        <f t="shared" si="5"/>
        <v>0</v>
      </c>
      <c r="AQ32">
        <f t="shared" si="4"/>
        <v>72.935929102118223</v>
      </c>
    </row>
    <row r="33" spans="1:43" x14ac:dyDescent="0.25">
      <c r="A33">
        <v>46</v>
      </c>
      <c r="B33">
        <v>41.463640876936452</v>
      </c>
      <c r="C33" s="11">
        <v>46</v>
      </c>
      <c r="D33" s="12"/>
      <c r="E33" s="14"/>
      <c r="F33" s="14"/>
      <c r="G33" s="14"/>
      <c r="H33" s="14"/>
      <c r="I33" s="14"/>
      <c r="J33" s="14"/>
      <c r="K33" s="14"/>
      <c r="L33" s="14"/>
      <c r="M33" s="24">
        <v>3</v>
      </c>
      <c r="N33" s="14"/>
      <c r="O33" s="14"/>
      <c r="P33" s="14"/>
      <c r="Q33" s="14"/>
      <c r="R33" s="14"/>
      <c r="S33" s="14"/>
      <c r="T33" s="14"/>
      <c r="U33" s="14"/>
      <c r="V33" s="14"/>
      <c r="W33">
        <f t="shared" si="0"/>
        <v>3</v>
      </c>
      <c r="X33">
        <f t="shared" si="3"/>
        <v>0</v>
      </c>
      <c r="Y33">
        <f t="shared" si="3"/>
        <v>0</v>
      </c>
      <c r="Z33">
        <f t="shared" si="3"/>
        <v>0</v>
      </c>
      <c r="AA33">
        <f t="shared" si="3"/>
        <v>0</v>
      </c>
      <c r="AB33">
        <f t="shared" si="5"/>
        <v>0</v>
      </c>
      <c r="AC33">
        <f t="shared" si="5"/>
        <v>0</v>
      </c>
      <c r="AD33">
        <f t="shared" si="5"/>
        <v>0</v>
      </c>
      <c r="AE33">
        <f t="shared" si="5"/>
        <v>0</v>
      </c>
      <c r="AF33">
        <f t="shared" si="5"/>
        <v>0</v>
      </c>
      <c r="AG33">
        <f t="shared" si="5"/>
        <v>41.463640876936452</v>
      </c>
      <c r="AH33">
        <f t="shared" si="5"/>
        <v>0</v>
      </c>
      <c r="AI33">
        <f t="shared" si="5"/>
        <v>0</v>
      </c>
      <c r="AJ33">
        <f t="shared" si="5"/>
        <v>0</v>
      </c>
      <c r="AK33">
        <f t="shared" si="5"/>
        <v>0</v>
      </c>
      <c r="AL33">
        <f t="shared" si="5"/>
        <v>0</v>
      </c>
      <c r="AM33">
        <f t="shared" si="5"/>
        <v>0</v>
      </c>
      <c r="AN33">
        <f t="shared" si="5"/>
        <v>0</v>
      </c>
      <c r="AO33">
        <f t="shared" si="5"/>
        <v>0</v>
      </c>
      <c r="AP33">
        <f t="shared" si="5"/>
        <v>0</v>
      </c>
      <c r="AQ33">
        <f t="shared" si="4"/>
        <v>41.463640876936452</v>
      </c>
    </row>
    <row r="34" spans="1:43" ht="15.75" thickBot="1" x14ac:dyDescent="0.3">
      <c r="A34">
        <v>47</v>
      </c>
      <c r="B34">
        <v>19.558915668800715</v>
      </c>
      <c r="C34" s="15">
        <v>47</v>
      </c>
      <c r="D34" s="12"/>
      <c r="E34" s="14"/>
      <c r="F34" s="14"/>
      <c r="G34" s="14"/>
      <c r="H34" s="14"/>
      <c r="I34" s="14"/>
      <c r="J34" s="14"/>
      <c r="K34" s="14"/>
      <c r="L34" s="14"/>
      <c r="M34" s="14"/>
      <c r="N34" s="24">
        <v>1</v>
      </c>
      <c r="O34" s="24">
        <v>2</v>
      </c>
      <c r="P34" s="14"/>
      <c r="Q34" s="24">
        <v>1</v>
      </c>
      <c r="R34" s="14"/>
      <c r="S34" s="14"/>
      <c r="T34" s="14"/>
      <c r="U34" s="14"/>
      <c r="V34" s="14"/>
      <c r="W34">
        <f t="shared" si="0"/>
        <v>4</v>
      </c>
      <c r="X34">
        <f t="shared" si="3"/>
        <v>0</v>
      </c>
      <c r="Y34">
        <f t="shared" si="3"/>
        <v>0</v>
      </c>
      <c r="Z34">
        <f t="shared" si="3"/>
        <v>0</v>
      </c>
      <c r="AA34">
        <f t="shared" si="3"/>
        <v>0</v>
      </c>
      <c r="AB34">
        <f t="shared" si="5"/>
        <v>0</v>
      </c>
      <c r="AC34">
        <f t="shared" si="5"/>
        <v>0</v>
      </c>
      <c r="AD34">
        <f t="shared" si="5"/>
        <v>0</v>
      </c>
      <c r="AE34">
        <f t="shared" si="5"/>
        <v>0</v>
      </c>
      <c r="AF34">
        <f t="shared" si="5"/>
        <v>0</v>
      </c>
      <c r="AG34">
        <f t="shared" si="5"/>
        <v>0</v>
      </c>
      <c r="AH34">
        <f t="shared" si="5"/>
        <v>4.8897289172001788</v>
      </c>
      <c r="AI34">
        <f t="shared" si="5"/>
        <v>9.7794578344003575</v>
      </c>
      <c r="AJ34">
        <f t="shared" si="5"/>
        <v>0</v>
      </c>
      <c r="AK34">
        <f t="shared" si="5"/>
        <v>4.8897289172001788</v>
      </c>
      <c r="AL34">
        <f t="shared" si="5"/>
        <v>0</v>
      </c>
      <c r="AM34">
        <f t="shared" si="5"/>
        <v>0</v>
      </c>
      <c r="AN34">
        <f t="shared" si="5"/>
        <v>0</v>
      </c>
      <c r="AO34">
        <f t="shared" si="5"/>
        <v>0</v>
      </c>
      <c r="AP34">
        <f t="shared" si="5"/>
        <v>0</v>
      </c>
      <c r="AQ34">
        <f t="shared" si="4"/>
        <v>19.558915668800715</v>
      </c>
    </row>
    <row r="35" spans="1:43" x14ac:dyDescent="0.25">
      <c r="A35">
        <v>48</v>
      </c>
      <c r="B35">
        <v>14.31432201101275</v>
      </c>
      <c r="C35" s="11">
        <v>48</v>
      </c>
      <c r="D35" s="25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24">
        <v>1</v>
      </c>
      <c r="Q35" s="24">
        <v>2</v>
      </c>
      <c r="R35" s="14"/>
      <c r="S35" s="24">
        <v>1</v>
      </c>
      <c r="T35" s="14"/>
      <c r="U35" s="14"/>
      <c r="V35" s="14"/>
      <c r="W35">
        <f t="shared" si="0"/>
        <v>4</v>
      </c>
      <c r="X35">
        <f t="shared" si="3"/>
        <v>0</v>
      </c>
      <c r="Y35">
        <f t="shared" si="3"/>
        <v>0</v>
      </c>
      <c r="Z35">
        <f t="shared" si="3"/>
        <v>0</v>
      </c>
      <c r="AA35">
        <f t="shared" si="3"/>
        <v>0</v>
      </c>
      <c r="AB35">
        <f t="shared" si="5"/>
        <v>0</v>
      </c>
      <c r="AC35">
        <f t="shared" si="5"/>
        <v>0</v>
      </c>
      <c r="AD35">
        <f t="shared" si="5"/>
        <v>0</v>
      </c>
      <c r="AE35">
        <f t="shared" si="5"/>
        <v>0</v>
      </c>
      <c r="AF35">
        <f t="shared" si="5"/>
        <v>0</v>
      </c>
      <c r="AG35">
        <f t="shared" si="5"/>
        <v>0</v>
      </c>
      <c r="AH35">
        <f t="shared" si="5"/>
        <v>0</v>
      </c>
      <c r="AI35">
        <f t="shared" si="5"/>
        <v>0</v>
      </c>
      <c r="AJ35">
        <f t="shared" si="5"/>
        <v>3.5785805027531876</v>
      </c>
      <c r="AK35">
        <f t="shared" si="5"/>
        <v>7.1571610055063752</v>
      </c>
      <c r="AL35">
        <f t="shared" si="5"/>
        <v>0</v>
      </c>
      <c r="AM35">
        <f t="shared" si="5"/>
        <v>3.5785805027531876</v>
      </c>
      <c r="AN35">
        <f t="shared" si="5"/>
        <v>0</v>
      </c>
      <c r="AO35">
        <f t="shared" si="5"/>
        <v>0</v>
      </c>
      <c r="AP35">
        <f t="shared" si="5"/>
        <v>0</v>
      </c>
      <c r="AQ35">
        <f t="shared" si="4"/>
        <v>14.31432201101275</v>
      </c>
    </row>
    <row r="36" spans="1:43" x14ac:dyDescent="0.25">
      <c r="A36">
        <v>49</v>
      </c>
      <c r="B36">
        <v>7.2705916884023605</v>
      </c>
      <c r="C36" s="11">
        <v>49</v>
      </c>
      <c r="D36" s="12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3">
        <v>2</v>
      </c>
      <c r="S36" s="13">
        <v>2</v>
      </c>
      <c r="T36" s="14"/>
      <c r="U36" s="14"/>
      <c r="V36" s="14"/>
      <c r="W36">
        <f t="shared" si="0"/>
        <v>4</v>
      </c>
      <c r="X36">
        <f t="shared" si="3"/>
        <v>0</v>
      </c>
      <c r="Y36">
        <f t="shared" si="3"/>
        <v>0</v>
      </c>
      <c r="Z36">
        <f t="shared" si="3"/>
        <v>0</v>
      </c>
      <c r="AA36">
        <f t="shared" si="3"/>
        <v>0</v>
      </c>
      <c r="AB36">
        <f t="shared" si="5"/>
        <v>0</v>
      </c>
      <c r="AC36">
        <f t="shared" si="5"/>
        <v>0</v>
      </c>
      <c r="AD36">
        <f t="shared" si="5"/>
        <v>0</v>
      </c>
      <c r="AE36">
        <f t="shared" si="5"/>
        <v>0</v>
      </c>
      <c r="AF36">
        <f t="shared" si="5"/>
        <v>0</v>
      </c>
      <c r="AG36">
        <f t="shared" si="5"/>
        <v>0</v>
      </c>
      <c r="AH36">
        <f t="shared" si="5"/>
        <v>0</v>
      </c>
      <c r="AI36">
        <f t="shared" si="5"/>
        <v>0</v>
      </c>
      <c r="AJ36">
        <f t="shared" si="5"/>
        <v>0</v>
      </c>
      <c r="AK36">
        <f t="shared" si="5"/>
        <v>0</v>
      </c>
      <c r="AL36">
        <f t="shared" si="5"/>
        <v>3.6352958442011802</v>
      </c>
      <c r="AM36">
        <f t="shared" si="5"/>
        <v>3.6352958442011802</v>
      </c>
      <c r="AN36">
        <f t="shared" si="5"/>
        <v>0</v>
      </c>
      <c r="AO36">
        <f t="shared" si="5"/>
        <v>0</v>
      </c>
      <c r="AP36">
        <f t="shared" si="5"/>
        <v>0</v>
      </c>
      <c r="AQ36">
        <f t="shared" si="4"/>
        <v>7.2705916884023605</v>
      </c>
    </row>
    <row r="37" spans="1:43" x14ac:dyDescent="0.25">
      <c r="A37">
        <v>50</v>
      </c>
      <c r="B37">
        <v>0.23001221809463587</v>
      </c>
      <c r="C37" s="11">
        <v>50</v>
      </c>
      <c r="D37" s="12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3">
        <v>2</v>
      </c>
      <c r="R37" s="13">
        <v>1</v>
      </c>
      <c r="S37" s="14"/>
      <c r="T37" s="14"/>
      <c r="U37" s="14"/>
      <c r="V37" s="14"/>
      <c r="W37">
        <f t="shared" si="0"/>
        <v>3</v>
      </c>
      <c r="X37">
        <f t="shared" si="3"/>
        <v>0</v>
      </c>
      <c r="Y37">
        <f t="shared" si="3"/>
        <v>0</v>
      </c>
      <c r="Z37">
        <f t="shared" si="3"/>
        <v>0</v>
      </c>
      <c r="AA37">
        <f t="shared" si="3"/>
        <v>0</v>
      </c>
      <c r="AB37">
        <f t="shared" si="5"/>
        <v>0</v>
      </c>
      <c r="AC37">
        <f t="shared" si="5"/>
        <v>0</v>
      </c>
      <c r="AD37">
        <f t="shared" si="5"/>
        <v>0</v>
      </c>
      <c r="AE37">
        <f t="shared" si="5"/>
        <v>0</v>
      </c>
      <c r="AF37">
        <f t="shared" si="5"/>
        <v>0</v>
      </c>
      <c r="AG37">
        <f t="shared" si="5"/>
        <v>0</v>
      </c>
      <c r="AH37">
        <f t="shared" si="5"/>
        <v>0</v>
      </c>
      <c r="AI37">
        <f t="shared" si="5"/>
        <v>0</v>
      </c>
      <c r="AJ37">
        <f t="shared" si="5"/>
        <v>0</v>
      </c>
      <c r="AK37">
        <f t="shared" si="5"/>
        <v>0.15334147872975723</v>
      </c>
      <c r="AL37">
        <f t="shared" si="5"/>
        <v>7.6670739364878615E-2</v>
      </c>
      <c r="AM37">
        <f t="shared" si="5"/>
        <v>0</v>
      </c>
      <c r="AN37">
        <f t="shared" si="5"/>
        <v>0</v>
      </c>
      <c r="AO37">
        <f t="shared" si="5"/>
        <v>0</v>
      </c>
      <c r="AP37">
        <f t="shared" si="5"/>
        <v>0</v>
      </c>
      <c r="AQ37">
        <f t="shared" si="4"/>
        <v>0.23001221809463585</v>
      </c>
    </row>
    <row r="38" spans="1:43" x14ac:dyDescent="0.25">
      <c r="A38">
        <v>51</v>
      </c>
      <c r="B38">
        <v>0.23001221809463587</v>
      </c>
      <c r="C38" s="11">
        <v>51</v>
      </c>
      <c r="D38" s="12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3">
        <v>1</v>
      </c>
      <c r="R38" s="14"/>
      <c r="S38" s="13">
        <v>1</v>
      </c>
      <c r="T38" s="14"/>
      <c r="U38" s="14"/>
      <c r="V38" s="14"/>
      <c r="W38">
        <f t="shared" si="0"/>
        <v>2</v>
      </c>
      <c r="X38">
        <f t="shared" si="3"/>
        <v>0</v>
      </c>
      <c r="Y38">
        <f t="shared" si="3"/>
        <v>0</v>
      </c>
      <c r="Z38">
        <f t="shared" si="3"/>
        <v>0</v>
      </c>
      <c r="AA38">
        <f t="shared" si="3"/>
        <v>0</v>
      </c>
      <c r="AB38">
        <f t="shared" si="5"/>
        <v>0</v>
      </c>
      <c r="AC38">
        <f t="shared" si="5"/>
        <v>0</v>
      </c>
      <c r="AD38">
        <f t="shared" si="5"/>
        <v>0</v>
      </c>
      <c r="AE38">
        <f t="shared" si="5"/>
        <v>0</v>
      </c>
      <c r="AF38">
        <f t="shared" si="5"/>
        <v>0</v>
      </c>
      <c r="AG38">
        <f t="shared" si="5"/>
        <v>0</v>
      </c>
      <c r="AH38">
        <f t="shared" si="5"/>
        <v>0</v>
      </c>
      <c r="AI38">
        <f t="shared" si="5"/>
        <v>0</v>
      </c>
      <c r="AJ38">
        <f t="shared" si="5"/>
        <v>0</v>
      </c>
      <c r="AK38">
        <f t="shared" si="5"/>
        <v>0.11500610904731794</v>
      </c>
      <c r="AL38">
        <f t="shared" si="5"/>
        <v>0</v>
      </c>
      <c r="AM38">
        <f t="shared" si="5"/>
        <v>0.11500610904731794</v>
      </c>
      <c r="AN38">
        <f t="shared" si="5"/>
        <v>0</v>
      </c>
      <c r="AO38">
        <f t="shared" si="5"/>
        <v>0</v>
      </c>
      <c r="AP38">
        <f t="shared" si="5"/>
        <v>0</v>
      </c>
      <c r="AQ38">
        <f t="shared" si="4"/>
        <v>0.23001221809463587</v>
      </c>
    </row>
    <row r="39" spans="1:43" x14ac:dyDescent="0.25">
      <c r="A39">
        <v>52</v>
      </c>
      <c r="B39">
        <v>0.6632544097112445</v>
      </c>
      <c r="C39" s="11">
        <v>52</v>
      </c>
      <c r="D39" s="12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3">
        <v>1</v>
      </c>
      <c r="T39" s="14"/>
      <c r="U39" s="14"/>
      <c r="V39" s="14"/>
      <c r="W39">
        <f t="shared" si="0"/>
        <v>1</v>
      </c>
      <c r="X39">
        <f t="shared" si="3"/>
        <v>0</v>
      </c>
      <c r="Y39">
        <f t="shared" si="3"/>
        <v>0</v>
      </c>
      <c r="Z39">
        <f t="shared" si="3"/>
        <v>0</v>
      </c>
      <c r="AA39">
        <f t="shared" si="3"/>
        <v>0</v>
      </c>
      <c r="AB39">
        <f t="shared" si="5"/>
        <v>0</v>
      </c>
      <c r="AC39">
        <f t="shared" si="5"/>
        <v>0</v>
      </c>
      <c r="AD39">
        <f t="shared" si="5"/>
        <v>0</v>
      </c>
      <c r="AE39">
        <f t="shared" si="5"/>
        <v>0</v>
      </c>
      <c r="AF39">
        <f t="shared" si="5"/>
        <v>0</v>
      </c>
      <c r="AG39">
        <f t="shared" si="5"/>
        <v>0</v>
      </c>
      <c r="AH39">
        <f t="shared" si="5"/>
        <v>0</v>
      </c>
      <c r="AI39">
        <f t="shared" si="5"/>
        <v>0</v>
      </c>
      <c r="AJ39">
        <f t="shared" si="5"/>
        <v>0</v>
      </c>
      <c r="AK39">
        <f t="shared" si="5"/>
        <v>0</v>
      </c>
      <c r="AL39">
        <f t="shared" si="5"/>
        <v>0</v>
      </c>
      <c r="AM39">
        <f t="shared" si="5"/>
        <v>0.6632544097112445</v>
      </c>
      <c r="AN39">
        <f t="shared" si="5"/>
        <v>0</v>
      </c>
      <c r="AO39">
        <f t="shared" si="5"/>
        <v>0</v>
      </c>
      <c r="AP39">
        <f t="shared" si="5"/>
        <v>0</v>
      </c>
      <c r="AQ39">
        <f t="shared" si="4"/>
        <v>0.6632544097112445</v>
      </c>
    </row>
    <row r="40" spans="1:43" x14ac:dyDescent="0.25">
      <c r="A40">
        <v>53</v>
      </c>
      <c r="B40">
        <v>0</v>
      </c>
      <c r="C40" s="11">
        <v>53</v>
      </c>
      <c r="D40" s="12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3">
        <v>2</v>
      </c>
      <c r="R40" s="14"/>
      <c r="S40" s="14"/>
      <c r="T40" s="14"/>
      <c r="U40" s="14"/>
      <c r="V40" s="14"/>
      <c r="W40">
        <v>2</v>
      </c>
      <c r="X40">
        <f t="shared" si="3"/>
        <v>0</v>
      </c>
      <c r="Y40">
        <f t="shared" si="3"/>
        <v>0</v>
      </c>
      <c r="Z40">
        <f t="shared" si="3"/>
        <v>0</v>
      </c>
      <c r="AA40">
        <f t="shared" si="3"/>
        <v>0</v>
      </c>
      <c r="AB40">
        <f t="shared" si="5"/>
        <v>0</v>
      </c>
      <c r="AC40">
        <f t="shared" si="5"/>
        <v>0</v>
      </c>
      <c r="AD40">
        <f t="shared" si="5"/>
        <v>0</v>
      </c>
      <c r="AE40">
        <f t="shared" si="5"/>
        <v>0</v>
      </c>
      <c r="AF40">
        <f t="shared" si="5"/>
        <v>0</v>
      </c>
      <c r="AG40">
        <f t="shared" si="5"/>
        <v>0</v>
      </c>
      <c r="AH40">
        <f t="shared" si="5"/>
        <v>0</v>
      </c>
      <c r="AI40">
        <f t="shared" si="5"/>
        <v>0</v>
      </c>
      <c r="AJ40">
        <f t="shared" si="5"/>
        <v>0</v>
      </c>
      <c r="AK40">
        <f t="shared" si="5"/>
        <v>0</v>
      </c>
      <c r="AL40">
        <f t="shared" si="5"/>
        <v>0</v>
      </c>
      <c r="AM40">
        <f t="shared" si="5"/>
        <v>0</v>
      </c>
      <c r="AN40">
        <f t="shared" si="5"/>
        <v>0</v>
      </c>
      <c r="AO40">
        <f t="shared" si="5"/>
        <v>0</v>
      </c>
      <c r="AP40">
        <f t="shared" si="5"/>
        <v>0</v>
      </c>
      <c r="AQ40">
        <f t="shared" si="4"/>
        <v>0</v>
      </c>
    </row>
    <row r="41" spans="1:43" x14ac:dyDescent="0.25">
      <c r="A41">
        <v>54</v>
      </c>
      <c r="B41">
        <v>1.1689662042891769</v>
      </c>
      <c r="C41" s="11">
        <v>54</v>
      </c>
      <c r="D41" s="12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3">
        <v>1</v>
      </c>
      <c r="W41">
        <f>SUM(E41:V41)</f>
        <v>1</v>
      </c>
      <c r="X41">
        <f t="shared" si="3"/>
        <v>0</v>
      </c>
      <c r="Y41">
        <f t="shared" si="3"/>
        <v>0</v>
      </c>
      <c r="Z41">
        <f t="shared" si="3"/>
        <v>0</v>
      </c>
      <c r="AA41">
        <f t="shared" si="3"/>
        <v>0</v>
      </c>
      <c r="AB41">
        <f t="shared" si="5"/>
        <v>0</v>
      </c>
      <c r="AC41">
        <f t="shared" si="5"/>
        <v>0</v>
      </c>
      <c r="AD41">
        <f t="shared" si="5"/>
        <v>0</v>
      </c>
      <c r="AE41">
        <f t="shared" si="5"/>
        <v>0</v>
      </c>
      <c r="AF41">
        <f t="shared" si="5"/>
        <v>0</v>
      </c>
      <c r="AG41">
        <f t="shared" si="5"/>
        <v>0</v>
      </c>
      <c r="AH41">
        <f t="shared" si="5"/>
        <v>0</v>
      </c>
      <c r="AI41">
        <f t="shared" si="5"/>
        <v>0</v>
      </c>
      <c r="AJ41">
        <f t="shared" si="5"/>
        <v>0</v>
      </c>
      <c r="AK41">
        <f t="shared" si="5"/>
        <v>0</v>
      </c>
      <c r="AL41">
        <f t="shared" si="5"/>
        <v>0</v>
      </c>
      <c r="AM41">
        <f t="shared" si="5"/>
        <v>0</v>
      </c>
      <c r="AN41">
        <f t="shared" si="5"/>
        <v>0</v>
      </c>
      <c r="AO41">
        <f t="shared" si="5"/>
        <v>0</v>
      </c>
      <c r="AP41">
        <f t="shared" si="5"/>
        <v>1.1689662042891769</v>
      </c>
      <c r="AQ41">
        <f t="shared" si="4"/>
        <v>1.1689662042891769</v>
      </c>
    </row>
    <row r="42" spans="1:43" ht="15.75" thickBot="1" x14ac:dyDescent="0.3">
      <c r="A42">
        <v>55</v>
      </c>
      <c r="B42">
        <v>0</v>
      </c>
      <c r="C42" s="15">
        <v>55</v>
      </c>
      <c r="D42" s="1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3">
        <v>1</v>
      </c>
      <c r="T42" s="14"/>
      <c r="U42" s="14"/>
      <c r="V42" s="14"/>
      <c r="W42">
        <f>SUM(E42:V42)</f>
        <v>1</v>
      </c>
      <c r="X42">
        <f t="shared" si="3"/>
        <v>0</v>
      </c>
      <c r="Y42">
        <f t="shared" si="3"/>
        <v>0</v>
      </c>
      <c r="Z42">
        <f t="shared" si="3"/>
        <v>0</v>
      </c>
      <c r="AA42">
        <f t="shared" si="3"/>
        <v>0</v>
      </c>
      <c r="AB42">
        <f t="shared" si="5"/>
        <v>0</v>
      </c>
      <c r="AC42">
        <f t="shared" si="5"/>
        <v>0</v>
      </c>
      <c r="AD42">
        <f t="shared" si="5"/>
        <v>0</v>
      </c>
      <c r="AE42">
        <f t="shared" si="5"/>
        <v>0</v>
      </c>
      <c r="AF42">
        <f t="shared" si="5"/>
        <v>0</v>
      </c>
      <c r="AG42">
        <f t="shared" si="5"/>
        <v>0</v>
      </c>
      <c r="AH42">
        <f t="shared" si="5"/>
        <v>0</v>
      </c>
      <c r="AI42">
        <f t="shared" si="5"/>
        <v>0</v>
      </c>
      <c r="AJ42">
        <f t="shared" si="5"/>
        <v>0</v>
      </c>
      <c r="AK42">
        <f t="shared" si="5"/>
        <v>0</v>
      </c>
      <c r="AL42">
        <f t="shared" si="5"/>
        <v>0</v>
      </c>
      <c r="AM42">
        <f t="shared" si="5"/>
        <v>0</v>
      </c>
      <c r="AN42">
        <f t="shared" si="5"/>
        <v>0</v>
      </c>
      <c r="AO42">
        <f t="shared" si="5"/>
        <v>0</v>
      </c>
      <c r="AP42">
        <f t="shared" si="5"/>
        <v>0</v>
      </c>
      <c r="AQ42">
        <f t="shared" si="4"/>
        <v>0</v>
      </c>
    </row>
    <row r="43" spans="1:43" x14ac:dyDescent="0.25">
      <c r="A43" t="s">
        <v>22</v>
      </c>
      <c r="B43">
        <f>SUM(B2:B42)</f>
        <v>6378.8957604693596</v>
      </c>
      <c r="C43" t="s">
        <v>21</v>
      </c>
      <c r="E43">
        <f t="shared" ref="E43:S43" si="6">SUM(E15:E42)</f>
        <v>9</v>
      </c>
      <c r="F43">
        <f t="shared" si="6"/>
        <v>18</v>
      </c>
      <c r="G43">
        <f t="shared" si="6"/>
        <v>82</v>
      </c>
      <c r="H43">
        <f t="shared" si="6"/>
        <v>127</v>
      </c>
      <c r="I43">
        <f t="shared" si="6"/>
        <v>91</v>
      </c>
      <c r="J43">
        <f t="shared" si="6"/>
        <v>50</v>
      </c>
      <c r="K43">
        <f t="shared" si="6"/>
        <v>20</v>
      </c>
      <c r="L43">
        <f t="shared" si="6"/>
        <v>8</v>
      </c>
      <c r="M43">
        <f t="shared" si="6"/>
        <v>9</v>
      </c>
      <c r="N43">
        <f t="shared" si="6"/>
        <v>4</v>
      </c>
      <c r="O43">
        <f t="shared" si="6"/>
        <v>2</v>
      </c>
      <c r="P43">
        <f t="shared" si="6"/>
        <v>1</v>
      </c>
      <c r="Q43">
        <f t="shared" si="6"/>
        <v>8</v>
      </c>
      <c r="R43">
        <f t="shared" si="6"/>
        <v>3</v>
      </c>
      <c r="S43">
        <f t="shared" si="6"/>
        <v>6</v>
      </c>
      <c r="V43">
        <f>SUM(V15:V42)</f>
        <v>1</v>
      </c>
      <c r="W43" s="1">
        <f>SUM(W15:W42)</f>
        <v>439</v>
      </c>
      <c r="X43">
        <f>SUM(X15:X42)</f>
        <v>0</v>
      </c>
      <c r="Y43">
        <f t="shared" ref="Y43:AP43" si="7">SUM(Y15:Y42)</f>
        <v>30.407131351221523</v>
      </c>
      <c r="Z43">
        <f t="shared" si="7"/>
        <v>139.59462334294736</v>
      </c>
      <c r="AA43">
        <f t="shared" si="7"/>
        <v>1342.9760729517429</v>
      </c>
      <c r="AB43">
        <f t="shared" si="7"/>
        <v>2200.6957489583911</v>
      </c>
      <c r="AC43">
        <f t="shared" si="7"/>
        <v>1500.5674879281826</v>
      </c>
      <c r="AD43">
        <f t="shared" si="7"/>
        <v>670.55524805060077</v>
      </c>
      <c r="AE43">
        <f t="shared" si="7"/>
        <v>263.36936060867902</v>
      </c>
      <c r="AF43">
        <f t="shared" si="7"/>
        <v>77.1307638010679</v>
      </c>
      <c r="AG43">
        <f t="shared" si="7"/>
        <v>85.85127269074718</v>
      </c>
      <c r="AH43">
        <f t="shared" si="7"/>
        <v>29.201705284572924</v>
      </c>
      <c r="AI43">
        <f t="shared" si="7"/>
        <v>9.7794578344003575</v>
      </c>
      <c r="AJ43">
        <f t="shared" si="7"/>
        <v>3.5785805027531876</v>
      </c>
      <c r="AK43">
        <f t="shared" si="7"/>
        <v>12.31523751048363</v>
      </c>
      <c r="AL43">
        <f t="shared" si="7"/>
        <v>3.7119665835660589</v>
      </c>
      <c r="AM43">
        <f t="shared" si="7"/>
        <v>7.992136865712931</v>
      </c>
      <c r="AN43">
        <f t="shared" si="7"/>
        <v>0</v>
      </c>
      <c r="AO43">
        <f t="shared" si="7"/>
        <v>0</v>
      </c>
      <c r="AP43">
        <f t="shared" si="7"/>
        <v>1.1689662042891769</v>
      </c>
      <c r="AQ43">
        <f t="shared" si="4"/>
        <v>6378.8957604693596</v>
      </c>
    </row>
    <row r="44" spans="1:43" s="16" customForma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Q44"/>
  <sheetViews>
    <sheetView zoomScale="80" zoomScaleNormal="80" workbookViewId="0">
      <selection activeCell="C5" sqref="C5"/>
    </sheetView>
  </sheetViews>
  <sheetFormatPr defaultRowHeight="15" x14ac:dyDescent="0.25"/>
  <cols>
    <col min="3" max="22" width="5.7109375" customWidth="1"/>
  </cols>
  <sheetData>
    <row r="2" spans="1:43" x14ac:dyDescent="0.25">
      <c r="A2">
        <v>15</v>
      </c>
      <c r="B2">
        <v>0</v>
      </c>
    </row>
    <row r="3" spans="1:43" ht="19.5" thickBot="1" x14ac:dyDescent="0.35">
      <c r="A3">
        <v>16</v>
      </c>
      <c r="B3">
        <v>0</v>
      </c>
      <c r="C3" s="36" t="s">
        <v>25</v>
      </c>
      <c r="D3" s="36"/>
    </row>
    <row r="4" spans="1:43" ht="15.75" thickBot="1" x14ac:dyDescent="0.3">
      <c r="A4">
        <v>17</v>
      </c>
      <c r="B4">
        <v>0</v>
      </c>
      <c r="C4" s="2" t="s">
        <v>1</v>
      </c>
      <c r="D4" s="26" t="s">
        <v>2</v>
      </c>
      <c r="E4" s="27" t="s">
        <v>3</v>
      </c>
      <c r="F4" s="27" t="s">
        <v>4</v>
      </c>
      <c r="G4" s="27" t="s">
        <v>5</v>
      </c>
      <c r="H4" s="27" t="s">
        <v>6</v>
      </c>
      <c r="I4" s="28" t="s">
        <v>7</v>
      </c>
      <c r="J4" s="27" t="s">
        <v>8</v>
      </c>
      <c r="K4" s="27" t="s">
        <v>9</v>
      </c>
      <c r="L4" s="27" t="s">
        <v>10</v>
      </c>
      <c r="M4" s="27" t="s">
        <v>11</v>
      </c>
      <c r="N4" s="28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5" t="s">
        <v>18</v>
      </c>
      <c r="U4" s="4" t="s">
        <v>19</v>
      </c>
      <c r="V4" s="5" t="s">
        <v>20</v>
      </c>
      <c r="W4" s="20" t="s">
        <v>26</v>
      </c>
      <c r="X4" s="3" t="s">
        <v>2</v>
      </c>
      <c r="Y4" s="4" t="s">
        <v>3</v>
      </c>
      <c r="Z4" s="4" t="s">
        <v>4</v>
      </c>
      <c r="AA4" s="4" t="s">
        <v>5</v>
      </c>
      <c r="AB4" s="4" t="s">
        <v>6</v>
      </c>
      <c r="AC4" s="4" t="s">
        <v>7</v>
      </c>
      <c r="AD4" s="4" t="s">
        <v>8</v>
      </c>
      <c r="AE4" s="4" t="s">
        <v>9</v>
      </c>
      <c r="AF4" s="4" t="s">
        <v>10</v>
      </c>
      <c r="AG4" s="4" t="s">
        <v>11</v>
      </c>
      <c r="AH4" s="4" t="s">
        <v>12</v>
      </c>
      <c r="AI4" s="4" t="s">
        <v>13</v>
      </c>
      <c r="AJ4" s="4" t="s">
        <v>14</v>
      </c>
      <c r="AK4" s="4" t="s">
        <v>15</v>
      </c>
      <c r="AL4" s="4" t="s">
        <v>16</v>
      </c>
      <c r="AM4" s="4" t="s">
        <v>17</v>
      </c>
      <c r="AN4" s="4" t="s">
        <v>18</v>
      </c>
      <c r="AO4" s="4" t="s">
        <v>19</v>
      </c>
      <c r="AP4" s="5" t="s">
        <v>20</v>
      </c>
    </row>
    <row r="5" spans="1:43" x14ac:dyDescent="0.25">
      <c r="A5">
        <v>18</v>
      </c>
      <c r="B5">
        <v>3.6417893030794168</v>
      </c>
      <c r="D5">
        <v>1</v>
      </c>
      <c r="W5">
        <f>SUM(D5:V5)</f>
        <v>1</v>
      </c>
      <c r="X5">
        <f>D5/$W5*$B5</f>
        <v>3.6417893030794168</v>
      </c>
      <c r="Y5">
        <f t="shared" ref="Y5" si="0">E5/$W5*$B5</f>
        <v>0</v>
      </c>
      <c r="Z5">
        <f t="shared" ref="Z5" si="1">F5/$W5*$B5</f>
        <v>0</v>
      </c>
      <c r="AA5">
        <f t="shared" ref="AA5" si="2">G5/$W5*$B5</f>
        <v>0</v>
      </c>
      <c r="AB5">
        <f t="shared" ref="AB5" si="3">H5/$W5*$B5</f>
        <v>0</v>
      </c>
      <c r="AC5">
        <f t="shared" ref="AC5" si="4">I5/$W5*$B5</f>
        <v>0</v>
      </c>
      <c r="AD5">
        <f t="shared" ref="AD5" si="5">J5/$W5*$B5</f>
        <v>0</v>
      </c>
      <c r="AE5">
        <f t="shared" ref="AE5" si="6">K5/$W5*$B5</f>
        <v>0</v>
      </c>
      <c r="AF5">
        <f t="shared" ref="AF5" si="7">L5/$W5*$B5</f>
        <v>0</v>
      </c>
      <c r="AG5">
        <f t="shared" ref="AG5" si="8">M5/$W5*$B5</f>
        <v>0</v>
      </c>
      <c r="AH5">
        <f t="shared" ref="AH5" si="9">N5/$W5*$B5</f>
        <v>0</v>
      </c>
      <c r="AI5">
        <f t="shared" ref="AI5" si="10">O5/$W5*$B5</f>
        <v>0</v>
      </c>
      <c r="AJ5">
        <f t="shared" ref="AJ5" si="11">P5/$W5*$B5</f>
        <v>0</v>
      </c>
      <c r="AK5">
        <f t="shared" ref="AK5" si="12">Q5/$W5*$B5</f>
        <v>0</v>
      </c>
      <c r="AL5">
        <f t="shared" ref="AL5" si="13">R5/$W5*$B5</f>
        <v>0</v>
      </c>
      <c r="AM5">
        <f t="shared" ref="AM5" si="14">S5/$W5*$B5</f>
        <v>0</v>
      </c>
      <c r="AN5">
        <f t="shared" ref="AN5" si="15">T5/$W5*$B5</f>
        <v>0</v>
      </c>
      <c r="AO5">
        <f t="shared" ref="AO5" si="16">U5/$W5*$B5</f>
        <v>0</v>
      </c>
      <c r="AP5">
        <f t="shared" ref="AP5" si="17">V5/$W5*$B5</f>
        <v>0</v>
      </c>
      <c r="AQ5">
        <f>SUM(X5:AP5)</f>
        <v>3.6417893030794168</v>
      </c>
    </row>
    <row r="6" spans="1:43" x14ac:dyDescent="0.25">
      <c r="A6">
        <v>19</v>
      </c>
      <c r="B6">
        <v>37.221058346839548</v>
      </c>
      <c r="C6" s="29">
        <v>19</v>
      </c>
      <c r="D6" s="30">
        <v>1</v>
      </c>
      <c r="E6" s="31"/>
      <c r="F6" s="31"/>
      <c r="G6" s="31"/>
      <c r="H6" s="31"/>
      <c r="I6" s="31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>
        <f t="shared" ref="W6:W14" si="18">SUM(D6:V6)</f>
        <v>1</v>
      </c>
      <c r="X6">
        <f t="shared" ref="X6:X14" si="19">D6/$W6*$B6</f>
        <v>37.221058346839548</v>
      </c>
      <c r="Y6">
        <f t="shared" ref="Y6:Y14" si="20">E6/$W6*$B6</f>
        <v>0</v>
      </c>
      <c r="Z6">
        <f t="shared" ref="Z6:Z14" si="21">F6/$W6*$B6</f>
        <v>0</v>
      </c>
      <c r="AA6">
        <f t="shared" ref="AA6:AA14" si="22">G6/$W6*$B6</f>
        <v>0</v>
      </c>
      <c r="AB6">
        <f t="shared" ref="AB6:AB14" si="23">H6/$W6*$B6</f>
        <v>0</v>
      </c>
      <c r="AC6">
        <f t="shared" ref="AC6:AC14" si="24">I6/$W6*$B6</f>
        <v>0</v>
      </c>
      <c r="AD6">
        <f t="shared" ref="AD6:AD14" si="25">J6/$W6*$B6</f>
        <v>0</v>
      </c>
      <c r="AE6">
        <f t="shared" ref="AE6:AE14" si="26">K6/$W6*$B6</f>
        <v>0</v>
      </c>
      <c r="AF6">
        <f t="shared" ref="AF6:AF14" si="27">L6/$W6*$B6</f>
        <v>0</v>
      </c>
      <c r="AG6">
        <f t="shared" ref="AG6:AG14" si="28">M6/$W6*$B6</f>
        <v>0</v>
      </c>
      <c r="AH6">
        <f t="shared" ref="AH6:AH14" si="29">N6/$W6*$B6</f>
        <v>0</v>
      </c>
      <c r="AI6">
        <f t="shared" ref="AI6:AI14" si="30">O6/$W6*$B6</f>
        <v>0</v>
      </c>
      <c r="AJ6">
        <f t="shared" ref="AJ6:AJ14" si="31">P6/$W6*$B6</f>
        <v>0</v>
      </c>
      <c r="AK6">
        <f t="shared" ref="AK6:AK14" si="32">Q6/$W6*$B6</f>
        <v>0</v>
      </c>
      <c r="AL6">
        <f t="shared" ref="AL6:AL14" si="33">R6/$W6*$B6</f>
        <v>0</v>
      </c>
      <c r="AM6">
        <f t="shared" ref="AM6:AM14" si="34">S6/$W6*$B6</f>
        <v>0</v>
      </c>
      <c r="AN6">
        <f t="shared" ref="AN6:AN14" si="35">T6/$W6*$B6</f>
        <v>0</v>
      </c>
      <c r="AO6">
        <f t="shared" ref="AO6:AO14" si="36">U6/$W6*$B6</f>
        <v>0</v>
      </c>
      <c r="AP6">
        <f t="shared" ref="AP6:AP14" si="37">V6/$W6*$B6</f>
        <v>0</v>
      </c>
      <c r="AQ6">
        <f t="shared" ref="AQ6:AQ14" si="38">SUM(X6:AP6)</f>
        <v>37.221058346839548</v>
      </c>
    </row>
    <row r="7" spans="1:43" x14ac:dyDescent="0.25">
      <c r="A7">
        <v>20</v>
      </c>
      <c r="B7">
        <v>29.218400324149112</v>
      </c>
      <c r="C7" s="32">
        <v>20</v>
      </c>
      <c r="D7" s="18">
        <v>1</v>
      </c>
      <c r="E7" s="33"/>
      <c r="F7" s="33"/>
      <c r="G7" s="33"/>
      <c r="H7" s="33"/>
      <c r="I7" s="3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>
        <f t="shared" si="18"/>
        <v>1</v>
      </c>
      <c r="X7">
        <f t="shared" si="19"/>
        <v>29.218400324149112</v>
      </c>
      <c r="Y7">
        <f t="shared" si="20"/>
        <v>0</v>
      </c>
      <c r="Z7">
        <f t="shared" si="21"/>
        <v>0</v>
      </c>
      <c r="AA7">
        <f t="shared" si="22"/>
        <v>0</v>
      </c>
      <c r="AB7">
        <f t="shared" si="23"/>
        <v>0</v>
      </c>
      <c r="AC7">
        <f t="shared" si="24"/>
        <v>0</v>
      </c>
      <c r="AD7">
        <f t="shared" si="25"/>
        <v>0</v>
      </c>
      <c r="AE7">
        <f t="shared" si="26"/>
        <v>0</v>
      </c>
      <c r="AF7">
        <f t="shared" si="27"/>
        <v>0</v>
      </c>
      <c r="AG7">
        <f t="shared" si="28"/>
        <v>0</v>
      </c>
      <c r="AH7">
        <f t="shared" si="29"/>
        <v>0</v>
      </c>
      <c r="AI7">
        <f t="shared" si="30"/>
        <v>0</v>
      </c>
      <c r="AJ7">
        <f t="shared" si="31"/>
        <v>0</v>
      </c>
      <c r="AK7">
        <f t="shared" si="32"/>
        <v>0</v>
      </c>
      <c r="AL7">
        <f t="shared" si="33"/>
        <v>0</v>
      </c>
      <c r="AM7">
        <f t="shared" si="34"/>
        <v>0</v>
      </c>
      <c r="AN7">
        <f t="shared" si="35"/>
        <v>0</v>
      </c>
      <c r="AO7">
        <f t="shared" si="36"/>
        <v>0</v>
      </c>
      <c r="AP7">
        <f t="shared" si="37"/>
        <v>0</v>
      </c>
      <c r="AQ7">
        <f t="shared" si="38"/>
        <v>29.218400324149112</v>
      </c>
    </row>
    <row r="8" spans="1:43" x14ac:dyDescent="0.25">
      <c r="A8">
        <v>21</v>
      </c>
      <c r="B8">
        <v>37.972032414910863</v>
      </c>
      <c r="C8" s="32">
        <v>21</v>
      </c>
      <c r="D8" s="18">
        <v>1</v>
      </c>
      <c r="E8" s="33"/>
      <c r="F8" s="33"/>
      <c r="G8" s="33"/>
      <c r="H8" s="33"/>
      <c r="I8" s="3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>
        <f t="shared" si="18"/>
        <v>1</v>
      </c>
      <c r="X8">
        <f t="shared" si="19"/>
        <v>37.972032414910863</v>
      </c>
      <c r="Y8">
        <f t="shared" si="20"/>
        <v>0</v>
      </c>
      <c r="Z8">
        <f t="shared" si="21"/>
        <v>0</v>
      </c>
      <c r="AA8">
        <f t="shared" si="22"/>
        <v>0</v>
      </c>
      <c r="AB8">
        <f t="shared" si="23"/>
        <v>0</v>
      </c>
      <c r="AC8">
        <f t="shared" si="24"/>
        <v>0</v>
      </c>
      <c r="AD8">
        <f t="shared" si="25"/>
        <v>0</v>
      </c>
      <c r="AE8">
        <f t="shared" si="26"/>
        <v>0</v>
      </c>
      <c r="AF8">
        <f t="shared" si="27"/>
        <v>0</v>
      </c>
      <c r="AG8">
        <f t="shared" si="28"/>
        <v>0</v>
      </c>
      <c r="AH8">
        <f t="shared" si="29"/>
        <v>0</v>
      </c>
      <c r="AI8">
        <f t="shared" si="30"/>
        <v>0</v>
      </c>
      <c r="AJ8">
        <f t="shared" si="31"/>
        <v>0</v>
      </c>
      <c r="AK8">
        <f t="shared" si="32"/>
        <v>0</v>
      </c>
      <c r="AL8">
        <f t="shared" si="33"/>
        <v>0</v>
      </c>
      <c r="AM8">
        <f t="shared" si="34"/>
        <v>0</v>
      </c>
      <c r="AN8">
        <f t="shared" si="35"/>
        <v>0</v>
      </c>
      <c r="AO8">
        <f t="shared" si="36"/>
        <v>0</v>
      </c>
      <c r="AP8">
        <f t="shared" si="37"/>
        <v>0</v>
      </c>
      <c r="AQ8">
        <f t="shared" si="38"/>
        <v>37.972032414910863</v>
      </c>
    </row>
    <row r="9" spans="1:43" x14ac:dyDescent="0.25">
      <c r="A9">
        <v>22</v>
      </c>
      <c r="B9">
        <v>5.8454197730956245</v>
      </c>
      <c r="C9" s="32">
        <v>22</v>
      </c>
      <c r="D9" s="34">
        <v>1</v>
      </c>
      <c r="E9" s="33"/>
      <c r="F9" s="33"/>
      <c r="G9" s="33"/>
      <c r="H9" s="33"/>
      <c r="I9" s="3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>
        <f t="shared" si="18"/>
        <v>1</v>
      </c>
      <c r="X9">
        <f t="shared" si="19"/>
        <v>5.8454197730956245</v>
      </c>
      <c r="Y9">
        <f t="shared" si="20"/>
        <v>0</v>
      </c>
      <c r="Z9">
        <f t="shared" si="21"/>
        <v>0</v>
      </c>
      <c r="AA9">
        <f t="shared" si="22"/>
        <v>0</v>
      </c>
      <c r="AB9">
        <f t="shared" si="23"/>
        <v>0</v>
      </c>
      <c r="AC9">
        <f t="shared" si="24"/>
        <v>0</v>
      </c>
      <c r="AD9">
        <f t="shared" si="25"/>
        <v>0</v>
      </c>
      <c r="AE9">
        <f t="shared" si="26"/>
        <v>0</v>
      </c>
      <c r="AF9">
        <f t="shared" si="27"/>
        <v>0</v>
      </c>
      <c r="AG9">
        <f t="shared" si="28"/>
        <v>0</v>
      </c>
      <c r="AH9">
        <f t="shared" si="29"/>
        <v>0</v>
      </c>
      <c r="AI9">
        <f t="shared" si="30"/>
        <v>0</v>
      </c>
      <c r="AJ9">
        <f t="shared" si="31"/>
        <v>0</v>
      </c>
      <c r="AK9">
        <f t="shared" si="32"/>
        <v>0</v>
      </c>
      <c r="AL9">
        <f t="shared" si="33"/>
        <v>0</v>
      </c>
      <c r="AM9">
        <f t="shared" si="34"/>
        <v>0</v>
      </c>
      <c r="AN9">
        <f t="shared" si="35"/>
        <v>0</v>
      </c>
      <c r="AO9">
        <f t="shared" si="36"/>
        <v>0</v>
      </c>
      <c r="AP9">
        <f t="shared" si="37"/>
        <v>0</v>
      </c>
      <c r="AQ9">
        <f t="shared" si="38"/>
        <v>5.8454197730956245</v>
      </c>
    </row>
    <row r="10" spans="1:43" x14ac:dyDescent="0.25">
      <c r="A10">
        <v>23</v>
      </c>
      <c r="B10">
        <v>0</v>
      </c>
      <c r="C10" s="32">
        <v>23</v>
      </c>
      <c r="D10" s="34">
        <v>1</v>
      </c>
      <c r="E10" s="33"/>
      <c r="F10" s="33"/>
      <c r="G10" s="33"/>
      <c r="H10" s="33"/>
      <c r="I10" s="3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>
        <f t="shared" si="18"/>
        <v>1</v>
      </c>
      <c r="X10">
        <f t="shared" si="19"/>
        <v>0</v>
      </c>
      <c r="Y10">
        <f t="shared" si="20"/>
        <v>0</v>
      </c>
      <c r="Z10">
        <f t="shared" si="21"/>
        <v>0</v>
      </c>
      <c r="AA10">
        <f t="shared" si="22"/>
        <v>0</v>
      </c>
      <c r="AB10">
        <f t="shared" si="23"/>
        <v>0</v>
      </c>
      <c r="AC10">
        <f t="shared" si="24"/>
        <v>0</v>
      </c>
      <c r="AD10">
        <f t="shared" si="25"/>
        <v>0</v>
      </c>
      <c r="AE10">
        <f t="shared" si="26"/>
        <v>0</v>
      </c>
      <c r="AF10">
        <f t="shared" si="27"/>
        <v>0</v>
      </c>
      <c r="AG10">
        <f t="shared" si="28"/>
        <v>0</v>
      </c>
      <c r="AH10">
        <f t="shared" si="29"/>
        <v>0</v>
      </c>
      <c r="AI10">
        <f t="shared" si="30"/>
        <v>0</v>
      </c>
      <c r="AJ10">
        <f t="shared" si="31"/>
        <v>0</v>
      </c>
      <c r="AK10">
        <f t="shared" si="32"/>
        <v>0</v>
      </c>
      <c r="AL10">
        <f t="shared" si="33"/>
        <v>0</v>
      </c>
      <c r="AM10">
        <f t="shared" si="34"/>
        <v>0</v>
      </c>
      <c r="AN10">
        <f t="shared" si="35"/>
        <v>0</v>
      </c>
      <c r="AO10">
        <f t="shared" si="36"/>
        <v>0</v>
      </c>
      <c r="AP10">
        <f t="shared" si="37"/>
        <v>0</v>
      </c>
      <c r="AQ10">
        <f t="shared" si="38"/>
        <v>0</v>
      </c>
    </row>
    <row r="11" spans="1:43" x14ac:dyDescent="0.25">
      <c r="A11">
        <v>24</v>
      </c>
      <c r="B11">
        <v>23.143918962722854</v>
      </c>
      <c r="C11" s="32">
        <v>24</v>
      </c>
      <c r="D11" s="34"/>
      <c r="E11" s="33">
        <v>1</v>
      </c>
      <c r="F11" s="33"/>
      <c r="G11" s="33"/>
      <c r="H11" s="33"/>
      <c r="I11" s="3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>
        <f t="shared" si="18"/>
        <v>1</v>
      </c>
      <c r="X11">
        <f t="shared" si="19"/>
        <v>0</v>
      </c>
      <c r="Y11">
        <f t="shared" si="20"/>
        <v>23.143918962722854</v>
      </c>
      <c r="Z11">
        <f t="shared" si="21"/>
        <v>0</v>
      </c>
      <c r="AA11">
        <f t="shared" si="22"/>
        <v>0</v>
      </c>
      <c r="AB11">
        <f t="shared" si="23"/>
        <v>0</v>
      </c>
      <c r="AC11">
        <f t="shared" si="24"/>
        <v>0</v>
      </c>
      <c r="AD11">
        <f t="shared" si="25"/>
        <v>0</v>
      </c>
      <c r="AE11">
        <f t="shared" si="26"/>
        <v>0</v>
      </c>
      <c r="AF11">
        <f t="shared" si="27"/>
        <v>0</v>
      </c>
      <c r="AG11">
        <f t="shared" si="28"/>
        <v>0</v>
      </c>
      <c r="AH11">
        <f t="shared" si="29"/>
        <v>0</v>
      </c>
      <c r="AI11">
        <f t="shared" si="30"/>
        <v>0</v>
      </c>
      <c r="AJ11">
        <f t="shared" si="31"/>
        <v>0</v>
      </c>
      <c r="AK11">
        <f t="shared" si="32"/>
        <v>0</v>
      </c>
      <c r="AL11">
        <f t="shared" si="33"/>
        <v>0</v>
      </c>
      <c r="AM11">
        <f t="shared" si="34"/>
        <v>0</v>
      </c>
      <c r="AN11">
        <f t="shared" si="35"/>
        <v>0</v>
      </c>
      <c r="AO11">
        <f t="shared" si="36"/>
        <v>0</v>
      </c>
      <c r="AP11">
        <f t="shared" si="37"/>
        <v>0</v>
      </c>
      <c r="AQ11">
        <f t="shared" si="38"/>
        <v>23.143918962722854</v>
      </c>
    </row>
    <row r="12" spans="1:43" x14ac:dyDescent="0.25">
      <c r="A12">
        <v>25</v>
      </c>
      <c r="B12">
        <v>122.16231442463534</v>
      </c>
      <c r="C12" s="32">
        <v>25</v>
      </c>
      <c r="D12" s="34"/>
      <c r="E12" s="33">
        <v>1</v>
      </c>
      <c r="F12" s="33"/>
      <c r="G12" s="33"/>
      <c r="H12" s="33"/>
      <c r="I12" s="3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>
        <f t="shared" si="18"/>
        <v>1</v>
      </c>
      <c r="X12">
        <f t="shared" si="19"/>
        <v>0</v>
      </c>
      <c r="Y12">
        <f t="shared" si="20"/>
        <v>122.16231442463534</v>
      </c>
      <c r="Z12">
        <f t="shared" si="21"/>
        <v>0</v>
      </c>
      <c r="AA12">
        <f t="shared" si="22"/>
        <v>0</v>
      </c>
      <c r="AB12">
        <f t="shared" si="23"/>
        <v>0</v>
      </c>
      <c r="AC12">
        <f t="shared" si="24"/>
        <v>0</v>
      </c>
      <c r="AD12">
        <f t="shared" si="25"/>
        <v>0</v>
      </c>
      <c r="AE12">
        <f t="shared" si="26"/>
        <v>0</v>
      </c>
      <c r="AF12">
        <f t="shared" si="27"/>
        <v>0</v>
      </c>
      <c r="AG12">
        <f t="shared" si="28"/>
        <v>0</v>
      </c>
      <c r="AH12">
        <f t="shared" si="29"/>
        <v>0</v>
      </c>
      <c r="AI12">
        <f t="shared" si="30"/>
        <v>0</v>
      </c>
      <c r="AJ12">
        <f t="shared" si="31"/>
        <v>0</v>
      </c>
      <c r="AK12">
        <f t="shared" si="32"/>
        <v>0</v>
      </c>
      <c r="AL12">
        <f t="shared" si="33"/>
        <v>0</v>
      </c>
      <c r="AM12">
        <f t="shared" si="34"/>
        <v>0</v>
      </c>
      <c r="AN12">
        <f t="shared" si="35"/>
        <v>0</v>
      </c>
      <c r="AO12">
        <f t="shared" si="36"/>
        <v>0</v>
      </c>
      <c r="AP12">
        <f t="shared" si="37"/>
        <v>0</v>
      </c>
      <c r="AQ12">
        <f t="shared" si="38"/>
        <v>122.16231442463534</v>
      </c>
    </row>
    <row r="13" spans="1:43" x14ac:dyDescent="0.25">
      <c r="A13">
        <v>26</v>
      </c>
      <c r="B13">
        <v>1276.5776288492709</v>
      </c>
      <c r="C13" s="32">
        <v>26</v>
      </c>
      <c r="D13" s="18">
        <v>2</v>
      </c>
      <c r="E13" s="19">
        <v>9</v>
      </c>
      <c r="F13" s="19">
        <v>3</v>
      </c>
      <c r="G13" s="33"/>
      <c r="H13" s="33"/>
      <c r="I13" s="3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>
        <f t="shared" si="18"/>
        <v>14</v>
      </c>
      <c r="X13">
        <f t="shared" si="19"/>
        <v>182.36823269275297</v>
      </c>
      <c r="Y13">
        <f t="shared" si="20"/>
        <v>820.65704711738852</v>
      </c>
      <c r="Z13">
        <f t="shared" si="21"/>
        <v>273.55234903912947</v>
      </c>
      <c r="AA13">
        <f t="shared" si="22"/>
        <v>0</v>
      </c>
      <c r="AB13">
        <f t="shared" si="23"/>
        <v>0</v>
      </c>
      <c r="AC13">
        <f t="shared" si="24"/>
        <v>0</v>
      </c>
      <c r="AD13">
        <f t="shared" si="25"/>
        <v>0</v>
      </c>
      <c r="AE13">
        <f t="shared" si="26"/>
        <v>0</v>
      </c>
      <c r="AF13">
        <f t="shared" si="27"/>
        <v>0</v>
      </c>
      <c r="AG13">
        <f t="shared" si="28"/>
        <v>0</v>
      </c>
      <c r="AH13">
        <f t="shared" si="29"/>
        <v>0</v>
      </c>
      <c r="AI13">
        <f t="shared" si="30"/>
        <v>0</v>
      </c>
      <c r="AJ13">
        <f t="shared" si="31"/>
        <v>0</v>
      </c>
      <c r="AK13">
        <f t="shared" si="32"/>
        <v>0</v>
      </c>
      <c r="AL13">
        <f t="shared" si="33"/>
        <v>0</v>
      </c>
      <c r="AM13">
        <f t="shared" si="34"/>
        <v>0</v>
      </c>
      <c r="AN13">
        <f t="shared" si="35"/>
        <v>0</v>
      </c>
      <c r="AO13">
        <f t="shared" si="36"/>
        <v>0</v>
      </c>
      <c r="AP13">
        <f t="shared" si="37"/>
        <v>0</v>
      </c>
      <c r="AQ13">
        <f t="shared" si="38"/>
        <v>1276.5776288492709</v>
      </c>
    </row>
    <row r="14" spans="1:43" x14ac:dyDescent="0.25">
      <c r="A14">
        <v>27</v>
      </c>
      <c r="B14">
        <v>8427.8688184764997</v>
      </c>
      <c r="C14" s="32">
        <v>27</v>
      </c>
      <c r="D14" s="34"/>
      <c r="E14" s="19">
        <v>52</v>
      </c>
      <c r="F14" s="19">
        <v>26</v>
      </c>
      <c r="G14" s="19">
        <v>2</v>
      </c>
      <c r="H14" s="33"/>
      <c r="I14" s="3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>
        <f t="shared" si="18"/>
        <v>80</v>
      </c>
      <c r="X14">
        <f t="shared" si="19"/>
        <v>0</v>
      </c>
      <c r="Y14">
        <f t="shared" si="20"/>
        <v>5478.1147320097252</v>
      </c>
      <c r="Z14">
        <f t="shared" si="21"/>
        <v>2739.0573660048626</v>
      </c>
      <c r="AA14">
        <f t="shared" si="22"/>
        <v>210.69672046191249</v>
      </c>
      <c r="AB14">
        <f t="shared" si="23"/>
        <v>0</v>
      </c>
      <c r="AC14">
        <f t="shared" si="24"/>
        <v>0</v>
      </c>
      <c r="AD14">
        <f t="shared" si="25"/>
        <v>0</v>
      </c>
      <c r="AE14">
        <f t="shared" si="26"/>
        <v>0</v>
      </c>
      <c r="AF14">
        <f t="shared" si="27"/>
        <v>0</v>
      </c>
      <c r="AG14">
        <f t="shared" si="28"/>
        <v>0</v>
      </c>
      <c r="AH14">
        <f t="shared" si="29"/>
        <v>0</v>
      </c>
      <c r="AI14">
        <f t="shared" si="30"/>
        <v>0</v>
      </c>
      <c r="AJ14">
        <f t="shared" si="31"/>
        <v>0</v>
      </c>
      <c r="AK14">
        <f t="shared" si="32"/>
        <v>0</v>
      </c>
      <c r="AL14">
        <f t="shared" si="33"/>
        <v>0</v>
      </c>
      <c r="AM14">
        <f t="shared" si="34"/>
        <v>0</v>
      </c>
      <c r="AN14">
        <f t="shared" si="35"/>
        <v>0</v>
      </c>
      <c r="AO14">
        <f t="shared" si="36"/>
        <v>0</v>
      </c>
      <c r="AP14">
        <f t="shared" si="37"/>
        <v>0</v>
      </c>
      <c r="AQ14">
        <f t="shared" si="38"/>
        <v>8427.8688184764997</v>
      </c>
    </row>
    <row r="15" spans="1:43" x14ac:dyDescent="0.25">
      <c r="A15">
        <v>28</v>
      </c>
      <c r="B15">
        <v>4829.6592074554301</v>
      </c>
      <c r="C15" s="32">
        <v>28</v>
      </c>
      <c r="D15" s="34"/>
      <c r="E15" s="19">
        <v>33</v>
      </c>
      <c r="F15" s="19">
        <v>23</v>
      </c>
      <c r="G15" s="19">
        <v>2</v>
      </c>
      <c r="H15" s="19">
        <v>1</v>
      </c>
      <c r="I15" s="33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>
        <f t="shared" ref="W15:W39" si="39">SUM(E15:V15)</f>
        <v>59</v>
      </c>
      <c r="X15">
        <f>D15/$W15*$B15</f>
        <v>0</v>
      </c>
      <c r="Y15">
        <f t="shared" ref="Y15:AN29" si="40">E15/$W15*$B15</f>
        <v>2701.3348109496469</v>
      </c>
      <c r="Z15">
        <f t="shared" si="40"/>
        <v>1882.7485046012694</v>
      </c>
      <c r="AA15">
        <f t="shared" si="40"/>
        <v>163.71726126967559</v>
      </c>
      <c r="AB15">
        <f t="shared" si="40"/>
        <v>81.858630634837795</v>
      </c>
      <c r="AC15">
        <f t="shared" si="40"/>
        <v>0</v>
      </c>
      <c r="AD15">
        <f t="shared" si="40"/>
        <v>0</v>
      </c>
      <c r="AE15">
        <f t="shared" si="40"/>
        <v>0</v>
      </c>
      <c r="AF15">
        <f t="shared" si="40"/>
        <v>0</v>
      </c>
      <c r="AG15">
        <f t="shared" si="40"/>
        <v>0</v>
      </c>
      <c r="AH15">
        <f t="shared" si="40"/>
        <v>0</v>
      </c>
      <c r="AI15">
        <f t="shared" si="40"/>
        <v>0</v>
      </c>
      <c r="AJ15">
        <f t="shared" si="40"/>
        <v>0</v>
      </c>
      <c r="AK15">
        <f t="shared" si="40"/>
        <v>0</v>
      </c>
      <c r="AL15">
        <f t="shared" si="40"/>
        <v>0</v>
      </c>
      <c r="AM15">
        <f t="shared" si="40"/>
        <v>0</v>
      </c>
      <c r="AN15">
        <f t="shared" si="40"/>
        <v>0</v>
      </c>
      <c r="AO15">
        <f t="shared" ref="AB15:AP30" si="41">U15/$W15*$B15</f>
        <v>0</v>
      </c>
      <c r="AP15">
        <f t="shared" si="41"/>
        <v>0</v>
      </c>
      <c r="AQ15">
        <f>SUM(X15:AP15)</f>
        <v>4829.6592074554301</v>
      </c>
    </row>
    <row r="16" spans="1:43" x14ac:dyDescent="0.25">
      <c r="A16">
        <v>29</v>
      </c>
      <c r="B16">
        <v>1217.8682739059968</v>
      </c>
      <c r="C16" s="32">
        <v>29</v>
      </c>
      <c r="D16" s="34"/>
      <c r="E16" s="19">
        <v>6</v>
      </c>
      <c r="F16" s="19">
        <v>8</v>
      </c>
      <c r="G16" s="19">
        <v>1</v>
      </c>
      <c r="H16" s="33"/>
      <c r="I16" s="3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>
        <f t="shared" si="39"/>
        <v>15</v>
      </c>
      <c r="X16">
        <f t="shared" ref="X16:AM42" si="42">D16/$W16*$B16</f>
        <v>0</v>
      </c>
      <c r="Y16">
        <f t="shared" si="40"/>
        <v>487.14730956239873</v>
      </c>
      <c r="Z16">
        <f t="shared" si="40"/>
        <v>649.52974608319835</v>
      </c>
      <c r="AA16">
        <f t="shared" si="40"/>
        <v>81.191218260399793</v>
      </c>
      <c r="AB16">
        <f t="shared" si="40"/>
        <v>0</v>
      </c>
      <c r="AC16">
        <f t="shared" si="40"/>
        <v>0</v>
      </c>
      <c r="AD16">
        <f t="shared" si="40"/>
        <v>0</v>
      </c>
      <c r="AE16">
        <f t="shared" si="40"/>
        <v>0</v>
      </c>
      <c r="AF16">
        <f t="shared" si="40"/>
        <v>0</v>
      </c>
      <c r="AG16">
        <f t="shared" si="40"/>
        <v>0</v>
      </c>
      <c r="AH16">
        <f t="shared" si="40"/>
        <v>0</v>
      </c>
      <c r="AI16">
        <f t="shared" si="40"/>
        <v>0</v>
      </c>
      <c r="AJ16">
        <f t="shared" si="40"/>
        <v>0</v>
      </c>
      <c r="AK16">
        <f t="shared" si="40"/>
        <v>0</v>
      </c>
      <c r="AL16">
        <f t="shared" si="40"/>
        <v>0</v>
      </c>
      <c r="AM16">
        <f t="shared" si="40"/>
        <v>0</v>
      </c>
      <c r="AN16">
        <f t="shared" si="40"/>
        <v>0</v>
      </c>
      <c r="AO16">
        <f t="shared" si="41"/>
        <v>0</v>
      </c>
      <c r="AP16">
        <f t="shared" si="41"/>
        <v>0</v>
      </c>
      <c r="AQ16">
        <f t="shared" ref="AQ16:AQ42" si="43">SUM(X16:AP16)</f>
        <v>1217.8682739059971</v>
      </c>
    </row>
    <row r="17" spans="1:43" x14ac:dyDescent="0.25">
      <c r="A17">
        <v>30</v>
      </c>
      <c r="B17">
        <v>212.29659967585093</v>
      </c>
      <c r="C17" s="32">
        <v>30</v>
      </c>
      <c r="D17" s="34"/>
      <c r="E17" s="19">
        <v>3</v>
      </c>
      <c r="F17" s="33"/>
      <c r="G17" s="19">
        <v>1</v>
      </c>
      <c r="H17" s="33"/>
      <c r="I17" s="33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>
        <f t="shared" si="39"/>
        <v>4</v>
      </c>
      <c r="X17">
        <f t="shared" si="42"/>
        <v>0</v>
      </c>
      <c r="Y17">
        <f t="shared" si="40"/>
        <v>159.22244975688818</v>
      </c>
      <c r="Z17">
        <f t="shared" si="40"/>
        <v>0</v>
      </c>
      <c r="AA17">
        <f t="shared" si="40"/>
        <v>53.074149918962732</v>
      </c>
      <c r="AB17">
        <f t="shared" si="40"/>
        <v>0</v>
      </c>
      <c r="AC17">
        <f t="shared" si="40"/>
        <v>0</v>
      </c>
      <c r="AD17">
        <f t="shared" si="40"/>
        <v>0</v>
      </c>
      <c r="AE17">
        <f t="shared" si="40"/>
        <v>0</v>
      </c>
      <c r="AF17">
        <f t="shared" si="40"/>
        <v>0</v>
      </c>
      <c r="AG17">
        <f t="shared" si="40"/>
        <v>0</v>
      </c>
      <c r="AH17">
        <f t="shared" si="40"/>
        <v>0</v>
      </c>
      <c r="AI17">
        <f t="shared" si="40"/>
        <v>0</v>
      </c>
      <c r="AJ17">
        <f t="shared" si="40"/>
        <v>0</v>
      </c>
      <c r="AK17">
        <f t="shared" si="40"/>
        <v>0</v>
      </c>
      <c r="AL17">
        <f t="shared" si="40"/>
        <v>0</v>
      </c>
      <c r="AM17">
        <f t="shared" si="40"/>
        <v>0</v>
      </c>
      <c r="AN17">
        <f t="shared" si="40"/>
        <v>0</v>
      </c>
      <c r="AO17">
        <f t="shared" si="41"/>
        <v>0</v>
      </c>
      <c r="AP17">
        <f t="shared" si="41"/>
        <v>0</v>
      </c>
      <c r="AQ17">
        <f t="shared" si="43"/>
        <v>212.29659967585093</v>
      </c>
    </row>
    <row r="18" spans="1:43" x14ac:dyDescent="0.25">
      <c r="A18">
        <v>31</v>
      </c>
      <c r="B18">
        <v>364.68924473257698</v>
      </c>
      <c r="C18" s="32">
        <v>31</v>
      </c>
      <c r="D18" s="34"/>
      <c r="E18" s="33"/>
      <c r="F18" s="19">
        <v>4</v>
      </c>
      <c r="G18" s="19">
        <v>2</v>
      </c>
      <c r="H18" s="33"/>
      <c r="I18" s="33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>
        <f t="shared" si="39"/>
        <v>6</v>
      </c>
      <c r="X18">
        <f t="shared" si="42"/>
        <v>0</v>
      </c>
      <c r="Y18">
        <f t="shared" si="40"/>
        <v>0</v>
      </c>
      <c r="Z18">
        <f t="shared" si="40"/>
        <v>243.1261631550513</v>
      </c>
      <c r="AA18">
        <f t="shared" si="40"/>
        <v>121.56308157752565</v>
      </c>
      <c r="AB18">
        <f t="shared" si="40"/>
        <v>0</v>
      </c>
      <c r="AC18">
        <f t="shared" si="40"/>
        <v>0</v>
      </c>
      <c r="AD18">
        <f t="shared" si="40"/>
        <v>0</v>
      </c>
      <c r="AE18">
        <f t="shared" si="40"/>
        <v>0</v>
      </c>
      <c r="AF18">
        <f t="shared" si="40"/>
        <v>0</v>
      </c>
      <c r="AG18">
        <f t="shared" si="40"/>
        <v>0</v>
      </c>
      <c r="AH18">
        <f t="shared" si="40"/>
        <v>0</v>
      </c>
      <c r="AI18">
        <f t="shared" si="40"/>
        <v>0</v>
      </c>
      <c r="AJ18">
        <f t="shared" si="40"/>
        <v>0</v>
      </c>
      <c r="AK18">
        <f t="shared" si="40"/>
        <v>0</v>
      </c>
      <c r="AL18">
        <f t="shared" si="40"/>
        <v>0</v>
      </c>
      <c r="AM18">
        <f t="shared" si="40"/>
        <v>0</v>
      </c>
      <c r="AN18">
        <f t="shared" si="40"/>
        <v>0</v>
      </c>
      <c r="AO18">
        <f t="shared" si="41"/>
        <v>0</v>
      </c>
      <c r="AP18">
        <f t="shared" si="41"/>
        <v>0</v>
      </c>
      <c r="AQ18">
        <f t="shared" si="43"/>
        <v>364.68924473257698</v>
      </c>
    </row>
    <row r="19" spans="1:43" x14ac:dyDescent="0.25">
      <c r="A19">
        <v>32</v>
      </c>
      <c r="B19">
        <v>1025.7174959481363</v>
      </c>
      <c r="C19" s="32">
        <v>32</v>
      </c>
      <c r="D19" s="34"/>
      <c r="E19" s="19">
        <v>1</v>
      </c>
      <c r="F19" s="19">
        <v>6</v>
      </c>
      <c r="G19" s="19">
        <v>9</v>
      </c>
      <c r="H19" s="33"/>
      <c r="I19" s="33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>
        <f t="shared" si="39"/>
        <v>16</v>
      </c>
      <c r="X19">
        <f t="shared" si="42"/>
        <v>0</v>
      </c>
      <c r="Y19">
        <f t="shared" si="40"/>
        <v>64.107343496758517</v>
      </c>
      <c r="Z19">
        <f t="shared" si="40"/>
        <v>384.6440609805511</v>
      </c>
      <c r="AA19">
        <f t="shared" si="40"/>
        <v>576.96609147082665</v>
      </c>
      <c r="AB19">
        <f t="shared" si="40"/>
        <v>0</v>
      </c>
      <c r="AC19">
        <f t="shared" si="40"/>
        <v>0</v>
      </c>
      <c r="AD19">
        <f t="shared" si="40"/>
        <v>0</v>
      </c>
      <c r="AE19">
        <f t="shared" si="40"/>
        <v>0</v>
      </c>
      <c r="AF19">
        <f t="shared" si="40"/>
        <v>0</v>
      </c>
      <c r="AG19">
        <f t="shared" si="40"/>
        <v>0</v>
      </c>
      <c r="AH19">
        <f t="shared" si="40"/>
        <v>0</v>
      </c>
      <c r="AI19">
        <f t="shared" si="40"/>
        <v>0</v>
      </c>
      <c r="AJ19">
        <f t="shared" si="40"/>
        <v>0</v>
      </c>
      <c r="AK19">
        <f t="shared" si="40"/>
        <v>0</v>
      </c>
      <c r="AL19">
        <f t="shared" si="40"/>
        <v>0</v>
      </c>
      <c r="AM19">
        <f t="shared" si="40"/>
        <v>0</v>
      </c>
      <c r="AN19">
        <f t="shared" si="40"/>
        <v>0</v>
      </c>
      <c r="AO19">
        <f t="shared" si="41"/>
        <v>0</v>
      </c>
      <c r="AP19">
        <f t="shared" si="41"/>
        <v>0</v>
      </c>
      <c r="AQ19">
        <f t="shared" si="43"/>
        <v>1025.7174959481363</v>
      </c>
    </row>
    <row r="20" spans="1:43" x14ac:dyDescent="0.25">
      <c r="A20">
        <v>33</v>
      </c>
      <c r="B20">
        <v>1269.0475915721233</v>
      </c>
      <c r="C20" s="32">
        <v>33</v>
      </c>
      <c r="D20" s="34"/>
      <c r="E20" s="33"/>
      <c r="F20" s="19">
        <v>9</v>
      </c>
      <c r="G20" s="19">
        <v>11</v>
      </c>
      <c r="H20" s="19">
        <v>1</v>
      </c>
      <c r="I20" s="33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>
        <f t="shared" si="39"/>
        <v>21</v>
      </c>
      <c r="X20">
        <f t="shared" si="42"/>
        <v>0</v>
      </c>
      <c r="Y20">
        <f t="shared" si="40"/>
        <v>0</v>
      </c>
      <c r="Z20">
        <f t="shared" si="40"/>
        <v>543.87753924519563</v>
      </c>
      <c r="AA20">
        <f t="shared" si="40"/>
        <v>664.73921463301701</v>
      </c>
      <c r="AB20">
        <f t="shared" si="40"/>
        <v>60.430837693910632</v>
      </c>
      <c r="AC20">
        <f t="shared" si="40"/>
        <v>0</v>
      </c>
      <c r="AD20">
        <f t="shared" si="40"/>
        <v>0</v>
      </c>
      <c r="AE20">
        <f t="shared" si="40"/>
        <v>0</v>
      </c>
      <c r="AF20">
        <f t="shared" si="40"/>
        <v>0</v>
      </c>
      <c r="AG20">
        <f t="shared" si="40"/>
        <v>0</v>
      </c>
      <c r="AH20">
        <f t="shared" si="40"/>
        <v>0</v>
      </c>
      <c r="AI20">
        <f t="shared" si="40"/>
        <v>0</v>
      </c>
      <c r="AJ20">
        <f t="shared" si="40"/>
        <v>0</v>
      </c>
      <c r="AK20">
        <f t="shared" si="40"/>
        <v>0</v>
      </c>
      <c r="AL20">
        <f t="shared" si="40"/>
        <v>0</v>
      </c>
      <c r="AM20">
        <f t="shared" si="40"/>
        <v>0</v>
      </c>
      <c r="AN20">
        <f t="shared" si="40"/>
        <v>0</v>
      </c>
      <c r="AO20">
        <f t="shared" si="41"/>
        <v>0</v>
      </c>
      <c r="AP20">
        <f t="shared" si="41"/>
        <v>0</v>
      </c>
      <c r="AQ20">
        <f t="shared" si="43"/>
        <v>1269.0475915721233</v>
      </c>
    </row>
    <row r="21" spans="1:43" x14ac:dyDescent="0.25">
      <c r="A21">
        <v>34</v>
      </c>
      <c r="B21">
        <v>916.65808427876823</v>
      </c>
      <c r="C21" s="32">
        <v>34</v>
      </c>
      <c r="D21" s="34"/>
      <c r="E21" s="33"/>
      <c r="F21" s="19">
        <v>33</v>
      </c>
      <c r="G21" s="19">
        <v>11</v>
      </c>
      <c r="H21" s="19">
        <v>5</v>
      </c>
      <c r="I21" s="19">
        <v>2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>
        <f t="shared" si="39"/>
        <v>51</v>
      </c>
      <c r="X21">
        <f t="shared" si="42"/>
        <v>0</v>
      </c>
      <c r="Y21">
        <f t="shared" si="40"/>
        <v>0</v>
      </c>
      <c r="Z21">
        <f t="shared" si="40"/>
        <v>593.13170159214417</v>
      </c>
      <c r="AA21">
        <f t="shared" si="40"/>
        <v>197.71056719738138</v>
      </c>
      <c r="AB21">
        <f t="shared" si="40"/>
        <v>89.86843963517336</v>
      </c>
      <c r="AC21">
        <f t="shared" si="40"/>
        <v>35.947375854069342</v>
      </c>
      <c r="AD21">
        <f t="shared" si="40"/>
        <v>0</v>
      </c>
      <c r="AE21">
        <f t="shared" si="40"/>
        <v>0</v>
      </c>
      <c r="AF21">
        <f t="shared" si="40"/>
        <v>0</v>
      </c>
      <c r="AG21">
        <f t="shared" si="40"/>
        <v>0</v>
      </c>
      <c r="AH21">
        <f t="shared" si="40"/>
        <v>0</v>
      </c>
      <c r="AI21">
        <f t="shared" si="40"/>
        <v>0</v>
      </c>
      <c r="AJ21">
        <f t="shared" si="40"/>
        <v>0</v>
      </c>
      <c r="AK21">
        <f t="shared" si="40"/>
        <v>0</v>
      </c>
      <c r="AL21">
        <f t="shared" si="40"/>
        <v>0</v>
      </c>
      <c r="AM21">
        <f t="shared" si="40"/>
        <v>0</v>
      </c>
      <c r="AN21">
        <f t="shared" si="40"/>
        <v>0</v>
      </c>
      <c r="AO21">
        <f t="shared" si="41"/>
        <v>0</v>
      </c>
      <c r="AP21">
        <f t="shared" si="41"/>
        <v>0</v>
      </c>
      <c r="AQ21">
        <f t="shared" si="43"/>
        <v>916.65808427876823</v>
      </c>
    </row>
    <row r="22" spans="1:43" x14ac:dyDescent="0.25">
      <c r="A22">
        <v>35</v>
      </c>
      <c r="B22">
        <v>658.07364667747174</v>
      </c>
      <c r="C22" s="32">
        <v>35</v>
      </c>
      <c r="D22" s="34"/>
      <c r="E22" s="33"/>
      <c r="F22" s="33"/>
      <c r="G22" s="19">
        <v>5</v>
      </c>
      <c r="H22" s="19">
        <v>8</v>
      </c>
      <c r="I22" s="19">
        <v>1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>
        <f t="shared" si="39"/>
        <v>14</v>
      </c>
      <c r="X22">
        <f t="shared" si="42"/>
        <v>0</v>
      </c>
      <c r="Y22">
        <f t="shared" si="40"/>
        <v>0</v>
      </c>
      <c r="Z22">
        <f t="shared" si="40"/>
        <v>0</v>
      </c>
      <c r="AA22">
        <f t="shared" si="40"/>
        <v>235.02630238481134</v>
      </c>
      <c r="AB22">
        <f t="shared" si="40"/>
        <v>376.04208381569811</v>
      </c>
      <c r="AC22">
        <f t="shared" si="40"/>
        <v>47.005260476962263</v>
      </c>
      <c r="AD22">
        <f t="shared" si="40"/>
        <v>0</v>
      </c>
      <c r="AE22">
        <f t="shared" si="40"/>
        <v>0</v>
      </c>
      <c r="AF22">
        <f t="shared" si="40"/>
        <v>0</v>
      </c>
      <c r="AG22">
        <f t="shared" si="40"/>
        <v>0</v>
      </c>
      <c r="AH22">
        <f t="shared" si="40"/>
        <v>0</v>
      </c>
      <c r="AI22">
        <f t="shared" si="40"/>
        <v>0</v>
      </c>
      <c r="AJ22">
        <f t="shared" si="40"/>
        <v>0</v>
      </c>
      <c r="AK22">
        <f t="shared" si="40"/>
        <v>0</v>
      </c>
      <c r="AL22">
        <f t="shared" si="40"/>
        <v>0</v>
      </c>
      <c r="AM22">
        <f t="shared" si="40"/>
        <v>0</v>
      </c>
      <c r="AN22">
        <f t="shared" si="40"/>
        <v>0</v>
      </c>
      <c r="AO22">
        <f t="shared" si="41"/>
        <v>0</v>
      </c>
      <c r="AP22">
        <f t="shared" si="41"/>
        <v>0</v>
      </c>
      <c r="AQ22">
        <f t="shared" si="43"/>
        <v>658.07364667747163</v>
      </c>
    </row>
    <row r="23" spans="1:43" x14ac:dyDescent="0.25">
      <c r="A23">
        <v>36</v>
      </c>
      <c r="B23">
        <v>443.16168557536469</v>
      </c>
      <c r="C23" s="32">
        <v>36</v>
      </c>
      <c r="D23" s="34"/>
      <c r="E23" s="33"/>
      <c r="F23" s="33"/>
      <c r="G23" s="19">
        <v>4</v>
      </c>
      <c r="H23" s="19">
        <v>2</v>
      </c>
      <c r="I23" s="19">
        <v>3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>
        <f t="shared" si="39"/>
        <v>9</v>
      </c>
      <c r="X23">
        <f t="shared" si="42"/>
        <v>0</v>
      </c>
      <c r="Y23">
        <f t="shared" si="40"/>
        <v>0</v>
      </c>
      <c r="Z23">
        <f t="shared" si="40"/>
        <v>0</v>
      </c>
      <c r="AA23">
        <f t="shared" si="40"/>
        <v>196.96074914460652</v>
      </c>
      <c r="AB23">
        <f t="shared" si="40"/>
        <v>98.480374572303262</v>
      </c>
      <c r="AC23">
        <f t="shared" si="40"/>
        <v>147.72056185845489</v>
      </c>
      <c r="AD23">
        <f t="shared" si="40"/>
        <v>0</v>
      </c>
      <c r="AE23">
        <f t="shared" si="40"/>
        <v>0</v>
      </c>
      <c r="AF23">
        <f t="shared" si="40"/>
        <v>0</v>
      </c>
      <c r="AG23">
        <f t="shared" si="40"/>
        <v>0</v>
      </c>
      <c r="AH23">
        <f t="shared" si="40"/>
        <v>0</v>
      </c>
      <c r="AI23">
        <f t="shared" si="40"/>
        <v>0</v>
      </c>
      <c r="AJ23">
        <f t="shared" si="40"/>
        <v>0</v>
      </c>
      <c r="AK23">
        <f t="shared" si="40"/>
        <v>0</v>
      </c>
      <c r="AL23">
        <f t="shared" si="40"/>
        <v>0</v>
      </c>
      <c r="AM23">
        <f t="shared" si="40"/>
        <v>0</v>
      </c>
      <c r="AN23">
        <f t="shared" si="40"/>
        <v>0</v>
      </c>
      <c r="AO23">
        <f t="shared" si="41"/>
        <v>0</v>
      </c>
      <c r="AP23">
        <f t="shared" si="41"/>
        <v>0</v>
      </c>
      <c r="AQ23">
        <f t="shared" si="43"/>
        <v>443.16168557536469</v>
      </c>
    </row>
    <row r="24" spans="1:43" x14ac:dyDescent="0.25">
      <c r="A24">
        <v>37</v>
      </c>
      <c r="B24">
        <v>365.46631442463536</v>
      </c>
      <c r="C24" s="32">
        <v>37</v>
      </c>
      <c r="D24" s="34"/>
      <c r="E24" s="33"/>
      <c r="F24" s="33"/>
      <c r="G24" s="33"/>
      <c r="H24" s="19">
        <v>3</v>
      </c>
      <c r="I24" s="19">
        <v>3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>
        <f t="shared" si="39"/>
        <v>6</v>
      </c>
      <c r="X24">
        <f t="shared" si="42"/>
        <v>0</v>
      </c>
      <c r="Y24">
        <f t="shared" si="40"/>
        <v>0</v>
      </c>
      <c r="Z24">
        <f t="shared" si="40"/>
        <v>0</v>
      </c>
      <c r="AA24">
        <f t="shared" si="40"/>
        <v>0</v>
      </c>
      <c r="AB24">
        <f t="shared" si="40"/>
        <v>182.73315721231768</v>
      </c>
      <c r="AC24">
        <f t="shared" si="40"/>
        <v>182.73315721231768</v>
      </c>
      <c r="AD24">
        <f t="shared" si="40"/>
        <v>0</v>
      </c>
      <c r="AE24">
        <f t="shared" si="40"/>
        <v>0</v>
      </c>
      <c r="AF24">
        <f t="shared" si="40"/>
        <v>0</v>
      </c>
      <c r="AG24">
        <f t="shared" si="40"/>
        <v>0</v>
      </c>
      <c r="AH24">
        <f t="shared" si="40"/>
        <v>0</v>
      </c>
      <c r="AI24">
        <f t="shared" si="40"/>
        <v>0</v>
      </c>
      <c r="AJ24">
        <f t="shared" si="40"/>
        <v>0</v>
      </c>
      <c r="AK24">
        <f t="shared" si="40"/>
        <v>0</v>
      </c>
      <c r="AL24">
        <f t="shared" si="40"/>
        <v>0</v>
      </c>
      <c r="AM24">
        <f t="shared" si="40"/>
        <v>0</v>
      </c>
      <c r="AN24">
        <f t="shared" si="40"/>
        <v>0</v>
      </c>
      <c r="AO24">
        <f t="shared" si="41"/>
        <v>0</v>
      </c>
      <c r="AP24">
        <f t="shared" si="41"/>
        <v>0</v>
      </c>
      <c r="AQ24">
        <f t="shared" si="43"/>
        <v>365.46631442463536</v>
      </c>
    </row>
    <row r="25" spans="1:43" ht="15.75" thickBot="1" x14ac:dyDescent="0.3">
      <c r="A25">
        <v>38</v>
      </c>
      <c r="B25">
        <v>209.14482820097246</v>
      </c>
      <c r="C25" s="35">
        <v>38</v>
      </c>
      <c r="D25" s="34"/>
      <c r="E25" s="33"/>
      <c r="F25" s="33"/>
      <c r="G25" s="33"/>
      <c r="H25" s="19">
        <v>1</v>
      </c>
      <c r="I25" s="19">
        <v>2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>
        <f t="shared" si="39"/>
        <v>3</v>
      </c>
      <c r="X25">
        <f t="shared" si="42"/>
        <v>0</v>
      </c>
      <c r="Y25">
        <f t="shared" si="40"/>
        <v>0</v>
      </c>
      <c r="Z25">
        <f t="shared" si="40"/>
        <v>0</v>
      </c>
      <c r="AA25">
        <f t="shared" si="40"/>
        <v>0</v>
      </c>
      <c r="AB25">
        <f t="shared" si="40"/>
        <v>69.71494273365748</v>
      </c>
      <c r="AC25">
        <f t="shared" si="40"/>
        <v>139.42988546731496</v>
      </c>
      <c r="AD25">
        <f t="shared" si="40"/>
        <v>0</v>
      </c>
      <c r="AE25">
        <f t="shared" si="40"/>
        <v>0</v>
      </c>
      <c r="AF25">
        <f t="shared" si="40"/>
        <v>0</v>
      </c>
      <c r="AG25">
        <f t="shared" si="40"/>
        <v>0</v>
      </c>
      <c r="AH25">
        <f t="shared" si="40"/>
        <v>0</v>
      </c>
      <c r="AI25">
        <f t="shared" si="40"/>
        <v>0</v>
      </c>
      <c r="AJ25">
        <f t="shared" si="40"/>
        <v>0</v>
      </c>
      <c r="AK25">
        <f t="shared" si="40"/>
        <v>0</v>
      </c>
      <c r="AL25">
        <f t="shared" si="40"/>
        <v>0</v>
      </c>
      <c r="AM25">
        <f t="shared" si="40"/>
        <v>0</v>
      </c>
      <c r="AN25">
        <f t="shared" si="40"/>
        <v>0</v>
      </c>
      <c r="AO25">
        <f t="shared" si="41"/>
        <v>0</v>
      </c>
      <c r="AP25">
        <f t="shared" si="41"/>
        <v>0</v>
      </c>
      <c r="AQ25">
        <f t="shared" si="43"/>
        <v>209.14482820097243</v>
      </c>
    </row>
    <row r="26" spans="1:43" x14ac:dyDescent="0.25">
      <c r="A26">
        <v>39</v>
      </c>
      <c r="B26">
        <v>105.43211993517019</v>
      </c>
      <c r="C26" s="11">
        <v>39</v>
      </c>
      <c r="D26" s="12"/>
      <c r="E26" s="14"/>
      <c r="F26" s="14"/>
      <c r="G26" s="14"/>
      <c r="H26" s="14"/>
      <c r="I26" s="24">
        <v>17</v>
      </c>
      <c r="J26" s="24">
        <v>14</v>
      </c>
      <c r="K26" s="24">
        <v>1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>
        <f t="shared" si="39"/>
        <v>32</v>
      </c>
      <c r="X26">
        <f t="shared" si="42"/>
        <v>0</v>
      </c>
      <c r="Y26">
        <f t="shared" si="40"/>
        <v>0</v>
      </c>
      <c r="Z26">
        <f t="shared" si="40"/>
        <v>0</v>
      </c>
      <c r="AA26">
        <f t="shared" si="40"/>
        <v>0</v>
      </c>
      <c r="AB26">
        <f t="shared" si="40"/>
        <v>0</v>
      </c>
      <c r="AC26">
        <f t="shared" si="40"/>
        <v>56.010813715559166</v>
      </c>
      <c r="AD26">
        <f t="shared" si="40"/>
        <v>46.126552471636955</v>
      </c>
      <c r="AE26">
        <f t="shared" si="40"/>
        <v>3.2947537479740685</v>
      </c>
      <c r="AF26">
        <f t="shared" si="40"/>
        <v>0</v>
      </c>
      <c r="AG26">
        <f t="shared" si="40"/>
        <v>0</v>
      </c>
      <c r="AH26">
        <f t="shared" si="40"/>
        <v>0</v>
      </c>
      <c r="AI26">
        <f t="shared" si="40"/>
        <v>0</v>
      </c>
      <c r="AJ26">
        <f t="shared" si="40"/>
        <v>0</v>
      </c>
      <c r="AK26">
        <f t="shared" si="40"/>
        <v>0</v>
      </c>
      <c r="AL26">
        <f t="shared" si="40"/>
        <v>0</v>
      </c>
      <c r="AM26">
        <f t="shared" si="40"/>
        <v>0</v>
      </c>
      <c r="AN26">
        <f t="shared" si="40"/>
        <v>0</v>
      </c>
      <c r="AO26">
        <f t="shared" si="41"/>
        <v>0</v>
      </c>
      <c r="AP26">
        <f t="shared" si="41"/>
        <v>0</v>
      </c>
      <c r="AQ26">
        <f t="shared" si="43"/>
        <v>105.43211993517019</v>
      </c>
    </row>
    <row r="27" spans="1:43" x14ac:dyDescent="0.25">
      <c r="A27">
        <v>40</v>
      </c>
      <c r="B27">
        <v>21.227340356564021</v>
      </c>
      <c r="C27" s="11">
        <v>40</v>
      </c>
      <c r="D27" s="12"/>
      <c r="E27" s="14"/>
      <c r="F27" s="14"/>
      <c r="G27" s="14"/>
      <c r="H27" s="24">
        <v>1</v>
      </c>
      <c r="I27" s="24">
        <v>5</v>
      </c>
      <c r="J27" s="24">
        <v>17</v>
      </c>
      <c r="K27" s="24">
        <v>2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>
        <f t="shared" si="39"/>
        <v>25</v>
      </c>
      <c r="X27">
        <f t="shared" si="42"/>
        <v>0</v>
      </c>
      <c r="Y27">
        <f t="shared" si="40"/>
        <v>0</v>
      </c>
      <c r="Z27">
        <f t="shared" si="40"/>
        <v>0</v>
      </c>
      <c r="AA27">
        <f t="shared" si="40"/>
        <v>0</v>
      </c>
      <c r="AB27">
        <f t="shared" si="40"/>
        <v>0.8490936142625608</v>
      </c>
      <c r="AC27">
        <f t="shared" si="40"/>
        <v>4.2454680713128043</v>
      </c>
      <c r="AD27">
        <f t="shared" si="40"/>
        <v>14.434591442463535</v>
      </c>
      <c r="AE27">
        <f t="shared" si="40"/>
        <v>1.6981872285251216</v>
      </c>
      <c r="AF27">
        <f t="shared" si="40"/>
        <v>0</v>
      </c>
      <c r="AG27">
        <f t="shared" si="40"/>
        <v>0</v>
      </c>
      <c r="AH27">
        <f t="shared" si="40"/>
        <v>0</v>
      </c>
      <c r="AI27">
        <f t="shared" si="40"/>
        <v>0</v>
      </c>
      <c r="AJ27">
        <f t="shared" si="40"/>
        <v>0</v>
      </c>
      <c r="AK27">
        <f t="shared" si="40"/>
        <v>0</v>
      </c>
      <c r="AL27">
        <f t="shared" si="40"/>
        <v>0</v>
      </c>
      <c r="AM27">
        <f t="shared" si="40"/>
        <v>0</v>
      </c>
      <c r="AN27">
        <f t="shared" si="40"/>
        <v>0</v>
      </c>
      <c r="AO27">
        <f t="shared" si="41"/>
        <v>0</v>
      </c>
      <c r="AP27">
        <f t="shared" si="41"/>
        <v>0</v>
      </c>
      <c r="AQ27">
        <f t="shared" si="43"/>
        <v>21.227340356564021</v>
      </c>
    </row>
    <row r="28" spans="1:43" x14ac:dyDescent="0.25">
      <c r="A28">
        <v>41</v>
      </c>
      <c r="B28">
        <v>13.204385737439223</v>
      </c>
      <c r="C28" s="11">
        <v>41</v>
      </c>
      <c r="D28" s="12"/>
      <c r="E28" s="14"/>
      <c r="F28" s="14"/>
      <c r="G28" s="14"/>
      <c r="H28" s="14"/>
      <c r="I28" s="24">
        <v>1</v>
      </c>
      <c r="J28" s="24">
        <v>3</v>
      </c>
      <c r="K28" s="24">
        <v>5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>
        <f t="shared" si="39"/>
        <v>9</v>
      </c>
      <c r="X28">
        <f t="shared" si="42"/>
        <v>0</v>
      </c>
      <c r="Y28">
        <f t="shared" si="40"/>
        <v>0</v>
      </c>
      <c r="Z28">
        <f t="shared" si="40"/>
        <v>0</v>
      </c>
      <c r="AA28">
        <f t="shared" si="40"/>
        <v>0</v>
      </c>
      <c r="AB28">
        <f t="shared" si="40"/>
        <v>0</v>
      </c>
      <c r="AC28">
        <f t="shared" si="40"/>
        <v>1.4671539708265802</v>
      </c>
      <c r="AD28">
        <f t="shared" si="40"/>
        <v>4.4014619124797409</v>
      </c>
      <c r="AE28">
        <f t="shared" si="40"/>
        <v>7.3357698541329022</v>
      </c>
      <c r="AF28">
        <f t="shared" si="40"/>
        <v>0</v>
      </c>
      <c r="AG28">
        <f t="shared" si="40"/>
        <v>0</v>
      </c>
      <c r="AH28">
        <f t="shared" si="40"/>
        <v>0</v>
      </c>
      <c r="AI28">
        <f t="shared" si="40"/>
        <v>0</v>
      </c>
      <c r="AJ28">
        <f t="shared" si="40"/>
        <v>0</v>
      </c>
      <c r="AK28">
        <f t="shared" si="40"/>
        <v>0</v>
      </c>
      <c r="AL28">
        <f t="shared" si="40"/>
        <v>0</v>
      </c>
      <c r="AM28">
        <f t="shared" si="40"/>
        <v>0</v>
      </c>
      <c r="AN28">
        <f t="shared" si="40"/>
        <v>0</v>
      </c>
      <c r="AO28">
        <f t="shared" si="41"/>
        <v>0</v>
      </c>
      <c r="AP28">
        <f t="shared" si="41"/>
        <v>0</v>
      </c>
      <c r="AQ28">
        <f t="shared" si="43"/>
        <v>13.204385737439223</v>
      </c>
    </row>
    <row r="29" spans="1:43" x14ac:dyDescent="0.25">
      <c r="A29">
        <v>42</v>
      </c>
      <c r="B29">
        <v>4.3782658022690439</v>
      </c>
      <c r="C29" s="11">
        <v>42</v>
      </c>
      <c r="D29" s="12"/>
      <c r="E29" s="14"/>
      <c r="F29" s="14"/>
      <c r="G29" s="14"/>
      <c r="H29" s="14"/>
      <c r="I29" s="14"/>
      <c r="J29" s="24">
        <v>7</v>
      </c>
      <c r="K29" s="24">
        <v>3</v>
      </c>
      <c r="L29" s="24">
        <v>5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>
        <f t="shared" si="39"/>
        <v>15</v>
      </c>
      <c r="X29">
        <f t="shared" si="42"/>
        <v>0</v>
      </c>
      <c r="Y29">
        <f t="shared" si="40"/>
        <v>0</v>
      </c>
      <c r="Z29">
        <f t="shared" si="40"/>
        <v>0</v>
      </c>
      <c r="AA29">
        <f t="shared" si="40"/>
        <v>0</v>
      </c>
      <c r="AB29">
        <f t="shared" si="40"/>
        <v>0</v>
      </c>
      <c r="AC29">
        <f t="shared" si="40"/>
        <v>0</v>
      </c>
      <c r="AD29">
        <f t="shared" si="40"/>
        <v>2.0431907077255538</v>
      </c>
      <c r="AE29">
        <f t="shared" si="40"/>
        <v>0.87565316045380881</v>
      </c>
      <c r="AF29">
        <f t="shared" si="40"/>
        <v>1.4594219340896812</v>
      </c>
      <c r="AG29">
        <f t="shared" si="40"/>
        <v>0</v>
      </c>
      <c r="AH29">
        <f t="shared" si="40"/>
        <v>0</v>
      </c>
      <c r="AI29">
        <f t="shared" si="40"/>
        <v>0</v>
      </c>
      <c r="AJ29">
        <f t="shared" si="40"/>
        <v>0</v>
      </c>
      <c r="AK29">
        <f t="shared" si="40"/>
        <v>0</v>
      </c>
      <c r="AL29">
        <f t="shared" si="40"/>
        <v>0</v>
      </c>
      <c r="AM29">
        <f t="shared" si="40"/>
        <v>0</v>
      </c>
      <c r="AN29">
        <f t="shared" si="40"/>
        <v>0</v>
      </c>
      <c r="AO29">
        <f t="shared" si="41"/>
        <v>0</v>
      </c>
      <c r="AP29">
        <f t="shared" si="41"/>
        <v>0</v>
      </c>
      <c r="AQ29">
        <f t="shared" si="43"/>
        <v>4.3782658022690439</v>
      </c>
    </row>
    <row r="30" spans="1:43" s="16" customFormat="1" x14ac:dyDescent="0.25">
      <c r="A30" s="16">
        <v>43</v>
      </c>
      <c r="B30" s="16">
        <v>5.8164246353322522</v>
      </c>
      <c r="C30" s="11">
        <v>43</v>
      </c>
      <c r="D30" s="12"/>
      <c r="E30" s="14"/>
      <c r="F30" s="14"/>
      <c r="G30" s="14"/>
      <c r="H30" s="14"/>
      <c r="I30" s="24">
        <v>1</v>
      </c>
      <c r="J30" s="24">
        <v>6</v>
      </c>
      <c r="K30" s="24">
        <v>3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>
        <f t="shared" si="39"/>
        <v>10</v>
      </c>
      <c r="X30">
        <f t="shared" si="42"/>
        <v>0</v>
      </c>
      <c r="Y30">
        <f t="shared" si="42"/>
        <v>0</v>
      </c>
      <c r="Z30">
        <f t="shared" si="42"/>
        <v>0</v>
      </c>
      <c r="AA30">
        <f t="shared" si="42"/>
        <v>0</v>
      </c>
      <c r="AB30">
        <f t="shared" si="41"/>
        <v>0</v>
      </c>
      <c r="AC30">
        <f t="shared" si="41"/>
        <v>0.58164246353322524</v>
      </c>
      <c r="AD30">
        <f t="shared" si="41"/>
        <v>3.4898547811993512</v>
      </c>
      <c r="AE30">
        <f t="shared" si="41"/>
        <v>1.7449273905996756</v>
      </c>
      <c r="AF30">
        <f t="shared" si="41"/>
        <v>0</v>
      </c>
      <c r="AG30">
        <f t="shared" si="41"/>
        <v>0</v>
      </c>
      <c r="AH30">
        <f t="shared" si="41"/>
        <v>0</v>
      </c>
      <c r="AI30">
        <f t="shared" si="41"/>
        <v>0</v>
      </c>
      <c r="AJ30">
        <f t="shared" si="41"/>
        <v>0</v>
      </c>
      <c r="AK30">
        <f t="shared" si="41"/>
        <v>0</v>
      </c>
      <c r="AL30">
        <f t="shared" si="41"/>
        <v>0</v>
      </c>
      <c r="AM30">
        <f t="shared" si="41"/>
        <v>0</v>
      </c>
      <c r="AN30">
        <f t="shared" si="41"/>
        <v>0</v>
      </c>
      <c r="AO30">
        <f t="shared" si="41"/>
        <v>0</v>
      </c>
      <c r="AP30">
        <f t="shared" si="41"/>
        <v>0</v>
      </c>
      <c r="AQ30" s="16">
        <f t="shared" si="43"/>
        <v>5.8164246353322522</v>
      </c>
    </row>
    <row r="31" spans="1:43" x14ac:dyDescent="0.25">
      <c r="A31">
        <v>44</v>
      </c>
      <c r="B31">
        <v>0</v>
      </c>
      <c r="C31" s="11">
        <v>44</v>
      </c>
      <c r="D31" s="12"/>
      <c r="E31" s="14"/>
      <c r="F31" s="14"/>
      <c r="G31" s="14"/>
      <c r="H31" s="14"/>
      <c r="I31" s="14"/>
      <c r="J31" s="14"/>
      <c r="K31" s="24">
        <v>5</v>
      </c>
      <c r="L31" s="24">
        <v>1</v>
      </c>
      <c r="M31" s="24">
        <v>3</v>
      </c>
      <c r="N31" s="14"/>
      <c r="O31" s="14"/>
      <c r="P31" s="14"/>
      <c r="Q31" s="14"/>
      <c r="R31" s="14"/>
      <c r="S31" s="14"/>
      <c r="T31" s="14"/>
      <c r="U31" s="14"/>
      <c r="V31" s="14"/>
      <c r="W31">
        <f t="shared" si="39"/>
        <v>9</v>
      </c>
      <c r="X31">
        <f t="shared" si="42"/>
        <v>0</v>
      </c>
      <c r="Y31">
        <f t="shared" si="42"/>
        <v>0</v>
      </c>
      <c r="Z31">
        <f t="shared" si="42"/>
        <v>0</v>
      </c>
      <c r="AA31">
        <f t="shared" si="42"/>
        <v>0</v>
      </c>
      <c r="AB31">
        <f t="shared" si="42"/>
        <v>0</v>
      </c>
      <c r="AC31">
        <f t="shared" si="42"/>
        <v>0</v>
      </c>
      <c r="AD31">
        <f t="shared" si="42"/>
        <v>0</v>
      </c>
      <c r="AE31">
        <f t="shared" si="42"/>
        <v>0</v>
      </c>
      <c r="AF31">
        <f t="shared" si="42"/>
        <v>0</v>
      </c>
      <c r="AG31">
        <f t="shared" si="42"/>
        <v>0</v>
      </c>
      <c r="AH31">
        <f t="shared" si="42"/>
        <v>0</v>
      </c>
      <c r="AI31">
        <f t="shared" si="42"/>
        <v>0</v>
      </c>
      <c r="AJ31">
        <f t="shared" si="42"/>
        <v>0</v>
      </c>
      <c r="AK31">
        <f t="shared" si="42"/>
        <v>0</v>
      </c>
      <c r="AL31">
        <f t="shared" si="42"/>
        <v>0</v>
      </c>
      <c r="AM31">
        <f t="shared" si="42"/>
        <v>0</v>
      </c>
      <c r="AN31">
        <f t="shared" ref="AB31:AP42" si="44">T31/$W31*$B31</f>
        <v>0</v>
      </c>
      <c r="AO31">
        <f t="shared" si="44"/>
        <v>0</v>
      </c>
      <c r="AP31">
        <f t="shared" si="44"/>
        <v>0</v>
      </c>
      <c r="AQ31">
        <f t="shared" si="43"/>
        <v>0</v>
      </c>
    </row>
    <row r="32" spans="1:43" x14ac:dyDescent="0.25">
      <c r="A32">
        <v>45</v>
      </c>
      <c r="B32">
        <v>0</v>
      </c>
      <c r="C32" s="11">
        <v>45</v>
      </c>
      <c r="D32" s="12"/>
      <c r="E32" s="14"/>
      <c r="F32" s="14"/>
      <c r="G32" s="14"/>
      <c r="H32" s="14"/>
      <c r="I32" s="14"/>
      <c r="J32" s="14"/>
      <c r="K32" s="24">
        <v>1</v>
      </c>
      <c r="L32" s="24">
        <v>2</v>
      </c>
      <c r="M32" s="24">
        <v>3</v>
      </c>
      <c r="N32" s="24">
        <v>3</v>
      </c>
      <c r="O32" s="14"/>
      <c r="P32" s="14"/>
      <c r="Q32" s="14"/>
      <c r="R32" s="14"/>
      <c r="S32" s="14"/>
      <c r="T32" s="14"/>
      <c r="U32" s="14"/>
      <c r="V32" s="14"/>
      <c r="W32">
        <f t="shared" si="39"/>
        <v>9</v>
      </c>
      <c r="X32">
        <f t="shared" si="42"/>
        <v>0</v>
      </c>
      <c r="Y32">
        <f t="shared" si="42"/>
        <v>0</v>
      </c>
      <c r="Z32">
        <f t="shared" si="42"/>
        <v>0</v>
      </c>
      <c r="AA32">
        <f t="shared" si="42"/>
        <v>0</v>
      </c>
      <c r="AB32">
        <f t="shared" si="44"/>
        <v>0</v>
      </c>
      <c r="AC32">
        <f t="shared" si="44"/>
        <v>0</v>
      </c>
      <c r="AD32">
        <f t="shared" si="44"/>
        <v>0</v>
      </c>
      <c r="AE32">
        <f t="shared" si="44"/>
        <v>0</v>
      </c>
      <c r="AF32">
        <f t="shared" si="44"/>
        <v>0</v>
      </c>
      <c r="AG32">
        <f t="shared" si="44"/>
        <v>0</v>
      </c>
      <c r="AH32">
        <f t="shared" si="44"/>
        <v>0</v>
      </c>
      <c r="AI32">
        <f t="shared" si="44"/>
        <v>0</v>
      </c>
      <c r="AJ32">
        <f t="shared" si="44"/>
        <v>0</v>
      </c>
      <c r="AK32">
        <f t="shared" si="44"/>
        <v>0</v>
      </c>
      <c r="AL32">
        <f t="shared" si="44"/>
        <v>0</v>
      </c>
      <c r="AM32">
        <f t="shared" si="44"/>
        <v>0</v>
      </c>
      <c r="AN32">
        <f t="shared" si="44"/>
        <v>0</v>
      </c>
      <c r="AO32">
        <f t="shared" si="44"/>
        <v>0</v>
      </c>
      <c r="AP32">
        <f t="shared" si="44"/>
        <v>0</v>
      </c>
      <c r="AQ32">
        <f t="shared" si="43"/>
        <v>0</v>
      </c>
    </row>
    <row r="33" spans="1:43" x14ac:dyDescent="0.25">
      <c r="A33">
        <v>46</v>
      </c>
      <c r="B33">
        <v>0</v>
      </c>
      <c r="C33" s="11">
        <v>46</v>
      </c>
      <c r="D33" s="12"/>
      <c r="E33" s="14"/>
      <c r="F33" s="14"/>
      <c r="G33" s="14"/>
      <c r="H33" s="14"/>
      <c r="I33" s="14"/>
      <c r="J33" s="14"/>
      <c r="K33" s="14"/>
      <c r="L33" s="14"/>
      <c r="M33" s="24">
        <v>3</v>
      </c>
      <c r="N33" s="14"/>
      <c r="O33" s="14"/>
      <c r="P33" s="14"/>
      <c r="Q33" s="14"/>
      <c r="R33" s="14"/>
      <c r="S33" s="14"/>
      <c r="T33" s="14"/>
      <c r="U33" s="14"/>
      <c r="V33" s="14"/>
      <c r="W33">
        <f t="shared" si="39"/>
        <v>3</v>
      </c>
      <c r="X33">
        <f t="shared" si="42"/>
        <v>0</v>
      </c>
      <c r="Y33">
        <f t="shared" si="42"/>
        <v>0</v>
      </c>
      <c r="Z33">
        <f t="shared" si="42"/>
        <v>0</v>
      </c>
      <c r="AA33">
        <f t="shared" si="42"/>
        <v>0</v>
      </c>
      <c r="AB33">
        <f t="shared" si="44"/>
        <v>0</v>
      </c>
      <c r="AC33">
        <f t="shared" si="44"/>
        <v>0</v>
      </c>
      <c r="AD33">
        <f t="shared" si="44"/>
        <v>0</v>
      </c>
      <c r="AE33">
        <f t="shared" si="44"/>
        <v>0</v>
      </c>
      <c r="AF33">
        <f t="shared" si="44"/>
        <v>0</v>
      </c>
      <c r="AG33">
        <f t="shared" si="44"/>
        <v>0</v>
      </c>
      <c r="AH33">
        <f t="shared" si="44"/>
        <v>0</v>
      </c>
      <c r="AI33">
        <f t="shared" si="44"/>
        <v>0</v>
      </c>
      <c r="AJ33">
        <f t="shared" si="44"/>
        <v>0</v>
      </c>
      <c r="AK33">
        <f t="shared" si="44"/>
        <v>0</v>
      </c>
      <c r="AL33">
        <f t="shared" si="44"/>
        <v>0</v>
      </c>
      <c r="AM33">
        <f t="shared" si="44"/>
        <v>0</v>
      </c>
      <c r="AN33">
        <f t="shared" si="44"/>
        <v>0</v>
      </c>
      <c r="AO33">
        <f t="shared" si="44"/>
        <v>0</v>
      </c>
      <c r="AP33">
        <f t="shared" si="44"/>
        <v>0</v>
      </c>
      <c r="AQ33">
        <f t="shared" si="43"/>
        <v>0</v>
      </c>
    </row>
    <row r="34" spans="1:43" ht="15.75" thickBot="1" x14ac:dyDescent="0.3">
      <c r="A34">
        <v>47</v>
      </c>
      <c r="B34">
        <v>0</v>
      </c>
      <c r="C34" s="15">
        <v>47</v>
      </c>
      <c r="D34" s="12"/>
      <c r="E34" s="14"/>
      <c r="F34" s="14"/>
      <c r="G34" s="14"/>
      <c r="H34" s="14"/>
      <c r="I34" s="14"/>
      <c r="J34" s="14"/>
      <c r="K34" s="14"/>
      <c r="L34" s="14"/>
      <c r="M34" s="14"/>
      <c r="N34" s="24">
        <v>1</v>
      </c>
      <c r="O34" s="24">
        <v>2</v>
      </c>
      <c r="P34" s="14"/>
      <c r="Q34" s="24">
        <v>1</v>
      </c>
      <c r="R34" s="14"/>
      <c r="S34" s="14"/>
      <c r="T34" s="14"/>
      <c r="U34" s="14"/>
      <c r="V34" s="14"/>
      <c r="W34">
        <f t="shared" si="39"/>
        <v>4</v>
      </c>
      <c r="X34">
        <f t="shared" si="42"/>
        <v>0</v>
      </c>
      <c r="Y34">
        <f t="shared" si="42"/>
        <v>0</v>
      </c>
      <c r="Z34">
        <f t="shared" si="42"/>
        <v>0</v>
      </c>
      <c r="AA34">
        <f t="shared" si="42"/>
        <v>0</v>
      </c>
      <c r="AB34">
        <f t="shared" si="44"/>
        <v>0</v>
      </c>
      <c r="AC34">
        <f t="shared" si="44"/>
        <v>0</v>
      </c>
      <c r="AD34">
        <f t="shared" si="44"/>
        <v>0</v>
      </c>
      <c r="AE34">
        <f t="shared" si="44"/>
        <v>0</v>
      </c>
      <c r="AF34">
        <f t="shared" si="44"/>
        <v>0</v>
      </c>
      <c r="AG34">
        <f t="shared" si="44"/>
        <v>0</v>
      </c>
      <c r="AH34">
        <f t="shared" si="44"/>
        <v>0</v>
      </c>
      <c r="AI34">
        <f t="shared" si="44"/>
        <v>0</v>
      </c>
      <c r="AJ34">
        <f t="shared" si="44"/>
        <v>0</v>
      </c>
      <c r="AK34">
        <f t="shared" si="44"/>
        <v>0</v>
      </c>
      <c r="AL34">
        <f t="shared" si="44"/>
        <v>0</v>
      </c>
      <c r="AM34">
        <f t="shared" si="44"/>
        <v>0</v>
      </c>
      <c r="AN34">
        <f t="shared" si="44"/>
        <v>0</v>
      </c>
      <c r="AO34">
        <f t="shared" si="44"/>
        <v>0</v>
      </c>
      <c r="AP34">
        <f t="shared" si="44"/>
        <v>0</v>
      </c>
      <c r="AQ34">
        <f t="shared" si="43"/>
        <v>0</v>
      </c>
    </row>
    <row r="35" spans="1:43" x14ac:dyDescent="0.25">
      <c r="A35">
        <v>48</v>
      </c>
      <c r="B35">
        <v>0</v>
      </c>
      <c r="C35" s="11">
        <v>48</v>
      </c>
      <c r="D35" s="25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24">
        <v>1</v>
      </c>
      <c r="Q35" s="24">
        <v>2</v>
      </c>
      <c r="R35" s="14"/>
      <c r="S35" s="24">
        <v>1</v>
      </c>
      <c r="T35" s="14"/>
      <c r="U35" s="14"/>
      <c r="V35" s="14"/>
      <c r="W35">
        <f t="shared" si="39"/>
        <v>4</v>
      </c>
      <c r="X35">
        <f t="shared" si="42"/>
        <v>0</v>
      </c>
      <c r="Y35">
        <f t="shared" si="42"/>
        <v>0</v>
      </c>
      <c r="Z35">
        <f t="shared" si="42"/>
        <v>0</v>
      </c>
      <c r="AA35">
        <f t="shared" si="42"/>
        <v>0</v>
      </c>
      <c r="AB35">
        <f t="shared" si="44"/>
        <v>0</v>
      </c>
      <c r="AC35">
        <f t="shared" si="44"/>
        <v>0</v>
      </c>
      <c r="AD35">
        <f t="shared" si="44"/>
        <v>0</v>
      </c>
      <c r="AE35">
        <f t="shared" si="44"/>
        <v>0</v>
      </c>
      <c r="AF35">
        <f t="shared" si="44"/>
        <v>0</v>
      </c>
      <c r="AG35">
        <f t="shared" si="44"/>
        <v>0</v>
      </c>
      <c r="AH35">
        <f t="shared" si="44"/>
        <v>0</v>
      </c>
      <c r="AI35">
        <f t="shared" si="44"/>
        <v>0</v>
      </c>
      <c r="AJ35">
        <f t="shared" si="44"/>
        <v>0</v>
      </c>
      <c r="AK35">
        <f t="shared" si="44"/>
        <v>0</v>
      </c>
      <c r="AL35">
        <f t="shared" si="44"/>
        <v>0</v>
      </c>
      <c r="AM35">
        <f t="shared" si="44"/>
        <v>0</v>
      </c>
      <c r="AN35">
        <f t="shared" si="44"/>
        <v>0</v>
      </c>
      <c r="AO35">
        <f t="shared" si="44"/>
        <v>0</v>
      </c>
      <c r="AP35">
        <f t="shared" si="44"/>
        <v>0</v>
      </c>
      <c r="AQ35">
        <f t="shared" si="43"/>
        <v>0</v>
      </c>
    </row>
    <row r="36" spans="1:43" x14ac:dyDescent="0.25">
      <c r="A36">
        <v>49</v>
      </c>
      <c r="B36">
        <v>0</v>
      </c>
      <c r="C36" s="11">
        <v>49</v>
      </c>
      <c r="D36" s="12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3">
        <v>2</v>
      </c>
      <c r="S36" s="13">
        <v>2</v>
      </c>
      <c r="T36" s="14"/>
      <c r="U36" s="14"/>
      <c r="V36" s="14"/>
      <c r="W36">
        <f t="shared" si="39"/>
        <v>4</v>
      </c>
      <c r="X36">
        <f t="shared" si="42"/>
        <v>0</v>
      </c>
      <c r="Y36">
        <f t="shared" si="42"/>
        <v>0</v>
      </c>
      <c r="Z36">
        <f t="shared" si="42"/>
        <v>0</v>
      </c>
      <c r="AA36">
        <f t="shared" si="42"/>
        <v>0</v>
      </c>
      <c r="AB36">
        <f t="shared" si="44"/>
        <v>0</v>
      </c>
      <c r="AC36">
        <f t="shared" si="44"/>
        <v>0</v>
      </c>
      <c r="AD36">
        <f t="shared" si="44"/>
        <v>0</v>
      </c>
      <c r="AE36">
        <f t="shared" si="44"/>
        <v>0</v>
      </c>
      <c r="AF36">
        <f t="shared" si="44"/>
        <v>0</v>
      </c>
      <c r="AG36">
        <f t="shared" si="44"/>
        <v>0</v>
      </c>
      <c r="AH36">
        <f t="shared" si="44"/>
        <v>0</v>
      </c>
      <c r="AI36">
        <f t="shared" si="44"/>
        <v>0</v>
      </c>
      <c r="AJ36">
        <f t="shared" si="44"/>
        <v>0</v>
      </c>
      <c r="AK36">
        <f t="shared" si="44"/>
        <v>0</v>
      </c>
      <c r="AL36">
        <f t="shared" si="44"/>
        <v>0</v>
      </c>
      <c r="AM36">
        <f t="shared" si="44"/>
        <v>0</v>
      </c>
      <c r="AN36">
        <f t="shared" si="44"/>
        <v>0</v>
      </c>
      <c r="AO36">
        <f t="shared" si="44"/>
        <v>0</v>
      </c>
      <c r="AP36">
        <f t="shared" si="44"/>
        <v>0</v>
      </c>
      <c r="AQ36">
        <f t="shared" si="43"/>
        <v>0</v>
      </c>
    </row>
    <row r="37" spans="1:43" x14ac:dyDescent="0.25">
      <c r="A37">
        <v>50</v>
      </c>
      <c r="B37">
        <v>0</v>
      </c>
      <c r="C37" s="11">
        <v>50</v>
      </c>
      <c r="D37" s="12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3">
        <v>2</v>
      </c>
      <c r="R37" s="13">
        <v>1</v>
      </c>
      <c r="S37" s="14"/>
      <c r="T37" s="14"/>
      <c r="U37" s="14"/>
      <c r="V37" s="14"/>
      <c r="W37">
        <f t="shared" si="39"/>
        <v>3</v>
      </c>
      <c r="X37">
        <f t="shared" si="42"/>
        <v>0</v>
      </c>
      <c r="Y37">
        <f t="shared" si="42"/>
        <v>0</v>
      </c>
      <c r="Z37">
        <f t="shared" si="42"/>
        <v>0</v>
      </c>
      <c r="AA37">
        <f t="shared" si="42"/>
        <v>0</v>
      </c>
      <c r="AB37">
        <f t="shared" si="44"/>
        <v>0</v>
      </c>
      <c r="AC37">
        <f t="shared" si="44"/>
        <v>0</v>
      </c>
      <c r="AD37">
        <f t="shared" si="44"/>
        <v>0</v>
      </c>
      <c r="AE37">
        <f t="shared" si="44"/>
        <v>0</v>
      </c>
      <c r="AF37">
        <f t="shared" si="44"/>
        <v>0</v>
      </c>
      <c r="AG37">
        <f t="shared" si="44"/>
        <v>0</v>
      </c>
      <c r="AH37">
        <f t="shared" si="44"/>
        <v>0</v>
      </c>
      <c r="AI37">
        <f t="shared" si="44"/>
        <v>0</v>
      </c>
      <c r="AJ37">
        <f t="shared" si="44"/>
        <v>0</v>
      </c>
      <c r="AK37">
        <f t="shared" si="44"/>
        <v>0</v>
      </c>
      <c r="AL37">
        <f t="shared" si="44"/>
        <v>0</v>
      </c>
      <c r="AM37">
        <f t="shared" si="44"/>
        <v>0</v>
      </c>
      <c r="AN37">
        <f t="shared" si="44"/>
        <v>0</v>
      </c>
      <c r="AO37">
        <f t="shared" si="44"/>
        <v>0</v>
      </c>
      <c r="AP37">
        <f t="shared" si="44"/>
        <v>0</v>
      </c>
      <c r="AQ37">
        <f t="shared" si="43"/>
        <v>0</v>
      </c>
    </row>
    <row r="38" spans="1:43" x14ac:dyDescent="0.25">
      <c r="A38">
        <v>51</v>
      </c>
      <c r="B38">
        <v>0</v>
      </c>
      <c r="C38" s="11">
        <v>51</v>
      </c>
      <c r="D38" s="12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3">
        <v>1</v>
      </c>
      <c r="R38" s="14"/>
      <c r="S38" s="13">
        <v>1</v>
      </c>
      <c r="T38" s="14"/>
      <c r="U38" s="14"/>
      <c r="V38" s="14"/>
      <c r="W38">
        <f t="shared" si="39"/>
        <v>2</v>
      </c>
      <c r="X38">
        <f t="shared" si="42"/>
        <v>0</v>
      </c>
      <c r="Y38">
        <f t="shared" si="42"/>
        <v>0</v>
      </c>
      <c r="Z38">
        <f t="shared" si="42"/>
        <v>0</v>
      </c>
      <c r="AA38">
        <f t="shared" si="42"/>
        <v>0</v>
      </c>
      <c r="AB38">
        <f t="shared" si="44"/>
        <v>0</v>
      </c>
      <c r="AC38">
        <f t="shared" si="44"/>
        <v>0</v>
      </c>
      <c r="AD38">
        <f t="shared" si="44"/>
        <v>0</v>
      </c>
      <c r="AE38">
        <f t="shared" si="44"/>
        <v>0</v>
      </c>
      <c r="AF38">
        <f t="shared" si="44"/>
        <v>0</v>
      </c>
      <c r="AG38">
        <f t="shared" si="44"/>
        <v>0</v>
      </c>
      <c r="AH38">
        <f t="shared" si="44"/>
        <v>0</v>
      </c>
      <c r="AI38">
        <f t="shared" si="44"/>
        <v>0</v>
      </c>
      <c r="AJ38">
        <f t="shared" si="44"/>
        <v>0</v>
      </c>
      <c r="AK38">
        <f t="shared" si="44"/>
        <v>0</v>
      </c>
      <c r="AL38">
        <f t="shared" si="44"/>
        <v>0</v>
      </c>
      <c r="AM38">
        <f t="shared" si="44"/>
        <v>0</v>
      </c>
      <c r="AN38">
        <f t="shared" si="44"/>
        <v>0</v>
      </c>
      <c r="AO38">
        <f t="shared" si="44"/>
        <v>0</v>
      </c>
      <c r="AP38">
        <f t="shared" si="44"/>
        <v>0</v>
      </c>
      <c r="AQ38">
        <f t="shared" si="43"/>
        <v>0</v>
      </c>
    </row>
    <row r="39" spans="1:43" x14ac:dyDescent="0.25">
      <c r="A39">
        <v>52</v>
      </c>
      <c r="B39">
        <v>0</v>
      </c>
      <c r="C39" s="11">
        <v>52</v>
      </c>
      <c r="D39" s="12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3">
        <v>1</v>
      </c>
      <c r="T39" s="14"/>
      <c r="U39" s="14"/>
      <c r="V39" s="14"/>
      <c r="W39">
        <f t="shared" si="39"/>
        <v>1</v>
      </c>
      <c r="X39">
        <f t="shared" si="42"/>
        <v>0</v>
      </c>
      <c r="Y39">
        <f t="shared" si="42"/>
        <v>0</v>
      </c>
      <c r="Z39">
        <f t="shared" si="42"/>
        <v>0</v>
      </c>
      <c r="AA39">
        <f t="shared" si="42"/>
        <v>0</v>
      </c>
      <c r="AB39">
        <f t="shared" si="44"/>
        <v>0</v>
      </c>
      <c r="AC39">
        <f t="shared" si="44"/>
        <v>0</v>
      </c>
      <c r="AD39">
        <f t="shared" si="44"/>
        <v>0</v>
      </c>
      <c r="AE39">
        <f t="shared" si="44"/>
        <v>0</v>
      </c>
      <c r="AF39">
        <f t="shared" si="44"/>
        <v>0</v>
      </c>
      <c r="AG39">
        <f t="shared" si="44"/>
        <v>0</v>
      </c>
      <c r="AH39">
        <f t="shared" si="44"/>
        <v>0</v>
      </c>
      <c r="AI39">
        <f t="shared" si="44"/>
        <v>0</v>
      </c>
      <c r="AJ39">
        <f t="shared" si="44"/>
        <v>0</v>
      </c>
      <c r="AK39">
        <f t="shared" si="44"/>
        <v>0</v>
      </c>
      <c r="AL39">
        <f t="shared" si="44"/>
        <v>0</v>
      </c>
      <c r="AM39">
        <f t="shared" si="44"/>
        <v>0</v>
      </c>
      <c r="AN39">
        <f t="shared" si="44"/>
        <v>0</v>
      </c>
      <c r="AO39">
        <f t="shared" si="44"/>
        <v>0</v>
      </c>
      <c r="AP39">
        <f t="shared" si="44"/>
        <v>0</v>
      </c>
      <c r="AQ39">
        <f t="shared" si="43"/>
        <v>0</v>
      </c>
    </row>
    <row r="40" spans="1:43" x14ac:dyDescent="0.25">
      <c r="A40">
        <v>53</v>
      </c>
      <c r="B40">
        <v>0</v>
      </c>
      <c r="C40" s="11">
        <v>53</v>
      </c>
      <c r="D40" s="12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3">
        <v>2</v>
      </c>
      <c r="R40" s="14"/>
      <c r="S40" s="14"/>
      <c r="T40" s="14"/>
      <c r="U40" s="14"/>
      <c r="V40" s="14"/>
      <c r="W40">
        <v>2</v>
      </c>
      <c r="X40">
        <f t="shared" si="42"/>
        <v>0</v>
      </c>
      <c r="Y40">
        <f t="shared" si="42"/>
        <v>0</v>
      </c>
      <c r="Z40">
        <f t="shared" si="42"/>
        <v>0</v>
      </c>
      <c r="AA40">
        <f t="shared" si="42"/>
        <v>0</v>
      </c>
      <c r="AB40">
        <f t="shared" si="44"/>
        <v>0</v>
      </c>
      <c r="AC40">
        <f t="shared" si="44"/>
        <v>0</v>
      </c>
      <c r="AD40">
        <f t="shared" si="44"/>
        <v>0</v>
      </c>
      <c r="AE40">
        <f t="shared" si="44"/>
        <v>0</v>
      </c>
      <c r="AF40">
        <f t="shared" si="44"/>
        <v>0</v>
      </c>
      <c r="AG40">
        <f t="shared" si="44"/>
        <v>0</v>
      </c>
      <c r="AH40">
        <f t="shared" si="44"/>
        <v>0</v>
      </c>
      <c r="AI40">
        <f t="shared" si="44"/>
        <v>0</v>
      </c>
      <c r="AJ40">
        <f t="shared" si="44"/>
        <v>0</v>
      </c>
      <c r="AK40">
        <f t="shared" si="44"/>
        <v>0</v>
      </c>
      <c r="AL40">
        <f t="shared" si="44"/>
        <v>0</v>
      </c>
      <c r="AM40">
        <f t="shared" si="44"/>
        <v>0</v>
      </c>
      <c r="AN40">
        <f t="shared" si="44"/>
        <v>0</v>
      </c>
      <c r="AO40">
        <f t="shared" si="44"/>
        <v>0</v>
      </c>
      <c r="AP40">
        <f t="shared" si="44"/>
        <v>0</v>
      </c>
      <c r="AQ40">
        <f t="shared" si="43"/>
        <v>0</v>
      </c>
    </row>
    <row r="41" spans="1:43" x14ac:dyDescent="0.25">
      <c r="A41">
        <v>54</v>
      </c>
      <c r="B41">
        <v>0</v>
      </c>
      <c r="C41" s="11">
        <v>54</v>
      </c>
      <c r="D41" s="12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3">
        <v>1</v>
      </c>
      <c r="W41">
        <f>SUM(E41:V41)</f>
        <v>1</v>
      </c>
      <c r="X41">
        <f t="shared" si="42"/>
        <v>0</v>
      </c>
      <c r="Y41">
        <f t="shared" si="42"/>
        <v>0</v>
      </c>
      <c r="Z41">
        <f t="shared" si="42"/>
        <v>0</v>
      </c>
      <c r="AA41">
        <f t="shared" si="42"/>
        <v>0</v>
      </c>
      <c r="AB41">
        <f t="shared" si="44"/>
        <v>0</v>
      </c>
      <c r="AC41">
        <f t="shared" si="44"/>
        <v>0</v>
      </c>
      <c r="AD41">
        <f t="shared" si="44"/>
        <v>0</v>
      </c>
      <c r="AE41">
        <f t="shared" si="44"/>
        <v>0</v>
      </c>
      <c r="AF41">
        <f t="shared" si="44"/>
        <v>0</v>
      </c>
      <c r="AG41">
        <f t="shared" si="44"/>
        <v>0</v>
      </c>
      <c r="AH41">
        <f t="shared" si="44"/>
        <v>0</v>
      </c>
      <c r="AI41">
        <f t="shared" si="44"/>
        <v>0</v>
      </c>
      <c r="AJ41">
        <f t="shared" si="44"/>
        <v>0</v>
      </c>
      <c r="AK41">
        <f t="shared" si="44"/>
        <v>0</v>
      </c>
      <c r="AL41">
        <f t="shared" si="44"/>
        <v>0</v>
      </c>
      <c r="AM41">
        <f t="shared" si="44"/>
        <v>0</v>
      </c>
      <c r="AN41">
        <f t="shared" si="44"/>
        <v>0</v>
      </c>
      <c r="AO41">
        <f t="shared" si="44"/>
        <v>0</v>
      </c>
      <c r="AP41">
        <f t="shared" si="44"/>
        <v>0</v>
      </c>
      <c r="AQ41">
        <f t="shared" si="43"/>
        <v>0</v>
      </c>
    </row>
    <row r="42" spans="1:43" ht="15.75" thickBot="1" x14ac:dyDescent="0.3">
      <c r="A42">
        <v>55</v>
      </c>
      <c r="B42">
        <v>0</v>
      </c>
      <c r="C42" s="15">
        <v>55</v>
      </c>
      <c r="D42" s="1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3">
        <v>1</v>
      </c>
      <c r="T42" s="14"/>
      <c r="U42" s="14"/>
      <c r="V42" s="14"/>
      <c r="W42">
        <f>SUM(E42:V42)</f>
        <v>1</v>
      </c>
      <c r="X42">
        <f t="shared" si="42"/>
        <v>0</v>
      </c>
      <c r="Y42">
        <f t="shared" si="42"/>
        <v>0</v>
      </c>
      <c r="Z42">
        <f t="shared" si="42"/>
        <v>0</v>
      </c>
      <c r="AA42">
        <f t="shared" si="42"/>
        <v>0</v>
      </c>
      <c r="AB42">
        <f t="shared" si="44"/>
        <v>0</v>
      </c>
      <c r="AC42">
        <f t="shared" si="44"/>
        <v>0</v>
      </c>
      <c r="AD42">
        <f t="shared" si="44"/>
        <v>0</v>
      </c>
      <c r="AE42">
        <f t="shared" si="44"/>
        <v>0</v>
      </c>
      <c r="AF42">
        <f t="shared" si="44"/>
        <v>0</v>
      </c>
      <c r="AG42">
        <f t="shared" si="44"/>
        <v>0</v>
      </c>
      <c r="AH42">
        <f t="shared" si="44"/>
        <v>0</v>
      </c>
      <c r="AI42">
        <f t="shared" si="44"/>
        <v>0</v>
      </c>
      <c r="AJ42">
        <f t="shared" si="44"/>
        <v>0</v>
      </c>
      <c r="AK42">
        <f t="shared" si="44"/>
        <v>0</v>
      </c>
      <c r="AL42">
        <f t="shared" si="44"/>
        <v>0</v>
      </c>
      <c r="AM42">
        <f t="shared" si="44"/>
        <v>0</v>
      </c>
      <c r="AN42">
        <f t="shared" si="44"/>
        <v>0</v>
      </c>
      <c r="AO42">
        <f t="shared" si="44"/>
        <v>0</v>
      </c>
      <c r="AP42">
        <f t="shared" si="44"/>
        <v>0</v>
      </c>
      <c r="AQ42">
        <f t="shared" si="43"/>
        <v>0</v>
      </c>
    </row>
    <row r="43" spans="1:43" x14ac:dyDescent="0.25">
      <c r="A43" t="s">
        <v>22</v>
      </c>
      <c r="B43">
        <f>SUM(B2:B42)</f>
        <v>21625.492889789304</v>
      </c>
      <c r="C43" t="s">
        <v>21</v>
      </c>
      <c r="E43">
        <f t="shared" ref="E43:S43" si="45">SUM(E15:E42)</f>
        <v>43</v>
      </c>
      <c r="F43">
        <f t="shared" si="45"/>
        <v>83</v>
      </c>
      <c r="G43">
        <f t="shared" si="45"/>
        <v>46</v>
      </c>
      <c r="H43">
        <f t="shared" si="45"/>
        <v>22</v>
      </c>
      <c r="I43">
        <f t="shared" si="45"/>
        <v>35</v>
      </c>
      <c r="J43">
        <f t="shared" si="45"/>
        <v>47</v>
      </c>
      <c r="K43">
        <f t="shared" si="45"/>
        <v>20</v>
      </c>
      <c r="L43">
        <f t="shared" si="45"/>
        <v>8</v>
      </c>
      <c r="M43">
        <f t="shared" si="45"/>
        <v>9</v>
      </c>
      <c r="N43">
        <f t="shared" si="45"/>
        <v>4</v>
      </c>
      <c r="O43">
        <f t="shared" si="45"/>
        <v>2</v>
      </c>
      <c r="P43">
        <f t="shared" si="45"/>
        <v>1</v>
      </c>
      <c r="Q43">
        <f t="shared" si="45"/>
        <v>8</v>
      </c>
      <c r="R43">
        <f t="shared" si="45"/>
        <v>3</v>
      </c>
      <c r="S43">
        <f t="shared" si="45"/>
        <v>6</v>
      </c>
      <c r="V43">
        <f>SUM(V15:V42)</f>
        <v>1</v>
      </c>
      <c r="W43" s="1">
        <f>SUM(W15:W42)</f>
        <v>338</v>
      </c>
      <c r="X43">
        <f>SUM(X5:X42)</f>
        <v>296.26693285482753</v>
      </c>
      <c r="Y43">
        <f t="shared" ref="Y43:AP43" si="46">SUM(Y5:Y42)</f>
        <v>9855.8899262801642</v>
      </c>
      <c r="Z43">
        <f t="shared" si="46"/>
        <v>7309.6674307014009</v>
      </c>
      <c r="AA43">
        <f t="shared" si="46"/>
        <v>2501.6453563191194</v>
      </c>
      <c r="AB43">
        <f t="shared" si="46"/>
        <v>959.97755991216093</v>
      </c>
      <c r="AC43">
        <f t="shared" si="46"/>
        <v>615.14131909035075</v>
      </c>
      <c r="AD43">
        <f t="shared" si="46"/>
        <v>70.495651315505143</v>
      </c>
      <c r="AE43">
        <f t="shared" si="46"/>
        <v>14.949291381685576</v>
      </c>
      <c r="AF43">
        <f t="shared" si="46"/>
        <v>1.4594219340896812</v>
      </c>
      <c r="AG43">
        <f t="shared" si="46"/>
        <v>0</v>
      </c>
      <c r="AH43">
        <f t="shared" si="46"/>
        <v>0</v>
      </c>
      <c r="AI43">
        <f t="shared" si="46"/>
        <v>0</v>
      </c>
      <c r="AJ43">
        <f t="shared" si="46"/>
        <v>0</v>
      </c>
      <c r="AK43">
        <f t="shared" si="46"/>
        <v>0</v>
      </c>
      <c r="AL43">
        <f t="shared" si="46"/>
        <v>0</v>
      </c>
      <c r="AM43">
        <f t="shared" si="46"/>
        <v>0</v>
      </c>
      <c r="AN43">
        <f t="shared" si="46"/>
        <v>0</v>
      </c>
      <c r="AO43">
        <f t="shared" si="46"/>
        <v>0</v>
      </c>
      <c r="AP43">
        <f t="shared" si="46"/>
        <v>0</v>
      </c>
      <c r="AQ43">
        <f>SUM(AQ5:AQ42)</f>
        <v>21625.492889789304</v>
      </c>
    </row>
    <row r="44" spans="1:43" s="16" customForma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44"/>
  <sheetViews>
    <sheetView zoomScale="80" zoomScaleNormal="80" workbookViewId="0">
      <selection activeCell="D4" sqref="D4"/>
    </sheetView>
  </sheetViews>
  <sheetFormatPr defaultRowHeight="15" x14ac:dyDescent="0.25"/>
  <cols>
    <col min="3" max="22" width="5.7109375" customWidth="1"/>
  </cols>
  <sheetData>
    <row r="1" spans="1:43" ht="19.5" thickBot="1" x14ac:dyDescent="0.35">
      <c r="C1" s="36" t="s">
        <v>25</v>
      </c>
      <c r="D1" s="36"/>
    </row>
    <row r="2" spans="1:43" ht="15.75" thickBot="1" x14ac:dyDescent="0.3">
      <c r="A2">
        <v>15</v>
      </c>
      <c r="B2">
        <v>0</v>
      </c>
      <c r="C2" s="2" t="s">
        <v>1</v>
      </c>
      <c r="D2" s="26" t="s">
        <v>2</v>
      </c>
      <c r="E2" s="27" t="s">
        <v>3</v>
      </c>
      <c r="F2" s="27" t="s">
        <v>4</v>
      </c>
      <c r="G2" s="27" t="s">
        <v>5</v>
      </c>
      <c r="H2" s="27" t="s">
        <v>6</v>
      </c>
      <c r="I2" s="28" t="s">
        <v>7</v>
      </c>
      <c r="J2" s="27" t="s">
        <v>8</v>
      </c>
      <c r="K2" s="27" t="s">
        <v>9</v>
      </c>
      <c r="L2" s="27" t="s">
        <v>10</v>
      </c>
      <c r="M2" s="27" t="s">
        <v>11</v>
      </c>
      <c r="N2" s="28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5" t="s">
        <v>18</v>
      </c>
      <c r="U2" s="4" t="s">
        <v>19</v>
      </c>
      <c r="V2" s="5" t="s">
        <v>20</v>
      </c>
      <c r="W2" s="20" t="s">
        <v>26</v>
      </c>
      <c r="X2" s="3" t="s">
        <v>2</v>
      </c>
      <c r="Y2" s="4" t="s">
        <v>3</v>
      </c>
      <c r="Z2" s="4" t="s">
        <v>4</v>
      </c>
      <c r="AA2" s="4" t="s">
        <v>5</v>
      </c>
      <c r="AB2" s="4" t="s">
        <v>6</v>
      </c>
      <c r="AC2" s="4" t="s">
        <v>7</v>
      </c>
      <c r="AD2" s="4" t="s">
        <v>8</v>
      </c>
      <c r="AE2" s="4" t="s">
        <v>9</v>
      </c>
      <c r="AF2" s="4" t="s">
        <v>10</v>
      </c>
      <c r="AG2" s="4" t="s">
        <v>11</v>
      </c>
      <c r="AH2" s="4" t="s">
        <v>12</v>
      </c>
      <c r="AI2" s="4" t="s">
        <v>13</v>
      </c>
      <c r="AJ2" s="4" t="s">
        <v>14</v>
      </c>
      <c r="AK2" s="4" t="s">
        <v>15</v>
      </c>
      <c r="AL2" s="4" t="s">
        <v>16</v>
      </c>
      <c r="AM2" s="4" t="s">
        <v>17</v>
      </c>
      <c r="AN2" s="4" t="s">
        <v>18</v>
      </c>
      <c r="AO2" s="4" t="s">
        <v>19</v>
      </c>
      <c r="AP2" s="5" t="s">
        <v>20</v>
      </c>
    </row>
    <row r="3" spans="1:43" x14ac:dyDescent="0.25">
      <c r="A3">
        <v>16</v>
      </c>
      <c r="B3">
        <v>0</v>
      </c>
    </row>
    <row r="4" spans="1:43" x14ac:dyDescent="0.25">
      <c r="A4">
        <v>17</v>
      </c>
      <c r="B4">
        <v>6.2350000000000003</v>
      </c>
      <c r="D4">
        <v>1</v>
      </c>
      <c r="W4">
        <v>1</v>
      </c>
      <c r="X4">
        <f>D4/$W4*$B4</f>
        <v>6.2350000000000003</v>
      </c>
      <c r="Y4">
        <f t="shared" ref="Y4:AP4" si="0">E4/$W4*$B4</f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>SUM(X4:AP4)</f>
        <v>6.2350000000000003</v>
      </c>
    </row>
    <row r="5" spans="1:43" x14ac:dyDescent="0.25">
      <c r="A5">
        <v>18</v>
      </c>
      <c r="B5">
        <v>101.8100566893424</v>
      </c>
      <c r="D5">
        <v>1</v>
      </c>
      <c r="W5">
        <f>SUM(D5:V5)</f>
        <v>1</v>
      </c>
      <c r="X5">
        <f>D5/$W5*$B5</f>
        <v>101.8100566893424</v>
      </c>
      <c r="Y5">
        <f t="shared" ref="Y5:AP19" si="1">E5/$W5*$B5</f>
        <v>0</v>
      </c>
      <c r="Z5">
        <f t="shared" si="1"/>
        <v>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</v>
      </c>
      <c r="AE5">
        <f t="shared" si="1"/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si="1"/>
        <v>0</v>
      </c>
      <c r="AK5">
        <f t="shared" si="1"/>
        <v>0</v>
      </c>
      <c r="AL5">
        <f t="shared" si="1"/>
        <v>0</v>
      </c>
      <c r="AM5">
        <f t="shared" si="1"/>
        <v>0</v>
      </c>
      <c r="AN5">
        <f t="shared" si="1"/>
        <v>0</v>
      </c>
      <c r="AO5">
        <f t="shared" si="1"/>
        <v>0</v>
      </c>
      <c r="AP5">
        <f t="shared" si="1"/>
        <v>0</v>
      </c>
      <c r="AQ5">
        <f>SUM(X5:AP5)</f>
        <v>101.8100566893424</v>
      </c>
    </row>
    <row r="6" spans="1:43" x14ac:dyDescent="0.25">
      <c r="A6">
        <v>19</v>
      </c>
      <c r="B6">
        <v>49.21549886621316</v>
      </c>
      <c r="C6" s="29">
        <v>19</v>
      </c>
      <c r="D6" s="30">
        <v>1</v>
      </c>
      <c r="E6" s="31"/>
      <c r="F6" s="31"/>
      <c r="G6" s="31"/>
      <c r="H6" s="31"/>
      <c r="I6" s="31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>
        <f t="shared" ref="W6:W14" si="2">SUM(D6:V6)</f>
        <v>1</v>
      </c>
      <c r="X6">
        <f t="shared" ref="X6:X14" si="3">D6/$W6*$B6</f>
        <v>49.21549886621316</v>
      </c>
      <c r="Y6">
        <f t="shared" si="1"/>
        <v>0</v>
      </c>
      <c r="Z6">
        <f t="shared" si="1"/>
        <v>0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1"/>
        <v>0</v>
      </c>
      <c r="AI6">
        <f t="shared" si="1"/>
        <v>0</v>
      </c>
      <c r="AJ6">
        <f t="shared" si="1"/>
        <v>0</v>
      </c>
      <c r="AK6">
        <f t="shared" si="1"/>
        <v>0</v>
      </c>
      <c r="AL6">
        <f t="shared" si="1"/>
        <v>0</v>
      </c>
      <c r="AM6">
        <f t="shared" si="1"/>
        <v>0</v>
      </c>
      <c r="AN6">
        <f t="shared" si="1"/>
        <v>0</v>
      </c>
      <c r="AO6">
        <f t="shared" si="1"/>
        <v>0</v>
      </c>
      <c r="AP6">
        <f t="shared" si="1"/>
        <v>0</v>
      </c>
      <c r="AQ6">
        <f t="shared" ref="AQ6:AQ14" si="4">SUM(X6:AP6)</f>
        <v>49.21549886621316</v>
      </c>
    </row>
    <row r="7" spans="1:43" x14ac:dyDescent="0.25">
      <c r="A7">
        <v>20</v>
      </c>
      <c r="B7">
        <v>6.2067233560090713</v>
      </c>
      <c r="C7" s="32">
        <v>20</v>
      </c>
      <c r="D7" s="18">
        <v>1</v>
      </c>
      <c r="E7" s="33"/>
      <c r="F7" s="33"/>
      <c r="G7" s="33"/>
      <c r="H7" s="33"/>
      <c r="I7" s="3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>
        <f t="shared" si="2"/>
        <v>1</v>
      </c>
      <c r="X7">
        <f t="shared" si="3"/>
        <v>6.2067233560090713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1"/>
        <v>0</v>
      </c>
      <c r="AI7">
        <f t="shared" si="1"/>
        <v>0</v>
      </c>
      <c r="AJ7">
        <f t="shared" si="1"/>
        <v>0</v>
      </c>
      <c r="AK7">
        <f t="shared" si="1"/>
        <v>0</v>
      </c>
      <c r="AL7">
        <f t="shared" si="1"/>
        <v>0</v>
      </c>
      <c r="AM7">
        <f t="shared" si="1"/>
        <v>0</v>
      </c>
      <c r="AN7">
        <f t="shared" si="1"/>
        <v>0</v>
      </c>
      <c r="AO7">
        <f t="shared" si="1"/>
        <v>0</v>
      </c>
      <c r="AP7">
        <f t="shared" si="1"/>
        <v>0</v>
      </c>
      <c r="AQ7">
        <f t="shared" si="4"/>
        <v>6.2067233560090713</v>
      </c>
    </row>
    <row r="8" spans="1:43" x14ac:dyDescent="0.25">
      <c r="A8">
        <v>21</v>
      </c>
      <c r="B8">
        <v>0</v>
      </c>
      <c r="C8" s="32">
        <v>21</v>
      </c>
      <c r="D8" s="18">
        <v>1</v>
      </c>
      <c r="E8" s="33"/>
      <c r="F8" s="33"/>
      <c r="G8" s="33"/>
      <c r="H8" s="33"/>
      <c r="I8" s="3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>
        <f t="shared" si="2"/>
        <v>1</v>
      </c>
      <c r="X8">
        <f t="shared" si="3"/>
        <v>0</v>
      </c>
      <c r="Y8">
        <f t="shared" si="1"/>
        <v>0</v>
      </c>
      <c r="Z8">
        <f t="shared" si="1"/>
        <v>0</v>
      </c>
      <c r="AA8">
        <f t="shared" si="1"/>
        <v>0</v>
      </c>
      <c r="AB8">
        <f t="shared" si="1"/>
        <v>0</v>
      </c>
      <c r="AC8">
        <f t="shared" si="1"/>
        <v>0</v>
      </c>
      <c r="AD8">
        <f t="shared" si="1"/>
        <v>0</v>
      </c>
      <c r="AE8">
        <f t="shared" si="1"/>
        <v>0</v>
      </c>
      <c r="AF8">
        <f t="shared" si="1"/>
        <v>0</v>
      </c>
      <c r="AG8">
        <f t="shared" si="1"/>
        <v>0</v>
      </c>
      <c r="AH8">
        <f t="shared" si="1"/>
        <v>0</v>
      </c>
      <c r="AI8">
        <f t="shared" si="1"/>
        <v>0</v>
      </c>
      <c r="AJ8">
        <f t="shared" si="1"/>
        <v>0</v>
      </c>
      <c r="AK8">
        <f t="shared" si="1"/>
        <v>0</v>
      </c>
      <c r="AL8">
        <f t="shared" si="1"/>
        <v>0</v>
      </c>
      <c r="AM8">
        <f t="shared" si="1"/>
        <v>0</v>
      </c>
      <c r="AN8">
        <f t="shared" si="1"/>
        <v>0</v>
      </c>
      <c r="AO8">
        <f t="shared" si="1"/>
        <v>0</v>
      </c>
      <c r="AP8">
        <f t="shared" si="1"/>
        <v>0</v>
      </c>
      <c r="AQ8">
        <f t="shared" si="4"/>
        <v>0</v>
      </c>
    </row>
    <row r="9" spans="1:43" x14ac:dyDescent="0.25">
      <c r="A9">
        <v>22</v>
      </c>
      <c r="B9">
        <v>2.0714285714285716</v>
      </c>
      <c r="C9" s="32">
        <v>22</v>
      </c>
      <c r="D9" s="34">
        <v>1</v>
      </c>
      <c r="E9" s="33"/>
      <c r="F9" s="33"/>
      <c r="G9" s="33"/>
      <c r="H9" s="33"/>
      <c r="I9" s="3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>
        <f t="shared" si="2"/>
        <v>1</v>
      </c>
      <c r="X9">
        <f t="shared" si="3"/>
        <v>2.0714285714285716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  <c r="AC9">
        <f t="shared" si="1"/>
        <v>0</v>
      </c>
      <c r="AD9">
        <f t="shared" si="1"/>
        <v>0</v>
      </c>
      <c r="AE9">
        <f t="shared" si="1"/>
        <v>0</v>
      </c>
      <c r="AF9">
        <f t="shared" si="1"/>
        <v>0</v>
      </c>
      <c r="AG9">
        <f t="shared" si="1"/>
        <v>0</v>
      </c>
      <c r="AH9">
        <f t="shared" si="1"/>
        <v>0</v>
      </c>
      <c r="AI9">
        <f t="shared" si="1"/>
        <v>0</v>
      </c>
      <c r="AJ9">
        <f t="shared" si="1"/>
        <v>0</v>
      </c>
      <c r="AK9">
        <f t="shared" si="1"/>
        <v>0</v>
      </c>
      <c r="AL9">
        <f t="shared" si="1"/>
        <v>0</v>
      </c>
      <c r="AM9">
        <f t="shared" si="1"/>
        <v>0</v>
      </c>
      <c r="AN9">
        <f t="shared" si="1"/>
        <v>0</v>
      </c>
      <c r="AO9">
        <f t="shared" si="1"/>
        <v>0</v>
      </c>
      <c r="AP9">
        <f t="shared" si="1"/>
        <v>0</v>
      </c>
      <c r="AQ9">
        <f t="shared" si="4"/>
        <v>2.0714285714285716</v>
      </c>
    </row>
    <row r="10" spans="1:43" x14ac:dyDescent="0.25">
      <c r="A10">
        <v>23</v>
      </c>
      <c r="B10">
        <v>2.0714285714285716</v>
      </c>
      <c r="C10" s="32">
        <v>23</v>
      </c>
      <c r="D10" s="34">
        <v>1</v>
      </c>
      <c r="E10" s="33"/>
      <c r="F10" s="33"/>
      <c r="G10" s="33"/>
      <c r="H10" s="33"/>
      <c r="I10" s="3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>
        <f t="shared" si="2"/>
        <v>1</v>
      </c>
      <c r="X10">
        <f t="shared" si="3"/>
        <v>2.0714285714285716</v>
      </c>
      <c r="Y10">
        <f t="shared" si="1"/>
        <v>0</v>
      </c>
      <c r="Z10">
        <f t="shared" si="1"/>
        <v>0</v>
      </c>
      <c r="AA10">
        <f t="shared" si="1"/>
        <v>0</v>
      </c>
      <c r="AB10">
        <f t="shared" si="1"/>
        <v>0</v>
      </c>
      <c r="AC10">
        <f t="shared" si="1"/>
        <v>0</v>
      </c>
      <c r="AD10">
        <f t="shared" si="1"/>
        <v>0</v>
      </c>
      <c r="AE10">
        <f t="shared" si="1"/>
        <v>0</v>
      </c>
      <c r="AF10">
        <f t="shared" si="1"/>
        <v>0</v>
      </c>
      <c r="AG10">
        <f t="shared" si="1"/>
        <v>0</v>
      </c>
      <c r="AH10">
        <f t="shared" si="1"/>
        <v>0</v>
      </c>
      <c r="AI10">
        <f t="shared" si="1"/>
        <v>0</v>
      </c>
      <c r="AJ10">
        <f t="shared" si="1"/>
        <v>0</v>
      </c>
      <c r="AK10">
        <f t="shared" si="1"/>
        <v>0</v>
      </c>
      <c r="AL10">
        <f t="shared" si="1"/>
        <v>0</v>
      </c>
      <c r="AM10">
        <f t="shared" si="1"/>
        <v>0</v>
      </c>
      <c r="AN10">
        <f t="shared" si="1"/>
        <v>0</v>
      </c>
      <c r="AO10">
        <f t="shared" si="1"/>
        <v>0</v>
      </c>
      <c r="AP10">
        <f t="shared" si="1"/>
        <v>0</v>
      </c>
      <c r="AQ10">
        <f t="shared" si="4"/>
        <v>2.0714285714285716</v>
      </c>
    </row>
    <row r="11" spans="1:43" x14ac:dyDescent="0.25">
      <c r="A11">
        <v>24</v>
      </c>
      <c r="B11">
        <v>0</v>
      </c>
      <c r="C11" s="32">
        <v>24</v>
      </c>
      <c r="D11" s="34"/>
      <c r="E11" s="33">
        <v>1</v>
      </c>
      <c r="F11" s="33"/>
      <c r="G11" s="33"/>
      <c r="H11" s="33"/>
      <c r="I11" s="3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>
        <f t="shared" si="2"/>
        <v>1</v>
      </c>
      <c r="X11">
        <f t="shared" si="3"/>
        <v>0</v>
      </c>
      <c r="Y11">
        <f t="shared" si="1"/>
        <v>0</v>
      </c>
      <c r="Z11">
        <f t="shared" si="1"/>
        <v>0</v>
      </c>
      <c r="AA11">
        <f t="shared" si="1"/>
        <v>0</v>
      </c>
      <c r="AB11">
        <f t="shared" si="1"/>
        <v>0</v>
      </c>
      <c r="AC11">
        <f t="shared" si="1"/>
        <v>0</v>
      </c>
      <c r="AD11">
        <f t="shared" si="1"/>
        <v>0</v>
      </c>
      <c r="AE11">
        <f t="shared" si="1"/>
        <v>0</v>
      </c>
      <c r="AF11">
        <f t="shared" si="1"/>
        <v>0</v>
      </c>
      <c r="AG11">
        <f t="shared" si="1"/>
        <v>0</v>
      </c>
      <c r="AH11">
        <f t="shared" si="1"/>
        <v>0</v>
      </c>
      <c r="AI11">
        <f t="shared" si="1"/>
        <v>0</v>
      </c>
      <c r="AJ11">
        <f t="shared" si="1"/>
        <v>0</v>
      </c>
      <c r="AK11">
        <f t="shared" si="1"/>
        <v>0</v>
      </c>
      <c r="AL11">
        <f t="shared" si="1"/>
        <v>0</v>
      </c>
      <c r="AM11">
        <f t="shared" si="1"/>
        <v>0</v>
      </c>
      <c r="AN11">
        <f t="shared" si="1"/>
        <v>0</v>
      </c>
      <c r="AO11">
        <f t="shared" si="1"/>
        <v>0</v>
      </c>
      <c r="AP11">
        <f t="shared" si="1"/>
        <v>0</v>
      </c>
      <c r="AQ11">
        <f t="shared" si="4"/>
        <v>0</v>
      </c>
    </row>
    <row r="12" spans="1:43" x14ac:dyDescent="0.25">
      <c r="A12">
        <v>25</v>
      </c>
      <c r="B12">
        <v>58.689871159700445</v>
      </c>
      <c r="C12" s="32">
        <v>25</v>
      </c>
      <c r="D12" s="34"/>
      <c r="E12" s="33">
        <v>1</v>
      </c>
      <c r="F12" s="33"/>
      <c r="G12" s="33"/>
      <c r="H12" s="33"/>
      <c r="I12" s="3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>
        <f t="shared" si="2"/>
        <v>1</v>
      </c>
      <c r="X12">
        <f t="shared" si="3"/>
        <v>0</v>
      </c>
      <c r="Y12">
        <f t="shared" si="1"/>
        <v>58.689871159700445</v>
      </c>
      <c r="Z12">
        <f t="shared" si="1"/>
        <v>0</v>
      </c>
      <c r="AA12">
        <f t="shared" si="1"/>
        <v>0</v>
      </c>
      <c r="AB12">
        <f t="shared" si="1"/>
        <v>0</v>
      </c>
      <c r="AC12">
        <f t="shared" si="1"/>
        <v>0</v>
      </c>
      <c r="AD12">
        <f t="shared" si="1"/>
        <v>0</v>
      </c>
      <c r="AE12">
        <f t="shared" si="1"/>
        <v>0</v>
      </c>
      <c r="AF12">
        <f t="shared" si="1"/>
        <v>0</v>
      </c>
      <c r="AG12">
        <f t="shared" si="1"/>
        <v>0</v>
      </c>
      <c r="AH12">
        <f t="shared" si="1"/>
        <v>0</v>
      </c>
      <c r="AI12">
        <f t="shared" si="1"/>
        <v>0</v>
      </c>
      <c r="AJ12">
        <f t="shared" si="1"/>
        <v>0</v>
      </c>
      <c r="AK12">
        <f t="shared" si="1"/>
        <v>0</v>
      </c>
      <c r="AL12">
        <f t="shared" si="1"/>
        <v>0</v>
      </c>
      <c r="AM12">
        <f t="shared" si="1"/>
        <v>0</v>
      </c>
      <c r="AN12">
        <f t="shared" si="1"/>
        <v>0</v>
      </c>
      <c r="AO12">
        <f t="shared" si="1"/>
        <v>0</v>
      </c>
      <c r="AP12">
        <f t="shared" si="1"/>
        <v>0</v>
      </c>
      <c r="AQ12">
        <f t="shared" si="4"/>
        <v>58.689871159700445</v>
      </c>
    </row>
    <row r="13" spans="1:43" x14ac:dyDescent="0.25">
      <c r="A13">
        <v>26</v>
      </c>
      <c r="B13">
        <v>1091.3570695567741</v>
      </c>
      <c r="C13" s="32">
        <v>26</v>
      </c>
      <c r="D13" s="18">
        <v>2</v>
      </c>
      <c r="E13" s="19">
        <v>9</v>
      </c>
      <c r="F13" s="19">
        <v>3</v>
      </c>
      <c r="G13" s="33"/>
      <c r="H13" s="33"/>
      <c r="I13" s="3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>
        <f t="shared" si="2"/>
        <v>14</v>
      </c>
      <c r="X13">
        <f t="shared" si="3"/>
        <v>155.90815279382488</v>
      </c>
      <c r="Y13">
        <f t="shared" si="1"/>
        <v>701.58668757221199</v>
      </c>
      <c r="Z13">
        <f t="shared" si="1"/>
        <v>233.86222919073731</v>
      </c>
      <c r="AA13">
        <f t="shared" si="1"/>
        <v>0</v>
      </c>
      <c r="AB13">
        <f t="shared" si="1"/>
        <v>0</v>
      </c>
      <c r="AC13">
        <f t="shared" si="1"/>
        <v>0</v>
      </c>
      <c r="AD13">
        <f t="shared" si="1"/>
        <v>0</v>
      </c>
      <c r="AE13">
        <f t="shared" si="1"/>
        <v>0</v>
      </c>
      <c r="AF13">
        <f t="shared" si="1"/>
        <v>0</v>
      </c>
      <c r="AG13">
        <f t="shared" si="1"/>
        <v>0</v>
      </c>
      <c r="AH13">
        <f t="shared" si="1"/>
        <v>0</v>
      </c>
      <c r="AI13">
        <f t="shared" si="1"/>
        <v>0</v>
      </c>
      <c r="AJ13">
        <f t="shared" si="1"/>
        <v>0</v>
      </c>
      <c r="AK13">
        <f t="shared" si="1"/>
        <v>0</v>
      </c>
      <c r="AL13">
        <f t="shared" si="1"/>
        <v>0</v>
      </c>
      <c r="AM13">
        <f t="shared" si="1"/>
        <v>0</v>
      </c>
      <c r="AN13">
        <f t="shared" si="1"/>
        <v>0</v>
      </c>
      <c r="AO13">
        <f t="shared" si="1"/>
        <v>0</v>
      </c>
      <c r="AP13">
        <f t="shared" si="1"/>
        <v>0</v>
      </c>
      <c r="AQ13">
        <f t="shared" si="4"/>
        <v>1091.3570695567741</v>
      </c>
    </row>
    <row r="14" spans="1:43" x14ac:dyDescent="0.25">
      <c r="A14">
        <v>27</v>
      </c>
      <c r="B14">
        <v>0</v>
      </c>
      <c r="C14" s="32">
        <v>27</v>
      </c>
      <c r="D14" s="34"/>
      <c r="E14" s="19">
        <v>52</v>
      </c>
      <c r="F14" s="19">
        <v>26</v>
      </c>
      <c r="G14" s="19">
        <v>2</v>
      </c>
      <c r="H14" s="33"/>
      <c r="I14" s="3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>
        <f t="shared" si="2"/>
        <v>80</v>
      </c>
      <c r="X14">
        <f t="shared" si="3"/>
        <v>0</v>
      </c>
      <c r="Y14">
        <f t="shared" si="1"/>
        <v>0</v>
      </c>
      <c r="Z14">
        <f t="shared" si="1"/>
        <v>0</v>
      </c>
      <c r="AA14">
        <f t="shared" si="1"/>
        <v>0</v>
      </c>
      <c r="AB14">
        <f t="shared" si="1"/>
        <v>0</v>
      </c>
      <c r="AC14">
        <f t="shared" si="1"/>
        <v>0</v>
      </c>
      <c r="AD14">
        <f t="shared" si="1"/>
        <v>0</v>
      </c>
      <c r="AE14">
        <f t="shared" si="1"/>
        <v>0</v>
      </c>
      <c r="AF14">
        <f t="shared" si="1"/>
        <v>0</v>
      </c>
      <c r="AG14">
        <f t="shared" si="1"/>
        <v>0</v>
      </c>
      <c r="AH14">
        <f t="shared" si="1"/>
        <v>0</v>
      </c>
      <c r="AI14">
        <f t="shared" si="1"/>
        <v>0</v>
      </c>
      <c r="AJ14">
        <f t="shared" si="1"/>
        <v>0</v>
      </c>
      <c r="AK14">
        <f t="shared" si="1"/>
        <v>0</v>
      </c>
      <c r="AL14">
        <f t="shared" si="1"/>
        <v>0</v>
      </c>
      <c r="AM14">
        <f t="shared" si="1"/>
        <v>0</v>
      </c>
      <c r="AN14">
        <f t="shared" si="1"/>
        <v>0</v>
      </c>
      <c r="AO14">
        <f t="shared" si="1"/>
        <v>0</v>
      </c>
      <c r="AP14">
        <f t="shared" si="1"/>
        <v>0</v>
      </c>
      <c r="AQ14">
        <f t="shared" si="4"/>
        <v>0</v>
      </c>
    </row>
    <row r="15" spans="1:43" x14ac:dyDescent="0.25">
      <c r="A15">
        <v>28</v>
      </c>
      <c r="B15">
        <v>2413.4970478412283</v>
      </c>
      <c r="C15" s="32">
        <v>28</v>
      </c>
      <c r="D15" s="34"/>
      <c r="E15" s="19">
        <v>33</v>
      </c>
      <c r="F15" s="19">
        <v>23</v>
      </c>
      <c r="G15" s="19">
        <v>2</v>
      </c>
      <c r="H15" s="19">
        <v>1</v>
      </c>
      <c r="I15" s="33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>
        <f t="shared" ref="W15:W39" si="5">SUM(E15:V15)</f>
        <v>59</v>
      </c>
      <c r="X15">
        <f>D15/$W15*$B15</f>
        <v>0</v>
      </c>
      <c r="Y15">
        <f t="shared" si="1"/>
        <v>1349.9220776061106</v>
      </c>
      <c r="Z15">
        <f t="shared" si="1"/>
        <v>940.85478136183485</v>
      </c>
      <c r="AA15">
        <f t="shared" si="1"/>
        <v>81.813459248855196</v>
      </c>
      <c r="AB15">
        <f t="shared" si="1"/>
        <v>40.906729624427598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  <c r="AJ15">
        <f t="shared" si="1"/>
        <v>0</v>
      </c>
      <c r="AK15">
        <f t="shared" si="1"/>
        <v>0</v>
      </c>
      <c r="AL15">
        <f t="shared" si="1"/>
        <v>0</v>
      </c>
      <c r="AM15">
        <f t="shared" si="1"/>
        <v>0</v>
      </c>
      <c r="AN15">
        <f t="shared" si="1"/>
        <v>0</v>
      </c>
      <c r="AO15">
        <f t="shared" si="1"/>
        <v>0</v>
      </c>
      <c r="AP15">
        <f t="shared" si="1"/>
        <v>0</v>
      </c>
      <c r="AQ15">
        <f>SUM(X15:AP15)</f>
        <v>2413.4970478412279</v>
      </c>
    </row>
    <row r="16" spans="1:43" x14ac:dyDescent="0.25">
      <c r="A16">
        <v>29</v>
      </c>
      <c r="B16">
        <v>927.48264819965732</v>
      </c>
      <c r="C16" s="32">
        <v>29</v>
      </c>
      <c r="D16" s="34"/>
      <c r="E16" s="19">
        <v>6</v>
      </c>
      <c r="F16" s="19">
        <v>8</v>
      </c>
      <c r="G16" s="19">
        <v>1</v>
      </c>
      <c r="H16" s="33"/>
      <c r="I16" s="3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>
        <f t="shared" si="5"/>
        <v>15</v>
      </c>
      <c r="X16">
        <f t="shared" ref="X16:AM42" si="6">D16/$W16*$B16</f>
        <v>0</v>
      </c>
      <c r="Y16">
        <f t="shared" si="1"/>
        <v>370.99305927986296</v>
      </c>
      <c r="Z16">
        <f t="shared" si="1"/>
        <v>494.65741237315058</v>
      </c>
      <c r="AA16">
        <f t="shared" si="1"/>
        <v>61.832176546643822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  <c r="AF16">
        <f t="shared" si="1"/>
        <v>0</v>
      </c>
      <c r="AG16">
        <f t="shared" si="1"/>
        <v>0</v>
      </c>
      <c r="AH16">
        <f t="shared" si="1"/>
        <v>0</v>
      </c>
      <c r="AI16">
        <f t="shared" si="1"/>
        <v>0</v>
      </c>
      <c r="AJ16">
        <f t="shared" si="1"/>
        <v>0</v>
      </c>
      <c r="AK16">
        <f t="shared" si="1"/>
        <v>0</v>
      </c>
      <c r="AL16">
        <f t="shared" si="1"/>
        <v>0</v>
      </c>
      <c r="AM16">
        <f t="shared" si="1"/>
        <v>0</v>
      </c>
      <c r="AN16">
        <f t="shared" si="1"/>
        <v>0</v>
      </c>
      <c r="AO16">
        <f t="shared" si="1"/>
        <v>0</v>
      </c>
      <c r="AP16">
        <f t="shared" si="1"/>
        <v>0</v>
      </c>
      <c r="AQ16">
        <f t="shared" ref="AQ16:AQ42" si="7">SUM(X16:AP16)</f>
        <v>927.48264819965732</v>
      </c>
    </row>
    <row r="17" spans="1:43" x14ac:dyDescent="0.25">
      <c r="A17">
        <v>30</v>
      </c>
      <c r="B17">
        <v>136.95728651434413</v>
      </c>
      <c r="C17" s="32">
        <v>30</v>
      </c>
      <c r="D17" s="34"/>
      <c r="E17" s="19">
        <v>3</v>
      </c>
      <c r="F17" s="33"/>
      <c r="G17" s="19">
        <v>1</v>
      </c>
      <c r="H17" s="33"/>
      <c r="I17" s="33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>
        <f t="shared" si="5"/>
        <v>4</v>
      </c>
      <c r="X17">
        <f t="shared" si="6"/>
        <v>0</v>
      </c>
      <c r="Y17">
        <f t="shared" si="1"/>
        <v>102.71796488575811</v>
      </c>
      <c r="Z17">
        <f t="shared" si="1"/>
        <v>0</v>
      </c>
      <c r="AA17">
        <f t="shared" si="1"/>
        <v>34.239321628586033</v>
      </c>
      <c r="AB17">
        <f t="shared" si="1"/>
        <v>0</v>
      </c>
      <c r="AC17">
        <f t="shared" si="1"/>
        <v>0</v>
      </c>
      <c r="AD17">
        <f t="shared" si="1"/>
        <v>0</v>
      </c>
      <c r="AE17">
        <f t="shared" si="1"/>
        <v>0</v>
      </c>
      <c r="AF17">
        <f t="shared" si="1"/>
        <v>0</v>
      </c>
      <c r="AG17">
        <f t="shared" si="1"/>
        <v>0</v>
      </c>
      <c r="AH17">
        <f t="shared" si="1"/>
        <v>0</v>
      </c>
      <c r="AI17">
        <f t="shared" si="1"/>
        <v>0</v>
      </c>
      <c r="AJ17">
        <f t="shared" si="1"/>
        <v>0</v>
      </c>
      <c r="AK17">
        <f t="shared" si="1"/>
        <v>0</v>
      </c>
      <c r="AL17">
        <f t="shared" si="1"/>
        <v>0</v>
      </c>
      <c r="AM17">
        <f t="shared" si="1"/>
        <v>0</v>
      </c>
      <c r="AN17">
        <f t="shared" si="1"/>
        <v>0</v>
      </c>
      <c r="AO17">
        <f t="shared" si="1"/>
        <v>0</v>
      </c>
      <c r="AP17">
        <f t="shared" si="1"/>
        <v>0</v>
      </c>
      <c r="AQ17">
        <f t="shared" si="7"/>
        <v>136.95728651434413</v>
      </c>
    </row>
    <row r="18" spans="1:43" x14ac:dyDescent="0.25">
      <c r="A18">
        <v>31</v>
      </c>
      <c r="B18">
        <v>11.255553192595867</v>
      </c>
      <c r="C18" s="32">
        <v>31</v>
      </c>
      <c r="D18" s="34"/>
      <c r="E18" s="33"/>
      <c r="F18" s="19">
        <v>4</v>
      </c>
      <c r="G18" s="19">
        <v>2</v>
      </c>
      <c r="H18" s="33"/>
      <c r="I18" s="33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>
        <f t="shared" si="5"/>
        <v>6</v>
      </c>
      <c r="X18">
        <f t="shared" si="6"/>
        <v>0</v>
      </c>
      <c r="Y18">
        <f t="shared" si="1"/>
        <v>0</v>
      </c>
      <c r="Z18">
        <f t="shared" si="1"/>
        <v>7.5037021283972445</v>
      </c>
      <c r="AA18">
        <f t="shared" si="1"/>
        <v>3.7518510641986222</v>
      </c>
      <c r="AB18">
        <f t="shared" si="1"/>
        <v>0</v>
      </c>
      <c r="AC18">
        <f t="shared" si="1"/>
        <v>0</v>
      </c>
      <c r="AD18">
        <f t="shared" si="1"/>
        <v>0</v>
      </c>
      <c r="AE18">
        <f t="shared" si="1"/>
        <v>0</v>
      </c>
      <c r="AF18">
        <f t="shared" si="1"/>
        <v>0</v>
      </c>
      <c r="AG18">
        <f t="shared" si="1"/>
        <v>0</v>
      </c>
      <c r="AH18">
        <f t="shared" si="1"/>
        <v>0</v>
      </c>
      <c r="AI18">
        <f t="shared" si="1"/>
        <v>0</v>
      </c>
      <c r="AJ18">
        <f t="shared" si="1"/>
        <v>0</v>
      </c>
      <c r="AK18">
        <f t="shared" si="1"/>
        <v>0</v>
      </c>
      <c r="AL18">
        <f t="shared" si="1"/>
        <v>0</v>
      </c>
      <c r="AM18">
        <f t="shared" si="1"/>
        <v>0</v>
      </c>
      <c r="AN18">
        <f t="shared" si="1"/>
        <v>0</v>
      </c>
      <c r="AO18">
        <f t="shared" si="1"/>
        <v>0</v>
      </c>
      <c r="AP18">
        <f t="shared" si="1"/>
        <v>0</v>
      </c>
      <c r="AQ18">
        <f t="shared" si="7"/>
        <v>11.255553192595867</v>
      </c>
    </row>
    <row r="19" spans="1:43" x14ac:dyDescent="0.25">
      <c r="A19">
        <v>32</v>
      </c>
      <c r="B19">
        <v>71.372189448472099</v>
      </c>
      <c r="C19" s="32">
        <v>32</v>
      </c>
      <c r="D19" s="34"/>
      <c r="E19" s="19">
        <v>1</v>
      </c>
      <c r="F19" s="19">
        <v>6</v>
      </c>
      <c r="G19" s="19">
        <v>9</v>
      </c>
      <c r="H19" s="33"/>
      <c r="I19" s="33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>
        <f t="shared" si="5"/>
        <v>16</v>
      </c>
      <c r="X19">
        <f t="shared" si="6"/>
        <v>0</v>
      </c>
      <c r="Y19">
        <f t="shared" si="1"/>
        <v>4.4607618405295062</v>
      </c>
      <c r="Z19">
        <f t="shared" si="1"/>
        <v>26.764571043177035</v>
      </c>
      <c r="AA19">
        <f t="shared" si="1"/>
        <v>40.146856564765557</v>
      </c>
      <c r="AB19">
        <f t="shared" ref="AB19:AP34" si="8">H19/$W19*$B19</f>
        <v>0</v>
      </c>
      <c r="AC19">
        <f t="shared" si="8"/>
        <v>0</v>
      </c>
      <c r="AD19">
        <f t="shared" si="8"/>
        <v>0</v>
      </c>
      <c r="AE19">
        <f t="shared" si="8"/>
        <v>0</v>
      </c>
      <c r="AF19">
        <f t="shared" si="8"/>
        <v>0</v>
      </c>
      <c r="AG19">
        <f t="shared" si="8"/>
        <v>0</v>
      </c>
      <c r="AH19">
        <f t="shared" si="8"/>
        <v>0</v>
      </c>
      <c r="AI19">
        <f t="shared" si="8"/>
        <v>0</v>
      </c>
      <c r="AJ19">
        <f t="shared" si="8"/>
        <v>0</v>
      </c>
      <c r="AK19">
        <f t="shared" si="8"/>
        <v>0</v>
      </c>
      <c r="AL19">
        <f t="shared" si="8"/>
        <v>0</v>
      </c>
      <c r="AM19">
        <f t="shared" si="8"/>
        <v>0</v>
      </c>
      <c r="AN19">
        <f t="shared" si="8"/>
        <v>0</v>
      </c>
      <c r="AO19">
        <f t="shared" si="8"/>
        <v>0</v>
      </c>
      <c r="AP19">
        <f t="shared" si="8"/>
        <v>0</v>
      </c>
      <c r="AQ19">
        <f t="shared" si="7"/>
        <v>71.372189448472099</v>
      </c>
    </row>
    <row r="20" spans="1:43" x14ac:dyDescent="0.25">
      <c r="A20">
        <v>33</v>
      </c>
      <c r="B20">
        <v>42.684351298289513</v>
      </c>
      <c r="C20" s="32">
        <v>33</v>
      </c>
      <c r="D20" s="34"/>
      <c r="E20" s="33"/>
      <c r="F20" s="19">
        <v>9</v>
      </c>
      <c r="G20" s="19">
        <v>11</v>
      </c>
      <c r="H20" s="19">
        <v>1</v>
      </c>
      <c r="I20" s="33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>
        <f t="shared" si="5"/>
        <v>21</v>
      </c>
      <c r="X20">
        <f t="shared" si="6"/>
        <v>0</v>
      </c>
      <c r="Y20">
        <f t="shared" si="6"/>
        <v>0</v>
      </c>
      <c r="Z20">
        <f t="shared" si="6"/>
        <v>18.293293413552647</v>
      </c>
      <c r="AA20">
        <f t="shared" si="6"/>
        <v>22.358469727675459</v>
      </c>
      <c r="AB20">
        <f t="shared" si="6"/>
        <v>2.0325881570614053</v>
      </c>
      <c r="AC20">
        <f t="shared" si="6"/>
        <v>0</v>
      </c>
      <c r="AD20">
        <f t="shared" si="6"/>
        <v>0</v>
      </c>
      <c r="AE20">
        <f t="shared" si="6"/>
        <v>0</v>
      </c>
      <c r="AF20">
        <f t="shared" si="6"/>
        <v>0</v>
      </c>
      <c r="AG20">
        <f t="shared" si="6"/>
        <v>0</v>
      </c>
      <c r="AH20">
        <f t="shared" si="6"/>
        <v>0</v>
      </c>
      <c r="AI20">
        <f t="shared" si="6"/>
        <v>0</v>
      </c>
      <c r="AJ20">
        <f t="shared" si="6"/>
        <v>0</v>
      </c>
      <c r="AK20">
        <f t="shared" si="6"/>
        <v>0</v>
      </c>
      <c r="AL20">
        <f t="shared" si="6"/>
        <v>0</v>
      </c>
      <c r="AM20">
        <f t="shared" si="6"/>
        <v>0</v>
      </c>
      <c r="AN20">
        <f t="shared" si="8"/>
        <v>0</v>
      </c>
      <c r="AO20">
        <f t="shared" si="8"/>
        <v>0</v>
      </c>
      <c r="AP20">
        <f t="shared" si="8"/>
        <v>0</v>
      </c>
      <c r="AQ20">
        <f t="shared" si="7"/>
        <v>42.684351298289506</v>
      </c>
    </row>
    <row r="21" spans="1:43" x14ac:dyDescent="0.25">
      <c r="A21">
        <v>34</v>
      </c>
      <c r="B21">
        <v>49.770375102941948</v>
      </c>
      <c r="C21" s="32">
        <v>34</v>
      </c>
      <c r="D21" s="34"/>
      <c r="E21" s="33"/>
      <c r="F21" s="19">
        <v>33</v>
      </c>
      <c r="G21" s="19">
        <v>11</v>
      </c>
      <c r="H21" s="19">
        <v>5</v>
      </c>
      <c r="I21" s="19">
        <v>2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>
        <f t="shared" si="5"/>
        <v>51</v>
      </c>
      <c r="X21">
        <f t="shared" si="6"/>
        <v>0</v>
      </c>
      <c r="Y21">
        <f t="shared" si="6"/>
        <v>0</v>
      </c>
      <c r="Z21">
        <f t="shared" si="6"/>
        <v>32.204360360727144</v>
      </c>
      <c r="AA21">
        <f t="shared" si="6"/>
        <v>10.734786786909048</v>
      </c>
      <c r="AB21">
        <f t="shared" si="6"/>
        <v>4.8794485395041125</v>
      </c>
      <c r="AC21">
        <f t="shared" si="6"/>
        <v>1.951779415801645</v>
      </c>
      <c r="AD21">
        <f t="shared" si="6"/>
        <v>0</v>
      </c>
      <c r="AE21">
        <f t="shared" si="6"/>
        <v>0</v>
      </c>
      <c r="AF21">
        <f t="shared" si="6"/>
        <v>0</v>
      </c>
      <c r="AG21">
        <f t="shared" si="6"/>
        <v>0</v>
      </c>
      <c r="AH21">
        <f t="shared" si="6"/>
        <v>0</v>
      </c>
      <c r="AI21">
        <f t="shared" si="6"/>
        <v>0</v>
      </c>
      <c r="AJ21">
        <f t="shared" si="6"/>
        <v>0</v>
      </c>
      <c r="AK21">
        <f t="shared" si="6"/>
        <v>0</v>
      </c>
      <c r="AL21">
        <f t="shared" si="6"/>
        <v>0</v>
      </c>
      <c r="AM21">
        <f t="shared" si="6"/>
        <v>0</v>
      </c>
      <c r="AN21">
        <f t="shared" si="8"/>
        <v>0</v>
      </c>
      <c r="AO21">
        <f t="shared" si="8"/>
        <v>0</v>
      </c>
      <c r="AP21">
        <f t="shared" si="8"/>
        <v>0</v>
      </c>
      <c r="AQ21">
        <f t="shared" si="7"/>
        <v>49.770375102941948</v>
      </c>
    </row>
    <row r="22" spans="1:43" x14ac:dyDescent="0.25">
      <c r="A22">
        <v>35</v>
      </c>
      <c r="B22">
        <v>46.681037631308264</v>
      </c>
      <c r="C22" s="32">
        <v>35</v>
      </c>
      <c r="D22" s="34"/>
      <c r="E22" s="33"/>
      <c r="F22" s="33"/>
      <c r="G22" s="19">
        <v>5</v>
      </c>
      <c r="H22" s="19">
        <v>8</v>
      </c>
      <c r="I22" s="19">
        <v>1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>
        <f t="shared" si="5"/>
        <v>14</v>
      </c>
      <c r="X22">
        <f t="shared" si="6"/>
        <v>0</v>
      </c>
      <c r="Y22">
        <f t="shared" si="6"/>
        <v>0</v>
      </c>
      <c r="Z22">
        <f t="shared" si="6"/>
        <v>0</v>
      </c>
      <c r="AA22">
        <f t="shared" si="6"/>
        <v>16.671799154038666</v>
      </c>
      <c r="AB22">
        <f t="shared" si="6"/>
        <v>26.674878646461863</v>
      </c>
      <c r="AC22">
        <f t="shared" si="6"/>
        <v>3.3343598308077329</v>
      </c>
      <c r="AD22">
        <f t="shared" si="6"/>
        <v>0</v>
      </c>
      <c r="AE22">
        <f t="shared" si="6"/>
        <v>0</v>
      </c>
      <c r="AF22">
        <f t="shared" si="6"/>
        <v>0</v>
      </c>
      <c r="AG22">
        <f t="shared" si="6"/>
        <v>0</v>
      </c>
      <c r="AH22">
        <f t="shared" si="6"/>
        <v>0</v>
      </c>
      <c r="AI22">
        <f t="shared" si="6"/>
        <v>0</v>
      </c>
      <c r="AJ22">
        <f t="shared" si="6"/>
        <v>0</v>
      </c>
      <c r="AK22">
        <f t="shared" si="6"/>
        <v>0</v>
      </c>
      <c r="AL22">
        <f t="shared" si="6"/>
        <v>0</v>
      </c>
      <c r="AM22">
        <f t="shared" si="6"/>
        <v>0</v>
      </c>
      <c r="AN22">
        <f t="shared" si="8"/>
        <v>0</v>
      </c>
      <c r="AO22">
        <f t="shared" si="8"/>
        <v>0</v>
      </c>
      <c r="AP22">
        <f t="shared" si="8"/>
        <v>0</v>
      </c>
      <c r="AQ22">
        <f t="shared" si="7"/>
        <v>46.681037631308264</v>
      </c>
    </row>
    <row r="23" spans="1:43" x14ac:dyDescent="0.25">
      <c r="A23">
        <v>36</v>
      </c>
      <c r="B23">
        <v>64.604202007286517</v>
      </c>
      <c r="C23" s="32">
        <v>36</v>
      </c>
      <c r="D23" s="34"/>
      <c r="E23" s="33"/>
      <c r="F23" s="33"/>
      <c r="G23" s="19">
        <v>4</v>
      </c>
      <c r="H23" s="19">
        <v>2</v>
      </c>
      <c r="I23" s="19">
        <v>3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>
        <f t="shared" si="5"/>
        <v>9</v>
      </c>
      <c r="X23">
        <f t="shared" si="6"/>
        <v>0</v>
      </c>
      <c r="Y23">
        <f t="shared" si="6"/>
        <v>0</v>
      </c>
      <c r="Z23">
        <f t="shared" si="6"/>
        <v>0</v>
      </c>
      <c r="AA23">
        <f t="shared" si="6"/>
        <v>28.712978669905116</v>
      </c>
      <c r="AB23">
        <f t="shared" si="6"/>
        <v>14.356489334952558</v>
      </c>
      <c r="AC23">
        <f t="shared" si="6"/>
        <v>21.534734002428838</v>
      </c>
      <c r="AD23">
        <f t="shared" si="6"/>
        <v>0</v>
      </c>
      <c r="AE23">
        <f t="shared" si="6"/>
        <v>0</v>
      </c>
      <c r="AF23">
        <f t="shared" si="6"/>
        <v>0</v>
      </c>
      <c r="AG23">
        <f t="shared" si="6"/>
        <v>0</v>
      </c>
      <c r="AH23">
        <f t="shared" si="6"/>
        <v>0</v>
      </c>
      <c r="AI23">
        <f t="shared" si="6"/>
        <v>0</v>
      </c>
      <c r="AJ23">
        <f t="shared" si="6"/>
        <v>0</v>
      </c>
      <c r="AK23">
        <f t="shared" si="6"/>
        <v>0</v>
      </c>
      <c r="AL23">
        <f t="shared" si="6"/>
        <v>0</v>
      </c>
      <c r="AM23">
        <f t="shared" si="6"/>
        <v>0</v>
      </c>
      <c r="AN23">
        <f t="shared" si="8"/>
        <v>0</v>
      </c>
      <c r="AO23">
        <f t="shared" si="8"/>
        <v>0</v>
      </c>
      <c r="AP23">
        <f t="shared" si="8"/>
        <v>0</v>
      </c>
      <c r="AQ23">
        <f t="shared" si="7"/>
        <v>64.604202007286517</v>
      </c>
    </row>
    <row r="24" spans="1:43" x14ac:dyDescent="0.25">
      <c r="A24">
        <v>37</v>
      </c>
      <c r="B24">
        <v>9.0869078031377271</v>
      </c>
      <c r="C24" s="32">
        <v>37</v>
      </c>
      <c r="D24" s="34"/>
      <c r="E24" s="33"/>
      <c r="F24" s="33"/>
      <c r="G24" s="33"/>
      <c r="H24" s="19">
        <v>3</v>
      </c>
      <c r="I24" s="19">
        <v>3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>
        <f t="shared" si="5"/>
        <v>6</v>
      </c>
      <c r="X24">
        <f t="shared" si="6"/>
        <v>0</v>
      </c>
      <c r="Y24">
        <f t="shared" si="6"/>
        <v>0</v>
      </c>
      <c r="Z24">
        <f t="shared" si="6"/>
        <v>0</v>
      </c>
      <c r="AA24">
        <f t="shared" si="6"/>
        <v>0</v>
      </c>
      <c r="AB24">
        <f t="shared" si="6"/>
        <v>4.5434539015688635</v>
      </c>
      <c r="AC24">
        <f t="shared" si="6"/>
        <v>4.5434539015688635</v>
      </c>
      <c r="AD24">
        <f t="shared" si="6"/>
        <v>0</v>
      </c>
      <c r="AE24">
        <f t="shared" si="6"/>
        <v>0</v>
      </c>
      <c r="AF24">
        <f t="shared" si="6"/>
        <v>0</v>
      </c>
      <c r="AG24">
        <f t="shared" si="6"/>
        <v>0</v>
      </c>
      <c r="AH24">
        <f t="shared" si="6"/>
        <v>0</v>
      </c>
      <c r="AI24">
        <f t="shared" si="6"/>
        <v>0</v>
      </c>
      <c r="AJ24">
        <f t="shared" si="6"/>
        <v>0</v>
      </c>
      <c r="AK24">
        <f t="shared" si="6"/>
        <v>0</v>
      </c>
      <c r="AL24">
        <f t="shared" si="6"/>
        <v>0</v>
      </c>
      <c r="AM24">
        <f t="shared" si="6"/>
        <v>0</v>
      </c>
      <c r="AN24">
        <f t="shared" si="8"/>
        <v>0</v>
      </c>
      <c r="AO24">
        <f t="shared" si="8"/>
        <v>0</v>
      </c>
      <c r="AP24">
        <f t="shared" si="8"/>
        <v>0</v>
      </c>
      <c r="AQ24">
        <f t="shared" si="7"/>
        <v>9.0869078031377271</v>
      </c>
    </row>
    <row r="25" spans="1:43" ht="15.75" thickBot="1" x14ac:dyDescent="0.3">
      <c r="A25">
        <v>38</v>
      </c>
      <c r="B25">
        <v>0</v>
      </c>
      <c r="C25" s="35">
        <v>38</v>
      </c>
      <c r="D25" s="34"/>
      <c r="E25" s="33"/>
      <c r="F25" s="33"/>
      <c r="G25" s="33"/>
      <c r="H25" s="19">
        <v>1</v>
      </c>
      <c r="I25" s="19">
        <v>2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>
        <f t="shared" si="5"/>
        <v>3</v>
      </c>
      <c r="X25">
        <f t="shared" si="6"/>
        <v>0</v>
      </c>
      <c r="Y25">
        <f t="shared" si="6"/>
        <v>0</v>
      </c>
      <c r="Z25">
        <f t="shared" si="6"/>
        <v>0</v>
      </c>
      <c r="AA25">
        <f t="shared" si="6"/>
        <v>0</v>
      </c>
      <c r="AB25">
        <f t="shared" si="6"/>
        <v>0</v>
      </c>
      <c r="AC25">
        <f t="shared" si="6"/>
        <v>0</v>
      </c>
      <c r="AD25">
        <f t="shared" si="6"/>
        <v>0</v>
      </c>
      <c r="AE25">
        <f t="shared" si="6"/>
        <v>0</v>
      </c>
      <c r="AF25">
        <f t="shared" si="6"/>
        <v>0</v>
      </c>
      <c r="AG25">
        <f t="shared" si="6"/>
        <v>0</v>
      </c>
      <c r="AH25">
        <f t="shared" si="6"/>
        <v>0</v>
      </c>
      <c r="AI25">
        <f t="shared" si="6"/>
        <v>0</v>
      </c>
      <c r="AJ25">
        <f t="shared" si="6"/>
        <v>0</v>
      </c>
      <c r="AK25">
        <f t="shared" si="6"/>
        <v>0</v>
      </c>
      <c r="AL25">
        <f t="shared" si="6"/>
        <v>0</v>
      </c>
      <c r="AM25">
        <f t="shared" si="6"/>
        <v>0</v>
      </c>
      <c r="AN25">
        <f t="shared" si="8"/>
        <v>0</v>
      </c>
      <c r="AO25">
        <f t="shared" si="8"/>
        <v>0</v>
      </c>
      <c r="AP25">
        <f t="shared" si="8"/>
        <v>0</v>
      </c>
      <c r="AQ25">
        <f t="shared" si="7"/>
        <v>0</v>
      </c>
    </row>
    <row r="26" spans="1:43" x14ac:dyDescent="0.25">
      <c r="A26">
        <v>39</v>
      </c>
      <c r="B26">
        <v>4.8112042800555583</v>
      </c>
      <c r="C26" s="11">
        <v>39</v>
      </c>
      <c r="D26" s="12"/>
      <c r="E26" s="14"/>
      <c r="F26" s="14"/>
      <c r="G26" s="14"/>
      <c r="H26" s="14"/>
      <c r="I26" s="24">
        <v>17</v>
      </c>
      <c r="J26" s="24">
        <v>14</v>
      </c>
      <c r="K26" s="24">
        <v>1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>
        <f t="shared" si="5"/>
        <v>32</v>
      </c>
      <c r="X26">
        <f t="shared" si="6"/>
        <v>0</v>
      </c>
      <c r="Y26">
        <f t="shared" si="6"/>
        <v>0</v>
      </c>
      <c r="Z26">
        <f t="shared" si="6"/>
        <v>0</v>
      </c>
      <c r="AA26">
        <f t="shared" si="6"/>
        <v>0</v>
      </c>
      <c r="AB26">
        <f t="shared" si="6"/>
        <v>0</v>
      </c>
      <c r="AC26">
        <f t="shared" si="6"/>
        <v>2.5559522737795155</v>
      </c>
      <c r="AD26">
        <f t="shared" si="6"/>
        <v>2.1049018725243069</v>
      </c>
      <c r="AE26">
        <f t="shared" si="6"/>
        <v>0.1503501337517362</v>
      </c>
      <c r="AF26">
        <f t="shared" si="6"/>
        <v>0</v>
      </c>
      <c r="AG26">
        <f t="shared" si="6"/>
        <v>0</v>
      </c>
      <c r="AH26">
        <f t="shared" si="6"/>
        <v>0</v>
      </c>
      <c r="AI26">
        <f t="shared" si="6"/>
        <v>0</v>
      </c>
      <c r="AJ26">
        <f t="shared" si="6"/>
        <v>0</v>
      </c>
      <c r="AK26">
        <f t="shared" si="6"/>
        <v>0</v>
      </c>
      <c r="AL26">
        <f t="shared" si="6"/>
        <v>0</v>
      </c>
      <c r="AM26">
        <f t="shared" si="6"/>
        <v>0</v>
      </c>
      <c r="AN26">
        <f t="shared" si="8"/>
        <v>0</v>
      </c>
      <c r="AO26">
        <f t="shared" si="8"/>
        <v>0</v>
      </c>
      <c r="AP26">
        <f t="shared" si="8"/>
        <v>0</v>
      </c>
      <c r="AQ26">
        <f t="shared" si="7"/>
        <v>4.8112042800555592</v>
      </c>
    </row>
    <row r="27" spans="1:43" x14ac:dyDescent="0.25">
      <c r="A27">
        <v>40</v>
      </c>
      <c r="B27">
        <v>0.87605379365716574</v>
      </c>
      <c r="C27" s="11">
        <v>40</v>
      </c>
      <c r="D27" s="12"/>
      <c r="E27" s="14"/>
      <c r="F27" s="14"/>
      <c r="G27" s="14"/>
      <c r="H27" s="24">
        <v>1</v>
      </c>
      <c r="I27" s="24">
        <v>5</v>
      </c>
      <c r="J27" s="24">
        <v>17</v>
      </c>
      <c r="K27" s="24">
        <v>2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>
        <f t="shared" si="5"/>
        <v>25</v>
      </c>
      <c r="X27">
        <f t="shared" si="6"/>
        <v>0</v>
      </c>
      <c r="Y27">
        <f t="shared" si="6"/>
        <v>0</v>
      </c>
      <c r="Z27">
        <f t="shared" si="6"/>
        <v>0</v>
      </c>
      <c r="AA27">
        <f t="shared" si="6"/>
        <v>0</v>
      </c>
      <c r="AB27">
        <f t="shared" si="6"/>
        <v>3.504215174628663E-2</v>
      </c>
      <c r="AC27">
        <f t="shared" si="6"/>
        <v>0.17521075873143316</v>
      </c>
      <c r="AD27">
        <f t="shared" si="6"/>
        <v>0.59571657968687275</v>
      </c>
      <c r="AE27">
        <f t="shared" si="6"/>
        <v>7.0084303492573261E-2</v>
      </c>
      <c r="AF27">
        <f t="shared" si="6"/>
        <v>0</v>
      </c>
      <c r="AG27">
        <f t="shared" si="6"/>
        <v>0</v>
      </c>
      <c r="AH27">
        <f t="shared" si="6"/>
        <v>0</v>
      </c>
      <c r="AI27">
        <f t="shared" si="6"/>
        <v>0</v>
      </c>
      <c r="AJ27">
        <f t="shared" si="6"/>
        <v>0</v>
      </c>
      <c r="AK27">
        <f t="shared" si="6"/>
        <v>0</v>
      </c>
      <c r="AL27">
        <f t="shared" si="6"/>
        <v>0</v>
      </c>
      <c r="AM27">
        <f t="shared" si="6"/>
        <v>0</v>
      </c>
      <c r="AN27">
        <f t="shared" si="8"/>
        <v>0</v>
      </c>
      <c r="AO27">
        <f t="shared" si="8"/>
        <v>0</v>
      </c>
      <c r="AP27">
        <f t="shared" si="8"/>
        <v>0</v>
      </c>
      <c r="AQ27">
        <f t="shared" si="7"/>
        <v>0.87605379365716574</v>
      </c>
    </row>
    <row r="28" spans="1:43" x14ac:dyDescent="0.25">
      <c r="A28">
        <v>41</v>
      </c>
      <c r="B28">
        <v>21.547982699483867</v>
      </c>
      <c r="C28" s="11">
        <v>41</v>
      </c>
      <c r="D28" s="12"/>
      <c r="E28" s="14"/>
      <c r="F28" s="14"/>
      <c r="G28" s="14"/>
      <c r="H28" s="14"/>
      <c r="I28" s="24">
        <v>1</v>
      </c>
      <c r="J28" s="24">
        <v>3</v>
      </c>
      <c r="K28" s="24">
        <v>5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>
        <f t="shared" si="5"/>
        <v>9</v>
      </c>
      <c r="X28">
        <f t="shared" si="6"/>
        <v>0</v>
      </c>
      <c r="Y28">
        <f t="shared" si="6"/>
        <v>0</v>
      </c>
      <c r="Z28">
        <f t="shared" si="6"/>
        <v>0</v>
      </c>
      <c r="AA28">
        <f t="shared" si="6"/>
        <v>0</v>
      </c>
      <c r="AB28">
        <f t="shared" si="6"/>
        <v>0</v>
      </c>
      <c r="AC28">
        <f t="shared" si="6"/>
        <v>2.3942202999426518</v>
      </c>
      <c r="AD28">
        <f t="shared" si="6"/>
        <v>7.1826608998279555</v>
      </c>
      <c r="AE28">
        <f t="shared" si="6"/>
        <v>11.97110149971326</v>
      </c>
      <c r="AF28">
        <f t="shared" si="6"/>
        <v>0</v>
      </c>
      <c r="AG28">
        <f t="shared" si="6"/>
        <v>0</v>
      </c>
      <c r="AH28">
        <f t="shared" si="6"/>
        <v>0</v>
      </c>
      <c r="AI28">
        <f t="shared" si="6"/>
        <v>0</v>
      </c>
      <c r="AJ28">
        <f t="shared" si="6"/>
        <v>0</v>
      </c>
      <c r="AK28">
        <f t="shared" si="6"/>
        <v>0</v>
      </c>
      <c r="AL28">
        <f t="shared" si="6"/>
        <v>0</v>
      </c>
      <c r="AM28">
        <f t="shared" si="6"/>
        <v>0</v>
      </c>
      <c r="AN28">
        <f t="shared" si="8"/>
        <v>0</v>
      </c>
      <c r="AO28">
        <f t="shared" si="8"/>
        <v>0</v>
      </c>
      <c r="AP28">
        <f t="shared" si="8"/>
        <v>0</v>
      </c>
      <c r="AQ28">
        <f t="shared" si="7"/>
        <v>21.547982699483867</v>
      </c>
    </row>
    <row r="29" spans="1:43" x14ac:dyDescent="0.25">
      <c r="A29">
        <v>42</v>
      </c>
      <c r="B29">
        <v>0</v>
      </c>
      <c r="C29" s="11">
        <v>42</v>
      </c>
      <c r="D29" s="12"/>
      <c r="E29" s="14"/>
      <c r="F29" s="14"/>
      <c r="G29" s="14"/>
      <c r="H29" s="14"/>
      <c r="I29" s="14"/>
      <c r="J29" s="24">
        <v>7</v>
      </c>
      <c r="K29" s="24">
        <v>3</v>
      </c>
      <c r="L29" s="24">
        <v>5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>
        <f t="shared" si="5"/>
        <v>15</v>
      </c>
      <c r="X29">
        <f t="shared" si="6"/>
        <v>0</v>
      </c>
      <c r="Y29">
        <f t="shared" si="6"/>
        <v>0</v>
      </c>
      <c r="Z29">
        <f t="shared" si="6"/>
        <v>0</v>
      </c>
      <c r="AA29">
        <f t="shared" si="6"/>
        <v>0</v>
      </c>
      <c r="AB29">
        <f t="shared" si="6"/>
        <v>0</v>
      </c>
      <c r="AC29">
        <f t="shared" si="6"/>
        <v>0</v>
      </c>
      <c r="AD29">
        <f t="shared" si="6"/>
        <v>0</v>
      </c>
      <c r="AE29">
        <f t="shared" si="6"/>
        <v>0</v>
      </c>
      <c r="AF29">
        <f t="shared" si="6"/>
        <v>0</v>
      </c>
      <c r="AG29">
        <f t="shared" si="6"/>
        <v>0</v>
      </c>
      <c r="AH29">
        <f t="shared" si="6"/>
        <v>0</v>
      </c>
      <c r="AI29">
        <f t="shared" si="6"/>
        <v>0</v>
      </c>
      <c r="AJ29">
        <f t="shared" si="6"/>
        <v>0</v>
      </c>
      <c r="AK29">
        <f t="shared" si="6"/>
        <v>0</v>
      </c>
      <c r="AL29">
        <f t="shared" si="6"/>
        <v>0</v>
      </c>
      <c r="AM29">
        <f t="shared" si="6"/>
        <v>0</v>
      </c>
      <c r="AN29">
        <f t="shared" si="8"/>
        <v>0</v>
      </c>
      <c r="AO29">
        <f t="shared" si="8"/>
        <v>0</v>
      </c>
      <c r="AP29">
        <f t="shared" si="8"/>
        <v>0</v>
      </c>
      <c r="AQ29">
        <f t="shared" si="7"/>
        <v>0</v>
      </c>
    </row>
    <row r="30" spans="1:43" s="16" customFormat="1" x14ac:dyDescent="0.25">
      <c r="A30" s="16">
        <v>43</v>
      </c>
      <c r="B30" s="16">
        <v>5.5263295099061525</v>
      </c>
      <c r="C30" s="11">
        <v>43</v>
      </c>
      <c r="D30" s="12"/>
      <c r="E30" s="14"/>
      <c r="F30" s="14"/>
      <c r="G30" s="14"/>
      <c r="H30" s="14"/>
      <c r="I30" s="24">
        <v>1</v>
      </c>
      <c r="J30" s="24">
        <v>6</v>
      </c>
      <c r="K30" s="24">
        <v>3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>
        <f t="shared" si="5"/>
        <v>10</v>
      </c>
      <c r="X30">
        <f t="shared" si="6"/>
        <v>0</v>
      </c>
      <c r="Y30">
        <f t="shared" si="6"/>
        <v>0</v>
      </c>
      <c r="Z30">
        <f t="shared" si="6"/>
        <v>0</v>
      </c>
      <c r="AA30">
        <f t="shared" si="6"/>
        <v>0</v>
      </c>
      <c r="AB30">
        <f t="shared" si="8"/>
        <v>0</v>
      </c>
      <c r="AC30">
        <f t="shared" si="8"/>
        <v>0.55263295099061527</v>
      </c>
      <c r="AD30">
        <f t="shared" si="8"/>
        <v>3.3157977059436914</v>
      </c>
      <c r="AE30">
        <f t="shared" si="8"/>
        <v>1.6578988529718457</v>
      </c>
      <c r="AF30">
        <f t="shared" si="8"/>
        <v>0</v>
      </c>
      <c r="AG30">
        <f t="shared" si="8"/>
        <v>0</v>
      </c>
      <c r="AH30">
        <f t="shared" si="8"/>
        <v>0</v>
      </c>
      <c r="AI30">
        <f t="shared" si="8"/>
        <v>0</v>
      </c>
      <c r="AJ30">
        <f t="shared" si="8"/>
        <v>0</v>
      </c>
      <c r="AK30">
        <f t="shared" si="8"/>
        <v>0</v>
      </c>
      <c r="AL30">
        <f t="shared" si="8"/>
        <v>0</v>
      </c>
      <c r="AM30">
        <f t="shared" si="8"/>
        <v>0</v>
      </c>
      <c r="AN30">
        <f t="shared" si="8"/>
        <v>0</v>
      </c>
      <c r="AO30">
        <f t="shared" si="8"/>
        <v>0</v>
      </c>
      <c r="AP30">
        <f t="shared" si="8"/>
        <v>0</v>
      </c>
      <c r="AQ30" s="16">
        <f t="shared" si="7"/>
        <v>5.5263295099061525</v>
      </c>
    </row>
    <row r="31" spans="1:43" x14ac:dyDescent="0.25">
      <c r="A31">
        <v>44</v>
      </c>
      <c r="B31">
        <v>5.5263295099061525</v>
      </c>
      <c r="C31" s="11">
        <v>44</v>
      </c>
      <c r="D31" s="12"/>
      <c r="E31" s="14"/>
      <c r="F31" s="14"/>
      <c r="G31" s="14"/>
      <c r="H31" s="14"/>
      <c r="I31" s="14"/>
      <c r="J31" s="14"/>
      <c r="K31" s="24">
        <v>5</v>
      </c>
      <c r="L31" s="24">
        <v>1</v>
      </c>
      <c r="M31" s="24">
        <v>3</v>
      </c>
      <c r="N31" s="14"/>
      <c r="O31" s="14"/>
      <c r="P31" s="14"/>
      <c r="Q31" s="14"/>
      <c r="R31" s="14"/>
      <c r="S31" s="14"/>
      <c r="T31" s="14"/>
      <c r="U31" s="14"/>
      <c r="V31" s="14"/>
      <c r="W31">
        <f t="shared" si="5"/>
        <v>9</v>
      </c>
      <c r="X31">
        <f t="shared" si="6"/>
        <v>0</v>
      </c>
      <c r="Y31">
        <f t="shared" si="6"/>
        <v>0</v>
      </c>
      <c r="Z31">
        <f t="shared" si="6"/>
        <v>0</v>
      </c>
      <c r="AA31">
        <f t="shared" si="6"/>
        <v>0</v>
      </c>
      <c r="AB31">
        <f t="shared" si="6"/>
        <v>0</v>
      </c>
      <c r="AC31">
        <f t="shared" si="6"/>
        <v>0</v>
      </c>
      <c r="AD31">
        <f t="shared" si="6"/>
        <v>0</v>
      </c>
      <c r="AE31">
        <f t="shared" si="6"/>
        <v>3.0701830610589735</v>
      </c>
      <c r="AF31">
        <f t="shared" si="6"/>
        <v>0.61403661221179473</v>
      </c>
      <c r="AG31">
        <f t="shared" si="6"/>
        <v>1.8421098366353841</v>
      </c>
      <c r="AH31">
        <f t="shared" si="6"/>
        <v>0</v>
      </c>
      <c r="AI31">
        <f t="shared" si="6"/>
        <v>0</v>
      </c>
      <c r="AJ31">
        <f t="shared" si="6"/>
        <v>0</v>
      </c>
      <c r="AK31">
        <f t="shared" si="6"/>
        <v>0</v>
      </c>
      <c r="AL31">
        <f t="shared" si="6"/>
        <v>0</v>
      </c>
      <c r="AM31">
        <f t="shared" si="6"/>
        <v>0</v>
      </c>
      <c r="AN31">
        <f t="shared" si="8"/>
        <v>0</v>
      </c>
      <c r="AO31">
        <f t="shared" si="8"/>
        <v>0</v>
      </c>
      <c r="AP31">
        <f t="shared" si="8"/>
        <v>0</v>
      </c>
      <c r="AQ31">
        <f t="shared" si="7"/>
        <v>5.5263295099061525</v>
      </c>
    </row>
    <row r="32" spans="1:43" x14ac:dyDescent="0.25">
      <c r="A32">
        <v>45</v>
      </c>
      <c r="B32">
        <v>2.8065624259654109</v>
      </c>
      <c r="C32" s="11">
        <v>45</v>
      </c>
      <c r="D32" s="12"/>
      <c r="E32" s="14"/>
      <c r="F32" s="14"/>
      <c r="G32" s="14"/>
      <c r="H32" s="14"/>
      <c r="I32" s="14"/>
      <c r="J32" s="14"/>
      <c r="K32" s="24">
        <v>1</v>
      </c>
      <c r="L32" s="24">
        <v>2</v>
      </c>
      <c r="M32" s="24">
        <v>3</v>
      </c>
      <c r="N32" s="24">
        <v>3</v>
      </c>
      <c r="O32" s="14"/>
      <c r="P32" s="14"/>
      <c r="Q32" s="14"/>
      <c r="R32" s="14"/>
      <c r="S32" s="14"/>
      <c r="T32" s="14"/>
      <c r="U32" s="14"/>
      <c r="V32" s="14"/>
      <c r="W32">
        <f t="shared" si="5"/>
        <v>9</v>
      </c>
      <c r="X32">
        <f t="shared" si="6"/>
        <v>0</v>
      </c>
      <c r="Y32">
        <f t="shared" si="6"/>
        <v>0</v>
      </c>
      <c r="Z32">
        <f t="shared" si="6"/>
        <v>0</v>
      </c>
      <c r="AA32">
        <f t="shared" si="6"/>
        <v>0</v>
      </c>
      <c r="AB32">
        <f t="shared" si="8"/>
        <v>0</v>
      </c>
      <c r="AC32">
        <f t="shared" si="8"/>
        <v>0</v>
      </c>
      <c r="AD32">
        <f t="shared" si="8"/>
        <v>0</v>
      </c>
      <c r="AE32">
        <f t="shared" si="8"/>
        <v>0.31184026955171229</v>
      </c>
      <c r="AF32">
        <f t="shared" si="8"/>
        <v>0.62368053910342458</v>
      </c>
      <c r="AG32">
        <f t="shared" si="8"/>
        <v>0.93552080865513698</v>
      </c>
      <c r="AH32">
        <f t="shared" si="8"/>
        <v>0.93552080865513698</v>
      </c>
      <c r="AI32">
        <f t="shared" si="8"/>
        <v>0</v>
      </c>
      <c r="AJ32">
        <f t="shared" si="8"/>
        <v>0</v>
      </c>
      <c r="AK32">
        <f t="shared" si="8"/>
        <v>0</v>
      </c>
      <c r="AL32">
        <f t="shared" si="8"/>
        <v>0</v>
      </c>
      <c r="AM32">
        <f t="shared" si="8"/>
        <v>0</v>
      </c>
      <c r="AN32">
        <f t="shared" si="8"/>
        <v>0</v>
      </c>
      <c r="AO32">
        <f t="shared" si="8"/>
        <v>0</v>
      </c>
      <c r="AP32">
        <f t="shared" si="8"/>
        <v>0</v>
      </c>
      <c r="AQ32">
        <f t="shared" si="7"/>
        <v>2.8065624259654109</v>
      </c>
    </row>
    <row r="33" spans="1:43" x14ac:dyDescent="0.25">
      <c r="A33">
        <v>46</v>
      </c>
      <c r="B33">
        <v>0</v>
      </c>
      <c r="C33" s="11">
        <v>46</v>
      </c>
      <c r="D33" s="12"/>
      <c r="E33" s="14"/>
      <c r="F33" s="14"/>
      <c r="G33" s="14"/>
      <c r="H33" s="14"/>
      <c r="I33" s="14"/>
      <c r="J33" s="14"/>
      <c r="K33" s="14"/>
      <c r="L33" s="14"/>
      <c r="M33" s="24">
        <v>3</v>
      </c>
      <c r="N33" s="14"/>
      <c r="O33" s="14"/>
      <c r="P33" s="14"/>
      <c r="Q33" s="14"/>
      <c r="R33" s="14"/>
      <c r="S33" s="14"/>
      <c r="T33" s="14"/>
      <c r="U33" s="14"/>
      <c r="V33" s="14"/>
      <c r="W33">
        <f t="shared" si="5"/>
        <v>3</v>
      </c>
      <c r="X33">
        <f t="shared" si="6"/>
        <v>0</v>
      </c>
      <c r="Y33">
        <f t="shared" si="6"/>
        <v>0</v>
      </c>
      <c r="Z33">
        <f t="shared" si="6"/>
        <v>0</v>
      </c>
      <c r="AA33">
        <f t="shared" si="6"/>
        <v>0</v>
      </c>
      <c r="AB33">
        <f t="shared" si="8"/>
        <v>0</v>
      </c>
      <c r="AC33">
        <f t="shared" si="8"/>
        <v>0</v>
      </c>
      <c r="AD33">
        <f t="shared" si="8"/>
        <v>0</v>
      </c>
      <c r="AE33">
        <f t="shared" si="8"/>
        <v>0</v>
      </c>
      <c r="AF33">
        <f t="shared" si="8"/>
        <v>0</v>
      </c>
      <c r="AG33">
        <f t="shared" si="8"/>
        <v>0</v>
      </c>
      <c r="AH33">
        <f t="shared" si="8"/>
        <v>0</v>
      </c>
      <c r="AI33">
        <f t="shared" si="8"/>
        <v>0</v>
      </c>
      <c r="AJ33">
        <f t="shared" si="8"/>
        <v>0</v>
      </c>
      <c r="AK33">
        <f t="shared" si="8"/>
        <v>0</v>
      </c>
      <c r="AL33">
        <f t="shared" si="8"/>
        <v>0</v>
      </c>
      <c r="AM33">
        <f t="shared" si="8"/>
        <v>0</v>
      </c>
      <c r="AN33">
        <f t="shared" si="8"/>
        <v>0</v>
      </c>
      <c r="AO33">
        <f t="shared" si="8"/>
        <v>0</v>
      </c>
      <c r="AP33">
        <f t="shared" si="8"/>
        <v>0</v>
      </c>
      <c r="AQ33">
        <f t="shared" si="7"/>
        <v>0</v>
      </c>
    </row>
    <row r="34" spans="1:43" ht="15.75" thickBot="1" x14ac:dyDescent="0.3">
      <c r="A34">
        <v>47</v>
      </c>
      <c r="B34">
        <v>0</v>
      </c>
      <c r="C34" s="15">
        <v>47</v>
      </c>
      <c r="D34" s="12"/>
      <c r="E34" s="14"/>
      <c r="F34" s="14"/>
      <c r="G34" s="14"/>
      <c r="H34" s="14"/>
      <c r="I34" s="14"/>
      <c r="J34" s="14"/>
      <c r="K34" s="14"/>
      <c r="L34" s="14"/>
      <c r="M34" s="14"/>
      <c r="N34" s="24">
        <v>1</v>
      </c>
      <c r="O34" s="24">
        <v>2</v>
      </c>
      <c r="P34" s="14"/>
      <c r="Q34" s="24">
        <v>1</v>
      </c>
      <c r="R34" s="14"/>
      <c r="S34" s="14"/>
      <c r="T34" s="14"/>
      <c r="U34" s="14"/>
      <c r="V34" s="14"/>
      <c r="W34">
        <f t="shared" si="5"/>
        <v>4</v>
      </c>
      <c r="X34">
        <f t="shared" si="6"/>
        <v>0</v>
      </c>
      <c r="Y34">
        <f t="shared" si="6"/>
        <v>0</v>
      </c>
      <c r="Z34">
        <f t="shared" si="6"/>
        <v>0</v>
      </c>
      <c r="AA34">
        <f t="shared" si="6"/>
        <v>0</v>
      </c>
      <c r="AB34">
        <f t="shared" si="8"/>
        <v>0</v>
      </c>
      <c r="AC34">
        <f t="shared" si="8"/>
        <v>0</v>
      </c>
      <c r="AD34">
        <f t="shared" si="8"/>
        <v>0</v>
      </c>
      <c r="AE34">
        <f t="shared" si="8"/>
        <v>0</v>
      </c>
      <c r="AF34">
        <f t="shared" si="8"/>
        <v>0</v>
      </c>
      <c r="AG34">
        <f t="shared" si="8"/>
        <v>0</v>
      </c>
      <c r="AH34">
        <f t="shared" si="8"/>
        <v>0</v>
      </c>
      <c r="AI34">
        <f t="shared" si="8"/>
        <v>0</v>
      </c>
      <c r="AJ34">
        <f t="shared" si="8"/>
        <v>0</v>
      </c>
      <c r="AK34">
        <f t="shared" si="8"/>
        <v>0</v>
      </c>
      <c r="AL34">
        <f t="shared" si="8"/>
        <v>0</v>
      </c>
      <c r="AM34">
        <f t="shared" si="8"/>
        <v>0</v>
      </c>
      <c r="AN34">
        <f t="shared" si="8"/>
        <v>0</v>
      </c>
      <c r="AO34">
        <f t="shared" si="8"/>
        <v>0</v>
      </c>
      <c r="AP34">
        <f t="shared" si="8"/>
        <v>0</v>
      </c>
      <c r="AQ34">
        <f t="shared" si="7"/>
        <v>0</v>
      </c>
    </row>
    <row r="35" spans="1:43" x14ac:dyDescent="0.25">
      <c r="A35">
        <v>48</v>
      </c>
      <c r="B35">
        <v>0</v>
      </c>
      <c r="C35" s="11">
        <v>48</v>
      </c>
      <c r="D35" s="25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24">
        <v>1</v>
      </c>
      <c r="Q35" s="24">
        <v>2</v>
      </c>
      <c r="R35" s="14"/>
      <c r="S35" s="24">
        <v>1</v>
      </c>
      <c r="T35" s="14"/>
      <c r="U35" s="14"/>
      <c r="V35" s="14"/>
      <c r="W35">
        <f t="shared" si="5"/>
        <v>4</v>
      </c>
      <c r="X35">
        <f t="shared" si="6"/>
        <v>0</v>
      </c>
      <c r="Y35">
        <f t="shared" si="6"/>
        <v>0</v>
      </c>
      <c r="Z35">
        <f t="shared" si="6"/>
        <v>0</v>
      </c>
      <c r="AA35">
        <f t="shared" si="6"/>
        <v>0</v>
      </c>
      <c r="AB35">
        <f t="shared" si="6"/>
        <v>0</v>
      </c>
      <c r="AC35">
        <f t="shared" si="6"/>
        <v>0</v>
      </c>
      <c r="AD35">
        <f t="shared" si="6"/>
        <v>0</v>
      </c>
      <c r="AE35">
        <f t="shared" si="6"/>
        <v>0</v>
      </c>
      <c r="AF35">
        <f t="shared" si="6"/>
        <v>0</v>
      </c>
      <c r="AG35">
        <f t="shared" si="6"/>
        <v>0</v>
      </c>
      <c r="AH35">
        <f t="shared" si="6"/>
        <v>0</v>
      </c>
      <c r="AI35">
        <f t="shared" si="6"/>
        <v>0</v>
      </c>
      <c r="AJ35">
        <f t="shared" si="6"/>
        <v>0</v>
      </c>
      <c r="AK35">
        <f t="shared" si="6"/>
        <v>0</v>
      </c>
      <c r="AL35">
        <f t="shared" si="6"/>
        <v>0</v>
      </c>
      <c r="AM35">
        <f t="shared" si="6"/>
        <v>0</v>
      </c>
      <c r="AN35">
        <f t="shared" ref="AB35:AP42" si="9">T35/$W35*$B35</f>
        <v>0</v>
      </c>
      <c r="AO35">
        <f t="shared" si="9"/>
        <v>0</v>
      </c>
      <c r="AP35">
        <f t="shared" si="9"/>
        <v>0</v>
      </c>
      <c r="AQ35">
        <f t="shared" si="7"/>
        <v>0</v>
      </c>
    </row>
    <row r="36" spans="1:43" x14ac:dyDescent="0.25">
      <c r="A36">
        <v>49</v>
      </c>
      <c r="B36">
        <v>0</v>
      </c>
      <c r="C36" s="11">
        <v>49</v>
      </c>
      <c r="D36" s="12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3">
        <v>2</v>
      </c>
      <c r="S36" s="13">
        <v>2</v>
      </c>
      <c r="T36" s="14"/>
      <c r="U36" s="14"/>
      <c r="V36" s="14"/>
      <c r="W36">
        <f t="shared" si="5"/>
        <v>4</v>
      </c>
      <c r="X36">
        <f t="shared" si="6"/>
        <v>0</v>
      </c>
      <c r="Y36">
        <f t="shared" si="6"/>
        <v>0</v>
      </c>
      <c r="Z36">
        <f t="shared" si="6"/>
        <v>0</v>
      </c>
      <c r="AA36">
        <f t="shared" si="6"/>
        <v>0</v>
      </c>
      <c r="AB36">
        <f t="shared" si="9"/>
        <v>0</v>
      </c>
      <c r="AC36">
        <f t="shared" si="9"/>
        <v>0</v>
      </c>
      <c r="AD36">
        <f t="shared" si="9"/>
        <v>0</v>
      </c>
      <c r="AE36">
        <f t="shared" si="9"/>
        <v>0</v>
      </c>
      <c r="AF36">
        <f t="shared" si="9"/>
        <v>0</v>
      </c>
      <c r="AG36">
        <f t="shared" si="9"/>
        <v>0</v>
      </c>
      <c r="AH36">
        <f t="shared" si="9"/>
        <v>0</v>
      </c>
      <c r="AI36">
        <f t="shared" si="9"/>
        <v>0</v>
      </c>
      <c r="AJ36">
        <f t="shared" si="9"/>
        <v>0</v>
      </c>
      <c r="AK36">
        <f t="shared" si="9"/>
        <v>0</v>
      </c>
      <c r="AL36">
        <f t="shared" si="9"/>
        <v>0</v>
      </c>
      <c r="AM36">
        <f t="shared" si="9"/>
        <v>0</v>
      </c>
      <c r="AN36">
        <f t="shared" si="9"/>
        <v>0</v>
      </c>
      <c r="AO36">
        <f t="shared" si="9"/>
        <v>0</v>
      </c>
      <c r="AP36">
        <f t="shared" si="9"/>
        <v>0</v>
      </c>
      <c r="AQ36">
        <f t="shared" si="7"/>
        <v>0</v>
      </c>
    </row>
    <row r="37" spans="1:43" x14ac:dyDescent="0.25">
      <c r="A37">
        <v>50</v>
      </c>
      <c r="B37">
        <v>0</v>
      </c>
      <c r="C37" s="11">
        <v>50</v>
      </c>
      <c r="D37" s="12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3">
        <v>2</v>
      </c>
      <c r="R37" s="13">
        <v>1</v>
      </c>
      <c r="S37" s="14"/>
      <c r="T37" s="14"/>
      <c r="U37" s="14"/>
      <c r="V37" s="14"/>
      <c r="W37">
        <f t="shared" si="5"/>
        <v>3</v>
      </c>
      <c r="X37">
        <f t="shared" si="6"/>
        <v>0</v>
      </c>
      <c r="Y37">
        <f t="shared" si="6"/>
        <v>0</v>
      </c>
      <c r="Z37">
        <f t="shared" si="6"/>
        <v>0</v>
      </c>
      <c r="AA37">
        <f t="shared" si="6"/>
        <v>0</v>
      </c>
      <c r="AB37">
        <f t="shared" si="9"/>
        <v>0</v>
      </c>
      <c r="AC37">
        <f t="shared" si="9"/>
        <v>0</v>
      </c>
      <c r="AD37">
        <f t="shared" si="9"/>
        <v>0</v>
      </c>
      <c r="AE37">
        <f t="shared" si="9"/>
        <v>0</v>
      </c>
      <c r="AF37">
        <f t="shared" si="9"/>
        <v>0</v>
      </c>
      <c r="AG37">
        <f t="shared" si="9"/>
        <v>0</v>
      </c>
      <c r="AH37">
        <f t="shared" si="9"/>
        <v>0</v>
      </c>
      <c r="AI37">
        <f t="shared" si="9"/>
        <v>0</v>
      </c>
      <c r="AJ37">
        <f t="shared" si="9"/>
        <v>0</v>
      </c>
      <c r="AK37">
        <f t="shared" si="9"/>
        <v>0</v>
      </c>
      <c r="AL37">
        <f t="shared" si="9"/>
        <v>0</v>
      </c>
      <c r="AM37">
        <f t="shared" si="9"/>
        <v>0</v>
      </c>
      <c r="AN37">
        <f t="shared" si="9"/>
        <v>0</v>
      </c>
      <c r="AO37">
        <f t="shared" si="9"/>
        <v>0</v>
      </c>
      <c r="AP37">
        <f t="shared" si="9"/>
        <v>0</v>
      </c>
      <c r="AQ37">
        <f t="shared" si="7"/>
        <v>0</v>
      </c>
    </row>
    <row r="38" spans="1:43" x14ac:dyDescent="0.25">
      <c r="A38">
        <v>51</v>
      </c>
      <c r="B38">
        <v>0</v>
      </c>
      <c r="C38" s="11">
        <v>51</v>
      </c>
      <c r="D38" s="12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3">
        <v>1</v>
      </c>
      <c r="R38" s="14"/>
      <c r="S38" s="13">
        <v>1</v>
      </c>
      <c r="T38" s="14"/>
      <c r="U38" s="14"/>
      <c r="V38" s="14"/>
      <c r="W38">
        <f t="shared" si="5"/>
        <v>2</v>
      </c>
      <c r="X38">
        <f t="shared" si="6"/>
        <v>0</v>
      </c>
      <c r="Y38">
        <f t="shared" si="6"/>
        <v>0</v>
      </c>
      <c r="Z38">
        <f t="shared" si="6"/>
        <v>0</v>
      </c>
      <c r="AA38">
        <f t="shared" si="6"/>
        <v>0</v>
      </c>
      <c r="AB38">
        <f t="shared" si="9"/>
        <v>0</v>
      </c>
      <c r="AC38">
        <f t="shared" si="9"/>
        <v>0</v>
      </c>
      <c r="AD38">
        <f t="shared" si="9"/>
        <v>0</v>
      </c>
      <c r="AE38">
        <f t="shared" si="9"/>
        <v>0</v>
      </c>
      <c r="AF38">
        <f t="shared" si="9"/>
        <v>0</v>
      </c>
      <c r="AG38">
        <f t="shared" si="9"/>
        <v>0</v>
      </c>
      <c r="AH38">
        <f t="shared" si="9"/>
        <v>0</v>
      </c>
      <c r="AI38">
        <f t="shared" si="9"/>
        <v>0</v>
      </c>
      <c r="AJ38">
        <f t="shared" si="9"/>
        <v>0</v>
      </c>
      <c r="AK38">
        <f t="shared" si="9"/>
        <v>0</v>
      </c>
      <c r="AL38">
        <f t="shared" si="9"/>
        <v>0</v>
      </c>
      <c r="AM38">
        <f t="shared" si="9"/>
        <v>0</v>
      </c>
      <c r="AN38">
        <f t="shared" si="9"/>
        <v>0</v>
      </c>
      <c r="AO38">
        <f t="shared" si="9"/>
        <v>0</v>
      </c>
      <c r="AP38">
        <f t="shared" si="9"/>
        <v>0</v>
      </c>
      <c r="AQ38">
        <f t="shared" si="7"/>
        <v>0</v>
      </c>
    </row>
    <row r="39" spans="1:43" x14ac:dyDescent="0.25">
      <c r="A39">
        <v>52</v>
      </c>
      <c r="B39">
        <v>0</v>
      </c>
      <c r="C39" s="11">
        <v>52</v>
      </c>
      <c r="D39" s="12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3">
        <v>1</v>
      </c>
      <c r="T39" s="14"/>
      <c r="U39" s="14"/>
      <c r="V39" s="14"/>
      <c r="W39">
        <f t="shared" si="5"/>
        <v>1</v>
      </c>
      <c r="X39">
        <f t="shared" si="6"/>
        <v>0</v>
      </c>
      <c r="Y39">
        <f t="shared" si="6"/>
        <v>0</v>
      </c>
      <c r="Z39">
        <f t="shared" si="6"/>
        <v>0</v>
      </c>
      <c r="AA39">
        <f t="shared" si="6"/>
        <v>0</v>
      </c>
      <c r="AB39">
        <f t="shared" si="9"/>
        <v>0</v>
      </c>
      <c r="AC39">
        <f t="shared" si="9"/>
        <v>0</v>
      </c>
      <c r="AD39">
        <f t="shared" si="9"/>
        <v>0</v>
      </c>
      <c r="AE39">
        <f t="shared" si="9"/>
        <v>0</v>
      </c>
      <c r="AF39">
        <f t="shared" si="9"/>
        <v>0</v>
      </c>
      <c r="AG39">
        <f t="shared" si="9"/>
        <v>0</v>
      </c>
      <c r="AH39">
        <f t="shared" si="9"/>
        <v>0</v>
      </c>
      <c r="AI39">
        <f t="shared" si="9"/>
        <v>0</v>
      </c>
      <c r="AJ39">
        <f t="shared" si="9"/>
        <v>0</v>
      </c>
      <c r="AK39">
        <f t="shared" si="9"/>
        <v>0</v>
      </c>
      <c r="AL39">
        <f t="shared" si="9"/>
        <v>0</v>
      </c>
      <c r="AM39">
        <f t="shared" si="9"/>
        <v>0</v>
      </c>
      <c r="AN39">
        <f t="shared" si="9"/>
        <v>0</v>
      </c>
      <c r="AO39">
        <f t="shared" si="9"/>
        <v>0</v>
      </c>
      <c r="AP39">
        <f t="shared" si="9"/>
        <v>0</v>
      </c>
      <c r="AQ39">
        <f t="shared" si="7"/>
        <v>0</v>
      </c>
    </row>
    <row r="40" spans="1:43" x14ac:dyDescent="0.25">
      <c r="A40">
        <v>53</v>
      </c>
      <c r="B40">
        <v>0</v>
      </c>
      <c r="C40" s="11">
        <v>53</v>
      </c>
      <c r="D40" s="12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3">
        <v>2</v>
      </c>
      <c r="R40" s="14"/>
      <c r="S40" s="14"/>
      <c r="T40" s="14"/>
      <c r="U40" s="14"/>
      <c r="V40" s="14"/>
      <c r="W40">
        <v>2</v>
      </c>
      <c r="X40">
        <f t="shared" si="6"/>
        <v>0</v>
      </c>
      <c r="Y40">
        <f t="shared" si="6"/>
        <v>0</v>
      </c>
      <c r="Z40">
        <f t="shared" si="6"/>
        <v>0</v>
      </c>
      <c r="AA40">
        <f t="shared" si="6"/>
        <v>0</v>
      </c>
      <c r="AB40">
        <f t="shared" si="9"/>
        <v>0</v>
      </c>
      <c r="AC40">
        <f t="shared" si="9"/>
        <v>0</v>
      </c>
      <c r="AD40">
        <f t="shared" si="9"/>
        <v>0</v>
      </c>
      <c r="AE40">
        <f t="shared" si="9"/>
        <v>0</v>
      </c>
      <c r="AF40">
        <f t="shared" si="9"/>
        <v>0</v>
      </c>
      <c r="AG40">
        <f t="shared" si="9"/>
        <v>0</v>
      </c>
      <c r="AH40">
        <f t="shared" si="9"/>
        <v>0</v>
      </c>
      <c r="AI40">
        <f t="shared" si="9"/>
        <v>0</v>
      </c>
      <c r="AJ40">
        <f t="shared" si="9"/>
        <v>0</v>
      </c>
      <c r="AK40">
        <f t="shared" si="9"/>
        <v>0</v>
      </c>
      <c r="AL40">
        <f t="shared" si="9"/>
        <v>0</v>
      </c>
      <c r="AM40">
        <f t="shared" si="9"/>
        <v>0</v>
      </c>
      <c r="AN40">
        <f t="shared" si="9"/>
        <v>0</v>
      </c>
      <c r="AO40">
        <f t="shared" si="9"/>
        <v>0</v>
      </c>
      <c r="AP40">
        <f t="shared" si="9"/>
        <v>0</v>
      </c>
      <c r="AQ40">
        <f t="shared" si="7"/>
        <v>0</v>
      </c>
    </row>
    <row r="41" spans="1:43" x14ac:dyDescent="0.25">
      <c r="A41">
        <v>54</v>
      </c>
      <c r="B41">
        <v>0</v>
      </c>
      <c r="C41" s="11">
        <v>54</v>
      </c>
      <c r="D41" s="12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3">
        <v>1</v>
      </c>
      <c r="W41">
        <f>SUM(E41:V41)</f>
        <v>1</v>
      </c>
      <c r="X41">
        <f t="shared" si="6"/>
        <v>0</v>
      </c>
      <c r="Y41">
        <f t="shared" si="6"/>
        <v>0</v>
      </c>
      <c r="Z41">
        <f t="shared" si="6"/>
        <v>0</v>
      </c>
      <c r="AA41">
        <f t="shared" si="6"/>
        <v>0</v>
      </c>
      <c r="AB41">
        <f t="shared" si="9"/>
        <v>0</v>
      </c>
      <c r="AC41">
        <f t="shared" si="9"/>
        <v>0</v>
      </c>
      <c r="AD41">
        <f t="shared" si="9"/>
        <v>0</v>
      </c>
      <c r="AE41">
        <f t="shared" si="9"/>
        <v>0</v>
      </c>
      <c r="AF41">
        <f t="shared" si="9"/>
        <v>0</v>
      </c>
      <c r="AG41">
        <f t="shared" si="9"/>
        <v>0</v>
      </c>
      <c r="AH41">
        <f t="shared" si="9"/>
        <v>0</v>
      </c>
      <c r="AI41">
        <f t="shared" si="9"/>
        <v>0</v>
      </c>
      <c r="AJ41">
        <f t="shared" si="9"/>
        <v>0</v>
      </c>
      <c r="AK41">
        <f t="shared" si="9"/>
        <v>0</v>
      </c>
      <c r="AL41">
        <f t="shared" si="9"/>
        <v>0</v>
      </c>
      <c r="AM41">
        <f t="shared" si="9"/>
        <v>0</v>
      </c>
      <c r="AN41">
        <f t="shared" si="9"/>
        <v>0</v>
      </c>
      <c r="AO41">
        <f t="shared" si="9"/>
        <v>0</v>
      </c>
      <c r="AP41">
        <f t="shared" si="9"/>
        <v>0</v>
      </c>
      <c r="AQ41">
        <f t="shared" si="7"/>
        <v>0</v>
      </c>
    </row>
    <row r="42" spans="1:43" ht="15.75" thickBot="1" x14ac:dyDescent="0.3">
      <c r="A42">
        <v>55</v>
      </c>
      <c r="B42">
        <v>0</v>
      </c>
      <c r="C42" s="15">
        <v>55</v>
      </c>
      <c r="D42" s="1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3">
        <v>1</v>
      </c>
      <c r="T42" s="14"/>
      <c r="U42" s="14"/>
      <c r="V42" s="14"/>
      <c r="W42">
        <f>SUM(E42:V42)</f>
        <v>1</v>
      </c>
      <c r="X42">
        <f t="shared" si="6"/>
        <v>0</v>
      </c>
      <c r="Y42">
        <f t="shared" si="6"/>
        <v>0</v>
      </c>
      <c r="Z42">
        <f t="shared" si="6"/>
        <v>0</v>
      </c>
      <c r="AA42">
        <f t="shared" si="6"/>
        <v>0</v>
      </c>
      <c r="AB42">
        <f t="shared" si="9"/>
        <v>0</v>
      </c>
      <c r="AC42">
        <f t="shared" si="9"/>
        <v>0</v>
      </c>
      <c r="AD42">
        <f t="shared" si="9"/>
        <v>0</v>
      </c>
      <c r="AE42">
        <f t="shared" si="9"/>
        <v>0</v>
      </c>
      <c r="AF42">
        <f t="shared" si="9"/>
        <v>0</v>
      </c>
      <c r="AG42">
        <f t="shared" si="9"/>
        <v>0</v>
      </c>
      <c r="AH42">
        <f t="shared" si="9"/>
        <v>0</v>
      </c>
      <c r="AI42">
        <f t="shared" si="9"/>
        <v>0</v>
      </c>
      <c r="AJ42">
        <f t="shared" si="9"/>
        <v>0</v>
      </c>
      <c r="AK42">
        <f t="shared" si="9"/>
        <v>0</v>
      </c>
      <c r="AL42">
        <f t="shared" si="9"/>
        <v>0</v>
      </c>
      <c r="AM42">
        <f t="shared" si="9"/>
        <v>0</v>
      </c>
      <c r="AN42">
        <f t="shared" si="9"/>
        <v>0</v>
      </c>
      <c r="AO42">
        <f t="shared" si="9"/>
        <v>0</v>
      </c>
      <c r="AP42">
        <f t="shared" si="9"/>
        <v>0</v>
      </c>
      <c r="AQ42">
        <f t="shared" si="7"/>
        <v>0</v>
      </c>
    </row>
    <row r="43" spans="1:43" x14ac:dyDescent="0.25">
      <c r="A43" t="s">
        <v>22</v>
      </c>
      <c r="B43">
        <f>SUM(B2:B42)</f>
        <v>5132.1431380291315</v>
      </c>
      <c r="C43" t="s">
        <v>21</v>
      </c>
      <c r="E43">
        <f t="shared" ref="E43:S43" si="10">SUM(E15:E42)</f>
        <v>43</v>
      </c>
      <c r="F43">
        <f t="shared" si="10"/>
        <v>83</v>
      </c>
      <c r="G43">
        <f t="shared" si="10"/>
        <v>46</v>
      </c>
      <c r="H43">
        <f t="shared" si="10"/>
        <v>22</v>
      </c>
      <c r="I43">
        <f t="shared" si="10"/>
        <v>35</v>
      </c>
      <c r="J43">
        <f t="shared" si="10"/>
        <v>47</v>
      </c>
      <c r="K43">
        <f t="shared" si="10"/>
        <v>20</v>
      </c>
      <c r="L43">
        <f t="shared" si="10"/>
        <v>8</v>
      </c>
      <c r="M43">
        <f t="shared" si="10"/>
        <v>9</v>
      </c>
      <c r="N43">
        <f t="shared" si="10"/>
        <v>4</v>
      </c>
      <c r="O43">
        <f t="shared" si="10"/>
        <v>2</v>
      </c>
      <c r="P43">
        <f t="shared" si="10"/>
        <v>1</v>
      </c>
      <c r="Q43">
        <f t="shared" si="10"/>
        <v>8</v>
      </c>
      <c r="R43">
        <f t="shared" si="10"/>
        <v>3</v>
      </c>
      <c r="S43">
        <f t="shared" si="10"/>
        <v>6</v>
      </c>
      <c r="V43">
        <f>SUM(V15:V42)</f>
        <v>1</v>
      </c>
      <c r="W43" s="1">
        <f>SUM(W15:W42)</f>
        <v>338</v>
      </c>
      <c r="X43">
        <f>SUM(X4:X42)</f>
        <v>323.5182888482467</v>
      </c>
      <c r="Y43">
        <f t="shared" ref="Y43:AP43" si="11">SUM(Y4:Y42)</f>
        <v>2588.3704223441732</v>
      </c>
      <c r="Z43">
        <f t="shared" si="11"/>
        <v>1754.1403498715767</v>
      </c>
      <c r="AA43">
        <f t="shared" si="11"/>
        <v>300.26169939157751</v>
      </c>
      <c r="AB43">
        <f t="shared" si="11"/>
        <v>93.428630355722674</v>
      </c>
      <c r="AC43">
        <f t="shared" si="11"/>
        <v>37.04234343405129</v>
      </c>
      <c r="AD43">
        <f t="shared" si="11"/>
        <v>13.199077057982826</v>
      </c>
      <c r="AE43">
        <f t="shared" si="11"/>
        <v>17.231458120540101</v>
      </c>
      <c r="AF43">
        <f t="shared" si="11"/>
        <v>1.2377171513152194</v>
      </c>
      <c r="AG43">
        <f t="shared" si="11"/>
        <v>2.7776306452905208</v>
      </c>
      <c r="AH43">
        <f t="shared" si="11"/>
        <v>0.93552080865513698</v>
      </c>
      <c r="AI43">
        <f t="shared" si="11"/>
        <v>0</v>
      </c>
      <c r="AJ43">
        <f t="shared" si="11"/>
        <v>0</v>
      </c>
      <c r="AK43">
        <f t="shared" si="11"/>
        <v>0</v>
      </c>
      <c r="AL43">
        <f t="shared" si="11"/>
        <v>0</v>
      </c>
      <c r="AM43">
        <f t="shared" si="11"/>
        <v>0</v>
      </c>
      <c r="AN43">
        <f t="shared" si="11"/>
        <v>0</v>
      </c>
      <c r="AO43">
        <f t="shared" si="11"/>
        <v>0</v>
      </c>
      <c r="AP43">
        <f t="shared" si="11"/>
        <v>0</v>
      </c>
      <c r="AQ43">
        <f>SUM(AQ4:AQ42)</f>
        <v>5132.1431380291306</v>
      </c>
    </row>
    <row r="44" spans="1:43" s="16" customForma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44"/>
  <sheetViews>
    <sheetView zoomScale="80" zoomScaleNormal="80" workbookViewId="0">
      <selection activeCell="D4" sqref="D4"/>
    </sheetView>
  </sheetViews>
  <sheetFormatPr defaultRowHeight="15" x14ac:dyDescent="0.25"/>
  <cols>
    <col min="3" max="22" width="5.7109375" customWidth="1"/>
  </cols>
  <sheetData>
    <row r="1" spans="1:43" ht="19.5" thickBot="1" x14ac:dyDescent="0.35">
      <c r="C1" s="36" t="s">
        <v>25</v>
      </c>
      <c r="D1" s="36"/>
    </row>
    <row r="2" spans="1:43" ht="15.75" thickBot="1" x14ac:dyDescent="0.3">
      <c r="A2">
        <v>15</v>
      </c>
      <c r="B2">
        <v>0</v>
      </c>
      <c r="C2" s="2" t="s">
        <v>1</v>
      </c>
      <c r="D2" s="26" t="s">
        <v>2</v>
      </c>
      <c r="E2" s="27" t="s">
        <v>3</v>
      </c>
      <c r="F2" s="27" t="s">
        <v>4</v>
      </c>
      <c r="G2" s="27" t="s">
        <v>5</v>
      </c>
      <c r="H2" s="27" t="s">
        <v>6</v>
      </c>
      <c r="I2" s="28" t="s">
        <v>7</v>
      </c>
      <c r="J2" s="27" t="s">
        <v>8</v>
      </c>
      <c r="K2" s="27" t="s">
        <v>9</v>
      </c>
      <c r="L2" s="27" t="s">
        <v>10</v>
      </c>
      <c r="M2" s="27" t="s">
        <v>11</v>
      </c>
      <c r="N2" s="28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5" t="s">
        <v>18</v>
      </c>
      <c r="U2" s="4" t="s">
        <v>19</v>
      </c>
      <c r="V2" s="5" t="s">
        <v>20</v>
      </c>
      <c r="W2" s="20" t="s">
        <v>26</v>
      </c>
      <c r="X2" s="3" t="s">
        <v>2</v>
      </c>
      <c r="Y2" s="4" t="s">
        <v>3</v>
      </c>
      <c r="Z2" s="4" t="s">
        <v>4</v>
      </c>
      <c r="AA2" s="4" t="s">
        <v>5</v>
      </c>
      <c r="AB2" s="4" t="s">
        <v>6</v>
      </c>
      <c r="AC2" s="4" t="s">
        <v>7</v>
      </c>
      <c r="AD2" s="4" t="s">
        <v>8</v>
      </c>
      <c r="AE2" s="4" t="s">
        <v>9</v>
      </c>
      <c r="AF2" s="4" t="s">
        <v>10</v>
      </c>
      <c r="AG2" s="4" t="s">
        <v>11</v>
      </c>
      <c r="AH2" s="4" t="s">
        <v>12</v>
      </c>
      <c r="AI2" s="4" t="s">
        <v>13</v>
      </c>
      <c r="AJ2" s="4" t="s">
        <v>14</v>
      </c>
      <c r="AK2" s="4" t="s">
        <v>15</v>
      </c>
      <c r="AL2" s="4" t="s">
        <v>16</v>
      </c>
      <c r="AM2" s="4" t="s">
        <v>17</v>
      </c>
      <c r="AN2" s="4" t="s">
        <v>18</v>
      </c>
      <c r="AO2" s="4" t="s">
        <v>19</v>
      </c>
      <c r="AP2" s="5" t="s">
        <v>20</v>
      </c>
    </row>
    <row r="3" spans="1:43" x14ac:dyDescent="0.25">
      <c r="A3">
        <v>16</v>
      </c>
      <c r="B3">
        <v>0</v>
      </c>
    </row>
    <row r="4" spans="1:43" x14ac:dyDescent="0.25">
      <c r="A4">
        <v>17</v>
      </c>
      <c r="B4">
        <v>0</v>
      </c>
      <c r="D4">
        <v>1</v>
      </c>
      <c r="W4">
        <v>1</v>
      </c>
      <c r="X4">
        <f>D4/$W4*$B4</f>
        <v>0</v>
      </c>
      <c r="Y4">
        <f t="shared" ref="Y4:AP18" si="0">E4/$W4*$B4</f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>SUM(X4:AP4)</f>
        <v>0</v>
      </c>
    </row>
    <row r="5" spans="1:43" x14ac:dyDescent="0.25">
      <c r="A5">
        <v>18</v>
      </c>
      <c r="B5">
        <v>16.159078545740272</v>
      </c>
      <c r="D5">
        <v>1</v>
      </c>
      <c r="W5">
        <f>SUM(D5:V5)</f>
        <v>1</v>
      </c>
      <c r="X5">
        <f>D5/$W5*$B5</f>
        <v>16.159078545740272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>SUM(X5:AP5)</f>
        <v>16.159078545740272</v>
      </c>
    </row>
    <row r="6" spans="1:43" x14ac:dyDescent="0.25">
      <c r="A6">
        <v>19</v>
      </c>
      <c r="B6">
        <v>65.841406618680352</v>
      </c>
      <c r="C6" s="29">
        <v>19</v>
      </c>
      <c r="D6" s="30">
        <v>1</v>
      </c>
      <c r="E6" s="31"/>
      <c r="F6" s="31"/>
      <c r="G6" s="31"/>
      <c r="H6" s="31"/>
      <c r="I6" s="31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>
        <f t="shared" ref="W6:W14" si="1">SUM(D6:V6)</f>
        <v>1</v>
      </c>
      <c r="X6">
        <f t="shared" ref="X6:X14" si="2">D6/$W6*$B6</f>
        <v>65.841406618680352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ref="AQ6:AQ14" si="3">SUM(X6:AP6)</f>
        <v>65.841406618680352</v>
      </c>
    </row>
    <row r="7" spans="1:43" x14ac:dyDescent="0.25">
      <c r="A7">
        <v>20</v>
      </c>
      <c r="B7">
        <v>30.355457592018649</v>
      </c>
      <c r="C7" s="32">
        <v>20</v>
      </c>
      <c r="D7" s="18">
        <v>1</v>
      </c>
      <c r="E7" s="33"/>
      <c r="F7" s="33"/>
      <c r="G7" s="33"/>
      <c r="H7" s="33"/>
      <c r="I7" s="3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>
        <f t="shared" si="1"/>
        <v>1</v>
      </c>
      <c r="X7">
        <f t="shared" si="2"/>
        <v>30.355457592018649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3"/>
        <v>30.355457592018649</v>
      </c>
    </row>
    <row r="8" spans="1:43" x14ac:dyDescent="0.25">
      <c r="A8">
        <v>21</v>
      </c>
      <c r="B8">
        <v>37.836497174666036</v>
      </c>
      <c r="C8" s="32">
        <v>21</v>
      </c>
      <c r="D8" s="18">
        <v>1</v>
      </c>
      <c r="E8" s="33"/>
      <c r="F8" s="33"/>
      <c r="G8" s="33"/>
      <c r="H8" s="33"/>
      <c r="I8" s="3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>
        <f t="shared" si="1"/>
        <v>1</v>
      </c>
      <c r="X8">
        <f t="shared" si="2"/>
        <v>37.836497174666036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3"/>
        <v>37.836497174666036</v>
      </c>
    </row>
    <row r="9" spans="1:43" x14ac:dyDescent="0.25">
      <c r="A9">
        <v>22</v>
      </c>
      <c r="B9">
        <v>6.5705708698395453</v>
      </c>
      <c r="C9" s="32">
        <v>22</v>
      </c>
      <c r="D9" s="34">
        <v>1</v>
      </c>
      <c r="E9" s="33"/>
      <c r="F9" s="33"/>
      <c r="G9" s="33"/>
      <c r="H9" s="33"/>
      <c r="I9" s="3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>
        <f t="shared" si="1"/>
        <v>1</v>
      </c>
      <c r="X9">
        <f t="shared" si="2"/>
        <v>6.5705708698395453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si="0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3"/>
        <v>6.5705708698395453</v>
      </c>
    </row>
    <row r="10" spans="1:43" x14ac:dyDescent="0.25">
      <c r="A10">
        <v>23</v>
      </c>
      <c r="B10">
        <v>7.3933012817989896</v>
      </c>
      <c r="C10" s="32">
        <v>23</v>
      </c>
      <c r="D10" s="34">
        <v>1</v>
      </c>
      <c r="E10" s="33"/>
      <c r="F10" s="33"/>
      <c r="G10" s="33"/>
      <c r="H10" s="33"/>
      <c r="I10" s="3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>
        <f t="shared" si="1"/>
        <v>1</v>
      </c>
      <c r="X10">
        <f t="shared" si="2"/>
        <v>7.3933012817989896</v>
      </c>
      <c r="Y10">
        <f t="shared" si="0"/>
        <v>0</v>
      </c>
      <c r="Z10">
        <f t="shared" si="0"/>
        <v>0</v>
      </c>
      <c r="AA10">
        <f t="shared" si="0"/>
        <v>0</v>
      </c>
      <c r="AB10">
        <f t="shared" si="0"/>
        <v>0</v>
      </c>
      <c r="AC10">
        <f t="shared" si="0"/>
        <v>0</v>
      </c>
      <c r="AD10">
        <f t="shared" si="0"/>
        <v>0</v>
      </c>
      <c r="AE10">
        <f t="shared" si="0"/>
        <v>0</v>
      </c>
      <c r="AF10">
        <f t="shared" si="0"/>
        <v>0</v>
      </c>
      <c r="AG10">
        <f t="shared" si="0"/>
        <v>0</v>
      </c>
      <c r="AH10">
        <f t="shared" si="0"/>
        <v>0</v>
      </c>
      <c r="AI10">
        <f t="shared" si="0"/>
        <v>0</v>
      </c>
      <c r="AJ10">
        <f t="shared" si="0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3"/>
        <v>7.3933012817989896</v>
      </c>
    </row>
    <row r="11" spans="1:43" x14ac:dyDescent="0.25">
      <c r="A11">
        <v>24</v>
      </c>
      <c r="B11">
        <v>5.9196605178880519</v>
      </c>
      <c r="C11" s="32">
        <v>24</v>
      </c>
      <c r="D11" s="34"/>
      <c r="E11" s="33">
        <v>1</v>
      </c>
      <c r="F11" s="33"/>
      <c r="G11" s="33"/>
      <c r="H11" s="33"/>
      <c r="I11" s="3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>
        <f t="shared" si="1"/>
        <v>1</v>
      </c>
      <c r="X11">
        <f t="shared" si="2"/>
        <v>0</v>
      </c>
      <c r="Y11">
        <f t="shared" si="0"/>
        <v>5.9196605178880519</v>
      </c>
      <c r="Z11">
        <f t="shared" si="0"/>
        <v>0</v>
      </c>
      <c r="AA11">
        <f t="shared" si="0"/>
        <v>0</v>
      </c>
      <c r="AB11">
        <f t="shared" si="0"/>
        <v>0</v>
      </c>
      <c r="AC11">
        <f t="shared" si="0"/>
        <v>0</v>
      </c>
      <c r="AD11">
        <f t="shared" si="0"/>
        <v>0</v>
      </c>
      <c r="AE11">
        <f t="shared" si="0"/>
        <v>0</v>
      </c>
      <c r="AF11">
        <f t="shared" si="0"/>
        <v>0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0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3"/>
        <v>5.9196605178880519</v>
      </c>
    </row>
    <row r="12" spans="1:43" x14ac:dyDescent="0.25">
      <c r="A12">
        <v>25</v>
      </c>
      <c r="B12">
        <v>16.845170011438078</v>
      </c>
      <c r="C12" s="32">
        <v>25</v>
      </c>
      <c r="D12" s="34"/>
      <c r="E12" s="33">
        <v>1</v>
      </c>
      <c r="F12" s="33"/>
      <c r="G12" s="33"/>
      <c r="H12" s="33"/>
      <c r="I12" s="3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>
        <f t="shared" si="1"/>
        <v>1</v>
      </c>
      <c r="X12">
        <f t="shared" si="2"/>
        <v>0</v>
      </c>
      <c r="Y12">
        <f t="shared" si="0"/>
        <v>16.845170011438078</v>
      </c>
      <c r="Z12">
        <f t="shared" si="0"/>
        <v>0</v>
      </c>
      <c r="AA12">
        <f t="shared" si="0"/>
        <v>0</v>
      </c>
      <c r="AB12">
        <f t="shared" si="0"/>
        <v>0</v>
      </c>
      <c r="AC12">
        <f t="shared" si="0"/>
        <v>0</v>
      </c>
      <c r="AD12">
        <f t="shared" si="0"/>
        <v>0</v>
      </c>
      <c r="AE12">
        <f t="shared" si="0"/>
        <v>0</v>
      </c>
      <c r="AF12">
        <f t="shared" si="0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0"/>
        <v>0</v>
      </c>
      <c r="AK12">
        <f t="shared" si="0"/>
        <v>0</v>
      </c>
      <c r="AL12">
        <f t="shared" si="0"/>
        <v>0</v>
      </c>
      <c r="AM12">
        <f t="shared" si="0"/>
        <v>0</v>
      </c>
      <c r="AN12">
        <f t="shared" si="0"/>
        <v>0</v>
      </c>
      <c r="AO12">
        <f t="shared" si="0"/>
        <v>0</v>
      </c>
      <c r="AP12">
        <f t="shared" si="0"/>
        <v>0</v>
      </c>
      <c r="AQ12">
        <f t="shared" si="3"/>
        <v>16.845170011438078</v>
      </c>
    </row>
    <row r="13" spans="1:43" x14ac:dyDescent="0.25">
      <c r="A13">
        <v>26</v>
      </c>
      <c r="B13">
        <v>89.322862371458953</v>
      </c>
      <c r="C13" s="32">
        <v>26</v>
      </c>
      <c r="D13" s="18">
        <v>2</v>
      </c>
      <c r="E13" s="19">
        <v>9</v>
      </c>
      <c r="F13" s="19">
        <v>3</v>
      </c>
      <c r="G13" s="33"/>
      <c r="H13" s="33"/>
      <c r="I13" s="3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>
        <f t="shared" si="1"/>
        <v>14</v>
      </c>
      <c r="X13">
        <f t="shared" si="2"/>
        <v>12.760408910208421</v>
      </c>
      <c r="Y13">
        <f t="shared" si="0"/>
        <v>57.421840095937903</v>
      </c>
      <c r="Z13">
        <f t="shared" si="0"/>
        <v>19.140613365312632</v>
      </c>
      <c r="AA13">
        <f t="shared" si="0"/>
        <v>0</v>
      </c>
      <c r="AB13">
        <f t="shared" si="0"/>
        <v>0</v>
      </c>
      <c r="AC13">
        <f t="shared" si="0"/>
        <v>0</v>
      </c>
      <c r="AD13">
        <f t="shared" si="0"/>
        <v>0</v>
      </c>
      <c r="AE13">
        <f t="shared" si="0"/>
        <v>0</v>
      </c>
      <c r="AF13">
        <f t="shared" si="0"/>
        <v>0</v>
      </c>
      <c r="AG13">
        <f t="shared" si="0"/>
        <v>0</v>
      </c>
      <c r="AH13">
        <f t="shared" si="0"/>
        <v>0</v>
      </c>
      <c r="AI13">
        <f t="shared" si="0"/>
        <v>0</v>
      </c>
      <c r="AJ13">
        <f t="shared" si="0"/>
        <v>0</v>
      </c>
      <c r="AK13">
        <f t="shared" si="0"/>
        <v>0</v>
      </c>
      <c r="AL13">
        <f t="shared" si="0"/>
        <v>0</v>
      </c>
      <c r="AM13">
        <f t="shared" si="0"/>
        <v>0</v>
      </c>
      <c r="AN13">
        <f t="shared" si="0"/>
        <v>0</v>
      </c>
      <c r="AO13">
        <f t="shared" si="0"/>
        <v>0</v>
      </c>
      <c r="AP13">
        <f t="shared" si="0"/>
        <v>0</v>
      </c>
      <c r="AQ13">
        <f t="shared" si="3"/>
        <v>89.322862371458953</v>
      </c>
    </row>
    <row r="14" spans="1:43" x14ac:dyDescent="0.25">
      <c r="A14">
        <v>27</v>
      </c>
      <c r="B14">
        <v>0</v>
      </c>
      <c r="C14" s="32">
        <v>27</v>
      </c>
      <c r="D14" s="34"/>
      <c r="E14" s="19">
        <v>52</v>
      </c>
      <c r="F14" s="19">
        <v>26</v>
      </c>
      <c r="G14" s="19">
        <v>2</v>
      </c>
      <c r="H14" s="33"/>
      <c r="I14" s="3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>
        <f t="shared" si="1"/>
        <v>80</v>
      </c>
      <c r="X14">
        <f t="shared" si="2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  <c r="AF14">
        <f t="shared" si="0"/>
        <v>0</v>
      </c>
      <c r="AG14">
        <f t="shared" si="0"/>
        <v>0</v>
      </c>
      <c r="AH14">
        <f t="shared" si="0"/>
        <v>0</v>
      </c>
      <c r="AI14">
        <f t="shared" si="0"/>
        <v>0</v>
      </c>
      <c r="AJ14">
        <f t="shared" si="0"/>
        <v>0</v>
      </c>
      <c r="AK14">
        <f t="shared" si="0"/>
        <v>0</v>
      </c>
      <c r="AL14">
        <f t="shared" si="0"/>
        <v>0</v>
      </c>
      <c r="AM14">
        <f t="shared" si="0"/>
        <v>0</v>
      </c>
      <c r="AN14">
        <f t="shared" si="0"/>
        <v>0</v>
      </c>
      <c r="AO14">
        <f t="shared" si="0"/>
        <v>0</v>
      </c>
      <c r="AP14">
        <f t="shared" si="0"/>
        <v>0</v>
      </c>
      <c r="AQ14">
        <f t="shared" si="3"/>
        <v>0</v>
      </c>
    </row>
    <row r="15" spans="1:43" x14ac:dyDescent="0.25">
      <c r="A15">
        <v>28</v>
      </c>
      <c r="B15">
        <v>1427.6532449440995</v>
      </c>
      <c r="C15" s="32">
        <v>28</v>
      </c>
      <c r="D15" s="34"/>
      <c r="E15" s="19">
        <v>33</v>
      </c>
      <c r="F15" s="19">
        <v>23</v>
      </c>
      <c r="G15" s="19">
        <v>2</v>
      </c>
      <c r="H15" s="19">
        <v>1</v>
      </c>
      <c r="I15" s="33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>
        <f t="shared" ref="W15:W39" si="4">SUM(E15:V15)</f>
        <v>59</v>
      </c>
      <c r="X15">
        <f>D15/$W15*$B15</f>
        <v>0</v>
      </c>
      <c r="Y15">
        <f t="shared" si="0"/>
        <v>798.51791666364875</v>
      </c>
      <c r="Z15">
        <f t="shared" si="0"/>
        <v>556.54279040193705</v>
      </c>
      <c r="AA15">
        <f t="shared" si="0"/>
        <v>48.395025252342357</v>
      </c>
      <c r="AB15">
        <f t="shared" si="0"/>
        <v>24.197512626171179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>SUM(X15:AP15)</f>
        <v>1427.6532449440992</v>
      </c>
    </row>
    <row r="16" spans="1:43" x14ac:dyDescent="0.25">
      <c r="A16">
        <v>29</v>
      </c>
      <c r="B16">
        <v>1261.195054440949</v>
      </c>
      <c r="C16" s="32">
        <v>29</v>
      </c>
      <c r="D16" s="34"/>
      <c r="E16" s="19">
        <v>6</v>
      </c>
      <c r="F16" s="19">
        <v>8</v>
      </c>
      <c r="G16" s="19">
        <v>1</v>
      </c>
      <c r="H16" s="33"/>
      <c r="I16" s="3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>
        <f t="shared" si="4"/>
        <v>15</v>
      </c>
      <c r="X16">
        <f t="shared" ref="X16:AM42" si="5">D16/$W16*$B16</f>
        <v>0</v>
      </c>
      <c r="Y16">
        <f t="shared" si="0"/>
        <v>504.47802177637959</v>
      </c>
      <c r="Z16">
        <f t="shared" si="0"/>
        <v>672.63736236850616</v>
      </c>
      <c r="AA16">
        <f t="shared" si="0"/>
        <v>84.07967029606327</v>
      </c>
      <c r="AB16">
        <f t="shared" si="0"/>
        <v>0</v>
      </c>
      <c r="AC16">
        <f t="shared" si="0"/>
        <v>0</v>
      </c>
      <c r="AD16">
        <f t="shared" si="0"/>
        <v>0</v>
      </c>
      <c r="AE16">
        <f t="shared" si="0"/>
        <v>0</v>
      </c>
      <c r="AF16">
        <f t="shared" si="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ref="AQ16:AQ42" si="6">SUM(X16:AP16)</f>
        <v>1261.1950544409492</v>
      </c>
    </row>
    <row r="17" spans="1:43" x14ac:dyDescent="0.25">
      <c r="A17">
        <v>30</v>
      </c>
      <c r="B17">
        <v>316.36309608885449</v>
      </c>
      <c r="C17" s="32">
        <v>30</v>
      </c>
      <c r="D17" s="34"/>
      <c r="E17" s="19">
        <v>3</v>
      </c>
      <c r="F17" s="33"/>
      <c r="G17" s="19">
        <v>1</v>
      </c>
      <c r="H17" s="33"/>
      <c r="I17" s="33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>
        <f t="shared" si="4"/>
        <v>4</v>
      </c>
      <c r="X17">
        <f t="shared" si="5"/>
        <v>0</v>
      </c>
      <c r="Y17">
        <f t="shared" si="0"/>
        <v>237.27232206664087</v>
      </c>
      <c r="Z17">
        <f t="shared" si="0"/>
        <v>0</v>
      </c>
      <c r="AA17">
        <f t="shared" si="0"/>
        <v>79.090774022213623</v>
      </c>
      <c r="AB17">
        <f t="shared" si="0"/>
        <v>0</v>
      </c>
      <c r="AC17">
        <f t="shared" si="0"/>
        <v>0</v>
      </c>
      <c r="AD17">
        <f t="shared" si="0"/>
        <v>0</v>
      </c>
      <c r="AE17">
        <f t="shared" si="0"/>
        <v>0</v>
      </c>
      <c r="AF17">
        <f t="shared" si="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0"/>
        <v>0</v>
      </c>
      <c r="AK17">
        <f t="shared" si="0"/>
        <v>0</v>
      </c>
      <c r="AL17">
        <f t="shared" si="0"/>
        <v>0</v>
      </c>
      <c r="AM17">
        <f t="shared" si="0"/>
        <v>0</v>
      </c>
      <c r="AN17">
        <f t="shared" si="0"/>
        <v>0</v>
      </c>
      <c r="AO17">
        <f t="shared" si="0"/>
        <v>0</v>
      </c>
      <c r="AP17">
        <f t="shared" si="0"/>
        <v>0</v>
      </c>
      <c r="AQ17">
        <f t="shared" si="6"/>
        <v>316.36309608885449</v>
      </c>
    </row>
    <row r="18" spans="1:43" x14ac:dyDescent="0.25">
      <c r="A18">
        <v>31</v>
      </c>
      <c r="B18">
        <v>53.494756880115695</v>
      </c>
      <c r="C18" s="32">
        <v>31</v>
      </c>
      <c r="D18" s="34"/>
      <c r="E18" s="33"/>
      <c r="F18" s="19">
        <v>4</v>
      </c>
      <c r="G18" s="19">
        <v>2</v>
      </c>
      <c r="H18" s="33"/>
      <c r="I18" s="33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>
        <f t="shared" si="4"/>
        <v>6</v>
      </c>
      <c r="X18">
        <f t="shared" si="5"/>
        <v>0</v>
      </c>
      <c r="Y18">
        <f t="shared" si="0"/>
        <v>0</v>
      </c>
      <c r="Z18">
        <f t="shared" si="0"/>
        <v>35.663171253410461</v>
      </c>
      <c r="AA18">
        <f t="shared" si="0"/>
        <v>17.83158562670523</v>
      </c>
      <c r="AB18">
        <f t="shared" ref="AB18:AP33" si="7">H18/$W18*$B18</f>
        <v>0</v>
      </c>
      <c r="AC18">
        <f t="shared" si="7"/>
        <v>0</v>
      </c>
      <c r="AD18">
        <f t="shared" si="7"/>
        <v>0</v>
      </c>
      <c r="AE18">
        <f t="shared" si="7"/>
        <v>0</v>
      </c>
      <c r="AF18">
        <f t="shared" si="7"/>
        <v>0</v>
      </c>
      <c r="AG18">
        <f t="shared" si="7"/>
        <v>0</v>
      </c>
      <c r="AH18">
        <f t="shared" si="7"/>
        <v>0</v>
      </c>
      <c r="AI18">
        <f t="shared" si="7"/>
        <v>0</v>
      </c>
      <c r="AJ18">
        <f t="shared" si="7"/>
        <v>0</v>
      </c>
      <c r="AK18">
        <f t="shared" si="7"/>
        <v>0</v>
      </c>
      <c r="AL18">
        <f t="shared" si="7"/>
        <v>0</v>
      </c>
      <c r="AM18">
        <f t="shared" si="7"/>
        <v>0</v>
      </c>
      <c r="AN18">
        <f t="shared" si="7"/>
        <v>0</v>
      </c>
      <c r="AO18">
        <f t="shared" si="7"/>
        <v>0</v>
      </c>
      <c r="AP18">
        <f t="shared" si="7"/>
        <v>0</v>
      </c>
      <c r="AQ18">
        <f t="shared" si="6"/>
        <v>53.494756880115688</v>
      </c>
    </row>
    <row r="19" spans="1:43" x14ac:dyDescent="0.25">
      <c r="A19">
        <v>32</v>
      </c>
      <c r="B19">
        <v>8.8122960251366713</v>
      </c>
      <c r="C19" s="32">
        <v>32</v>
      </c>
      <c r="D19" s="34"/>
      <c r="E19" s="19">
        <v>1</v>
      </c>
      <c r="F19" s="19">
        <v>6</v>
      </c>
      <c r="G19" s="19">
        <v>9</v>
      </c>
      <c r="H19" s="33"/>
      <c r="I19" s="33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>
        <f t="shared" si="4"/>
        <v>16</v>
      </c>
      <c r="X19">
        <f t="shared" si="5"/>
        <v>0</v>
      </c>
      <c r="Y19">
        <f t="shared" si="5"/>
        <v>0.55076850157104196</v>
      </c>
      <c r="Z19">
        <f t="shared" si="5"/>
        <v>3.3046110094262517</v>
      </c>
      <c r="AA19">
        <f t="shared" si="5"/>
        <v>4.9569165141393778</v>
      </c>
      <c r="AB19">
        <f t="shared" si="7"/>
        <v>0</v>
      </c>
      <c r="AC19">
        <f t="shared" si="7"/>
        <v>0</v>
      </c>
      <c r="AD19">
        <f t="shared" si="7"/>
        <v>0</v>
      </c>
      <c r="AE19">
        <f t="shared" si="7"/>
        <v>0</v>
      </c>
      <c r="AF19">
        <f t="shared" si="7"/>
        <v>0</v>
      </c>
      <c r="AG19">
        <f t="shared" si="7"/>
        <v>0</v>
      </c>
      <c r="AH19">
        <f t="shared" si="7"/>
        <v>0</v>
      </c>
      <c r="AI19">
        <f t="shared" si="7"/>
        <v>0</v>
      </c>
      <c r="AJ19">
        <f t="shared" si="7"/>
        <v>0</v>
      </c>
      <c r="AK19">
        <f t="shared" si="7"/>
        <v>0</v>
      </c>
      <c r="AL19">
        <f t="shared" si="7"/>
        <v>0</v>
      </c>
      <c r="AM19">
        <f t="shared" si="7"/>
        <v>0</v>
      </c>
      <c r="AN19">
        <f t="shared" si="7"/>
        <v>0</v>
      </c>
      <c r="AO19">
        <f t="shared" si="7"/>
        <v>0</v>
      </c>
      <c r="AP19">
        <f t="shared" si="7"/>
        <v>0</v>
      </c>
      <c r="AQ19">
        <f t="shared" si="6"/>
        <v>8.8122960251366713</v>
      </c>
    </row>
    <row r="20" spans="1:43" x14ac:dyDescent="0.25">
      <c r="A20">
        <v>33</v>
      </c>
      <c r="B20">
        <v>1.5108891571445107</v>
      </c>
      <c r="C20" s="32">
        <v>33</v>
      </c>
      <c r="D20" s="34"/>
      <c r="E20" s="33"/>
      <c r="F20" s="19">
        <v>9</v>
      </c>
      <c r="G20" s="19">
        <v>11</v>
      </c>
      <c r="H20" s="19">
        <v>1</v>
      </c>
      <c r="I20" s="33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>
        <f t="shared" si="4"/>
        <v>21</v>
      </c>
      <c r="X20">
        <f t="shared" si="5"/>
        <v>0</v>
      </c>
      <c r="Y20">
        <f t="shared" si="5"/>
        <v>0</v>
      </c>
      <c r="Z20">
        <f t="shared" si="5"/>
        <v>0.64752392449050455</v>
      </c>
      <c r="AA20">
        <f t="shared" si="5"/>
        <v>0.791418129932839</v>
      </c>
      <c r="AB20">
        <f t="shared" si="5"/>
        <v>7.1947102721167167E-2</v>
      </c>
      <c r="AC20">
        <f t="shared" si="5"/>
        <v>0</v>
      </c>
      <c r="AD20">
        <f t="shared" si="5"/>
        <v>0</v>
      </c>
      <c r="AE20">
        <f t="shared" si="5"/>
        <v>0</v>
      </c>
      <c r="AF20">
        <f t="shared" si="5"/>
        <v>0</v>
      </c>
      <c r="AG20">
        <f t="shared" si="5"/>
        <v>0</v>
      </c>
      <c r="AH20">
        <f t="shared" si="5"/>
        <v>0</v>
      </c>
      <c r="AI20">
        <f t="shared" si="5"/>
        <v>0</v>
      </c>
      <c r="AJ20">
        <f t="shared" si="5"/>
        <v>0</v>
      </c>
      <c r="AK20">
        <f t="shared" si="5"/>
        <v>0</v>
      </c>
      <c r="AL20">
        <f t="shared" si="5"/>
        <v>0</v>
      </c>
      <c r="AM20">
        <f t="shared" si="5"/>
        <v>0</v>
      </c>
      <c r="AN20">
        <f t="shared" si="7"/>
        <v>0</v>
      </c>
      <c r="AO20">
        <f t="shared" si="7"/>
        <v>0</v>
      </c>
      <c r="AP20">
        <f t="shared" si="7"/>
        <v>0</v>
      </c>
      <c r="AQ20">
        <f t="shared" si="6"/>
        <v>1.5108891571445107</v>
      </c>
    </row>
    <row r="21" spans="1:43" x14ac:dyDescent="0.25">
      <c r="A21">
        <v>34</v>
      </c>
      <c r="B21">
        <v>12.736282347722009</v>
      </c>
      <c r="C21" s="32">
        <v>34</v>
      </c>
      <c r="D21" s="34"/>
      <c r="E21" s="33"/>
      <c r="F21" s="19">
        <v>33</v>
      </c>
      <c r="G21" s="19">
        <v>11</v>
      </c>
      <c r="H21" s="19">
        <v>5</v>
      </c>
      <c r="I21" s="19">
        <v>2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>
        <f t="shared" si="4"/>
        <v>51</v>
      </c>
      <c r="X21">
        <f t="shared" si="5"/>
        <v>0</v>
      </c>
      <c r="Y21">
        <f t="shared" si="5"/>
        <v>0</v>
      </c>
      <c r="Z21">
        <f t="shared" si="5"/>
        <v>8.2411238720554181</v>
      </c>
      <c r="AA21">
        <f t="shared" si="5"/>
        <v>2.7470412906851394</v>
      </c>
      <c r="AB21">
        <f t="shared" si="5"/>
        <v>1.2486551321296087</v>
      </c>
      <c r="AC21">
        <f t="shared" si="5"/>
        <v>0.49946205285184347</v>
      </c>
      <c r="AD21">
        <f t="shared" si="5"/>
        <v>0</v>
      </c>
      <c r="AE21">
        <f t="shared" si="5"/>
        <v>0</v>
      </c>
      <c r="AF21">
        <f t="shared" si="5"/>
        <v>0</v>
      </c>
      <c r="AG21">
        <f t="shared" si="5"/>
        <v>0</v>
      </c>
      <c r="AH21">
        <f t="shared" si="5"/>
        <v>0</v>
      </c>
      <c r="AI21">
        <f t="shared" si="5"/>
        <v>0</v>
      </c>
      <c r="AJ21">
        <f t="shared" si="5"/>
        <v>0</v>
      </c>
      <c r="AK21">
        <f t="shared" si="5"/>
        <v>0</v>
      </c>
      <c r="AL21">
        <f t="shared" si="5"/>
        <v>0</v>
      </c>
      <c r="AM21">
        <f t="shared" si="5"/>
        <v>0</v>
      </c>
      <c r="AN21">
        <f t="shared" si="7"/>
        <v>0</v>
      </c>
      <c r="AO21">
        <f t="shared" si="7"/>
        <v>0</v>
      </c>
      <c r="AP21">
        <f t="shared" si="7"/>
        <v>0</v>
      </c>
      <c r="AQ21">
        <f t="shared" si="6"/>
        <v>12.736282347722009</v>
      </c>
    </row>
    <row r="22" spans="1:43" x14ac:dyDescent="0.25">
      <c r="A22">
        <v>35</v>
      </c>
      <c r="B22">
        <v>3.9647445967621913</v>
      </c>
      <c r="C22" s="32">
        <v>35</v>
      </c>
      <c r="D22" s="34"/>
      <c r="E22" s="33"/>
      <c r="F22" s="33"/>
      <c r="G22" s="19">
        <v>5</v>
      </c>
      <c r="H22" s="19">
        <v>8</v>
      </c>
      <c r="I22" s="19">
        <v>1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>
        <f t="shared" si="4"/>
        <v>14</v>
      </c>
      <c r="X22">
        <f t="shared" si="5"/>
        <v>0</v>
      </c>
      <c r="Y22">
        <f t="shared" si="5"/>
        <v>0</v>
      </c>
      <c r="Z22">
        <f t="shared" si="5"/>
        <v>0</v>
      </c>
      <c r="AA22">
        <f t="shared" si="5"/>
        <v>1.415980213129354</v>
      </c>
      <c r="AB22">
        <f t="shared" si="5"/>
        <v>2.2655683410069662</v>
      </c>
      <c r="AC22">
        <f t="shared" si="5"/>
        <v>0.28319604262587078</v>
      </c>
      <c r="AD22">
        <f t="shared" si="5"/>
        <v>0</v>
      </c>
      <c r="AE22">
        <f t="shared" si="5"/>
        <v>0</v>
      </c>
      <c r="AF22">
        <f t="shared" si="5"/>
        <v>0</v>
      </c>
      <c r="AG22">
        <f t="shared" si="5"/>
        <v>0</v>
      </c>
      <c r="AH22">
        <f t="shared" si="5"/>
        <v>0</v>
      </c>
      <c r="AI22">
        <f t="shared" si="5"/>
        <v>0</v>
      </c>
      <c r="AJ22">
        <f t="shared" si="5"/>
        <v>0</v>
      </c>
      <c r="AK22">
        <f t="shared" si="5"/>
        <v>0</v>
      </c>
      <c r="AL22">
        <f t="shared" si="5"/>
        <v>0</v>
      </c>
      <c r="AM22">
        <f t="shared" si="5"/>
        <v>0</v>
      </c>
      <c r="AN22">
        <f t="shared" si="7"/>
        <v>0</v>
      </c>
      <c r="AO22">
        <f t="shared" si="7"/>
        <v>0</v>
      </c>
      <c r="AP22">
        <f t="shared" si="7"/>
        <v>0</v>
      </c>
      <c r="AQ22">
        <f t="shared" si="6"/>
        <v>3.9647445967621908</v>
      </c>
    </row>
    <row r="23" spans="1:43" x14ac:dyDescent="0.25">
      <c r="A23">
        <v>36</v>
      </c>
      <c r="B23">
        <v>0</v>
      </c>
      <c r="C23" s="32">
        <v>36</v>
      </c>
      <c r="D23" s="34"/>
      <c r="E23" s="33"/>
      <c r="F23" s="33"/>
      <c r="G23" s="19">
        <v>4</v>
      </c>
      <c r="H23" s="19">
        <v>2</v>
      </c>
      <c r="I23" s="19">
        <v>3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>
        <f t="shared" si="4"/>
        <v>9</v>
      </c>
      <c r="X23">
        <f t="shared" si="5"/>
        <v>0</v>
      </c>
      <c r="Y23">
        <f t="shared" si="5"/>
        <v>0</v>
      </c>
      <c r="Z23">
        <f t="shared" si="5"/>
        <v>0</v>
      </c>
      <c r="AA23">
        <f t="shared" si="5"/>
        <v>0</v>
      </c>
      <c r="AB23">
        <f t="shared" si="5"/>
        <v>0</v>
      </c>
      <c r="AC23">
        <f t="shared" si="5"/>
        <v>0</v>
      </c>
      <c r="AD23">
        <f t="shared" si="5"/>
        <v>0</v>
      </c>
      <c r="AE23">
        <f t="shared" si="5"/>
        <v>0</v>
      </c>
      <c r="AF23">
        <f t="shared" si="5"/>
        <v>0</v>
      </c>
      <c r="AG23">
        <f t="shared" si="5"/>
        <v>0</v>
      </c>
      <c r="AH23">
        <f t="shared" si="5"/>
        <v>0</v>
      </c>
      <c r="AI23">
        <f t="shared" si="5"/>
        <v>0</v>
      </c>
      <c r="AJ23">
        <f t="shared" si="5"/>
        <v>0</v>
      </c>
      <c r="AK23">
        <f t="shared" si="5"/>
        <v>0</v>
      </c>
      <c r="AL23">
        <f t="shared" si="5"/>
        <v>0</v>
      </c>
      <c r="AM23">
        <f t="shared" si="5"/>
        <v>0</v>
      </c>
      <c r="AN23">
        <f t="shared" si="7"/>
        <v>0</v>
      </c>
      <c r="AO23">
        <f t="shared" si="7"/>
        <v>0</v>
      </c>
      <c r="AP23">
        <f t="shared" si="7"/>
        <v>0</v>
      </c>
      <c r="AQ23">
        <f t="shared" si="6"/>
        <v>0</v>
      </c>
    </row>
    <row r="24" spans="1:43" x14ac:dyDescent="0.25">
      <c r="A24">
        <v>37</v>
      </c>
      <c r="B24">
        <v>1.3180096902749987</v>
      </c>
      <c r="C24" s="32">
        <v>37</v>
      </c>
      <c r="D24" s="34"/>
      <c r="E24" s="33"/>
      <c r="F24" s="33"/>
      <c r="G24" s="33"/>
      <c r="H24" s="19">
        <v>3</v>
      </c>
      <c r="I24" s="19">
        <v>3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>
        <f t="shared" si="4"/>
        <v>6</v>
      </c>
      <c r="X24">
        <f t="shared" si="5"/>
        <v>0</v>
      </c>
      <c r="Y24">
        <f t="shared" si="5"/>
        <v>0</v>
      </c>
      <c r="Z24">
        <f t="shared" si="5"/>
        <v>0</v>
      </c>
      <c r="AA24">
        <f t="shared" si="5"/>
        <v>0</v>
      </c>
      <c r="AB24">
        <f t="shared" si="5"/>
        <v>0.65900484513749935</v>
      </c>
      <c r="AC24">
        <f t="shared" si="5"/>
        <v>0.65900484513749935</v>
      </c>
      <c r="AD24">
        <f t="shared" si="5"/>
        <v>0</v>
      </c>
      <c r="AE24">
        <f t="shared" si="5"/>
        <v>0</v>
      </c>
      <c r="AF24">
        <f t="shared" si="5"/>
        <v>0</v>
      </c>
      <c r="AG24">
        <f t="shared" si="5"/>
        <v>0</v>
      </c>
      <c r="AH24">
        <f t="shared" si="5"/>
        <v>0</v>
      </c>
      <c r="AI24">
        <f t="shared" si="5"/>
        <v>0</v>
      </c>
      <c r="AJ24">
        <f t="shared" si="5"/>
        <v>0</v>
      </c>
      <c r="AK24">
        <f t="shared" si="5"/>
        <v>0</v>
      </c>
      <c r="AL24">
        <f t="shared" si="5"/>
        <v>0</v>
      </c>
      <c r="AM24">
        <f t="shared" si="5"/>
        <v>0</v>
      </c>
      <c r="AN24">
        <f t="shared" si="7"/>
        <v>0</v>
      </c>
      <c r="AO24">
        <f t="shared" si="7"/>
        <v>0</v>
      </c>
      <c r="AP24">
        <f t="shared" si="7"/>
        <v>0</v>
      </c>
      <c r="AQ24">
        <f t="shared" si="6"/>
        <v>1.3180096902749987</v>
      </c>
    </row>
    <row r="25" spans="1:43" ht="15.75" thickBot="1" x14ac:dyDescent="0.3">
      <c r="A25">
        <v>38</v>
      </c>
      <c r="B25">
        <v>0</v>
      </c>
      <c r="C25" s="35">
        <v>38</v>
      </c>
      <c r="D25" s="34"/>
      <c r="E25" s="33"/>
      <c r="F25" s="33"/>
      <c r="G25" s="33"/>
      <c r="H25" s="19">
        <v>1</v>
      </c>
      <c r="I25" s="19">
        <v>2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>
        <f t="shared" si="4"/>
        <v>3</v>
      </c>
      <c r="X25">
        <f t="shared" si="5"/>
        <v>0</v>
      </c>
      <c r="Y25">
        <f t="shared" si="5"/>
        <v>0</v>
      </c>
      <c r="Z25">
        <f t="shared" si="5"/>
        <v>0</v>
      </c>
      <c r="AA25">
        <f t="shared" si="5"/>
        <v>0</v>
      </c>
      <c r="AB25">
        <f t="shared" si="5"/>
        <v>0</v>
      </c>
      <c r="AC25">
        <f t="shared" si="5"/>
        <v>0</v>
      </c>
      <c r="AD25">
        <f t="shared" si="5"/>
        <v>0</v>
      </c>
      <c r="AE25">
        <f t="shared" si="5"/>
        <v>0</v>
      </c>
      <c r="AF25">
        <f t="shared" si="5"/>
        <v>0</v>
      </c>
      <c r="AG25">
        <f t="shared" si="5"/>
        <v>0</v>
      </c>
      <c r="AH25">
        <f t="shared" si="5"/>
        <v>0</v>
      </c>
      <c r="AI25">
        <f t="shared" si="5"/>
        <v>0</v>
      </c>
      <c r="AJ25">
        <f t="shared" si="5"/>
        <v>0</v>
      </c>
      <c r="AK25">
        <f t="shared" si="5"/>
        <v>0</v>
      </c>
      <c r="AL25">
        <f t="shared" si="5"/>
        <v>0</v>
      </c>
      <c r="AM25">
        <f t="shared" si="5"/>
        <v>0</v>
      </c>
      <c r="AN25">
        <f t="shared" si="7"/>
        <v>0</v>
      </c>
      <c r="AO25">
        <f t="shared" si="7"/>
        <v>0</v>
      </c>
      <c r="AP25">
        <f t="shared" si="7"/>
        <v>0</v>
      </c>
      <c r="AQ25">
        <f t="shared" si="6"/>
        <v>0</v>
      </c>
    </row>
    <row r="26" spans="1:43" x14ac:dyDescent="0.25">
      <c r="A26">
        <v>39</v>
      </c>
      <c r="B26">
        <v>0</v>
      </c>
      <c r="C26" s="11">
        <v>39</v>
      </c>
      <c r="D26" s="12"/>
      <c r="E26" s="14"/>
      <c r="F26" s="14"/>
      <c r="G26" s="14"/>
      <c r="H26" s="14"/>
      <c r="I26" s="24">
        <v>17</v>
      </c>
      <c r="J26" s="24">
        <v>14</v>
      </c>
      <c r="K26" s="24">
        <v>1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>
        <f t="shared" si="4"/>
        <v>32</v>
      </c>
      <c r="X26">
        <f t="shared" si="5"/>
        <v>0</v>
      </c>
      <c r="Y26">
        <f t="shared" si="5"/>
        <v>0</v>
      </c>
      <c r="Z26">
        <f t="shared" si="5"/>
        <v>0</v>
      </c>
      <c r="AA26">
        <f t="shared" si="5"/>
        <v>0</v>
      </c>
      <c r="AB26">
        <f t="shared" si="5"/>
        <v>0</v>
      </c>
      <c r="AC26">
        <f t="shared" si="5"/>
        <v>0</v>
      </c>
      <c r="AD26">
        <f t="shared" si="5"/>
        <v>0</v>
      </c>
      <c r="AE26">
        <f t="shared" si="5"/>
        <v>0</v>
      </c>
      <c r="AF26">
        <f t="shared" si="5"/>
        <v>0</v>
      </c>
      <c r="AG26">
        <f t="shared" si="5"/>
        <v>0</v>
      </c>
      <c r="AH26">
        <f t="shared" si="5"/>
        <v>0</v>
      </c>
      <c r="AI26">
        <f t="shared" si="5"/>
        <v>0</v>
      </c>
      <c r="AJ26">
        <f t="shared" si="5"/>
        <v>0</v>
      </c>
      <c r="AK26">
        <f t="shared" si="5"/>
        <v>0</v>
      </c>
      <c r="AL26">
        <f t="shared" si="5"/>
        <v>0</v>
      </c>
      <c r="AM26">
        <f t="shared" si="5"/>
        <v>0</v>
      </c>
      <c r="AN26">
        <f t="shared" si="7"/>
        <v>0</v>
      </c>
      <c r="AO26">
        <f t="shared" si="7"/>
        <v>0</v>
      </c>
      <c r="AP26">
        <f t="shared" si="7"/>
        <v>0</v>
      </c>
      <c r="AQ26">
        <f t="shared" si="6"/>
        <v>0</v>
      </c>
    </row>
    <row r="27" spans="1:43" x14ac:dyDescent="0.25">
      <c r="A27">
        <v>40</v>
      </c>
      <c r="B27">
        <v>0</v>
      </c>
      <c r="C27" s="11">
        <v>40</v>
      </c>
      <c r="D27" s="12"/>
      <c r="E27" s="14"/>
      <c r="F27" s="14"/>
      <c r="G27" s="14"/>
      <c r="H27" s="24">
        <v>1</v>
      </c>
      <c r="I27" s="24">
        <v>5</v>
      </c>
      <c r="J27" s="24">
        <v>17</v>
      </c>
      <c r="K27" s="24">
        <v>2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>
        <f t="shared" si="4"/>
        <v>25</v>
      </c>
      <c r="X27">
        <f t="shared" si="5"/>
        <v>0</v>
      </c>
      <c r="Y27">
        <f t="shared" si="5"/>
        <v>0</v>
      </c>
      <c r="Z27">
        <f t="shared" si="5"/>
        <v>0</v>
      </c>
      <c r="AA27">
        <f t="shared" si="5"/>
        <v>0</v>
      </c>
      <c r="AB27">
        <f t="shared" si="5"/>
        <v>0</v>
      </c>
      <c r="AC27">
        <f t="shared" si="5"/>
        <v>0</v>
      </c>
      <c r="AD27">
        <f t="shared" si="5"/>
        <v>0</v>
      </c>
      <c r="AE27">
        <f t="shared" si="5"/>
        <v>0</v>
      </c>
      <c r="AF27">
        <f t="shared" si="5"/>
        <v>0</v>
      </c>
      <c r="AG27">
        <f t="shared" si="5"/>
        <v>0</v>
      </c>
      <c r="AH27">
        <f t="shared" si="5"/>
        <v>0</v>
      </c>
      <c r="AI27">
        <f t="shared" si="5"/>
        <v>0</v>
      </c>
      <c r="AJ27">
        <f t="shared" si="5"/>
        <v>0</v>
      </c>
      <c r="AK27">
        <f t="shared" si="5"/>
        <v>0</v>
      </c>
      <c r="AL27">
        <f t="shared" si="5"/>
        <v>0</v>
      </c>
      <c r="AM27">
        <f t="shared" si="5"/>
        <v>0</v>
      </c>
      <c r="AN27">
        <f t="shared" si="7"/>
        <v>0</v>
      </c>
      <c r="AO27">
        <f t="shared" si="7"/>
        <v>0</v>
      </c>
      <c r="AP27">
        <f t="shared" si="7"/>
        <v>0</v>
      </c>
      <c r="AQ27">
        <f t="shared" si="6"/>
        <v>0</v>
      </c>
    </row>
    <row r="28" spans="1:43" x14ac:dyDescent="0.25">
      <c r="A28">
        <v>41</v>
      </c>
      <c r="B28">
        <v>0</v>
      </c>
      <c r="C28" s="11">
        <v>41</v>
      </c>
      <c r="D28" s="12"/>
      <c r="E28" s="14"/>
      <c r="F28" s="14"/>
      <c r="G28" s="14"/>
      <c r="H28" s="14"/>
      <c r="I28" s="24">
        <v>1</v>
      </c>
      <c r="J28" s="24">
        <v>3</v>
      </c>
      <c r="K28" s="24">
        <v>5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>
        <f t="shared" si="4"/>
        <v>9</v>
      </c>
      <c r="X28">
        <f t="shared" si="5"/>
        <v>0</v>
      </c>
      <c r="Y28">
        <f t="shared" si="5"/>
        <v>0</v>
      </c>
      <c r="Z28">
        <f t="shared" si="5"/>
        <v>0</v>
      </c>
      <c r="AA28">
        <f t="shared" si="5"/>
        <v>0</v>
      </c>
      <c r="AB28">
        <f t="shared" si="5"/>
        <v>0</v>
      </c>
      <c r="AC28">
        <f t="shared" si="5"/>
        <v>0</v>
      </c>
      <c r="AD28">
        <f t="shared" si="5"/>
        <v>0</v>
      </c>
      <c r="AE28">
        <f t="shared" si="5"/>
        <v>0</v>
      </c>
      <c r="AF28">
        <f t="shared" si="5"/>
        <v>0</v>
      </c>
      <c r="AG28">
        <f t="shared" si="5"/>
        <v>0</v>
      </c>
      <c r="AH28">
        <f t="shared" si="5"/>
        <v>0</v>
      </c>
      <c r="AI28">
        <f t="shared" si="5"/>
        <v>0</v>
      </c>
      <c r="AJ28">
        <f t="shared" si="5"/>
        <v>0</v>
      </c>
      <c r="AK28">
        <f t="shared" si="5"/>
        <v>0</v>
      </c>
      <c r="AL28">
        <f t="shared" si="5"/>
        <v>0</v>
      </c>
      <c r="AM28">
        <f t="shared" si="5"/>
        <v>0</v>
      </c>
      <c r="AN28">
        <f t="shared" si="7"/>
        <v>0</v>
      </c>
      <c r="AO28">
        <f t="shared" si="7"/>
        <v>0</v>
      </c>
      <c r="AP28">
        <f t="shared" si="7"/>
        <v>0</v>
      </c>
      <c r="AQ28">
        <f t="shared" si="6"/>
        <v>0</v>
      </c>
    </row>
    <row r="29" spans="1:43" x14ac:dyDescent="0.25">
      <c r="A29">
        <v>42</v>
      </c>
      <c r="B29">
        <v>0.56792287467134095</v>
      </c>
      <c r="C29" s="11">
        <v>42</v>
      </c>
      <c r="D29" s="12"/>
      <c r="E29" s="14"/>
      <c r="F29" s="14"/>
      <c r="G29" s="14"/>
      <c r="H29" s="14"/>
      <c r="I29" s="14"/>
      <c r="J29" s="24">
        <v>7</v>
      </c>
      <c r="K29" s="24">
        <v>3</v>
      </c>
      <c r="L29" s="24">
        <v>5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>
        <f t="shared" si="4"/>
        <v>15</v>
      </c>
      <c r="X29">
        <f t="shared" si="5"/>
        <v>0</v>
      </c>
      <c r="Y29">
        <f t="shared" si="5"/>
        <v>0</v>
      </c>
      <c r="Z29">
        <f t="shared" si="5"/>
        <v>0</v>
      </c>
      <c r="AA29">
        <f t="shared" si="5"/>
        <v>0</v>
      </c>
      <c r="AB29">
        <f t="shared" si="5"/>
        <v>0</v>
      </c>
      <c r="AC29">
        <f t="shared" si="5"/>
        <v>0</v>
      </c>
      <c r="AD29">
        <f t="shared" si="5"/>
        <v>0.26503067484662579</v>
      </c>
      <c r="AE29">
        <f t="shared" si="5"/>
        <v>0.1135845749342682</v>
      </c>
      <c r="AF29">
        <f t="shared" si="5"/>
        <v>0.18930762489044697</v>
      </c>
      <c r="AG29">
        <f t="shared" si="5"/>
        <v>0</v>
      </c>
      <c r="AH29">
        <f t="shared" si="5"/>
        <v>0</v>
      </c>
      <c r="AI29">
        <f t="shared" si="5"/>
        <v>0</v>
      </c>
      <c r="AJ29">
        <f t="shared" si="5"/>
        <v>0</v>
      </c>
      <c r="AK29">
        <f t="shared" si="5"/>
        <v>0</v>
      </c>
      <c r="AL29">
        <f t="shared" si="5"/>
        <v>0</v>
      </c>
      <c r="AM29">
        <f t="shared" si="5"/>
        <v>0</v>
      </c>
      <c r="AN29">
        <f t="shared" si="7"/>
        <v>0</v>
      </c>
      <c r="AO29">
        <f t="shared" si="7"/>
        <v>0</v>
      </c>
      <c r="AP29">
        <f t="shared" si="7"/>
        <v>0</v>
      </c>
      <c r="AQ29">
        <f t="shared" si="6"/>
        <v>0.56792287467134095</v>
      </c>
    </row>
    <row r="30" spans="1:43" s="16" customFormat="1" x14ac:dyDescent="0.25">
      <c r="A30" s="16">
        <v>43</v>
      </c>
      <c r="B30" s="16">
        <v>0</v>
      </c>
      <c r="C30" s="11">
        <v>43</v>
      </c>
      <c r="D30" s="12"/>
      <c r="E30" s="14"/>
      <c r="F30" s="14"/>
      <c r="G30" s="14"/>
      <c r="H30" s="14"/>
      <c r="I30" s="24">
        <v>1</v>
      </c>
      <c r="J30" s="24">
        <v>6</v>
      </c>
      <c r="K30" s="24">
        <v>3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>
        <f t="shared" si="4"/>
        <v>10</v>
      </c>
      <c r="X30">
        <f t="shared" si="5"/>
        <v>0</v>
      </c>
      <c r="Y30">
        <f t="shared" si="5"/>
        <v>0</v>
      </c>
      <c r="Z30">
        <f t="shared" si="5"/>
        <v>0</v>
      </c>
      <c r="AA30">
        <f t="shared" si="5"/>
        <v>0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  <c r="AG30">
        <f t="shared" si="7"/>
        <v>0</v>
      </c>
      <c r="AH30">
        <f t="shared" si="7"/>
        <v>0</v>
      </c>
      <c r="AI30">
        <f t="shared" si="7"/>
        <v>0</v>
      </c>
      <c r="AJ30">
        <f t="shared" si="7"/>
        <v>0</v>
      </c>
      <c r="AK30">
        <f t="shared" si="7"/>
        <v>0</v>
      </c>
      <c r="AL30">
        <f t="shared" si="7"/>
        <v>0</v>
      </c>
      <c r="AM30">
        <f t="shared" si="7"/>
        <v>0</v>
      </c>
      <c r="AN30">
        <f t="shared" si="7"/>
        <v>0</v>
      </c>
      <c r="AO30">
        <f t="shared" si="7"/>
        <v>0</v>
      </c>
      <c r="AP30">
        <f t="shared" si="7"/>
        <v>0</v>
      </c>
      <c r="AQ30" s="16">
        <f t="shared" si="6"/>
        <v>0</v>
      </c>
    </row>
    <row r="31" spans="1:43" x14ac:dyDescent="0.25">
      <c r="A31">
        <v>44</v>
      </c>
      <c r="B31">
        <v>0</v>
      </c>
      <c r="C31" s="11">
        <v>44</v>
      </c>
      <c r="D31" s="12"/>
      <c r="E31" s="14"/>
      <c r="F31" s="14"/>
      <c r="G31" s="14"/>
      <c r="H31" s="14"/>
      <c r="I31" s="14"/>
      <c r="J31" s="14"/>
      <c r="K31" s="24">
        <v>5</v>
      </c>
      <c r="L31" s="24">
        <v>1</v>
      </c>
      <c r="M31" s="24">
        <v>3</v>
      </c>
      <c r="N31" s="14"/>
      <c r="O31" s="14"/>
      <c r="P31" s="14"/>
      <c r="Q31" s="14"/>
      <c r="R31" s="14"/>
      <c r="S31" s="14"/>
      <c r="T31" s="14"/>
      <c r="U31" s="14"/>
      <c r="V31" s="14"/>
      <c r="W31">
        <f t="shared" si="4"/>
        <v>9</v>
      </c>
      <c r="X31">
        <f t="shared" si="5"/>
        <v>0</v>
      </c>
      <c r="Y31">
        <f t="shared" si="5"/>
        <v>0</v>
      </c>
      <c r="Z31">
        <f t="shared" si="5"/>
        <v>0</v>
      </c>
      <c r="AA31">
        <f t="shared" si="5"/>
        <v>0</v>
      </c>
      <c r="AB31">
        <f t="shared" si="5"/>
        <v>0</v>
      </c>
      <c r="AC31">
        <f t="shared" si="5"/>
        <v>0</v>
      </c>
      <c r="AD31">
        <f t="shared" si="5"/>
        <v>0</v>
      </c>
      <c r="AE31">
        <f t="shared" si="5"/>
        <v>0</v>
      </c>
      <c r="AF31">
        <f t="shared" si="5"/>
        <v>0</v>
      </c>
      <c r="AG31">
        <f t="shared" si="5"/>
        <v>0</v>
      </c>
      <c r="AH31">
        <f t="shared" si="5"/>
        <v>0</v>
      </c>
      <c r="AI31">
        <f t="shared" si="5"/>
        <v>0</v>
      </c>
      <c r="AJ31">
        <f t="shared" si="5"/>
        <v>0</v>
      </c>
      <c r="AK31">
        <f t="shared" si="5"/>
        <v>0</v>
      </c>
      <c r="AL31">
        <f t="shared" si="5"/>
        <v>0</v>
      </c>
      <c r="AM31">
        <f t="shared" si="5"/>
        <v>0</v>
      </c>
      <c r="AN31">
        <f t="shared" si="7"/>
        <v>0</v>
      </c>
      <c r="AO31">
        <f t="shared" si="7"/>
        <v>0</v>
      </c>
      <c r="AP31">
        <f t="shared" si="7"/>
        <v>0</v>
      </c>
      <c r="AQ31">
        <f t="shared" si="6"/>
        <v>0</v>
      </c>
    </row>
    <row r="32" spans="1:43" x14ac:dyDescent="0.25">
      <c r="A32">
        <v>45</v>
      </c>
      <c r="B32">
        <v>0</v>
      </c>
      <c r="C32" s="11">
        <v>45</v>
      </c>
      <c r="D32" s="12"/>
      <c r="E32" s="14"/>
      <c r="F32" s="14"/>
      <c r="G32" s="14"/>
      <c r="H32" s="14"/>
      <c r="I32" s="14"/>
      <c r="J32" s="14"/>
      <c r="K32" s="24">
        <v>1</v>
      </c>
      <c r="L32" s="24">
        <v>2</v>
      </c>
      <c r="M32" s="24">
        <v>3</v>
      </c>
      <c r="N32" s="24">
        <v>3</v>
      </c>
      <c r="O32" s="14"/>
      <c r="P32" s="14"/>
      <c r="Q32" s="14"/>
      <c r="R32" s="14"/>
      <c r="S32" s="14"/>
      <c r="T32" s="14"/>
      <c r="U32" s="14"/>
      <c r="V32" s="14"/>
      <c r="W32">
        <f t="shared" si="4"/>
        <v>9</v>
      </c>
      <c r="X32">
        <f t="shared" si="5"/>
        <v>0</v>
      </c>
      <c r="Y32">
        <f t="shared" si="5"/>
        <v>0</v>
      </c>
      <c r="Z32">
        <f t="shared" si="5"/>
        <v>0</v>
      </c>
      <c r="AA32">
        <f t="shared" si="5"/>
        <v>0</v>
      </c>
      <c r="AB32">
        <f t="shared" si="7"/>
        <v>0</v>
      </c>
      <c r="AC32">
        <f t="shared" si="7"/>
        <v>0</v>
      </c>
      <c r="AD32">
        <f t="shared" si="7"/>
        <v>0</v>
      </c>
      <c r="AE32">
        <f t="shared" si="7"/>
        <v>0</v>
      </c>
      <c r="AF32">
        <f t="shared" si="7"/>
        <v>0</v>
      </c>
      <c r="AG32">
        <f t="shared" si="7"/>
        <v>0</v>
      </c>
      <c r="AH32">
        <f t="shared" si="7"/>
        <v>0</v>
      </c>
      <c r="AI32">
        <f t="shared" si="7"/>
        <v>0</v>
      </c>
      <c r="AJ32">
        <f t="shared" si="7"/>
        <v>0</v>
      </c>
      <c r="AK32">
        <f t="shared" si="7"/>
        <v>0</v>
      </c>
      <c r="AL32">
        <f t="shared" si="7"/>
        <v>0</v>
      </c>
      <c r="AM32">
        <f t="shared" si="7"/>
        <v>0</v>
      </c>
      <c r="AN32">
        <f t="shared" si="7"/>
        <v>0</v>
      </c>
      <c r="AO32">
        <f t="shared" si="7"/>
        <v>0</v>
      </c>
      <c r="AP32">
        <f t="shared" si="7"/>
        <v>0</v>
      </c>
      <c r="AQ32">
        <f t="shared" si="6"/>
        <v>0</v>
      </c>
    </row>
    <row r="33" spans="1:43" x14ac:dyDescent="0.25">
      <c r="A33">
        <v>46</v>
      </c>
      <c r="B33">
        <v>0</v>
      </c>
      <c r="C33" s="11">
        <v>46</v>
      </c>
      <c r="D33" s="12"/>
      <c r="E33" s="14"/>
      <c r="F33" s="14"/>
      <c r="G33" s="14"/>
      <c r="H33" s="14"/>
      <c r="I33" s="14"/>
      <c r="J33" s="14"/>
      <c r="K33" s="14"/>
      <c r="L33" s="14"/>
      <c r="M33" s="24">
        <v>3</v>
      </c>
      <c r="N33" s="14"/>
      <c r="O33" s="14"/>
      <c r="P33" s="14"/>
      <c r="Q33" s="14"/>
      <c r="R33" s="14"/>
      <c r="S33" s="14"/>
      <c r="T33" s="14"/>
      <c r="U33" s="14"/>
      <c r="V33" s="14"/>
      <c r="W33">
        <f t="shared" si="4"/>
        <v>3</v>
      </c>
      <c r="X33">
        <f t="shared" si="5"/>
        <v>0</v>
      </c>
      <c r="Y33">
        <f t="shared" si="5"/>
        <v>0</v>
      </c>
      <c r="Z33">
        <f t="shared" si="5"/>
        <v>0</v>
      </c>
      <c r="AA33">
        <f t="shared" si="5"/>
        <v>0</v>
      </c>
      <c r="AB33">
        <f t="shared" si="7"/>
        <v>0</v>
      </c>
      <c r="AC33">
        <f t="shared" si="7"/>
        <v>0</v>
      </c>
      <c r="AD33">
        <f t="shared" si="7"/>
        <v>0</v>
      </c>
      <c r="AE33">
        <f t="shared" si="7"/>
        <v>0</v>
      </c>
      <c r="AF33">
        <f t="shared" si="7"/>
        <v>0</v>
      </c>
      <c r="AG33">
        <f t="shared" si="7"/>
        <v>0</v>
      </c>
      <c r="AH33">
        <f t="shared" si="7"/>
        <v>0</v>
      </c>
      <c r="AI33">
        <f t="shared" si="7"/>
        <v>0</v>
      </c>
      <c r="AJ33">
        <f t="shared" si="7"/>
        <v>0</v>
      </c>
      <c r="AK33">
        <f t="shared" si="7"/>
        <v>0</v>
      </c>
      <c r="AL33">
        <f t="shared" si="7"/>
        <v>0</v>
      </c>
      <c r="AM33">
        <f t="shared" si="7"/>
        <v>0</v>
      </c>
      <c r="AN33">
        <f t="shared" si="7"/>
        <v>0</v>
      </c>
      <c r="AO33">
        <f t="shared" si="7"/>
        <v>0</v>
      </c>
      <c r="AP33">
        <f t="shared" si="7"/>
        <v>0</v>
      </c>
      <c r="AQ33">
        <f t="shared" si="6"/>
        <v>0</v>
      </c>
    </row>
    <row r="34" spans="1:43" ht="15.75" thickBot="1" x14ac:dyDescent="0.3">
      <c r="A34">
        <v>47</v>
      </c>
      <c r="B34">
        <v>0</v>
      </c>
      <c r="C34" s="15">
        <v>47</v>
      </c>
      <c r="D34" s="12"/>
      <c r="E34" s="14"/>
      <c r="F34" s="14"/>
      <c r="G34" s="14"/>
      <c r="H34" s="14"/>
      <c r="I34" s="14"/>
      <c r="J34" s="14"/>
      <c r="K34" s="14"/>
      <c r="L34" s="14"/>
      <c r="M34" s="14"/>
      <c r="N34" s="24">
        <v>1</v>
      </c>
      <c r="O34" s="24">
        <v>2</v>
      </c>
      <c r="P34" s="14"/>
      <c r="Q34" s="24">
        <v>1</v>
      </c>
      <c r="R34" s="14"/>
      <c r="S34" s="14"/>
      <c r="T34" s="14"/>
      <c r="U34" s="14"/>
      <c r="V34" s="14"/>
      <c r="W34">
        <f t="shared" si="4"/>
        <v>4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0</v>
      </c>
      <c r="AE34">
        <f t="shared" si="5"/>
        <v>0</v>
      </c>
      <c r="AF34">
        <f t="shared" si="5"/>
        <v>0</v>
      </c>
      <c r="AG34">
        <f t="shared" si="5"/>
        <v>0</v>
      </c>
      <c r="AH34">
        <f t="shared" si="5"/>
        <v>0</v>
      </c>
      <c r="AI34">
        <f t="shared" si="5"/>
        <v>0</v>
      </c>
      <c r="AJ34">
        <f t="shared" si="5"/>
        <v>0</v>
      </c>
      <c r="AK34">
        <f t="shared" si="5"/>
        <v>0</v>
      </c>
      <c r="AL34">
        <f t="shared" si="5"/>
        <v>0</v>
      </c>
      <c r="AM34">
        <f t="shared" si="5"/>
        <v>0</v>
      </c>
      <c r="AN34">
        <f t="shared" ref="AB34:AP42" si="8">T34/$W34*$B34</f>
        <v>0</v>
      </c>
      <c r="AO34">
        <f t="shared" si="8"/>
        <v>0</v>
      </c>
      <c r="AP34">
        <f t="shared" si="8"/>
        <v>0</v>
      </c>
      <c r="AQ34">
        <f t="shared" si="6"/>
        <v>0</v>
      </c>
    </row>
    <row r="35" spans="1:43" x14ac:dyDescent="0.25">
      <c r="A35">
        <v>48</v>
      </c>
      <c r="B35">
        <v>0</v>
      </c>
      <c r="C35" s="11">
        <v>48</v>
      </c>
      <c r="D35" s="25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24">
        <v>1</v>
      </c>
      <c r="Q35" s="24">
        <v>2</v>
      </c>
      <c r="R35" s="14"/>
      <c r="S35" s="24">
        <v>1</v>
      </c>
      <c r="T35" s="14"/>
      <c r="U35" s="14"/>
      <c r="V35" s="14"/>
      <c r="W35">
        <f t="shared" si="4"/>
        <v>4</v>
      </c>
      <c r="X35">
        <f t="shared" si="5"/>
        <v>0</v>
      </c>
      <c r="Y35">
        <f t="shared" si="5"/>
        <v>0</v>
      </c>
      <c r="Z35">
        <f t="shared" si="5"/>
        <v>0</v>
      </c>
      <c r="AA35">
        <f t="shared" si="5"/>
        <v>0</v>
      </c>
      <c r="AB35">
        <f t="shared" si="5"/>
        <v>0</v>
      </c>
      <c r="AC35">
        <f t="shared" si="5"/>
        <v>0</v>
      </c>
      <c r="AD35">
        <f t="shared" si="5"/>
        <v>0</v>
      </c>
      <c r="AE35">
        <f t="shared" si="5"/>
        <v>0</v>
      </c>
      <c r="AF35">
        <f t="shared" si="5"/>
        <v>0</v>
      </c>
      <c r="AG35">
        <f t="shared" si="5"/>
        <v>0</v>
      </c>
      <c r="AH35">
        <f t="shared" si="5"/>
        <v>0</v>
      </c>
      <c r="AI35">
        <f t="shared" si="5"/>
        <v>0</v>
      </c>
      <c r="AJ35">
        <f t="shared" si="5"/>
        <v>0</v>
      </c>
      <c r="AK35">
        <f t="shared" si="5"/>
        <v>0</v>
      </c>
      <c r="AL35">
        <f t="shared" si="5"/>
        <v>0</v>
      </c>
      <c r="AM35">
        <f t="shared" si="5"/>
        <v>0</v>
      </c>
      <c r="AN35">
        <f t="shared" si="8"/>
        <v>0</v>
      </c>
      <c r="AO35">
        <f t="shared" si="8"/>
        <v>0</v>
      </c>
      <c r="AP35">
        <f t="shared" si="8"/>
        <v>0</v>
      </c>
      <c r="AQ35">
        <f t="shared" si="6"/>
        <v>0</v>
      </c>
    </row>
    <row r="36" spans="1:43" x14ac:dyDescent="0.25">
      <c r="A36">
        <v>49</v>
      </c>
      <c r="B36">
        <v>0</v>
      </c>
      <c r="C36" s="11">
        <v>49</v>
      </c>
      <c r="D36" s="12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3">
        <v>2</v>
      </c>
      <c r="S36" s="13">
        <v>2</v>
      </c>
      <c r="T36" s="14"/>
      <c r="U36" s="14"/>
      <c r="V36" s="14"/>
      <c r="W36">
        <f t="shared" si="4"/>
        <v>4</v>
      </c>
      <c r="X36">
        <f t="shared" si="5"/>
        <v>0</v>
      </c>
      <c r="Y36">
        <f t="shared" si="5"/>
        <v>0</v>
      </c>
      <c r="Z36">
        <f t="shared" si="5"/>
        <v>0</v>
      </c>
      <c r="AA36">
        <f t="shared" si="5"/>
        <v>0</v>
      </c>
      <c r="AB36">
        <f t="shared" si="8"/>
        <v>0</v>
      </c>
      <c r="AC36">
        <f t="shared" si="8"/>
        <v>0</v>
      </c>
      <c r="AD36">
        <f t="shared" si="8"/>
        <v>0</v>
      </c>
      <c r="AE36">
        <f t="shared" si="8"/>
        <v>0</v>
      </c>
      <c r="AF36">
        <f t="shared" si="8"/>
        <v>0</v>
      </c>
      <c r="AG36">
        <f t="shared" si="8"/>
        <v>0</v>
      </c>
      <c r="AH36">
        <f t="shared" si="8"/>
        <v>0</v>
      </c>
      <c r="AI36">
        <f t="shared" si="8"/>
        <v>0</v>
      </c>
      <c r="AJ36">
        <f t="shared" si="8"/>
        <v>0</v>
      </c>
      <c r="AK36">
        <f t="shared" si="8"/>
        <v>0</v>
      </c>
      <c r="AL36">
        <f t="shared" si="8"/>
        <v>0</v>
      </c>
      <c r="AM36">
        <f t="shared" si="8"/>
        <v>0</v>
      </c>
      <c r="AN36">
        <f t="shared" si="8"/>
        <v>0</v>
      </c>
      <c r="AO36">
        <f t="shared" si="8"/>
        <v>0</v>
      </c>
      <c r="AP36">
        <f t="shared" si="8"/>
        <v>0</v>
      </c>
      <c r="AQ36">
        <f t="shared" si="6"/>
        <v>0</v>
      </c>
    </row>
    <row r="37" spans="1:43" x14ac:dyDescent="0.25">
      <c r="A37">
        <v>50</v>
      </c>
      <c r="B37">
        <v>0</v>
      </c>
      <c r="C37" s="11">
        <v>50</v>
      </c>
      <c r="D37" s="12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3">
        <v>2</v>
      </c>
      <c r="R37" s="13">
        <v>1</v>
      </c>
      <c r="S37" s="14"/>
      <c r="T37" s="14"/>
      <c r="U37" s="14"/>
      <c r="V37" s="14"/>
      <c r="W37">
        <f t="shared" si="4"/>
        <v>3</v>
      </c>
      <c r="X37">
        <f t="shared" si="5"/>
        <v>0</v>
      </c>
      <c r="Y37">
        <f t="shared" si="5"/>
        <v>0</v>
      </c>
      <c r="Z37">
        <f t="shared" si="5"/>
        <v>0</v>
      </c>
      <c r="AA37">
        <f t="shared" si="5"/>
        <v>0</v>
      </c>
      <c r="AB37">
        <f t="shared" si="8"/>
        <v>0</v>
      </c>
      <c r="AC37">
        <f t="shared" si="8"/>
        <v>0</v>
      </c>
      <c r="AD37">
        <f t="shared" si="8"/>
        <v>0</v>
      </c>
      <c r="AE37">
        <f t="shared" si="8"/>
        <v>0</v>
      </c>
      <c r="AF37">
        <f t="shared" si="8"/>
        <v>0</v>
      </c>
      <c r="AG37">
        <f t="shared" si="8"/>
        <v>0</v>
      </c>
      <c r="AH37">
        <f t="shared" si="8"/>
        <v>0</v>
      </c>
      <c r="AI37">
        <f t="shared" si="8"/>
        <v>0</v>
      </c>
      <c r="AJ37">
        <f t="shared" si="8"/>
        <v>0</v>
      </c>
      <c r="AK37">
        <f t="shared" si="8"/>
        <v>0</v>
      </c>
      <c r="AL37">
        <f t="shared" si="8"/>
        <v>0</v>
      </c>
      <c r="AM37">
        <f t="shared" si="8"/>
        <v>0</v>
      </c>
      <c r="AN37">
        <f t="shared" si="8"/>
        <v>0</v>
      </c>
      <c r="AO37">
        <f t="shared" si="8"/>
        <v>0</v>
      </c>
      <c r="AP37">
        <f t="shared" si="8"/>
        <v>0</v>
      </c>
      <c r="AQ37">
        <f t="shared" si="6"/>
        <v>0</v>
      </c>
    </row>
    <row r="38" spans="1:43" x14ac:dyDescent="0.25">
      <c r="A38">
        <v>51</v>
      </c>
      <c r="B38">
        <v>0</v>
      </c>
      <c r="C38" s="11">
        <v>51</v>
      </c>
      <c r="D38" s="12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3">
        <v>1</v>
      </c>
      <c r="R38" s="14"/>
      <c r="S38" s="13">
        <v>1</v>
      </c>
      <c r="T38" s="14"/>
      <c r="U38" s="14"/>
      <c r="V38" s="14"/>
      <c r="W38">
        <f t="shared" si="4"/>
        <v>2</v>
      </c>
      <c r="X38">
        <f t="shared" si="5"/>
        <v>0</v>
      </c>
      <c r="Y38">
        <f t="shared" si="5"/>
        <v>0</v>
      </c>
      <c r="Z38">
        <f t="shared" si="5"/>
        <v>0</v>
      </c>
      <c r="AA38">
        <f t="shared" si="5"/>
        <v>0</v>
      </c>
      <c r="AB38">
        <f t="shared" si="8"/>
        <v>0</v>
      </c>
      <c r="AC38">
        <f t="shared" si="8"/>
        <v>0</v>
      </c>
      <c r="AD38">
        <f t="shared" si="8"/>
        <v>0</v>
      </c>
      <c r="AE38">
        <f t="shared" si="8"/>
        <v>0</v>
      </c>
      <c r="AF38">
        <f t="shared" si="8"/>
        <v>0</v>
      </c>
      <c r="AG38">
        <f t="shared" si="8"/>
        <v>0</v>
      </c>
      <c r="AH38">
        <f t="shared" si="8"/>
        <v>0</v>
      </c>
      <c r="AI38">
        <f t="shared" si="8"/>
        <v>0</v>
      </c>
      <c r="AJ38">
        <f t="shared" si="8"/>
        <v>0</v>
      </c>
      <c r="AK38">
        <f t="shared" si="8"/>
        <v>0</v>
      </c>
      <c r="AL38">
        <f t="shared" si="8"/>
        <v>0</v>
      </c>
      <c r="AM38">
        <f t="shared" si="8"/>
        <v>0</v>
      </c>
      <c r="AN38">
        <f t="shared" si="8"/>
        <v>0</v>
      </c>
      <c r="AO38">
        <f t="shared" si="8"/>
        <v>0</v>
      </c>
      <c r="AP38">
        <f t="shared" si="8"/>
        <v>0</v>
      </c>
      <c r="AQ38">
        <f t="shared" si="6"/>
        <v>0</v>
      </c>
    </row>
    <row r="39" spans="1:43" x14ac:dyDescent="0.25">
      <c r="A39">
        <v>52</v>
      </c>
      <c r="B39">
        <v>0</v>
      </c>
      <c r="C39" s="11">
        <v>52</v>
      </c>
      <c r="D39" s="12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3">
        <v>1</v>
      </c>
      <c r="T39" s="14"/>
      <c r="U39" s="14"/>
      <c r="V39" s="14"/>
      <c r="W39">
        <f t="shared" si="4"/>
        <v>1</v>
      </c>
      <c r="X39">
        <f t="shared" si="5"/>
        <v>0</v>
      </c>
      <c r="Y39">
        <f t="shared" si="5"/>
        <v>0</v>
      </c>
      <c r="Z39">
        <f t="shared" si="5"/>
        <v>0</v>
      </c>
      <c r="AA39">
        <f t="shared" si="5"/>
        <v>0</v>
      </c>
      <c r="AB39">
        <f t="shared" si="8"/>
        <v>0</v>
      </c>
      <c r="AC39">
        <f t="shared" si="8"/>
        <v>0</v>
      </c>
      <c r="AD39">
        <f t="shared" si="8"/>
        <v>0</v>
      </c>
      <c r="AE39">
        <f t="shared" si="8"/>
        <v>0</v>
      </c>
      <c r="AF39">
        <f t="shared" si="8"/>
        <v>0</v>
      </c>
      <c r="AG39">
        <f t="shared" si="8"/>
        <v>0</v>
      </c>
      <c r="AH39">
        <f t="shared" si="8"/>
        <v>0</v>
      </c>
      <c r="AI39">
        <f t="shared" si="8"/>
        <v>0</v>
      </c>
      <c r="AJ39">
        <f t="shared" si="8"/>
        <v>0</v>
      </c>
      <c r="AK39">
        <f t="shared" si="8"/>
        <v>0</v>
      </c>
      <c r="AL39">
        <f t="shared" si="8"/>
        <v>0</v>
      </c>
      <c r="AM39">
        <f t="shared" si="8"/>
        <v>0</v>
      </c>
      <c r="AN39">
        <f t="shared" si="8"/>
        <v>0</v>
      </c>
      <c r="AO39">
        <f t="shared" si="8"/>
        <v>0</v>
      </c>
      <c r="AP39">
        <f t="shared" si="8"/>
        <v>0</v>
      </c>
      <c r="AQ39">
        <f t="shared" si="6"/>
        <v>0</v>
      </c>
    </row>
    <row r="40" spans="1:43" x14ac:dyDescent="0.25">
      <c r="A40">
        <v>53</v>
      </c>
      <c r="B40">
        <v>0</v>
      </c>
      <c r="C40" s="11">
        <v>53</v>
      </c>
      <c r="D40" s="12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3">
        <v>2</v>
      </c>
      <c r="R40" s="14"/>
      <c r="S40" s="14"/>
      <c r="T40" s="14"/>
      <c r="U40" s="14"/>
      <c r="V40" s="14"/>
      <c r="W40">
        <v>2</v>
      </c>
      <c r="X40">
        <f t="shared" si="5"/>
        <v>0</v>
      </c>
      <c r="Y40">
        <f t="shared" si="5"/>
        <v>0</v>
      </c>
      <c r="Z40">
        <f t="shared" si="5"/>
        <v>0</v>
      </c>
      <c r="AA40">
        <f t="shared" si="5"/>
        <v>0</v>
      </c>
      <c r="AB40">
        <f t="shared" si="8"/>
        <v>0</v>
      </c>
      <c r="AC40">
        <f t="shared" si="8"/>
        <v>0</v>
      </c>
      <c r="AD40">
        <f t="shared" si="8"/>
        <v>0</v>
      </c>
      <c r="AE40">
        <f t="shared" si="8"/>
        <v>0</v>
      </c>
      <c r="AF40">
        <f t="shared" si="8"/>
        <v>0</v>
      </c>
      <c r="AG40">
        <f t="shared" si="8"/>
        <v>0</v>
      </c>
      <c r="AH40">
        <f t="shared" si="8"/>
        <v>0</v>
      </c>
      <c r="AI40">
        <f t="shared" si="8"/>
        <v>0</v>
      </c>
      <c r="AJ40">
        <f t="shared" si="8"/>
        <v>0</v>
      </c>
      <c r="AK40">
        <f t="shared" si="8"/>
        <v>0</v>
      </c>
      <c r="AL40">
        <f t="shared" si="8"/>
        <v>0</v>
      </c>
      <c r="AM40">
        <f t="shared" si="8"/>
        <v>0</v>
      </c>
      <c r="AN40">
        <f t="shared" si="8"/>
        <v>0</v>
      </c>
      <c r="AO40">
        <f t="shared" si="8"/>
        <v>0</v>
      </c>
      <c r="AP40">
        <f t="shared" si="8"/>
        <v>0</v>
      </c>
      <c r="AQ40">
        <f t="shared" si="6"/>
        <v>0</v>
      </c>
    </row>
    <row r="41" spans="1:43" x14ac:dyDescent="0.25">
      <c r="A41">
        <v>54</v>
      </c>
      <c r="B41">
        <v>0</v>
      </c>
      <c r="C41" s="11">
        <v>54</v>
      </c>
      <c r="D41" s="12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3">
        <v>1</v>
      </c>
      <c r="W41">
        <f>SUM(E41:V41)</f>
        <v>1</v>
      </c>
      <c r="X41">
        <f t="shared" si="5"/>
        <v>0</v>
      </c>
      <c r="Y41">
        <f t="shared" si="5"/>
        <v>0</v>
      </c>
      <c r="Z41">
        <f t="shared" si="5"/>
        <v>0</v>
      </c>
      <c r="AA41">
        <f t="shared" si="5"/>
        <v>0</v>
      </c>
      <c r="AB41">
        <f t="shared" si="8"/>
        <v>0</v>
      </c>
      <c r="AC41">
        <f t="shared" si="8"/>
        <v>0</v>
      </c>
      <c r="AD41">
        <f t="shared" si="8"/>
        <v>0</v>
      </c>
      <c r="AE41">
        <f t="shared" si="8"/>
        <v>0</v>
      </c>
      <c r="AF41">
        <f t="shared" si="8"/>
        <v>0</v>
      </c>
      <c r="AG41">
        <f t="shared" si="8"/>
        <v>0</v>
      </c>
      <c r="AH41">
        <f t="shared" si="8"/>
        <v>0</v>
      </c>
      <c r="AI41">
        <f t="shared" si="8"/>
        <v>0</v>
      </c>
      <c r="AJ41">
        <f t="shared" si="8"/>
        <v>0</v>
      </c>
      <c r="AK41">
        <f t="shared" si="8"/>
        <v>0</v>
      </c>
      <c r="AL41">
        <f t="shared" si="8"/>
        <v>0</v>
      </c>
      <c r="AM41">
        <f t="shared" si="8"/>
        <v>0</v>
      </c>
      <c r="AN41">
        <f t="shared" si="8"/>
        <v>0</v>
      </c>
      <c r="AO41">
        <f t="shared" si="8"/>
        <v>0</v>
      </c>
      <c r="AP41">
        <f t="shared" si="8"/>
        <v>0</v>
      </c>
      <c r="AQ41">
        <f t="shared" si="6"/>
        <v>0</v>
      </c>
    </row>
    <row r="42" spans="1:43" ht="15.75" thickBot="1" x14ac:dyDescent="0.3">
      <c r="A42">
        <v>55</v>
      </c>
      <c r="B42">
        <v>0</v>
      </c>
      <c r="C42" s="15">
        <v>55</v>
      </c>
      <c r="D42" s="1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3">
        <v>1</v>
      </c>
      <c r="T42" s="14"/>
      <c r="U42" s="14"/>
      <c r="V42" s="14"/>
      <c r="W42">
        <f>SUM(E42:V42)</f>
        <v>1</v>
      </c>
      <c r="X42">
        <f t="shared" si="5"/>
        <v>0</v>
      </c>
      <c r="Y42">
        <f t="shared" si="5"/>
        <v>0</v>
      </c>
      <c r="Z42">
        <f t="shared" si="5"/>
        <v>0</v>
      </c>
      <c r="AA42">
        <f t="shared" si="5"/>
        <v>0</v>
      </c>
      <c r="AB42">
        <f t="shared" si="8"/>
        <v>0</v>
      </c>
      <c r="AC42">
        <f t="shared" si="8"/>
        <v>0</v>
      </c>
      <c r="AD42">
        <f t="shared" si="8"/>
        <v>0</v>
      </c>
      <c r="AE42">
        <f t="shared" si="8"/>
        <v>0</v>
      </c>
      <c r="AF42">
        <f t="shared" si="8"/>
        <v>0</v>
      </c>
      <c r="AG42">
        <f t="shared" si="8"/>
        <v>0</v>
      </c>
      <c r="AH42">
        <f t="shared" si="8"/>
        <v>0</v>
      </c>
      <c r="AI42">
        <f t="shared" si="8"/>
        <v>0</v>
      </c>
      <c r="AJ42">
        <f t="shared" si="8"/>
        <v>0</v>
      </c>
      <c r="AK42">
        <f t="shared" si="8"/>
        <v>0</v>
      </c>
      <c r="AL42">
        <f t="shared" si="8"/>
        <v>0</v>
      </c>
      <c r="AM42">
        <f t="shared" si="8"/>
        <v>0</v>
      </c>
      <c r="AN42">
        <f t="shared" si="8"/>
        <v>0</v>
      </c>
      <c r="AO42">
        <f t="shared" si="8"/>
        <v>0</v>
      </c>
      <c r="AP42">
        <f t="shared" si="8"/>
        <v>0</v>
      </c>
      <c r="AQ42">
        <f t="shared" si="6"/>
        <v>0</v>
      </c>
    </row>
    <row r="43" spans="1:43" x14ac:dyDescent="0.25">
      <c r="A43" t="s">
        <v>22</v>
      </c>
      <c r="B43">
        <f>SUM(B2:B42)</f>
        <v>3363.8603020292589</v>
      </c>
      <c r="C43" t="s">
        <v>21</v>
      </c>
      <c r="E43">
        <f t="shared" ref="E43:S43" si="9">SUM(E15:E42)</f>
        <v>43</v>
      </c>
      <c r="F43">
        <f t="shared" si="9"/>
        <v>83</v>
      </c>
      <c r="G43">
        <f t="shared" si="9"/>
        <v>46</v>
      </c>
      <c r="H43">
        <f t="shared" si="9"/>
        <v>22</v>
      </c>
      <c r="I43">
        <f t="shared" si="9"/>
        <v>35</v>
      </c>
      <c r="J43">
        <f t="shared" si="9"/>
        <v>47</v>
      </c>
      <c r="K43">
        <f t="shared" si="9"/>
        <v>20</v>
      </c>
      <c r="L43">
        <f t="shared" si="9"/>
        <v>8</v>
      </c>
      <c r="M43">
        <f t="shared" si="9"/>
        <v>9</v>
      </c>
      <c r="N43">
        <f t="shared" si="9"/>
        <v>4</v>
      </c>
      <c r="O43">
        <f t="shared" si="9"/>
        <v>2</v>
      </c>
      <c r="P43">
        <f t="shared" si="9"/>
        <v>1</v>
      </c>
      <c r="Q43">
        <f t="shared" si="9"/>
        <v>8</v>
      </c>
      <c r="R43">
        <f t="shared" si="9"/>
        <v>3</v>
      </c>
      <c r="S43">
        <f t="shared" si="9"/>
        <v>6</v>
      </c>
      <c r="V43">
        <f>SUM(V15:V42)</f>
        <v>1</v>
      </c>
      <c r="W43" s="1">
        <f>SUM(W15:W42)</f>
        <v>338</v>
      </c>
      <c r="X43">
        <f>SUM(X4:X42)</f>
        <v>176.91672099295224</v>
      </c>
      <c r="Y43">
        <f t="shared" ref="Y43:AQ43" si="10">SUM(Y4:Y42)</f>
        <v>1621.0056996335043</v>
      </c>
      <c r="Z43">
        <f t="shared" si="10"/>
        <v>1296.1771961951385</v>
      </c>
      <c r="AA43">
        <f t="shared" si="10"/>
        <v>239.3084113452112</v>
      </c>
      <c r="AB43">
        <f t="shared" si="10"/>
        <v>28.442688047166421</v>
      </c>
      <c r="AC43">
        <f t="shared" si="10"/>
        <v>1.4416629406152137</v>
      </c>
      <c r="AD43">
        <f t="shared" si="10"/>
        <v>0.26503067484662579</v>
      </c>
      <c r="AE43">
        <f t="shared" si="10"/>
        <v>0.1135845749342682</v>
      </c>
      <c r="AF43">
        <f t="shared" si="10"/>
        <v>0.18930762489044697</v>
      </c>
      <c r="AG43">
        <f t="shared" si="10"/>
        <v>0</v>
      </c>
      <c r="AH43">
        <f t="shared" si="10"/>
        <v>0</v>
      </c>
      <c r="AI43">
        <f t="shared" si="10"/>
        <v>0</v>
      </c>
      <c r="AJ43">
        <f t="shared" si="10"/>
        <v>0</v>
      </c>
      <c r="AK43">
        <f t="shared" si="10"/>
        <v>0</v>
      </c>
      <c r="AL43">
        <f t="shared" si="10"/>
        <v>0</v>
      </c>
      <c r="AM43">
        <f t="shared" si="10"/>
        <v>0</v>
      </c>
      <c r="AN43">
        <f t="shared" si="10"/>
        <v>0</v>
      </c>
      <c r="AO43">
        <f t="shared" si="10"/>
        <v>0</v>
      </c>
      <c r="AP43">
        <f t="shared" si="10"/>
        <v>0</v>
      </c>
      <c r="AQ43">
        <f t="shared" si="10"/>
        <v>3363.8603020292589</v>
      </c>
    </row>
    <row r="44" spans="1:43" s="16" customForma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zoomScale="80" zoomScaleNormal="80" workbookViewId="0">
      <selection activeCell="S21" sqref="S21"/>
    </sheetView>
  </sheetViews>
  <sheetFormatPr defaultRowHeight="15" x14ac:dyDescent="0.25"/>
  <sheetData>
    <row r="1" spans="1:8" x14ac:dyDescent="0.25">
      <c r="A1" t="s">
        <v>27</v>
      </c>
      <c r="C1" t="s">
        <v>30</v>
      </c>
      <c r="D1" t="s">
        <v>28</v>
      </c>
      <c r="E1" t="s">
        <v>29</v>
      </c>
      <c r="F1" t="s">
        <v>31</v>
      </c>
      <c r="G1" t="s">
        <v>32</v>
      </c>
      <c r="H1" t="s">
        <v>33</v>
      </c>
    </row>
    <row r="2" spans="1:8" x14ac:dyDescent="0.25">
      <c r="A2" t="s">
        <v>2</v>
      </c>
      <c r="B2">
        <v>2</v>
      </c>
      <c r="C2">
        <v>0</v>
      </c>
      <c r="D2">
        <v>0</v>
      </c>
      <c r="E2">
        <v>0</v>
      </c>
      <c r="F2">
        <v>296.26693285482753</v>
      </c>
      <c r="G2">
        <v>323.5182888482467</v>
      </c>
      <c r="H2">
        <v>176.91672099295224</v>
      </c>
    </row>
    <row r="3" spans="1:8" x14ac:dyDescent="0.25">
      <c r="A3" t="s">
        <v>3</v>
      </c>
      <c r="B3">
        <v>3</v>
      </c>
      <c r="C3">
        <v>28.370353008014945</v>
      </c>
      <c r="D3">
        <v>71.357056073409538</v>
      </c>
      <c r="E3">
        <v>30.407131351221523</v>
      </c>
      <c r="F3">
        <v>9855.8899262801642</v>
      </c>
      <c r="G3">
        <v>2588.3704223441732</v>
      </c>
      <c r="H3">
        <v>1621.0056996335043</v>
      </c>
    </row>
    <row r="4" spans="1:8" x14ac:dyDescent="0.25">
      <c r="A4" t="s">
        <v>4</v>
      </c>
      <c r="B4">
        <v>4</v>
      </c>
      <c r="C4">
        <v>181.78342524595135</v>
      </c>
      <c r="D4">
        <v>239.21302553342821</v>
      </c>
      <c r="E4">
        <v>139.59462334294736</v>
      </c>
      <c r="F4">
        <v>7309.6674307014009</v>
      </c>
      <c r="G4">
        <v>1754.1403498715767</v>
      </c>
      <c r="H4">
        <v>1296.1771961951385</v>
      </c>
    </row>
    <row r="5" spans="1:8" x14ac:dyDescent="0.25">
      <c r="A5" t="s">
        <v>5</v>
      </c>
      <c r="B5">
        <v>5</v>
      </c>
      <c r="C5">
        <v>784.6473902650373</v>
      </c>
      <c r="D5">
        <v>1743.5098511764345</v>
      </c>
      <c r="E5">
        <v>1342.9760729517429</v>
      </c>
      <c r="F5">
        <v>2501.6453563191194</v>
      </c>
      <c r="G5">
        <v>300.26169939157751</v>
      </c>
      <c r="H5">
        <v>239.3084113452112</v>
      </c>
    </row>
    <row r="6" spans="1:8" x14ac:dyDescent="0.25">
      <c r="A6" t="s">
        <v>6</v>
      </c>
      <c r="B6">
        <v>6</v>
      </c>
      <c r="C6">
        <v>1251.7036599974299</v>
      </c>
      <c r="D6">
        <v>2746.5249415949929</v>
      </c>
      <c r="E6">
        <v>2200.6957489583911</v>
      </c>
      <c r="F6">
        <v>959.97755991216093</v>
      </c>
      <c r="G6">
        <v>93.428630355722674</v>
      </c>
      <c r="H6">
        <v>28.442688047166421</v>
      </c>
    </row>
    <row r="7" spans="1:8" x14ac:dyDescent="0.25">
      <c r="A7" t="s">
        <v>7</v>
      </c>
      <c r="B7">
        <v>7</v>
      </c>
      <c r="C7">
        <v>914.38494498047135</v>
      </c>
      <c r="D7">
        <v>2850.9544904732743</v>
      </c>
      <c r="E7">
        <v>1500.5674879281826</v>
      </c>
      <c r="F7">
        <v>615.14131909035075</v>
      </c>
      <c r="G7">
        <v>37.04234343405129</v>
      </c>
      <c r="H7">
        <v>1.4416629406152137</v>
      </c>
    </row>
    <row r="8" spans="1:8" x14ac:dyDescent="0.25">
      <c r="A8" t="s">
        <v>8</v>
      </c>
      <c r="B8">
        <v>8</v>
      </c>
      <c r="C8">
        <v>408.70918637530644</v>
      </c>
      <c r="D8">
        <v>1191.049157797509</v>
      </c>
      <c r="E8">
        <v>670.55524805060077</v>
      </c>
      <c r="F8">
        <v>70.495651315505143</v>
      </c>
      <c r="G8">
        <v>13.199077057982826</v>
      </c>
      <c r="H8">
        <v>0.26503067484662579</v>
      </c>
    </row>
    <row r="9" spans="1:8" x14ac:dyDescent="0.25">
      <c r="A9" t="s">
        <v>9</v>
      </c>
      <c r="B9">
        <v>9</v>
      </c>
      <c r="C9">
        <v>254.16656371792482</v>
      </c>
      <c r="D9">
        <v>537.79698158332201</v>
      </c>
      <c r="E9">
        <v>263.36936060867902</v>
      </c>
      <c r="F9">
        <v>14.949291381685576</v>
      </c>
      <c r="G9">
        <v>17.231458120540101</v>
      </c>
      <c r="H9">
        <v>0.1135845749342682</v>
      </c>
    </row>
    <row r="10" spans="1:8" x14ac:dyDescent="0.25">
      <c r="A10" t="s">
        <v>10</v>
      </c>
      <c r="B10">
        <v>10</v>
      </c>
      <c r="C10">
        <v>106.37951863756975</v>
      </c>
      <c r="D10">
        <v>339.18409769344424</v>
      </c>
      <c r="E10">
        <v>77.1307638010679</v>
      </c>
      <c r="F10">
        <v>1.4594219340896812</v>
      </c>
      <c r="G10">
        <v>1.2377171513152194</v>
      </c>
      <c r="H10">
        <v>0.18930762489044697</v>
      </c>
    </row>
    <row r="11" spans="1:8" x14ac:dyDescent="0.25">
      <c r="A11" t="s">
        <v>11</v>
      </c>
      <c r="B11">
        <v>11</v>
      </c>
      <c r="C11">
        <v>75.201726917857599</v>
      </c>
      <c r="D11">
        <v>172.69193936045681</v>
      </c>
      <c r="E11">
        <v>85.85127269074718</v>
      </c>
      <c r="F11">
        <v>0</v>
      </c>
      <c r="G11">
        <v>2.7776306452905208</v>
      </c>
      <c r="H11">
        <v>0</v>
      </c>
    </row>
    <row r="12" spans="1:8" x14ac:dyDescent="0.25">
      <c r="A12" t="s">
        <v>12</v>
      </c>
      <c r="B12">
        <v>12</v>
      </c>
      <c r="C12">
        <v>67.005482673289606</v>
      </c>
      <c r="D12">
        <v>155.72778453526684</v>
      </c>
      <c r="E12">
        <v>29.201705284572924</v>
      </c>
      <c r="F12">
        <v>0</v>
      </c>
      <c r="G12">
        <v>0.93552080865513698</v>
      </c>
      <c r="H12">
        <v>0</v>
      </c>
    </row>
    <row r="13" spans="1:8" x14ac:dyDescent="0.25">
      <c r="A13" t="s">
        <v>13</v>
      </c>
      <c r="B13">
        <v>13</v>
      </c>
      <c r="C13">
        <v>53.166512483389042</v>
      </c>
      <c r="D13">
        <v>80.908348981046885</v>
      </c>
      <c r="E13">
        <v>9.7794578344003575</v>
      </c>
      <c r="F13">
        <v>0</v>
      </c>
      <c r="G13">
        <v>0</v>
      </c>
      <c r="H13">
        <v>0</v>
      </c>
    </row>
    <row r="14" spans="1:8" x14ac:dyDescent="0.25">
      <c r="A14" t="s">
        <v>14</v>
      </c>
      <c r="B14">
        <v>14</v>
      </c>
      <c r="C14">
        <v>19.675663190268928</v>
      </c>
      <c r="D14">
        <v>19.819344536534604</v>
      </c>
      <c r="E14">
        <v>3.5785805027531876</v>
      </c>
      <c r="F14">
        <v>0</v>
      </c>
      <c r="G14">
        <v>0</v>
      </c>
      <c r="H14">
        <v>0</v>
      </c>
    </row>
    <row r="15" spans="1:8" x14ac:dyDescent="0.25">
      <c r="A15" t="s">
        <v>15</v>
      </c>
      <c r="B15">
        <v>15</v>
      </c>
      <c r="C15">
        <v>25.233064897002542</v>
      </c>
      <c r="D15">
        <v>59.144719415369686</v>
      </c>
      <c r="E15">
        <v>12.31523751048363</v>
      </c>
      <c r="F15">
        <v>0</v>
      </c>
      <c r="G15">
        <v>0</v>
      </c>
      <c r="H15">
        <v>0</v>
      </c>
    </row>
    <row r="16" spans="1:8" x14ac:dyDescent="0.25">
      <c r="A16" t="s">
        <v>16</v>
      </c>
      <c r="B16">
        <v>16</v>
      </c>
      <c r="C16">
        <v>20.901561080001848</v>
      </c>
      <c r="D16">
        <v>63.166969874277626</v>
      </c>
      <c r="E16">
        <v>3.7119665835660589</v>
      </c>
      <c r="F16">
        <v>0</v>
      </c>
      <c r="G16">
        <v>0</v>
      </c>
      <c r="H16">
        <v>0</v>
      </c>
    </row>
    <row r="17" spans="1:8" x14ac:dyDescent="0.25">
      <c r="A17" t="s">
        <v>17</v>
      </c>
      <c r="B17">
        <v>17</v>
      </c>
      <c r="C17">
        <v>9.9759531733455749</v>
      </c>
      <c r="D17">
        <v>32.509987542097221</v>
      </c>
      <c r="E17">
        <v>7.992136865712931</v>
      </c>
      <c r="F17">
        <v>0</v>
      </c>
      <c r="G17">
        <v>0</v>
      </c>
      <c r="H17">
        <v>0</v>
      </c>
    </row>
    <row r="18" spans="1:8" x14ac:dyDescent="0.25">
      <c r="A18" t="s">
        <v>18</v>
      </c>
      <c r="B18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19</v>
      </c>
      <c r="B19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20</v>
      </c>
      <c r="B20">
        <v>20</v>
      </c>
      <c r="C20">
        <v>0.25688893400835983</v>
      </c>
      <c r="D20">
        <v>0</v>
      </c>
      <c r="E20">
        <v>1.1689662042891769</v>
      </c>
      <c r="F20">
        <v>0</v>
      </c>
      <c r="G20">
        <v>0</v>
      </c>
      <c r="H2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LEN raised</vt:lpstr>
      <vt:lpstr>ALK raised</vt:lpstr>
      <vt:lpstr>mei</vt:lpstr>
      <vt:lpstr>jun</vt:lpstr>
      <vt:lpstr>jul</vt:lpstr>
      <vt:lpstr>aug</vt:lpstr>
      <vt:lpstr>sep</vt:lpstr>
      <vt:lpstr>okt</vt:lpstr>
      <vt:lpstr>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Eigenaar</dc:creator>
  <cp:lastModifiedBy>Tien, Nicola</cp:lastModifiedBy>
  <dcterms:created xsi:type="dcterms:W3CDTF">2014-11-20T10:10:44Z</dcterms:created>
  <dcterms:modified xsi:type="dcterms:W3CDTF">2022-06-13T12:06:16Z</dcterms:modified>
</cp:coreProperties>
</file>