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niels_hintzen_wur_nl/Documents/SPRFMOdata/input/older Data submission/translation nicola/nederland_eu wrs/"/>
    </mc:Choice>
  </mc:AlternateContent>
  <xr:revisionPtr revIDLastSave="22" documentId="11_6AFBFEBEFCAE294380E9D58D4A87CECCCB8739C4" xr6:coauthVersionLast="46" xr6:coauthVersionMax="46" xr10:uidLastSave="{15ABC7E7-1D4E-4F24-9FB0-FF9B21F2FFC7}"/>
  <bookViews>
    <workbookView xWindow="-110" yWindow="-110" windowWidth="19420" windowHeight="10420" activeTab="1" xr2:uid="{00000000-000D-0000-FFFF-FFFF00000000}"/>
  </bookViews>
  <sheets>
    <sheet name="abs. numbers" sheetId="2" r:id="rId1"/>
    <sheet name="2010 EU" sheetId="7" r:id="rId2"/>
    <sheet name="2011 EU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53" i="7" l="1"/>
  <c r="X54" i="8"/>
  <c r="X54" i="7"/>
  <c r="W37" i="8" l="1"/>
  <c r="W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2" i="8"/>
  <c r="AS51" i="8"/>
  <c r="AR51" i="8"/>
  <c r="AQ51" i="8"/>
  <c r="AP51" i="8"/>
  <c r="AO51" i="8"/>
  <c r="AN51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AS50" i="8"/>
  <c r="AR50" i="8"/>
  <c r="AQ50" i="8"/>
  <c r="AP50" i="8"/>
  <c r="AO50" i="8"/>
  <c r="AN50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AS49" i="8"/>
  <c r="AR49" i="8"/>
  <c r="AQ49" i="8"/>
  <c r="AP49" i="8"/>
  <c r="AO49" i="8"/>
  <c r="AN49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AS48" i="8"/>
  <c r="AR48" i="8"/>
  <c r="AQ48" i="8"/>
  <c r="AP48" i="8"/>
  <c r="AO48" i="8"/>
  <c r="AN48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AS47" i="8"/>
  <c r="AR47" i="8"/>
  <c r="AQ47" i="8"/>
  <c r="AP47" i="8"/>
  <c r="AO47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AS46" i="8"/>
  <c r="AR46" i="8"/>
  <c r="AQ46" i="8"/>
  <c r="AP46" i="8"/>
  <c r="AO46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AS45" i="8"/>
  <c r="AR45" i="8"/>
  <c r="AQ45" i="8"/>
  <c r="AP45" i="8"/>
  <c r="AO45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AS44" i="8"/>
  <c r="AR44" i="8"/>
  <c r="AQ44" i="8"/>
  <c r="AP44" i="8"/>
  <c r="AO44" i="8"/>
  <c r="AN44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AS43" i="8"/>
  <c r="AR43" i="8"/>
  <c r="AQ43" i="8"/>
  <c r="AP43" i="8"/>
  <c r="AO43" i="8"/>
  <c r="AN43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AS42" i="8"/>
  <c r="AR42" i="8"/>
  <c r="AQ42" i="8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AS41" i="8"/>
  <c r="AR41" i="8"/>
  <c r="AQ41" i="8"/>
  <c r="AP41" i="8"/>
  <c r="AO41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AS40" i="8"/>
  <c r="AR40" i="8"/>
  <c r="AQ40" i="8"/>
  <c r="AP40" i="8"/>
  <c r="AO40" i="8"/>
  <c r="AN40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AS39" i="8"/>
  <c r="AR39" i="8"/>
  <c r="AQ39" i="8"/>
  <c r="AP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AS38" i="8"/>
  <c r="AR38" i="8"/>
  <c r="AQ38" i="8"/>
  <c r="AP38" i="8"/>
  <c r="AO38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AS37" i="8"/>
  <c r="AR37" i="8"/>
  <c r="AQ37" i="8"/>
  <c r="AP37" i="8"/>
  <c r="AO37" i="8"/>
  <c r="AN37" i="8"/>
  <c r="AM37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AS36" i="8"/>
  <c r="AR36" i="8"/>
  <c r="AQ36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AS34" i="8"/>
  <c r="AR34" i="8"/>
  <c r="AQ34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AS33" i="8"/>
  <c r="AR33" i="8"/>
  <c r="AQ33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AS30" i="8"/>
  <c r="AR30" i="8"/>
  <c r="AQ30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AS29" i="8"/>
  <c r="AR29" i="8"/>
  <c r="AQ29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Z29" i="8"/>
  <c r="Y29" i="8"/>
  <c r="AS28" i="8"/>
  <c r="AR28" i="8"/>
  <c r="AQ28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AS20" i="8"/>
  <c r="AR20" i="8"/>
  <c r="AQ20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AS11" i="8"/>
  <c r="AR11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AS10" i="8"/>
  <c r="AR10" i="8"/>
  <c r="AQ10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AS9" i="8"/>
  <c r="AR9" i="8"/>
  <c r="AQ9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AS8" i="8"/>
  <c r="AR8" i="8"/>
  <c r="AQ8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AS6" i="8"/>
  <c r="AR6" i="8"/>
  <c r="AQ6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Y2" i="7"/>
  <c r="Z2" i="7"/>
  <c r="Y3" i="7"/>
  <c r="Z3" i="7"/>
  <c r="Y4" i="7"/>
  <c r="Z4" i="7"/>
  <c r="Y5" i="7"/>
  <c r="Y53" i="7" s="1"/>
  <c r="Z5" i="7"/>
  <c r="Y6" i="7"/>
  <c r="Z6" i="7"/>
  <c r="Y7" i="7"/>
  <c r="Z7" i="7"/>
  <c r="Y8" i="7"/>
  <c r="Z8" i="7"/>
  <c r="Y9" i="7"/>
  <c r="Z9" i="7"/>
  <c r="Y10" i="7"/>
  <c r="Z10" i="7"/>
  <c r="Y11" i="7"/>
  <c r="Z11" i="7"/>
  <c r="Y12" i="7"/>
  <c r="Z12" i="7"/>
  <c r="Y13" i="7"/>
  <c r="Z13" i="7"/>
  <c r="Y14" i="7"/>
  <c r="Z14" i="7"/>
  <c r="Y15" i="7"/>
  <c r="Z15" i="7"/>
  <c r="Y16" i="7"/>
  <c r="Z16" i="7"/>
  <c r="Y17" i="7"/>
  <c r="Z17" i="7"/>
  <c r="Y18" i="7"/>
  <c r="Z18" i="7"/>
  <c r="Y19" i="7"/>
  <c r="Z19" i="7"/>
  <c r="Y20" i="7"/>
  <c r="Z20" i="7"/>
  <c r="Y21" i="7"/>
  <c r="Z21" i="7"/>
  <c r="Y22" i="7"/>
  <c r="Z22" i="7"/>
  <c r="Y23" i="7"/>
  <c r="Z23" i="7"/>
  <c r="Y24" i="7"/>
  <c r="Z24" i="7"/>
  <c r="Y25" i="7"/>
  <c r="Z25" i="7"/>
  <c r="Y26" i="7"/>
  <c r="Z26" i="7"/>
  <c r="Y27" i="7"/>
  <c r="Z27" i="7"/>
  <c r="Y28" i="7"/>
  <c r="Z28" i="7"/>
  <c r="Y29" i="7"/>
  <c r="Z29" i="7"/>
  <c r="Y30" i="7"/>
  <c r="Z30" i="7"/>
  <c r="Y31" i="7"/>
  <c r="Z31" i="7"/>
  <c r="Y32" i="7"/>
  <c r="Z32" i="7"/>
  <c r="Y33" i="7"/>
  <c r="Z33" i="7"/>
  <c r="Y34" i="7"/>
  <c r="Z34" i="7"/>
  <c r="Y35" i="7"/>
  <c r="Z35" i="7"/>
  <c r="Y36" i="7"/>
  <c r="Z36" i="7"/>
  <c r="Y37" i="7"/>
  <c r="Z37" i="7"/>
  <c r="Y38" i="7"/>
  <c r="Z38" i="7"/>
  <c r="Y39" i="7"/>
  <c r="Z39" i="7"/>
  <c r="Y40" i="7"/>
  <c r="Z40" i="7"/>
  <c r="Y41" i="7"/>
  <c r="Z41" i="7"/>
  <c r="Y42" i="7"/>
  <c r="Z42" i="7"/>
  <c r="Y43" i="7"/>
  <c r="Z43" i="7"/>
  <c r="Y44" i="7"/>
  <c r="Z44" i="7"/>
  <c r="Y45" i="7"/>
  <c r="Z45" i="7"/>
  <c r="Y46" i="7"/>
  <c r="Z46" i="7"/>
  <c r="Y47" i="7"/>
  <c r="Z47" i="7"/>
  <c r="Y48" i="7"/>
  <c r="Z48" i="7"/>
  <c r="Y49" i="7"/>
  <c r="Z49" i="7"/>
  <c r="Y50" i="7"/>
  <c r="Z50" i="7"/>
  <c r="Y51" i="7"/>
  <c r="Z51" i="7"/>
  <c r="AA2" i="7"/>
  <c r="AB2" i="7"/>
  <c r="AC2" i="7"/>
  <c r="AC53" i="7" s="1"/>
  <c r="AD2" i="7"/>
  <c r="AE2" i="7"/>
  <c r="AE53" i="7" s="1"/>
  <c r="AF2" i="7"/>
  <c r="AF53" i="7" s="1"/>
  <c r="AG2" i="7"/>
  <c r="AH2" i="7"/>
  <c r="AI2" i="7"/>
  <c r="AJ2" i="7"/>
  <c r="AK2" i="7"/>
  <c r="AK53" i="7" s="1"/>
  <c r="AL2" i="7"/>
  <c r="AM2" i="7"/>
  <c r="AM53" i="7" s="1"/>
  <c r="AN2" i="7"/>
  <c r="AN53" i="7" s="1"/>
  <c r="AO2" i="7"/>
  <c r="AP2" i="7"/>
  <c r="AQ2" i="7"/>
  <c r="AR2" i="7"/>
  <c r="AS2" i="7"/>
  <c r="AS53" i="7" s="1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W2" i="7"/>
  <c r="W3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AS51" i="7"/>
  <c r="AR51" i="7"/>
  <c r="AQ51" i="7"/>
  <c r="AP51" i="7"/>
  <c r="AO51" i="7"/>
  <c r="AN51" i="7"/>
  <c r="AM51" i="7"/>
  <c r="AL51" i="7"/>
  <c r="AK51" i="7"/>
  <c r="AJ51" i="7"/>
  <c r="AI51" i="7"/>
  <c r="AH51" i="7"/>
  <c r="AG51" i="7"/>
  <c r="AF51" i="7"/>
  <c r="AE51" i="7"/>
  <c r="AD51" i="7"/>
  <c r="AC51" i="7"/>
  <c r="AB51" i="7"/>
  <c r="AA51" i="7"/>
  <c r="AS50" i="7"/>
  <c r="AR50" i="7"/>
  <c r="AQ50" i="7"/>
  <c r="AP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AS49" i="7"/>
  <c r="AR49" i="7"/>
  <c r="AQ49" i="7"/>
  <c r="AP49" i="7"/>
  <c r="AO49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AS48" i="7"/>
  <c r="AR48" i="7"/>
  <c r="AQ48" i="7"/>
  <c r="AP48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AS47" i="7"/>
  <c r="AR47" i="7"/>
  <c r="AQ47" i="7"/>
  <c r="AP47" i="7"/>
  <c r="AO47" i="7"/>
  <c r="AN47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AS46" i="7"/>
  <c r="AR46" i="7"/>
  <c r="AQ46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AS45" i="7"/>
  <c r="AR45" i="7"/>
  <c r="AQ45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AS44" i="7"/>
  <c r="AR44" i="7"/>
  <c r="AQ44" i="7"/>
  <c r="AP44" i="7"/>
  <c r="AO44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AS43" i="7"/>
  <c r="AR43" i="7"/>
  <c r="AQ43" i="7"/>
  <c r="AP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AS41" i="7"/>
  <c r="AR41" i="7"/>
  <c r="AQ41" i="7"/>
  <c r="AP41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AS40" i="7"/>
  <c r="AR40" i="7"/>
  <c r="AQ40" i="7"/>
  <c r="AP40" i="7"/>
  <c r="AO40" i="7"/>
  <c r="AN40" i="7"/>
  <c r="AM40" i="7"/>
  <c r="AL40" i="7"/>
  <c r="AK40" i="7"/>
  <c r="AJ40" i="7"/>
  <c r="AI40" i="7"/>
  <c r="AH40" i="7"/>
  <c r="AG40" i="7"/>
  <c r="AF40" i="7"/>
  <c r="AE40" i="7"/>
  <c r="AD40" i="7"/>
  <c r="AC40" i="7"/>
  <c r="AB40" i="7"/>
  <c r="AA40" i="7"/>
  <c r="AS39" i="7"/>
  <c r="AR39" i="7"/>
  <c r="AQ39" i="7"/>
  <c r="AP39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AS38" i="7"/>
  <c r="AR38" i="7"/>
  <c r="AQ38" i="7"/>
  <c r="AP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4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AA8" i="7"/>
  <c r="H16" i="2"/>
  <c r="X16" i="2"/>
  <c r="D15" i="2"/>
  <c r="J15" i="2"/>
  <c r="L15" i="2"/>
  <c r="R15" i="2"/>
  <c r="T15" i="2"/>
  <c r="Z15" i="2"/>
  <c r="AB15" i="2"/>
  <c r="C15" i="2"/>
  <c r="B16" i="2"/>
  <c r="C16" i="2" s="1"/>
  <c r="B17" i="2"/>
  <c r="D17" i="2" s="1"/>
  <c r="B15" i="2"/>
  <c r="E15" i="2" s="1"/>
  <c r="AL53" i="7" l="1"/>
  <c r="AD53" i="7"/>
  <c r="AR53" i="7"/>
  <c r="AJ53" i="7"/>
  <c r="AB53" i="7"/>
  <c r="AQ53" i="7"/>
  <c r="AI53" i="7"/>
  <c r="AA53" i="7"/>
  <c r="AP53" i="7"/>
  <c r="AH53" i="7"/>
  <c r="AO53" i="7"/>
  <c r="AG53" i="7"/>
  <c r="Z53" i="7"/>
  <c r="AF16" i="2"/>
  <c r="AD16" i="2"/>
  <c r="R16" i="2"/>
  <c r="P16" i="2"/>
  <c r="AF15" i="2"/>
  <c r="P15" i="2"/>
  <c r="N16" i="2"/>
  <c r="AD15" i="2"/>
  <c r="N15" i="2"/>
  <c r="AB16" i="2"/>
  <c r="L16" i="2"/>
  <c r="Z16" i="2"/>
  <c r="J16" i="2"/>
  <c r="F16" i="2"/>
  <c r="X15" i="2"/>
  <c r="H15" i="2"/>
  <c r="V16" i="2"/>
  <c r="V15" i="2"/>
  <c r="F15" i="2"/>
  <c r="T16" i="2"/>
  <c r="D16" i="2"/>
  <c r="Z53" i="8"/>
  <c r="AD53" i="8"/>
  <c r="AH53" i="8"/>
  <c r="AL53" i="8"/>
  <c r="AP53" i="8"/>
  <c r="AB53" i="8"/>
  <c r="AF53" i="8"/>
  <c r="AJ53" i="8"/>
  <c r="AN53" i="8"/>
  <c r="AR53" i="8"/>
  <c r="AA53" i="8"/>
  <c r="AE53" i="8"/>
  <c r="AI53" i="8"/>
  <c r="AM53" i="8"/>
  <c r="AQ53" i="8"/>
  <c r="Y53" i="8"/>
  <c r="AC53" i="8"/>
  <c r="AG53" i="8"/>
  <c r="AK53" i="8"/>
  <c r="AO53" i="8"/>
  <c r="AS53" i="8"/>
  <c r="AG17" i="2"/>
  <c r="AE17" i="2"/>
  <c r="AC17" i="2"/>
  <c r="AA17" i="2"/>
  <c r="Y17" i="2"/>
  <c r="W17" i="2"/>
  <c r="U17" i="2"/>
  <c r="S17" i="2"/>
  <c r="Q17" i="2"/>
  <c r="O17" i="2"/>
  <c r="M17" i="2"/>
  <c r="K17" i="2"/>
  <c r="I17" i="2"/>
  <c r="G17" i="2"/>
  <c r="E17" i="2"/>
  <c r="C17" i="2"/>
  <c r="AG15" i="2"/>
  <c r="AE15" i="2"/>
  <c r="AC15" i="2"/>
  <c r="AA15" i="2"/>
  <c r="Y15" i="2"/>
  <c r="W15" i="2"/>
  <c r="U15" i="2"/>
  <c r="S15" i="2"/>
  <c r="Q15" i="2"/>
  <c r="O15" i="2"/>
  <c r="M15" i="2"/>
  <c r="K15" i="2"/>
  <c r="I15" i="2"/>
  <c r="G15" i="2"/>
  <c r="AF17" i="2"/>
  <c r="AD17" i="2"/>
  <c r="AB17" i="2"/>
  <c r="Z17" i="2"/>
  <c r="X17" i="2"/>
  <c r="V17" i="2"/>
  <c r="T17" i="2"/>
  <c r="R17" i="2"/>
  <c r="P17" i="2"/>
  <c r="N17" i="2"/>
  <c r="L17" i="2"/>
  <c r="J17" i="2"/>
  <c r="H17" i="2"/>
  <c r="F17" i="2"/>
  <c r="AG16" i="2"/>
  <c r="AE16" i="2"/>
  <c r="AC16" i="2"/>
  <c r="AA16" i="2"/>
  <c r="Y16" i="2"/>
  <c r="W16" i="2"/>
  <c r="U16" i="2"/>
  <c r="S16" i="2"/>
  <c r="Q16" i="2"/>
  <c r="O16" i="2"/>
  <c r="M16" i="2"/>
  <c r="K16" i="2"/>
  <c r="I16" i="2"/>
  <c r="G16" i="2"/>
  <c r="E16" i="2"/>
  <c r="AH16" i="2" l="1"/>
  <c r="AH15" i="2"/>
  <c r="AT53" i="8"/>
  <c r="AH17" i="2"/>
</calcChain>
</file>

<file path=xl/sharedStrings.xml><?xml version="1.0" encoding="utf-8"?>
<sst xmlns="http://schemas.openxmlformats.org/spreadsheetml/2006/main" count="12" uniqueCount="9">
  <si>
    <t>mean weight</t>
  </si>
  <si>
    <t>LFD</t>
  </si>
  <si>
    <t>catch int. fleet in tons</t>
  </si>
  <si>
    <t>catch int. fleet in numbers * 1000</t>
  </si>
  <si>
    <t xml:space="preserve"> (cm)</t>
  </si>
  <si>
    <t>som</t>
  </si>
  <si>
    <t>thousands</t>
  </si>
  <si>
    <t>individuals? Check</t>
  </si>
  <si>
    <t xml:space="preserve">alles in Q2 aanname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</si>
</sst>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H53"/>
  <sheetViews>
    <sheetView topLeftCell="A19" workbookViewId="0">
      <selection activeCell="B22" sqref="B22"/>
    </sheetView>
  </sheetViews>
  <sheetFormatPr defaultRowHeight="15" x14ac:dyDescent="0.25"/>
  <cols>
    <col min="2" max="2" width="12" bestFit="1" customWidth="1"/>
  </cols>
  <sheetData>
    <row r="3" spans="1:34" x14ac:dyDescent="0.25">
      <c r="B3" t="s">
        <v>1</v>
      </c>
      <c r="C3">
        <v>25</v>
      </c>
      <c r="D3">
        <v>26</v>
      </c>
      <c r="E3">
        <v>27</v>
      </c>
      <c r="F3">
        <v>28</v>
      </c>
      <c r="G3">
        <v>29</v>
      </c>
      <c r="H3">
        <v>30</v>
      </c>
      <c r="I3">
        <v>31</v>
      </c>
      <c r="J3">
        <v>32</v>
      </c>
      <c r="K3">
        <v>33</v>
      </c>
      <c r="L3">
        <v>34</v>
      </c>
      <c r="M3">
        <v>35</v>
      </c>
      <c r="N3">
        <v>36</v>
      </c>
      <c r="O3">
        <v>37</v>
      </c>
      <c r="P3">
        <v>38</v>
      </c>
      <c r="Q3">
        <v>39</v>
      </c>
      <c r="R3">
        <v>40</v>
      </c>
      <c r="S3">
        <v>41</v>
      </c>
      <c r="T3">
        <v>42</v>
      </c>
      <c r="U3">
        <v>43</v>
      </c>
      <c r="V3">
        <v>44</v>
      </c>
      <c r="W3">
        <v>45</v>
      </c>
      <c r="X3">
        <v>46</v>
      </c>
      <c r="Y3">
        <v>47</v>
      </c>
      <c r="Z3">
        <v>48</v>
      </c>
      <c r="AA3">
        <v>49</v>
      </c>
      <c r="AB3">
        <v>50</v>
      </c>
      <c r="AC3">
        <v>51</v>
      </c>
      <c r="AD3">
        <v>52</v>
      </c>
      <c r="AE3">
        <v>53</v>
      </c>
      <c r="AF3">
        <v>54</v>
      </c>
      <c r="AG3">
        <v>55</v>
      </c>
      <c r="AH3" t="s">
        <v>0</v>
      </c>
    </row>
    <row r="4" spans="1:34" x14ac:dyDescent="0.25">
      <c r="A4">
        <v>2007</v>
      </c>
      <c r="C4" s="1">
        <v>0</v>
      </c>
      <c r="D4" s="1">
        <v>1.7022725338326668E-2</v>
      </c>
      <c r="E4" s="1">
        <v>0.42556813345816669</v>
      </c>
      <c r="F4" s="1">
        <v>2.1448633926291603</v>
      </c>
      <c r="G4" s="1">
        <v>4.7748744574006299</v>
      </c>
      <c r="H4" s="1">
        <v>10.102987488296876</v>
      </c>
      <c r="I4" s="1">
        <v>14.077793854796154</v>
      </c>
      <c r="J4" s="1">
        <v>13.89054387607456</v>
      </c>
      <c r="K4" s="1">
        <v>11.84781683547536</v>
      </c>
      <c r="L4" s="1">
        <v>10.741339688484127</v>
      </c>
      <c r="M4" s="1">
        <v>8.9539535279598272</v>
      </c>
      <c r="N4" s="1">
        <v>5.1323516895054899</v>
      </c>
      <c r="O4" s="1">
        <v>4.0854540811983995</v>
      </c>
      <c r="P4" s="1">
        <v>3.2598519022895567</v>
      </c>
      <c r="Q4" s="1">
        <v>2.3831815473657332</v>
      </c>
      <c r="R4" s="1">
        <v>1.9235679632309135</v>
      </c>
      <c r="S4" s="1">
        <v>1.3277725763894799</v>
      </c>
      <c r="T4" s="1">
        <v>1.4128862030811131</v>
      </c>
      <c r="U4" s="1">
        <v>0.99582943229210996</v>
      </c>
      <c r="V4" s="1">
        <v>1.1234998723295599</v>
      </c>
      <c r="W4" s="1">
        <v>0.55323857349561667</v>
      </c>
      <c r="X4" s="1">
        <v>0.27236360541322668</v>
      </c>
      <c r="Y4" s="1">
        <v>0.36598859477402335</v>
      </c>
      <c r="Z4" s="1">
        <v>0.11064771469912332</v>
      </c>
      <c r="AA4" s="1">
        <v>4.2556813345816666E-2</v>
      </c>
      <c r="AB4" s="1">
        <v>2.5534088007490002E-2</v>
      </c>
      <c r="AC4" s="1">
        <v>0</v>
      </c>
      <c r="AD4" s="1">
        <v>0</v>
      </c>
      <c r="AE4" s="1">
        <v>0</v>
      </c>
      <c r="AF4" s="1">
        <v>8.5113626691633339E-3</v>
      </c>
      <c r="AG4" s="1">
        <v>0</v>
      </c>
      <c r="AH4">
        <v>0.44</v>
      </c>
    </row>
    <row r="5" spans="1:34" x14ac:dyDescent="0.25">
      <c r="A5">
        <v>2008</v>
      </c>
      <c r="C5" s="1">
        <v>0</v>
      </c>
      <c r="D5" s="1">
        <v>0</v>
      </c>
      <c r="E5" s="1">
        <v>0</v>
      </c>
      <c r="F5" s="1">
        <v>0</v>
      </c>
      <c r="G5" s="1">
        <v>1.4158289678606824E-2</v>
      </c>
      <c r="H5" s="1">
        <v>0.27608664873283306</v>
      </c>
      <c r="I5" s="1">
        <v>0.65128132521591386</v>
      </c>
      <c r="J5" s="1">
        <v>4.2687243380999575</v>
      </c>
      <c r="K5" s="1">
        <v>12.473453206852612</v>
      </c>
      <c r="L5" s="1">
        <v>14.675067251875973</v>
      </c>
      <c r="M5" s="1">
        <v>12.79909386946057</v>
      </c>
      <c r="N5" s="1">
        <v>11.213365425456605</v>
      </c>
      <c r="O5" s="1">
        <v>9.1250176978620985</v>
      </c>
      <c r="P5" s="1">
        <v>7.2065694464108736</v>
      </c>
      <c r="Q5" s="1">
        <v>6.3358346311765539</v>
      </c>
      <c r="R5" s="1">
        <v>4.799660201047713</v>
      </c>
      <c r="S5" s="1">
        <v>4.035112558402945</v>
      </c>
      <c r="T5" s="1">
        <v>3.1714568880079286</v>
      </c>
      <c r="U5" s="1">
        <v>2.4635424040775877</v>
      </c>
      <c r="V5" s="1">
        <v>2.0600311482372931</v>
      </c>
      <c r="W5" s="1">
        <v>1.4229081126999858</v>
      </c>
      <c r="X5" s="1">
        <v>1.0760300155741187</v>
      </c>
      <c r="Y5" s="1">
        <v>0.84241823587710607</v>
      </c>
      <c r="Z5" s="1">
        <v>0.5096984284298457</v>
      </c>
      <c r="AA5" s="1">
        <v>0.24777006937561941</v>
      </c>
      <c r="AB5" s="1">
        <v>0.16989947614328188</v>
      </c>
      <c r="AC5" s="1">
        <v>0.1132663174288546</v>
      </c>
      <c r="AD5" s="1">
        <v>2.1237434517910235E-2</v>
      </c>
      <c r="AE5" s="1">
        <v>7.0791448393034122E-3</v>
      </c>
      <c r="AF5" s="1">
        <v>1.4158289678606824E-2</v>
      </c>
      <c r="AG5" s="1">
        <v>7.0791448393034122E-3</v>
      </c>
      <c r="AH5">
        <v>0.56999999999999995</v>
      </c>
    </row>
    <row r="6" spans="1:34" x14ac:dyDescent="0.25">
      <c r="A6">
        <v>2009</v>
      </c>
      <c r="C6" s="1">
        <v>0</v>
      </c>
      <c r="D6" s="1">
        <v>1.2713749920539063E-2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6.3568749602695316E-3</v>
      </c>
      <c r="K6" s="1">
        <v>0.64840124594749227</v>
      </c>
      <c r="L6" s="1">
        <v>6.7192168330048947</v>
      </c>
      <c r="M6" s="1">
        <v>15.593414277541159</v>
      </c>
      <c r="N6" s="1">
        <v>15.707838026826012</v>
      </c>
      <c r="O6" s="1">
        <v>12.580255546373403</v>
      </c>
      <c r="P6" s="1">
        <v>10.679549933252813</v>
      </c>
      <c r="Q6" s="1">
        <v>8.4037886974763207</v>
      </c>
      <c r="R6" s="1">
        <v>6.973491831415676</v>
      </c>
      <c r="S6" s="1">
        <v>5.5876930900769182</v>
      </c>
      <c r="T6" s="1">
        <v>4.0493293496916918</v>
      </c>
      <c r="U6" s="1">
        <v>3.3818574788633904</v>
      </c>
      <c r="V6" s="1">
        <v>2.797024982518594</v>
      </c>
      <c r="W6" s="1">
        <v>2.1613374864916408</v>
      </c>
      <c r="X6" s="1">
        <v>1.3095162418155235</v>
      </c>
      <c r="Y6" s="1">
        <v>1.3921556162990274</v>
      </c>
      <c r="Z6" s="1">
        <v>0.89631936939800394</v>
      </c>
      <c r="AA6" s="1">
        <v>0.55940499650371878</v>
      </c>
      <c r="AB6" s="1">
        <v>0.32420062297374613</v>
      </c>
      <c r="AC6" s="1">
        <v>0.12078062424512111</v>
      </c>
      <c r="AD6" s="1">
        <v>6.3568749602695318E-2</v>
      </c>
      <c r="AE6" s="1">
        <v>3.1784374801347659E-2</v>
      </c>
      <c r="AF6" s="1">
        <v>0</v>
      </c>
      <c r="AG6" s="1">
        <v>0</v>
      </c>
      <c r="AH6" s="2">
        <v>0.68</v>
      </c>
    </row>
    <row r="8" spans="1:34" x14ac:dyDescent="0.25">
      <c r="B8" t="s">
        <v>2</v>
      </c>
    </row>
    <row r="9" spans="1:34" x14ac:dyDescent="0.25">
      <c r="A9">
        <v>2007</v>
      </c>
      <c r="B9">
        <v>439829</v>
      </c>
    </row>
    <row r="10" spans="1:34" x14ac:dyDescent="0.25">
      <c r="A10">
        <v>2008</v>
      </c>
      <c r="B10">
        <v>405477</v>
      </c>
    </row>
    <row r="11" spans="1:34" x14ac:dyDescent="0.25">
      <c r="A11">
        <v>2009</v>
      </c>
      <c r="B11">
        <v>344108</v>
      </c>
    </row>
    <row r="13" spans="1:34" x14ac:dyDescent="0.25">
      <c r="B13" t="s">
        <v>3</v>
      </c>
    </row>
    <row r="14" spans="1:34" x14ac:dyDescent="0.25">
      <c r="C14">
        <v>25</v>
      </c>
      <c r="D14">
        <v>26</v>
      </c>
      <c r="E14">
        <v>27</v>
      </c>
      <c r="F14">
        <v>28</v>
      </c>
      <c r="G14">
        <v>29</v>
      </c>
      <c r="H14">
        <v>30</v>
      </c>
      <c r="I14">
        <v>31</v>
      </c>
      <c r="J14">
        <v>32</v>
      </c>
      <c r="K14">
        <v>33</v>
      </c>
      <c r="L14">
        <v>34</v>
      </c>
      <c r="M14">
        <v>35</v>
      </c>
      <c r="N14">
        <v>36</v>
      </c>
      <c r="O14">
        <v>37</v>
      </c>
      <c r="P14">
        <v>38</v>
      </c>
      <c r="Q14">
        <v>39</v>
      </c>
      <c r="R14">
        <v>40</v>
      </c>
      <c r="S14">
        <v>41</v>
      </c>
      <c r="T14">
        <v>42</v>
      </c>
      <c r="U14">
        <v>43</v>
      </c>
      <c r="V14">
        <v>44</v>
      </c>
      <c r="W14">
        <v>45</v>
      </c>
      <c r="X14">
        <v>46</v>
      </c>
      <c r="Y14">
        <v>47</v>
      </c>
      <c r="Z14">
        <v>48</v>
      </c>
      <c r="AA14">
        <v>49</v>
      </c>
      <c r="AB14">
        <v>50</v>
      </c>
      <c r="AC14">
        <v>51</v>
      </c>
      <c r="AD14">
        <v>52</v>
      </c>
      <c r="AE14">
        <v>53</v>
      </c>
      <c r="AF14">
        <v>54</v>
      </c>
      <c r="AG14">
        <v>55</v>
      </c>
    </row>
    <row r="15" spans="1:34" x14ac:dyDescent="0.25">
      <c r="A15">
        <v>2007</v>
      </c>
      <c r="B15">
        <f>B9/AH4</f>
        <v>999611.36363636365</v>
      </c>
      <c r="C15">
        <f>C4*$B15/100</f>
        <v>0</v>
      </c>
      <c r="D15">
        <f t="shared" ref="D15:AG15" si="0">D4*$B15/100</f>
        <v>170.16109688251998</v>
      </c>
      <c r="E15">
        <f t="shared" si="0"/>
        <v>4254.0274220629999</v>
      </c>
      <c r="F15">
        <f t="shared" si="0"/>
        <v>21440.29820719752</v>
      </c>
      <c r="G15">
        <f t="shared" si="0"/>
        <v>47730.187675546855</v>
      </c>
      <c r="H15">
        <f t="shared" si="0"/>
        <v>100990.6109997756</v>
      </c>
      <c r="I15">
        <f t="shared" si="0"/>
        <v>140723.22712184404</v>
      </c>
      <c r="J15">
        <f t="shared" si="0"/>
        <v>138851.4550561363</v>
      </c>
      <c r="K15">
        <f t="shared" si="0"/>
        <v>118432.12343023391</v>
      </c>
      <c r="L15">
        <f t="shared" si="0"/>
        <v>107371.65213287011</v>
      </c>
      <c r="M15">
        <f t="shared" si="0"/>
        <v>89504.736960205526</v>
      </c>
      <c r="N15">
        <f t="shared" si="0"/>
        <v>51303.570710079774</v>
      </c>
      <c r="O15">
        <f t="shared" si="0"/>
        <v>40838.663251804792</v>
      </c>
      <c r="P15">
        <f t="shared" si="0"/>
        <v>32585.850053002578</v>
      </c>
      <c r="Q15">
        <f t="shared" si="0"/>
        <v>23822.553563552796</v>
      </c>
      <c r="R15">
        <f t="shared" si="0"/>
        <v>19228.20394772476</v>
      </c>
      <c r="S15">
        <f t="shared" si="0"/>
        <v>13272.565556836558</v>
      </c>
      <c r="T15">
        <f t="shared" si="0"/>
        <v>14123.371041249158</v>
      </c>
      <c r="U15">
        <f t="shared" si="0"/>
        <v>9954.4241676274178</v>
      </c>
      <c r="V15">
        <f t="shared" si="0"/>
        <v>11230.632394246319</v>
      </c>
      <c r="W15">
        <f t="shared" si="0"/>
        <v>5530.2356486818999</v>
      </c>
      <c r="X15">
        <f t="shared" si="0"/>
        <v>2722.5775501203198</v>
      </c>
      <c r="Y15">
        <f t="shared" si="0"/>
        <v>3658.4635829741801</v>
      </c>
      <c r="Z15">
        <f t="shared" si="0"/>
        <v>1106.0471297363799</v>
      </c>
      <c r="AA15">
        <f t="shared" si="0"/>
        <v>425.40274220629993</v>
      </c>
      <c r="AB15">
        <f t="shared" si="0"/>
        <v>255.24164532378001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85.080548441259992</v>
      </c>
      <c r="AG15">
        <f t="shared" si="0"/>
        <v>0</v>
      </c>
      <c r="AH15">
        <f>SUM(C15:AG15)</f>
        <v>999611.36363636365</v>
      </c>
    </row>
    <row r="16" spans="1:34" x14ac:dyDescent="0.25">
      <c r="A16">
        <v>2008</v>
      </c>
      <c r="B16">
        <f t="shared" ref="B16:B17" si="1">B10/AH5</f>
        <v>711363.15789473685</v>
      </c>
      <c r="C16">
        <f t="shared" ref="C16:AG16" si="2">C5*$B16/100</f>
        <v>0</v>
      </c>
      <c r="D16">
        <f t="shared" si="2"/>
        <v>0</v>
      </c>
      <c r="E16">
        <f t="shared" si="2"/>
        <v>0</v>
      </c>
      <c r="F16">
        <f t="shared" si="2"/>
        <v>0</v>
      </c>
      <c r="G16">
        <f t="shared" si="2"/>
        <v>100.71685656162209</v>
      </c>
      <c r="H16">
        <f t="shared" si="2"/>
        <v>1963.9787029516308</v>
      </c>
      <c r="I16">
        <f t="shared" si="2"/>
        <v>4632.9754018346166</v>
      </c>
      <c r="J16">
        <f t="shared" si="2"/>
        <v>30366.132253329059</v>
      </c>
      <c r="K16">
        <f t="shared" si="2"/>
        <v>88731.550630789061</v>
      </c>
      <c r="L16">
        <f t="shared" si="2"/>
        <v>104393.0218261213</v>
      </c>
      <c r="M16">
        <f t="shared" si="2"/>
        <v>91048.038331706368</v>
      </c>
      <c r="N16">
        <f t="shared" si="2"/>
        <v>79767.750396804695</v>
      </c>
      <c r="O16">
        <f t="shared" si="2"/>
        <v>64912.014053965446</v>
      </c>
      <c r="P16">
        <f t="shared" si="2"/>
        <v>51264.879989865643</v>
      </c>
      <c r="Q16">
        <f t="shared" si="2"/>
        <v>45070.793311325891</v>
      </c>
      <c r="R16">
        <f t="shared" si="2"/>
        <v>34143.014374389888</v>
      </c>
      <c r="S16">
        <f t="shared" si="2"/>
        <v>28704.304120062297</v>
      </c>
      <c r="T16">
        <f t="shared" si="2"/>
        <v>22560.57586980335</v>
      </c>
      <c r="U16">
        <f t="shared" si="2"/>
        <v>17524.733041722247</v>
      </c>
      <c r="V16">
        <f t="shared" si="2"/>
        <v>14654.302629716014</v>
      </c>
      <c r="W16">
        <f t="shared" si="2"/>
        <v>10122.04408444302</v>
      </c>
      <c r="X16">
        <f t="shared" si="2"/>
        <v>7654.4810986832799</v>
      </c>
      <c r="Y16">
        <f t="shared" si="2"/>
        <v>5992.6529654165151</v>
      </c>
      <c r="Z16">
        <f t="shared" si="2"/>
        <v>3625.8068362183958</v>
      </c>
      <c r="AA16">
        <f t="shared" si="2"/>
        <v>1762.5449898283864</v>
      </c>
      <c r="AB16">
        <f t="shared" si="2"/>
        <v>1208.6022787394652</v>
      </c>
      <c r="AC16">
        <f t="shared" si="2"/>
        <v>805.73485249297676</v>
      </c>
      <c r="AD16">
        <f t="shared" si="2"/>
        <v>151.07528484243315</v>
      </c>
      <c r="AE16">
        <f t="shared" si="2"/>
        <v>50.358428280811047</v>
      </c>
      <c r="AF16">
        <f t="shared" si="2"/>
        <v>100.71685656162209</v>
      </c>
      <c r="AG16">
        <f t="shared" si="2"/>
        <v>50.358428280811047</v>
      </c>
      <c r="AH16">
        <f t="shared" ref="AH16:AH17" si="3">SUM(C16:AG16)</f>
        <v>711363.15789473662</v>
      </c>
    </row>
    <row r="17" spans="1:34" x14ac:dyDescent="0.25">
      <c r="A17">
        <v>2009</v>
      </c>
      <c r="B17">
        <f t="shared" si="1"/>
        <v>506041.17647058819</v>
      </c>
      <c r="C17">
        <f t="shared" ref="C17:AG17" si="4">C6*$B17/100</f>
        <v>0</v>
      </c>
      <c r="D17">
        <f t="shared" si="4"/>
        <v>64.336809671424348</v>
      </c>
      <c r="E17">
        <f t="shared" si="4"/>
        <v>0</v>
      </c>
      <c r="F17">
        <f t="shared" si="4"/>
        <v>0</v>
      </c>
      <c r="G17">
        <f t="shared" si="4"/>
        <v>0</v>
      </c>
      <c r="H17">
        <f t="shared" si="4"/>
        <v>0</v>
      </c>
      <c r="I17">
        <f t="shared" si="4"/>
        <v>0</v>
      </c>
      <c r="J17">
        <f t="shared" si="4"/>
        <v>32.168404835712174</v>
      </c>
      <c r="K17">
        <f t="shared" si="4"/>
        <v>3281.177293242642</v>
      </c>
      <c r="L17">
        <f t="shared" si="4"/>
        <v>34002.003911347769</v>
      </c>
      <c r="M17">
        <f t="shared" si="4"/>
        <v>78909.097062001951</v>
      </c>
      <c r="N17">
        <f t="shared" si="4"/>
        <v>79488.128349044782</v>
      </c>
      <c r="O17">
        <f t="shared" si="4"/>
        <v>63661.273169874388</v>
      </c>
      <c r="P17">
        <f t="shared" si="4"/>
        <v>54042.920123996453</v>
      </c>
      <c r="Q17">
        <f t="shared" si="4"/>
        <v>42526.631192811496</v>
      </c>
      <c r="R17">
        <f t="shared" si="4"/>
        <v>35288.740104776254</v>
      </c>
      <c r="S17">
        <f t="shared" si="4"/>
        <v>28276.027850590999</v>
      </c>
      <c r="T17">
        <f t="shared" si="4"/>
        <v>20491.273880348654</v>
      </c>
      <c r="U17">
        <f t="shared" si="4"/>
        <v>17113.591372598876</v>
      </c>
      <c r="V17">
        <f t="shared" si="4"/>
        <v>14154.098127713358</v>
      </c>
      <c r="W17">
        <f t="shared" si="4"/>
        <v>10937.257644142139</v>
      </c>
      <c r="X17">
        <f t="shared" si="4"/>
        <v>6626.6913961567079</v>
      </c>
      <c r="Y17">
        <f t="shared" si="4"/>
        <v>7044.880659020966</v>
      </c>
      <c r="Z17">
        <f t="shared" si="4"/>
        <v>4535.7450818354164</v>
      </c>
      <c r="AA17">
        <f t="shared" si="4"/>
        <v>2830.8196255426715</v>
      </c>
      <c r="AB17">
        <f t="shared" si="4"/>
        <v>1640.588646621321</v>
      </c>
      <c r="AC17">
        <f t="shared" si="4"/>
        <v>611.19969187853133</v>
      </c>
      <c r="AD17">
        <f t="shared" si="4"/>
        <v>321.68404835712175</v>
      </c>
      <c r="AE17">
        <f t="shared" si="4"/>
        <v>160.84202417856088</v>
      </c>
      <c r="AF17">
        <f t="shared" si="4"/>
        <v>0</v>
      </c>
      <c r="AG17">
        <f t="shared" si="4"/>
        <v>0</v>
      </c>
      <c r="AH17">
        <f t="shared" si="3"/>
        <v>506041.17647058825</v>
      </c>
    </row>
    <row r="20" spans="1:34" x14ac:dyDescent="0.25">
      <c r="A20" s="3"/>
      <c r="B20" s="3">
        <v>2007</v>
      </c>
      <c r="C20" s="3">
        <v>2008</v>
      </c>
      <c r="D20" s="3">
        <v>2009</v>
      </c>
      <c r="E20" s="3"/>
      <c r="G20" s="3" t="s">
        <v>6</v>
      </c>
      <c r="I20" t="s">
        <v>8</v>
      </c>
    </row>
    <row r="21" spans="1:34" x14ac:dyDescent="0.25">
      <c r="A21" s="3">
        <v>25</v>
      </c>
      <c r="B21" s="3">
        <v>0</v>
      </c>
      <c r="C21" s="3">
        <v>0</v>
      </c>
      <c r="D21" s="3">
        <v>0</v>
      </c>
      <c r="E21" s="3"/>
    </row>
    <row r="22" spans="1:34" x14ac:dyDescent="0.25">
      <c r="A22" s="3">
        <v>26</v>
      </c>
      <c r="B22" s="3">
        <v>170.16109688251998</v>
      </c>
      <c r="C22" s="3">
        <v>0</v>
      </c>
      <c r="D22" s="3">
        <v>64.336809671424348</v>
      </c>
      <c r="E22" s="3"/>
    </row>
    <row r="23" spans="1:34" x14ac:dyDescent="0.25">
      <c r="A23" s="3">
        <v>27</v>
      </c>
      <c r="B23" s="3">
        <v>4254.0274220629999</v>
      </c>
      <c r="C23" s="3">
        <v>0</v>
      </c>
      <c r="D23" s="3">
        <v>0</v>
      </c>
      <c r="E23" s="3"/>
    </row>
    <row r="24" spans="1:34" x14ac:dyDescent="0.25">
      <c r="A24" s="3">
        <v>28</v>
      </c>
      <c r="B24" s="3">
        <v>21440.29820719752</v>
      </c>
      <c r="C24" s="3">
        <v>0</v>
      </c>
      <c r="D24" s="3">
        <v>0</v>
      </c>
      <c r="E24" s="3"/>
    </row>
    <row r="25" spans="1:34" x14ac:dyDescent="0.25">
      <c r="A25" s="3">
        <v>29</v>
      </c>
      <c r="B25" s="3">
        <v>47730.187675546855</v>
      </c>
      <c r="C25" s="3">
        <v>100.71685656162209</v>
      </c>
      <c r="D25" s="3">
        <v>0</v>
      </c>
      <c r="E25" s="3"/>
    </row>
    <row r="26" spans="1:34" x14ac:dyDescent="0.25">
      <c r="A26" s="3">
        <v>30</v>
      </c>
      <c r="B26" s="3">
        <v>100990.6109997756</v>
      </c>
      <c r="C26" s="3">
        <v>1963.9787029516308</v>
      </c>
      <c r="D26" s="3">
        <v>0</v>
      </c>
      <c r="E26" s="3"/>
    </row>
    <row r="27" spans="1:34" x14ac:dyDescent="0.25">
      <c r="A27" s="3">
        <v>31</v>
      </c>
      <c r="B27" s="3">
        <v>140723.22712184404</v>
      </c>
      <c r="C27" s="3">
        <v>4632.9754018346166</v>
      </c>
      <c r="D27" s="3">
        <v>0</v>
      </c>
      <c r="E27" s="3"/>
    </row>
    <row r="28" spans="1:34" x14ac:dyDescent="0.25">
      <c r="A28" s="3">
        <v>32</v>
      </c>
      <c r="B28" s="3">
        <v>138851.4550561363</v>
      </c>
      <c r="C28" s="3">
        <v>30366.132253329059</v>
      </c>
      <c r="D28" s="3">
        <v>32.168404835712174</v>
      </c>
      <c r="E28" s="3"/>
    </row>
    <row r="29" spans="1:34" x14ac:dyDescent="0.25">
      <c r="A29" s="3">
        <v>33</v>
      </c>
      <c r="B29" s="3">
        <v>118432.12343023391</v>
      </c>
      <c r="C29" s="3">
        <v>88731.550630789061</v>
      </c>
      <c r="D29" s="3">
        <v>3281.177293242642</v>
      </c>
      <c r="E29" s="3"/>
    </row>
    <row r="30" spans="1:34" x14ac:dyDescent="0.25">
      <c r="A30" s="3">
        <v>34</v>
      </c>
      <c r="B30" s="3">
        <v>107371.65213287011</v>
      </c>
      <c r="C30" s="3">
        <v>104393.0218261213</v>
      </c>
      <c r="D30" s="3">
        <v>34002.003911347769</v>
      </c>
      <c r="E30" s="3"/>
    </row>
    <row r="31" spans="1:34" x14ac:dyDescent="0.25">
      <c r="A31" s="3">
        <v>35</v>
      </c>
      <c r="B31" s="3">
        <v>89504.736960205526</v>
      </c>
      <c r="C31" s="3">
        <v>91048.038331706368</v>
      </c>
      <c r="D31" s="3">
        <v>78909.097062001951</v>
      </c>
      <c r="E31" s="3"/>
    </row>
    <row r="32" spans="1:34" x14ac:dyDescent="0.25">
      <c r="A32" s="3">
        <v>36</v>
      </c>
      <c r="B32" s="3">
        <v>51303.570710079774</v>
      </c>
      <c r="C32" s="3">
        <v>79767.750396804695</v>
      </c>
      <c r="D32" s="3">
        <v>79488.128349044782</v>
      </c>
      <c r="E32" s="3"/>
    </row>
    <row r="33" spans="1:5" x14ac:dyDescent="0.25">
      <c r="A33" s="3">
        <v>37</v>
      </c>
      <c r="B33" s="3">
        <v>40838.663251804792</v>
      </c>
      <c r="C33" s="3">
        <v>64912.014053965446</v>
      </c>
      <c r="D33" s="3">
        <v>63661.273169874388</v>
      </c>
      <c r="E33" s="3"/>
    </row>
    <row r="34" spans="1:5" x14ac:dyDescent="0.25">
      <c r="A34" s="3">
        <v>38</v>
      </c>
      <c r="B34" s="3">
        <v>32585.850053002578</v>
      </c>
      <c r="C34" s="3">
        <v>51264.879989865643</v>
      </c>
      <c r="D34" s="3">
        <v>54042.920123996453</v>
      </c>
      <c r="E34" s="3"/>
    </row>
    <row r="35" spans="1:5" x14ac:dyDescent="0.25">
      <c r="A35" s="3">
        <v>39</v>
      </c>
      <c r="B35" s="3">
        <v>23822.553563552796</v>
      </c>
      <c r="C35" s="3">
        <v>45070.793311325891</v>
      </c>
      <c r="D35" s="3">
        <v>42526.631192811496</v>
      </c>
      <c r="E35" s="3"/>
    </row>
    <row r="36" spans="1:5" x14ac:dyDescent="0.25">
      <c r="A36" s="3">
        <v>40</v>
      </c>
      <c r="B36" s="3">
        <v>19228.20394772476</v>
      </c>
      <c r="C36" s="3">
        <v>34143.014374389888</v>
      </c>
      <c r="D36" s="3">
        <v>35288.740104776254</v>
      </c>
      <c r="E36" s="3"/>
    </row>
    <row r="37" spans="1:5" x14ac:dyDescent="0.25">
      <c r="A37" s="3">
        <v>41</v>
      </c>
      <c r="B37" s="3">
        <v>13272.565556836558</v>
      </c>
      <c r="C37" s="3">
        <v>28704.304120062297</v>
      </c>
      <c r="D37" s="3">
        <v>28276.027850590999</v>
      </c>
      <c r="E37" s="3"/>
    </row>
    <row r="38" spans="1:5" x14ac:dyDescent="0.25">
      <c r="A38" s="3">
        <v>42</v>
      </c>
      <c r="B38" s="3">
        <v>14123.371041249158</v>
      </c>
      <c r="C38" s="3">
        <v>22560.57586980335</v>
      </c>
      <c r="D38" s="3">
        <v>20491.273880348654</v>
      </c>
      <c r="E38" s="3"/>
    </row>
    <row r="39" spans="1:5" x14ac:dyDescent="0.25">
      <c r="A39" s="3">
        <v>43</v>
      </c>
      <c r="B39" s="3">
        <v>9954.4241676274178</v>
      </c>
      <c r="C39" s="3">
        <v>17524.733041722247</v>
      </c>
      <c r="D39" s="3">
        <v>17113.591372598876</v>
      </c>
      <c r="E39" s="3"/>
    </row>
    <row r="40" spans="1:5" x14ac:dyDescent="0.25">
      <c r="A40" s="3">
        <v>44</v>
      </c>
      <c r="B40" s="3">
        <v>11230.632394246319</v>
      </c>
      <c r="C40" s="3">
        <v>14654.302629716014</v>
      </c>
      <c r="D40" s="3">
        <v>14154.098127713358</v>
      </c>
      <c r="E40" s="3"/>
    </row>
    <row r="41" spans="1:5" x14ac:dyDescent="0.25">
      <c r="A41" s="3">
        <v>45</v>
      </c>
      <c r="B41" s="3">
        <v>5530.2356486818999</v>
      </c>
      <c r="C41" s="3">
        <v>10122.04408444302</v>
      </c>
      <c r="D41" s="3">
        <v>10937.257644142139</v>
      </c>
      <c r="E41" s="3"/>
    </row>
    <row r="42" spans="1:5" x14ac:dyDescent="0.25">
      <c r="A42" s="3">
        <v>46</v>
      </c>
      <c r="B42" s="3">
        <v>2722.5775501203198</v>
      </c>
      <c r="C42" s="3">
        <v>7654.4810986832799</v>
      </c>
      <c r="D42" s="3">
        <v>6626.6913961567079</v>
      </c>
      <c r="E42" s="3"/>
    </row>
    <row r="43" spans="1:5" x14ac:dyDescent="0.25">
      <c r="A43" s="3">
        <v>47</v>
      </c>
      <c r="B43" s="3">
        <v>3658.4635829741801</v>
      </c>
      <c r="C43" s="3">
        <v>5992.6529654165151</v>
      </c>
      <c r="D43" s="3">
        <v>7044.880659020966</v>
      </c>
      <c r="E43" s="3"/>
    </row>
    <row r="44" spans="1:5" x14ac:dyDescent="0.25">
      <c r="A44" s="3">
        <v>48</v>
      </c>
      <c r="B44" s="3">
        <v>1106.0471297363799</v>
      </c>
      <c r="C44" s="3">
        <v>3625.8068362183958</v>
      </c>
      <c r="D44" s="3">
        <v>4535.7450818354164</v>
      </c>
      <c r="E44" s="3"/>
    </row>
    <row r="45" spans="1:5" x14ac:dyDescent="0.25">
      <c r="A45" s="3">
        <v>49</v>
      </c>
      <c r="B45" s="3">
        <v>425.40274220629993</v>
      </c>
      <c r="C45" s="3">
        <v>1762.5449898283864</v>
      </c>
      <c r="D45" s="3">
        <v>2830.8196255426715</v>
      </c>
      <c r="E45" s="3"/>
    </row>
    <row r="46" spans="1:5" x14ac:dyDescent="0.25">
      <c r="A46" s="3">
        <v>50</v>
      </c>
      <c r="B46" s="3">
        <v>255.24164532378001</v>
      </c>
      <c r="C46" s="3">
        <v>1208.6022787394652</v>
      </c>
      <c r="D46" s="3">
        <v>1640.588646621321</v>
      </c>
      <c r="E46" s="3"/>
    </row>
    <row r="47" spans="1:5" x14ac:dyDescent="0.25">
      <c r="A47" s="3">
        <v>51</v>
      </c>
      <c r="B47" s="3">
        <v>0</v>
      </c>
      <c r="C47" s="3">
        <v>805.73485249297676</v>
      </c>
      <c r="D47" s="3">
        <v>611.19969187853133</v>
      </c>
      <c r="E47" s="3"/>
    </row>
    <row r="48" spans="1:5" x14ac:dyDescent="0.25">
      <c r="A48" s="3">
        <v>52</v>
      </c>
      <c r="B48" s="3">
        <v>0</v>
      </c>
      <c r="C48" s="3">
        <v>151.07528484243315</v>
      </c>
      <c r="D48" s="3">
        <v>321.68404835712175</v>
      </c>
      <c r="E48" s="3"/>
    </row>
    <row r="49" spans="1:5" x14ac:dyDescent="0.25">
      <c r="A49" s="3">
        <v>53</v>
      </c>
      <c r="B49" s="3">
        <v>0</v>
      </c>
      <c r="C49" s="3">
        <v>50.358428280811047</v>
      </c>
      <c r="D49" s="3">
        <v>160.84202417856088</v>
      </c>
      <c r="E49" s="3"/>
    </row>
    <row r="50" spans="1:5" x14ac:dyDescent="0.25">
      <c r="A50" s="3">
        <v>54</v>
      </c>
      <c r="B50" s="3">
        <v>85.080548441259992</v>
      </c>
      <c r="C50" s="3">
        <v>100.71685656162209</v>
      </c>
      <c r="D50" s="3">
        <v>0</v>
      </c>
      <c r="E50" s="3"/>
    </row>
    <row r="51" spans="1:5" x14ac:dyDescent="0.25">
      <c r="A51" s="3">
        <v>55</v>
      </c>
      <c r="B51" s="3">
        <v>0</v>
      </c>
      <c r="C51" s="3">
        <v>50.358428280811047</v>
      </c>
      <c r="D51" s="3">
        <v>0</v>
      </c>
      <c r="E51" s="3"/>
    </row>
    <row r="52" spans="1:5" x14ac:dyDescent="0.25">
      <c r="A52" s="3"/>
      <c r="B52" s="3">
        <v>999611.36363636365</v>
      </c>
      <c r="C52" s="3">
        <v>711363.15789473662</v>
      </c>
      <c r="D52" s="3">
        <v>506041.17647058825</v>
      </c>
      <c r="E52" s="3"/>
    </row>
    <row r="53" spans="1:5" x14ac:dyDescent="0.25">
      <c r="A53" s="3"/>
      <c r="B53" s="3"/>
      <c r="C53" s="3"/>
      <c r="D53" s="3"/>
      <c r="E5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T54"/>
  <sheetViews>
    <sheetView tabSelected="1" topLeftCell="A25" workbookViewId="0">
      <selection activeCell="AT54" sqref="AT54"/>
    </sheetView>
  </sheetViews>
  <sheetFormatPr defaultRowHeight="15" x14ac:dyDescent="0.25"/>
  <cols>
    <col min="2" max="23" width="0" hidden="1" customWidth="1"/>
    <col min="24" max="24" width="12" style="4" bestFit="1" customWidth="1"/>
    <col min="46" max="46" width="12" bestFit="1" customWidth="1"/>
  </cols>
  <sheetData>
    <row r="1" spans="1:45" x14ac:dyDescent="0.25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 t="s">
        <v>5</v>
      </c>
      <c r="X1" s="4" t="s">
        <v>7</v>
      </c>
      <c r="Y1">
        <v>0</v>
      </c>
      <c r="Z1">
        <v>1</v>
      </c>
      <c r="AA1">
        <v>2</v>
      </c>
      <c r="AB1">
        <v>3</v>
      </c>
      <c r="AC1">
        <v>4</v>
      </c>
      <c r="AD1">
        <v>5</v>
      </c>
      <c r="AE1">
        <v>6</v>
      </c>
      <c r="AF1">
        <v>7</v>
      </c>
      <c r="AG1">
        <v>8</v>
      </c>
      <c r="AH1">
        <v>9</v>
      </c>
      <c r="AI1">
        <v>10</v>
      </c>
      <c r="AJ1">
        <v>11</v>
      </c>
      <c r="AK1">
        <v>12</v>
      </c>
      <c r="AL1">
        <v>13</v>
      </c>
      <c r="AM1">
        <v>14</v>
      </c>
      <c r="AN1">
        <v>15</v>
      </c>
      <c r="AO1">
        <v>16</v>
      </c>
      <c r="AP1">
        <v>17</v>
      </c>
      <c r="AQ1">
        <v>18</v>
      </c>
      <c r="AR1">
        <v>19</v>
      </c>
      <c r="AS1">
        <v>20</v>
      </c>
    </row>
    <row r="2" spans="1:45" x14ac:dyDescent="0.25">
      <c r="A2">
        <v>15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f t="shared" ref="W2:W53" si="0">SUM(B2:V2)</f>
        <v>1</v>
      </c>
      <c r="X2" s="4">
        <v>0</v>
      </c>
      <c r="Y2">
        <f t="shared" ref="Y2:Z21" si="1">B2*$X2</f>
        <v>0</v>
      </c>
      <c r="Z2">
        <f t="shared" ref="Z2:Z20" si="2">C2*$X2</f>
        <v>0</v>
      </c>
      <c r="AA2">
        <f t="shared" ref="AA2:AA7" si="3">D2*$X2</f>
        <v>0</v>
      </c>
      <c r="AB2">
        <f t="shared" ref="AB2:AB7" si="4">E2*$X2</f>
        <v>0</v>
      </c>
      <c r="AC2">
        <f t="shared" ref="AC2:AC7" si="5">F2*$X2</f>
        <v>0</v>
      </c>
      <c r="AD2">
        <f t="shared" ref="AD2:AD7" si="6">G2*$X2</f>
        <v>0</v>
      </c>
      <c r="AE2">
        <f t="shared" ref="AE2:AE7" si="7">H2*$X2</f>
        <v>0</v>
      </c>
      <c r="AF2">
        <f t="shared" ref="AF2:AF7" si="8">I2*$X2</f>
        <v>0</v>
      </c>
      <c r="AG2">
        <f t="shared" ref="AG2:AG7" si="9">J2*$X2</f>
        <v>0</v>
      </c>
      <c r="AH2">
        <f t="shared" ref="AH2:AH7" si="10">K2*$X2</f>
        <v>0</v>
      </c>
      <c r="AI2">
        <f t="shared" ref="AI2:AI7" si="11">L2*$X2</f>
        <v>0</v>
      </c>
      <c r="AJ2">
        <f t="shared" ref="AJ2:AJ7" si="12">M2*$X2</f>
        <v>0</v>
      </c>
      <c r="AK2">
        <f t="shared" ref="AK2:AK7" si="13">N2*$X2</f>
        <v>0</v>
      </c>
      <c r="AL2">
        <f t="shared" ref="AL2:AL7" si="14">O2*$X2</f>
        <v>0</v>
      </c>
      <c r="AM2">
        <f t="shared" ref="AM2:AM7" si="15">P2*$X2</f>
        <v>0</v>
      </c>
      <c r="AN2">
        <f t="shared" ref="AN2:AN7" si="16">Q2*$X2</f>
        <v>0</v>
      </c>
      <c r="AO2">
        <f t="shared" ref="AO2:AO7" si="17">R2*$X2</f>
        <v>0</v>
      </c>
      <c r="AP2">
        <f t="shared" ref="AP2:AP7" si="18">S2*$X2</f>
        <v>0</v>
      </c>
      <c r="AQ2">
        <f t="shared" ref="AQ2:AQ7" si="19">T2*$X2</f>
        <v>0</v>
      </c>
      <c r="AR2">
        <f t="shared" ref="AR2:AR7" si="20">U2*$X2</f>
        <v>0</v>
      </c>
      <c r="AS2">
        <f t="shared" ref="AS2:AS7" si="21">V2*$X2</f>
        <v>0</v>
      </c>
    </row>
    <row r="3" spans="1:45" x14ac:dyDescent="0.25">
      <c r="A3">
        <v>16</v>
      </c>
      <c r="B3">
        <v>0</v>
      </c>
      <c r="C3">
        <v>0</v>
      </c>
      <c r="D3">
        <v>0.5</v>
      </c>
      <c r="E3">
        <v>0.5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f t="shared" si="0"/>
        <v>1</v>
      </c>
      <c r="X3" s="4">
        <v>0</v>
      </c>
      <c r="Y3">
        <f t="shared" si="1"/>
        <v>0</v>
      </c>
      <c r="Z3">
        <f t="shared" si="2"/>
        <v>0</v>
      </c>
      <c r="AA3">
        <f t="shared" si="3"/>
        <v>0</v>
      </c>
      <c r="AB3">
        <f t="shared" si="4"/>
        <v>0</v>
      </c>
      <c r="AC3">
        <f t="shared" si="5"/>
        <v>0</v>
      </c>
      <c r="AD3">
        <f t="shared" si="6"/>
        <v>0</v>
      </c>
      <c r="AE3">
        <f t="shared" si="7"/>
        <v>0</v>
      </c>
      <c r="AF3">
        <f t="shared" si="8"/>
        <v>0</v>
      </c>
      <c r="AG3">
        <f t="shared" si="9"/>
        <v>0</v>
      </c>
      <c r="AH3">
        <f t="shared" si="10"/>
        <v>0</v>
      </c>
      <c r="AI3">
        <f t="shared" si="11"/>
        <v>0</v>
      </c>
      <c r="AJ3">
        <f t="shared" si="12"/>
        <v>0</v>
      </c>
      <c r="AK3">
        <f t="shared" si="13"/>
        <v>0</v>
      </c>
      <c r="AL3">
        <f t="shared" si="14"/>
        <v>0</v>
      </c>
      <c r="AM3">
        <f t="shared" si="15"/>
        <v>0</v>
      </c>
      <c r="AN3">
        <f t="shared" si="16"/>
        <v>0</v>
      </c>
      <c r="AO3">
        <f t="shared" si="17"/>
        <v>0</v>
      </c>
      <c r="AP3">
        <f t="shared" si="18"/>
        <v>0</v>
      </c>
      <c r="AQ3">
        <f t="shared" si="19"/>
        <v>0</v>
      </c>
      <c r="AR3">
        <f t="shared" si="20"/>
        <v>0</v>
      </c>
      <c r="AS3">
        <f t="shared" si="21"/>
        <v>0</v>
      </c>
    </row>
    <row r="4" spans="1:45" x14ac:dyDescent="0.25">
      <c r="A4">
        <v>17</v>
      </c>
      <c r="B4">
        <v>0</v>
      </c>
      <c r="C4">
        <v>0</v>
      </c>
      <c r="D4">
        <v>0.5</v>
      </c>
      <c r="E4">
        <v>0.5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f t="shared" si="0"/>
        <v>1</v>
      </c>
      <c r="X4" s="4">
        <v>1260890.4495485213</v>
      </c>
      <c r="Y4">
        <f t="shared" si="1"/>
        <v>0</v>
      </c>
      <c r="Z4">
        <f t="shared" si="2"/>
        <v>0</v>
      </c>
      <c r="AA4">
        <f t="shared" si="3"/>
        <v>630445.22477426066</v>
      </c>
      <c r="AB4">
        <f t="shared" si="4"/>
        <v>630445.22477426066</v>
      </c>
      <c r="AC4">
        <f t="shared" si="5"/>
        <v>0</v>
      </c>
      <c r="AD4">
        <f t="shared" si="6"/>
        <v>0</v>
      </c>
      <c r="AE4">
        <f t="shared" si="7"/>
        <v>0</v>
      </c>
      <c r="AF4">
        <f t="shared" si="8"/>
        <v>0</v>
      </c>
      <c r="AG4">
        <f t="shared" si="9"/>
        <v>0</v>
      </c>
      <c r="AH4">
        <f t="shared" si="10"/>
        <v>0</v>
      </c>
      <c r="AI4">
        <f t="shared" si="11"/>
        <v>0</v>
      </c>
      <c r="AJ4">
        <f t="shared" si="12"/>
        <v>0</v>
      </c>
      <c r="AK4">
        <f t="shared" si="13"/>
        <v>0</v>
      </c>
      <c r="AL4">
        <f t="shared" si="14"/>
        <v>0</v>
      </c>
      <c r="AM4">
        <f t="shared" si="15"/>
        <v>0</v>
      </c>
      <c r="AN4">
        <f t="shared" si="16"/>
        <v>0</v>
      </c>
      <c r="AO4">
        <f t="shared" si="17"/>
        <v>0</v>
      </c>
      <c r="AP4">
        <f t="shared" si="18"/>
        <v>0</v>
      </c>
      <c r="AQ4">
        <f t="shared" si="19"/>
        <v>0</v>
      </c>
      <c r="AR4">
        <f t="shared" si="20"/>
        <v>0</v>
      </c>
      <c r="AS4">
        <f t="shared" si="21"/>
        <v>0</v>
      </c>
    </row>
    <row r="5" spans="1:45" x14ac:dyDescent="0.25">
      <c r="A5">
        <v>18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f t="shared" si="0"/>
        <v>1</v>
      </c>
      <c r="X5" s="4">
        <v>12650161.828885822</v>
      </c>
      <c r="Y5">
        <f t="shared" si="1"/>
        <v>0</v>
      </c>
      <c r="Z5">
        <f t="shared" si="2"/>
        <v>0</v>
      </c>
      <c r="AA5">
        <f t="shared" si="3"/>
        <v>12650161.828885822</v>
      </c>
      <c r="AB5">
        <f t="shared" si="4"/>
        <v>0</v>
      </c>
      <c r="AC5">
        <f t="shared" si="5"/>
        <v>0</v>
      </c>
      <c r="AD5">
        <f t="shared" si="6"/>
        <v>0</v>
      </c>
      <c r="AE5">
        <f t="shared" si="7"/>
        <v>0</v>
      </c>
      <c r="AF5">
        <f t="shared" si="8"/>
        <v>0</v>
      </c>
      <c r="AG5">
        <f t="shared" si="9"/>
        <v>0</v>
      </c>
      <c r="AH5">
        <f t="shared" si="10"/>
        <v>0</v>
      </c>
      <c r="AI5">
        <f t="shared" si="11"/>
        <v>0</v>
      </c>
      <c r="AJ5">
        <f t="shared" si="12"/>
        <v>0</v>
      </c>
      <c r="AK5">
        <f t="shared" si="13"/>
        <v>0</v>
      </c>
      <c r="AL5">
        <f t="shared" si="14"/>
        <v>0</v>
      </c>
      <c r="AM5">
        <f t="shared" si="15"/>
        <v>0</v>
      </c>
      <c r="AN5">
        <f t="shared" si="16"/>
        <v>0</v>
      </c>
      <c r="AO5">
        <f t="shared" si="17"/>
        <v>0</v>
      </c>
      <c r="AP5">
        <f t="shared" si="18"/>
        <v>0</v>
      </c>
      <c r="AQ5">
        <f t="shared" si="19"/>
        <v>0</v>
      </c>
      <c r="AR5">
        <f t="shared" si="20"/>
        <v>0</v>
      </c>
      <c r="AS5">
        <f t="shared" si="21"/>
        <v>0</v>
      </c>
    </row>
    <row r="6" spans="1:45" x14ac:dyDescent="0.25">
      <c r="A6">
        <v>19</v>
      </c>
      <c r="B6">
        <v>0</v>
      </c>
      <c r="C6">
        <v>0</v>
      </c>
      <c r="D6">
        <v>0.55880393880297741</v>
      </c>
      <c r="E6">
        <v>0.44119606119702254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f t="shared" si="0"/>
        <v>1</v>
      </c>
      <c r="X6" s="4">
        <v>20530461.537275258</v>
      </c>
      <c r="Y6">
        <f t="shared" si="1"/>
        <v>0</v>
      </c>
      <c r="Z6">
        <f t="shared" si="2"/>
        <v>0</v>
      </c>
      <c r="AA6">
        <f t="shared" si="3"/>
        <v>11472502.772472445</v>
      </c>
      <c r="AB6">
        <f t="shared" si="4"/>
        <v>9057958.7648028117</v>
      </c>
      <c r="AC6">
        <f t="shared" si="5"/>
        <v>0</v>
      </c>
      <c r="AD6">
        <f t="shared" si="6"/>
        <v>0</v>
      </c>
      <c r="AE6">
        <f t="shared" si="7"/>
        <v>0</v>
      </c>
      <c r="AF6">
        <f t="shared" si="8"/>
        <v>0</v>
      </c>
      <c r="AG6">
        <f t="shared" si="9"/>
        <v>0</v>
      </c>
      <c r="AH6">
        <f t="shared" si="10"/>
        <v>0</v>
      </c>
      <c r="AI6">
        <f t="shared" si="11"/>
        <v>0</v>
      </c>
      <c r="AJ6">
        <f t="shared" si="12"/>
        <v>0</v>
      </c>
      <c r="AK6">
        <f t="shared" si="13"/>
        <v>0</v>
      </c>
      <c r="AL6">
        <f t="shared" si="14"/>
        <v>0</v>
      </c>
      <c r="AM6">
        <f t="shared" si="15"/>
        <v>0</v>
      </c>
      <c r="AN6">
        <f t="shared" si="16"/>
        <v>0</v>
      </c>
      <c r="AO6">
        <f t="shared" si="17"/>
        <v>0</v>
      </c>
      <c r="AP6">
        <f t="shared" si="18"/>
        <v>0</v>
      </c>
      <c r="AQ6">
        <f t="shared" si="19"/>
        <v>0</v>
      </c>
      <c r="AR6">
        <f t="shared" si="20"/>
        <v>0</v>
      </c>
      <c r="AS6">
        <f t="shared" si="21"/>
        <v>0</v>
      </c>
    </row>
    <row r="7" spans="1:45" x14ac:dyDescent="0.25">
      <c r="A7">
        <v>20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f t="shared" si="0"/>
        <v>1</v>
      </c>
      <c r="X7" s="4">
        <v>20951582.172210108</v>
      </c>
      <c r="Y7">
        <f t="shared" si="1"/>
        <v>0</v>
      </c>
      <c r="Z7">
        <f t="shared" si="2"/>
        <v>0</v>
      </c>
      <c r="AA7">
        <f t="shared" si="3"/>
        <v>0</v>
      </c>
      <c r="AB7">
        <f t="shared" si="4"/>
        <v>20951582.172210108</v>
      </c>
      <c r="AC7">
        <f t="shared" si="5"/>
        <v>0</v>
      </c>
      <c r="AD7">
        <f t="shared" si="6"/>
        <v>0</v>
      </c>
      <c r="AE7">
        <f t="shared" si="7"/>
        <v>0</v>
      </c>
      <c r="AF7">
        <f t="shared" si="8"/>
        <v>0</v>
      </c>
      <c r="AG7">
        <f t="shared" si="9"/>
        <v>0</v>
      </c>
      <c r="AH7">
        <f t="shared" si="10"/>
        <v>0</v>
      </c>
      <c r="AI7">
        <f t="shared" si="11"/>
        <v>0</v>
      </c>
      <c r="AJ7">
        <f t="shared" si="12"/>
        <v>0</v>
      </c>
      <c r="AK7">
        <f t="shared" si="13"/>
        <v>0</v>
      </c>
      <c r="AL7">
        <f t="shared" si="14"/>
        <v>0</v>
      </c>
      <c r="AM7">
        <f t="shared" si="15"/>
        <v>0</v>
      </c>
      <c r="AN7">
        <f t="shared" si="16"/>
        <v>0</v>
      </c>
      <c r="AO7">
        <f t="shared" si="17"/>
        <v>0</v>
      </c>
      <c r="AP7">
        <f t="shared" si="18"/>
        <v>0</v>
      </c>
      <c r="AQ7">
        <f t="shared" si="19"/>
        <v>0</v>
      </c>
      <c r="AR7">
        <f t="shared" si="20"/>
        <v>0</v>
      </c>
      <c r="AS7">
        <f t="shared" si="21"/>
        <v>0</v>
      </c>
    </row>
    <row r="8" spans="1:45" x14ac:dyDescent="0.25">
      <c r="A8">
        <v>21</v>
      </c>
      <c r="B8">
        <v>0</v>
      </c>
      <c r="C8">
        <v>0</v>
      </c>
      <c r="D8">
        <v>1.6191649805398789E-3</v>
      </c>
      <c r="E8">
        <v>0.99838083501946007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f t="shared" si="0"/>
        <v>1</v>
      </c>
      <c r="X8" s="4">
        <v>16826488.244052518</v>
      </c>
      <c r="Y8">
        <f t="shared" si="1"/>
        <v>0</v>
      </c>
      <c r="Z8">
        <f t="shared" si="2"/>
        <v>0</v>
      </c>
      <c r="AA8">
        <f t="shared" ref="AA8:AO20" si="22">D8*$X8</f>
        <v>27244.860510235798</v>
      </c>
      <c r="AB8">
        <f t="shared" ref="AB8" si="23">E8*$X8</f>
        <v>16799243.383542281</v>
      </c>
      <c r="AC8">
        <f t="shared" ref="AC8" si="24">F8*$X8</f>
        <v>0</v>
      </c>
      <c r="AD8">
        <f t="shared" ref="AD8" si="25">G8*$X8</f>
        <v>0</v>
      </c>
      <c r="AE8">
        <f t="shared" ref="AE8" si="26">H8*$X8</f>
        <v>0</v>
      </c>
      <c r="AF8">
        <f t="shared" ref="AF8" si="27">I8*$X8</f>
        <v>0</v>
      </c>
      <c r="AG8">
        <f t="shared" ref="AG8" si="28">J8*$X8</f>
        <v>0</v>
      </c>
      <c r="AH8">
        <f t="shared" ref="AH8" si="29">K8*$X8</f>
        <v>0</v>
      </c>
      <c r="AI8">
        <f t="shared" ref="AI8" si="30">L8*$X8</f>
        <v>0</v>
      </c>
      <c r="AJ8">
        <f t="shared" ref="AJ8" si="31">M8*$X8</f>
        <v>0</v>
      </c>
      <c r="AK8">
        <f t="shared" ref="AK8" si="32">N8*$X8</f>
        <v>0</v>
      </c>
      <c r="AL8">
        <f t="shared" ref="AL8" si="33">O8*$X8</f>
        <v>0</v>
      </c>
      <c r="AM8">
        <f t="shared" ref="AM8" si="34">P8*$X8</f>
        <v>0</v>
      </c>
      <c r="AN8">
        <f t="shared" ref="AN8" si="35">Q8*$X8</f>
        <v>0</v>
      </c>
      <c r="AO8">
        <f t="shared" ref="AO8" si="36">R8*$X8</f>
        <v>0</v>
      </c>
      <c r="AP8">
        <f t="shared" ref="AP8" si="37">S8*$X8</f>
        <v>0</v>
      </c>
      <c r="AQ8">
        <f t="shared" ref="AQ8" si="38">T8*$X8</f>
        <v>0</v>
      </c>
      <c r="AR8">
        <f t="shared" ref="AR8" si="39">U8*$X8</f>
        <v>0</v>
      </c>
      <c r="AS8">
        <f t="shared" ref="AS8" si="40">V8*$X8</f>
        <v>0</v>
      </c>
    </row>
    <row r="9" spans="1:45" x14ac:dyDescent="0.25">
      <c r="A9">
        <v>22</v>
      </c>
      <c r="B9">
        <v>0</v>
      </c>
      <c r="C9">
        <v>0</v>
      </c>
      <c r="D9">
        <v>0</v>
      </c>
      <c r="E9">
        <v>0.72796541243702451</v>
      </c>
      <c r="F9">
        <v>0.27203458756297549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f t="shared" si="0"/>
        <v>1</v>
      </c>
      <c r="X9" s="4">
        <v>13598799.75793422</v>
      </c>
      <c r="Y9">
        <f t="shared" si="1"/>
        <v>0</v>
      </c>
      <c r="Z9">
        <f t="shared" si="2"/>
        <v>0</v>
      </c>
      <c r="AA9">
        <f t="shared" si="22"/>
        <v>0</v>
      </c>
      <c r="AB9">
        <f t="shared" si="22"/>
        <v>9899455.8744330928</v>
      </c>
      <c r="AC9">
        <f t="shared" si="22"/>
        <v>3699343.8835011264</v>
      </c>
      <c r="AD9">
        <f t="shared" si="22"/>
        <v>0</v>
      </c>
      <c r="AE9">
        <f t="shared" si="22"/>
        <v>0</v>
      </c>
      <c r="AF9">
        <f t="shared" si="22"/>
        <v>0</v>
      </c>
      <c r="AG9">
        <f t="shared" si="22"/>
        <v>0</v>
      </c>
      <c r="AH9">
        <f t="shared" si="22"/>
        <v>0</v>
      </c>
      <c r="AI9">
        <f t="shared" si="22"/>
        <v>0</v>
      </c>
      <c r="AJ9">
        <f t="shared" si="22"/>
        <v>0</v>
      </c>
      <c r="AK9">
        <f t="shared" si="22"/>
        <v>0</v>
      </c>
      <c r="AL9">
        <f t="shared" si="22"/>
        <v>0</v>
      </c>
      <c r="AM9">
        <f t="shared" si="22"/>
        <v>0</v>
      </c>
      <c r="AN9">
        <f t="shared" si="22"/>
        <v>0</v>
      </c>
      <c r="AO9">
        <f t="shared" si="22"/>
        <v>0</v>
      </c>
      <c r="AP9">
        <f t="shared" ref="AO9:AS23" si="41">S9*$X9</f>
        <v>0</v>
      </c>
      <c r="AQ9">
        <f t="shared" si="41"/>
        <v>0</v>
      </c>
      <c r="AR9">
        <f t="shared" si="41"/>
        <v>0</v>
      </c>
      <c r="AS9">
        <f t="shared" si="41"/>
        <v>0</v>
      </c>
    </row>
    <row r="10" spans="1:45" x14ac:dyDescent="0.25">
      <c r="A10">
        <v>23</v>
      </c>
      <c r="B10">
        <v>0</v>
      </c>
      <c r="C10">
        <v>0</v>
      </c>
      <c r="D10">
        <v>0</v>
      </c>
      <c r="E10">
        <v>0.45761996317119624</v>
      </c>
      <c r="F10">
        <v>0.54238003682880376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f t="shared" si="0"/>
        <v>1</v>
      </c>
      <c r="X10" s="4">
        <v>9100871.1334085763</v>
      </c>
      <c r="Y10">
        <f t="shared" si="1"/>
        <v>0</v>
      </c>
      <c r="Z10">
        <f t="shared" si="2"/>
        <v>0</v>
      </c>
      <c r="AA10">
        <f t="shared" si="22"/>
        <v>0</v>
      </c>
      <c r="AB10">
        <f t="shared" si="22"/>
        <v>4164740.3128962358</v>
      </c>
      <c r="AC10">
        <f t="shared" si="22"/>
        <v>4936130.8205123404</v>
      </c>
      <c r="AD10">
        <f t="shared" si="22"/>
        <v>0</v>
      </c>
      <c r="AE10">
        <f t="shared" si="22"/>
        <v>0</v>
      </c>
      <c r="AF10">
        <f t="shared" si="22"/>
        <v>0</v>
      </c>
      <c r="AG10">
        <f t="shared" si="22"/>
        <v>0</v>
      </c>
      <c r="AH10">
        <f t="shared" si="22"/>
        <v>0</v>
      </c>
      <c r="AI10">
        <f t="shared" si="22"/>
        <v>0</v>
      </c>
      <c r="AJ10">
        <f t="shared" si="22"/>
        <v>0</v>
      </c>
      <c r="AK10">
        <f t="shared" si="22"/>
        <v>0</v>
      </c>
      <c r="AL10">
        <f t="shared" si="22"/>
        <v>0</v>
      </c>
      <c r="AM10">
        <f t="shared" si="22"/>
        <v>0</v>
      </c>
      <c r="AN10">
        <f t="shared" si="22"/>
        <v>0</v>
      </c>
      <c r="AO10">
        <f t="shared" si="22"/>
        <v>0</v>
      </c>
      <c r="AP10">
        <f t="shared" si="41"/>
        <v>0</v>
      </c>
      <c r="AQ10">
        <f t="shared" si="41"/>
        <v>0</v>
      </c>
      <c r="AR10">
        <f t="shared" si="41"/>
        <v>0</v>
      </c>
      <c r="AS10">
        <f t="shared" si="41"/>
        <v>0</v>
      </c>
    </row>
    <row r="11" spans="1:45" x14ac:dyDescent="0.25">
      <c r="A11">
        <v>24</v>
      </c>
      <c r="B11">
        <v>0</v>
      </c>
      <c r="C11">
        <v>0</v>
      </c>
      <c r="D11">
        <v>0</v>
      </c>
      <c r="E11">
        <v>0.1966701524343461</v>
      </c>
      <c r="F11">
        <v>0.80332984756565384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f t="shared" si="0"/>
        <v>1</v>
      </c>
      <c r="X11" s="4">
        <v>7113940.0548028518</v>
      </c>
      <c r="Y11">
        <f t="shared" si="1"/>
        <v>0</v>
      </c>
      <c r="Z11">
        <f t="shared" si="2"/>
        <v>0</v>
      </c>
      <c r="AA11">
        <f t="shared" si="22"/>
        <v>0</v>
      </c>
      <c r="AB11">
        <f t="shared" si="22"/>
        <v>1399099.6749868772</v>
      </c>
      <c r="AC11">
        <f t="shared" si="22"/>
        <v>5714840.3798159743</v>
      </c>
      <c r="AD11">
        <f t="shared" si="22"/>
        <v>0</v>
      </c>
      <c r="AE11">
        <f t="shared" si="22"/>
        <v>0</v>
      </c>
      <c r="AF11">
        <f t="shared" si="22"/>
        <v>0</v>
      </c>
      <c r="AG11">
        <f t="shared" si="22"/>
        <v>0</v>
      </c>
      <c r="AH11">
        <f t="shared" si="22"/>
        <v>0</v>
      </c>
      <c r="AI11">
        <f t="shared" si="22"/>
        <v>0</v>
      </c>
      <c r="AJ11">
        <f t="shared" si="22"/>
        <v>0</v>
      </c>
      <c r="AK11">
        <f t="shared" si="22"/>
        <v>0</v>
      </c>
      <c r="AL11">
        <f t="shared" si="22"/>
        <v>0</v>
      </c>
      <c r="AM11">
        <f t="shared" si="22"/>
        <v>0</v>
      </c>
      <c r="AN11">
        <f t="shared" si="22"/>
        <v>0</v>
      </c>
      <c r="AO11">
        <f t="shared" si="22"/>
        <v>0</v>
      </c>
      <c r="AP11">
        <f t="shared" si="41"/>
        <v>0</v>
      </c>
      <c r="AQ11">
        <f t="shared" si="41"/>
        <v>0</v>
      </c>
      <c r="AR11">
        <f t="shared" si="41"/>
        <v>0</v>
      </c>
      <c r="AS11">
        <f t="shared" si="41"/>
        <v>0</v>
      </c>
    </row>
    <row r="12" spans="1:45" x14ac:dyDescent="0.25">
      <c r="A12">
        <v>25</v>
      </c>
      <c r="B12">
        <v>0</v>
      </c>
      <c r="C12">
        <v>0</v>
      </c>
      <c r="D12">
        <v>0</v>
      </c>
      <c r="E12">
        <v>4.0981285604626008E-2</v>
      </c>
      <c r="F12">
        <v>0.93987122381885202</v>
      </c>
      <c r="G12">
        <v>1.9147490576522038E-2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f t="shared" si="0"/>
        <v>1</v>
      </c>
      <c r="X12" s="4">
        <v>3309008.7555867056</v>
      </c>
      <c r="Y12">
        <f t="shared" si="1"/>
        <v>0</v>
      </c>
      <c r="Z12">
        <f t="shared" si="2"/>
        <v>0</v>
      </c>
      <c r="AA12">
        <f t="shared" si="22"/>
        <v>0</v>
      </c>
      <c r="AB12">
        <f t="shared" si="22"/>
        <v>135607.43288090688</v>
      </c>
      <c r="AC12">
        <f t="shared" si="22"/>
        <v>3110042.1087405737</v>
      </c>
      <c r="AD12">
        <f t="shared" si="22"/>
        <v>63359.213965225361</v>
      </c>
      <c r="AE12">
        <f t="shared" si="22"/>
        <v>0</v>
      </c>
      <c r="AF12">
        <f t="shared" si="22"/>
        <v>0</v>
      </c>
      <c r="AG12">
        <f t="shared" si="22"/>
        <v>0</v>
      </c>
      <c r="AH12">
        <f t="shared" si="22"/>
        <v>0</v>
      </c>
      <c r="AI12">
        <f t="shared" si="22"/>
        <v>0</v>
      </c>
      <c r="AJ12">
        <f t="shared" si="22"/>
        <v>0</v>
      </c>
      <c r="AK12">
        <f t="shared" si="22"/>
        <v>0</v>
      </c>
      <c r="AL12">
        <f t="shared" si="22"/>
        <v>0</v>
      </c>
      <c r="AM12">
        <f t="shared" si="22"/>
        <v>0</v>
      </c>
      <c r="AN12">
        <f t="shared" si="22"/>
        <v>0</v>
      </c>
      <c r="AO12">
        <f t="shared" si="22"/>
        <v>0</v>
      </c>
      <c r="AP12">
        <f t="shared" si="41"/>
        <v>0</v>
      </c>
      <c r="AQ12">
        <f t="shared" si="41"/>
        <v>0</v>
      </c>
      <c r="AR12">
        <f t="shared" si="41"/>
        <v>0</v>
      </c>
      <c r="AS12">
        <f t="shared" si="41"/>
        <v>0</v>
      </c>
    </row>
    <row r="13" spans="1:45" x14ac:dyDescent="0.25">
      <c r="A13">
        <v>26</v>
      </c>
      <c r="B13">
        <v>0</v>
      </c>
      <c r="C13">
        <v>0</v>
      </c>
      <c r="D13">
        <v>0</v>
      </c>
      <c r="E13">
        <v>1.5681116680671657E-3</v>
      </c>
      <c r="F13">
        <v>0.84280017912561156</v>
      </c>
      <c r="G13">
        <v>0.15563170920632122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f t="shared" si="0"/>
        <v>0.99999999999999989</v>
      </c>
      <c r="X13" s="4">
        <v>1749841.7276313165</v>
      </c>
      <c r="Y13">
        <f t="shared" si="1"/>
        <v>0</v>
      </c>
      <c r="Z13">
        <f t="shared" si="2"/>
        <v>0</v>
      </c>
      <c r="AA13">
        <f t="shared" si="22"/>
        <v>0</v>
      </c>
      <c r="AB13">
        <f t="shared" si="22"/>
        <v>2743.9472303694747</v>
      </c>
      <c r="AC13">
        <f t="shared" si="22"/>
        <v>1474766.921489143</v>
      </c>
      <c r="AD13">
        <f t="shared" si="22"/>
        <v>272330.85891180381</v>
      </c>
      <c r="AE13">
        <f t="shared" si="22"/>
        <v>0</v>
      </c>
      <c r="AF13">
        <f t="shared" si="22"/>
        <v>0</v>
      </c>
      <c r="AG13">
        <f t="shared" si="22"/>
        <v>0</v>
      </c>
      <c r="AH13">
        <f t="shared" si="22"/>
        <v>0</v>
      </c>
      <c r="AI13">
        <f t="shared" si="22"/>
        <v>0</v>
      </c>
      <c r="AJ13">
        <f t="shared" si="22"/>
        <v>0</v>
      </c>
      <c r="AK13">
        <f t="shared" si="22"/>
        <v>0</v>
      </c>
      <c r="AL13">
        <f t="shared" si="22"/>
        <v>0</v>
      </c>
      <c r="AM13">
        <f t="shared" si="22"/>
        <v>0</v>
      </c>
      <c r="AN13">
        <f t="shared" si="22"/>
        <v>0</v>
      </c>
      <c r="AO13">
        <f t="shared" si="22"/>
        <v>0</v>
      </c>
      <c r="AP13">
        <f t="shared" si="41"/>
        <v>0</v>
      </c>
      <c r="AQ13">
        <f t="shared" si="41"/>
        <v>0</v>
      </c>
      <c r="AR13">
        <f t="shared" si="41"/>
        <v>0</v>
      </c>
      <c r="AS13">
        <f t="shared" si="41"/>
        <v>0</v>
      </c>
    </row>
    <row r="14" spans="1:45" x14ac:dyDescent="0.25">
      <c r="A14">
        <v>27</v>
      </c>
      <c r="B14">
        <v>0</v>
      </c>
      <c r="C14">
        <v>0</v>
      </c>
      <c r="D14">
        <v>0</v>
      </c>
      <c r="E14">
        <v>1.3372959534159105E-3</v>
      </c>
      <c r="F14">
        <v>0.68748850409607465</v>
      </c>
      <c r="G14">
        <v>0.31117419995050949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f t="shared" si="0"/>
        <v>1</v>
      </c>
      <c r="X14" s="4">
        <v>564959.59537247475</v>
      </c>
      <c r="Y14">
        <f t="shared" si="1"/>
        <v>0</v>
      </c>
      <c r="Z14">
        <f t="shared" si="2"/>
        <v>0</v>
      </c>
      <c r="AA14">
        <f t="shared" si="22"/>
        <v>0</v>
      </c>
      <c r="AB14">
        <f t="shared" si="22"/>
        <v>755.5181807351006</v>
      </c>
      <c r="AC14">
        <f t="shared" si="22"/>
        <v>388403.22709734627</v>
      </c>
      <c r="AD14">
        <f t="shared" si="22"/>
        <v>175800.85009439339</v>
      </c>
      <c r="AE14">
        <f t="shared" si="22"/>
        <v>0</v>
      </c>
      <c r="AF14">
        <f t="shared" si="22"/>
        <v>0</v>
      </c>
      <c r="AG14">
        <f t="shared" si="22"/>
        <v>0</v>
      </c>
      <c r="AH14">
        <f t="shared" si="22"/>
        <v>0</v>
      </c>
      <c r="AI14">
        <f t="shared" si="22"/>
        <v>0</v>
      </c>
      <c r="AJ14">
        <f t="shared" si="22"/>
        <v>0</v>
      </c>
      <c r="AK14">
        <f t="shared" si="22"/>
        <v>0</v>
      </c>
      <c r="AL14">
        <f t="shared" si="22"/>
        <v>0</v>
      </c>
      <c r="AM14">
        <f t="shared" si="22"/>
        <v>0</v>
      </c>
      <c r="AN14">
        <f t="shared" si="22"/>
        <v>0</v>
      </c>
      <c r="AO14">
        <f t="shared" si="22"/>
        <v>0</v>
      </c>
      <c r="AP14">
        <f t="shared" si="41"/>
        <v>0</v>
      </c>
      <c r="AQ14">
        <f t="shared" si="41"/>
        <v>0</v>
      </c>
      <c r="AR14">
        <f t="shared" si="41"/>
        <v>0</v>
      </c>
      <c r="AS14">
        <f t="shared" si="41"/>
        <v>0</v>
      </c>
    </row>
    <row r="15" spans="1:45" x14ac:dyDescent="0.25">
      <c r="A15">
        <v>28</v>
      </c>
      <c r="B15">
        <v>0</v>
      </c>
      <c r="C15">
        <v>0</v>
      </c>
      <c r="D15">
        <v>0</v>
      </c>
      <c r="E15">
        <v>0</v>
      </c>
      <c r="F15">
        <v>9.1831004696651605E-2</v>
      </c>
      <c r="G15" s="3">
        <v>0.8875818327826499</v>
      </c>
      <c r="H15">
        <v>2.0587162520698459E-2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f t="shared" si="0"/>
        <v>1</v>
      </c>
      <c r="X15" s="4">
        <v>81.068727345828407</v>
      </c>
      <c r="Y15">
        <f t="shared" si="1"/>
        <v>0</v>
      </c>
      <c r="Z15">
        <f t="shared" si="2"/>
        <v>0</v>
      </c>
      <c r="AA15">
        <f t="shared" si="22"/>
        <v>0</v>
      </c>
      <c r="AB15">
        <f t="shared" si="22"/>
        <v>0</v>
      </c>
      <c r="AC15">
        <f t="shared" si="22"/>
        <v>7.4446226816463366</v>
      </c>
      <c r="AD15">
        <f t="shared" si="22"/>
        <v>71.955129598967304</v>
      </c>
      <c r="AE15">
        <f t="shared" si="22"/>
        <v>1.6689750652147608</v>
      </c>
      <c r="AF15">
        <f t="shared" si="22"/>
        <v>0</v>
      </c>
      <c r="AG15">
        <f t="shared" si="22"/>
        <v>0</v>
      </c>
      <c r="AH15">
        <f t="shared" si="22"/>
        <v>0</v>
      </c>
      <c r="AI15">
        <f t="shared" si="22"/>
        <v>0</v>
      </c>
      <c r="AJ15">
        <f t="shared" si="22"/>
        <v>0</v>
      </c>
      <c r="AK15">
        <f t="shared" si="22"/>
        <v>0</v>
      </c>
      <c r="AL15">
        <f t="shared" si="22"/>
        <v>0</v>
      </c>
      <c r="AM15">
        <f t="shared" si="22"/>
        <v>0</v>
      </c>
      <c r="AN15">
        <f t="shared" si="22"/>
        <v>0</v>
      </c>
      <c r="AO15">
        <f t="shared" si="22"/>
        <v>0</v>
      </c>
      <c r="AP15">
        <f t="shared" si="41"/>
        <v>0</v>
      </c>
      <c r="AQ15">
        <f t="shared" si="41"/>
        <v>0</v>
      </c>
      <c r="AR15">
        <f t="shared" si="41"/>
        <v>0</v>
      </c>
      <c r="AS15">
        <f t="shared" si="41"/>
        <v>0</v>
      </c>
    </row>
    <row r="16" spans="1:45" x14ac:dyDescent="0.25">
      <c r="A16">
        <v>29</v>
      </c>
      <c r="B16">
        <v>0</v>
      </c>
      <c r="C16">
        <v>0</v>
      </c>
      <c r="D16">
        <v>0</v>
      </c>
      <c r="E16">
        <v>0</v>
      </c>
      <c r="F16">
        <v>1.5909614158726746E-2</v>
      </c>
      <c r="G16">
        <v>0.60758034162622232</v>
      </c>
      <c r="H16">
        <v>0.37651004421505097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f t="shared" si="0"/>
        <v>1</v>
      </c>
      <c r="X16" s="4">
        <v>0</v>
      </c>
      <c r="Y16">
        <f t="shared" si="1"/>
        <v>0</v>
      </c>
      <c r="Z16">
        <f t="shared" si="2"/>
        <v>0</v>
      </c>
      <c r="AA16">
        <f t="shared" si="22"/>
        <v>0</v>
      </c>
      <c r="AB16">
        <f t="shared" si="22"/>
        <v>0</v>
      </c>
      <c r="AC16">
        <f t="shared" si="22"/>
        <v>0</v>
      </c>
      <c r="AD16">
        <f t="shared" si="22"/>
        <v>0</v>
      </c>
      <c r="AE16">
        <f t="shared" si="22"/>
        <v>0</v>
      </c>
      <c r="AF16">
        <f t="shared" si="22"/>
        <v>0</v>
      </c>
      <c r="AG16">
        <f t="shared" si="22"/>
        <v>0</v>
      </c>
      <c r="AH16">
        <f t="shared" si="22"/>
        <v>0</v>
      </c>
      <c r="AI16">
        <f t="shared" si="22"/>
        <v>0</v>
      </c>
      <c r="AJ16">
        <f t="shared" si="22"/>
        <v>0</v>
      </c>
      <c r="AK16">
        <f t="shared" si="22"/>
        <v>0</v>
      </c>
      <c r="AL16">
        <f t="shared" si="22"/>
        <v>0</v>
      </c>
      <c r="AM16">
        <f t="shared" si="22"/>
        <v>0</v>
      </c>
      <c r="AN16">
        <f t="shared" si="22"/>
        <v>0</v>
      </c>
      <c r="AO16">
        <f t="shared" si="22"/>
        <v>0</v>
      </c>
      <c r="AP16">
        <f t="shared" si="41"/>
        <v>0</v>
      </c>
      <c r="AQ16">
        <f t="shared" si="41"/>
        <v>0</v>
      </c>
      <c r="AR16">
        <f t="shared" si="41"/>
        <v>0</v>
      </c>
      <c r="AS16">
        <f t="shared" si="41"/>
        <v>0</v>
      </c>
    </row>
    <row r="17" spans="1:45" x14ac:dyDescent="0.25">
      <c r="A17">
        <v>30</v>
      </c>
      <c r="B17">
        <v>0</v>
      </c>
      <c r="C17">
        <v>0</v>
      </c>
      <c r="D17">
        <v>0</v>
      </c>
      <c r="E17">
        <v>0</v>
      </c>
      <c r="F17">
        <v>1.0147737653508789E-2</v>
      </c>
      <c r="G17">
        <v>6.5141491119273573E-2</v>
      </c>
      <c r="H17" s="3">
        <v>0.8880088549822962</v>
      </c>
      <c r="I17">
        <v>3.6701916244921473E-2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f t="shared" si="0"/>
        <v>1</v>
      </c>
      <c r="X17" s="4">
        <v>529.631363839247</v>
      </c>
      <c r="Y17">
        <f t="shared" si="1"/>
        <v>0</v>
      </c>
      <c r="Z17">
        <f t="shared" si="2"/>
        <v>0</v>
      </c>
      <c r="AA17">
        <f t="shared" si="22"/>
        <v>0</v>
      </c>
      <c r="AB17">
        <f t="shared" si="22"/>
        <v>0</v>
      </c>
      <c r="AC17">
        <f t="shared" si="22"/>
        <v>5.37456013331074</v>
      </c>
      <c r="AD17">
        <f t="shared" si="22"/>
        <v>34.500976784023059</v>
      </c>
      <c r="AE17">
        <f t="shared" si="22"/>
        <v>470.31734096560166</v>
      </c>
      <c r="AF17">
        <f t="shared" si="22"/>
        <v>19.438485956311574</v>
      </c>
      <c r="AG17">
        <f t="shared" si="22"/>
        <v>0</v>
      </c>
      <c r="AH17">
        <f t="shared" si="22"/>
        <v>0</v>
      </c>
      <c r="AI17">
        <f t="shared" si="22"/>
        <v>0</v>
      </c>
      <c r="AJ17">
        <f t="shared" si="22"/>
        <v>0</v>
      </c>
      <c r="AK17">
        <f t="shared" si="22"/>
        <v>0</v>
      </c>
      <c r="AL17">
        <f t="shared" si="22"/>
        <v>0</v>
      </c>
      <c r="AM17">
        <f t="shared" si="22"/>
        <v>0</v>
      </c>
      <c r="AN17">
        <f t="shared" si="22"/>
        <v>0</v>
      </c>
      <c r="AO17">
        <f t="shared" si="22"/>
        <v>0</v>
      </c>
      <c r="AP17">
        <f t="shared" si="41"/>
        <v>0</v>
      </c>
      <c r="AQ17">
        <f t="shared" si="41"/>
        <v>0</v>
      </c>
      <c r="AR17">
        <f t="shared" si="41"/>
        <v>0</v>
      </c>
      <c r="AS17">
        <f t="shared" si="41"/>
        <v>0</v>
      </c>
    </row>
    <row r="18" spans="1:45" x14ac:dyDescent="0.25">
      <c r="A18">
        <v>31</v>
      </c>
      <c r="B18">
        <v>0</v>
      </c>
      <c r="C18">
        <v>0</v>
      </c>
      <c r="D18">
        <v>0</v>
      </c>
      <c r="E18">
        <v>0</v>
      </c>
      <c r="F18">
        <v>0</v>
      </c>
      <c r="G18">
        <v>3.4596451805718104E-2</v>
      </c>
      <c r="H18">
        <v>0.8308233353436546</v>
      </c>
      <c r="I18">
        <v>0.13458021285062732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f t="shared" si="0"/>
        <v>1</v>
      </c>
      <c r="X18" s="4">
        <v>0</v>
      </c>
      <c r="Y18">
        <f t="shared" si="1"/>
        <v>0</v>
      </c>
      <c r="Z18">
        <f t="shared" si="2"/>
        <v>0</v>
      </c>
      <c r="AA18">
        <f t="shared" si="22"/>
        <v>0</v>
      </c>
      <c r="AB18">
        <f t="shared" si="22"/>
        <v>0</v>
      </c>
      <c r="AC18">
        <f t="shared" si="22"/>
        <v>0</v>
      </c>
      <c r="AD18">
        <f t="shared" si="22"/>
        <v>0</v>
      </c>
      <c r="AE18">
        <f t="shared" si="22"/>
        <v>0</v>
      </c>
      <c r="AF18">
        <f t="shared" si="22"/>
        <v>0</v>
      </c>
      <c r="AG18">
        <f t="shared" si="22"/>
        <v>0</v>
      </c>
      <c r="AH18">
        <f t="shared" si="22"/>
        <v>0</v>
      </c>
      <c r="AI18">
        <f t="shared" si="22"/>
        <v>0</v>
      </c>
      <c r="AJ18">
        <f t="shared" si="22"/>
        <v>0</v>
      </c>
      <c r="AK18">
        <f t="shared" si="22"/>
        <v>0</v>
      </c>
      <c r="AL18">
        <f t="shared" si="22"/>
        <v>0</v>
      </c>
      <c r="AM18">
        <f t="shared" si="22"/>
        <v>0</v>
      </c>
      <c r="AN18">
        <f t="shared" si="22"/>
        <v>0</v>
      </c>
      <c r="AO18">
        <f t="shared" si="22"/>
        <v>0</v>
      </c>
      <c r="AP18">
        <f t="shared" si="41"/>
        <v>0</v>
      </c>
      <c r="AQ18">
        <f t="shared" si="41"/>
        <v>0</v>
      </c>
      <c r="AR18">
        <f t="shared" si="41"/>
        <v>0</v>
      </c>
      <c r="AS18">
        <f t="shared" si="41"/>
        <v>0</v>
      </c>
    </row>
    <row r="19" spans="1:45" x14ac:dyDescent="0.25">
      <c r="A19">
        <v>32</v>
      </c>
      <c r="B19">
        <v>0</v>
      </c>
      <c r="C19">
        <v>0</v>
      </c>
      <c r="D19">
        <v>0</v>
      </c>
      <c r="E19">
        <v>0</v>
      </c>
      <c r="F19">
        <v>0</v>
      </c>
      <c r="G19">
        <v>1.7272811928892671E-3</v>
      </c>
      <c r="H19">
        <v>0.50342441324392551</v>
      </c>
      <c r="I19">
        <v>0.49484830556318521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f t="shared" si="0"/>
        <v>1</v>
      </c>
      <c r="X19" s="4">
        <v>0</v>
      </c>
      <c r="Y19">
        <f t="shared" si="1"/>
        <v>0</v>
      </c>
      <c r="Z19">
        <f t="shared" si="2"/>
        <v>0</v>
      </c>
      <c r="AA19">
        <f t="shared" si="22"/>
        <v>0</v>
      </c>
      <c r="AB19">
        <f t="shared" si="22"/>
        <v>0</v>
      </c>
      <c r="AC19">
        <f t="shared" si="22"/>
        <v>0</v>
      </c>
      <c r="AD19">
        <f t="shared" si="22"/>
        <v>0</v>
      </c>
      <c r="AE19">
        <f t="shared" si="22"/>
        <v>0</v>
      </c>
      <c r="AF19">
        <f t="shared" si="22"/>
        <v>0</v>
      </c>
      <c r="AG19">
        <f t="shared" si="22"/>
        <v>0</v>
      </c>
      <c r="AH19">
        <f t="shared" si="22"/>
        <v>0</v>
      </c>
      <c r="AI19">
        <f t="shared" si="22"/>
        <v>0</v>
      </c>
      <c r="AJ19">
        <f t="shared" si="22"/>
        <v>0</v>
      </c>
      <c r="AK19">
        <f t="shared" si="22"/>
        <v>0</v>
      </c>
      <c r="AL19">
        <f t="shared" si="22"/>
        <v>0</v>
      </c>
      <c r="AM19">
        <f t="shared" si="22"/>
        <v>0</v>
      </c>
      <c r="AN19">
        <f t="shared" si="22"/>
        <v>0</v>
      </c>
      <c r="AO19">
        <f t="shared" si="22"/>
        <v>0</v>
      </c>
      <c r="AP19">
        <f t="shared" si="41"/>
        <v>0</v>
      </c>
      <c r="AQ19">
        <f t="shared" si="41"/>
        <v>0</v>
      </c>
      <c r="AR19">
        <f t="shared" si="41"/>
        <v>0</v>
      </c>
      <c r="AS19">
        <f t="shared" si="41"/>
        <v>0</v>
      </c>
    </row>
    <row r="20" spans="1:45" x14ac:dyDescent="0.25">
      <c r="A20">
        <v>33</v>
      </c>
      <c r="B20">
        <v>0</v>
      </c>
      <c r="C20">
        <v>0</v>
      </c>
      <c r="D20">
        <v>0</v>
      </c>
      <c r="E20">
        <v>0</v>
      </c>
      <c r="F20">
        <v>0</v>
      </c>
      <c r="G20">
        <v>1.4867201955614964E-4</v>
      </c>
      <c r="H20">
        <v>0.2098521361106481</v>
      </c>
      <c r="I20">
        <v>0.78999919186979584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f t="shared" si="0"/>
        <v>1</v>
      </c>
      <c r="X20" s="4">
        <v>26275.038008950891</v>
      </c>
      <c r="Y20">
        <f t="shared" si="1"/>
        <v>0</v>
      </c>
      <c r="Z20">
        <f t="shared" si="2"/>
        <v>0</v>
      </c>
      <c r="AA20">
        <f t="shared" si="22"/>
        <v>0</v>
      </c>
      <c r="AB20">
        <f t="shared" si="22"/>
        <v>0</v>
      </c>
      <c r="AC20">
        <f t="shared" si="22"/>
        <v>0</v>
      </c>
      <c r="AD20">
        <f t="shared" si="22"/>
        <v>3.906362964705322</v>
      </c>
      <c r="AE20">
        <f t="shared" si="22"/>
        <v>5513.8728525668148</v>
      </c>
      <c r="AF20">
        <f t="shared" si="22"/>
        <v>20757.258793419373</v>
      </c>
      <c r="AG20">
        <f t="shared" si="22"/>
        <v>0</v>
      </c>
      <c r="AH20">
        <f t="shared" si="22"/>
        <v>0</v>
      </c>
      <c r="AI20">
        <f t="shared" si="22"/>
        <v>0</v>
      </c>
      <c r="AJ20">
        <f t="shared" si="22"/>
        <v>0</v>
      </c>
      <c r="AK20">
        <f t="shared" si="22"/>
        <v>0</v>
      </c>
      <c r="AL20">
        <f t="shared" si="22"/>
        <v>0</v>
      </c>
      <c r="AM20">
        <f t="shared" si="22"/>
        <v>0</v>
      </c>
      <c r="AN20">
        <f t="shared" si="22"/>
        <v>0</v>
      </c>
      <c r="AO20">
        <f t="shared" si="22"/>
        <v>0</v>
      </c>
      <c r="AP20">
        <f t="shared" si="41"/>
        <v>0</v>
      </c>
      <c r="AQ20">
        <f t="shared" si="41"/>
        <v>0</v>
      </c>
      <c r="AR20">
        <f t="shared" si="41"/>
        <v>0</v>
      </c>
      <c r="AS20">
        <f t="shared" si="41"/>
        <v>0</v>
      </c>
    </row>
    <row r="21" spans="1:45" x14ac:dyDescent="0.25">
      <c r="A21">
        <v>34</v>
      </c>
      <c r="B21">
        <v>0</v>
      </c>
      <c r="C21">
        <v>0</v>
      </c>
      <c r="D21">
        <v>0</v>
      </c>
      <c r="E21">
        <v>0</v>
      </c>
      <c r="F21">
        <v>0</v>
      </c>
      <c r="G21">
        <v>5.4932873512055511E-4</v>
      </c>
      <c r="H21">
        <v>5.1435092262611767E-2</v>
      </c>
      <c r="I21" s="3">
        <v>0.83375366025196773</v>
      </c>
      <c r="J21">
        <v>0.11426191875029995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f t="shared" si="0"/>
        <v>1</v>
      </c>
      <c r="X21" s="4">
        <v>48171.575603508682</v>
      </c>
      <c r="Y21">
        <f t="shared" si="1"/>
        <v>0</v>
      </c>
      <c r="Z21">
        <f t="shared" si="1"/>
        <v>0</v>
      </c>
      <c r="AA21">
        <f t="shared" ref="AA21:AN36" si="42">D21*$X21</f>
        <v>0</v>
      </c>
      <c r="AB21">
        <f t="shared" si="42"/>
        <v>0</v>
      </c>
      <c r="AC21">
        <f t="shared" si="42"/>
        <v>0</v>
      </c>
      <c r="AD21">
        <f t="shared" si="42"/>
        <v>26.462030695039616</v>
      </c>
      <c r="AE21">
        <f t="shared" si="42"/>
        <v>2477.709435601847</v>
      </c>
      <c r="AF21">
        <f t="shared" si="42"/>
        <v>40163.227479529756</v>
      </c>
      <c r="AG21">
        <f t="shared" si="42"/>
        <v>5504.1766576820401</v>
      </c>
      <c r="AH21">
        <f t="shared" si="42"/>
        <v>0</v>
      </c>
      <c r="AI21">
        <f t="shared" si="42"/>
        <v>0</v>
      </c>
      <c r="AJ21">
        <f t="shared" si="42"/>
        <v>0</v>
      </c>
      <c r="AK21">
        <f t="shared" si="42"/>
        <v>0</v>
      </c>
      <c r="AL21">
        <f t="shared" si="42"/>
        <v>0</v>
      </c>
      <c r="AM21">
        <f t="shared" si="42"/>
        <v>0</v>
      </c>
      <c r="AN21">
        <f t="shared" si="42"/>
        <v>0</v>
      </c>
      <c r="AO21">
        <f t="shared" si="41"/>
        <v>0</v>
      </c>
      <c r="AP21">
        <f t="shared" si="41"/>
        <v>0</v>
      </c>
      <c r="AQ21">
        <f t="shared" si="41"/>
        <v>0</v>
      </c>
      <c r="AR21">
        <f t="shared" si="41"/>
        <v>0</v>
      </c>
      <c r="AS21">
        <f t="shared" si="41"/>
        <v>0</v>
      </c>
    </row>
    <row r="22" spans="1:45" x14ac:dyDescent="0.25">
      <c r="A22">
        <v>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3.9526741295222252E-3</v>
      </c>
      <c r="I22">
        <v>0.46745347435287427</v>
      </c>
      <c r="J22">
        <v>0.49733501985681838</v>
      </c>
      <c r="K22">
        <v>3.1258831660785212E-2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f t="shared" si="0"/>
        <v>1</v>
      </c>
      <c r="X22" s="4">
        <v>1623821.5888866349</v>
      </c>
      <c r="Y22">
        <f t="shared" ref="Y22:Z37" si="43">B22*$X22</f>
        <v>0</v>
      </c>
      <c r="Z22">
        <f t="shared" si="43"/>
        <v>0</v>
      </c>
      <c r="AA22">
        <f t="shared" si="42"/>
        <v>0</v>
      </c>
      <c r="AB22">
        <f t="shared" si="42"/>
        <v>0</v>
      </c>
      <c r="AC22">
        <f t="shared" si="42"/>
        <v>0</v>
      </c>
      <c r="AD22">
        <f t="shared" si="42"/>
        <v>0</v>
      </c>
      <c r="AE22">
        <f t="shared" si="42"/>
        <v>6418.4375853518759</v>
      </c>
      <c r="AF22">
        <f t="shared" si="42"/>
        <v>759061.04345426208</v>
      </c>
      <c r="AG22">
        <f t="shared" si="42"/>
        <v>807583.34215286491</v>
      </c>
      <c r="AH22">
        <f t="shared" si="42"/>
        <v>50758.765694156093</v>
      </c>
      <c r="AI22">
        <f t="shared" si="42"/>
        <v>0</v>
      </c>
      <c r="AJ22">
        <f t="shared" si="42"/>
        <v>0</v>
      </c>
      <c r="AK22">
        <f t="shared" si="42"/>
        <v>0</v>
      </c>
      <c r="AL22">
        <f t="shared" si="42"/>
        <v>0</v>
      </c>
      <c r="AM22">
        <f t="shared" si="42"/>
        <v>0</v>
      </c>
      <c r="AN22">
        <f t="shared" si="42"/>
        <v>0</v>
      </c>
      <c r="AO22">
        <f t="shared" si="41"/>
        <v>0</v>
      </c>
      <c r="AP22">
        <f t="shared" si="41"/>
        <v>0</v>
      </c>
      <c r="AQ22">
        <f t="shared" si="41"/>
        <v>0</v>
      </c>
      <c r="AR22">
        <f t="shared" si="41"/>
        <v>0</v>
      </c>
      <c r="AS22">
        <f t="shared" si="41"/>
        <v>0</v>
      </c>
    </row>
    <row r="23" spans="1:45" x14ac:dyDescent="0.25">
      <c r="A23">
        <v>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5.0404076372749908E-3</v>
      </c>
      <c r="I23">
        <v>0.23609239839260002</v>
      </c>
      <c r="J23" s="3">
        <v>0.72318899560566141</v>
      </c>
      <c r="K23">
        <v>3.5678198364463599E-2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f t="shared" si="0"/>
        <v>1</v>
      </c>
      <c r="X23" s="4">
        <v>7208518.0377501752</v>
      </c>
      <c r="Y23">
        <f t="shared" si="43"/>
        <v>0</v>
      </c>
      <c r="Z23">
        <f t="shared" si="43"/>
        <v>0</v>
      </c>
      <c r="AA23">
        <f t="shared" si="42"/>
        <v>0</v>
      </c>
      <c r="AB23">
        <f t="shared" si="42"/>
        <v>0</v>
      </c>
      <c r="AC23">
        <f t="shared" si="42"/>
        <v>0</v>
      </c>
      <c r="AD23">
        <f t="shared" si="42"/>
        <v>0</v>
      </c>
      <c r="AE23">
        <f t="shared" si="42"/>
        <v>36333.869370910514</v>
      </c>
      <c r="AF23">
        <f t="shared" si="42"/>
        <v>1701876.3123887577</v>
      </c>
      <c r="AG23">
        <f t="shared" si="42"/>
        <v>5213120.9195258422</v>
      </c>
      <c r="AH23">
        <f t="shared" si="42"/>
        <v>257186.93646466464</v>
      </c>
      <c r="AI23">
        <f t="shared" si="42"/>
        <v>0</v>
      </c>
      <c r="AJ23">
        <f t="shared" si="42"/>
        <v>0</v>
      </c>
      <c r="AK23">
        <f t="shared" si="42"/>
        <v>0</v>
      </c>
      <c r="AL23">
        <f t="shared" si="42"/>
        <v>0</v>
      </c>
      <c r="AM23">
        <f t="shared" si="42"/>
        <v>0</v>
      </c>
      <c r="AN23">
        <f t="shared" si="42"/>
        <v>0</v>
      </c>
      <c r="AO23">
        <f t="shared" si="41"/>
        <v>0</v>
      </c>
      <c r="AP23">
        <f t="shared" si="41"/>
        <v>0</v>
      </c>
      <c r="AQ23">
        <f t="shared" si="41"/>
        <v>0</v>
      </c>
      <c r="AR23">
        <f t="shared" si="41"/>
        <v>0</v>
      </c>
      <c r="AS23">
        <f t="shared" si="41"/>
        <v>0</v>
      </c>
    </row>
    <row r="24" spans="1:45" x14ac:dyDescent="0.25">
      <c r="A24">
        <v>37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8.586333124370038E-2</v>
      </c>
      <c r="J24">
        <v>0.63336011342584908</v>
      </c>
      <c r="K24">
        <v>0.28077655533045054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f t="shared" si="0"/>
        <v>1</v>
      </c>
      <c r="X24" s="4">
        <v>14500427.012898153</v>
      </c>
      <c r="Y24">
        <f t="shared" si="43"/>
        <v>0</v>
      </c>
      <c r="Z24">
        <f t="shared" si="43"/>
        <v>0</v>
      </c>
      <c r="AA24">
        <f t="shared" si="42"/>
        <v>0</v>
      </c>
      <c r="AB24">
        <f t="shared" si="42"/>
        <v>0</v>
      </c>
      <c r="AC24">
        <f t="shared" si="42"/>
        <v>0</v>
      </c>
      <c r="AD24">
        <f t="shared" si="42"/>
        <v>0</v>
      </c>
      <c r="AE24">
        <f t="shared" si="42"/>
        <v>0</v>
      </c>
      <c r="AF24">
        <f t="shared" si="42"/>
        <v>1245054.9677835749</v>
      </c>
      <c r="AG24">
        <f t="shared" si="42"/>
        <v>9183992.0976124201</v>
      </c>
      <c r="AH24">
        <f t="shared" si="42"/>
        <v>4071379.9475021577</v>
      </c>
      <c r="AI24">
        <f t="shared" si="42"/>
        <v>0</v>
      </c>
      <c r="AJ24">
        <f t="shared" si="42"/>
        <v>0</v>
      </c>
      <c r="AK24">
        <f t="shared" si="42"/>
        <v>0</v>
      </c>
      <c r="AL24">
        <f t="shared" si="42"/>
        <v>0</v>
      </c>
      <c r="AM24">
        <f t="shared" si="42"/>
        <v>0</v>
      </c>
      <c r="AN24">
        <f t="shared" si="42"/>
        <v>0</v>
      </c>
      <c r="AO24">
        <f t="shared" ref="AO24:AS51" si="44">R24*$X24</f>
        <v>0</v>
      </c>
      <c r="AP24">
        <f t="shared" si="44"/>
        <v>0</v>
      </c>
      <c r="AQ24">
        <f t="shared" si="44"/>
        <v>0</v>
      </c>
      <c r="AR24">
        <f t="shared" si="44"/>
        <v>0</v>
      </c>
      <c r="AS24">
        <f t="shared" si="44"/>
        <v>0</v>
      </c>
    </row>
    <row r="25" spans="1:45" x14ac:dyDescent="0.25">
      <c r="A25">
        <v>38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8.4553565691991247E-4</v>
      </c>
      <c r="J25">
        <v>7.3087715599216799E-2</v>
      </c>
      <c r="K25" s="3">
        <v>0.82199321732357022</v>
      </c>
      <c r="L25">
        <v>9.7160124474993462E-2</v>
      </c>
      <c r="M25">
        <v>6.9134069452996523E-3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f t="shared" si="0"/>
        <v>1</v>
      </c>
      <c r="X25" s="4">
        <v>12571235.659601793</v>
      </c>
      <c r="Y25">
        <f t="shared" si="43"/>
        <v>0</v>
      </c>
      <c r="Z25">
        <f t="shared" si="43"/>
        <v>0</v>
      </c>
      <c r="AA25">
        <f t="shared" si="42"/>
        <v>0</v>
      </c>
      <c r="AB25">
        <f t="shared" si="42"/>
        <v>0</v>
      </c>
      <c r="AC25">
        <f t="shared" si="42"/>
        <v>0</v>
      </c>
      <c r="AD25">
        <f t="shared" si="42"/>
        <v>0</v>
      </c>
      <c r="AE25">
        <f t="shared" si="42"/>
        <v>0</v>
      </c>
      <c r="AF25">
        <f t="shared" si="42"/>
        <v>10629.428001736431</v>
      </c>
      <c r="AG25">
        <f t="shared" si="42"/>
        <v>918802.89661970839</v>
      </c>
      <c r="AH25">
        <f t="shared" si="42"/>
        <v>10333470.445568873</v>
      </c>
      <c r="AI25">
        <f t="shared" si="42"/>
        <v>1221422.8214913867</v>
      </c>
      <c r="AJ25">
        <f t="shared" si="42"/>
        <v>86910.067920089685</v>
      </c>
      <c r="AK25">
        <f t="shared" si="42"/>
        <v>0</v>
      </c>
      <c r="AL25">
        <f t="shared" si="42"/>
        <v>0</v>
      </c>
      <c r="AM25">
        <f t="shared" si="42"/>
        <v>0</v>
      </c>
      <c r="AN25">
        <f t="shared" si="42"/>
        <v>0</v>
      </c>
      <c r="AO25">
        <f t="shared" si="44"/>
        <v>0</v>
      </c>
      <c r="AP25">
        <f t="shared" si="44"/>
        <v>0</v>
      </c>
      <c r="AQ25">
        <f t="shared" si="44"/>
        <v>0</v>
      </c>
      <c r="AR25">
        <f t="shared" si="44"/>
        <v>0</v>
      </c>
      <c r="AS25">
        <f t="shared" si="44"/>
        <v>0</v>
      </c>
    </row>
    <row r="26" spans="1:45" x14ac:dyDescent="0.25">
      <c r="A26">
        <v>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9.1146860833055728E-3</v>
      </c>
      <c r="K26">
        <v>0.56614290535477252</v>
      </c>
      <c r="L26">
        <v>0.37462010663716994</v>
      </c>
      <c r="M26">
        <v>5.0122301924751991E-2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f t="shared" si="0"/>
        <v>1</v>
      </c>
      <c r="X26" s="4">
        <v>8419584.3332350198</v>
      </c>
      <c r="Y26">
        <f t="shared" si="43"/>
        <v>0</v>
      </c>
      <c r="Z26">
        <f t="shared" si="43"/>
        <v>0</v>
      </c>
      <c r="AA26">
        <f t="shared" si="42"/>
        <v>0</v>
      </c>
      <c r="AB26">
        <f t="shared" si="42"/>
        <v>0</v>
      </c>
      <c r="AC26">
        <f t="shared" si="42"/>
        <v>0</v>
      </c>
      <c r="AD26">
        <f t="shared" si="42"/>
        <v>0</v>
      </c>
      <c r="AE26">
        <f t="shared" si="42"/>
        <v>0</v>
      </c>
      <c r="AF26">
        <f t="shared" si="42"/>
        <v>0</v>
      </c>
      <c r="AG26">
        <f t="shared" si="42"/>
        <v>76741.868149354865</v>
      </c>
      <c r="AH26">
        <f t="shared" si="42"/>
        <v>4766687.9362971997</v>
      </c>
      <c r="AI26">
        <f t="shared" si="42"/>
        <v>3154145.5807571486</v>
      </c>
      <c r="AJ26">
        <f t="shared" si="42"/>
        <v>422008.94803131733</v>
      </c>
      <c r="AK26">
        <f t="shared" si="42"/>
        <v>0</v>
      </c>
      <c r="AL26">
        <f t="shared" si="42"/>
        <v>0</v>
      </c>
      <c r="AM26">
        <f t="shared" si="42"/>
        <v>0</v>
      </c>
      <c r="AN26">
        <f t="shared" si="42"/>
        <v>0</v>
      </c>
      <c r="AO26">
        <f t="shared" si="44"/>
        <v>0</v>
      </c>
      <c r="AP26">
        <f t="shared" si="44"/>
        <v>0</v>
      </c>
      <c r="AQ26">
        <f t="shared" si="44"/>
        <v>0</v>
      </c>
      <c r="AR26">
        <f t="shared" si="44"/>
        <v>0</v>
      </c>
      <c r="AS26">
        <f t="shared" si="44"/>
        <v>0</v>
      </c>
    </row>
    <row r="27" spans="1:45" x14ac:dyDescent="0.25">
      <c r="A27">
        <v>40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5.6791134684124772E-4</v>
      </c>
      <c r="K27">
        <v>0.42788724807189538</v>
      </c>
      <c r="L27">
        <v>0.52130587296455855</v>
      </c>
      <c r="M27">
        <v>2.5119483808352397E-2</v>
      </c>
      <c r="N27">
        <v>2.5119483808352397E-2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f t="shared" si="0"/>
        <v>1</v>
      </c>
      <c r="X27" s="4">
        <v>6860828.700520305</v>
      </c>
      <c r="Y27">
        <f t="shared" si="43"/>
        <v>0</v>
      </c>
      <c r="Z27">
        <f t="shared" si="43"/>
        <v>0</v>
      </c>
      <c r="AA27">
        <f t="shared" si="42"/>
        <v>0</v>
      </c>
      <c r="AB27">
        <f t="shared" si="42"/>
        <v>0</v>
      </c>
      <c r="AC27">
        <f t="shared" si="42"/>
        <v>0</v>
      </c>
      <c r="AD27">
        <f t="shared" si="42"/>
        <v>0</v>
      </c>
      <c r="AE27">
        <f t="shared" si="42"/>
        <v>0</v>
      </c>
      <c r="AF27">
        <f t="shared" si="42"/>
        <v>0</v>
      </c>
      <c r="AG27">
        <f t="shared" si="42"/>
        <v>3896.342467759574</v>
      </c>
      <c r="AH27">
        <f t="shared" si="42"/>
        <v>2935661.1121583115</v>
      </c>
      <c r="AI27">
        <f t="shared" si="42"/>
        <v>3576590.2949850354</v>
      </c>
      <c r="AJ27">
        <f t="shared" si="42"/>
        <v>172340.47545459922</v>
      </c>
      <c r="AK27">
        <f t="shared" si="42"/>
        <v>172340.47545459922</v>
      </c>
      <c r="AL27">
        <f t="shared" si="42"/>
        <v>0</v>
      </c>
      <c r="AM27">
        <f t="shared" si="42"/>
        <v>0</v>
      </c>
      <c r="AN27">
        <f t="shared" si="42"/>
        <v>0</v>
      </c>
      <c r="AO27">
        <f t="shared" si="44"/>
        <v>0</v>
      </c>
      <c r="AP27">
        <f t="shared" si="44"/>
        <v>0</v>
      </c>
      <c r="AQ27">
        <f t="shared" si="44"/>
        <v>0</v>
      </c>
      <c r="AR27">
        <f t="shared" si="44"/>
        <v>0</v>
      </c>
      <c r="AS27">
        <f t="shared" si="44"/>
        <v>0</v>
      </c>
    </row>
    <row r="28" spans="1:45" x14ac:dyDescent="0.25">
      <c r="A28">
        <v>41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0.22010979506749692</v>
      </c>
      <c r="L28">
        <v>0.65672074291047289</v>
      </c>
      <c r="M28">
        <v>0.12316946202203023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f t="shared" si="0"/>
        <v>1</v>
      </c>
      <c r="X28" s="4">
        <v>5738577.405984005</v>
      </c>
      <c r="Y28">
        <f t="shared" si="43"/>
        <v>0</v>
      </c>
      <c r="Z28">
        <f t="shared" si="43"/>
        <v>0</v>
      </c>
      <c r="AA28">
        <f t="shared" si="42"/>
        <v>0</v>
      </c>
      <c r="AB28">
        <f t="shared" si="42"/>
        <v>0</v>
      </c>
      <c r="AC28">
        <f t="shared" si="42"/>
        <v>0</v>
      </c>
      <c r="AD28">
        <f t="shared" si="42"/>
        <v>0</v>
      </c>
      <c r="AE28">
        <f t="shared" si="42"/>
        <v>0</v>
      </c>
      <c r="AF28">
        <f t="shared" si="42"/>
        <v>0</v>
      </c>
      <c r="AG28">
        <f t="shared" si="42"/>
        <v>0</v>
      </c>
      <c r="AH28">
        <f t="shared" si="42"/>
        <v>1263117.0968101074</v>
      </c>
      <c r="AI28">
        <f t="shared" si="42"/>
        <v>3768642.8173070699</v>
      </c>
      <c r="AJ28">
        <f t="shared" si="42"/>
        <v>706817.49186682771</v>
      </c>
      <c r="AK28">
        <f t="shared" si="42"/>
        <v>0</v>
      </c>
      <c r="AL28">
        <f t="shared" si="42"/>
        <v>0</v>
      </c>
      <c r="AM28">
        <f t="shared" si="42"/>
        <v>0</v>
      </c>
      <c r="AN28">
        <f t="shared" si="42"/>
        <v>0</v>
      </c>
      <c r="AO28">
        <f t="shared" si="44"/>
        <v>0</v>
      </c>
      <c r="AP28">
        <f t="shared" si="44"/>
        <v>0</v>
      </c>
      <c r="AQ28">
        <f t="shared" si="44"/>
        <v>0</v>
      </c>
      <c r="AR28">
        <f t="shared" si="44"/>
        <v>0</v>
      </c>
      <c r="AS28">
        <f t="shared" si="44"/>
        <v>0</v>
      </c>
    </row>
    <row r="29" spans="1:45" x14ac:dyDescent="0.25">
      <c r="A29">
        <v>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8.5644854387650973E-2</v>
      </c>
      <c r="L29" s="3">
        <v>0.86611040575804454</v>
      </c>
      <c r="M29">
        <v>3.2163159902869658E-2</v>
      </c>
      <c r="N29">
        <v>1.6081579951434829E-2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f t="shared" si="0"/>
        <v>1</v>
      </c>
      <c r="X29" s="4">
        <v>3218403.0506412704</v>
      </c>
      <c r="Y29">
        <f t="shared" si="43"/>
        <v>0</v>
      </c>
      <c r="Z29">
        <f t="shared" si="43"/>
        <v>0</v>
      </c>
      <c r="AA29">
        <f t="shared" si="42"/>
        <v>0</v>
      </c>
      <c r="AB29">
        <f t="shared" si="42"/>
        <v>0</v>
      </c>
      <c r="AC29">
        <f t="shared" si="42"/>
        <v>0</v>
      </c>
      <c r="AD29">
        <f t="shared" si="42"/>
        <v>0</v>
      </c>
      <c r="AE29">
        <f t="shared" si="42"/>
        <v>0</v>
      </c>
      <c r="AF29">
        <f t="shared" si="42"/>
        <v>0</v>
      </c>
      <c r="AG29">
        <f t="shared" si="42"/>
        <v>0</v>
      </c>
      <c r="AH29">
        <f t="shared" si="42"/>
        <v>275639.66063294327</v>
      </c>
      <c r="AI29">
        <f t="shared" si="42"/>
        <v>2787492.372083839</v>
      </c>
      <c r="AJ29">
        <f t="shared" si="42"/>
        <v>103514.01194965868</v>
      </c>
      <c r="AK29">
        <f t="shared" si="42"/>
        <v>51757.005974829342</v>
      </c>
      <c r="AL29">
        <f t="shared" si="42"/>
        <v>0</v>
      </c>
      <c r="AM29">
        <f t="shared" si="42"/>
        <v>0</v>
      </c>
      <c r="AN29">
        <f t="shared" si="42"/>
        <v>0</v>
      </c>
      <c r="AO29">
        <f t="shared" si="44"/>
        <v>0</v>
      </c>
      <c r="AP29">
        <f t="shared" si="44"/>
        <v>0</v>
      </c>
      <c r="AQ29">
        <f t="shared" si="44"/>
        <v>0</v>
      </c>
      <c r="AR29">
        <f t="shared" si="44"/>
        <v>0</v>
      </c>
      <c r="AS29">
        <f t="shared" si="44"/>
        <v>0</v>
      </c>
    </row>
    <row r="30" spans="1:45" x14ac:dyDescent="0.25">
      <c r="A30">
        <v>43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0.11005065184696136</v>
      </c>
      <c r="L30">
        <v>0.6057601626477529</v>
      </c>
      <c r="M30">
        <v>0.23815078060251893</v>
      </c>
      <c r="N30">
        <v>4.6038404902766852E-2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f t="shared" si="0"/>
        <v>1</v>
      </c>
      <c r="X30" s="4">
        <v>3151627.7801206554</v>
      </c>
      <c r="Y30">
        <f t="shared" si="43"/>
        <v>0</v>
      </c>
      <c r="Z30">
        <f t="shared" si="43"/>
        <v>0</v>
      </c>
      <c r="AA30">
        <f t="shared" si="42"/>
        <v>0</v>
      </c>
      <c r="AB30">
        <f t="shared" si="42"/>
        <v>0</v>
      </c>
      <c r="AC30">
        <f t="shared" si="42"/>
        <v>0</v>
      </c>
      <c r="AD30">
        <f t="shared" si="42"/>
        <v>0</v>
      </c>
      <c r="AE30">
        <f t="shared" si="42"/>
        <v>0</v>
      </c>
      <c r="AF30">
        <f t="shared" si="42"/>
        <v>0</v>
      </c>
      <c r="AG30">
        <f t="shared" si="42"/>
        <v>0</v>
      </c>
      <c r="AH30">
        <f t="shared" si="42"/>
        <v>346838.69158126996</v>
      </c>
      <c r="AI30">
        <f t="shared" si="42"/>
        <v>1909130.5566910647</v>
      </c>
      <c r="AJ30">
        <f t="shared" si="42"/>
        <v>750562.616004318</v>
      </c>
      <c r="AK30">
        <f t="shared" si="42"/>
        <v>145095.915844003</v>
      </c>
      <c r="AL30">
        <f t="shared" si="42"/>
        <v>0</v>
      </c>
      <c r="AM30">
        <f t="shared" si="42"/>
        <v>0</v>
      </c>
      <c r="AN30">
        <f t="shared" si="42"/>
        <v>0</v>
      </c>
      <c r="AO30">
        <f t="shared" si="44"/>
        <v>0</v>
      </c>
      <c r="AP30">
        <f t="shared" si="44"/>
        <v>0</v>
      </c>
      <c r="AQ30">
        <f t="shared" si="44"/>
        <v>0</v>
      </c>
      <c r="AR30">
        <f t="shared" si="44"/>
        <v>0</v>
      </c>
      <c r="AS30">
        <f t="shared" si="44"/>
        <v>0</v>
      </c>
    </row>
    <row r="31" spans="1:45" x14ac:dyDescent="0.25">
      <c r="A31">
        <v>44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0.53390012832263023</v>
      </c>
      <c r="M31">
        <v>0.42031788095408124</v>
      </c>
      <c r="N31">
        <v>4.5781990723288556E-2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f t="shared" si="0"/>
        <v>1</v>
      </c>
      <c r="X31" s="4">
        <v>2344232.0952176382</v>
      </c>
      <c r="Y31">
        <f t="shared" si="43"/>
        <v>0</v>
      </c>
      <c r="Z31">
        <f t="shared" si="43"/>
        <v>0</v>
      </c>
      <c r="AA31">
        <f t="shared" si="42"/>
        <v>0</v>
      </c>
      <c r="AB31">
        <f t="shared" si="42"/>
        <v>0</v>
      </c>
      <c r="AC31">
        <f t="shared" si="42"/>
        <v>0</v>
      </c>
      <c r="AD31">
        <f t="shared" si="42"/>
        <v>0</v>
      </c>
      <c r="AE31">
        <f t="shared" si="42"/>
        <v>0</v>
      </c>
      <c r="AF31">
        <f t="shared" si="42"/>
        <v>0</v>
      </c>
      <c r="AG31">
        <f t="shared" si="42"/>
        <v>0</v>
      </c>
      <c r="AH31">
        <f t="shared" si="42"/>
        <v>0</v>
      </c>
      <c r="AI31">
        <f t="shared" si="42"/>
        <v>1251585.8164547253</v>
      </c>
      <c r="AJ31">
        <f t="shared" si="42"/>
        <v>985322.66672642366</v>
      </c>
      <c r="AK31">
        <f t="shared" si="42"/>
        <v>107323.61203648921</v>
      </c>
      <c r="AL31">
        <f t="shared" si="42"/>
        <v>0</v>
      </c>
      <c r="AM31">
        <f t="shared" si="42"/>
        <v>0</v>
      </c>
      <c r="AN31">
        <f t="shared" si="42"/>
        <v>0</v>
      </c>
      <c r="AO31">
        <f t="shared" si="44"/>
        <v>0</v>
      </c>
      <c r="AP31">
        <f t="shared" si="44"/>
        <v>0</v>
      </c>
      <c r="AQ31">
        <f t="shared" si="44"/>
        <v>0</v>
      </c>
      <c r="AR31">
        <f t="shared" si="44"/>
        <v>0</v>
      </c>
      <c r="AS31">
        <f t="shared" si="44"/>
        <v>0</v>
      </c>
    </row>
    <row r="32" spans="1:45" x14ac:dyDescent="0.25">
      <c r="A32">
        <v>45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3.452215840736185E-2</v>
      </c>
      <c r="L32">
        <v>0.22305777994309611</v>
      </c>
      <c r="M32">
        <v>0.43439313539279728</v>
      </c>
      <c r="N32">
        <v>0.21685867030695047</v>
      </c>
      <c r="O32">
        <v>9.116825594979433E-2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f t="shared" si="0"/>
        <v>1</v>
      </c>
      <c r="X32" s="4">
        <v>1615148.0725314135</v>
      </c>
      <c r="Y32">
        <f t="shared" si="43"/>
        <v>0</v>
      </c>
      <c r="Z32">
        <f t="shared" si="43"/>
        <v>0</v>
      </c>
      <c r="AA32">
        <f t="shared" si="42"/>
        <v>0</v>
      </c>
      <c r="AB32">
        <f t="shared" si="42"/>
        <v>0</v>
      </c>
      <c r="AC32">
        <f t="shared" si="42"/>
        <v>0</v>
      </c>
      <c r="AD32">
        <f t="shared" si="42"/>
        <v>0</v>
      </c>
      <c r="AE32">
        <f t="shared" si="42"/>
        <v>0</v>
      </c>
      <c r="AF32">
        <f t="shared" si="42"/>
        <v>0</v>
      </c>
      <c r="AG32">
        <f t="shared" si="42"/>
        <v>0</v>
      </c>
      <c r="AH32">
        <f t="shared" si="42"/>
        <v>55758.397611274624</v>
      </c>
      <c r="AI32">
        <f t="shared" si="42"/>
        <v>360271.34333822789</v>
      </c>
      <c r="AJ32">
        <f t="shared" si="42"/>
        <v>701609.23535055388</v>
      </c>
      <c r="AK32">
        <f t="shared" si="42"/>
        <v>350258.86335799634</v>
      </c>
      <c r="AL32">
        <f t="shared" si="42"/>
        <v>147250.23287336089</v>
      </c>
      <c r="AM32">
        <f t="shared" si="42"/>
        <v>0</v>
      </c>
      <c r="AN32">
        <f t="shared" si="42"/>
        <v>0</v>
      </c>
      <c r="AO32">
        <f t="shared" si="44"/>
        <v>0</v>
      </c>
      <c r="AP32">
        <f t="shared" si="44"/>
        <v>0</v>
      </c>
      <c r="AQ32">
        <f t="shared" si="44"/>
        <v>0</v>
      </c>
      <c r="AR32">
        <f t="shared" si="44"/>
        <v>0</v>
      </c>
      <c r="AS32">
        <f t="shared" si="44"/>
        <v>0</v>
      </c>
    </row>
    <row r="33" spans="1:45" x14ac:dyDescent="0.25">
      <c r="A33">
        <v>46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4.5370950734485258E-2</v>
      </c>
      <c r="M33" s="3">
        <v>0.58600658246594817</v>
      </c>
      <c r="N33" s="3">
        <v>0.27788056533059607</v>
      </c>
      <c r="O33">
        <v>4.5370950734485258E-2</v>
      </c>
      <c r="P33">
        <v>4.5370950734485258E-2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f t="shared" si="0"/>
        <v>1</v>
      </c>
      <c r="X33" s="4">
        <v>1169031.4669291689</v>
      </c>
      <c r="Y33">
        <f t="shared" si="43"/>
        <v>0</v>
      </c>
      <c r="Z33">
        <f t="shared" si="43"/>
        <v>0</v>
      </c>
      <c r="AA33">
        <f t="shared" si="42"/>
        <v>0</v>
      </c>
      <c r="AB33">
        <f t="shared" si="42"/>
        <v>0</v>
      </c>
      <c r="AC33">
        <f t="shared" si="42"/>
        <v>0</v>
      </c>
      <c r="AD33">
        <f t="shared" si="42"/>
        <v>0</v>
      </c>
      <c r="AE33">
        <f t="shared" si="42"/>
        <v>0</v>
      </c>
      <c r="AF33">
        <f t="shared" si="42"/>
        <v>0</v>
      </c>
      <c r="AG33">
        <f t="shared" si="42"/>
        <v>0</v>
      </c>
      <c r="AH33">
        <f t="shared" si="42"/>
        <v>0</v>
      </c>
      <c r="AI33">
        <f t="shared" si="42"/>
        <v>53040.069093106351</v>
      </c>
      <c r="AJ33">
        <f t="shared" si="42"/>
        <v>685060.13473031635</v>
      </c>
      <c r="AK33">
        <f t="shared" si="42"/>
        <v>324851.1249195335</v>
      </c>
      <c r="AL33">
        <f t="shared" si="42"/>
        <v>53040.069093106351</v>
      </c>
      <c r="AM33">
        <f t="shared" si="42"/>
        <v>53040.069093106351</v>
      </c>
      <c r="AN33">
        <f t="shared" si="42"/>
        <v>0</v>
      </c>
      <c r="AO33">
        <f t="shared" si="44"/>
        <v>0</v>
      </c>
      <c r="AP33">
        <f t="shared" si="44"/>
        <v>0</v>
      </c>
      <c r="AQ33">
        <f t="shared" si="44"/>
        <v>0</v>
      </c>
      <c r="AR33">
        <f t="shared" si="44"/>
        <v>0</v>
      </c>
      <c r="AS33">
        <f t="shared" si="44"/>
        <v>0</v>
      </c>
    </row>
    <row r="34" spans="1:45" x14ac:dyDescent="0.25">
      <c r="A34">
        <v>47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9.6039678079913732E-2</v>
      </c>
      <c r="M34">
        <v>0.54018138017845652</v>
      </c>
      <c r="N34">
        <v>0.27462313153660006</v>
      </c>
      <c r="O34">
        <v>6.6866857653772135E-2</v>
      </c>
      <c r="P34">
        <v>2.2288952551257377E-2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f t="shared" si="0"/>
        <v>0.99999999999999989</v>
      </c>
      <c r="X34" s="4">
        <v>1201425.7618594624</v>
      </c>
      <c r="Y34">
        <f t="shared" si="43"/>
        <v>0</v>
      </c>
      <c r="Z34">
        <f t="shared" si="43"/>
        <v>0</v>
      </c>
      <c r="AA34">
        <f t="shared" si="42"/>
        <v>0</v>
      </c>
      <c r="AB34">
        <f t="shared" si="42"/>
        <v>0</v>
      </c>
      <c r="AC34">
        <f t="shared" si="42"/>
        <v>0</v>
      </c>
      <c r="AD34">
        <f t="shared" si="42"/>
        <v>0</v>
      </c>
      <c r="AE34">
        <f t="shared" si="42"/>
        <v>0</v>
      </c>
      <c r="AF34">
        <f t="shared" si="42"/>
        <v>0</v>
      </c>
      <c r="AG34">
        <f t="shared" si="42"/>
        <v>0</v>
      </c>
      <c r="AH34">
        <f t="shared" si="42"/>
        <v>0</v>
      </c>
      <c r="AI34">
        <f t="shared" si="42"/>
        <v>115384.54340589786</v>
      </c>
      <c r="AJ34">
        <f t="shared" si="42"/>
        <v>648987.82622319798</v>
      </c>
      <c r="AK34">
        <f t="shared" si="42"/>
        <v>329939.30503059109</v>
      </c>
      <c r="AL34">
        <f t="shared" si="42"/>
        <v>80335.565399831408</v>
      </c>
      <c r="AM34">
        <f t="shared" si="42"/>
        <v>26778.521799943803</v>
      </c>
      <c r="AN34">
        <f t="shared" si="42"/>
        <v>0</v>
      </c>
      <c r="AO34">
        <f t="shared" si="44"/>
        <v>0</v>
      </c>
      <c r="AP34">
        <f t="shared" si="44"/>
        <v>0</v>
      </c>
      <c r="AQ34">
        <f t="shared" si="44"/>
        <v>0</v>
      </c>
      <c r="AR34">
        <f t="shared" si="44"/>
        <v>0</v>
      </c>
      <c r="AS34">
        <f t="shared" si="44"/>
        <v>0</v>
      </c>
    </row>
    <row r="35" spans="1:45" x14ac:dyDescent="0.25">
      <c r="A35">
        <v>48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0.14166872868011521</v>
      </c>
      <c r="N35">
        <v>0.1937065782435087</v>
      </c>
      <c r="O35">
        <v>0.47901050675501411</v>
      </c>
      <c r="P35">
        <v>0.18561418632136195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f t="shared" si="0"/>
        <v>1</v>
      </c>
      <c r="X35" s="4">
        <v>1198850.4029934362</v>
      </c>
      <c r="Y35">
        <f t="shared" si="43"/>
        <v>0</v>
      </c>
      <c r="Z35">
        <f t="shared" si="43"/>
        <v>0</v>
      </c>
      <c r="AA35">
        <f t="shared" si="42"/>
        <v>0</v>
      </c>
      <c r="AB35">
        <f t="shared" si="42"/>
        <v>0</v>
      </c>
      <c r="AC35">
        <f t="shared" si="42"/>
        <v>0</v>
      </c>
      <c r="AD35">
        <f t="shared" si="42"/>
        <v>0</v>
      </c>
      <c r="AE35">
        <f t="shared" si="42"/>
        <v>0</v>
      </c>
      <c r="AF35">
        <f t="shared" si="42"/>
        <v>0</v>
      </c>
      <c r="AG35">
        <f t="shared" si="42"/>
        <v>0</v>
      </c>
      <c r="AH35">
        <f t="shared" si="42"/>
        <v>0</v>
      </c>
      <c r="AI35">
        <f t="shared" si="42"/>
        <v>0</v>
      </c>
      <c r="AJ35">
        <f t="shared" si="42"/>
        <v>169839.61246972388</v>
      </c>
      <c r="AK35">
        <f t="shared" si="42"/>
        <v>232225.20938970998</v>
      </c>
      <c r="AL35">
        <f t="shared" si="42"/>
        <v>574261.93906133878</v>
      </c>
      <c r="AM35">
        <f t="shared" si="42"/>
        <v>222523.64207266353</v>
      </c>
      <c r="AN35">
        <f t="shared" si="42"/>
        <v>0</v>
      </c>
      <c r="AO35">
        <f t="shared" si="44"/>
        <v>0</v>
      </c>
      <c r="AP35">
        <f t="shared" si="44"/>
        <v>0</v>
      </c>
      <c r="AQ35">
        <f t="shared" si="44"/>
        <v>0</v>
      </c>
      <c r="AR35">
        <f t="shared" si="44"/>
        <v>0</v>
      </c>
      <c r="AS35">
        <f t="shared" si="44"/>
        <v>0</v>
      </c>
    </row>
    <row r="36" spans="1:45" x14ac:dyDescent="0.25">
      <c r="A36">
        <v>49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3.3849118719903717E-2</v>
      </c>
      <c r="N36">
        <v>3.4213274035242179E-2</v>
      </c>
      <c r="O36">
        <v>0.43345999757702153</v>
      </c>
      <c r="P36">
        <v>0.36308113478821769</v>
      </c>
      <c r="Q36">
        <v>0.13539647487961487</v>
      </c>
      <c r="R36">
        <v>0</v>
      </c>
      <c r="S36">
        <v>0</v>
      </c>
      <c r="T36">
        <v>0</v>
      </c>
      <c r="U36">
        <v>0</v>
      </c>
      <c r="V36">
        <v>0</v>
      </c>
      <c r="W36">
        <f t="shared" si="0"/>
        <v>1</v>
      </c>
      <c r="X36" s="4">
        <v>751131.36530969839</v>
      </c>
      <c r="Y36">
        <f t="shared" si="43"/>
        <v>0</v>
      </c>
      <c r="Z36">
        <f t="shared" si="43"/>
        <v>0</v>
      </c>
      <c r="AA36">
        <f t="shared" si="42"/>
        <v>0</v>
      </c>
      <c r="AB36">
        <f t="shared" ref="AB36:AN51" si="45">E36*$X36</f>
        <v>0</v>
      </c>
      <c r="AC36">
        <f t="shared" si="45"/>
        <v>0</v>
      </c>
      <c r="AD36">
        <f t="shared" si="45"/>
        <v>0</v>
      </c>
      <c r="AE36">
        <f t="shared" si="45"/>
        <v>0</v>
      </c>
      <c r="AF36">
        <f t="shared" si="45"/>
        <v>0</v>
      </c>
      <c r="AG36">
        <f t="shared" si="45"/>
        <v>0</v>
      </c>
      <c r="AH36">
        <f t="shared" si="45"/>
        <v>0</v>
      </c>
      <c r="AI36">
        <f t="shared" si="45"/>
        <v>0</v>
      </c>
      <c r="AJ36">
        <f t="shared" si="45"/>
        <v>25425.134758611348</v>
      </c>
      <c r="AK36">
        <f t="shared" si="45"/>
        <v>25698.663237806311</v>
      </c>
      <c r="AL36">
        <f t="shared" si="45"/>
        <v>325585.39978716674</v>
      </c>
      <c r="AM36">
        <f t="shared" si="45"/>
        <v>272721.62849166855</v>
      </c>
      <c r="AN36">
        <f t="shared" si="45"/>
        <v>101700.53903444539</v>
      </c>
      <c r="AO36">
        <f t="shared" si="44"/>
        <v>0</v>
      </c>
      <c r="AP36">
        <f t="shared" si="44"/>
        <v>0</v>
      </c>
      <c r="AQ36">
        <f t="shared" si="44"/>
        <v>0</v>
      </c>
      <c r="AR36">
        <f t="shared" si="44"/>
        <v>0</v>
      </c>
      <c r="AS36">
        <f t="shared" si="44"/>
        <v>0</v>
      </c>
    </row>
    <row r="37" spans="1:45" x14ac:dyDescent="0.25">
      <c r="A37">
        <v>50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0.46546472564667218</v>
      </c>
      <c r="P37">
        <v>0.49093409738487864</v>
      </c>
      <c r="Q37">
        <v>4.360117696844925E-2</v>
      </c>
      <c r="R37">
        <v>0</v>
      </c>
      <c r="S37">
        <v>0</v>
      </c>
      <c r="T37">
        <v>0</v>
      </c>
      <c r="U37">
        <v>0</v>
      </c>
      <c r="V37">
        <v>0</v>
      </c>
      <c r="W37">
        <f t="shared" si="0"/>
        <v>1</v>
      </c>
      <c r="X37" s="4">
        <v>564141.56557079975</v>
      </c>
      <c r="Y37">
        <f t="shared" si="43"/>
        <v>0</v>
      </c>
      <c r="Z37">
        <f t="shared" si="43"/>
        <v>0</v>
      </c>
      <c r="AA37">
        <f t="shared" ref="AA37:AA51" si="46">D37*$X37</f>
        <v>0</v>
      </c>
      <c r="AB37">
        <f t="shared" si="45"/>
        <v>0</v>
      </c>
      <c r="AC37">
        <f t="shared" si="45"/>
        <v>0</v>
      </c>
      <c r="AD37">
        <f t="shared" si="45"/>
        <v>0</v>
      </c>
      <c r="AE37">
        <f t="shared" si="45"/>
        <v>0</v>
      </c>
      <c r="AF37">
        <f t="shared" si="45"/>
        <v>0</v>
      </c>
      <c r="AG37">
        <f t="shared" si="45"/>
        <v>0</v>
      </c>
      <c r="AH37">
        <f t="shared" si="45"/>
        <v>0</v>
      </c>
      <c r="AI37">
        <f t="shared" si="45"/>
        <v>0</v>
      </c>
      <c r="AJ37">
        <f t="shared" si="45"/>
        <v>0</v>
      </c>
      <c r="AK37">
        <f t="shared" si="45"/>
        <v>0</v>
      </c>
      <c r="AL37">
        <f t="shared" si="45"/>
        <v>262587.99904429645</v>
      </c>
      <c r="AM37">
        <f t="shared" si="45"/>
        <v>276956.33029079292</v>
      </c>
      <c r="AN37">
        <f t="shared" si="45"/>
        <v>24597.236235710458</v>
      </c>
      <c r="AO37">
        <f t="shared" si="44"/>
        <v>0</v>
      </c>
      <c r="AP37">
        <f t="shared" si="44"/>
        <v>0</v>
      </c>
      <c r="AQ37">
        <f t="shared" si="44"/>
        <v>0</v>
      </c>
      <c r="AR37">
        <f t="shared" si="44"/>
        <v>0</v>
      </c>
      <c r="AS37">
        <f t="shared" si="44"/>
        <v>0</v>
      </c>
    </row>
    <row r="38" spans="1:45" x14ac:dyDescent="0.25">
      <c r="A38">
        <v>51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4.6042524140974428E-4</v>
      </c>
      <c r="O38">
        <v>0.389284964185796</v>
      </c>
      <c r="P38">
        <v>0.5363307325572797</v>
      </c>
      <c r="Q38">
        <v>7.3923878015514519E-2</v>
      </c>
      <c r="R38">
        <v>0</v>
      </c>
      <c r="S38">
        <v>0</v>
      </c>
      <c r="T38">
        <v>0</v>
      </c>
      <c r="U38">
        <v>0</v>
      </c>
      <c r="V38">
        <v>0</v>
      </c>
      <c r="W38">
        <f t="shared" si="0"/>
        <v>1</v>
      </c>
      <c r="X38" s="4">
        <v>363030.90154517838</v>
      </c>
      <c r="Y38">
        <f t="shared" ref="Y38:Y51" si="47">B38*$X38</f>
        <v>0</v>
      </c>
      <c r="Z38">
        <f t="shared" ref="Z38:Z51" si="48">C38*$X38</f>
        <v>0</v>
      </c>
      <c r="AA38">
        <f t="shared" si="46"/>
        <v>0</v>
      </c>
      <c r="AB38">
        <f t="shared" si="45"/>
        <v>0</v>
      </c>
      <c r="AC38">
        <f t="shared" si="45"/>
        <v>0</v>
      </c>
      <c r="AD38">
        <f t="shared" si="45"/>
        <v>0</v>
      </c>
      <c r="AE38">
        <f t="shared" si="45"/>
        <v>0</v>
      </c>
      <c r="AF38">
        <f t="shared" si="45"/>
        <v>0</v>
      </c>
      <c r="AG38">
        <f t="shared" si="45"/>
        <v>0</v>
      </c>
      <c r="AH38">
        <f t="shared" si="45"/>
        <v>0</v>
      </c>
      <c r="AI38">
        <f t="shared" si="45"/>
        <v>0</v>
      </c>
      <c r="AJ38">
        <f t="shared" si="45"/>
        <v>0</v>
      </c>
      <c r="AK38">
        <f t="shared" si="45"/>
        <v>167.14859048313588</v>
      </c>
      <c r="AL38">
        <f t="shared" si="45"/>
        <v>141322.47150635201</v>
      </c>
      <c r="AM38">
        <f t="shared" si="45"/>
        <v>194704.62936665519</v>
      </c>
      <c r="AN38">
        <f t="shared" si="45"/>
        <v>26836.652081688029</v>
      </c>
      <c r="AO38">
        <f t="shared" si="44"/>
        <v>0</v>
      </c>
      <c r="AP38">
        <f t="shared" si="44"/>
        <v>0</v>
      </c>
      <c r="AQ38">
        <f t="shared" si="44"/>
        <v>0</v>
      </c>
      <c r="AR38">
        <f t="shared" si="44"/>
        <v>0</v>
      </c>
      <c r="AS38">
        <f t="shared" si="44"/>
        <v>0</v>
      </c>
    </row>
    <row r="39" spans="1:45" x14ac:dyDescent="0.25">
      <c r="A39">
        <v>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0.24636416523525345</v>
      </c>
      <c r="P39">
        <v>0.43822272071892232</v>
      </c>
      <c r="Q39">
        <v>0.31541311404582423</v>
      </c>
      <c r="R39">
        <v>0</v>
      </c>
      <c r="S39">
        <v>0</v>
      </c>
      <c r="T39">
        <v>0</v>
      </c>
      <c r="U39">
        <v>0</v>
      </c>
      <c r="V39">
        <v>0</v>
      </c>
      <c r="W39">
        <f t="shared" si="0"/>
        <v>1</v>
      </c>
      <c r="X39" s="4">
        <v>135595.36165568818</v>
      </c>
      <c r="Y39">
        <f t="shared" si="47"/>
        <v>0</v>
      </c>
      <c r="Z39">
        <f t="shared" si="48"/>
        <v>0</v>
      </c>
      <c r="AA39">
        <f t="shared" si="46"/>
        <v>0</v>
      </c>
      <c r="AB39">
        <f t="shared" si="45"/>
        <v>0</v>
      </c>
      <c r="AC39">
        <f t="shared" si="45"/>
        <v>0</v>
      </c>
      <c r="AD39">
        <f t="shared" si="45"/>
        <v>0</v>
      </c>
      <c r="AE39">
        <f t="shared" si="45"/>
        <v>0</v>
      </c>
      <c r="AF39">
        <f t="shared" si="45"/>
        <v>0</v>
      </c>
      <c r="AG39">
        <f t="shared" si="45"/>
        <v>0</v>
      </c>
      <c r="AH39">
        <f t="shared" si="45"/>
        <v>0</v>
      </c>
      <c r="AI39">
        <f t="shared" si="45"/>
        <v>0</v>
      </c>
      <c r="AJ39">
        <f t="shared" si="45"/>
        <v>0</v>
      </c>
      <c r="AK39">
        <f t="shared" si="45"/>
        <v>0</v>
      </c>
      <c r="AL39">
        <f t="shared" si="45"/>
        <v>33405.838084075913</v>
      </c>
      <c r="AM39">
        <f t="shared" si="45"/>
        <v>59420.968301621906</v>
      </c>
      <c r="AN39">
        <f t="shared" si="45"/>
        <v>42768.555269990356</v>
      </c>
      <c r="AO39">
        <f t="shared" si="44"/>
        <v>0</v>
      </c>
      <c r="AP39">
        <f t="shared" si="44"/>
        <v>0</v>
      </c>
      <c r="AQ39">
        <f t="shared" si="44"/>
        <v>0</v>
      </c>
      <c r="AR39">
        <f t="shared" si="44"/>
        <v>0</v>
      </c>
      <c r="AS39">
        <f t="shared" si="44"/>
        <v>0</v>
      </c>
    </row>
    <row r="40" spans="1:45" x14ac:dyDescent="0.25">
      <c r="A40">
        <v>53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0.1415143974184474</v>
      </c>
      <c r="P40">
        <v>0.4482753631947809</v>
      </c>
      <c r="Q40">
        <v>0.32758695520782866</v>
      </c>
      <c r="R40">
        <v>8.2623284178943046E-2</v>
      </c>
      <c r="S40">
        <v>0</v>
      </c>
      <c r="T40">
        <v>0</v>
      </c>
      <c r="U40">
        <v>0</v>
      </c>
      <c r="V40">
        <v>0</v>
      </c>
      <c r="W40">
        <f t="shared" si="0"/>
        <v>1</v>
      </c>
      <c r="X40" s="4">
        <v>37400.530302458668</v>
      </c>
      <c r="Y40">
        <f t="shared" si="47"/>
        <v>0</v>
      </c>
      <c r="Z40">
        <f t="shared" si="48"/>
        <v>0</v>
      </c>
      <c r="AA40">
        <f t="shared" si="46"/>
        <v>0</v>
      </c>
      <c r="AB40">
        <f t="shared" si="45"/>
        <v>0</v>
      </c>
      <c r="AC40">
        <f t="shared" si="45"/>
        <v>0</v>
      </c>
      <c r="AD40">
        <f t="shared" si="45"/>
        <v>0</v>
      </c>
      <c r="AE40">
        <f t="shared" si="45"/>
        <v>0</v>
      </c>
      <c r="AF40">
        <f t="shared" si="45"/>
        <v>0</v>
      </c>
      <c r="AG40">
        <f t="shared" si="45"/>
        <v>0</v>
      </c>
      <c r="AH40">
        <f t="shared" si="45"/>
        <v>0</v>
      </c>
      <c r="AI40">
        <f t="shared" si="45"/>
        <v>0</v>
      </c>
      <c r="AJ40">
        <f t="shared" si="45"/>
        <v>0</v>
      </c>
      <c r="AK40">
        <f t="shared" si="45"/>
        <v>0</v>
      </c>
      <c r="AL40">
        <f t="shared" si="45"/>
        <v>5292.7135088828209</v>
      </c>
      <c r="AM40">
        <f t="shared" si="45"/>
        <v>16765.736305012069</v>
      </c>
      <c r="AN40">
        <f t="shared" si="45"/>
        <v>12251.925844940566</v>
      </c>
      <c r="AO40">
        <f t="shared" si="44"/>
        <v>3090.1546436232134</v>
      </c>
      <c r="AP40">
        <f t="shared" si="44"/>
        <v>0</v>
      </c>
      <c r="AQ40">
        <f t="shared" si="44"/>
        <v>0</v>
      </c>
      <c r="AR40">
        <f t="shared" si="44"/>
        <v>0</v>
      </c>
      <c r="AS40">
        <f t="shared" si="44"/>
        <v>0</v>
      </c>
    </row>
    <row r="41" spans="1:45" x14ac:dyDescent="0.25">
      <c r="A41">
        <v>54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0.14067996944135738</v>
      </c>
      <c r="Q41">
        <v>0.50369089923736354</v>
      </c>
      <c r="R41">
        <v>0.35562913132127899</v>
      </c>
      <c r="S41">
        <v>0</v>
      </c>
      <c r="T41">
        <v>0</v>
      </c>
      <c r="U41">
        <v>0</v>
      </c>
      <c r="V41">
        <v>0</v>
      </c>
      <c r="W41">
        <f t="shared" si="0"/>
        <v>1</v>
      </c>
      <c r="X41" s="4">
        <v>80186.123618501704</v>
      </c>
      <c r="Y41">
        <f t="shared" si="47"/>
        <v>0</v>
      </c>
      <c r="Z41">
        <f t="shared" si="48"/>
        <v>0</v>
      </c>
      <c r="AA41">
        <f t="shared" si="46"/>
        <v>0</v>
      </c>
      <c r="AB41">
        <f t="shared" si="45"/>
        <v>0</v>
      </c>
      <c r="AC41">
        <f t="shared" si="45"/>
        <v>0</v>
      </c>
      <c r="AD41">
        <f t="shared" si="45"/>
        <v>0</v>
      </c>
      <c r="AE41">
        <f t="shared" si="45"/>
        <v>0</v>
      </c>
      <c r="AF41">
        <f t="shared" si="45"/>
        <v>0</v>
      </c>
      <c r="AG41">
        <f t="shared" si="45"/>
        <v>0</v>
      </c>
      <c r="AH41">
        <f t="shared" si="45"/>
        <v>0</v>
      </c>
      <c r="AI41">
        <f t="shared" si="45"/>
        <v>0</v>
      </c>
      <c r="AJ41">
        <f t="shared" si="45"/>
        <v>0</v>
      </c>
      <c r="AK41">
        <f t="shared" si="45"/>
        <v>0</v>
      </c>
      <c r="AL41">
        <f t="shared" si="45"/>
        <v>0</v>
      </c>
      <c r="AM41">
        <f t="shared" si="45"/>
        <v>11280.581420271725</v>
      </c>
      <c r="AN41">
        <f t="shared" si="45"/>
        <v>40389.020711761521</v>
      </c>
      <c r="AO41">
        <f t="shared" si="44"/>
        <v>28516.521486468453</v>
      </c>
      <c r="AP41">
        <f t="shared" si="44"/>
        <v>0</v>
      </c>
      <c r="AQ41">
        <f t="shared" si="44"/>
        <v>0</v>
      </c>
      <c r="AR41">
        <f t="shared" si="44"/>
        <v>0</v>
      </c>
      <c r="AS41">
        <f t="shared" si="44"/>
        <v>0</v>
      </c>
    </row>
    <row r="42" spans="1:45" x14ac:dyDescent="0.25">
      <c r="A42">
        <v>55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0.15450662347267335</v>
      </c>
      <c r="Q42">
        <v>0.16627208241954411</v>
      </c>
      <c r="R42">
        <v>0.55581861172030389</v>
      </c>
      <c r="S42">
        <v>0.12340268238747859</v>
      </c>
      <c r="T42">
        <v>0</v>
      </c>
      <c r="U42">
        <v>0</v>
      </c>
      <c r="V42">
        <v>0</v>
      </c>
      <c r="W42">
        <f t="shared" si="0"/>
        <v>1</v>
      </c>
      <c r="X42" s="4">
        <v>6472.7784262408804</v>
      </c>
      <c r="Y42">
        <f t="shared" si="47"/>
        <v>0</v>
      </c>
      <c r="Z42">
        <f t="shared" si="48"/>
        <v>0</v>
      </c>
      <c r="AA42">
        <f t="shared" si="46"/>
        <v>0</v>
      </c>
      <c r="AB42">
        <f t="shared" si="45"/>
        <v>0</v>
      </c>
      <c r="AC42">
        <f t="shared" si="45"/>
        <v>0</v>
      </c>
      <c r="AD42">
        <f t="shared" si="45"/>
        <v>0</v>
      </c>
      <c r="AE42">
        <f t="shared" si="45"/>
        <v>0</v>
      </c>
      <c r="AF42">
        <f t="shared" si="45"/>
        <v>0</v>
      </c>
      <c r="AG42">
        <f t="shared" si="45"/>
        <v>0</v>
      </c>
      <c r="AH42">
        <f t="shared" si="45"/>
        <v>0</v>
      </c>
      <c r="AI42">
        <f t="shared" si="45"/>
        <v>0</v>
      </c>
      <c r="AJ42">
        <f t="shared" si="45"/>
        <v>0</v>
      </c>
      <c r="AK42">
        <f t="shared" si="45"/>
        <v>0</v>
      </c>
      <c r="AL42">
        <f t="shared" si="45"/>
        <v>0</v>
      </c>
      <c r="AM42">
        <f t="shared" si="45"/>
        <v>1000.0871391252429</v>
      </c>
      <c r="AN42">
        <f t="shared" si="45"/>
        <v>1076.2423479713707</v>
      </c>
      <c r="AO42">
        <f t="shared" si="44"/>
        <v>3597.6907188463397</v>
      </c>
      <c r="AP42">
        <f t="shared" si="44"/>
        <v>798.75822029792687</v>
      </c>
      <c r="AQ42">
        <f t="shared" si="44"/>
        <v>0</v>
      </c>
      <c r="AR42">
        <f t="shared" si="44"/>
        <v>0</v>
      </c>
      <c r="AS42">
        <f t="shared" si="44"/>
        <v>0</v>
      </c>
    </row>
    <row r="43" spans="1:45" x14ac:dyDescent="0.25">
      <c r="A43">
        <v>56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0.45069159072814302</v>
      </c>
      <c r="S43">
        <v>0.54930840927185709</v>
      </c>
      <c r="T43">
        <v>0</v>
      </c>
      <c r="U43">
        <v>0</v>
      </c>
      <c r="V43">
        <v>0</v>
      </c>
      <c r="W43">
        <f t="shared" si="0"/>
        <v>1</v>
      </c>
      <c r="Y43">
        <f t="shared" si="47"/>
        <v>0</v>
      </c>
      <c r="Z43">
        <f t="shared" si="48"/>
        <v>0</v>
      </c>
      <c r="AA43">
        <f t="shared" si="46"/>
        <v>0</v>
      </c>
      <c r="AB43">
        <f t="shared" si="45"/>
        <v>0</v>
      </c>
      <c r="AC43">
        <f t="shared" si="45"/>
        <v>0</v>
      </c>
      <c r="AD43">
        <f t="shared" si="45"/>
        <v>0</v>
      </c>
      <c r="AE43">
        <f t="shared" si="45"/>
        <v>0</v>
      </c>
      <c r="AF43">
        <f t="shared" si="45"/>
        <v>0</v>
      </c>
      <c r="AG43">
        <f t="shared" si="45"/>
        <v>0</v>
      </c>
      <c r="AH43">
        <f t="shared" si="45"/>
        <v>0</v>
      </c>
      <c r="AI43">
        <f t="shared" si="45"/>
        <v>0</v>
      </c>
      <c r="AJ43">
        <f t="shared" si="45"/>
        <v>0</v>
      </c>
      <c r="AK43">
        <f t="shared" si="45"/>
        <v>0</v>
      </c>
      <c r="AL43">
        <f t="shared" si="45"/>
        <v>0</v>
      </c>
      <c r="AM43">
        <f t="shared" si="45"/>
        <v>0</v>
      </c>
      <c r="AN43">
        <f t="shared" si="45"/>
        <v>0</v>
      </c>
      <c r="AO43">
        <f t="shared" si="44"/>
        <v>0</v>
      </c>
      <c r="AP43">
        <f t="shared" si="44"/>
        <v>0</v>
      </c>
      <c r="AQ43">
        <f t="shared" si="44"/>
        <v>0</v>
      </c>
      <c r="AR43">
        <f t="shared" si="44"/>
        <v>0</v>
      </c>
      <c r="AS43">
        <f t="shared" si="44"/>
        <v>0</v>
      </c>
    </row>
    <row r="44" spans="1:45" x14ac:dyDescent="0.25">
      <c r="A44">
        <v>57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0.48301152610295428</v>
      </c>
      <c r="S44">
        <v>0.51698847389704561</v>
      </c>
      <c r="T44">
        <v>0</v>
      </c>
      <c r="U44">
        <v>0</v>
      </c>
      <c r="V44">
        <v>0</v>
      </c>
      <c r="W44">
        <f t="shared" si="0"/>
        <v>0.99999999999999989</v>
      </c>
      <c r="Y44">
        <f t="shared" si="47"/>
        <v>0</v>
      </c>
      <c r="Z44">
        <f t="shared" si="48"/>
        <v>0</v>
      </c>
      <c r="AA44">
        <f t="shared" si="46"/>
        <v>0</v>
      </c>
      <c r="AB44">
        <f t="shared" si="45"/>
        <v>0</v>
      </c>
      <c r="AC44">
        <f t="shared" si="45"/>
        <v>0</v>
      </c>
      <c r="AD44">
        <f t="shared" si="45"/>
        <v>0</v>
      </c>
      <c r="AE44">
        <f t="shared" si="45"/>
        <v>0</v>
      </c>
      <c r="AF44">
        <f t="shared" si="45"/>
        <v>0</v>
      </c>
      <c r="AG44">
        <f t="shared" si="45"/>
        <v>0</v>
      </c>
      <c r="AH44">
        <f t="shared" si="45"/>
        <v>0</v>
      </c>
      <c r="AI44">
        <f t="shared" si="45"/>
        <v>0</v>
      </c>
      <c r="AJ44">
        <f t="shared" si="45"/>
        <v>0</v>
      </c>
      <c r="AK44">
        <f t="shared" si="45"/>
        <v>0</v>
      </c>
      <c r="AL44">
        <f t="shared" si="45"/>
        <v>0</v>
      </c>
      <c r="AM44">
        <f t="shared" si="45"/>
        <v>0</v>
      </c>
      <c r="AN44">
        <f t="shared" si="45"/>
        <v>0</v>
      </c>
      <c r="AO44">
        <f t="shared" si="44"/>
        <v>0</v>
      </c>
      <c r="AP44">
        <f t="shared" si="44"/>
        <v>0</v>
      </c>
      <c r="AQ44">
        <f t="shared" si="44"/>
        <v>0</v>
      </c>
      <c r="AR44">
        <f t="shared" si="44"/>
        <v>0</v>
      </c>
      <c r="AS44">
        <f t="shared" si="44"/>
        <v>0</v>
      </c>
    </row>
    <row r="45" spans="1:45" x14ac:dyDescent="0.25">
      <c r="A45">
        <v>58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0.15866779633554279</v>
      </c>
      <c r="S45">
        <v>0.42848276841061417</v>
      </c>
      <c r="T45">
        <v>0.41284943525384316</v>
      </c>
      <c r="U45">
        <v>0</v>
      </c>
      <c r="V45">
        <v>0</v>
      </c>
      <c r="W45">
        <f t="shared" si="0"/>
        <v>1.0000000000000002</v>
      </c>
      <c r="Y45">
        <f t="shared" si="47"/>
        <v>0</v>
      </c>
      <c r="Z45">
        <f t="shared" si="48"/>
        <v>0</v>
      </c>
      <c r="AA45">
        <f t="shared" si="46"/>
        <v>0</v>
      </c>
      <c r="AB45">
        <f t="shared" si="45"/>
        <v>0</v>
      </c>
      <c r="AC45">
        <f t="shared" si="45"/>
        <v>0</v>
      </c>
      <c r="AD45">
        <f t="shared" si="45"/>
        <v>0</v>
      </c>
      <c r="AE45">
        <f t="shared" si="45"/>
        <v>0</v>
      </c>
      <c r="AF45">
        <f t="shared" si="45"/>
        <v>0</v>
      </c>
      <c r="AG45">
        <f t="shared" si="45"/>
        <v>0</v>
      </c>
      <c r="AH45">
        <f t="shared" si="45"/>
        <v>0</v>
      </c>
      <c r="AI45">
        <f t="shared" si="45"/>
        <v>0</v>
      </c>
      <c r="AJ45">
        <f t="shared" si="45"/>
        <v>0</v>
      </c>
      <c r="AK45">
        <f t="shared" si="45"/>
        <v>0</v>
      </c>
      <c r="AL45">
        <f t="shared" si="45"/>
        <v>0</v>
      </c>
      <c r="AM45">
        <f t="shared" si="45"/>
        <v>0</v>
      </c>
      <c r="AN45">
        <f t="shared" si="45"/>
        <v>0</v>
      </c>
      <c r="AO45">
        <f t="shared" si="44"/>
        <v>0</v>
      </c>
      <c r="AP45">
        <f t="shared" si="44"/>
        <v>0</v>
      </c>
      <c r="AQ45">
        <f t="shared" si="44"/>
        <v>0</v>
      </c>
      <c r="AR45">
        <f t="shared" si="44"/>
        <v>0</v>
      </c>
      <c r="AS45">
        <f t="shared" si="44"/>
        <v>0</v>
      </c>
    </row>
    <row r="46" spans="1:45" x14ac:dyDescent="0.25">
      <c r="A46">
        <v>59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8.8740424544953636E-2</v>
      </c>
      <c r="T46">
        <v>0.64066057181466962</v>
      </c>
      <c r="U46">
        <v>0.27059900364037665</v>
      </c>
      <c r="V46">
        <v>0</v>
      </c>
      <c r="W46">
        <f t="shared" si="0"/>
        <v>1</v>
      </c>
      <c r="Y46">
        <f t="shared" si="47"/>
        <v>0</v>
      </c>
      <c r="Z46">
        <f t="shared" si="48"/>
        <v>0</v>
      </c>
      <c r="AA46">
        <f t="shared" si="46"/>
        <v>0</v>
      </c>
      <c r="AB46">
        <f t="shared" si="45"/>
        <v>0</v>
      </c>
      <c r="AC46">
        <f t="shared" si="45"/>
        <v>0</v>
      </c>
      <c r="AD46">
        <f t="shared" si="45"/>
        <v>0</v>
      </c>
      <c r="AE46">
        <f t="shared" si="45"/>
        <v>0</v>
      </c>
      <c r="AF46">
        <f t="shared" si="45"/>
        <v>0</v>
      </c>
      <c r="AG46">
        <f t="shared" si="45"/>
        <v>0</v>
      </c>
      <c r="AH46">
        <f t="shared" si="45"/>
        <v>0</v>
      </c>
      <c r="AI46">
        <f t="shared" si="45"/>
        <v>0</v>
      </c>
      <c r="AJ46">
        <f t="shared" si="45"/>
        <v>0</v>
      </c>
      <c r="AK46">
        <f t="shared" si="45"/>
        <v>0</v>
      </c>
      <c r="AL46">
        <f t="shared" si="45"/>
        <v>0</v>
      </c>
      <c r="AM46">
        <f t="shared" si="45"/>
        <v>0</v>
      </c>
      <c r="AN46">
        <f t="shared" si="45"/>
        <v>0</v>
      </c>
      <c r="AO46">
        <f t="shared" si="44"/>
        <v>0</v>
      </c>
      <c r="AP46">
        <f t="shared" si="44"/>
        <v>0</v>
      </c>
      <c r="AQ46">
        <f t="shared" si="44"/>
        <v>0</v>
      </c>
      <c r="AR46">
        <f t="shared" si="44"/>
        <v>0</v>
      </c>
      <c r="AS46">
        <f t="shared" si="44"/>
        <v>0</v>
      </c>
    </row>
    <row r="47" spans="1:45" x14ac:dyDescent="0.25">
      <c r="A47">
        <v>60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0.25792140598747698</v>
      </c>
      <c r="U47">
        <v>0.74207859401252307</v>
      </c>
      <c r="V47">
        <v>0</v>
      </c>
      <c r="W47">
        <f t="shared" si="0"/>
        <v>1</v>
      </c>
      <c r="Y47">
        <f t="shared" si="47"/>
        <v>0</v>
      </c>
      <c r="Z47">
        <f t="shared" si="48"/>
        <v>0</v>
      </c>
      <c r="AA47">
        <f t="shared" si="46"/>
        <v>0</v>
      </c>
      <c r="AB47">
        <f t="shared" si="45"/>
        <v>0</v>
      </c>
      <c r="AC47">
        <f t="shared" si="45"/>
        <v>0</v>
      </c>
      <c r="AD47">
        <f t="shared" si="45"/>
        <v>0</v>
      </c>
      <c r="AE47">
        <f t="shared" si="45"/>
        <v>0</v>
      </c>
      <c r="AF47">
        <f t="shared" si="45"/>
        <v>0</v>
      </c>
      <c r="AG47">
        <f t="shared" si="45"/>
        <v>0</v>
      </c>
      <c r="AH47">
        <f t="shared" si="45"/>
        <v>0</v>
      </c>
      <c r="AI47">
        <f t="shared" si="45"/>
        <v>0</v>
      </c>
      <c r="AJ47">
        <f t="shared" si="45"/>
        <v>0</v>
      </c>
      <c r="AK47">
        <f t="shared" si="45"/>
        <v>0</v>
      </c>
      <c r="AL47">
        <f t="shared" si="45"/>
        <v>0</v>
      </c>
      <c r="AM47">
        <f t="shared" si="45"/>
        <v>0</v>
      </c>
      <c r="AN47">
        <f t="shared" si="45"/>
        <v>0</v>
      </c>
      <c r="AO47">
        <f t="shared" si="44"/>
        <v>0</v>
      </c>
      <c r="AP47">
        <f t="shared" si="44"/>
        <v>0</v>
      </c>
      <c r="AQ47">
        <f t="shared" si="44"/>
        <v>0</v>
      </c>
      <c r="AR47">
        <f t="shared" si="44"/>
        <v>0</v>
      </c>
      <c r="AS47">
        <f t="shared" si="44"/>
        <v>0</v>
      </c>
    </row>
    <row r="48" spans="1:45" x14ac:dyDescent="0.25">
      <c r="A48">
        <v>61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0.35182097973839443</v>
      </c>
      <c r="V48">
        <v>0.64817902026160557</v>
      </c>
      <c r="W48">
        <f t="shared" si="0"/>
        <v>1</v>
      </c>
      <c r="Y48">
        <f t="shared" si="47"/>
        <v>0</v>
      </c>
      <c r="Z48">
        <f t="shared" si="48"/>
        <v>0</v>
      </c>
      <c r="AA48">
        <f t="shared" si="46"/>
        <v>0</v>
      </c>
      <c r="AB48">
        <f t="shared" si="45"/>
        <v>0</v>
      </c>
      <c r="AC48">
        <f t="shared" si="45"/>
        <v>0</v>
      </c>
      <c r="AD48">
        <f t="shared" si="45"/>
        <v>0</v>
      </c>
      <c r="AE48">
        <f t="shared" si="45"/>
        <v>0</v>
      </c>
      <c r="AF48">
        <f t="shared" si="45"/>
        <v>0</v>
      </c>
      <c r="AG48">
        <f t="shared" si="45"/>
        <v>0</v>
      </c>
      <c r="AH48">
        <f t="shared" si="45"/>
        <v>0</v>
      </c>
      <c r="AI48">
        <f t="shared" si="45"/>
        <v>0</v>
      </c>
      <c r="AJ48">
        <f t="shared" si="45"/>
        <v>0</v>
      </c>
      <c r="AK48">
        <f t="shared" si="45"/>
        <v>0</v>
      </c>
      <c r="AL48">
        <f t="shared" si="45"/>
        <v>0</v>
      </c>
      <c r="AM48">
        <f t="shared" si="45"/>
        <v>0</v>
      </c>
      <c r="AN48">
        <f t="shared" si="45"/>
        <v>0</v>
      </c>
      <c r="AO48">
        <f t="shared" si="44"/>
        <v>0</v>
      </c>
      <c r="AP48">
        <f t="shared" si="44"/>
        <v>0</v>
      </c>
      <c r="AQ48">
        <f t="shared" si="44"/>
        <v>0</v>
      </c>
      <c r="AR48">
        <f t="shared" si="44"/>
        <v>0</v>
      </c>
      <c r="AS48">
        <f t="shared" si="44"/>
        <v>0</v>
      </c>
    </row>
    <row r="49" spans="1:46" x14ac:dyDescent="0.25">
      <c r="A49">
        <v>62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f t="shared" si="0"/>
        <v>0</v>
      </c>
      <c r="Y49">
        <f t="shared" si="47"/>
        <v>0</v>
      </c>
      <c r="Z49">
        <f t="shared" si="48"/>
        <v>0</v>
      </c>
      <c r="AA49">
        <f t="shared" si="46"/>
        <v>0</v>
      </c>
      <c r="AB49">
        <f t="shared" si="45"/>
        <v>0</v>
      </c>
      <c r="AC49">
        <f t="shared" si="45"/>
        <v>0</v>
      </c>
      <c r="AD49">
        <f t="shared" si="45"/>
        <v>0</v>
      </c>
      <c r="AE49">
        <f t="shared" si="45"/>
        <v>0</v>
      </c>
      <c r="AF49">
        <f t="shared" si="45"/>
        <v>0</v>
      </c>
      <c r="AG49">
        <f t="shared" si="45"/>
        <v>0</v>
      </c>
      <c r="AH49">
        <f t="shared" si="45"/>
        <v>0</v>
      </c>
      <c r="AI49">
        <f t="shared" si="45"/>
        <v>0</v>
      </c>
      <c r="AJ49">
        <f t="shared" si="45"/>
        <v>0</v>
      </c>
      <c r="AK49">
        <f t="shared" si="45"/>
        <v>0</v>
      </c>
      <c r="AL49">
        <f t="shared" si="45"/>
        <v>0</v>
      </c>
      <c r="AM49">
        <f t="shared" si="45"/>
        <v>0</v>
      </c>
      <c r="AN49">
        <f t="shared" si="45"/>
        <v>0</v>
      </c>
      <c r="AO49">
        <f t="shared" si="44"/>
        <v>0</v>
      </c>
      <c r="AP49">
        <f t="shared" si="44"/>
        <v>0</v>
      </c>
      <c r="AQ49">
        <f t="shared" si="44"/>
        <v>0</v>
      </c>
      <c r="AR49">
        <f t="shared" si="44"/>
        <v>0</v>
      </c>
      <c r="AS49">
        <f t="shared" si="44"/>
        <v>0</v>
      </c>
    </row>
    <row r="50" spans="1:46" x14ac:dyDescent="0.25">
      <c r="A50">
        <v>63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f t="shared" si="0"/>
        <v>1</v>
      </c>
      <c r="Y50">
        <f t="shared" si="47"/>
        <v>0</v>
      </c>
      <c r="Z50">
        <f t="shared" si="48"/>
        <v>0</v>
      </c>
      <c r="AA50">
        <f t="shared" si="46"/>
        <v>0</v>
      </c>
      <c r="AB50">
        <f t="shared" si="45"/>
        <v>0</v>
      </c>
      <c r="AC50">
        <f t="shared" si="45"/>
        <v>0</v>
      </c>
      <c r="AD50">
        <f t="shared" si="45"/>
        <v>0</v>
      </c>
      <c r="AE50">
        <f t="shared" si="45"/>
        <v>0</v>
      </c>
      <c r="AF50">
        <f t="shared" si="45"/>
        <v>0</v>
      </c>
      <c r="AG50">
        <f t="shared" si="45"/>
        <v>0</v>
      </c>
      <c r="AH50">
        <f t="shared" si="45"/>
        <v>0</v>
      </c>
      <c r="AI50">
        <f t="shared" si="45"/>
        <v>0</v>
      </c>
      <c r="AJ50">
        <f t="shared" si="45"/>
        <v>0</v>
      </c>
      <c r="AK50">
        <f t="shared" si="45"/>
        <v>0</v>
      </c>
      <c r="AL50">
        <f t="shared" si="45"/>
        <v>0</v>
      </c>
      <c r="AM50">
        <f t="shared" si="45"/>
        <v>0</v>
      </c>
      <c r="AN50">
        <f t="shared" si="45"/>
        <v>0</v>
      </c>
      <c r="AO50">
        <f t="shared" si="44"/>
        <v>0</v>
      </c>
      <c r="AP50">
        <f t="shared" si="44"/>
        <v>0</v>
      </c>
      <c r="AQ50">
        <f t="shared" si="44"/>
        <v>0</v>
      </c>
      <c r="AR50">
        <f t="shared" si="44"/>
        <v>0</v>
      </c>
      <c r="AS50">
        <f t="shared" si="44"/>
        <v>0</v>
      </c>
    </row>
    <row r="51" spans="1:46" x14ac:dyDescent="0.25">
      <c r="A51">
        <v>64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f t="shared" si="0"/>
        <v>1</v>
      </c>
      <c r="Y51">
        <f t="shared" si="47"/>
        <v>0</v>
      </c>
      <c r="Z51">
        <f t="shared" si="48"/>
        <v>0</v>
      </c>
      <c r="AA51">
        <f t="shared" si="46"/>
        <v>0</v>
      </c>
      <c r="AB51">
        <f t="shared" si="45"/>
        <v>0</v>
      </c>
      <c r="AC51">
        <f t="shared" si="45"/>
        <v>0</v>
      </c>
      <c r="AD51">
        <f t="shared" si="45"/>
        <v>0</v>
      </c>
      <c r="AE51">
        <f t="shared" si="45"/>
        <v>0</v>
      </c>
      <c r="AF51">
        <f t="shared" si="45"/>
        <v>0</v>
      </c>
      <c r="AG51">
        <f t="shared" si="45"/>
        <v>0</v>
      </c>
      <c r="AH51">
        <f t="shared" si="45"/>
        <v>0</v>
      </c>
      <c r="AI51">
        <f t="shared" si="45"/>
        <v>0</v>
      </c>
      <c r="AJ51">
        <f t="shared" si="45"/>
        <v>0</v>
      </c>
      <c r="AK51">
        <f t="shared" si="45"/>
        <v>0</v>
      </c>
      <c r="AL51">
        <f t="shared" si="45"/>
        <v>0</v>
      </c>
      <c r="AM51">
        <f t="shared" si="45"/>
        <v>0</v>
      </c>
      <c r="AN51">
        <f t="shared" si="45"/>
        <v>0</v>
      </c>
      <c r="AO51">
        <f t="shared" si="44"/>
        <v>0</v>
      </c>
      <c r="AP51">
        <f t="shared" si="44"/>
        <v>0</v>
      </c>
      <c r="AQ51">
        <f t="shared" si="44"/>
        <v>0</v>
      </c>
      <c r="AR51">
        <f t="shared" si="44"/>
        <v>0</v>
      </c>
      <c r="AS51">
        <f t="shared" si="44"/>
        <v>0</v>
      </c>
    </row>
    <row r="52" spans="1:46" x14ac:dyDescent="0.25">
      <c r="A52">
        <v>65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f t="shared" si="0"/>
        <v>0</v>
      </c>
    </row>
    <row r="53" spans="1:46" x14ac:dyDescent="0.25">
      <c r="A53">
        <v>66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f t="shared" si="0"/>
        <v>0</v>
      </c>
      <c r="Y53">
        <f>SUM(Y2:Y52)</f>
        <v>0</v>
      </c>
      <c r="Z53">
        <f t="shared" ref="Z53:AS53" si="49">SUM(Z2:Z52)</f>
        <v>0</v>
      </c>
      <c r="AA53">
        <f t="shared" si="49"/>
        <v>24780354.686642766</v>
      </c>
      <c r="AB53">
        <f t="shared" si="49"/>
        <v>63041632.305937685</v>
      </c>
      <c r="AC53">
        <f t="shared" si="49"/>
        <v>19323540.160339318</v>
      </c>
      <c r="AD53">
        <f t="shared" si="49"/>
        <v>511627.74747146532</v>
      </c>
      <c r="AE53">
        <f t="shared" si="49"/>
        <v>51215.875560461864</v>
      </c>
      <c r="AF53">
        <f t="shared" si="49"/>
        <v>3777561.6763872365</v>
      </c>
      <c r="AG53">
        <f t="shared" si="49"/>
        <v>16209641.643185632</v>
      </c>
      <c r="AH53">
        <f t="shared" si="49"/>
        <v>24356498.990320958</v>
      </c>
      <c r="AI53">
        <f t="shared" si="49"/>
        <v>18197706.215607505</v>
      </c>
      <c r="AJ53">
        <f t="shared" si="49"/>
        <v>5458398.2214856381</v>
      </c>
      <c r="AK53">
        <f t="shared" si="49"/>
        <v>1739657.3238360411</v>
      </c>
      <c r="AL53">
        <f t="shared" si="49"/>
        <v>1623082.2283584112</v>
      </c>
      <c r="AM53">
        <f t="shared" si="49"/>
        <v>1135192.1942808614</v>
      </c>
      <c r="AN53">
        <f t="shared" si="49"/>
        <v>249620.17152650768</v>
      </c>
      <c r="AO53">
        <f t="shared" si="49"/>
        <v>35204.366848938007</v>
      </c>
      <c r="AP53">
        <f t="shared" si="49"/>
        <v>798.75822029792687</v>
      </c>
      <c r="AQ53">
        <f t="shared" si="49"/>
        <v>0</v>
      </c>
      <c r="AR53">
        <f t="shared" si="49"/>
        <v>0</v>
      </c>
      <c r="AS53">
        <f t="shared" si="49"/>
        <v>0</v>
      </c>
      <c r="AT53">
        <f>SUM(Y53:AS53)</f>
        <v>180491732.56600973</v>
      </c>
    </row>
    <row r="54" spans="1:46" x14ac:dyDescent="0.25">
      <c r="X54" s="4">
        <f>SUM(X2:X53)</f>
        <v>180491732.5660097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54"/>
  <sheetViews>
    <sheetView topLeftCell="A28" workbookViewId="0">
      <selection activeCell="X55" sqref="X55"/>
    </sheetView>
  </sheetViews>
  <sheetFormatPr defaultRowHeight="15" x14ac:dyDescent="0.25"/>
  <cols>
    <col min="2" max="23" width="0" hidden="1" customWidth="1"/>
    <col min="24" max="24" width="9.140625" style="3"/>
  </cols>
  <sheetData>
    <row r="1" spans="1:45" x14ac:dyDescent="0.25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 t="s">
        <v>5</v>
      </c>
      <c r="X1" s="3" t="s">
        <v>7</v>
      </c>
      <c r="Y1">
        <v>0</v>
      </c>
      <c r="Z1">
        <v>1</v>
      </c>
      <c r="AA1">
        <v>2</v>
      </c>
      <c r="AB1">
        <v>3</v>
      </c>
      <c r="AC1">
        <v>4</v>
      </c>
      <c r="AD1">
        <v>5</v>
      </c>
      <c r="AE1">
        <v>6</v>
      </c>
      <c r="AF1">
        <v>7</v>
      </c>
      <c r="AG1">
        <v>8</v>
      </c>
      <c r="AH1">
        <v>9</v>
      </c>
      <c r="AI1">
        <v>10</v>
      </c>
      <c r="AJ1">
        <v>11</v>
      </c>
      <c r="AK1">
        <v>12</v>
      </c>
      <c r="AL1">
        <v>13</v>
      </c>
      <c r="AM1">
        <v>14</v>
      </c>
      <c r="AN1">
        <v>15</v>
      </c>
      <c r="AO1">
        <v>16</v>
      </c>
      <c r="AP1">
        <v>17</v>
      </c>
      <c r="AQ1">
        <v>18</v>
      </c>
      <c r="AR1">
        <v>19</v>
      </c>
      <c r="AS1">
        <v>20</v>
      </c>
    </row>
    <row r="2" spans="1:45" x14ac:dyDescent="0.25">
      <c r="A2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f>SUM(B2:V2)</f>
        <v>0</v>
      </c>
      <c r="X2" s="3">
        <v>0</v>
      </c>
      <c r="Y2">
        <f t="shared" ref="Y2:AN17" si="0">B2*$X2</f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ref="AO2:AS17" si="1">R2*$X2</f>
        <v>0</v>
      </c>
      <c r="AP2">
        <f t="shared" si="1"/>
        <v>0</v>
      </c>
      <c r="AQ2">
        <f t="shared" si="1"/>
        <v>0</v>
      </c>
      <c r="AR2">
        <f t="shared" si="1"/>
        <v>0</v>
      </c>
      <c r="AS2">
        <f t="shared" si="1"/>
        <v>0</v>
      </c>
    </row>
    <row r="3" spans="1:45" x14ac:dyDescent="0.25">
      <c r="A3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f t="shared" ref="W3:W53" si="2">SUM(B3:V3)</f>
        <v>0</v>
      </c>
      <c r="X3" s="3"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si="0"/>
        <v>0</v>
      </c>
      <c r="AJ3">
        <f t="shared" si="0"/>
        <v>0</v>
      </c>
      <c r="AK3">
        <f t="shared" si="0"/>
        <v>0</v>
      </c>
      <c r="AL3">
        <f t="shared" si="0"/>
        <v>0</v>
      </c>
      <c r="AM3">
        <f t="shared" si="0"/>
        <v>0</v>
      </c>
      <c r="AN3">
        <f t="shared" si="0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</row>
    <row r="4" spans="1:45" x14ac:dyDescent="0.25">
      <c r="A4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f t="shared" si="2"/>
        <v>0</v>
      </c>
      <c r="X4" s="3">
        <v>0</v>
      </c>
      <c r="Y4">
        <f t="shared" si="0"/>
        <v>0</v>
      </c>
      <c r="Z4">
        <f t="shared" si="0"/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  <c r="AG4">
        <f t="shared" si="0"/>
        <v>0</v>
      </c>
      <c r="AH4">
        <f t="shared" si="0"/>
        <v>0</v>
      </c>
      <c r="AI4">
        <f t="shared" si="0"/>
        <v>0</v>
      </c>
      <c r="AJ4">
        <f t="shared" si="0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1"/>
        <v>0</v>
      </c>
      <c r="AP4">
        <f t="shared" si="1"/>
        <v>0</v>
      </c>
      <c r="AQ4">
        <f t="shared" si="1"/>
        <v>0</v>
      </c>
      <c r="AR4">
        <f t="shared" si="1"/>
        <v>0</v>
      </c>
      <c r="AS4">
        <f t="shared" si="1"/>
        <v>0</v>
      </c>
    </row>
    <row r="5" spans="1:45" x14ac:dyDescent="0.25">
      <c r="A5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f t="shared" si="2"/>
        <v>0</v>
      </c>
      <c r="X5" s="3"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  <c r="AF5">
        <f t="shared" si="0"/>
        <v>0</v>
      </c>
      <c r="AG5">
        <f t="shared" si="0"/>
        <v>0</v>
      </c>
      <c r="AH5">
        <f t="shared" si="0"/>
        <v>0</v>
      </c>
      <c r="AI5">
        <f t="shared" si="0"/>
        <v>0</v>
      </c>
      <c r="AJ5">
        <f t="shared" si="0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1"/>
        <v>0</v>
      </c>
      <c r="AP5">
        <f t="shared" si="1"/>
        <v>0</v>
      </c>
      <c r="AQ5">
        <f t="shared" si="1"/>
        <v>0</v>
      </c>
      <c r="AR5">
        <f t="shared" si="1"/>
        <v>0</v>
      </c>
      <c r="AS5">
        <f t="shared" si="1"/>
        <v>0</v>
      </c>
    </row>
    <row r="6" spans="1:45" x14ac:dyDescent="0.25">
      <c r="A6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f t="shared" si="2"/>
        <v>0</v>
      </c>
      <c r="X6" s="3">
        <v>0</v>
      </c>
      <c r="Y6">
        <f t="shared" si="0"/>
        <v>0</v>
      </c>
      <c r="Z6">
        <f t="shared" si="0"/>
        <v>0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0"/>
        <v>0</v>
      </c>
      <c r="AE6">
        <f t="shared" si="0"/>
        <v>0</v>
      </c>
      <c r="AF6">
        <f t="shared" si="0"/>
        <v>0</v>
      </c>
      <c r="AG6">
        <f t="shared" si="0"/>
        <v>0</v>
      </c>
      <c r="AH6">
        <f t="shared" si="0"/>
        <v>0</v>
      </c>
      <c r="AI6">
        <f t="shared" si="0"/>
        <v>0</v>
      </c>
      <c r="AJ6">
        <f t="shared" si="0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1"/>
        <v>0</v>
      </c>
      <c r="AP6">
        <f t="shared" si="1"/>
        <v>0</v>
      </c>
      <c r="AQ6">
        <f t="shared" si="1"/>
        <v>0</v>
      </c>
      <c r="AR6">
        <f t="shared" si="1"/>
        <v>0</v>
      </c>
      <c r="AS6">
        <f t="shared" si="1"/>
        <v>0</v>
      </c>
    </row>
    <row r="7" spans="1:45" x14ac:dyDescent="0.25">
      <c r="A7">
        <v>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f t="shared" si="2"/>
        <v>0</v>
      </c>
      <c r="X7" s="3"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1"/>
        <v>0</v>
      </c>
      <c r="AP7">
        <f t="shared" si="1"/>
        <v>0</v>
      </c>
      <c r="AQ7">
        <f t="shared" si="1"/>
        <v>0</v>
      </c>
      <c r="AR7">
        <f t="shared" si="1"/>
        <v>0</v>
      </c>
      <c r="AS7">
        <f t="shared" si="1"/>
        <v>0</v>
      </c>
    </row>
    <row r="8" spans="1:45" x14ac:dyDescent="0.25">
      <c r="A8">
        <v>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f t="shared" si="2"/>
        <v>0</v>
      </c>
      <c r="X8" s="3">
        <v>0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0</v>
      </c>
      <c r="AC8">
        <f t="shared" si="0"/>
        <v>0</v>
      </c>
      <c r="AD8">
        <f t="shared" si="0"/>
        <v>0</v>
      </c>
      <c r="AE8">
        <f t="shared" si="0"/>
        <v>0</v>
      </c>
      <c r="AF8">
        <f t="shared" si="0"/>
        <v>0</v>
      </c>
      <c r="AG8">
        <f t="shared" si="0"/>
        <v>0</v>
      </c>
      <c r="AH8">
        <f t="shared" si="0"/>
        <v>0</v>
      </c>
      <c r="AI8">
        <f t="shared" si="0"/>
        <v>0</v>
      </c>
      <c r="AJ8">
        <f t="shared" si="0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1"/>
        <v>0</v>
      </c>
      <c r="AP8">
        <f t="shared" si="1"/>
        <v>0</v>
      </c>
      <c r="AQ8">
        <f t="shared" si="1"/>
        <v>0</v>
      </c>
      <c r="AR8">
        <f t="shared" si="1"/>
        <v>0</v>
      </c>
      <c r="AS8">
        <f t="shared" si="1"/>
        <v>0</v>
      </c>
    </row>
    <row r="9" spans="1:45" x14ac:dyDescent="0.25">
      <c r="A9">
        <v>22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f t="shared" si="2"/>
        <v>1</v>
      </c>
      <c r="X9" s="3"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  <c r="AC9">
        <f t="shared" si="0"/>
        <v>0</v>
      </c>
      <c r="AD9">
        <f t="shared" si="0"/>
        <v>0</v>
      </c>
      <c r="AE9">
        <f t="shared" si="0"/>
        <v>0</v>
      </c>
      <c r="AF9">
        <f t="shared" si="0"/>
        <v>0</v>
      </c>
      <c r="AG9">
        <f t="shared" si="0"/>
        <v>0</v>
      </c>
      <c r="AH9">
        <f t="shared" si="0"/>
        <v>0</v>
      </c>
      <c r="AI9">
        <f t="shared" si="0"/>
        <v>0</v>
      </c>
      <c r="AJ9">
        <f t="shared" si="0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1"/>
        <v>0</v>
      </c>
      <c r="AP9">
        <f t="shared" si="1"/>
        <v>0</v>
      </c>
      <c r="AQ9">
        <f t="shared" si="1"/>
        <v>0</v>
      </c>
      <c r="AR9">
        <f t="shared" si="1"/>
        <v>0</v>
      </c>
      <c r="AS9">
        <f t="shared" si="1"/>
        <v>0</v>
      </c>
    </row>
    <row r="10" spans="1:45" x14ac:dyDescent="0.25">
      <c r="A10">
        <v>23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f t="shared" si="2"/>
        <v>1</v>
      </c>
      <c r="X10" s="3">
        <v>0</v>
      </c>
      <c r="Y10">
        <f t="shared" si="0"/>
        <v>0</v>
      </c>
      <c r="Z10">
        <f t="shared" si="0"/>
        <v>0</v>
      </c>
      <c r="AA10">
        <f t="shared" si="0"/>
        <v>0</v>
      </c>
      <c r="AB10">
        <f t="shared" si="0"/>
        <v>0</v>
      </c>
      <c r="AC10">
        <f t="shared" si="0"/>
        <v>0</v>
      </c>
      <c r="AD10">
        <f t="shared" si="0"/>
        <v>0</v>
      </c>
      <c r="AE10">
        <f t="shared" si="0"/>
        <v>0</v>
      </c>
      <c r="AF10">
        <f t="shared" si="0"/>
        <v>0</v>
      </c>
      <c r="AG10">
        <f t="shared" si="0"/>
        <v>0</v>
      </c>
      <c r="AH10">
        <f t="shared" si="0"/>
        <v>0</v>
      </c>
      <c r="AI10">
        <f t="shared" si="0"/>
        <v>0</v>
      </c>
      <c r="AJ10">
        <f t="shared" si="0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1"/>
        <v>0</v>
      </c>
      <c r="AP10">
        <f t="shared" si="1"/>
        <v>0</v>
      </c>
      <c r="AQ10">
        <f t="shared" si="1"/>
        <v>0</v>
      </c>
      <c r="AR10">
        <f t="shared" si="1"/>
        <v>0</v>
      </c>
      <c r="AS10">
        <f t="shared" si="1"/>
        <v>0</v>
      </c>
    </row>
    <row r="11" spans="1:45" x14ac:dyDescent="0.25">
      <c r="A11">
        <v>24</v>
      </c>
      <c r="B11">
        <v>0</v>
      </c>
      <c r="C11">
        <v>0</v>
      </c>
      <c r="D11">
        <v>0</v>
      </c>
      <c r="E11">
        <v>0.14285714285714285</v>
      </c>
      <c r="F11">
        <v>0.8571428571428571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f t="shared" si="2"/>
        <v>1</v>
      </c>
      <c r="X11" s="3">
        <v>16702.270868636737</v>
      </c>
      <c r="Y11">
        <f t="shared" si="0"/>
        <v>0</v>
      </c>
      <c r="Z11">
        <f t="shared" si="0"/>
        <v>0</v>
      </c>
      <c r="AA11">
        <f t="shared" si="0"/>
        <v>0</v>
      </c>
      <c r="AB11">
        <f t="shared" si="0"/>
        <v>2386.0386955195336</v>
      </c>
      <c r="AC11">
        <f t="shared" si="0"/>
        <v>14316.232173117201</v>
      </c>
      <c r="AD11">
        <f t="shared" si="0"/>
        <v>0</v>
      </c>
      <c r="AE11">
        <f t="shared" si="0"/>
        <v>0</v>
      </c>
      <c r="AF11">
        <f t="shared" si="0"/>
        <v>0</v>
      </c>
      <c r="AG11">
        <f t="shared" si="0"/>
        <v>0</v>
      </c>
      <c r="AH11">
        <f t="shared" si="0"/>
        <v>0</v>
      </c>
      <c r="AI11">
        <f t="shared" si="0"/>
        <v>0</v>
      </c>
      <c r="AJ11">
        <f t="shared" si="0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1"/>
        <v>0</v>
      </c>
      <c r="AP11">
        <f t="shared" si="1"/>
        <v>0</v>
      </c>
      <c r="AQ11">
        <f t="shared" si="1"/>
        <v>0</v>
      </c>
      <c r="AR11">
        <f t="shared" si="1"/>
        <v>0</v>
      </c>
      <c r="AS11">
        <f t="shared" si="1"/>
        <v>0</v>
      </c>
    </row>
    <row r="12" spans="1:45" x14ac:dyDescent="0.25">
      <c r="A12">
        <v>25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f t="shared" si="2"/>
        <v>1</v>
      </c>
      <c r="X12" s="3">
        <v>186661.42599680572</v>
      </c>
      <c r="Y12">
        <f t="shared" si="0"/>
        <v>0</v>
      </c>
      <c r="Z12">
        <f t="shared" si="0"/>
        <v>0</v>
      </c>
      <c r="AA12">
        <f t="shared" si="0"/>
        <v>0</v>
      </c>
      <c r="AB12">
        <f t="shared" si="0"/>
        <v>0</v>
      </c>
      <c r="AC12">
        <f t="shared" si="0"/>
        <v>186661.42599680572</v>
      </c>
      <c r="AD12">
        <f t="shared" si="0"/>
        <v>0</v>
      </c>
      <c r="AE12">
        <f t="shared" si="0"/>
        <v>0</v>
      </c>
      <c r="AF12">
        <f t="shared" si="0"/>
        <v>0</v>
      </c>
      <c r="AG12">
        <f t="shared" si="0"/>
        <v>0</v>
      </c>
      <c r="AH12">
        <f t="shared" si="0"/>
        <v>0</v>
      </c>
      <c r="AI12">
        <f t="shared" si="0"/>
        <v>0</v>
      </c>
      <c r="AJ12">
        <f t="shared" si="0"/>
        <v>0</v>
      </c>
      <c r="AK12">
        <f t="shared" si="0"/>
        <v>0</v>
      </c>
      <c r="AL12">
        <f t="shared" si="0"/>
        <v>0</v>
      </c>
      <c r="AM12">
        <f t="shared" si="0"/>
        <v>0</v>
      </c>
      <c r="AN12">
        <f t="shared" si="0"/>
        <v>0</v>
      </c>
      <c r="AO12">
        <f t="shared" si="1"/>
        <v>0</v>
      </c>
      <c r="AP12">
        <f t="shared" si="1"/>
        <v>0</v>
      </c>
      <c r="AQ12">
        <f t="shared" si="1"/>
        <v>0</v>
      </c>
      <c r="AR12">
        <f t="shared" si="1"/>
        <v>0</v>
      </c>
      <c r="AS12">
        <f t="shared" si="1"/>
        <v>0</v>
      </c>
    </row>
    <row r="13" spans="1:45" x14ac:dyDescent="0.25">
      <c r="A13">
        <v>26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f t="shared" si="2"/>
        <v>1</v>
      </c>
      <c r="X13" s="3">
        <v>293168.76132806594</v>
      </c>
      <c r="Y13">
        <f t="shared" si="0"/>
        <v>0</v>
      </c>
      <c r="Z13">
        <f t="shared" si="0"/>
        <v>0</v>
      </c>
      <c r="AA13">
        <f t="shared" si="0"/>
        <v>0</v>
      </c>
      <c r="AB13">
        <f t="shared" si="0"/>
        <v>0</v>
      </c>
      <c r="AC13">
        <f t="shared" si="0"/>
        <v>293168.76132806594</v>
      </c>
      <c r="AD13">
        <f t="shared" si="0"/>
        <v>0</v>
      </c>
      <c r="AE13">
        <f t="shared" si="0"/>
        <v>0</v>
      </c>
      <c r="AF13">
        <f t="shared" si="0"/>
        <v>0</v>
      </c>
      <c r="AG13">
        <f t="shared" si="0"/>
        <v>0</v>
      </c>
      <c r="AH13">
        <f t="shared" si="0"/>
        <v>0</v>
      </c>
      <c r="AI13">
        <f t="shared" si="0"/>
        <v>0</v>
      </c>
      <c r="AJ13">
        <f t="shared" si="0"/>
        <v>0</v>
      </c>
      <c r="AK13">
        <f t="shared" si="0"/>
        <v>0</v>
      </c>
      <c r="AL13">
        <f t="shared" si="0"/>
        <v>0</v>
      </c>
      <c r="AM13">
        <f t="shared" si="0"/>
        <v>0</v>
      </c>
      <c r="AN13">
        <f t="shared" si="0"/>
        <v>0</v>
      </c>
      <c r="AO13">
        <f t="shared" si="1"/>
        <v>0</v>
      </c>
      <c r="AP13">
        <f t="shared" si="1"/>
        <v>0</v>
      </c>
      <c r="AQ13">
        <f t="shared" si="1"/>
        <v>0</v>
      </c>
      <c r="AR13">
        <f t="shared" si="1"/>
        <v>0</v>
      </c>
      <c r="AS13">
        <f t="shared" si="1"/>
        <v>0</v>
      </c>
    </row>
    <row r="14" spans="1:45" x14ac:dyDescent="0.25">
      <c r="A14">
        <v>27</v>
      </c>
      <c r="B14">
        <v>0</v>
      </c>
      <c r="C14">
        <v>0</v>
      </c>
      <c r="D14">
        <v>0</v>
      </c>
      <c r="E14">
        <v>0</v>
      </c>
      <c r="F14">
        <v>0.77777777777777779</v>
      </c>
      <c r="G14">
        <v>0.22222222222222221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f t="shared" si="2"/>
        <v>1</v>
      </c>
      <c r="X14" s="3">
        <v>556543.54643129068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432867.20277989277</v>
      </c>
      <c r="AD14">
        <f t="shared" si="0"/>
        <v>123676.34365139792</v>
      </c>
      <c r="AE14">
        <f t="shared" si="0"/>
        <v>0</v>
      </c>
      <c r="AF14">
        <f t="shared" si="0"/>
        <v>0</v>
      </c>
      <c r="AG14">
        <f t="shared" si="0"/>
        <v>0</v>
      </c>
      <c r="AH14">
        <f t="shared" si="0"/>
        <v>0</v>
      </c>
      <c r="AI14">
        <f t="shared" si="0"/>
        <v>0</v>
      </c>
      <c r="AJ14">
        <f t="shared" si="0"/>
        <v>0</v>
      </c>
      <c r="AK14">
        <f t="shared" si="0"/>
        <v>0</v>
      </c>
      <c r="AL14">
        <f t="shared" si="0"/>
        <v>0</v>
      </c>
      <c r="AM14">
        <f t="shared" si="0"/>
        <v>0</v>
      </c>
      <c r="AN14">
        <f t="shared" si="0"/>
        <v>0</v>
      </c>
      <c r="AO14">
        <f t="shared" si="1"/>
        <v>0</v>
      </c>
      <c r="AP14">
        <f t="shared" si="1"/>
        <v>0</v>
      </c>
      <c r="AQ14">
        <f t="shared" si="1"/>
        <v>0</v>
      </c>
      <c r="AR14">
        <f t="shared" si="1"/>
        <v>0</v>
      </c>
      <c r="AS14">
        <f t="shared" si="1"/>
        <v>0</v>
      </c>
    </row>
    <row r="15" spans="1:45" x14ac:dyDescent="0.25">
      <c r="A15">
        <v>28</v>
      </c>
      <c r="B15">
        <v>0</v>
      </c>
      <c r="C15">
        <v>0</v>
      </c>
      <c r="D15">
        <v>0</v>
      </c>
      <c r="E15">
        <v>0</v>
      </c>
      <c r="F15">
        <v>0</v>
      </c>
      <c r="G15">
        <v>0.84615384615384615</v>
      </c>
      <c r="H15">
        <v>0.15384615384615385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f t="shared" si="2"/>
        <v>1</v>
      </c>
      <c r="X15" s="3">
        <v>443246.33079618838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375054.5875967748</v>
      </c>
      <c r="AE15">
        <f t="shared" si="0"/>
        <v>68191.743199413599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1"/>
        <v>0</v>
      </c>
      <c r="AP15">
        <f t="shared" si="1"/>
        <v>0</v>
      </c>
      <c r="AQ15">
        <f t="shared" si="1"/>
        <v>0</v>
      </c>
      <c r="AR15">
        <f t="shared" si="1"/>
        <v>0</v>
      </c>
      <c r="AS15">
        <f t="shared" si="1"/>
        <v>0</v>
      </c>
    </row>
    <row r="16" spans="1:45" x14ac:dyDescent="0.25">
      <c r="A16">
        <v>29</v>
      </c>
      <c r="B16">
        <v>0</v>
      </c>
      <c r="C16">
        <v>0</v>
      </c>
      <c r="D16">
        <v>0</v>
      </c>
      <c r="E16">
        <v>0</v>
      </c>
      <c r="F16">
        <v>0</v>
      </c>
      <c r="G16">
        <v>0.52</v>
      </c>
      <c r="H16">
        <v>0.48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f t="shared" si="2"/>
        <v>1</v>
      </c>
      <c r="X16" s="3">
        <v>535089.1128794502</v>
      </c>
      <c r="Y16">
        <f t="shared" si="0"/>
        <v>0</v>
      </c>
      <c r="Z16">
        <f t="shared" si="0"/>
        <v>0</v>
      </c>
      <c r="AA16">
        <f t="shared" si="0"/>
        <v>0</v>
      </c>
      <c r="AB16">
        <f t="shared" si="0"/>
        <v>0</v>
      </c>
      <c r="AC16">
        <f t="shared" si="0"/>
        <v>0</v>
      </c>
      <c r="AD16">
        <f t="shared" si="0"/>
        <v>278246.33869731409</v>
      </c>
      <c r="AE16">
        <f t="shared" si="0"/>
        <v>256842.77418213608</v>
      </c>
      <c r="AF16">
        <f t="shared" si="0"/>
        <v>0</v>
      </c>
      <c r="AG16">
        <f t="shared" si="0"/>
        <v>0</v>
      </c>
      <c r="AH16">
        <f t="shared" si="0"/>
        <v>0</v>
      </c>
      <c r="AI16">
        <f t="shared" si="0"/>
        <v>0</v>
      </c>
      <c r="AJ16">
        <f t="shared" si="0"/>
        <v>0</v>
      </c>
      <c r="AK16">
        <f t="shared" si="0"/>
        <v>0</v>
      </c>
      <c r="AL16">
        <f t="shared" si="0"/>
        <v>0</v>
      </c>
      <c r="AM16">
        <f t="shared" si="0"/>
        <v>0</v>
      </c>
      <c r="AN16">
        <f t="shared" si="0"/>
        <v>0</v>
      </c>
      <c r="AO16">
        <f t="shared" si="1"/>
        <v>0</v>
      </c>
      <c r="AP16">
        <f t="shared" si="1"/>
        <v>0</v>
      </c>
      <c r="AQ16">
        <f t="shared" si="1"/>
        <v>0</v>
      </c>
      <c r="AR16">
        <f t="shared" si="1"/>
        <v>0</v>
      </c>
      <c r="AS16">
        <f t="shared" si="1"/>
        <v>0</v>
      </c>
    </row>
    <row r="17" spans="1:45" x14ac:dyDescent="0.25">
      <c r="A17">
        <v>30</v>
      </c>
      <c r="B17">
        <v>0</v>
      </c>
      <c r="C17">
        <v>0</v>
      </c>
      <c r="D17">
        <v>0</v>
      </c>
      <c r="E17">
        <v>0</v>
      </c>
      <c r="F17">
        <v>0</v>
      </c>
      <c r="G17">
        <v>6.25E-2</v>
      </c>
      <c r="H17">
        <v>0.9375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f t="shared" si="2"/>
        <v>1</v>
      </c>
      <c r="X17" s="3">
        <v>321343.51861584175</v>
      </c>
      <c r="Y17">
        <f t="shared" si="0"/>
        <v>0</v>
      </c>
      <c r="Z17">
        <f t="shared" si="0"/>
        <v>0</v>
      </c>
      <c r="AA17">
        <f t="shared" si="0"/>
        <v>0</v>
      </c>
      <c r="AB17">
        <f t="shared" si="0"/>
        <v>0</v>
      </c>
      <c r="AC17">
        <f t="shared" si="0"/>
        <v>0</v>
      </c>
      <c r="AD17">
        <f t="shared" si="0"/>
        <v>20083.969913490109</v>
      </c>
      <c r="AE17">
        <f t="shared" si="0"/>
        <v>301259.54870235163</v>
      </c>
      <c r="AF17">
        <f t="shared" si="0"/>
        <v>0</v>
      </c>
      <c r="AG17">
        <f t="shared" si="0"/>
        <v>0</v>
      </c>
      <c r="AH17">
        <f t="shared" si="0"/>
        <v>0</v>
      </c>
      <c r="AI17">
        <f t="shared" si="0"/>
        <v>0</v>
      </c>
      <c r="AJ17">
        <f t="shared" si="0"/>
        <v>0</v>
      </c>
      <c r="AK17">
        <f t="shared" si="0"/>
        <v>0</v>
      </c>
      <c r="AL17">
        <f t="shared" si="0"/>
        <v>0</v>
      </c>
      <c r="AM17">
        <f t="shared" si="0"/>
        <v>0</v>
      </c>
      <c r="AN17">
        <f t="shared" ref="AA17:AP32" si="3">Q17*$X17</f>
        <v>0</v>
      </c>
      <c r="AO17">
        <f t="shared" si="3"/>
        <v>0</v>
      </c>
      <c r="AP17">
        <f t="shared" si="1"/>
        <v>0</v>
      </c>
      <c r="AQ17">
        <f t="shared" si="1"/>
        <v>0</v>
      </c>
      <c r="AR17">
        <f t="shared" si="1"/>
        <v>0</v>
      </c>
      <c r="AS17">
        <f t="shared" si="1"/>
        <v>0</v>
      </c>
    </row>
    <row r="18" spans="1:45" x14ac:dyDescent="0.25">
      <c r="A18">
        <v>31</v>
      </c>
      <c r="B18">
        <v>0</v>
      </c>
      <c r="C18">
        <v>0</v>
      </c>
      <c r="D18">
        <v>0</v>
      </c>
      <c r="E18">
        <v>0</v>
      </c>
      <c r="F18">
        <v>0</v>
      </c>
      <c r="G18">
        <v>3.125E-2</v>
      </c>
      <c r="H18">
        <v>0.90625</v>
      </c>
      <c r="I18">
        <v>6.25E-2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f t="shared" si="2"/>
        <v>1</v>
      </c>
      <c r="X18" s="3">
        <v>107220.00033327266</v>
      </c>
      <c r="Y18">
        <f t="shared" ref="Y18:AN37" si="4">B18*$X18</f>
        <v>0</v>
      </c>
      <c r="Z18">
        <f t="shared" si="4"/>
        <v>0</v>
      </c>
      <c r="AA18">
        <f t="shared" si="3"/>
        <v>0</v>
      </c>
      <c r="AB18">
        <f t="shared" si="3"/>
        <v>0</v>
      </c>
      <c r="AC18">
        <f t="shared" si="3"/>
        <v>0</v>
      </c>
      <c r="AD18">
        <f t="shared" si="3"/>
        <v>3350.6250104147707</v>
      </c>
      <c r="AE18">
        <f t="shared" si="3"/>
        <v>97168.125302028348</v>
      </c>
      <c r="AF18">
        <f t="shared" si="3"/>
        <v>6701.2500208295414</v>
      </c>
      <c r="AG18">
        <f t="shared" si="3"/>
        <v>0</v>
      </c>
      <c r="AH18">
        <f t="shared" si="3"/>
        <v>0</v>
      </c>
      <c r="AI18">
        <f t="shared" si="3"/>
        <v>0</v>
      </c>
      <c r="AJ18">
        <f t="shared" si="3"/>
        <v>0</v>
      </c>
      <c r="AK18">
        <f t="shared" si="3"/>
        <v>0</v>
      </c>
      <c r="AL18">
        <f t="shared" si="3"/>
        <v>0</v>
      </c>
      <c r="AM18">
        <f t="shared" si="3"/>
        <v>0</v>
      </c>
      <c r="AN18">
        <f t="shared" si="3"/>
        <v>0</v>
      </c>
      <c r="AO18">
        <f t="shared" si="3"/>
        <v>0</v>
      </c>
      <c r="AP18">
        <f t="shared" si="3"/>
        <v>0</v>
      </c>
      <c r="AQ18">
        <f t="shared" ref="AO18:AS33" si="5">T18*$X18</f>
        <v>0</v>
      </c>
      <c r="AR18">
        <f t="shared" si="5"/>
        <v>0</v>
      </c>
      <c r="AS18">
        <f t="shared" si="5"/>
        <v>0</v>
      </c>
    </row>
    <row r="19" spans="1:45" x14ac:dyDescent="0.25">
      <c r="A19">
        <v>32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0.7857142857142857</v>
      </c>
      <c r="I19">
        <v>0.21428571428571427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f t="shared" si="2"/>
        <v>1</v>
      </c>
      <c r="X19" s="3">
        <v>9786.3192854634162</v>
      </c>
      <c r="Y19">
        <f t="shared" si="4"/>
        <v>0</v>
      </c>
      <c r="Z19">
        <f t="shared" si="4"/>
        <v>0</v>
      </c>
      <c r="AA19">
        <f t="shared" si="3"/>
        <v>0</v>
      </c>
      <c r="AB19">
        <f t="shared" si="3"/>
        <v>0</v>
      </c>
      <c r="AC19">
        <f t="shared" si="3"/>
        <v>0</v>
      </c>
      <c r="AD19">
        <f t="shared" si="3"/>
        <v>0</v>
      </c>
      <c r="AE19">
        <f t="shared" si="3"/>
        <v>7689.2508671498272</v>
      </c>
      <c r="AF19">
        <f t="shared" si="3"/>
        <v>2097.0684183135891</v>
      </c>
      <c r="AG19">
        <f t="shared" si="3"/>
        <v>0</v>
      </c>
      <c r="AH19">
        <f t="shared" si="3"/>
        <v>0</v>
      </c>
      <c r="AI19">
        <f t="shared" si="3"/>
        <v>0</v>
      </c>
      <c r="AJ19">
        <f t="shared" si="3"/>
        <v>0</v>
      </c>
      <c r="AK19">
        <f t="shared" si="3"/>
        <v>0</v>
      </c>
      <c r="AL19">
        <f t="shared" si="3"/>
        <v>0</v>
      </c>
      <c r="AM19">
        <f t="shared" si="3"/>
        <v>0</v>
      </c>
      <c r="AN19">
        <f t="shared" si="3"/>
        <v>0</v>
      </c>
      <c r="AO19">
        <f t="shared" si="3"/>
        <v>0</v>
      </c>
      <c r="AP19">
        <f t="shared" si="5"/>
        <v>0</v>
      </c>
      <c r="AQ19">
        <f t="shared" si="5"/>
        <v>0</v>
      </c>
      <c r="AR19">
        <f t="shared" si="5"/>
        <v>0</v>
      </c>
      <c r="AS19">
        <f t="shared" si="5"/>
        <v>0</v>
      </c>
    </row>
    <row r="20" spans="1:45" x14ac:dyDescent="0.25">
      <c r="A20">
        <v>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0.65384615384615385</v>
      </c>
      <c r="I20">
        <v>0.34615384615384615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f t="shared" si="2"/>
        <v>1</v>
      </c>
      <c r="X20" s="3">
        <v>104.33485186030236</v>
      </c>
      <c r="Y20">
        <f t="shared" si="4"/>
        <v>0</v>
      </c>
      <c r="Z20">
        <f t="shared" si="4"/>
        <v>0</v>
      </c>
      <c r="AA20">
        <f t="shared" si="3"/>
        <v>0</v>
      </c>
      <c r="AB20">
        <f t="shared" si="3"/>
        <v>0</v>
      </c>
      <c r="AC20">
        <f t="shared" si="3"/>
        <v>0</v>
      </c>
      <c r="AD20">
        <f t="shared" si="3"/>
        <v>0</v>
      </c>
      <c r="AE20">
        <f t="shared" si="3"/>
        <v>68.218941600966929</v>
      </c>
      <c r="AF20">
        <f t="shared" si="3"/>
        <v>36.115910259335436</v>
      </c>
      <c r="AG20">
        <f t="shared" si="3"/>
        <v>0</v>
      </c>
      <c r="AH20">
        <f t="shared" si="3"/>
        <v>0</v>
      </c>
      <c r="AI20">
        <f t="shared" si="3"/>
        <v>0</v>
      </c>
      <c r="AJ20">
        <f t="shared" si="3"/>
        <v>0</v>
      </c>
      <c r="AK20">
        <f t="shared" si="3"/>
        <v>0</v>
      </c>
      <c r="AL20">
        <f t="shared" si="3"/>
        <v>0</v>
      </c>
      <c r="AM20">
        <f t="shared" si="3"/>
        <v>0</v>
      </c>
      <c r="AN20">
        <f t="shared" si="3"/>
        <v>0</v>
      </c>
      <c r="AO20">
        <f t="shared" si="3"/>
        <v>0</v>
      </c>
      <c r="AP20">
        <f t="shared" si="5"/>
        <v>0</v>
      </c>
      <c r="AQ20">
        <f t="shared" si="5"/>
        <v>0</v>
      </c>
      <c r="AR20">
        <f t="shared" si="5"/>
        <v>0</v>
      </c>
      <c r="AS20">
        <f t="shared" si="5"/>
        <v>0</v>
      </c>
    </row>
    <row r="21" spans="1:45" x14ac:dyDescent="0.25">
      <c r="A21">
        <v>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0.35</v>
      </c>
      <c r="I21">
        <v>0.6</v>
      </c>
      <c r="J21">
        <v>0.05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f t="shared" si="2"/>
        <v>1</v>
      </c>
      <c r="X21" s="3">
        <v>0</v>
      </c>
      <c r="Y21">
        <f t="shared" si="4"/>
        <v>0</v>
      </c>
      <c r="Z21">
        <f t="shared" si="4"/>
        <v>0</v>
      </c>
      <c r="AA21">
        <f t="shared" si="3"/>
        <v>0</v>
      </c>
      <c r="AB21">
        <f t="shared" si="3"/>
        <v>0</v>
      </c>
      <c r="AC21">
        <f t="shared" si="3"/>
        <v>0</v>
      </c>
      <c r="AD21">
        <f t="shared" si="3"/>
        <v>0</v>
      </c>
      <c r="AE21">
        <f t="shared" si="3"/>
        <v>0</v>
      </c>
      <c r="AF21">
        <f t="shared" si="3"/>
        <v>0</v>
      </c>
      <c r="AG21">
        <f t="shared" si="3"/>
        <v>0</v>
      </c>
      <c r="AH21">
        <f t="shared" si="3"/>
        <v>0</v>
      </c>
      <c r="AI21">
        <f t="shared" si="3"/>
        <v>0</v>
      </c>
      <c r="AJ21">
        <f t="shared" si="3"/>
        <v>0</v>
      </c>
      <c r="AK21">
        <f t="shared" si="3"/>
        <v>0</v>
      </c>
      <c r="AL21">
        <f t="shared" si="3"/>
        <v>0</v>
      </c>
      <c r="AM21">
        <f t="shared" si="3"/>
        <v>0</v>
      </c>
      <c r="AN21">
        <f t="shared" si="3"/>
        <v>0</v>
      </c>
      <c r="AO21">
        <f t="shared" si="5"/>
        <v>0</v>
      </c>
      <c r="AP21">
        <f t="shared" si="5"/>
        <v>0</v>
      </c>
      <c r="AQ21">
        <f t="shared" si="5"/>
        <v>0</v>
      </c>
      <c r="AR21">
        <f t="shared" si="5"/>
        <v>0</v>
      </c>
      <c r="AS21">
        <f t="shared" si="5"/>
        <v>0</v>
      </c>
    </row>
    <row r="22" spans="1:45" x14ac:dyDescent="0.25">
      <c r="A22">
        <v>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0.72222222222222221</v>
      </c>
      <c r="J22">
        <v>0.16666666666666666</v>
      </c>
      <c r="K22">
        <v>0.1111111111111111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f t="shared" si="2"/>
        <v>1</v>
      </c>
      <c r="X22" s="3">
        <v>0</v>
      </c>
      <c r="Y22">
        <f t="shared" si="4"/>
        <v>0</v>
      </c>
      <c r="Z22">
        <f t="shared" si="4"/>
        <v>0</v>
      </c>
      <c r="AA22">
        <f t="shared" si="3"/>
        <v>0</v>
      </c>
      <c r="AB22">
        <f t="shared" si="3"/>
        <v>0</v>
      </c>
      <c r="AC22">
        <f t="shared" si="3"/>
        <v>0</v>
      </c>
      <c r="AD22">
        <f t="shared" si="3"/>
        <v>0</v>
      </c>
      <c r="AE22">
        <f t="shared" si="3"/>
        <v>0</v>
      </c>
      <c r="AF22">
        <f t="shared" si="3"/>
        <v>0</v>
      </c>
      <c r="AG22">
        <f t="shared" si="3"/>
        <v>0</v>
      </c>
      <c r="AH22">
        <f t="shared" si="3"/>
        <v>0</v>
      </c>
      <c r="AI22">
        <f t="shared" si="3"/>
        <v>0</v>
      </c>
      <c r="AJ22">
        <f t="shared" si="3"/>
        <v>0</v>
      </c>
      <c r="AK22">
        <f t="shared" si="3"/>
        <v>0</v>
      </c>
      <c r="AL22">
        <f t="shared" si="3"/>
        <v>0</v>
      </c>
      <c r="AM22">
        <f t="shared" si="3"/>
        <v>0</v>
      </c>
      <c r="AN22">
        <f t="shared" si="3"/>
        <v>0</v>
      </c>
      <c r="AO22">
        <f t="shared" si="5"/>
        <v>0</v>
      </c>
      <c r="AP22">
        <f t="shared" si="5"/>
        <v>0</v>
      </c>
      <c r="AQ22">
        <f t="shared" si="5"/>
        <v>0</v>
      </c>
      <c r="AR22">
        <f t="shared" si="5"/>
        <v>0</v>
      </c>
      <c r="AS22">
        <f t="shared" si="5"/>
        <v>0</v>
      </c>
    </row>
    <row r="23" spans="1:45" x14ac:dyDescent="0.25">
      <c r="A23">
        <v>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0.58823529411764708</v>
      </c>
      <c r="J23">
        <v>0.41176470588235292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f t="shared" si="2"/>
        <v>1</v>
      </c>
      <c r="X23" s="3">
        <v>0</v>
      </c>
      <c r="Y23">
        <f t="shared" si="4"/>
        <v>0</v>
      </c>
      <c r="Z23">
        <f t="shared" si="4"/>
        <v>0</v>
      </c>
      <c r="AA23">
        <f t="shared" si="3"/>
        <v>0</v>
      </c>
      <c r="AB23">
        <f t="shared" si="3"/>
        <v>0</v>
      </c>
      <c r="AC23">
        <f t="shared" si="3"/>
        <v>0</v>
      </c>
      <c r="AD23">
        <f t="shared" si="3"/>
        <v>0</v>
      </c>
      <c r="AE23">
        <f t="shared" si="3"/>
        <v>0</v>
      </c>
      <c r="AF23">
        <f t="shared" si="3"/>
        <v>0</v>
      </c>
      <c r="AG23">
        <f t="shared" si="3"/>
        <v>0</v>
      </c>
      <c r="AH23">
        <f t="shared" si="3"/>
        <v>0</v>
      </c>
      <c r="AI23">
        <f t="shared" si="3"/>
        <v>0</v>
      </c>
      <c r="AJ23">
        <f t="shared" si="3"/>
        <v>0</v>
      </c>
      <c r="AK23">
        <f t="shared" si="3"/>
        <v>0</v>
      </c>
      <c r="AL23">
        <f t="shared" si="3"/>
        <v>0</v>
      </c>
      <c r="AM23">
        <f t="shared" si="3"/>
        <v>0</v>
      </c>
      <c r="AN23">
        <f t="shared" si="3"/>
        <v>0</v>
      </c>
      <c r="AO23">
        <f t="shared" si="5"/>
        <v>0</v>
      </c>
      <c r="AP23">
        <f t="shared" si="5"/>
        <v>0</v>
      </c>
      <c r="AQ23">
        <f t="shared" si="5"/>
        <v>0</v>
      </c>
      <c r="AR23">
        <f t="shared" si="5"/>
        <v>0</v>
      </c>
      <c r="AS23">
        <f t="shared" si="5"/>
        <v>0</v>
      </c>
    </row>
    <row r="24" spans="1:45" x14ac:dyDescent="0.25">
      <c r="A24">
        <v>37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0.22222222222222221</v>
      </c>
      <c r="J24">
        <v>0.61111111111111116</v>
      </c>
      <c r="K24">
        <v>0.1111111111111111</v>
      </c>
      <c r="L24">
        <v>5.5555555555555552E-2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f t="shared" si="2"/>
        <v>1</v>
      </c>
      <c r="X24" s="3">
        <v>30301.739170561257</v>
      </c>
      <c r="Y24">
        <f t="shared" si="4"/>
        <v>0</v>
      </c>
      <c r="Z24">
        <f t="shared" si="4"/>
        <v>0</v>
      </c>
      <c r="AA24">
        <f t="shared" si="3"/>
        <v>0</v>
      </c>
      <c r="AB24">
        <f t="shared" si="3"/>
        <v>0</v>
      </c>
      <c r="AC24">
        <f t="shared" si="3"/>
        <v>0</v>
      </c>
      <c r="AD24">
        <f t="shared" si="3"/>
        <v>0</v>
      </c>
      <c r="AE24">
        <f t="shared" si="3"/>
        <v>0</v>
      </c>
      <c r="AF24">
        <f t="shared" si="3"/>
        <v>6733.7198156802788</v>
      </c>
      <c r="AG24">
        <f t="shared" si="3"/>
        <v>18517.729493120769</v>
      </c>
      <c r="AH24">
        <f t="shared" si="3"/>
        <v>3366.8599078401394</v>
      </c>
      <c r="AI24">
        <f t="shared" si="3"/>
        <v>1683.4299539200697</v>
      </c>
      <c r="AJ24">
        <f t="shared" si="3"/>
        <v>0</v>
      </c>
      <c r="AK24">
        <f t="shared" si="3"/>
        <v>0</v>
      </c>
      <c r="AL24">
        <f t="shared" si="3"/>
        <v>0</v>
      </c>
      <c r="AM24">
        <f t="shared" si="3"/>
        <v>0</v>
      </c>
      <c r="AN24">
        <f t="shared" si="3"/>
        <v>0</v>
      </c>
      <c r="AO24">
        <f t="shared" si="5"/>
        <v>0</v>
      </c>
      <c r="AP24">
        <f t="shared" si="5"/>
        <v>0</v>
      </c>
      <c r="AQ24">
        <f t="shared" si="5"/>
        <v>0</v>
      </c>
      <c r="AR24">
        <f t="shared" si="5"/>
        <v>0</v>
      </c>
      <c r="AS24">
        <f t="shared" si="5"/>
        <v>0</v>
      </c>
    </row>
    <row r="25" spans="1:45" x14ac:dyDescent="0.25">
      <c r="A25">
        <v>38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5.5555555555555552E-2</v>
      </c>
      <c r="J25">
        <v>0.44444444444444442</v>
      </c>
      <c r="K25">
        <v>0.5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f t="shared" si="2"/>
        <v>1</v>
      </c>
      <c r="X25" s="3">
        <v>194406.54983323551</v>
      </c>
      <c r="Y25">
        <f t="shared" si="4"/>
        <v>0</v>
      </c>
      <c r="Z25">
        <f t="shared" si="4"/>
        <v>0</v>
      </c>
      <c r="AA25">
        <f t="shared" si="3"/>
        <v>0</v>
      </c>
      <c r="AB25">
        <f t="shared" si="3"/>
        <v>0</v>
      </c>
      <c r="AC25">
        <f t="shared" si="3"/>
        <v>0</v>
      </c>
      <c r="AD25">
        <f t="shared" si="3"/>
        <v>0</v>
      </c>
      <c r="AE25">
        <f t="shared" si="3"/>
        <v>0</v>
      </c>
      <c r="AF25">
        <f t="shared" si="3"/>
        <v>10800.363879624194</v>
      </c>
      <c r="AG25">
        <f t="shared" si="3"/>
        <v>86402.911036993552</v>
      </c>
      <c r="AH25">
        <f t="shared" si="3"/>
        <v>97203.274916617753</v>
      </c>
      <c r="AI25">
        <f t="shared" si="3"/>
        <v>0</v>
      </c>
      <c r="AJ25">
        <f t="shared" si="3"/>
        <v>0</v>
      </c>
      <c r="AK25">
        <f t="shared" si="3"/>
        <v>0</v>
      </c>
      <c r="AL25">
        <f t="shared" si="3"/>
        <v>0</v>
      </c>
      <c r="AM25">
        <f t="shared" si="3"/>
        <v>0</v>
      </c>
      <c r="AN25">
        <f t="shared" si="3"/>
        <v>0</v>
      </c>
      <c r="AO25">
        <f t="shared" si="5"/>
        <v>0</v>
      </c>
      <c r="AP25">
        <f t="shared" si="5"/>
        <v>0</v>
      </c>
      <c r="AQ25">
        <f t="shared" si="5"/>
        <v>0</v>
      </c>
      <c r="AR25">
        <f t="shared" si="5"/>
        <v>0</v>
      </c>
      <c r="AS25">
        <f t="shared" si="5"/>
        <v>0</v>
      </c>
    </row>
    <row r="26" spans="1:45" x14ac:dyDescent="0.25">
      <c r="A26">
        <v>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0.17647058823529413</v>
      </c>
      <c r="K26">
        <v>0.76470588235294112</v>
      </c>
      <c r="L26">
        <v>5.8823529411764705E-2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f t="shared" si="2"/>
        <v>1</v>
      </c>
      <c r="X26" s="3">
        <v>388716.30010946724</v>
      </c>
      <c r="Y26">
        <f t="shared" si="4"/>
        <v>0</v>
      </c>
      <c r="Z26">
        <f t="shared" si="4"/>
        <v>0</v>
      </c>
      <c r="AA26">
        <f t="shared" si="3"/>
        <v>0</v>
      </c>
      <c r="AB26">
        <f t="shared" si="3"/>
        <v>0</v>
      </c>
      <c r="AC26">
        <f t="shared" si="3"/>
        <v>0</v>
      </c>
      <c r="AD26">
        <f t="shared" si="3"/>
        <v>0</v>
      </c>
      <c r="AE26">
        <f t="shared" si="3"/>
        <v>0</v>
      </c>
      <c r="AF26">
        <f t="shared" si="3"/>
        <v>0</v>
      </c>
      <c r="AG26">
        <f t="shared" si="3"/>
        <v>68596.994136964815</v>
      </c>
      <c r="AH26">
        <f t="shared" si="3"/>
        <v>297253.6412601808</v>
      </c>
      <c r="AI26">
        <f t="shared" si="3"/>
        <v>22865.664712321603</v>
      </c>
      <c r="AJ26">
        <f t="shared" si="3"/>
        <v>0</v>
      </c>
      <c r="AK26">
        <f t="shared" si="3"/>
        <v>0</v>
      </c>
      <c r="AL26">
        <f t="shared" si="3"/>
        <v>0</v>
      </c>
      <c r="AM26">
        <f t="shared" si="3"/>
        <v>0</v>
      </c>
      <c r="AN26">
        <f t="shared" si="3"/>
        <v>0</v>
      </c>
      <c r="AO26">
        <f t="shared" si="5"/>
        <v>0</v>
      </c>
      <c r="AP26">
        <f t="shared" si="5"/>
        <v>0</v>
      </c>
      <c r="AQ26">
        <f t="shared" si="5"/>
        <v>0</v>
      </c>
      <c r="AR26">
        <f t="shared" si="5"/>
        <v>0</v>
      </c>
      <c r="AS26">
        <f t="shared" si="5"/>
        <v>0</v>
      </c>
    </row>
    <row r="27" spans="1:45" x14ac:dyDescent="0.25">
      <c r="A27">
        <v>40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7.1428571428571425E-2</v>
      </c>
      <c r="K27">
        <v>0.7857142857142857</v>
      </c>
      <c r="L27">
        <v>0.14285714285714285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f t="shared" si="2"/>
        <v>1</v>
      </c>
      <c r="X27" s="3">
        <v>394516.73823483422</v>
      </c>
      <c r="Y27">
        <f t="shared" si="4"/>
        <v>0</v>
      </c>
      <c r="Z27">
        <f t="shared" si="4"/>
        <v>0</v>
      </c>
      <c r="AA27">
        <f t="shared" si="3"/>
        <v>0</v>
      </c>
      <c r="AB27">
        <f t="shared" si="3"/>
        <v>0</v>
      </c>
      <c r="AC27">
        <f t="shared" si="3"/>
        <v>0</v>
      </c>
      <c r="AD27">
        <f t="shared" si="3"/>
        <v>0</v>
      </c>
      <c r="AE27">
        <f t="shared" si="3"/>
        <v>0</v>
      </c>
      <c r="AF27">
        <f t="shared" si="3"/>
        <v>0</v>
      </c>
      <c r="AG27">
        <f t="shared" si="3"/>
        <v>28179.767016773872</v>
      </c>
      <c r="AH27">
        <f t="shared" si="3"/>
        <v>309977.43718451262</v>
      </c>
      <c r="AI27">
        <f t="shared" si="3"/>
        <v>56359.534033547745</v>
      </c>
      <c r="AJ27">
        <f t="shared" si="3"/>
        <v>0</v>
      </c>
      <c r="AK27">
        <f t="shared" si="3"/>
        <v>0</v>
      </c>
      <c r="AL27">
        <f t="shared" si="3"/>
        <v>0</v>
      </c>
      <c r="AM27">
        <f t="shared" si="3"/>
        <v>0</v>
      </c>
      <c r="AN27">
        <f t="shared" si="3"/>
        <v>0</v>
      </c>
      <c r="AO27">
        <f t="shared" si="5"/>
        <v>0</v>
      </c>
      <c r="AP27">
        <f t="shared" si="5"/>
        <v>0</v>
      </c>
      <c r="AQ27">
        <f t="shared" si="5"/>
        <v>0</v>
      </c>
      <c r="AR27">
        <f t="shared" si="5"/>
        <v>0</v>
      </c>
      <c r="AS27">
        <f t="shared" si="5"/>
        <v>0</v>
      </c>
    </row>
    <row r="28" spans="1:45" x14ac:dyDescent="0.25">
      <c r="A28">
        <v>41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0.7142857142857143</v>
      </c>
      <c r="L28">
        <v>0.2857142857142857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f t="shared" si="2"/>
        <v>1</v>
      </c>
      <c r="X28" s="3">
        <v>203402.53261585714</v>
      </c>
      <c r="Y28">
        <f t="shared" si="4"/>
        <v>0</v>
      </c>
      <c r="Z28">
        <f t="shared" si="4"/>
        <v>0</v>
      </c>
      <c r="AA28">
        <f t="shared" si="3"/>
        <v>0</v>
      </c>
      <c r="AB28">
        <f t="shared" si="3"/>
        <v>0</v>
      </c>
      <c r="AC28">
        <f t="shared" si="3"/>
        <v>0</v>
      </c>
      <c r="AD28">
        <f t="shared" si="3"/>
        <v>0</v>
      </c>
      <c r="AE28">
        <f t="shared" si="3"/>
        <v>0</v>
      </c>
      <c r="AF28">
        <f t="shared" si="3"/>
        <v>0</v>
      </c>
      <c r="AG28">
        <f t="shared" si="3"/>
        <v>0</v>
      </c>
      <c r="AH28">
        <f t="shared" si="3"/>
        <v>145287.52329704081</v>
      </c>
      <c r="AI28">
        <f t="shared" si="3"/>
        <v>58115.009318816323</v>
      </c>
      <c r="AJ28">
        <f t="shared" si="3"/>
        <v>0</v>
      </c>
      <c r="AK28">
        <f t="shared" si="3"/>
        <v>0</v>
      </c>
      <c r="AL28">
        <f t="shared" si="3"/>
        <v>0</v>
      </c>
      <c r="AM28">
        <f t="shared" si="3"/>
        <v>0</v>
      </c>
      <c r="AN28">
        <f t="shared" si="3"/>
        <v>0</v>
      </c>
      <c r="AO28">
        <f t="shared" si="5"/>
        <v>0</v>
      </c>
      <c r="AP28">
        <f t="shared" si="5"/>
        <v>0</v>
      </c>
      <c r="AQ28">
        <f t="shared" si="5"/>
        <v>0</v>
      </c>
      <c r="AR28">
        <f t="shared" si="5"/>
        <v>0</v>
      </c>
      <c r="AS28">
        <f t="shared" si="5"/>
        <v>0</v>
      </c>
    </row>
    <row r="29" spans="1:45" x14ac:dyDescent="0.25">
      <c r="A29">
        <v>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0.33333333333333331</v>
      </c>
      <c r="L29">
        <v>0.66666666666666663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f t="shared" si="2"/>
        <v>1</v>
      </c>
      <c r="X29" s="3">
        <v>189531.79369909581</v>
      </c>
      <c r="Y29">
        <f t="shared" si="4"/>
        <v>0</v>
      </c>
      <c r="Z29">
        <f t="shared" si="4"/>
        <v>0</v>
      </c>
      <c r="AA29">
        <f t="shared" si="3"/>
        <v>0</v>
      </c>
      <c r="AB29">
        <f t="shared" si="3"/>
        <v>0</v>
      </c>
      <c r="AC29">
        <f t="shared" si="3"/>
        <v>0</v>
      </c>
      <c r="AD29">
        <f t="shared" si="3"/>
        <v>0</v>
      </c>
      <c r="AE29">
        <f t="shared" si="3"/>
        <v>0</v>
      </c>
      <c r="AF29">
        <f t="shared" si="3"/>
        <v>0</v>
      </c>
      <c r="AG29">
        <f t="shared" si="3"/>
        <v>0</v>
      </c>
      <c r="AH29">
        <f t="shared" si="3"/>
        <v>63177.264566365266</v>
      </c>
      <c r="AI29">
        <f t="shared" si="3"/>
        <v>126354.52913273053</v>
      </c>
      <c r="AJ29">
        <f t="shared" si="3"/>
        <v>0</v>
      </c>
      <c r="AK29">
        <f t="shared" si="3"/>
        <v>0</v>
      </c>
      <c r="AL29">
        <f t="shared" si="3"/>
        <v>0</v>
      </c>
      <c r="AM29">
        <f t="shared" si="3"/>
        <v>0</v>
      </c>
      <c r="AN29">
        <f t="shared" si="3"/>
        <v>0</v>
      </c>
      <c r="AO29">
        <f t="shared" si="5"/>
        <v>0</v>
      </c>
      <c r="AP29">
        <f t="shared" si="5"/>
        <v>0</v>
      </c>
      <c r="AQ29">
        <f t="shared" si="5"/>
        <v>0</v>
      </c>
      <c r="AR29">
        <f t="shared" si="5"/>
        <v>0</v>
      </c>
      <c r="AS29">
        <f t="shared" si="5"/>
        <v>0</v>
      </c>
    </row>
    <row r="30" spans="1:45" x14ac:dyDescent="0.25">
      <c r="A30">
        <v>43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0.25</v>
      </c>
      <c r="L30">
        <v>0.75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f t="shared" si="2"/>
        <v>1</v>
      </c>
      <c r="X30" s="3">
        <v>94750.82625983475</v>
      </c>
      <c r="Y30">
        <f t="shared" si="4"/>
        <v>0</v>
      </c>
      <c r="Z30">
        <f t="shared" si="4"/>
        <v>0</v>
      </c>
      <c r="AA30">
        <f t="shared" si="3"/>
        <v>0</v>
      </c>
      <c r="AB30">
        <f t="shared" si="3"/>
        <v>0</v>
      </c>
      <c r="AC30">
        <f t="shared" si="3"/>
        <v>0</v>
      </c>
      <c r="AD30">
        <f t="shared" si="3"/>
        <v>0</v>
      </c>
      <c r="AE30">
        <f t="shared" si="3"/>
        <v>0</v>
      </c>
      <c r="AF30">
        <f t="shared" si="3"/>
        <v>0</v>
      </c>
      <c r="AG30">
        <f t="shared" si="3"/>
        <v>0</v>
      </c>
      <c r="AH30">
        <f t="shared" si="3"/>
        <v>23687.706564958688</v>
      </c>
      <c r="AI30">
        <f t="shared" si="3"/>
        <v>71063.119694876063</v>
      </c>
      <c r="AJ30">
        <f t="shared" si="3"/>
        <v>0</v>
      </c>
      <c r="AK30">
        <f t="shared" si="3"/>
        <v>0</v>
      </c>
      <c r="AL30">
        <f t="shared" si="3"/>
        <v>0</v>
      </c>
      <c r="AM30">
        <f t="shared" si="3"/>
        <v>0</v>
      </c>
      <c r="AN30">
        <f t="shared" si="3"/>
        <v>0</v>
      </c>
      <c r="AO30">
        <f t="shared" si="5"/>
        <v>0</v>
      </c>
      <c r="AP30">
        <f t="shared" si="5"/>
        <v>0</v>
      </c>
      <c r="AQ30">
        <f t="shared" si="5"/>
        <v>0</v>
      </c>
      <c r="AR30">
        <f t="shared" si="5"/>
        <v>0</v>
      </c>
      <c r="AS30">
        <f t="shared" si="5"/>
        <v>0</v>
      </c>
    </row>
    <row r="31" spans="1:45" x14ac:dyDescent="0.25">
      <c r="A31">
        <v>44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0.33333333333333331</v>
      </c>
      <c r="L31">
        <v>0.66666666666666663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f t="shared" si="2"/>
        <v>1</v>
      </c>
      <c r="X31" s="3">
        <v>65057.417239425638</v>
      </c>
      <c r="Y31">
        <f t="shared" si="4"/>
        <v>0</v>
      </c>
      <c r="Z31">
        <f t="shared" si="4"/>
        <v>0</v>
      </c>
      <c r="AA31">
        <f t="shared" si="3"/>
        <v>0</v>
      </c>
      <c r="AB31">
        <f t="shared" si="3"/>
        <v>0</v>
      </c>
      <c r="AC31">
        <f t="shared" si="3"/>
        <v>0</v>
      </c>
      <c r="AD31">
        <f t="shared" si="3"/>
        <v>0</v>
      </c>
      <c r="AE31">
        <f t="shared" si="3"/>
        <v>0</v>
      </c>
      <c r="AF31">
        <f t="shared" si="3"/>
        <v>0</v>
      </c>
      <c r="AG31">
        <f t="shared" si="3"/>
        <v>0</v>
      </c>
      <c r="AH31">
        <f t="shared" si="3"/>
        <v>21685.805746475213</v>
      </c>
      <c r="AI31">
        <f t="shared" si="3"/>
        <v>43371.611492950426</v>
      </c>
      <c r="AJ31">
        <f t="shared" si="3"/>
        <v>0</v>
      </c>
      <c r="AK31">
        <f t="shared" si="3"/>
        <v>0</v>
      </c>
      <c r="AL31">
        <f t="shared" si="3"/>
        <v>0</v>
      </c>
      <c r="AM31">
        <f t="shared" si="3"/>
        <v>0</v>
      </c>
      <c r="AN31">
        <f t="shared" si="3"/>
        <v>0</v>
      </c>
      <c r="AO31">
        <f t="shared" si="5"/>
        <v>0</v>
      </c>
      <c r="AP31">
        <f t="shared" si="5"/>
        <v>0</v>
      </c>
      <c r="AQ31">
        <f t="shared" si="5"/>
        <v>0</v>
      </c>
      <c r="AR31">
        <f t="shared" si="5"/>
        <v>0</v>
      </c>
      <c r="AS31">
        <f t="shared" si="5"/>
        <v>0</v>
      </c>
    </row>
    <row r="32" spans="1:45" x14ac:dyDescent="0.25">
      <c r="A32">
        <v>45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f t="shared" si="2"/>
        <v>1</v>
      </c>
      <c r="X32" s="3">
        <v>97217.476049232064</v>
      </c>
      <c r="Y32">
        <f t="shared" si="4"/>
        <v>0</v>
      </c>
      <c r="Z32">
        <f t="shared" si="4"/>
        <v>0</v>
      </c>
      <c r="AA32">
        <f t="shared" si="3"/>
        <v>0</v>
      </c>
      <c r="AB32">
        <f t="shared" si="3"/>
        <v>0</v>
      </c>
      <c r="AC32">
        <f t="shared" si="3"/>
        <v>0</v>
      </c>
      <c r="AD32">
        <f t="shared" si="3"/>
        <v>0</v>
      </c>
      <c r="AE32">
        <f t="shared" si="3"/>
        <v>0</v>
      </c>
      <c r="AF32">
        <f t="shared" si="3"/>
        <v>0</v>
      </c>
      <c r="AG32">
        <f t="shared" si="3"/>
        <v>0</v>
      </c>
      <c r="AH32">
        <f t="shared" si="3"/>
        <v>0</v>
      </c>
      <c r="AI32">
        <f t="shared" si="3"/>
        <v>97217.476049232064</v>
      </c>
      <c r="AJ32">
        <f t="shared" si="3"/>
        <v>0</v>
      </c>
      <c r="AK32">
        <f t="shared" si="3"/>
        <v>0</v>
      </c>
      <c r="AL32">
        <f t="shared" si="3"/>
        <v>0</v>
      </c>
      <c r="AM32">
        <f t="shared" si="3"/>
        <v>0</v>
      </c>
      <c r="AN32">
        <f t="shared" si="3"/>
        <v>0</v>
      </c>
      <c r="AO32">
        <f t="shared" si="5"/>
        <v>0</v>
      </c>
      <c r="AP32">
        <f t="shared" si="5"/>
        <v>0</v>
      </c>
      <c r="AQ32">
        <f t="shared" si="5"/>
        <v>0</v>
      </c>
      <c r="AR32">
        <f t="shared" si="5"/>
        <v>0</v>
      </c>
      <c r="AS32">
        <f t="shared" si="5"/>
        <v>0</v>
      </c>
    </row>
    <row r="33" spans="1:45" x14ac:dyDescent="0.25">
      <c r="A33">
        <v>46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0.5</v>
      </c>
      <c r="M33">
        <v>0.5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f t="shared" si="2"/>
        <v>1</v>
      </c>
      <c r="X33" s="3">
        <v>61924.183674254178</v>
      </c>
      <c r="Y33">
        <f t="shared" si="4"/>
        <v>0</v>
      </c>
      <c r="Z33">
        <f t="shared" si="4"/>
        <v>0</v>
      </c>
      <c r="AA33">
        <f t="shared" si="4"/>
        <v>0</v>
      </c>
      <c r="AB33">
        <f t="shared" si="4"/>
        <v>0</v>
      </c>
      <c r="AC33">
        <f t="shared" si="4"/>
        <v>0</v>
      </c>
      <c r="AD33">
        <f t="shared" si="4"/>
        <v>0</v>
      </c>
      <c r="AE33">
        <f t="shared" si="4"/>
        <v>0</v>
      </c>
      <c r="AF33">
        <f t="shared" si="4"/>
        <v>0</v>
      </c>
      <c r="AG33">
        <f t="shared" si="4"/>
        <v>0</v>
      </c>
      <c r="AH33">
        <f t="shared" si="4"/>
        <v>0</v>
      </c>
      <c r="AI33">
        <f t="shared" si="4"/>
        <v>30962.091837127089</v>
      </c>
      <c r="AJ33">
        <f t="shared" si="4"/>
        <v>30962.091837127089</v>
      </c>
      <c r="AK33">
        <f t="shared" si="4"/>
        <v>0</v>
      </c>
      <c r="AL33">
        <f t="shared" si="4"/>
        <v>0</v>
      </c>
      <c r="AM33">
        <f t="shared" si="4"/>
        <v>0</v>
      </c>
      <c r="AN33">
        <f t="shared" si="4"/>
        <v>0</v>
      </c>
      <c r="AO33">
        <f t="shared" si="5"/>
        <v>0</v>
      </c>
      <c r="AP33">
        <f t="shared" si="5"/>
        <v>0</v>
      </c>
      <c r="AQ33">
        <f t="shared" si="5"/>
        <v>0</v>
      </c>
      <c r="AR33">
        <f t="shared" si="5"/>
        <v>0</v>
      </c>
      <c r="AS33">
        <f t="shared" si="5"/>
        <v>0</v>
      </c>
    </row>
    <row r="34" spans="1:45" x14ac:dyDescent="0.25">
      <c r="A34">
        <v>47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0.66666666666666663</v>
      </c>
      <c r="N34">
        <v>0.33333333333333331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f t="shared" si="2"/>
        <v>1</v>
      </c>
      <c r="X34" s="3">
        <v>50868.167205457474</v>
      </c>
      <c r="Y34">
        <f t="shared" si="4"/>
        <v>0</v>
      </c>
      <c r="Z34">
        <f t="shared" si="4"/>
        <v>0</v>
      </c>
      <c r="AA34">
        <f t="shared" si="4"/>
        <v>0</v>
      </c>
      <c r="AB34">
        <f t="shared" si="4"/>
        <v>0</v>
      </c>
      <c r="AC34">
        <f t="shared" si="4"/>
        <v>0</v>
      </c>
      <c r="AD34">
        <f t="shared" si="4"/>
        <v>0</v>
      </c>
      <c r="AE34">
        <f t="shared" si="4"/>
        <v>0</v>
      </c>
      <c r="AF34">
        <f t="shared" si="4"/>
        <v>0</v>
      </c>
      <c r="AG34">
        <f t="shared" si="4"/>
        <v>0</v>
      </c>
      <c r="AH34">
        <f t="shared" si="4"/>
        <v>0</v>
      </c>
      <c r="AI34">
        <f t="shared" si="4"/>
        <v>0</v>
      </c>
      <c r="AJ34">
        <f t="shared" si="4"/>
        <v>33912.111470304983</v>
      </c>
      <c r="AK34">
        <f t="shared" si="4"/>
        <v>16956.055735152491</v>
      </c>
      <c r="AL34">
        <f t="shared" si="4"/>
        <v>0</v>
      </c>
      <c r="AM34">
        <f t="shared" si="4"/>
        <v>0</v>
      </c>
      <c r="AN34">
        <f t="shared" si="4"/>
        <v>0</v>
      </c>
      <c r="AO34">
        <f t="shared" ref="AO34:AS51" si="6">R34*$X34</f>
        <v>0</v>
      </c>
      <c r="AP34">
        <f t="shared" si="6"/>
        <v>0</v>
      </c>
      <c r="AQ34">
        <f t="shared" si="6"/>
        <v>0</v>
      </c>
      <c r="AR34">
        <f t="shared" si="6"/>
        <v>0</v>
      </c>
      <c r="AS34">
        <f t="shared" si="6"/>
        <v>0</v>
      </c>
    </row>
    <row r="35" spans="1:45" x14ac:dyDescent="0.25">
      <c r="A35">
        <v>48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0.5</v>
      </c>
      <c r="M35">
        <v>0.5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f t="shared" si="2"/>
        <v>1</v>
      </c>
      <c r="X35" s="3">
        <v>37418.245524532715</v>
      </c>
      <c r="Y35">
        <f t="shared" si="4"/>
        <v>0</v>
      </c>
      <c r="Z35">
        <f t="shared" si="4"/>
        <v>0</v>
      </c>
      <c r="AA35">
        <f t="shared" si="4"/>
        <v>0</v>
      </c>
      <c r="AB35">
        <f t="shared" si="4"/>
        <v>0</v>
      </c>
      <c r="AC35">
        <f t="shared" si="4"/>
        <v>0</v>
      </c>
      <c r="AD35">
        <f t="shared" si="4"/>
        <v>0</v>
      </c>
      <c r="AE35">
        <f t="shared" si="4"/>
        <v>0</v>
      </c>
      <c r="AF35">
        <f t="shared" si="4"/>
        <v>0</v>
      </c>
      <c r="AG35">
        <f t="shared" si="4"/>
        <v>0</v>
      </c>
      <c r="AH35">
        <f t="shared" si="4"/>
        <v>0</v>
      </c>
      <c r="AI35">
        <f t="shared" si="4"/>
        <v>18709.122762266357</v>
      </c>
      <c r="AJ35">
        <f t="shared" si="4"/>
        <v>18709.122762266357</v>
      </c>
      <c r="AK35">
        <f t="shared" si="4"/>
        <v>0</v>
      </c>
      <c r="AL35">
        <f t="shared" si="4"/>
        <v>0</v>
      </c>
      <c r="AM35">
        <f t="shared" si="4"/>
        <v>0</v>
      </c>
      <c r="AN35">
        <f t="shared" si="4"/>
        <v>0</v>
      </c>
      <c r="AO35">
        <f t="shared" si="6"/>
        <v>0</v>
      </c>
      <c r="AP35">
        <f t="shared" si="6"/>
        <v>0</v>
      </c>
      <c r="AQ35">
        <f t="shared" si="6"/>
        <v>0</v>
      </c>
      <c r="AR35">
        <f t="shared" si="6"/>
        <v>0</v>
      </c>
      <c r="AS35">
        <f t="shared" si="6"/>
        <v>0</v>
      </c>
    </row>
    <row r="36" spans="1:45" x14ac:dyDescent="0.25">
      <c r="A36">
        <v>49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f t="shared" si="2"/>
        <v>1</v>
      </c>
      <c r="X36" s="3">
        <v>11130.499960263645</v>
      </c>
      <c r="Y36">
        <f t="shared" si="4"/>
        <v>0</v>
      </c>
      <c r="Z36">
        <f t="shared" si="4"/>
        <v>0</v>
      </c>
      <c r="AA36">
        <f t="shared" si="4"/>
        <v>0</v>
      </c>
      <c r="AB36">
        <f t="shared" si="4"/>
        <v>0</v>
      </c>
      <c r="AC36">
        <f t="shared" si="4"/>
        <v>0</v>
      </c>
      <c r="AD36">
        <f t="shared" si="4"/>
        <v>0</v>
      </c>
      <c r="AE36">
        <f t="shared" si="4"/>
        <v>0</v>
      </c>
      <c r="AF36">
        <f t="shared" si="4"/>
        <v>0</v>
      </c>
      <c r="AG36">
        <f t="shared" si="4"/>
        <v>0</v>
      </c>
      <c r="AH36">
        <f t="shared" si="4"/>
        <v>0</v>
      </c>
      <c r="AI36">
        <f t="shared" si="4"/>
        <v>0</v>
      </c>
      <c r="AJ36">
        <f t="shared" si="4"/>
        <v>11130.499960263645</v>
      </c>
      <c r="AK36">
        <f t="shared" si="4"/>
        <v>0</v>
      </c>
      <c r="AL36">
        <f t="shared" si="4"/>
        <v>0</v>
      </c>
      <c r="AM36">
        <f t="shared" si="4"/>
        <v>0</v>
      </c>
      <c r="AN36">
        <f t="shared" si="4"/>
        <v>0</v>
      </c>
      <c r="AO36">
        <f t="shared" si="6"/>
        <v>0</v>
      </c>
      <c r="AP36">
        <f t="shared" si="6"/>
        <v>0</v>
      </c>
      <c r="AQ36">
        <f t="shared" si="6"/>
        <v>0</v>
      </c>
      <c r="AR36">
        <f t="shared" si="6"/>
        <v>0</v>
      </c>
      <c r="AS36">
        <f t="shared" si="6"/>
        <v>0</v>
      </c>
    </row>
    <row r="37" spans="1:45" x14ac:dyDescent="0.25">
      <c r="A37">
        <v>50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f t="shared" ref="W37" si="7">SUM(B37:V37)</f>
        <v>1</v>
      </c>
      <c r="X37" s="3">
        <v>19487.431775240919</v>
      </c>
      <c r="Y37">
        <f t="shared" si="4"/>
        <v>0</v>
      </c>
      <c r="Z37">
        <f t="shared" si="4"/>
        <v>0</v>
      </c>
      <c r="AA37">
        <f t="shared" si="4"/>
        <v>0</v>
      </c>
      <c r="AB37">
        <f t="shared" si="4"/>
        <v>0</v>
      </c>
      <c r="AC37">
        <f t="shared" si="4"/>
        <v>0</v>
      </c>
      <c r="AD37">
        <f t="shared" si="4"/>
        <v>0</v>
      </c>
      <c r="AE37">
        <f t="shared" si="4"/>
        <v>0</v>
      </c>
      <c r="AF37">
        <f t="shared" si="4"/>
        <v>0</v>
      </c>
      <c r="AG37">
        <f t="shared" si="4"/>
        <v>0</v>
      </c>
      <c r="AH37">
        <f t="shared" si="4"/>
        <v>0</v>
      </c>
      <c r="AI37">
        <f t="shared" si="4"/>
        <v>0</v>
      </c>
      <c r="AJ37">
        <f t="shared" si="4"/>
        <v>19487.431775240919</v>
      </c>
      <c r="AK37">
        <f t="shared" si="4"/>
        <v>0</v>
      </c>
      <c r="AL37">
        <f t="shared" si="4"/>
        <v>0</v>
      </c>
      <c r="AM37">
        <f t="shared" si="4"/>
        <v>0</v>
      </c>
      <c r="AN37">
        <f t="shared" si="4"/>
        <v>0</v>
      </c>
      <c r="AO37">
        <f t="shared" si="6"/>
        <v>0</v>
      </c>
      <c r="AP37">
        <f t="shared" si="6"/>
        <v>0</v>
      </c>
      <c r="AQ37">
        <f t="shared" si="6"/>
        <v>0</v>
      </c>
      <c r="AR37">
        <f t="shared" si="6"/>
        <v>0</v>
      </c>
      <c r="AS37">
        <f t="shared" si="6"/>
        <v>0</v>
      </c>
    </row>
    <row r="38" spans="1:45" x14ac:dyDescent="0.25">
      <c r="A38">
        <v>51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f t="shared" si="2"/>
        <v>1</v>
      </c>
      <c r="X38" s="3">
        <v>7541.0912372362982</v>
      </c>
      <c r="Y38">
        <f t="shared" ref="Y38:AN51" si="8">B38*$X38</f>
        <v>0</v>
      </c>
      <c r="Z38">
        <f t="shared" si="8"/>
        <v>0</v>
      </c>
      <c r="AA38">
        <f t="shared" si="8"/>
        <v>0</v>
      </c>
      <c r="AB38">
        <f t="shared" si="8"/>
        <v>0</v>
      </c>
      <c r="AC38">
        <f t="shared" si="8"/>
        <v>0</v>
      </c>
      <c r="AD38">
        <f t="shared" si="8"/>
        <v>0</v>
      </c>
      <c r="AE38">
        <f t="shared" si="8"/>
        <v>0</v>
      </c>
      <c r="AF38">
        <f t="shared" si="8"/>
        <v>0</v>
      </c>
      <c r="AG38">
        <f t="shared" si="8"/>
        <v>0</v>
      </c>
      <c r="AH38">
        <f t="shared" si="8"/>
        <v>0</v>
      </c>
      <c r="AI38">
        <f t="shared" si="8"/>
        <v>0</v>
      </c>
      <c r="AJ38">
        <f t="shared" si="8"/>
        <v>0</v>
      </c>
      <c r="AK38">
        <f t="shared" si="8"/>
        <v>0</v>
      </c>
      <c r="AL38">
        <f t="shared" si="8"/>
        <v>7541.0912372362982</v>
      </c>
      <c r="AM38">
        <f t="shared" si="8"/>
        <v>0</v>
      </c>
      <c r="AN38">
        <f t="shared" si="8"/>
        <v>0</v>
      </c>
      <c r="AO38">
        <f t="shared" si="6"/>
        <v>0</v>
      </c>
      <c r="AP38">
        <f t="shared" si="6"/>
        <v>0</v>
      </c>
      <c r="AQ38">
        <f t="shared" si="6"/>
        <v>0</v>
      </c>
      <c r="AR38">
        <f t="shared" si="6"/>
        <v>0</v>
      </c>
      <c r="AS38">
        <f t="shared" si="6"/>
        <v>0</v>
      </c>
    </row>
    <row r="39" spans="1:45" x14ac:dyDescent="0.25">
      <c r="A39">
        <v>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0.5</v>
      </c>
      <c r="O39">
        <v>0.5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f t="shared" si="2"/>
        <v>1</v>
      </c>
      <c r="X39" s="3">
        <v>5426.8613919004492</v>
      </c>
      <c r="Y39">
        <f t="shared" si="8"/>
        <v>0</v>
      </c>
      <c r="Z39">
        <f t="shared" si="8"/>
        <v>0</v>
      </c>
      <c r="AA39">
        <f t="shared" si="8"/>
        <v>0</v>
      </c>
      <c r="AB39">
        <f t="shared" si="8"/>
        <v>0</v>
      </c>
      <c r="AC39">
        <f t="shared" si="8"/>
        <v>0</v>
      </c>
      <c r="AD39">
        <f t="shared" si="8"/>
        <v>0</v>
      </c>
      <c r="AE39">
        <f t="shared" si="8"/>
        <v>0</v>
      </c>
      <c r="AF39">
        <f t="shared" si="8"/>
        <v>0</v>
      </c>
      <c r="AG39">
        <f t="shared" si="8"/>
        <v>0</v>
      </c>
      <c r="AH39">
        <f t="shared" si="8"/>
        <v>0</v>
      </c>
      <c r="AI39">
        <f t="shared" si="8"/>
        <v>0</v>
      </c>
      <c r="AJ39">
        <f t="shared" si="8"/>
        <v>0</v>
      </c>
      <c r="AK39">
        <f t="shared" si="8"/>
        <v>2713.4306959502246</v>
      </c>
      <c r="AL39">
        <f t="shared" si="8"/>
        <v>2713.4306959502246</v>
      </c>
      <c r="AM39">
        <f t="shared" si="8"/>
        <v>0</v>
      </c>
      <c r="AN39">
        <f t="shared" si="8"/>
        <v>0</v>
      </c>
      <c r="AO39">
        <f t="shared" si="6"/>
        <v>0</v>
      </c>
      <c r="AP39">
        <f t="shared" si="6"/>
        <v>0</v>
      </c>
      <c r="AQ39">
        <f t="shared" si="6"/>
        <v>0</v>
      </c>
      <c r="AR39">
        <f t="shared" si="6"/>
        <v>0</v>
      </c>
      <c r="AS39">
        <f t="shared" si="6"/>
        <v>0</v>
      </c>
    </row>
    <row r="40" spans="1:45" x14ac:dyDescent="0.25">
      <c r="A40">
        <v>53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f t="shared" si="2"/>
        <v>1</v>
      </c>
      <c r="X40" s="3">
        <v>0</v>
      </c>
      <c r="Y40">
        <f t="shared" si="8"/>
        <v>0</v>
      </c>
      <c r="Z40">
        <f t="shared" si="8"/>
        <v>0</v>
      </c>
      <c r="AA40">
        <f t="shared" si="8"/>
        <v>0</v>
      </c>
      <c r="AB40">
        <f t="shared" si="8"/>
        <v>0</v>
      </c>
      <c r="AC40">
        <f t="shared" si="8"/>
        <v>0</v>
      </c>
      <c r="AD40">
        <f t="shared" si="8"/>
        <v>0</v>
      </c>
      <c r="AE40">
        <f t="shared" si="8"/>
        <v>0</v>
      </c>
      <c r="AF40">
        <f t="shared" si="8"/>
        <v>0</v>
      </c>
      <c r="AG40">
        <f t="shared" si="8"/>
        <v>0</v>
      </c>
      <c r="AH40">
        <f t="shared" si="8"/>
        <v>0</v>
      </c>
      <c r="AI40">
        <f t="shared" si="8"/>
        <v>0</v>
      </c>
      <c r="AJ40">
        <f t="shared" si="8"/>
        <v>0</v>
      </c>
      <c r="AK40">
        <f t="shared" si="8"/>
        <v>0</v>
      </c>
      <c r="AL40">
        <f t="shared" si="8"/>
        <v>0</v>
      </c>
      <c r="AM40">
        <f t="shared" si="8"/>
        <v>0</v>
      </c>
      <c r="AN40">
        <f t="shared" si="8"/>
        <v>0</v>
      </c>
      <c r="AO40">
        <f t="shared" si="6"/>
        <v>0</v>
      </c>
      <c r="AP40">
        <f t="shared" si="6"/>
        <v>0</v>
      </c>
      <c r="AQ40">
        <f t="shared" si="6"/>
        <v>0</v>
      </c>
      <c r="AR40">
        <f t="shared" si="6"/>
        <v>0</v>
      </c>
      <c r="AS40">
        <f t="shared" si="6"/>
        <v>0</v>
      </c>
    </row>
    <row r="41" spans="1:45" x14ac:dyDescent="0.25">
      <c r="A41">
        <v>54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f t="shared" si="2"/>
        <v>1</v>
      </c>
      <c r="X41" s="3">
        <v>0</v>
      </c>
      <c r="Y41">
        <f t="shared" si="8"/>
        <v>0</v>
      </c>
      <c r="Z41">
        <f t="shared" si="8"/>
        <v>0</v>
      </c>
      <c r="AA41">
        <f t="shared" si="8"/>
        <v>0</v>
      </c>
      <c r="AB41">
        <f t="shared" si="8"/>
        <v>0</v>
      </c>
      <c r="AC41">
        <f t="shared" si="8"/>
        <v>0</v>
      </c>
      <c r="AD41">
        <f t="shared" si="8"/>
        <v>0</v>
      </c>
      <c r="AE41">
        <f t="shared" si="8"/>
        <v>0</v>
      </c>
      <c r="AF41">
        <f t="shared" si="8"/>
        <v>0</v>
      </c>
      <c r="AG41">
        <f t="shared" si="8"/>
        <v>0</v>
      </c>
      <c r="AH41">
        <f t="shared" si="8"/>
        <v>0</v>
      </c>
      <c r="AI41">
        <f t="shared" si="8"/>
        <v>0</v>
      </c>
      <c r="AJ41">
        <f t="shared" si="8"/>
        <v>0</v>
      </c>
      <c r="AK41">
        <f t="shared" si="8"/>
        <v>0</v>
      </c>
      <c r="AL41">
        <f t="shared" si="8"/>
        <v>0</v>
      </c>
      <c r="AM41">
        <f t="shared" si="8"/>
        <v>0</v>
      </c>
      <c r="AN41">
        <f t="shared" si="8"/>
        <v>0</v>
      </c>
      <c r="AO41">
        <f t="shared" si="6"/>
        <v>0</v>
      </c>
      <c r="AP41">
        <f t="shared" si="6"/>
        <v>0</v>
      </c>
      <c r="AQ41">
        <f t="shared" si="6"/>
        <v>0</v>
      </c>
      <c r="AR41">
        <f t="shared" si="6"/>
        <v>0</v>
      </c>
      <c r="AS41">
        <f t="shared" si="6"/>
        <v>0</v>
      </c>
    </row>
    <row r="42" spans="1:45" x14ac:dyDescent="0.25">
      <c r="A42">
        <v>55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f t="shared" si="2"/>
        <v>1</v>
      </c>
      <c r="X42" s="3">
        <v>0</v>
      </c>
      <c r="Y42">
        <f t="shared" si="8"/>
        <v>0</v>
      </c>
      <c r="Z42">
        <f t="shared" si="8"/>
        <v>0</v>
      </c>
      <c r="AA42">
        <f t="shared" si="8"/>
        <v>0</v>
      </c>
      <c r="AB42">
        <f t="shared" si="8"/>
        <v>0</v>
      </c>
      <c r="AC42">
        <f t="shared" si="8"/>
        <v>0</v>
      </c>
      <c r="AD42">
        <f t="shared" si="8"/>
        <v>0</v>
      </c>
      <c r="AE42">
        <f t="shared" si="8"/>
        <v>0</v>
      </c>
      <c r="AF42">
        <f t="shared" si="8"/>
        <v>0</v>
      </c>
      <c r="AG42">
        <f t="shared" si="8"/>
        <v>0</v>
      </c>
      <c r="AH42">
        <f t="shared" si="8"/>
        <v>0</v>
      </c>
      <c r="AI42">
        <f t="shared" si="8"/>
        <v>0</v>
      </c>
      <c r="AJ42">
        <f t="shared" si="8"/>
        <v>0</v>
      </c>
      <c r="AK42">
        <f t="shared" si="8"/>
        <v>0</v>
      </c>
      <c r="AL42">
        <f t="shared" si="8"/>
        <v>0</v>
      </c>
      <c r="AM42">
        <f t="shared" si="8"/>
        <v>0</v>
      </c>
      <c r="AN42">
        <f t="shared" si="8"/>
        <v>0</v>
      </c>
      <c r="AO42">
        <f t="shared" si="6"/>
        <v>0</v>
      </c>
      <c r="AP42">
        <f t="shared" si="6"/>
        <v>0</v>
      </c>
      <c r="AQ42">
        <f t="shared" si="6"/>
        <v>0</v>
      </c>
      <c r="AR42">
        <f t="shared" si="6"/>
        <v>0</v>
      </c>
      <c r="AS42">
        <f t="shared" si="6"/>
        <v>0</v>
      </c>
    </row>
    <row r="43" spans="1:45" x14ac:dyDescent="0.25">
      <c r="A43">
        <v>56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f t="shared" si="2"/>
        <v>1</v>
      </c>
      <c r="Y43">
        <f t="shared" si="8"/>
        <v>0</v>
      </c>
      <c r="Z43">
        <f t="shared" si="8"/>
        <v>0</v>
      </c>
      <c r="AA43">
        <f t="shared" si="8"/>
        <v>0</v>
      </c>
      <c r="AB43">
        <f t="shared" si="8"/>
        <v>0</v>
      </c>
      <c r="AC43">
        <f t="shared" si="8"/>
        <v>0</v>
      </c>
      <c r="AD43">
        <f t="shared" si="8"/>
        <v>0</v>
      </c>
      <c r="AE43">
        <f t="shared" si="8"/>
        <v>0</v>
      </c>
      <c r="AF43">
        <f t="shared" si="8"/>
        <v>0</v>
      </c>
      <c r="AG43">
        <f t="shared" si="8"/>
        <v>0</v>
      </c>
      <c r="AH43">
        <f t="shared" si="8"/>
        <v>0</v>
      </c>
      <c r="AI43">
        <f t="shared" si="8"/>
        <v>0</v>
      </c>
      <c r="AJ43">
        <f t="shared" si="8"/>
        <v>0</v>
      </c>
      <c r="AK43">
        <f t="shared" si="8"/>
        <v>0</v>
      </c>
      <c r="AL43">
        <f t="shared" si="8"/>
        <v>0</v>
      </c>
      <c r="AM43">
        <f t="shared" si="8"/>
        <v>0</v>
      </c>
      <c r="AN43">
        <f t="shared" si="8"/>
        <v>0</v>
      </c>
      <c r="AO43">
        <f t="shared" si="6"/>
        <v>0</v>
      </c>
      <c r="AP43">
        <f t="shared" si="6"/>
        <v>0</v>
      </c>
      <c r="AQ43">
        <f t="shared" si="6"/>
        <v>0</v>
      </c>
      <c r="AR43">
        <f t="shared" si="6"/>
        <v>0</v>
      </c>
      <c r="AS43">
        <f t="shared" si="6"/>
        <v>0</v>
      </c>
    </row>
    <row r="44" spans="1:45" x14ac:dyDescent="0.25">
      <c r="A44">
        <v>57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0.5</v>
      </c>
      <c r="S44">
        <v>0</v>
      </c>
      <c r="T44">
        <v>0.5</v>
      </c>
      <c r="U44">
        <v>0</v>
      </c>
      <c r="V44">
        <v>0</v>
      </c>
      <c r="W44">
        <f t="shared" si="2"/>
        <v>1</v>
      </c>
      <c r="Y44">
        <f t="shared" si="8"/>
        <v>0</v>
      </c>
      <c r="Z44">
        <f t="shared" si="8"/>
        <v>0</v>
      </c>
      <c r="AA44">
        <f t="shared" si="8"/>
        <v>0</v>
      </c>
      <c r="AB44">
        <f t="shared" si="8"/>
        <v>0</v>
      </c>
      <c r="AC44">
        <f t="shared" si="8"/>
        <v>0</v>
      </c>
      <c r="AD44">
        <f t="shared" si="8"/>
        <v>0</v>
      </c>
      <c r="AE44">
        <f t="shared" si="8"/>
        <v>0</v>
      </c>
      <c r="AF44">
        <f t="shared" si="8"/>
        <v>0</v>
      </c>
      <c r="AG44">
        <f t="shared" si="8"/>
        <v>0</v>
      </c>
      <c r="AH44">
        <f t="shared" si="8"/>
        <v>0</v>
      </c>
      <c r="AI44">
        <f t="shared" si="8"/>
        <v>0</v>
      </c>
      <c r="AJ44">
        <f t="shared" si="8"/>
        <v>0</v>
      </c>
      <c r="AK44">
        <f t="shared" si="8"/>
        <v>0</v>
      </c>
      <c r="AL44">
        <f t="shared" si="8"/>
        <v>0</v>
      </c>
      <c r="AM44">
        <f t="shared" si="8"/>
        <v>0</v>
      </c>
      <c r="AN44">
        <f t="shared" si="8"/>
        <v>0</v>
      </c>
      <c r="AO44">
        <f t="shared" si="6"/>
        <v>0</v>
      </c>
      <c r="AP44">
        <f t="shared" si="6"/>
        <v>0</v>
      </c>
      <c r="AQ44">
        <f t="shared" si="6"/>
        <v>0</v>
      </c>
      <c r="AR44">
        <f t="shared" si="6"/>
        <v>0</v>
      </c>
      <c r="AS44">
        <f t="shared" si="6"/>
        <v>0</v>
      </c>
    </row>
    <row r="45" spans="1:45" x14ac:dyDescent="0.25">
      <c r="A45">
        <v>58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f t="shared" si="2"/>
        <v>1</v>
      </c>
      <c r="Y45">
        <f t="shared" si="8"/>
        <v>0</v>
      </c>
      <c r="Z45">
        <f t="shared" si="8"/>
        <v>0</v>
      </c>
      <c r="AA45">
        <f t="shared" si="8"/>
        <v>0</v>
      </c>
      <c r="AB45">
        <f t="shared" si="8"/>
        <v>0</v>
      </c>
      <c r="AC45">
        <f t="shared" si="8"/>
        <v>0</v>
      </c>
      <c r="AD45">
        <f t="shared" si="8"/>
        <v>0</v>
      </c>
      <c r="AE45">
        <f t="shared" si="8"/>
        <v>0</v>
      </c>
      <c r="AF45">
        <f t="shared" si="8"/>
        <v>0</v>
      </c>
      <c r="AG45">
        <f t="shared" si="8"/>
        <v>0</v>
      </c>
      <c r="AH45">
        <f t="shared" si="8"/>
        <v>0</v>
      </c>
      <c r="AI45">
        <f t="shared" si="8"/>
        <v>0</v>
      </c>
      <c r="AJ45">
        <f t="shared" si="8"/>
        <v>0</v>
      </c>
      <c r="AK45">
        <f t="shared" si="8"/>
        <v>0</v>
      </c>
      <c r="AL45">
        <f t="shared" si="8"/>
        <v>0</v>
      </c>
      <c r="AM45">
        <f t="shared" si="8"/>
        <v>0</v>
      </c>
      <c r="AN45">
        <f t="shared" si="8"/>
        <v>0</v>
      </c>
      <c r="AO45">
        <f t="shared" si="6"/>
        <v>0</v>
      </c>
      <c r="AP45">
        <f t="shared" si="6"/>
        <v>0</v>
      </c>
      <c r="AQ45">
        <f t="shared" si="6"/>
        <v>0</v>
      </c>
      <c r="AR45">
        <f t="shared" si="6"/>
        <v>0</v>
      </c>
      <c r="AS45">
        <f t="shared" si="6"/>
        <v>0</v>
      </c>
    </row>
    <row r="46" spans="1:45" x14ac:dyDescent="0.25">
      <c r="A46">
        <v>59</v>
      </c>
      <c r="W46">
        <f t="shared" si="2"/>
        <v>0</v>
      </c>
      <c r="Y46">
        <f t="shared" si="8"/>
        <v>0</v>
      </c>
      <c r="Z46">
        <f t="shared" si="8"/>
        <v>0</v>
      </c>
      <c r="AA46">
        <f t="shared" si="8"/>
        <v>0</v>
      </c>
      <c r="AB46">
        <f t="shared" si="8"/>
        <v>0</v>
      </c>
      <c r="AC46">
        <f t="shared" si="8"/>
        <v>0</v>
      </c>
      <c r="AD46">
        <f t="shared" si="8"/>
        <v>0</v>
      </c>
      <c r="AE46">
        <f t="shared" si="8"/>
        <v>0</v>
      </c>
      <c r="AF46">
        <f t="shared" si="8"/>
        <v>0</v>
      </c>
      <c r="AG46">
        <f t="shared" si="8"/>
        <v>0</v>
      </c>
      <c r="AH46">
        <f t="shared" si="8"/>
        <v>0</v>
      </c>
      <c r="AI46">
        <f t="shared" si="8"/>
        <v>0</v>
      </c>
      <c r="AJ46">
        <f t="shared" si="8"/>
        <v>0</v>
      </c>
      <c r="AK46">
        <f t="shared" si="8"/>
        <v>0</v>
      </c>
      <c r="AL46">
        <f t="shared" si="8"/>
        <v>0</v>
      </c>
      <c r="AM46">
        <f t="shared" si="8"/>
        <v>0</v>
      </c>
      <c r="AN46">
        <f t="shared" si="8"/>
        <v>0</v>
      </c>
      <c r="AO46">
        <f t="shared" si="6"/>
        <v>0</v>
      </c>
      <c r="AP46">
        <f t="shared" si="6"/>
        <v>0</v>
      </c>
      <c r="AQ46">
        <f t="shared" si="6"/>
        <v>0</v>
      </c>
      <c r="AR46">
        <f t="shared" si="6"/>
        <v>0</v>
      </c>
      <c r="AS46">
        <f t="shared" si="6"/>
        <v>0</v>
      </c>
    </row>
    <row r="47" spans="1:45" x14ac:dyDescent="0.25">
      <c r="A47">
        <v>60</v>
      </c>
      <c r="W47">
        <f t="shared" si="2"/>
        <v>0</v>
      </c>
      <c r="Y47">
        <f t="shared" si="8"/>
        <v>0</v>
      </c>
      <c r="Z47">
        <f t="shared" si="8"/>
        <v>0</v>
      </c>
      <c r="AA47">
        <f t="shared" si="8"/>
        <v>0</v>
      </c>
      <c r="AB47">
        <f t="shared" si="8"/>
        <v>0</v>
      </c>
      <c r="AC47">
        <f t="shared" si="8"/>
        <v>0</v>
      </c>
      <c r="AD47">
        <f t="shared" si="8"/>
        <v>0</v>
      </c>
      <c r="AE47">
        <f t="shared" si="8"/>
        <v>0</v>
      </c>
      <c r="AF47">
        <f t="shared" si="8"/>
        <v>0</v>
      </c>
      <c r="AG47">
        <f t="shared" si="8"/>
        <v>0</v>
      </c>
      <c r="AH47">
        <f t="shared" si="8"/>
        <v>0</v>
      </c>
      <c r="AI47">
        <f t="shared" si="8"/>
        <v>0</v>
      </c>
      <c r="AJ47">
        <f t="shared" si="8"/>
        <v>0</v>
      </c>
      <c r="AK47">
        <f t="shared" si="8"/>
        <v>0</v>
      </c>
      <c r="AL47">
        <f t="shared" si="8"/>
        <v>0</v>
      </c>
      <c r="AM47">
        <f t="shared" si="8"/>
        <v>0</v>
      </c>
      <c r="AN47">
        <f t="shared" si="8"/>
        <v>0</v>
      </c>
      <c r="AO47">
        <f t="shared" si="6"/>
        <v>0</v>
      </c>
      <c r="AP47">
        <f t="shared" si="6"/>
        <v>0</v>
      </c>
      <c r="AQ47">
        <f t="shared" si="6"/>
        <v>0</v>
      </c>
      <c r="AR47">
        <f t="shared" si="6"/>
        <v>0</v>
      </c>
      <c r="AS47">
        <f t="shared" si="6"/>
        <v>0</v>
      </c>
    </row>
    <row r="48" spans="1:45" x14ac:dyDescent="0.25">
      <c r="A48">
        <v>61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f t="shared" si="2"/>
        <v>1</v>
      </c>
      <c r="Y48">
        <f t="shared" si="8"/>
        <v>0</v>
      </c>
      <c r="Z48">
        <f t="shared" si="8"/>
        <v>0</v>
      </c>
      <c r="AA48">
        <f t="shared" si="8"/>
        <v>0</v>
      </c>
      <c r="AB48">
        <f t="shared" si="8"/>
        <v>0</v>
      </c>
      <c r="AC48">
        <f t="shared" si="8"/>
        <v>0</v>
      </c>
      <c r="AD48">
        <f t="shared" si="8"/>
        <v>0</v>
      </c>
      <c r="AE48">
        <f t="shared" si="8"/>
        <v>0</v>
      </c>
      <c r="AF48">
        <f t="shared" si="8"/>
        <v>0</v>
      </c>
      <c r="AG48">
        <f t="shared" si="8"/>
        <v>0</v>
      </c>
      <c r="AH48">
        <f t="shared" si="8"/>
        <v>0</v>
      </c>
      <c r="AI48">
        <f t="shared" si="8"/>
        <v>0</v>
      </c>
      <c r="AJ48">
        <f t="shared" si="8"/>
        <v>0</v>
      </c>
      <c r="AK48">
        <f t="shared" si="8"/>
        <v>0</v>
      </c>
      <c r="AL48">
        <f t="shared" si="8"/>
        <v>0</v>
      </c>
      <c r="AM48">
        <f t="shared" si="8"/>
        <v>0</v>
      </c>
      <c r="AN48">
        <f t="shared" si="8"/>
        <v>0</v>
      </c>
      <c r="AO48">
        <f t="shared" si="6"/>
        <v>0</v>
      </c>
      <c r="AP48">
        <f t="shared" si="6"/>
        <v>0</v>
      </c>
      <c r="AQ48">
        <f t="shared" si="6"/>
        <v>0</v>
      </c>
      <c r="AR48">
        <f t="shared" si="6"/>
        <v>0</v>
      </c>
      <c r="AS48">
        <f t="shared" si="6"/>
        <v>0</v>
      </c>
    </row>
    <row r="49" spans="1:46" x14ac:dyDescent="0.25">
      <c r="A49">
        <v>62</v>
      </c>
      <c r="W49">
        <f t="shared" si="2"/>
        <v>0</v>
      </c>
      <c r="Y49">
        <f t="shared" si="8"/>
        <v>0</v>
      </c>
      <c r="Z49">
        <f t="shared" si="8"/>
        <v>0</v>
      </c>
      <c r="AA49">
        <f t="shared" si="8"/>
        <v>0</v>
      </c>
      <c r="AB49">
        <f t="shared" si="8"/>
        <v>0</v>
      </c>
      <c r="AC49">
        <f t="shared" si="8"/>
        <v>0</v>
      </c>
      <c r="AD49">
        <f t="shared" si="8"/>
        <v>0</v>
      </c>
      <c r="AE49">
        <f t="shared" si="8"/>
        <v>0</v>
      </c>
      <c r="AF49">
        <f t="shared" si="8"/>
        <v>0</v>
      </c>
      <c r="AG49">
        <f t="shared" si="8"/>
        <v>0</v>
      </c>
      <c r="AH49">
        <f t="shared" si="8"/>
        <v>0</v>
      </c>
      <c r="AI49">
        <f t="shared" si="8"/>
        <v>0</v>
      </c>
      <c r="AJ49">
        <f t="shared" si="8"/>
        <v>0</v>
      </c>
      <c r="AK49">
        <f t="shared" si="8"/>
        <v>0</v>
      </c>
      <c r="AL49">
        <f t="shared" si="8"/>
        <v>0</v>
      </c>
      <c r="AM49">
        <f t="shared" si="8"/>
        <v>0</v>
      </c>
      <c r="AN49">
        <f t="shared" si="8"/>
        <v>0</v>
      </c>
      <c r="AO49">
        <f t="shared" si="6"/>
        <v>0</v>
      </c>
      <c r="AP49">
        <f t="shared" si="6"/>
        <v>0</v>
      </c>
      <c r="AQ49">
        <f t="shared" si="6"/>
        <v>0</v>
      </c>
      <c r="AR49">
        <f t="shared" si="6"/>
        <v>0</v>
      </c>
      <c r="AS49">
        <f t="shared" si="6"/>
        <v>0</v>
      </c>
    </row>
    <row r="50" spans="1:46" x14ac:dyDescent="0.25">
      <c r="A50">
        <v>63</v>
      </c>
      <c r="W50">
        <f t="shared" si="2"/>
        <v>0</v>
      </c>
      <c r="Y50">
        <f t="shared" si="8"/>
        <v>0</v>
      </c>
      <c r="Z50">
        <f t="shared" si="8"/>
        <v>0</v>
      </c>
      <c r="AA50">
        <f t="shared" si="8"/>
        <v>0</v>
      </c>
      <c r="AB50">
        <f t="shared" si="8"/>
        <v>0</v>
      </c>
      <c r="AC50">
        <f t="shared" si="8"/>
        <v>0</v>
      </c>
      <c r="AD50">
        <f t="shared" si="8"/>
        <v>0</v>
      </c>
      <c r="AE50">
        <f t="shared" si="8"/>
        <v>0</v>
      </c>
      <c r="AF50">
        <f t="shared" si="8"/>
        <v>0</v>
      </c>
      <c r="AG50">
        <f t="shared" si="8"/>
        <v>0</v>
      </c>
      <c r="AH50">
        <f t="shared" si="8"/>
        <v>0</v>
      </c>
      <c r="AI50">
        <f t="shared" si="8"/>
        <v>0</v>
      </c>
      <c r="AJ50">
        <f t="shared" si="8"/>
        <v>0</v>
      </c>
      <c r="AK50">
        <f t="shared" si="8"/>
        <v>0</v>
      </c>
      <c r="AL50">
        <f t="shared" si="8"/>
        <v>0</v>
      </c>
      <c r="AM50">
        <f t="shared" si="8"/>
        <v>0</v>
      </c>
      <c r="AN50">
        <f t="shared" si="8"/>
        <v>0</v>
      </c>
      <c r="AO50">
        <f t="shared" si="6"/>
        <v>0</v>
      </c>
      <c r="AP50">
        <f t="shared" si="6"/>
        <v>0</v>
      </c>
      <c r="AQ50">
        <f t="shared" si="6"/>
        <v>0</v>
      </c>
      <c r="AR50">
        <f t="shared" si="6"/>
        <v>0</v>
      </c>
      <c r="AS50">
        <f t="shared" si="6"/>
        <v>0</v>
      </c>
    </row>
    <row r="51" spans="1:46" x14ac:dyDescent="0.25">
      <c r="A51">
        <v>64</v>
      </c>
      <c r="W51">
        <f t="shared" si="2"/>
        <v>0</v>
      </c>
      <c r="Y51">
        <f t="shared" si="8"/>
        <v>0</v>
      </c>
      <c r="Z51">
        <f t="shared" si="8"/>
        <v>0</v>
      </c>
      <c r="AA51">
        <f t="shared" si="8"/>
        <v>0</v>
      </c>
      <c r="AB51">
        <f t="shared" si="8"/>
        <v>0</v>
      </c>
      <c r="AC51">
        <f t="shared" si="8"/>
        <v>0</v>
      </c>
      <c r="AD51">
        <f t="shared" si="8"/>
        <v>0</v>
      </c>
      <c r="AE51">
        <f t="shared" si="8"/>
        <v>0</v>
      </c>
      <c r="AF51">
        <f t="shared" si="8"/>
        <v>0</v>
      </c>
      <c r="AG51">
        <f t="shared" si="8"/>
        <v>0</v>
      </c>
      <c r="AH51">
        <f t="shared" si="8"/>
        <v>0</v>
      </c>
      <c r="AI51">
        <f t="shared" si="8"/>
        <v>0</v>
      </c>
      <c r="AJ51">
        <f t="shared" si="8"/>
        <v>0</v>
      </c>
      <c r="AK51">
        <f t="shared" si="8"/>
        <v>0</v>
      </c>
      <c r="AL51">
        <f t="shared" si="8"/>
        <v>0</v>
      </c>
      <c r="AM51">
        <f t="shared" si="8"/>
        <v>0</v>
      </c>
      <c r="AN51">
        <f t="shared" si="8"/>
        <v>0</v>
      </c>
      <c r="AO51">
        <f t="shared" si="6"/>
        <v>0</v>
      </c>
      <c r="AP51">
        <f t="shared" si="6"/>
        <v>0</v>
      </c>
      <c r="AQ51">
        <f t="shared" si="6"/>
        <v>0</v>
      </c>
      <c r="AR51">
        <f t="shared" si="6"/>
        <v>0</v>
      </c>
      <c r="AS51">
        <f t="shared" si="6"/>
        <v>0</v>
      </c>
    </row>
    <row r="52" spans="1:46" x14ac:dyDescent="0.25">
      <c r="A52">
        <v>65</v>
      </c>
      <c r="W52">
        <f t="shared" si="2"/>
        <v>0</v>
      </c>
    </row>
    <row r="53" spans="1:46" x14ac:dyDescent="0.25">
      <c r="A53">
        <v>66</v>
      </c>
      <c r="W53">
        <f t="shared" si="2"/>
        <v>0</v>
      </c>
      <c r="Y53">
        <f>SUM(Y2:Y52)</f>
        <v>0</v>
      </c>
      <c r="Z53">
        <f t="shared" ref="Z53:AS53" si="9">SUM(Z2:Z52)</f>
        <v>0</v>
      </c>
      <c r="AA53">
        <f t="shared" si="9"/>
        <v>0</v>
      </c>
      <c r="AB53">
        <f t="shared" si="9"/>
        <v>2386.0386955195336</v>
      </c>
      <c r="AC53">
        <f t="shared" si="9"/>
        <v>927013.62227788172</v>
      </c>
      <c r="AD53">
        <f t="shared" si="9"/>
        <v>800411.86486939166</v>
      </c>
      <c r="AE53">
        <f t="shared" si="9"/>
        <v>731219.66119468049</v>
      </c>
      <c r="AF53">
        <f t="shared" si="9"/>
        <v>26368.51804470694</v>
      </c>
      <c r="AG53">
        <f t="shared" si="9"/>
        <v>201697.40168385301</v>
      </c>
      <c r="AH53">
        <f t="shared" si="9"/>
        <v>961639.51344399131</v>
      </c>
      <c r="AI53">
        <f t="shared" si="9"/>
        <v>526701.5889877883</v>
      </c>
      <c r="AJ53">
        <f t="shared" si="9"/>
        <v>114201.257805203</v>
      </c>
      <c r="AK53">
        <f t="shared" si="9"/>
        <v>19669.486431102716</v>
      </c>
      <c r="AL53">
        <f t="shared" si="9"/>
        <v>10254.521933186523</v>
      </c>
      <c r="AM53">
        <f t="shared" si="9"/>
        <v>0</v>
      </c>
      <c r="AN53">
        <f t="shared" si="9"/>
        <v>0</v>
      </c>
      <c r="AO53">
        <f t="shared" si="9"/>
        <v>0</v>
      </c>
      <c r="AP53">
        <f t="shared" si="9"/>
        <v>0</v>
      </c>
      <c r="AQ53">
        <f t="shared" si="9"/>
        <v>0</v>
      </c>
      <c r="AR53">
        <f t="shared" si="9"/>
        <v>0</v>
      </c>
      <c r="AS53">
        <f t="shared" si="9"/>
        <v>0</v>
      </c>
      <c r="AT53">
        <f>SUM(Y53:AS53)</f>
        <v>4321563.4753673049</v>
      </c>
    </row>
    <row r="54" spans="1:46" x14ac:dyDescent="0.25">
      <c r="X54" s="3">
        <f>SUM(X2:X53)</f>
        <v>4321563.4753673049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abs. numbers</vt:lpstr>
      <vt:lpstr>2010 EU</vt:lpstr>
      <vt:lpstr>2011 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Tien, Nicola</cp:lastModifiedBy>
  <dcterms:created xsi:type="dcterms:W3CDTF">2010-08-18T22:44:48Z</dcterms:created>
  <dcterms:modified xsi:type="dcterms:W3CDTF">2022-06-13T13:04:11Z</dcterms:modified>
</cp:coreProperties>
</file>