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6608" windowHeight="8160" tabRatio="603" activeTab="8"/>
  </bookViews>
  <sheets>
    <sheet name="mar" sheetId="7" r:id="rId1"/>
    <sheet name="apr" sheetId="1" r:id="rId2"/>
    <sheet name="may" sheetId="5" r:id="rId3"/>
    <sheet name="jun" sheetId="6" r:id="rId4"/>
    <sheet name="jul" sheetId="3" r:id="rId5"/>
    <sheet name="aug " sheetId="4" r:id="rId6"/>
    <sheet name="totaal 09" sheetId="8" r:id="rId7"/>
    <sheet name="vgl 2007-9" sheetId="9" r:id="rId8"/>
    <sheet name="Blad1" sheetId="10" r:id="rId9"/>
  </sheets>
  <calcPr calcId="124519"/>
</workbook>
</file>

<file path=xl/calcChain.xml><?xml version="1.0" encoding="utf-8"?>
<calcChain xmlns="http://schemas.openxmlformats.org/spreadsheetml/2006/main">
  <c r="L44" i="10"/>
  <c r="E44"/>
  <c r="D44"/>
  <c r="C44"/>
  <c r="I42" s="1"/>
  <c r="B44"/>
  <c r="K43"/>
  <c r="J43"/>
  <c r="I43"/>
  <c r="H43"/>
  <c r="K42"/>
  <c r="J42"/>
  <c r="H42"/>
  <c r="K41"/>
  <c r="J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K44" s="1"/>
  <c r="J13"/>
  <c r="J44" s="1"/>
  <c r="I13"/>
  <c r="H13"/>
  <c r="H44" s="1"/>
  <c r="K12"/>
  <c r="K11"/>
  <c r="K10"/>
  <c r="K9"/>
  <c r="K8"/>
  <c r="K7"/>
  <c r="K6"/>
  <c r="K5"/>
  <c r="K4"/>
  <c r="K3"/>
  <c r="L44" i="9"/>
  <c r="I44" i="10" l="1"/>
  <c r="I41"/>
  <c r="AA50" i="4"/>
  <c r="AA49"/>
  <c r="AA48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C45"/>
  <c r="T50" i="3"/>
  <c r="T49"/>
  <c r="T48"/>
  <c r="B45"/>
  <c r="AO45" i="1"/>
  <c r="AO44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E44" i="9"/>
  <c r="L3" i="8"/>
  <c r="M3"/>
  <c r="N3"/>
  <c r="O3"/>
  <c r="P3"/>
  <c r="L4"/>
  <c r="M4"/>
  <c r="M39" s="1"/>
  <c r="N4"/>
  <c r="O4"/>
  <c r="O39" s="1"/>
  <c r="P4"/>
  <c r="L5"/>
  <c r="M5"/>
  <c r="N5"/>
  <c r="O5"/>
  <c r="P5"/>
  <c r="L6"/>
  <c r="M6"/>
  <c r="N6"/>
  <c r="O6"/>
  <c r="P6"/>
  <c r="L7"/>
  <c r="M7"/>
  <c r="N7"/>
  <c r="O7"/>
  <c r="P7"/>
  <c r="L8"/>
  <c r="M8"/>
  <c r="N8"/>
  <c r="O8"/>
  <c r="P8"/>
  <c r="L9"/>
  <c r="M9"/>
  <c r="N9"/>
  <c r="O9"/>
  <c r="P9"/>
  <c r="L10"/>
  <c r="M10"/>
  <c r="N10"/>
  <c r="O10"/>
  <c r="P10"/>
  <c r="L11"/>
  <c r="M11"/>
  <c r="N11"/>
  <c r="O11"/>
  <c r="P11"/>
  <c r="L12"/>
  <c r="M12"/>
  <c r="N12"/>
  <c r="O12"/>
  <c r="P12"/>
  <c r="L13"/>
  <c r="M13"/>
  <c r="N13"/>
  <c r="O13"/>
  <c r="P13"/>
  <c r="L14"/>
  <c r="M14"/>
  <c r="N14"/>
  <c r="O14"/>
  <c r="P14"/>
  <c r="L15"/>
  <c r="M15"/>
  <c r="N15"/>
  <c r="O15"/>
  <c r="P15"/>
  <c r="L16"/>
  <c r="M16"/>
  <c r="N16"/>
  <c r="O16"/>
  <c r="P16"/>
  <c r="L17"/>
  <c r="M17"/>
  <c r="N17"/>
  <c r="O17"/>
  <c r="P17"/>
  <c r="L18"/>
  <c r="M18"/>
  <c r="N18"/>
  <c r="O18"/>
  <c r="P18"/>
  <c r="L19"/>
  <c r="M19"/>
  <c r="N19"/>
  <c r="O19"/>
  <c r="P19"/>
  <c r="L20"/>
  <c r="M20"/>
  <c r="N20"/>
  <c r="O20"/>
  <c r="P20"/>
  <c r="L21"/>
  <c r="M21"/>
  <c r="N21"/>
  <c r="O21"/>
  <c r="P21"/>
  <c r="L22"/>
  <c r="M22"/>
  <c r="N22"/>
  <c r="O22"/>
  <c r="P22"/>
  <c r="L23"/>
  <c r="M23"/>
  <c r="N23"/>
  <c r="O23"/>
  <c r="P23"/>
  <c r="L24"/>
  <c r="M24"/>
  <c r="N24"/>
  <c r="O24"/>
  <c r="P24"/>
  <c r="L25"/>
  <c r="M25"/>
  <c r="N25"/>
  <c r="O25"/>
  <c r="P25"/>
  <c r="L26"/>
  <c r="M26"/>
  <c r="N26"/>
  <c r="O26"/>
  <c r="P26"/>
  <c r="L27"/>
  <c r="M27"/>
  <c r="N27"/>
  <c r="O27"/>
  <c r="P27"/>
  <c r="L28"/>
  <c r="M28"/>
  <c r="N28"/>
  <c r="O28"/>
  <c r="P28"/>
  <c r="L29"/>
  <c r="M29"/>
  <c r="N29"/>
  <c r="O29"/>
  <c r="P29"/>
  <c r="L30"/>
  <c r="M30"/>
  <c r="N30"/>
  <c r="O30"/>
  <c r="P30"/>
  <c r="L31"/>
  <c r="M31"/>
  <c r="N31"/>
  <c r="O31"/>
  <c r="P31"/>
  <c r="L32"/>
  <c r="M32"/>
  <c r="N32"/>
  <c r="O32"/>
  <c r="P32"/>
  <c r="L33"/>
  <c r="M33"/>
  <c r="N33"/>
  <c r="O33"/>
  <c r="P33"/>
  <c r="L34"/>
  <c r="M34"/>
  <c r="N34"/>
  <c r="O34"/>
  <c r="P34"/>
  <c r="L35"/>
  <c r="M35"/>
  <c r="N35"/>
  <c r="O35"/>
  <c r="P35"/>
  <c r="L36"/>
  <c r="M36"/>
  <c r="N36"/>
  <c r="O36"/>
  <c r="P36"/>
  <c r="L37"/>
  <c r="M37"/>
  <c r="N37"/>
  <c r="O37"/>
  <c r="P37"/>
  <c r="L38"/>
  <c r="M38"/>
  <c r="N38"/>
  <c r="O38"/>
  <c r="P38"/>
  <c r="L39"/>
  <c r="N39"/>
  <c r="P39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"/>
  <c r="K39" s="1"/>
  <c r="I44" i="9"/>
  <c r="J44"/>
  <c r="H44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13"/>
  <c r="C44"/>
  <c r="D44"/>
  <c r="B44"/>
  <c r="I4" i="8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3"/>
  <c r="K5" i="9" l="1"/>
  <c r="K7"/>
  <c r="K9"/>
  <c r="K11"/>
  <c r="K13"/>
  <c r="K15"/>
  <c r="K17"/>
  <c r="K19"/>
  <c r="K21"/>
  <c r="K23"/>
  <c r="K25"/>
  <c r="K27"/>
  <c r="K29"/>
  <c r="K31"/>
  <c r="K33"/>
  <c r="K35"/>
  <c r="K37"/>
  <c r="K39"/>
  <c r="K41"/>
  <c r="K43"/>
  <c r="K4"/>
  <c r="K6"/>
  <c r="K8"/>
  <c r="K10"/>
  <c r="K12"/>
  <c r="K14"/>
  <c r="K16"/>
  <c r="K18"/>
  <c r="K20"/>
  <c r="K22"/>
  <c r="K24"/>
  <c r="K26"/>
  <c r="K28"/>
  <c r="K30"/>
  <c r="K32"/>
  <c r="K34"/>
  <c r="K36"/>
  <c r="K38"/>
  <c r="K40"/>
  <c r="K42"/>
  <c r="K3"/>
  <c r="AA43" i="4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7"/>
  <c r="T43" i="3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7"/>
  <c r="I43" i="6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7"/>
  <c r="AR43" i="5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7"/>
  <c r="AO43" i="1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7"/>
  <c r="F43" i="7"/>
  <c r="F44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7"/>
  <c r="AL43" i="1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D43" i="7"/>
  <c r="C43"/>
  <c r="B43"/>
  <c r="E43" i="6"/>
  <c r="D43"/>
  <c r="C43"/>
  <c r="B43"/>
  <c r="AP43" i="5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K44" i="9" l="1"/>
  <c r="C43" i="3"/>
  <c r="C45" s="1"/>
  <c r="D43"/>
  <c r="D45" s="1"/>
  <c r="E43"/>
  <c r="E45" s="1"/>
  <c r="F43"/>
  <c r="F45" s="1"/>
  <c r="G43"/>
  <c r="G45" s="1"/>
  <c r="H43"/>
  <c r="H45" s="1"/>
  <c r="I43"/>
  <c r="I45" s="1"/>
  <c r="J43"/>
  <c r="J45" s="1"/>
  <c r="K43"/>
  <c r="K45" s="1"/>
  <c r="L43"/>
  <c r="L45" s="1"/>
  <c r="M43"/>
  <c r="M45" s="1"/>
  <c r="N43"/>
  <c r="N45" s="1"/>
  <c r="P43"/>
  <c r="P45" s="1"/>
  <c r="Q43"/>
  <c r="Q45" s="1"/>
  <c r="R43"/>
  <c r="R45" s="1"/>
  <c r="B43"/>
  <c r="AM43" i="1"/>
</calcChain>
</file>

<file path=xl/sharedStrings.xml><?xml version="1.0" encoding="utf-8"?>
<sst xmlns="http://schemas.openxmlformats.org/spreadsheetml/2006/main" count="206" uniqueCount="24">
  <si>
    <t>date</t>
  </si>
  <si>
    <t>time</t>
  </si>
  <si>
    <t>haul nr</t>
  </si>
  <si>
    <t>number</t>
  </si>
  <si>
    <t>weight</t>
  </si>
  <si>
    <t>average</t>
  </si>
  <si>
    <t>discards</t>
  </si>
  <si>
    <t>caught</t>
  </si>
  <si>
    <t>T/H</t>
  </si>
  <si>
    <t>vessel</t>
  </si>
  <si>
    <t>Annelies</t>
  </si>
  <si>
    <t>Number</t>
  </si>
  <si>
    <t>Maartje</t>
  </si>
  <si>
    <t>March</t>
  </si>
  <si>
    <t>April</t>
  </si>
  <si>
    <t>May</t>
  </si>
  <si>
    <t>June</t>
  </si>
  <si>
    <t>Jul</t>
  </si>
  <si>
    <t>Aug</t>
  </si>
  <si>
    <t>totaal 09</t>
  </si>
  <si>
    <t>percentages</t>
  </si>
  <si>
    <t>Percentages</t>
  </si>
  <si>
    <t>betrouwbare gewichten:</t>
  </si>
  <si>
    <t>mean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</si>
</sst>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Border="1"/>
    <xf numFmtId="0" fontId="0" fillId="0" borderId="0" xfId="0" applyFont="1" applyBorder="1"/>
    <xf numFmtId="17" fontId="2" fillId="0" borderId="0" xfId="0" applyNumberFormat="1" applyFont="1" applyBorder="1"/>
    <xf numFmtId="0" fontId="1" fillId="0" borderId="0" xfId="0" applyFont="1" applyBorder="1"/>
    <xf numFmtId="0" fontId="0" fillId="0" borderId="0" xfId="0" applyFill="1" applyBorder="1"/>
    <xf numFmtId="0" fontId="0" fillId="0" borderId="0" xfId="0" applyBorder="1"/>
    <xf numFmtId="0" fontId="4" fillId="0" borderId="0" xfId="0" applyFont="1" applyBorder="1"/>
    <xf numFmtId="0" fontId="4" fillId="0" borderId="0" xfId="0" applyFont="1" applyFill="1" applyBorder="1"/>
    <xf numFmtId="16" fontId="3" fillId="0" borderId="0" xfId="0" applyNumberFormat="1" applyFont="1" applyBorder="1"/>
    <xf numFmtId="16" fontId="0" fillId="0" borderId="0" xfId="0" applyNumberFormat="1" applyFill="1" applyBorder="1"/>
    <xf numFmtId="16" fontId="0" fillId="0" borderId="0" xfId="0" applyNumberFormat="1" applyBorder="1"/>
    <xf numFmtId="0" fontId="3" fillId="0" borderId="0" xfId="0" applyFont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1" fontId="3" fillId="0" borderId="0" xfId="0" applyNumberFormat="1" applyFont="1" applyBorder="1"/>
    <xf numFmtId="1" fontId="0" fillId="0" borderId="0" xfId="0" applyNumberFormat="1" applyFill="1" applyBorder="1" applyAlignment="1">
      <alignment horizontal="right"/>
    </xf>
    <xf numFmtId="1" fontId="0" fillId="0" borderId="0" xfId="0" applyNumberFormat="1" applyFill="1" applyBorder="1"/>
    <xf numFmtId="1" fontId="0" fillId="0" borderId="0" xfId="0" applyNumberFormat="1" applyBorder="1"/>
    <xf numFmtId="164" fontId="0" fillId="0" borderId="0" xfId="0" applyNumberFormat="1" applyFill="1" applyBorder="1"/>
    <xf numFmtId="164" fontId="0" fillId="0" borderId="0" xfId="0" applyNumberFormat="1" applyFill="1" applyBorder="1" applyAlignment="1">
      <alignment horizontal="right"/>
    </xf>
    <xf numFmtId="0" fontId="3" fillId="0" borderId="0" xfId="0" applyFont="1" applyBorder="1" applyAlignment="1">
      <alignment horizontal="left"/>
    </xf>
    <xf numFmtId="1" fontId="0" fillId="0" borderId="0" xfId="0" applyNumberFormat="1" applyBorder="1" applyAlignment="1">
      <alignment horizontal="right"/>
    </xf>
    <xf numFmtId="164" fontId="0" fillId="0" borderId="0" xfId="0" applyNumberFormat="1" applyBorder="1"/>
    <xf numFmtId="17" fontId="0" fillId="0" borderId="0" xfId="0" applyNumberFormat="1"/>
    <xf numFmtId="1" fontId="0" fillId="0" borderId="0" xfId="0" applyNumberFormat="1"/>
    <xf numFmtId="0" fontId="5" fillId="0" borderId="0" xfId="0" applyFont="1" applyFill="1" applyBorder="1"/>
    <xf numFmtId="2" fontId="0" fillId="0" borderId="0" xfId="0" applyNumberFormat="1" applyFill="1" applyBorder="1"/>
    <xf numFmtId="164" fontId="5" fillId="0" borderId="0" xfId="0" applyNumberFormat="1" applyFont="1" applyFill="1" applyBorder="1"/>
    <xf numFmtId="2" fontId="5" fillId="0" borderId="0" xfId="0" applyNumberFormat="1" applyFont="1" applyFill="1" applyBorder="1"/>
    <xf numFmtId="1" fontId="0" fillId="2" borderId="0" xfId="0" applyNumberFormat="1" applyFill="1"/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layout>
        <c:manualLayout>
          <c:xMode val="edge"/>
          <c:yMode val="edge"/>
          <c:x val="0.80248222654655899"/>
          <c:y val="0.21099887766554434"/>
        </c:manualLayout>
      </c:layout>
      <c:txPr>
        <a:bodyPr/>
        <a:lstStyle/>
        <a:p>
          <a:pPr>
            <a:defRPr lang="en-GB" sz="1400"/>
          </a:pPr>
          <a:endParaRPr lang="nl-NL"/>
        </a:p>
      </c:txPr>
    </c:title>
    <c:plotArea>
      <c:layout>
        <c:manualLayout>
          <c:layoutTarget val="inner"/>
          <c:xMode val="edge"/>
          <c:yMode val="edge"/>
          <c:x val="7.7437701629358521E-2"/>
          <c:y val="4.5757664130367692E-2"/>
          <c:w val="0.89855793394074457"/>
          <c:h val="0.80842475498643451"/>
        </c:manualLayout>
      </c:layout>
      <c:barChart>
        <c:barDir val="col"/>
        <c:grouping val="clustered"/>
        <c:ser>
          <c:idx val="0"/>
          <c:order val="0"/>
          <c:tx>
            <c:strRef>
              <c:f>'totaal 09'!$B$2</c:f>
              <c:strCache>
                <c:ptCount val="1"/>
                <c:pt idx="0">
                  <c:v>mrt-09</c:v>
                </c:pt>
              </c:strCache>
            </c:strRef>
          </c:tx>
          <c:cat>
            <c:numRef>
              <c:f>'totaal 09'!$A$8:$A$38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'totaal 09'!$B$8:$B$38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51</c:v>
                </c:pt>
                <c:pt idx="10">
                  <c:v>97</c:v>
                </c:pt>
                <c:pt idx="11">
                  <c:v>67</c:v>
                </c:pt>
                <c:pt idx="12">
                  <c:v>59</c:v>
                </c:pt>
                <c:pt idx="13">
                  <c:v>43</c:v>
                </c:pt>
                <c:pt idx="14">
                  <c:v>41</c:v>
                </c:pt>
                <c:pt idx="15">
                  <c:v>22</c:v>
                </c:pt>
                <c:pt idx="16">
                  <c:v>17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194477440"/>
        <c:axId val="194479232"/>
      </c:barChart>
      <c:catAx>
        <c:axId val="19447744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4479232"/>
        <c:crosses val="autoZero"/>
        <c:auto val="1"/>
        <c:lblAlgn val="ctr"/>
        <c:lblOffset val="100"/>
      </c:catAx>
      <c:valAx>
        <c:axId val="19447923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4477440"/>
        <c:crosses val="autoZero"/>
        <c:crossBetween val="between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layout>
        <c:manualLayout>
          <c:xMode val="edge"/>
          <c:yMode val="edge"/>
          <c:x val="0.80248222654655899"/>
          <c:y val="0.15712682379349049"/>
        </c:manualLayout>
      </c:layout>
      <c:txPr>
        <a:bodyPr/>
        <a:lstStyle/>
        <a:p>
          <a:pPr>
            <a:defRPr lang="en-GB" sz="1400"/>
          </a:pPr>
          <a:endParaRPr lang="nl-NL"/>
        </a:p>
      </c:txPr>
    </c:title>
    <c:plotArea>
      <c:layout>
        <c:manualLayout>
          <c:layoutTarget val="inner"/>
          <c:xMode val="edge"/>
          <c:yMode val="edge"/>
          <c:x val="7.7437701629358521E-2"/>
          <c:y val="4.575766413036772E-2"/>
          <c:w val="0.89855793394074457"/>
          <c:h val="0.80842475498643451"/>
        </c:manualLayout>
      </c:layout>
      <c:barChart>
        <c:barDir val="col"/>
        <c:grouping val="clustered"/>
        <c:ser>
          <c:idx val="0"/>
          <c:order val="0"/>
          <c:tx>
            <c:strRef>
              <c:f>'totaal 09'!$C$2</c:f>
              <c:strCache>
                <c:ptCount val="1"/>
                <c:pt idx="0">
                  <c:v>apr-09</c:v>
                </c:pt>
              </c:strCache>
            </c:strRef>
          </c:tx>
          <c:cat>
            <c:numRef>
              <c:f>'totaal 09'!$A$8:$A$38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'totaal 09'!$C$8:$C$38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37</c:v>
                </c:pt>
                <c:pt idx="9">
                  <c:v>321</c:v>
                </c:pt>
                <c:pt idx="10">
                  <c:v>660</c:v>
                </c:pt>
                <c:pt idx="11">
                  <c:v>683</c:v>
                </c:pt>
                <c:pt idx="12">
                  <c:v>581</c:v>
                </c:pt>
                <c:pt idx="13">
                  <c:v>573</c:v>
                </c:pt>
                <c:pt idx="14">
                  <c:v>455</c:v>
                </c:pt>
                <c:pt idx="15">
                  <c:v>388</c:v>
                </c:pt>
                <c:pt idx="16">
                  <c:v>328</c:v>
                </c:pt>
                <c:pt idx="17">
                  <c:v>252</c:v>
                </c:pt>
                <c:pt idx="18">
                  <c:v>205</c:v>
                </c:pt>
                <c:pt idx="19">
                  <c:v>189</c:v>
                </c:pt>
                <c:pt idx="20">
                  <c:v>119</c:v>
                </c:pt>
                <c:pt idx="21">
                  <c:v>64</c:v>
                </c:pt>
                <c:pt idx="22">
                  <c:v>61</c:v>
                </c:pt>
                <c:pt idx="23">
                  <c:v>45</c:v>
                </c:pt>
                <c:pt idx="24">
                  <c:v>20</c:v>
                </c:pt>
                <c:pt idx="25">
                  <c:v>12</c:v>
                </c:pt>
                <c:pt idx="26">
                  <c:v>9</c:v>
                </c:pt>
                <c:pt idx="27">
                  <c:v>2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194503040"/>
        <c:axId val="194504576"/>
      </c:barChart>
      <c:catAx>
        <c:axId val="19450304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4504576"/>
        <c:crosses val="autoZero"/>
        <c:auto val="1"/>
        <c:lblAlgn val="ctr"/>
        <c:lblOffset val="100"/>
      </c:catAx>
      <c:valAx>
        <c:axId val="19450457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4503040"/>
        <c:crosses val="autoZero"/>
        <c:crossBetween val="between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layout>
        <c:manualLayout>
          <c:xMode val="edge"/>
          <c:yMode val="edge"/>
          <c:x val="0.80248222654655899"/>
          <c:y val="0.15712682379349049"/>
        </c:manualLayout>
      </c:layout>
      <c:txPr>
        <a:bodyPr/>
        <a:lstStyle/>
        <a:p>
          <a:pPr>
            <a:defRPr lang="en-GB" sz="1400"/>
          </a:pPr>
          <a:endParaRPr lang="nl-NL"/>
        </a:p>
      </c:txPr>
    </c:title>
    <c:plotArea>
      <c:layout>
        <c:manualLayout>
          <c:layoutTarget val="inner"/>
          <c:xMode val="edge"/>
          <c:yMode val="edge"/>
          <c:x val="7.7437701629358521E-2"/>
          <c:y val="4.5757664130367741E-2"/>
          <c:w val="0.89855793394074457"/>
          <c:h val="0.80842475498643451"/>
        </c:manualLayout>
      </c:layout>
      <c:barChart>
        <c:barDir val="col"/>
        <c:grouping val="clustered"/>
        <c:ser>
          <c:idx val="0"/>
          <c:order val="0"/>
          <c:tx>
            <c:strRef>
              <c:f>'totaal 09'!$D$2</c:f>
              <c:strCache>
                <c:ptCount val="1"/>
                <c:pt idx="0">
                  <c:v>mei-09</c:v>
                </c:pt>
              </c:strCache>
            </c:strRef>
          </c:tx>
          <c:cat>
            <c:numRef>
              <c:f>'totaal 09'!$A$8:$A$38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'totaal 09'!$D$8:$D$38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360</c:v>
                </c:pt>
                <c:pt idx="10">
                  <c:v>742</c:v>
                </c:pt>
                <c:pt idx="11">
                  <c:v>735</c:v>
                </c:pt>
                <c:pt idx="12">
                  <c:v>583</c:v>
                </c:pt>
                <c:pt idx="13">
                  <c:v>463</c:v>
                </c:pt>
                <c:pt idx="14">
                  <c:v>389</c:v>
                </c:pt>
                <c:pt idx="15">
                  <c:v>334</c:v>
                </c:pt>
                <c:pt idx="16">
                  <c:v>227</c:v>
                </c:pt>
                <c:pt idx="17">
                  <c:v>187</c:v>
                </c:pt>
                <c:pt idx="18">
                  <c:v>147</c:v>
                </c:pt>
                <c:pt idx="19">
                  <c:v>120</c:v>
                </c:pt>
                <c:pt idx="20">
                  <c:v>110</c:v>
                </c:pt>
                <c:pt idx="21">
                  <c:v>79</c:v>
                </c:pt>
                <c:pt idx="22">
                  <c:v>83</c:v>
                </c:pt>
                <c:pt idx="23">
                  <c:v>41</c:v>
                </c:pt>
                <c:pt idx="24">
                  <c:v>40</c:v>
                </c:pt>
                <c:pt idx="25">
                  <c:v>17</c:v>
                </c:pt>
                <c:pt idx="26">
                  <c:v>7</c:v>
                </c:pt>
                <c:pt idx="27">
                  <c:v>5</c:v>
                </c:pt>
                <c:pt idx="28">
                  <c:v>2</c:v>
                </c:pt>
                <c:pt idx="29">
                  <c:v>0</c:v>
                </c:pt>
              </c:numCache>
            </c:numRef>
          </c:val>
        </c:ser>
        <c:axId val="195318912"/>
        <c:axId val="195320448"/>
      </c:barChart>
      <c:catAx>
        <c:axId val="1953189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320448"/>
        <c:crosses val="autoZero"/>
        <c:auto val="1"/>
        <c:lblAlgn val="ctr"/>
        <c:lblOffset val="100"/>
      </c:catAx>
      <c:valAx>
        <c:axId val="19532044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318912"/>
        <c:crosses val="autoZero"/>
        <c:crossBetween val="between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layout>
        <c:manualLayout>
          <c:xMode val="edge"/>
          <c:yMode val="edge"/>
          <c:x val="0.80248222654655899"/>
          <c:y val="0.15712682379349049"/>
        </c:manualLayout>
      </c:layout>
      <c:txPr>
        <a:bodyPr/>
        <a:lstStyle/>
        <a:p>
          <a:pPr>
            <a:defRPr lang="en-GB" sz="1400"/>
          </a:pPr>
          <a:endParaRPr lang="nl-NL"/>
        </a:p>
      </c:txPr>
    </c:title>
    <c:plotArea>
      <c:layout>
        <c:manualLayout>
          <c:layoutTarget val="inner"/>
          <c:xMode val="edge"/>
          <c:yMode val="edge"/>
          <c:x val="7.7437701629358521E-2"/>
          <c:y val="4.5757664130367776E-2"/>
          <c:w val="0.89855793394074457"/>
          <c:h val="0.80842475498643451"/>
        </c:manualLayout>
      </c:layout>
      <c:barChart>
        <c:barDir val="col"/>
        <c:grouping val="clustered"/>
        <c:ser>
          <c:idx val="0"/>
          <c:order val="0"/>
          <c:tx>
            <c:strRef>
              <c:f>'totaal 09'!$E$2</c:f>
              <c:strCache>
                <c:ptCount val="1"/>
                <c:pt idx="0">
                  <c:v>jun-09</c:v>
                </c:pt>
              </c:strCache>
            </c:strRef>
          </c:tx>
          <c:cat>
            <c:numRef>
              <c:f>'totaal 09'!$A$8:$A$38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'totaal 09'!$E$8:$E$38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26</c:v>
                </c:pt>
                <c:pt idx="10">
                  <c:v>100</c:v>
                </c:pt>
                <c:pt idx="11">
                  <c:v>87</c:v>
                </c:pt>
                <c:pt idx="12">
                  <c:v>71</c:v>
                </c:pt>
                <c:pt idx="13">
                  <c:v>87</c:v>
                </c:pt>
                <c:pt idx="14">
                  <c:v>58</c:v>
                </c:pt>
                <c:pt idx="15">
                  <c:v>58</c:v>
                </c:pt>
                <c:pt idx="16">
                  <c:v>48</c:v>
                </c:pt>
                <c:pt idx="17">
                  <c:v>40</c:v>
                </c:pt>
                <c:pt idx="18">
                  <c:v>31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16</c:v>
                </c:pt>
                <c:pt idx="23">
                  <c:v>8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</c:ser>
        <c:axId val="195336064"/>
        <c:axId val="195337600"/>
      </c:barChart>
      <c:catAx>
        <c:axId val="19533606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337600"/>
        <c:crosses val="autoZero"/>
        <c:auto val="1"/>
        <c:lblAlgn val="ctr"/>
        <c:lblOffset val="100"/>
      </c:catAx>
      <c:valAx>
        <c:axId val="19533760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336064"/>
        <c:crosses val="autoZero"/>
        <c:crossBetween val="between"/>
      </c:valAx>
    </c:plotArea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layout>
        <c:manualLayout>
          <c:xMode val="edge"/>
          <c:yMode val="edge"/>
          <c:x val="0.80248222654655899"/>
          <c:y val="0.15712682379349049"/>
        </c:manualLayout>
      </c:layout>
      <c:txPr>
        <a:bodyPr/>
        <a:lstStyle/>
        <a:p>
          <a:pPr>
            <a:defRPr lang="en-GB" sz="1400"/>
          </a:pPr>
          <a:endParaRPr lang="nl-NL"/>
        </a:p>
      </c:txPr>
    </c:title>
    <c:plotArea>
      <c:layout>
        <c:manualLayout>
          <c:layoutTarget val="inner"/>
          <c:xMode val="edge"/>
          <c:yMode val="edge"/>
          <c:x val="7.7437701629358521E-2"/>
          <c:y val="4.5757664130367803E-2"/>
          <c:w val="0.89855793394074457"/>
          <c:h val="0.80842475498643451"/>
        </c:manualLayout>
      </c:layout>
      <c:barChart>
        <c:barDir val="col"/>
        <c:grouping val="clustered"/>
        <c:ser>
          <c:idx val="0"/>
          <c:order val="0"/>
          <c:tx>
            <c:strRef>
              <c:f>'totaal 09'!$F$2</c:f>
              <c:strCache>
                <c:ptCount val="1"/>
                <c:pt idx="0">
                  <c:v>jul-09</c:v>
                </c:pt>
              </c:strCache>
            </c:strRef>
          </c:tx>
          <c:cat>
            <c:numRef>
              <c:f>'totaal 09'!$A$8:$A$38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'totaal 09'!$F$8:$F$38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127</c:v>
                </c:pt>
                <c:pt idx="10">
                  <c:v>352</c:v>
                </c:pt>
                <c:pt idx="11">
                  <c:v>367</c:v>
                </c:pt>
                <c:pt idx="12">
                  <c:v>259</c:v>
                </c:pt>
                <c:pt idx="13">
                  <c:v>177</c:v>
                </c:pt>
                <c:pt idx="14">
                  <c:v>118</c:v>
                </c:pt>
                <c:pt idx="15">
                  <c:v>106</c:v>
                </c:pt>
                <c:pt idx="16">
                  <c:v>95</c:v>
                </c:pt>
                <c:pt idx="17">
                  <c:v>53</c:v>
                </c:pt>
                <c:pt idx="18">
                  <c:v>39</c:v>
                </c:pt>
                <c:pt idx="19">
                  <c:v>39</c:v>
                </c:pt>
                <c:pt idx="20">
                  <c:v>25</c:v>
                </c:pt>
                <c:pt idx="21">
                  <c:v>16</c:v>
                </c:pt>
                <c:pt idx="22">
                  <c:v>19</c:v>
                </c:pt>
                <c:pt idx="23">
                  <c:v>15</c:v>
                </c:pt>
                <c:pt idx="24">
                  <c:v>10</c:v>
                </c:pt>
                <c:pt idx="25">
                  <c:v>6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195377792"/>
        <c:axId val="195379584"/>
      </c:barChart>
      <c:catAx>
        <c:axId val="19537779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379584"/>
        <c:crosses val="autoZero"/>
        <c:auto val="1"/>
        <c:lblAlgn val="ctr"/>
        <c:lblOffset val="100"/>
      </c:catAx>
      <c:valAx>
        <c:axId val="19537958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377792"/>
        <c:crosses val="autoZero"/>
        <c:crossBetween val="between"/>
      </c:valAx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layout>
        <c:manualLayout>
          <c:xMode val="edge"/>
          <c:yMode val="edge"/>
          <c:x val="0.80248222654655899"/>
          <c:y val="0.15712682379349049"/>
        </c:manualLayout>
      </c:layout>
      <c:txPr>
        <a:bodyPr/>
        <a:lstStyle/>
        <a:p>
          <a:pPr>
            <a:defRPr lang="en-GB" sz="1400"/>
          </a:pPr>
          <a:endParaRPr lang="nl-NL"/>
        </a:p>
      </c:txPr>
    </c:title>
    <c:plotArea>
      <c:layout>
        <c:manualLayout>
          <c:layoutTarget val="inner"/>
          <c:xMode val="edge"/>
          <c:yMode val="edge"/>
          <c:x val="7.7437701629358521E-2"/>
          <c:y val="4.5757664130367817E-2"/>
          <c:w val="0.89855793394074457"/>
          <c:h val="0.80842475498643451"/>
        </c:manualLayout>
      </c:layout>
      <c:barChart>
        <c:barDir val="col"/>
        <c:grouping val="clustered"/>
        <c:ser>
          <c:idx val="0"/>
          <c:order val="0"/>
          <c:tx>
            <c:strRef>
              <c:f>'totaal 09'!$G$2</c:f>
              <c:strCache>
                <c:ptCount val="1"/>
                <c:pt idx="0">
                  <c:v>aug-09</c:v>
                </c:pt>
              </c:strCache>
            </c:strRef>
          </c:tx>
          <c:cat>
            <c:numRef>
              <c:f>'totaal 09'!$A$8:$A$38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'totaal 09'!$G$8:$G$38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172</c:v>
                </c:pt>
                <c:pt idx="10">
                  <c:v>502</c:v>
                </c:pt>
                <c:pt idx="11">
                  <c:v>532</c:v>
                </c:pt>
                <c:pt idx="12">
                  <c:v>426</c:v>
                </c:pt>
                <c:pt idx="13">
                  <c:v>337</c:v>
                </c:pt>
                <c:pt idx="14">
                  <c:v>261</c:v>
                </c:pt>
                <c:pt idx="15">
                  <c:v>189</c:v>
                </c:pt>
                <c:pt idx="16">
                  <c:v>164</c:v>
                </c:pt>
                <c:pt idx="17">
                  <c:v>92</c:v>
                </c:pt>
                <c:pt idx="18">
                  <c:v>98</c:v>
                </c:pt>
                <c:pt idx="19">
                  <c:v>62</c:v>
                </c:pt>
                <c:pt idx="20">
                  <c:v>62</c:v>
                </c:pt>
                <c:pt idx="21">
                  <c:v>35</c:v>
                </c:pt>
                <c:pt idx="22">
                  <c:v>39</c:v>
                </c:pt>
                <c:pt idx="23">
                  <c:v>32</c:v>
                </c:pt>
                <c:pt idx="24">
                  <c:v>14</c:v>
                </c:pt>
                <c:pt idx="25">
                  <c:v>11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195390848"/>
        <c:axId val="195409024"/>
      </c:barChart>
      <c:catAx>
        <c:axId val="1953908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409024"/>
        <c:crosses val="autoZero"/>
        <c:auto val="1"/>
        <c:lblAlgn val="ctr"/>
        <c:lblOffset val="100"/>
      </c:catAx>
      <c:valAx>
        <c:axId val="19540902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390848"/>
        <c:crosses val="autoZero"/>
        <c:crossBetween val="between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plotArea>
      <c:layout/>
      <c:lineChart>
        <c:grouping val="standard"/>
        <c:ser>
          <c:idx val="0"/>
          <c:order val="0"/>
          <c:tx>
            <c:strRef>
              <c:f>'totaal 09'!$K$2</c:f>
              <c:strCache>
                <c:ptCount val="1"/>
                <c:pt idx="0">
                  <c:v>mrt-09</c:v>
                </c:pt>
              </c:strCache>
            </c:strRef>
          </c:tx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09'!$K$3:$K$38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2.643171806167401</c:v>
                </c:pt>
                <c:pt idx="14">
                  <c:v>11.233480176211454</c:v>
                </c:pt>
                <c:pt idx="15">
                  <c:v>21.365638766519822</c:v>
                </c:pt>
                <c:pt idx="16">
                  <c:v>14.757709251101323</c:v>
                </c:pt>
                <c:pt idx="17">
                  <c:v>12.995594713656388</c:v>
                </c:pt>
                <c:pt idx="18">
                  <c:v>9.4713656387665193</c:v>
                </c:pt>
                <c:pt idx="19">
                  <c:v>9.030837004405285</c:v>
                </c:pt>
                <c:pt idx="20">
                  <c:v>4.8458149779735686</c:v>
                </c:pt>
                <c:pt idx="21">
                  <c:v>3.7444933920704844</c:v>
                </c:pt>
                <c:pt idx="22">
                  <c:v>2.8634361233480177</c:v>
                </c:pt>
                <c:pt idx="23">
                  <c:v>2.643171806167401</c:v>
                </c:pt>
                <c:pt idx="24">
                  <c:v>2.8634361233480177</c:v>
                </c:pt>
                <c:pt idx="25">
                  <c:v>0.88105726872246704</c:v>
                </c:pt>
                <c:pt idx="26">
                  <c:v>0.22026431718061676</c:v>
                </c:pt>
                <c:pt idx="27">
                  <c:v>0.22026431718061676</c:v>
                </c:pt>
                <c:pt idx="28">
                  <c:v>0</c:v>
                </c:pt>
                <c:pt idx="29">
                  <c:v>0.22026431718061676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tx>
            <c:strRef>
              <c:f>'totaal 09'!$L$2</c:f>
              <c:strCache>
                <c:ptCount val="1"/>
                <c:pt idx="0">
                  <c:v>apr-09</c:v>
                </c:pt>
              </c:strCache>
            </c:strRef>
          </c:tx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09'!$L$3:$L$38</c:f>
              <c:numCache>
                <c:formatCode>General</c:formatCode>
                <c:ptCount val="36"/>
                <c:pt idx="0">
                  <c:v>0</c:v>
                </c:pt>
                <c:pt idx="1">
                  <c:v>3.9848575413428969E-2</c:v>
                </c:pt>
                <c:pt idx="2">
                  <c:v>5.9772863120143446E-2</c:v>
                </c:pt>
                <c:pt idx="3">
                  <c:v>3.9848575413428969E-2</c:v>
                </c:pt>
                <c:pt idx="4">
                  <c:v>5.9772863120143446E-2</c:v>
                </c:pt>
                <c:pt idx="5">
                  <c:v>0</c:v>
                </c:pt>
                <c:pt idx="6">
                  <c:v>3.9848575413428969E-2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1.9924287706714484E-2</c:v>
                </c:pt>
                <c:pt idx="13">
                  <c:v>0.73719864514843592</c:v>
                </c:pt>
                <c:pt idx="14">
                  <c:v>6.3956963538553495</c:v>
                </c:pt>
                <c:pt idx="15">
                  <c:v>13.150029886431561</c:v>
                </c:pt>
                <c:pt idx="16">
                  <c:v>13.608288503685992</c:v>
                </c:pt>
                <c:pt idx="17">
                  <c:v>11.576011157601116</c:v>
                </c:pt>
                <c:pt idx="18">
                  <c:v>11.4166168559474</c:v>
                </c:pt>
                <c:pt idx="19">
                  <c:v>9.0655509065550905</c:v>
                </c:pt>
                <c:pt idx="20">
                  <c:v>7.73062363020522</c:v>
                </c:pt>
                <c:pt idx="21">
                  <c:v>6.5351663678023515</c:v>
                </c:pt>
                <c:pt idx="22">
                  <c:v>5.02092050209205</c:v>
                </c:pt>
                <c:pt idx="23">
                  <c:v>4.0844789798764696</c:v>
                </c:pt>
                <c:pt idx="24">
                  <c:v>3.7656903765690379</c:v>
                </c:pt>
                <c:pt idx="25">
                  <c:v>2.3709902370990235</c:v>
                </c:pt>
                <c:pt idx="26">
                  <c:v>1.275154413229727</c:v>
                </c:pt>
                <c:pt idx="27">
                  <c:v>1.2153815501095835</c:v>
                </c:pt>
                <c:pt idx="28">
                  <c:v>0.89659294680215185</c:v>
                </c:pt>
                <c:pt idx="29">
                  <c:v>0.39848575413428972</c:v>
                </c:pt>
                <c:pt idx="30">
                  <c:v>0.23909145248057379</c:v>
                </c:pt>
                <c:pt idx="31">
                  <c:v>0.17931858936043038</c:v>
                </c:pt>
                <c:pt idx="32">
                  <c:v>3.9848575413428969E-2</c:v>
                </c:pt>
                <c:pt idx="33">
                  <c:v>3.9848575413428969E-2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2"/>
          <c:order val="2"/>
          <c:tx>
            <c:strRef>
              <c:f>'totaal 09'!$M$2</c:f>
              <c:strCache>
                <c:ptCount val="1"/>
                <c:pt idx="0">
                  <c:v>mei-09</c:v>
                </c:pt>
              </c:strCache>
            </c:strRef>
          </c:tx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09'!$M$3:$M$38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4.2489908646696412E-2</c:v>
                </c:pt>
                <c:pt idx="4">
                  <c:v>2.1244954323348206E-2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0.70108349267049075</c:v>
                </c:pt>
                <c:pt idx="14">
                  <c:v>7.6481835564053542</c:v>
                </c:pt>
                <c:pt idx="15">
                  <c:v>15.763756107924367</c:v>
                </c:pt>
                <c:pt idx="16">
                  <c:v>15.61504142766093</c:v>
                </c:pt>
                <c:pt idx="17">
                  <c:v>12.385808370512004</c:v>
                </c:pt>
                <c:pt idx="18">
                  <c:v>9.8364138517102191</c:v>
                </c:pt>
                <c:pt idx="19">
                  <c:v>8.2642872317824523</c:v>
                </c:pt>
                <c:pt idx="20">
                  <c:v>7.095814743998301</c:v>
                </c:pt>
                <c:pt idx="21">
                  <c:v>4.8226046314000426</c:v>
                </c:pt>
                <c:pt idx="22">
                  <c:v>3.9728064584661147</c:v>
                </c:pt>
                <c:pt idx="23">
                  <c:v>3.1230082855321859</c:v>
                </c:pt>
                <c:pt idx="24">
                  <c:v>2.5493945188017846</c:v>
                </c:pt>
                <c:pt idx="25">
                  <c:v>2.3369449755683025</c:v>
                </c:pt>
                <c:pt idx="26">
                  <c:v>1.6783513915445081</c:v>
                </c:pt>
                <c:pt idx="27">
                  <c:v>1.7633312088379012</c:v>
                </c:pt>
                <c:pt idx="28">
                  <c:v>0.87104312725727639</c:v>
                </c:pt>
                <c:pt idx="29">
                  <c:v>0.84979817293392812</c:v>
                </c:pt>
                <c:pt idx="30">
                  <c:v>0.36116422349691946</c:v>
                </c:pt>
                <c:pt idx="31">
                  <c:v>0.14871468026343743</c:v>
                </c:pt>
                <c:pt idx="32">
                  <c:v>0.10622477161674101</c:v>
                </c:pt>
                <c:pt idx="33">
                  <c:v>4.2489908646696412E-2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3"/>
          <c:order val="3"/>
          <c:tx>
            <c:strRef>
              <c:f>'totaal 09'!$N$2</c:f>
              <c:strCache>
                <c:ptCount val="1"/>
                <c:pt idx="0">
                  <c:v>jun-09</c:v>
                </c:pt>
              </c:strCache>
            </c:strRef>
          </c:tx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09'!$N$3:$N$38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0.28943560057887119</c:v>
                </c:pt>
                <c:pt idx="14">
                  <c:v>3.7626628075253259</c:v>
                </c:pt>
                <c:pt idx="15">
                  <c:v>14.471780028943559</c:v>
                </c:pt>
                <c:pt idx="16">
                  <c:v>12.590448625180898</c:v>
                </c:pt>
                <c:pt idx="17">
                  <c:v>10.274963820549928</c:v>
                </c:pt>
                <c:pt idx="18">
                  <c:v>12.590448625180898</c:v>
                </c:pt>
                <c:pt idx="19">
                  <c:v>8.3936324167872645</c:v>
                </c:pt>
                <c:pt idx="20">
                  <c:v>8.3936324167872645</c:v>
                </c:pt>
                <c:pt idx="21">
                  <c:v>6.9464544138929094</c:v>
                </c:pt>
                <c:pt idx="22">
                  <c:v>5.7887120115774238</c:v>
                </c:pt>
                <c:pt idx="23">
                  <c:v>4.4862518089725034</c:v>
                </c:pt>
                <c:pt idx="24">
                  <c:v>2.4602026049204051</c:v>
                </c:pt>
                <c:pt idx="25">
                  <c:v>2.8943560057887119</c:v>
                </c:pt>
                <c:pt idx="26">
                  <c:v>1.5918958031837915</c:v>
                </c:pt>
                <c:pt idx="27">
                  <c:v>2.3154848046309695</c:v>
                </c:pt>
                <c:pt idx="28">
                  <c:v>1.1577424023154848</c:v>
                </c:pt>
                <c:pt idx="29">
                  <c:v>0.43415340086830684</c:v>
                </c:pt>
                <c:pt idx="30">
                  <c:v>0.72358900144717797</c:v>
                </c:pt>
                <c:pt idx="31">
                  <c:v>0</c:v>
                </c:pt>
                <c:pt idx="32">
                  <c:v>0.28943560057887119</c:v>
                </c:pt>
                <c:pt idx="33">
                  <c:v>0.14471780028943559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4"/>
          <c:order val="4"/>
          <c:tx>
            <c:strRef>
              <c:f>'totaal 09'!$O$2</c:f>
              <c:strCache>
                <c:ptCount val="1"/>
                <c:pt idx="0">
                  <c:v>jul-09</c:v>
                </c:pt>
              </c:strCache>
            </c:strRef>
          </c:tx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09'!$O$3:$O$38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0.43644298963447897</c:v>
                </c:pt>
                <c:pt idx="14">
                  <c:v>6.9285324604473537</c:v>
                </c:pt>
                <c:pt idx="15">
                  <c:v>19.203491543917075</c:v>
                </c:pt>
                <c:pt idx="16">
                  <c:v>20.021822149481725</c:v>
                </c:pt>
                <c:pt idx="17">
                  <c:v>14.129841789416259</c:v>
                </c:pt>
                <c:pt idx="18">
                  <c:v>9.656301145662848</c:v>
                </c:pt>
                <c:pt idx="19">
                  <c:v>6.4375340971085642</c:v>
                </c:pt>
                <c:pt idx="20">
                  <c:v>5.7828696126568468</c:v>
                </c:pt>
                <c:pt idx="21">
                  <c:v>5.1827605019094376</c:v>
                </c:pt>
                <c:pt idx="22">
                  <c:v>2.8914348063284234</c:v>
                </c:pt>
                <c:pt idx="23">
                  <c:v>2.1276595744680851</c:v>
                </c:pt>
                <c:pt idx="24">
                  <c:v>2.1276595744680851</c:v>
                </c:pt>
                <c:pt idx="25">
                  <c:v>1.3638843426077467</c:v>
                </c:pt>
                <c:pt idx="26">
                  <c:v>0.87288597926895795</c:v>
                </c:pt>
                <c:pt idx="27">
                  <c:v>1.0365521003818876</c:v>
                </c:pt>
                <c:pt idx="28">
                  <c:v>0.81833060556464821</c:v>
                </c:pt>
                <c:pt idx="29">
                  <c:v>0.54555373704309873</c:v>
                </c:pt>
                <c:pt idx="30">
                  <c:v>0.32733224222585927</c:v>
                </c:pt>
                <c:pt idx="31">
                  <c:v>5.4555373704309872E-2</c:v>
                </c:pt>
                <c:pt idx="32">
                  <c:v>5.4555373704309872E-2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5"/>
          <c:order val="5"/>
          <c:tx>
            <c:strRef>
              <c:f>'totaal 09'!$P$2</c:f>
              <c:strCache>
                <c:ptCount val="1"/>
                <c:pt idx="0">
                  <c:v>aug-09</c:v>
                </c:pt>
              </c:strCache>
            </c:strRef>
          </c:tx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09'!$P$3:$P$38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0.3289473684210526</c:v>
                </c:pt>
                <c:pt idx="14">
                  <c:v>5.6578947368421053</c:v>
                </c:pt>
                <c:pt idx="15">
                  <c:v>16.513157894736842</c:v>
                </c:pt>
                <c:pt idx="16">
                  <c:v>17.5</c:v>
                </c:pt>
                <c:pt idx="17">
                  <c:v>14.013157894736841</c:v>
                </c:pt>
                <c:pt idx="18">
                  <c:v>11.085526315789473</c:v>
                </c:pt>
                <c:pt idx="19">
                  <c:v>8.5855263157894743</c:v>
                </c:pt>
                <c:pt idx="20">
                  <c:v>6.2171052631578947</c:v>
                </c:pt>
                <c:pt idx="21">
                  <c:v>5.3947368421052637</c:v>
                </c:pt>
                <c:pt idx="22">
                  <c:v>3.0263157894736841</c:v>
                </c:pt>
                <c:pt idx="23">
                  <c:v>3.2236842105263159</c:v>
                </c:pt>
                <c:pt idx="24">
                  <c:v>2.0394736842105265</c:v>
                </c:pt>
                <c:pt idx="25">
                  <c:v>2.0394736842105265</c:v>
                </c:pt>
                <c:pt idx="26">
                  <c:v>1.1513157894736841</c:v>
                </c:pt>
                <c:pt idx="27">
                  <c:v>1.2828947368421053</c:v>
                </c:pt>
                <c:pt idx="28">
                  <c:v>1.0526315789473684</c:v>
                </c:pt>
                <c:pt idx="29">
                  <c:v>0.46052631578947362</c:v>
                </c:pt>
                <c:pt idx="30">
                  <c:v>0.36184210526315791</c:v>
                </c:pt>
                <c:pt idx="31">
                  <c:v>6.5789473684210523E-2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195465600"/>
        <c:axId val="195467136"/>
      </c:lineChart>
      <c:catAx>
        <c:axId val="19546560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467136"/>
        <c:crosses val="autoZero"/>
        <c:auto val="1"/>
        <c:lblAlgn val="ctr"/>
        <c:lblOffset val="100"/>
      </c:catAx>
      <c:valAx>
        <c:axId val="19546713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4656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nl-NL"/>
        </a:p>
      </c:txPr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plotArea>
      <c:layout/>
      <c:lineChart>
        <c:grouping val="standard"/>
        <c:ser>
          <c:idx val="4"/>
          <c:order val="0"/>
          <c:tx>
            <c:strRef>
              <c:f>'totaal 09'!$O$2</c:f>
              <c:strCache>
                <c:ptCount val="1"/>
                <c:pt idx="0">
                  <c:v>jul-09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09'!$O$3:$O$38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0.43644298963447897</c:v>
                </c:pt>
                <c:pt idx="14">
                  <c:v>6.9285324604473537</c:v>
                </c:pt>
                <c:pt idx="15">
                  <c:v>19.203491543917075</c:v>
                </c:pt>
                <c:pt idx="16">
                  <c:v>20.021822149481725</c:v>
                </c:pt>
                <c:pt idx="17">
                  <c:v>14.129841789416259</c:v>
                </c:pt>
                <c:pt idx="18">
                  <c:v>9.656301145662848</c:v>
                </c:pt>
                <c:pt idx="19">
                  <c:v>6.4375340971085642</c:v>
                </c:pt>
                <c:pt idx="20">
                  <c:v>5.7828696126568468</c:v>
                </c:pt>
                <c:pt idx="21">
                  <c:v>5.1827605019094376</c:v>
                </c:pt>
                <c:pt idx="22">
                  <c:v>2.8914348063284234</c:v>
                </c:pt>
                <c:pt idx="23">
                  <c:v>2.1276595744680851</c:v>
                </c:pt>
                <c:pt idx="24">
                  <c:v>2.1276595744680851</c:v>
                </c:pt>
                <c:pt idx="25">
                  <c:v>1.3638843426077467</c:v>
                </c:pt>
                <c:pt idx="26">
                  <c:v>0.87288597926895795</c:v>
                </c:pt>
                <c:pt idx="27">
                  <c:v>1.0365521003818876</c:v>
                </c:pt>
                <c:pt idx="28">
                  <c:v>0.81833060556464821</c:v>
                </c:pt>
                <c:pt idx="29">
                  <c:v>0.54555373704309873</c:v>
                </c:pt>
                <c:pt idx="30">
                  <c:v>0.32733224222585927</c:v>
                </c:pt>
                <c:pt idx="31">
                  <c:v>5.4555373704309872E-2</c:v>
                </c:pt>
                <c:pt idx="32">
                  <c:v>5.4555373704309872E-2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5"/>
          <c:order val="1"/>
          <c:tx>
            <c:strRef>
              <c:f>'totaal 09'!$P$2</c:f>
              <c:strCache>
                <c:ptCount val="1"/>
                <c:pt idx="0">
                  <c:v>aug-09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'totaal 09'!$J$3:$J$38</c:f>
              <c:numCache>
                <c:formatCode>General</c:formatCode>
                <c:ptCount val="3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</c:numCache>
            </c:numRef>
          </c:cat>
          <c:val>
            <c:numRef>
              <c:f>'totaal 09'!$P$3:$P$38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0.3289473684210526</c:v>
                </c:pt>
                <c:pt idx="14">
                  <c:v>5.6578947368421053</c:v>
                </c:pt>
                <c:pt idx="15">
                  <c:v>16.513157894736842</c:v>
                </c:pt>
                <c:pt idx="16">
                  <c:v>17.5</c:v>
                </c:pt>
                <c:pt idx="17">
                  <c:v>14.013157894736841</c:v>
                </c:pt>
                <c:pt idx="18">
                  <c:v>11.085526315789473</c:v>
                </c:pt>
                <c:pt idx="19">
                  <c:v>8.5855263157894743</c:v>
                </c:pt>
                <c:pt idx="20">
                  <c:v>6.2171052631578947</c:v>
                </c:pt>
                <c:pt idx="21">
                  <c:v>5.3947368421052637</c:v>
                </c:pt>
                <c:pt idx="22">
                  <c:v>3.0263157894736841</c:v>
                </c:pt>
                <c:pt idx="23">
                  <c:v>3.2236842105263159</c:v>
                </c:pt>
                <c:pt idx="24">
                  <c:v>2.0394736842105265</c:v>
                </c:pt>
                <c:pt idx="25">
                  <c:v>2.0394736842105265</c:v>
                </c:pt>
                <c:pt idx="26">
                  <c:v>1.1513157894736841</c:v>
                </c:pt>
                <c:pt idx="27">
                  <c:v>1.2828947368421053</c:v>
                </c:pt>
                <c:pt idx="28">
                  <c:v>1.0526315789473684</c:v>
                </c:pt>
                <c:pt idx="29">
                  <c:v>0.46052631578947362</c:v>
                </c:pt>
                <c:pt idx="30">
                  <c:v>0.36184210526315791</c:v>
                </c:pt>
                <c:pt idx="31">
                  <c:v>6.5789473684210523E-2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195651456"/>
        <c:axId val="195652992"/>
      </c:lineChart>
      <c:catAx>
        <c:axId val="19565145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652992"/>
        <c:crosses val="autoZero"/>
        <c:auto val="1"/>
        <c:lblAlgn val="ctr"/>
        <c:lblOffset val="100"/>
      </c:catAx>
      <c:valAx>
        <c:axId val="1956529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GB"/>
                  <a:t>percentage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6514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nl-NL"/>
        </a:p>
      </c:txPr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plotArea>
      <c:layout>
        <c:manualLayout>
          <c:layoutTarget val="inner"/>
          <c:xMode val="edge"/>
          <c:yMode val="edge"/>
          <c:x val="0.10153399586272541"/>
          <c:y val="5.0696436917988218E-2"/>
          <c:w val="0.85949532789550365"/>
          <c:h val="0.8009891058138281"/>
        </c:manualLayout>
      </c:layout>
      <c:lineChart>
        <c:grouping val="standard"/>
        <c:ser>
          <c:idx val="0"/>
          <c:order val="0"/>
          <c:tx>
            <c:strRef>
              <c:f>'vgl 2007-9'!$H$2</c:f>
              <c:strCache>
                <c:ptCount val="1"/>
                <c:pt idx="0">
                  <c:v>2007</c:v>
                </c:pt>
              </c:strCache>
            </c:strRef>
          </c:tx>
          <c:spPr>
            <a:ln w="19050" cmpd="sng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'vgl 2007-9'!$G$13:$G$43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'vgl 2007-9'!$H$13:$H$43</c:f>
              <c:numCache>
                <c:formatCode>0</c:formatCode>
                <c:ptCount val="31"/>
                <c:pt idx="0">
                  <c:v>0</c:v>
                </c:pt>
                <c:pt idx="1">
                  <c:v>1.7022725338326668E-2</c:v>
                </c:pt>
                <c:pt idx="2">
                  <c:v>0.42556813345816669</c:v>
                </c:pt>
                <c:pt idx="3">
                  <c:v>2.1448633926291603</c:v>
                </c:pt>
                <c:pt idx="4">
                  <c:v>4.7748744574006299</c:v>
                </c:pt>
                <c:pt idx="5">
                  <c:v>10.102987488296876</c:v>
                </c:pt>
                <c:pt idx="6">
                  <c:v>14.077793854796154</c:v>
                </c:pt>
                <c:pt idx="7">
                  <c:v>13.89054387607456</c:v>
                </c:pt>
                <c:pt idx="8">
                  <c:v>11.84781683547536</c:v>
                </c:pt>
                <c:pt idx="9">
                  <c:v>10.741339688484127</c:v>
                </c:pt>
                <c:pt idx="10">
                  <c:v>8.9539535279598272</c:v>
                </c:pt>
                <c:pt idx="11">
                  <c:v>5.1323516895054899</c:v>
                </c:pt>
                <c:pt idx="12">
                  <c:v>4.0854540811983995</c:v>
                </c:pt>
                <c:pt idx="13">
                  <c:v>3.2598519022895567</c:v>
                </c:pt>
                <c:pt idx="14">
                  <c:v>2.3831815473657332</c:v>
                </c:pt>
                <c:pt idx="15">
                  <c:v>1.9235679632309135</c:v>
                </c:pt>
                <c:pt idx="16">
                  <c:v>1.3277725763894799</c:v>
                </c:pt>
                <c:pt idx="17">
                  <c:v>1.4128862030811131</c:v>
                </c:pt>
                <c:pt idx="18">
                  <c:v>0.99582943229210996</c:v>
                </c:pt>
                <c:pt idx="19">
                  <c:v>1.1234998723295599</c:v>
                </c:pt>
                <c:pt idx="20">
                  <c:v>0.55323857349561667</c:v>
                </c:pt>
                <c:pt idx="21">
                  <c:v>0.27236360541322668</c:v>
                </c:pt>
                <c:pt idx="22">
                  <c:v>0.36598859477402335</c:v>
                </c:pt>
                <c:pt idx="23">
                  <c:v>0.11064771469912332</c:v>
                </c:pt>
                <c:pt idx="24">
                  <c:v>4.2556813345816666E-2</c:v>
                </c:pt>
                <c:pt idx="25">
                  <c:v>2.5534088007490002E-2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8.5113626691633339E-3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'vgl 2007-9'!$I$2</c:f>
              <c:strCache>
                <c:ptCount val="1"/>
                <c:pt idx="0">
                  <c:v>2008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'vgl 2007-9'!$G$13:$G$43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'vgl 2007-9'!$I$13:$I$43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1.4158289678606824E-2</c:v>
                </c:pt>
                <c:pt idx="5">
                  <c:v>0.27608664873283306</c:v>
                </c:pt>
                <c:pt idx="6">
                  <c:v>0.65128132521591386</c:v>
                </c:pt>
                <c:pt idx="7">
                  <c:v>4.2687243380999575</c:v>
                </c:pt>
                <c:pt idx="8">
                  <c:v>12.473453206852612</c:v>
                </c:pt>
                <c:pt idx="9">
                  <c:v>14.675067251875973</c:v>
                </c:pt>
                <c:pt idx="10">
                  <c:v>12.79909386946057</c:v>
                </c:pt>
                <c:pt idx="11">
                  <c:v>11.213365425456605</c:v>
                </c:pt>
                <c:pt idx="12">
                  <c:v>9.1250176978620985</c:v>
                </c:pt>
                <c:pt idx="13">
                  <c:v>7.2065694464108736</c:v>
                </c:pt>
                <c:pt idx="14">
                  <c:v>6.3358346311765539</c:v>
                </c:pt>
                <c:pt idx="15">
                  <c:v>4.799660201047713</c:v>
                </c:pt>
                <c:pt idx="16">
                  <c:v>4.035112558402945</c:v>
                </c:pt>
                <c:pt idx="17">
                  <c:v>3.1714568880079286</c:v>
                </c:pt>
                <c:pt idx="18">
                  <c:v>2.4635424040775877</c:v>
                </c:pt>
                <c:pt idx="19">
                  <c:v>2.0600311482372931</c:v>
                </c:pt>
                <c:pt idx="20">
                  <c:v>1.4229081126999858</c:v>
                </c:pt>
                <c:pt idx="21">
                  <c:v>1.0760300155741187</c:v>
                </c:pt>
                <c:pt idx="22">
                  <c:v>0.84241823587710607</c:v>
                </c:pt>
                <c:pt idx="23">
                  <c:v>0.5096984284298457</c:v>
                </c:pt>
                <c:pt idx="24">
                  <c:v>0.24777006937561941</c:v>
                </c:pt>
                <c:pt idx="25">
                  <c:v>0.16989947614328188</c:v>
                </c:pt>
                <c:pt idx="26">
                  <c:v>0.1132663174288546</c:v>
                </c:pt>
                <c:pt idx="27">
                  <c:v>2.1237434517910235E-2</c:v>
                </c:pt>
                <c:pt idx="28">
                  <c:v>7.0791448393034122E-3</c:v>
                </c:pt>
                <c:pt idx="29">
                  <c:v>1.4158289678606824E-2</c:v>
                </c:pt>
                <c:pt idx="30">
                  <c:v>7.0791448393034122E-3</c:v>
                </c:pt>
              </c:numCache>
            </c:numRef>
          </c:val>
        </c:ser>
        <c:ser>
          <c:idx val="2"/>
          <c:order val="2"/>
          <c:tx>
            <c:strRef>
              <c:f>'vgl 2007-9'!$J$2</c:f>
              <c:strCache>
                <c:ptCount val="1"/>
                <c:pt idx="0">
                  <c:v>2009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'vgl 2007-9'!$G$13:$G$43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'vgl 2007-9'!$J$13:$J$43</c:f>
              <c:numCache>
                <c:formatCode>0</c:formatCode>
                <c:ptCount val="31"/>
                <c:pt idx="0">
                  <c:v>0</c:v>
                </c:pt>
                <c:pt idx="1">
                  <c:v>1.2713749920539063E-2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6.3568749602695316E-3</c:v>
                </c:pt>
                <c:pt idx="8">
                  <c:v>0.64840124594749227</c:v>
                </c:pt>
                <c:pt idx="9">
                  <c:v>6.7192168330048947</c:v>
                </c:pt>
                <c:pt idx="10">
                  <c:v>15.593414277541159</c:v>
                </c:pt>
                <c:pt idx="11">
                  <c:v>15.707838026826012</c:v>
                </c:pt>
                <c:pt idx="12">
                  <c:v>12.580255546373403</c:v>
                </c:pt>
                <c:pt idx="13">
                  <c:v>10.679549933252813</c:v>
                </c:pt>
                <c:pt idx="14">
                  <c:v>8.4037886974763207</c:v>
                </c:pt>
                <c:pt idx="15">
                  <c:v>6.973491831415676</c:v>
                </c:pt>
                <c:pt idx="16">
                  <c:v>5.5876930900769182</c:v>
                </c:pt>
                <c:pt idx="17">
                  <c:v>4.0493293496916918</c:v>
                </c:pt>
                <c:pt idx="18">
                  <c:v>3.3818574788633904</c:v>
                </c:pt>
                <c:pt idx="19">
                  <c:v>2.797024982518594</c:v>
                </c:pt>
                <c:pt idx="20">
                  <c:v>2.1613374864916408</c:v>
                </c:pt>
                <c:pt idx="21">
                  <c:v>1.3095162418155235</c:v>
                </c:pt>
                <c:pt idx="22">
                  <c:v>1.3921556162990274</c:v>
                </c:pt>
                <c:pt idx="23">
                  <c:v>0.89631936939800394</c:v>
                </c:pt>
                <c:pt idx="24">
                  <c:v>0.55940499650371878</c:v>
                </c:pt>
                <c:pt idx="25">
                  <c:v>0.32420062297374613</c:v>
                </c:pt>
                <c:pt idx="26">
                  <c:v>0.12078062424512111</c:v>
                </c:pt>
                <c:pt idx="27">
                  <c:v>6.3568749602695318E-2</c:v>
                </c:pt>
                <c:pt idx="28">
                  <c:v>3.1784374801347659E-2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5728512"/>
        <c:axId val="195730048"/>
      </c:lineChart>
      <c:catAx>
        <c:axId val="1957285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730048"/>
        <c:crosses val="autoZero"/>
        <c:auto val="1"/>
        <c:lblAlgn val="ctr"/>
        <c:lblOffset val="100"/>
        <c:tickLblSkip val="5"/>
      </c:catAx>
      <c:valAx>
        <c:axId val="19573004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GB"/>
                  <a:t>percentage</a:t>
                </a:r>
              </a:p>
            </c:rich>
          </c:tx>
          <c:layout/>
        </c:title>
        <c:numFmt formatCode="0" sourceLinked="1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572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265709156193962"/>
          <c:y val="0.16153237694603245"/>
          <c:w val="0.12035906642728909"/>
          <c:h val="0.24771114227160013"/>
        </c:manualLayout>
      </c:layout>
      <c:txPr>
        <a:bodyPr/>
        <a:lstStyle/>
        <a:p>
          <a:pPr>
            <a:defRPr lang="en-GB"/>
          </a:pPr>
          <a:endParaRPr lang="nl-NL"/>
        </a:p>
      </c:txPr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0.11846440881636783"/>
          <c:y val="4.9017746953816339E-2"/>
          <c:w val="0.86498272053342762"/>
          <c:h val="0.80757887052197963"/>
        </c:manualLayout>
      </c:layout>
      <c:lineChart>
        <c:grouping val="standard"/>
        <c:ser>
          <c:idx val="0"/>
          <c:order val="0"/>
          <c:tx>
            <c:strRef>
              <c:f>'vgl 2007-9'!$H$2</c:f>
              <c:strCache>
                <c:ptCount val="1"/>
                <c:pt idx="0">
                  <c:v>2007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2007-9'!$H$3:$H$43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1.7022725338326668E-2</c:v>
                </c:pt>
                <c:pt idx="12" formatCode="0">
                  <c:v>0.42556813345816669</c:v>
                </c:pt>
                <c:pt idx="13" formatCode="0">
                  <c:v>2.1448633926291603</c:v>
                </c:pt>
                <c:pt idx="14" formatCode="0">
                  <c:v>4.7748744574006299</c:v>
                </c:pt>
                <c:pt idx="15" formatCode="0">
                  <c:v>10.102987488296876</c:v>
                </c:pt>
                <c:pt idx="16" formatCode="0">
                  <c:v>14.077793854796154</c:v>
                </c:pt>
                <c:pt idx="17" formatCode="0">
                  <c:v>13.89054387607456</c:v>
                </c:pt>
                <c:pt idx="18" formatCode="0">
                  <c:v>11.84781683547536</c:v>
                </c:pt>
                <c:pt idx="19" formatCode="0">
                  <c:v>10.741339688484127</c:v>
                </c:pt>
                <c:pt idx="20" formatCode="0">
                  <c:v>8.9539535279598272</c:v>
                </c:pt>
                <c:pt idx="21" formatCode="0">
                  <c:v>5.1323516895054899</c:v>
                </c:pt>
                <c:pt idx="22" formatCode="0">
                  <c:v>4.0854540811983995</c:v>
                </c:pt>
                <c:pt idx="23" formatCode="0">
                  <c:v>3.2598519022895567</c:v>
                </c:pt>
                <c:pt idx="24" formatCode="0">
                  <c:v>2.3831815473657332</c:v>
                </c:pt>
                <c:pt idx="25" formatCode="0">
                  <c:v>1.9235679632309135</c:v>
                </c:pt>
                <c:pt idx="26" formatCode="0">
                  <c:v>1.3277725763894799</c:v>
                </c:pt>
                <c:pt idx="27" formatCode="0">
                  <c:v>1.4128862030811131</c:v>
                </c:pt>
                <c:pt idx="28" formatCode="0">
                  <c:v>0.99582943229210996</c:v>
                </c:pt>
                <c:pt idx="29" formatCode="0">
                  <c:v>1.1234998723295599</c:v>
                </c:pt>
                <c:pt idx="30" formatCode="0">
                  <c:v>0.55323857349561667</c:v>
                </c:pt>
                <c:pt idx="31" formatCode="0">
                  <c:v>0.27236360541322668</c:v>
                </c:pt>
                <c:pt idx="32" formatCode="0">
                  <c:v>0.36598859477402335</c:v>
                </c:pt>
                <c:pt idx="33" formatCode="0">
                  <c:v>0.11064771469912332</c:v>
                </c:pt>
                <c:pt idx="34" formatCode="0">
                  <c:v>4.2556813345816666E-2</c:v>
                </c:pt>
                <c:pt idx="35" formatCode="0">
                  <c:v>2.5534088007490002E-2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8.5113626691633339E-3</c:v>
                </c:pt>
                <c:pt idx="40" formatCode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'vgl 2007-9'!$I$2</c:f>
              <c:strCache>
                <c:ptCount val="1"/>
                <c:pt idx="0">
                  <c:v>2008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2007-9'!$I$3:$I$43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1.4158289678606824E-2</c:v>
                </c:pt>
                <c:pt idx="15" formatCode="0">
                  <c:v>0.27608664873283306</c:v>
                </c:pt>
                <c:pt idx="16" formatCode="0">
                  <c:v>0.65128132521591386</c:v>
                </c:pt>
                <c:pt idx="17" formatCode="0">
                  <c:v>4.2687243380999575</c:v>
                </c:pt>
                <c:pt idx="18" formatCode="0">
                  <c:v>12.473453206852612</c:v>
                </c:pt>
                <c:pt idx="19" formatCode="0">
                  <c:v>14.675067251875973</c:v>
                </c:pt>
                <c:pt idx="20" formatCode="0">
                  <c:v>12.79909386946057</c:v>
                </c:pt>
                <c:pt idx="21" formatCode="0">
                  <c:v>11.213365425456605</c:v>
                </c:pt>
                <c:pt idx="22" formatCode="0">
                  <c:v>9.1250176978620985</c:v>
                </c:pt>
                <c:pt idx="23" formatCode="0">
                  <c:v>7.2065694464108736</c:v>
                </c:pt>
                <c:pt idx="24" formatCode="0">
                  <c:v>6.3358346311765539</c:v>
                </c:pt>
                <c:pt idx="25" formatCode="0">
                  <c:v>4.799660201047713</c:v>
                </c:pt>
                <c:pt idx="26" formatCode="0">
                  <c:v>4.035112558402945</c:v>
                </c:pt>
                <c:pt idx="27" formatCode="0">
                  <c:v>3.1714568880079286</c:v>
                </c:pt>
                <c:pt idx="28" formatCode="0">
                  <c:v>2.4635424040775877</c:v>
                </c:pt>
                <c:pt idx="29" formatCode="0">
                  <c:v>2.0600311482372931</c:v>
                </c:pt>
                <c:pt idx="30" formatCode="0">
                  <c:v>1.4229081126999858</c:v>
                </c:pt>
                <c:pt idx="31" formatCode="0">
                  <c:v>1.0760300155741187</c:v>
                </c:pt>
                <c:pt idx="32" formatCode="0">
                  <c:v>0.84241823587710607</c:v>
                </c:pt>
                <c:pt idx="33" formatCode="0">
                  <c:v>0.5096984284298457</c:v>
                </c:pt>
                <c:pt idx="34" formatCode="0">
                  <c:v>0.24777006937561941</c:v>
                </c:pt>
                <c:pt idx="35" formatCode="0">
                  <c:v>0.16989947614328188</c:v>
                </c:pt>
                <c:pt idx="36" formatCode="0">
                  <c:v>0.1132663174288546</c:v>
                </c:pt>
                <c:pt idx="37" formatCode="0">
                  <c:v>2.1237434517910235E-2</c:v>
                </c:pt>
                <c:pt idx="38" formatCode="0">
                  <c:v>7.0791448393034122E-3</c:v>
                </c:pt>
                <c:pt idx="39" formatCode="0">
                  <c:v>1.4158289678606824E-2</c:v>
                </c:pt>
                <c:pt idx="40" formatCode="0">
                  <c:v>7.0791448393034122E-3</c:v>
                </c:pt>
              </c:numCache>
            </c:numRef>
          </c:val>
        </c:ser>
        <c:ser>
          <c:idx val="2"/>
          <c:order val="2"/>
          <c:tx>
            <c:strRef>
              <c:f>'vgl 2007-9'!$J$2</c:f>
              <c:strCache>
                <c:ptCount val="1"/>
                <c:pt idx="0">
                  <c:v>2009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2007-9'!$J$3:$J$43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1.2713749920539063E-2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6.3568749602695316E-3</c:v>
                </c:pt>
                <c:pt idx="18" formatCode="0">
                  <c:v>0.64840124594749227</c:v>
                </c:pt>
                <c:pt idx="19" formatCode="0">
                  <c:v>6.7192168330048947</c:v>
                </c:pt>
                <c:pt idx="20" formatCode="0">
                  <c:v>15.593414277541159</c:v>
                </c:pt>
                <c:pt idx="21" formatCode="0">
                  <c:v>15.707838026826012</c:v>
                </c:pt>
                <c:pt idx="22" formatCode="0">
                  <c:v>12.580255546373403</c:v>
                </c:pt>
                <c:pt idx="23" formatCode="0">
                  <c:v>10.679549933252813</c:v>
                </c:pt>
                <c:pt idx="24" formatCode="0">
                  <c:v>8.4037886974763207</c:v>
                </c:pt>
                <c:pt idx="25" formatCode="0">
                  <c:v>6.973491831415676</c:v>
                </c:pt>
                <c:pt idx="26" formatCode="0">
                  <c:v>5.5876930900769182</c:v>
                </c:pt>
                <c:pt idx="27" formatCode="0">
                  <c:v>4.0493293496916918</c:v>
                </c:pt>
                <c:pt idx="28" formatCode="0">
                  <c:v>3.3818574788633904</c:v>
                </c:pt>
                <c:pt idx="29" formatCode="0">
                  <c:v>2.797024982518594</c:v>
                </c:pt>
                <c:pt idx="30" formatCode="0">
                  <c:v>2.1613374864916408</c:v>
                </c:pt>
                <c:pt idx="31" formatCode="0">
                  <c:v>1.3095162418155235</c:v>
                </c:pt>
                <c:pt idx="32" formatCode="0">
                  <c:v>1.3921556162990274</c:v>
                </c:pt>
                <c:pt idx="33" formatCode="0">
                  <c:v>0.89631936939800394</c:v>
                </c:pt>
                <c:pt idx="34" formatCode="0">
                  <c:v>0.55940499650371878</c:v>
                </c:pt>
                <c:pt idx="35" formatCode="0">
                  <c:v>0.32420062297374613</c:v>
                </c:pt>
                <c:pt idx="36" formatCode="0">
                  <c:v>0.12078062424512111</c:v>
                </c:pt>
                <c:pt idx="37" formatCode="0">
                  <c:v>6.3568749602695318E-2</c:v>
                </c:pt>
                <c:pt idx="38" formatCode="0">
                  <c:v>3.1784374801347659E-2</c:v>
                </c:pt>
                <c:pt idx="39" formatCode="0">
                  <c:v>0</c:v>
                </c:pt>
                <c:pt idx="40" formatCode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'vgl 2007-9'!$K$2</c:f>
              <c:strCache>
                <c:ptCount val="1"/>
                <c:pt idx="0">
                  <c:v>2010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1.3960933842795533</c:v>
                </c:pt>
                <c:pt idx="4">
                  <c:v>15.494946439289107</c:v>
                </c:pt>
                <c:pt idx="5">
                  <c:v>24.55157608564139</c:v>
                </c:pt>
                <c:pt idx="6">
                  <c:v>24.04365699103856</c:v>
                </c:pt>
                <c:pt idx="7">
                  <c:v>18.750262676291481</c:v>
                </c:pt>
                <c:pt idx="8">
                  <c:v>14.844592845394599</c:v>
                </c:pt>
                <c:pt idx="9">
                  <c:v>10.011263140274574</c:v>
                </c:pt>
                <c:pt idx="10">
                  <c:v>7.7543796777687026</c:v>
                </c:pt>
                <c:pt idx="11">
                  <c:v>3.6074019615708921</c:v>
                </c:pt>
                <c:pt idx="12">
                  <c:v>1.9006326287834552</c:v>
                </c:pt>
                <c:pt idx="13">
                  <c:v>0.61285512581196588</c:v>
                </c:pt>
                <c:pt idx="14">
                  <c:v>5.7616557841747831E-4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2.8527582869850014E-2</c:v>
                </c:pt>
                <c:pt idx="19">
                  <c:v>0.10019519408679947</c:v>
                </c:pt>
                <c:pt idx="20">
                  <c:v>1.3680226436157215</c:v>
                </c:pt>
                <c:pt idx="21">
                  <c:v>9.4362546812987507</c:v>
                </c:pt>
                <c:pt idx="22">
                  <c:v>17.202480098735229</c:v>
                </c:pt>
                <c:pt idx="23">
                  <c:v>14.943518392269176</c:v>
                </c:pt>
                <c:pt idx="24">
                  <c:v>10.341575714753622</c:v>
                </c:pt>
                <c:pt idx="25">
                  <c:v>8.2059787165253937</c:v>
                </c:pt>
                <c:pt idx="26">
                  <c:v>6.0313235343561917</c:v>
                </c:pt>
                <c:pt idx="27">
                  <c:v>3.6645315955871012</c:v>
                </c:pt>
                <c:pt idx="28">
                  <c:v>3.5152835131697509</c:v>
                </c:pt>
                <c:pt idx="29">
                  <c:v>2.6881089802277409</c:v>
                </c:pt>
                <c:pt idx="30">
                  <c:v>2.1042609947167756</c:v>
                </c:pt>
                <c:pt idx="31">
                  <c:v>1.3462470668655164</c:v>
                </c:pt>
                <c:pt idx="32">
                  <c:v>1.2592516784051968</c:v>
                </c:pt>
                <c:pt idx="33">
                  <c:v>1.4664876678373788</c:v>
                </c:pt>
                <c:pt idx="34">
                  <c:v>1.0052329771773443</c:v>
                </c:pt>
                <c:pt idx="35">
                  <c:v>0.60926156215610194</c:v>
                </c:pt>
                <c:pt idx="36">
                  <c:v>0.49015082507568652</c:v>
                </c:pt>
                <c:pt idx="37">
                  <c:v>0.1601994575041874</c:v>
                </c:pt>
                <c:pt idx="38">
                  <c:v>7.4343518784041579E-2</c:v>
                </c:pt>
                <c:pt idx="39">
                  <c:v>5.3196333711939901E-2</c:v>
                </c:pt>
                <c:pt idx="40">
                  <c:v>2.9721710757063331E-2</c:v>
                </c:pt>
              </c:numCache>
            </c:numRef>
          </c:val>
        </c:ser>
        <c:marker val="1"/>
        <c:axId val="198471680"/>
        <c:axId val="198473216"/>
      </c:lineChart>
      <c:catAx>
        <c:axId val="1984716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8473216"/>
        <c:crosses val="autoZero"/>
        <c:auto val="1"/>
        <c:lblAlgn val="ctr"/>
        <c:lblOffset val="100"/>
        <c:tickLblSkip val="5"/>
      </c:catAx>
      <c:valAx>
        <c:axId val="19847321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GB"/>
                  <a:t>percentage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847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7791164658648"/>
          <c:y val="7.1011802332655444E-2"/>
          <c:w val="0.1153872633390705"/>
          <c:h val="0.31934504875632269"/>
        </c:manualLayout>
      </c:layout>
      <c:spPr>
        <a:ln>
          <a:solidFill>
            <a:schemeClr val="tx1"/>
          </a:solidFill>
        </a:ln>
      </c:spPr>
      <c:txPr>
        <a:bodyPr/>
        <a:lstStyle/>
        <a:p>
          <a:pPr>
            <a:defRPr lang="en-GB"/>
          </a:pPr>
          <a:endParaRPr lang="nl-NL"/>
        </a:p>
      </c:txPr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0.11846440881636783"/>
          <c:y val="4.9017746953816388E-2"/>
          <c:w val="0.86498272053342762"/>
          <c:h val="0.80757887052197963"/>
        </c:manualLayout>
      </c:layout>
      <c:lineChart>
        <c:grouping val="standard"/>
        <c:ser>
          <c:idx val="0"/>
          <c:order val="0"/>
          <c:tx>
            <c:strRef>
              <c:f>'vgl 2007-9'!$H$2</c:f>
              <c:strCache>
                <c:ptCount val="1"/>
                <c:pt idx="0">
                  <c:v>2007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2007-9'!$H$3:$H$43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1.7022725338326668E-2</c:v>
                </c:pt>
                <c:pt idx="12" formatCode="0">
                  <c:v>0.42556813345816669</c:v>
                </c:pt>
                <c:pt idx="13" formatCode="0">
                  <c:v>2.1448633926291603</c:v>
                </c:pt>
                <c:pt idx="14" formatCode="0">
                  <c:v>4.7748744574006299</c:v>
                </c:pt>
                <c:pt idx="15" formatCode="0">
                  <c:v>10.102987488296876</c:v>
                </c:pt>
                <c:pt idx="16" formatCode="0">
                  <c:v>14.077793854796154</c:v>
                </c:pt>
                <c:pt idx="17" formatCode="0">
                  <c:v>13.89054387607456</c:v>
                </c:pt>
                <c:pt idx="18" formatCode="0">
                  <c:v>11.84781683547536</c:v>
                </c:pt>
                <c:pt idx="19" formatCode="0">
                  <c:v>10.741339688484127</c:v>
                </c:pt>
                <c:pt idx="20" formatCode="0">
                  <c:v>8.9539535279598272</c:v>
                </c:pt>
                <c:pt idx="21" formatCode="0">
                  <c:v>5.1323516895054899</c:v>
                </c:pt>
                <c:pt idx="22" formatCode="0">
                  <c:v>4.0854540811983995</c:v>
                </c:pt>
                <c:pt idx="23" formatCode="0">
                  <c:v>3.2598519022895567</c:v>
                </c:pt>
                <c:pt idx="24" formatCode="0">
                  <c:v>2.3831815473657332</c:v>
                </c:pt>
                <c:pt idx="25" formatCode="0">
                  <c:v>1.9235679632309135</c:v>
                </c:pt>
                <c:pt idx="26" formatCode="0">
                  <c:v>1.3277725763894799</c:v>
                </c:pt>
                <c:pt idx="27" formatCode="0">
                  <c:v>1.4128862030811131</c:v>
                </c:pt>
                <c:pt idx="28" formatCode="0">
                  <c:v>0.99582943229210996</c:v>
                </c:pt>
                <c:pt idx="29" formatCode="0">
                  <c:v>1.1234998723295599</c:v>
                </c:pt>
                <c:pt idx="30" formatCode="0">
                  <c:v>0.55323857349561667</c:v>
                </c:pt>
                <c:pt idx="31" formatCode="0">
                  <c:v>0.27236360541322668</c:v>
                </c:pt>
                <c:pt idx="32" formatCode="0">
                  <c:v>0.36598859477402335</c:v>
                </c:pt>
                <c:pt idx="33" formatCode="0">
                  <c:v>0.11064771469912332</c:v>
                </c:pt>
                <c:pt idx="34" formatCode="0">
                  <c:v>4.2556813345816666E-2</c:v>
                </c:pt>
                <c:pt idx="35" formatCode="0">
                  <c:v>2.5534088007490002E-2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8.5113626691633339E-3</c:v>
                </c:pt>
                <c:pt idx="40" formatCode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'vgl 2007-9'!$I$2</c:f>
              <c:strCache>
                <c:ptCount val="1"/>
                <c:pt idx="0">
                  <c:v>2008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2007-9'!$I$3:$I$43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1.4158289678606824E-2</c:v>
                </c:pt>
                <c:pt idx="15" formatCode="0">
                  <c:v>0.27608664873283306</c:v>
                </c:pt>
                <c:pt idx="16" formatCode="0">
                  <c:v>0.65128132521591386</c:v>
                </c:pt>
                <c:pt idx="17" formatCode="0">
                  <c:v>4.2687243380999575</c:v>
                </c:pt>
                <c:pt idx="18" formatCode="0">
                  <c:v>12.473453206852612</c:v>
                </c:pt>
                <c:pt idx="19" formatCode="0">
                  <c:v>14.675067251875973</c:v>
                </c:pt>
                <c:pt idx="20" formatCode="0">
                  <c:v>12.79909386946057</c:v>
                </c:pt>
                <c:pt idx="21" formatCode="0">
                  <c:v>11.213365425456605</c:v>
                </c:pt>
                <c:pt idx="22" formatCode="0">
                  <c:v>9.1250176978620985</c:v>
                </c:pt>
                <c:pt idx="23" formatCode="0">
                  <c:v>7.2065694464108736</c:v>
                </c:pt>
                <c:pt idx="24" formatCode="0">
                  <c:v>6.3358346311765539</c:v>
                </c:pt>
                <c:pt idx="25" formatCode="0">
                  <c:v>4.799660201047713</c:v>
                </c:pt>
                <c:pt idx="26" formatCode="0">
                  <c:v>4.035112558402945</c:v>
                </c:pt>
                <c:pt idx="27" formatCode="0">
                  <c:v>3.1714568880079286</c:v>
                </c:pt>
                <c:pt idx="28" formatCode="0">
                  <c:v>2.4635424040775877</c:v>
                </c:pt>
                <c:pt idx="29" formatCode="0">
                  <c:v>2.0600311482372931</c:v>
                </c:pt>
                <c:pt idx="30" formatCode="0">
                  <c:v>1.4229081126999858</c:v>
                </c:pt>
                <c:pt idx="31" formatCode="0">
                  <c:v>1.0760300155741187</c:v>
                </c:pt>
                <c:pt idx="32" formatCode="0">
                  <c:v>0.84241823587710607</c:v>
                </c:pt>
                <c:pt idx="33" formatCode="0">
                  <c:v>0.5096984284298457</c:v>
                </c:pt>
                <c:pt idx="34" formatCode="0">
                  <c:v>0.24777006937561941</c:v>
                </c:pt>
                <c:pt idx="35" formatCode="0">
                  <c:v>0.16989947614328188</c:v>
                </c:pt>
                <c:pt idx="36" formatCode="0">
                  <c:v>0.1132663174288546</c:v>
                </c:pt>
                <c:pt idx="37" formatCode="0">
                  <c:v>2.1237434517910235E-2</c:v>
                </c:pt>
                <c:pt idx="38" formatCode="0">
                  <c:v>7.0791448393034122E-3</c:v>
                </c:pt>
                <c:pt idx="39" formatCode="0">
                  <c:v>1.4158289678606824E-2</c:v>
                </c:pt>
                <c:pt idx="40" formatCode="0">
                  <c:v>7.0791448393034122E-3</c:v>
                </c:pt>
              </c:numCache>
            </c:numRef>
          </c:val>
        </c:ser>
        <c:ser>
          <c:idx val="2"/>
          <c:order val="2"/>
          <c:tx>
            <c:strRef>
              <c:f>'vgl 2007-9'!$J$2</c:f>
              <c:strCache>
                <c:ptCount val="1"/>
                <c:pt idx="0">
                  <c:v>2009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2007-9'!$J$3:$J$43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1.2713749920539063E-2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6.3568749602695316E-3</c:v>
                </c:pt>
                <c:pt idx="18" formatCode="0">
                  <c:v>0.64840124594749227</c:v>
                </c:pt>
                <c:pt idx="19" formatCode="0">
                  <c:v>6.7192168330048947</c:v>
                </c:pt>
                <c:pt idx="20" formatCode="0">
                  <c:v>15.593414277541159</c:v>
                </c:pt>
                <c:pt idx="21" formatCode="0">
                  <c:v>15.707838026826012</c:v>
                </c:pt>
                <c:pt idx="22" formatCode="0">
                  <c:v>12.580255546373403</c:v>
                </c:pt>
                <c:pt idx="23" formatCode="0">
                  <c:v>10.679549933252813</c:v>
                </c:pt>
                <c:pt idx="24" formatCode="0">
                  <c:v>8.4037886974763207</c:v>
                </c:pt>
                <c:pt idx="25" formatCode="0">
                  <c:v>6.973491831415676</c:v>
                </c:pt>
                <c:pt idx="26" formatCode="0">
                  <c:v>5.5876930900769182</c:v>
                </c:pt>
                <c:pt idx="27" formatCode="0">
                  <c:v>4.0493293496916918</c:v>
                </c:pt>
                <c:pt idx="28" formatCode="0">
                  <c:v>3.3818574788633904</c:v>
                </c:pt>
                <c:pt idx="29" formatCode="0">
                  <c:v>2.797024982518594</c:v>
                </c:pt>
                <c:pt idx="30" formatCode="0">
                  <c:v>2.1613374864916408</c:v>
                </c:pt>
                <c:pt idx="31" formatCode="0">
                  <c:v>1.3095162418155235</c:v>
                </c:pt>
                <c:pt idx="32" formatCode="0">
                  <c:v>1.3921556162990274</c:v>
                </c:pt>
                <c:pt idx="33" formatCode="0">
                  <c:v>0.89631936939800394</c:v>
                </c:pt>
                <c:pt idx="34" formatCode="0">
                  <c:v>0.55940499650371878</c:v>
                </c:pt>
                <c:pt idx="35" formatCode="0">
                  <c:v>0.32420062297374613</c:v>
                </c:pt>
                <c:pt idx="36" formatCode="0">
                  <c:v>0.12078062424512111</c:v>
                </c:pt>
                <c:pt idx="37" formatCode="0">
                  <c:v>6.3568749602695318E-2</c:v>
                </c:pt>
                <c:pt idx="38" formatCode="0">
                  <c:v>3.1784374801347659E-2</c:v>
                </c:pt>
                <c:pt idx="39" formatCode="0">
                  <c:v>0</c:v>
                </c:pt>
                <c:pt idx="40" formatCode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'vgl 2007-9'!$K$2</c:f>
              <c:strCache>
                <c:ptCount val="1"/>
                <c:pt idx="0">
                  <c:v>2010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1.3960933842795533</c:v>
                </c:pt>
                <c:pt idx="4">
                  <c:v>15.494946439289107</c:v>
                </c:pt>
                <c:pt idx="5">
                  <c:v>24.55157608564139</c:v>
                </c:pt>
                <c:pt idx="6">
                  <c:v>24.04365699103856</c:v>
                </c:pt>
                <c:pt idx="7">
                  <c:v>18.750262676291481</c:v>
                </c:pt>
                <c:pt idx="8">
                  <c:v>14.844592845394599</c:v>
                </c:pt>
                <c:pt idx="9">
                  <c:v>10.011263140274574</c:v>
                </c:pt>
                <c:pt idx="10">
                  <c:v>7.7543796777687026</c:v>
                </c:pt>
                <c:pt idx="11">
                  <c:v>3.6074019615708921</c:v>
                </c:pt>
                <c:pt idx="12">
                  <c:v>1.9006326287834552</c:v>
                </c:pt>
                <c:pt idx="13">
                  <c:v>0.61285512581196588</c:v>
                </c:pt>
                <c:pt idx="14">
                  <c:v>5.7616557841747831E-4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2.8527582869850014E-2</c:v>
                </c:pt>
                <c:pt idx="19">
                  <c:v>0.10019519408679947</c:v>
                </c:pt>
                <c:pt idx="20">
                  <c:v>1.3680226436157215</c:v>
                </c:pt>
                <c:pt idx="21">
                  <c:v>9.4362546812987507</c:v>
                </c:pt>
                <c:pt idx="22">
                  <c:v>17.202480098735229</c:v>
                </c:pt>
                <c:pt idx="23">
                  <c:v>14.943518392269176</c:v>
                </c:pt>
                <c:pt idx="24">
                  <c:v>10.341575714753622</c:v>
                </c:pt>
                <c:pt idx="25">
                  <c:v>8.2059787165253937</c:v>
                </c:pt>
                <c:pt idx="26">
                  <c:v>6.0313235343561917</c:v>
                </c:pt>
                <c:pt idx="27">
                  <c:v>3.6645315955871012</c:v>
                </c:pt>
                <c:pt idx="28">
                  <c:v>3.5152835131697509</c:v>
                </c:pt>
                <c:pt idx="29">
                  <c:v>2.6881089802277409</c:v>
                </c:pt>
                <c:pt idx="30">
                  <c:v>2.1042609947167756</c:v>
                </c:pt>
                <c:pt idx="31">
                  <c:v>1.3462470668655164</c:v>
                </c:pt>
                <c:pt idx="32">
                  <c:v>1.2592516784051968</c:v>
                </c:pt>
                <c:pt idx="33">
                  <c:v>1.4664876678373788</c:v>
                </c:pt>
                <c:pt idx="34">
                  <c:v>1.0052329771773443</c:v>
                </c:pt>
                <c:pt idx="35">
                  <c:v>0.60926156215610194</c:v>
                </c:pt>
                <c:pt idx="36">
                  <c:v>0.49015082507568652</c:v>
                </c:pt>
                <c:pt idx="37">
                  <c:v>0.1601994575041874</c:v>
                </c:pt>
                <c:pt idx="38">
                  <c:v>7.4343518784041579E-2</c:v>
                </c:pt>
                <c:pt idx="39">
                  <c:v>5.3196333711939901E-2</c:v>
                </c:pt>
                <c:pt idx="40">
                  <c:v>2.9721710757063331E-2</c:v>
                </c:pt>
              </c:numCache>
            </c:numRef>
          </c:val>
        </c:ser>
        <c:ser>
          <c:idx val="4"/>
          <c:order val="4"/>
          <c:tx>
            <c:strRef>
              <c:f>'vgl 2007-9'!$L$2</c:f>
              <c:strCache>
                <c:ptCount val="1"/>
                <c:pt idx="0">
                  <c:v>2011</c:v>
                </c:pt>
              </c:strCache>
            </c:strRef>
          </c:tx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2007-9'!$L$3:$L$43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0.22789425706472194</c:v>
                </c:pt>
                <c:pt idx="10">
                  <c:v>2.643573381950775</c:v>
                </c:pt>
                <c:pt idx="11">
                  <c:v>4.193254329990884</c:v>
                </c:pt>
                <c:pt idx="12">
                  <c:v>6.4721969006381039</c:v>
                </c:pt>
                <c:pt idx="13">
                  <c:v>6.2443026435733824</c:v>
                </c:pt>
                <c:pt idx="14">
                  <c:v>6.0619872379216044</c:v>
                </c:pt>
                <c:pt idx="15">
                  <c:v>3.646308113035551</c:v>
                </c:pt>
                <c:pt idx="16">
                  <c:v>1.0027347310847767</c:v>
                </c:pt>
                <c:pt idx="17">
                  <c:v>0.22789425706472194</c:v>
                </c:pt>
                <c:pt idx="18">
                  <c:v>9.1157702825888781E-2</c:v>
                </c:pt>
                <c:pt idx="19">
                  <c:v>4.5578851412944391E-2</c:v>
                </c:pt>
                <c:pt idx="20">
                  <c:v>0</c:v>
                </c:pt>
                <c:pt idx="21">
                  <c:v>0</c:v>
                </c:pt>
                <c:pt idx="22">
                  <c:v>0.95715587967183224</c:v>
                </c:pt>
                <c:pt idx="23">
                  <c:v>6.7912488605287145</c:v>
                </c:pt>
                <c:pt idx="24">
                  <c:v>13.445761166818595</c:v>
                </c:pt>
                <c:pt idx="25">
                  <c:v>14.858705560619873</c:v>
                </c:pt>
                <c:pt idx="26">
                  <c:v>8.4776663628076587</c:v>
                </c:pt>
                <c:pt idx="27">
                  <c:v>6.9279854147675488</c:v>
                </c:pt>
                <c:pt idx="28">
                  <c:v>4.1476754785779395</c:v>
                </c:pt>
                <c:pt idx="29">
                  <c:v>3.00820419325433</c:v>
                </c:pt>
                <c:pt idx="30">
                  <c:v>3.828623518687329</c:v>
                </c:pt>
                <c:pt idx="31">
                  <c:v>2.461257976298997</c:v>
                </c:pt>
                <c:pt idx="32">
                  <c:v>1.6864175022789425</c:v>
                </c:pt>
                <c:pt idx="33">
                  <c:v>1.0938924339106655</c:v>
                </c:pt>
                <c:pt idx="34">
                  <c:v>0.41020966271649956</c:v>
                </c:pt>
                <c:pt idx="35">
                  <c:v>0.50136736554238837</c:v>
                </c:pt>
                <c:pt idx="36">
                  <c:v>0.31905195989061075</c:v>
                </c:pt>
                <c:pt idx="37">
                  <c:v>0.22789425706472194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marker val="1"/>
        <c:axId val="198537600"/>
        <c:axId val="198539136"/>
      </c:lineChart>
      <c:catAx>
        <c:axId val="1985376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8539136"/>
        <c:crosses val="autoZero"/>
        <c:auto val="1"/>
        <c:lblAlgn val="ctr"/>
        <c:lblOffset val="100"/>
        <c:tickLblSkip val="5"/>
      </c:catAx>
      <c:valAx>
        <c:axId val="19853913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GB"/>
                  <a:t>percentage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85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77911646586524"/>
          <c:y val="7.1011802332655444E-2"/>
          <c:w val="0.11538726333907051"/>
          <c:h val="0.39918131094540366"/>
        </c:manualLayout>
      </c:layout>
      <c:spPr>
        <a:ln>
          <a:solidFill>
            <a:schemeClr val="tx1"/>
          </a:solidFill>
        </a:ln>
      </c:spPr>
      <c:txPr>
        <a:bodyPr/>
        <a:lstStyle/>
        <a:p>
          <a:pPr>
            <a:defRPr lang="en-GB"/>
          </a:pPr>
          <a:endParaRPr lang="nl-NL"/>
        </a:p>
      </c:txPr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0.11846440881636783"/>
          <c:y val="4.9017746953816443E-2"/>
          <c:w val="0.86498272053342762"/>
          <c:h val="0.80757887052197963"/>
        </c:manualLayout>
      </c:layout>
      <c:lineChart>
        <c:grouping val="standard"/>
        <c:ser>
          <c:idx val="0"/>
          <c:order val="0"/>
          <c:tx>
            <c:strRef>
              <c:f>'vgl 2007-9'!$H$2</c:f>
              <c:strCache>
                <c:ptCount val="1"/>
                <c:pt idx="0">
                  <c:v>2007</c:v>
                </c:pt>
              </c:strCache>
            </c:strRef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2007-9'!$H$3:$H$43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1.7022725338326668E-2</c:v>
                </c:pt>
                <c:pt idx="12" formatCode="0">
                  <c:v>0.42556813345816669</c:v>
                </c:pt>
                <c:pt idx="13" formatCode="0">
                  <c:v>2.1448633926291603</c:v>
                </c:pt>
                <c:pt idx="14" formatCode="0">
                  <c:v>4.7748744574006299</c:v>
                </c:pt>
                <c:pt idx="15" formatCode="0">
                  <c:v>10.102987488296876</c:v>
                </c:pt>
                <c:pt idx="16" formatCode="0">
                  <c:v>14.077793854796154</c:v>
                </c:pt>
                <c:pt idx="17" formatCode="0">
                  <c:v>13.89054387607456</c:v>
                </c:pt>
                <c:pt idx="18" formatCode="0">
                  <c:v>11.84781683547536</c:v>
                </c:pt>
                <c:pt idx="19" formatCode="0">
                  <c:v>10.741339688484127</c:v>
                </c:pt>
                <c:pt idx="20" formatCode="0">
                  <c:v>8.9539535279598272</c:v>
                </c:pt>
                <c:pt idx="21" formatCode="0">
                  <c:v>5.1323516895054899</c:v>
                </c:pt>
                <c:pt idx="22" formatCode="0">
                  <c:v>4.0854540811983995</c:v>
                </c:pt>
                <c:pt idx="23" formatCode="0">
                  <c:v>3.2598519022895567</c:v>
                </c:pt>
                <c:pt idx="24" formatCode="0">
                  <c:v>2.3831815473657332</c:v>
                </c:pt>
                <c:pt idx="25" formatCode="0">
                  <c:v>1.9235679632309135</c:v>
                </c:pt>
                <c:pt idx="26" formatCode="0">
                  <c:v>1.3277725763894799</c:v>
                </c:pt>
                <c:pt idx="27" formatCode="0">
                  <c:v>1.4128862030811131</c:v>
                </c:pt>
                <c:pt idx="28" formatCode="0">
                  <c:v>0.99582943229210996</c:v>
                </c:pt>
                <c:pt idx="29" formatCode="0">
                  <c:v>1.1234998723295599</c:v>
                </c:pt>
                <c:pt idx="30" formatCode="0">
                  <c:v>0.55323857349561667</c:v>
                </c:pt>
                <c:pt idx="31" formatCode="0">
                  <c:v>0.27236360541322668</c:v>
                </c:pt>
                <c:pt idx="32" formatCode="0">
                  <c:v>0.36598859477402335</c:v>
                </c:pt>
                <c:pt idx="33" formatCode="0">
                  <c:v>0.11064771469912332</c:v>
                </c:pt>
                <c:pt idx="34" formatCode="0">
                  <c:v>4.2556813345816666E-2</c:v>
                </c:pt>
                <c:pt idx="35" formatCode="0">
                  <c:v>2.5534088007490002E-2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8.5113626691633339E-3</c:v>
                </c:pt>
                <c:pt idx="40" formatCode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'vgl 2007-9'!$I$2</c:f>
              <c:strCache>
                <c:ptCount val="1"/>
                <c:pt idx="0">
                  <c:v>2008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2007-9'!$I$3:$I$43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1.4158289678606824E-2</c:v>
                </c:pt>
                <c:pt idx="15" formatCode="0">
                  <c:v>0.27608664873283306</c:v>
                </c:pt>
                <c:pt idx="16" formatCode="0">
                  <c:v>0.65128132521591386</c:v>
                </c:pt>
                <c:pt idx="17" formatCode="0">
                  <c:v>4.2687243380999575</c:v>
                </c:pt>
                <c:pt idx="18" formatCode="0">
                  <c:v>12.473453206852612</c:v>
                </c:pt>
                <c:pt idx="19" formatCode="0">
                  <c:v>14.675067251875973</c:v>
                </c:pt>
                <c:pt idx="20" formatCode="0">
                  <c:v>12.79909386946057</c:v>
                </c:pt>
                <c:pt idx="21" formatCode="0">
                  <c:v>11.213365425456605</c:v>
                </c:pt>
                <c:pt idx="22" formatCode="0">
                  <c:v>9.1250176978620985</c:v>
                </c:pt>
                <c:pt idx="23" formatCode="0">
                  <c:v>7.2065694464108736</c:v>
                </c:pt>
                <c:pt idx="24" formatCode="0">
                  <c:v>6.3358346311765539</c:v>
                </c:pt>
                <c:pt idx="25" formatCode="0">
                  <c:v>4.799660201047713</c:v>
                </c:pt>
                <c:pt idx="26" formatCode="0">
                  <c:v>4.035112558402945</c:v>
                </c:pt>
                <c:pt idx="27" formatCode="0">
                  <c:v>3.1714568880079286</c:v>
                </c:pt>
                <c:pt idx="28" formatCode="0">
                  <c:v>2.4635424040775877</c:v>
                </c:pt>
                <c:pt idx="29" formatCode="0">
                  <c:v>2.0600311482372931</c:v>
                </c:pt>
                <c:pt idx="30" formatCode="0">
                  <c:v>1.4229081126999858</c:v>
                </c:pt>
                <c:pt idx="31" formatCode="0">
                  <c:v>1.0760300155741187</c:v>
                </c:pt>
                <c:pt idx="32" formatCode="0">
                  <c:v>0.84241823587710607</c:v>
                </c:pt>
                <c:pt idx="33" formatCode="0">
                  <c:v>0.5096984284298457</c:v>
                </c:pt>
                <c:pt idx="34" formatCode="0">
                  <c:v>0.24777006937561941</c:v>
                </c:pt>
                <c:pt idx="35" formatCode="0">
                  <c:v>0.16989947614328188</c:v>
                </c:pt>
                <c:pt idx="36" formatCode="0">
                  <c:v>0.1132663174288546</c:v>
                </c:pt>
                <c:pt idx="37" formatCode="0">
                  <c:v>2.1237434517910235E-2</c:v>
                </c:pt>
                <c:pt idx="38" formatCode="0">
                  <c:v>7.0791448393034122E-3</c:v>
                </c:pt>
                <c:pt idx="39" formatCode="0">
                  <c:v>1.4158289678606824E-2</c:v>
                </c:pt>
                <c:pt idx="40" formatCode="0">
                  <c:v>7.0791448393034122E-3</c:v>
                </c:pt>
              </c:numCache>
            </c:numRef>
          </c:val>
        </c:ser>
        <c:ser>
          <c:idx val="2"/>
          <c:order val="2"/>
          <c:tx>
            <c:strRef>
              <c:f>'vgl 2007-9'!$J$2</c:f>
              <c:strCache>
                <c:ptCount val="1"/>
                <c:pt idx="0">
                  <c:v>2009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2007-9'!$J$3:$J$43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1.2713749920539063E-2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6.3568749602695316E-3</c:v>
                </c:pt>
                <c:pt idx="18" formatCode="0">
                  <c:v>0.64840124594749227</c:v>
                </c:pt>
                <c:pt idx="19" formatCode="0">
                  <c:v>6.7192168330048947</c:v>
                </c:pt>
                <c:pt idx="20" formatCode="0">
                  <c:v>15.593414277541159</c:v>
                </c:pt>
                <c:pt idx="21" formatCode="0">
                  <c:v>15.707838026826012</c:v>
                </c:pt>
                <c:pt idx="22" formatCode="0">
                  <c:v>12.580255546373403</c:v>
                </c:pt>
                <c:pt idx="23" formatCode="0">
                  <c:v>10.679549933252813</c:v>
                </c:pt>
                <c:pt idx="24" formatCode="0">
                  <c:v>8.4037886974763207</c:v>
                </c:pt>
                <c:pt idx="25" formatCode="0">
                  <c:v>6.973491831415676</c:v>
                </c:pt>
                <c:pt idx="26" formatCode="0">
                  <c:v>5.5876930900769182</c:v>
                </c:pt>
                <c:pt idx="27" formatCode="0">
                  <c:v>4.0493293496916918</c:v>
                </c:pt>
                <c:pt idx="28" formatCode="0">
                  <c:v>3.3818574788633904</c:v>
                </c:pt>
                <c:pt idx="29" formatCode="0">
                  <c:v>2.797024982518594</c:v>
                </c:pt>
                <c:pt idx="30" formatCode="0">
                  <c:v>2.1613374864916408</c:v>
                </c:pt>
                <c:pt idx="31" formatCode="0">
                  <c:v>1.3095162418155235</c:v>
                </c:pt>
                <c:pt idx="32" formatCode="0">
                  <c:v>1.3921556162990274</c:v>
                </c:pt>
                <c:pt idx="33" formatCode="0">
                  <c:v>0.89631936939800394</c:v>
                </c:pt>
                <c:pt idx="34" formatCode="0">
                  <c:v>0.55940499650371878</c:v>
                </c:pt>
                <c:pt idx="35" formatCode="0">
                  <c:v>0.32420062297374613</c:v>
                </c:pt>
                <c:pt idx="36" formatCode="0">
                  <c:v>0.12078062424512111</c:v>
                </c:pt>
                <c:pt idx="37" formatCode="0">
                  <c:v>6.3568749602695318E-2</c:v>
                </c:pt>
                <c:pt idx="38" formatCode="0">
                  <c:v>3.1784374801347659E-2</c:v>
                </c:pt>
                <c:pt idx="39" formatCode="0">
                  <c:v>0</c:v>
                </c:pt>
                <c:pt idx="40" formatCode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'vgl 2007-9'!$K$2</c:f>
              <c:strCache>
                <c:ptCount val="1"/>
                <c:pt idx="0">
                  <c:v>2010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1.3960933842795533</c:v>
                </c:pt>
                <c:pt idx="4">
                  <c:v>15.494946439289107</c:v>
                </c:pt>
                <c:pt idx="5">
                  <c:v>24.55157608564139</c:v>
                </c:pt>
                <c:pt idx="6">
                  <c:v>24.04365699103856</c:v>
                </c:pt>
                <c:pt idx="7">
                  <c:v>18.750262676291481</c:v>
                </c:pt>
                <c:pt idx="8">
                  <c:v>14.844592845394599</c:v>
                </c:pt>
                <c:pt idx="9">
                  <c:v>10.011263140274574</c:v>
                </c:pt>
                <c:pt idx="10">
                  <c:v>7.7543796777687026</c:v>
                </c:pt>
                <c:pt idx="11">
                  <c:v>3.6074019615708921</c:v>
                </c:pt>
                <c:pt idx="12">
                  <c:v>1.9006326287834552</c:v>
                </c:pt>
                <c:pt idx="13">
                  <c:v>0.61285512581196588</c:v>
                </c:pt>
                <c:pt idx="14">
                  <c:v>5.7616557841747831E-4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2.8527582869850014E-2</c:v>
                </c:pt>
                <c:pt idx="19">
                  <c:v>0.10019519408679947</c:v>
                </c:pt>
                <c:pt idx="20">
                  <c:v>1.3680226436157215</c:v>
                </c:pt>
                <c:pt idx="21">
                  <c:v>9.4362546812987507</c:v>
                </c:pt>
                <c:pt idx="22">
                  <c:v>17.202480098735229</c:v>
                </c:pt>
                <c:pt idx="23">
                  <c:v>14.943518392269176</c:v>
                </c:pt>
                <c:pt idx="24">
                  <c:v>10.341575714753622</c:v>
                </c:pt>
                <c:pt idx="25">
                  <c:v>8.2059787165253937</c:v>
                </c:pt>
                <c:pt idx="26">
                  <c:v>6.0313235343561917</c:v>
                </c:pt>
                <c:pt idx="27">
                  <c:v>3.6645315955871012</c:v>
                </c:pt>
                <c:pt idx="28">
                  <c:v>3.5152835131697509</c:v>
                </c:pt>
                <c:pt idx="29">
                  <c:v>2.6881089802277409</c:v>
                </c:pt>
                <c:pt idx="30">
                  <c:v>2.1042609947167756</c:v>
                </c:pt>
                <c:pt idx="31">
                  <c:v>1.3462470668655164</c:v>
                </c:pt>
                <c:pt idx="32">
                  <c:v>1.2592516784051968</c:v>
                </c:pt>
                <c:pt idx="33">
                  <c:v>1.4664876678373788</c:v>
                </c:pt>
                <c:pt idx="34">
                  <c:v>1.0052329771773443</c:v>
                </c:pt>
                <c:pt idx="35">
                  <c:v>0.60926156215610194</c:v>
                </c:pt>
                <c:pt idx="36">
                  <c:v>0.49015082507568652</c:v>
                </c:pt>
                <c:pt idx="37">
                  <c:v>0.1601994575041874</c:v>
                </c:pt>
                <c:pt idx="38">
                  <c:v>7.4343518784041579E-2</c:v>
                </c:pt>
                <c:pt idx="39">
                  <c:v>5.3196333711939901E-2</c:v>
                </c:pt>
                <c:pt idx="40">
                  <c:v>2.9721710757063331E-2</c:v>
                </c:pt>
              </c:numCache>
            </c:numRef>
          </c:val>
        </c:ser>
        <c:ser>
          <c:idx val="4"/>
          <c:order val="4"/>
          <c:tx>
            <c:strRef>
              <c:f>'vgl 2007-9'!$L$2</c:f>
              <c:strCache>
                <c:ptCount val="1"/>
                <c:pt idx="0">
                  <c:v>2011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2007-9'!$L$3:$L$43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0.22789425706472194</c:v>
                </c:pt>
                <c:pt idx="10">
                  <c:v>2.643573381950775</c:v>
                </c:pt>
                <c:pt idx="11">
                  <c:v>4.193254329990884</c:v>
                </c:pt>
                <c:pt idx="12">
                  <c:v>6.4721969006381039</c:v>
                </c:pt>
                <c:pt idx="13">
                  <c:v>6.2443026435733824</c:v>
                </c:pt>
                <c:pt idx="14">
                  <c:v>6.0619872379216044</c:v>
                </c:pt>
                <c:pt idx="15">
                  <c:v>3.646308113035551</c:v>
                </c:pt>
                <c:pt idx="16">
                  <c:v>1.0027347310847767</c:v>
                </c:pt>
                <c:pt idx="17">
                  <c:v>0.22789425706472194</c:v>
                </c:pt>
                <c:pt idx="18">
                  <c:v>9.1157702825888781E-2</c:v>
                </c:pt>
                <c:pt idx="19">
                  <c:v>4.5578851412944391E-2</c:v>
                </c:pt>
                <c:pt idx="20">
                  <c:v>0</c:v>
                </c:pt>
                <c:pt idx="21">
                  <c:v>0</c:v>
                </c:pt>
                <c:pt idx="22">
                  <c:v>0.95715587967183224</c:v>
                </c:pt>
                <c:pt idx="23">
                  <c:v>6.7912488605287145</c:v>
                </c:pt>
                <c:pt idx="24">
                  <c:v>13.445761166818595</c:v>
                </c:pt>
                <c:pt idx="25">
                  <c:v>14.858705560619873</c:v>
                </c:pt>
                <c:pt idx="26">
                  <c:v>8.4776663628076587</c:v>
                </c:pt>
                <c:pt idx="27">
                  <c:v>6.9279854147675488</c:v>
                </c:pt>
                <c:pt idx="28">
                  <c:v>4.1476754785779395</c:v>
                </c:pt>
                <c:pt idx="29">
                  <c:v>3.00820419325433</c:v>
                </c:pt>
                <c:pt idx="30">
                  <c:v>3.828623518687329</c:v>
                </c:pt>
                <c:pt idx="31">
                  <c:v>2.461257976298997</c:v>
                </c:pt>
                <c:pt idx="32">
                  <c:v>1.6864175022789425</c:v>
                </c:pt>
                <c:pt idx="33">
                  <c:v>1.0938924339106655</c:v>
                </c:pt>
                <c:pt idx="34">
                  <c:v>0.41020966271649956</c:v>
                </c:pt>
                <c:pt idx="35">
                  <c:v>0.50136736554238837</c:v>
                </c:pt>
                <c:pt idx="36">
                  <c:v>0.31905195989061075</c:v>
                </c:pt>
                <c:pt idx="37">
                  <c:v>0.22789425706472194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marker val="1"/>
        <c:axId val="198583040"/>
        <c:axId val="198584576"/>
      </c:lineChart>
      <c:catAx>
        <c:axId val="198583040"/>
        <c:scaling>
          <c:orientation val="minMax"/>
        </c:scaling>
        <c:axPos val="b"/>
        <c:numFmt formatCode="General" sourceLinked="1"/>
        <c:majorTickMark val="in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8584576"/>
        <c:crosses val="autoZero"/>
        <c:auto val="1"/>
        <c:lblAlgn val="ctr"/>
        <c:lblOffset val="100"/>
        <c:tickLblSkip val="5"/>
      </c:catAx>
      <c:valAx>
        <c:axId val="19858457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GB"/>
                  <a:t>percentage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1985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7791164658658"/>
          <c:y val="7.1011802332655444E-2"/>
          <c:w val="0.11538726333907048"/>
          <c:h val="0.39918131094540388"/>
        </c:manualLayout>
      </c:layout>
      <c:spPr>
        <a:ln>
          <a:solidFill>
            <a:schemeClr val="tx1"/>
          </a:solidFill>
        </a:ln>
      </c:spPr>
      <c:txPr>
        <a:bodyPr/>
        <a:lstStyle/>
        <a:p>
          <a:pPr>
            <a:defRPr lang="en-GB"/>
          </a:pPr>
          <a:endParaRPr lang="nl-NL"/>
        </a:p>
      </c:txPr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0.11846440881636783"/>
          <c:y val="4.9017746953816485E-2"/>
          <c:w val="0.86498272053342762"/>
          <c:h val="0.80757887052197963"/>
        </c:manualLayout>
      </c:layout>
      <c:lineChart>
        <c:grouping val="standard"/>
        <c:ser>
          <c:idx val="0"/>
          <c:order val="0"/>
          <c:tx>
            <c:strRef>
              <c:f>'vgl 2007-9'!$H$2</c:f>
              <c:strCache>
                <c:ptCount val="1"/>
                <c:pt idx="0">
                  <c:v>2007</c:v>
                </c:pt>
              </c:strCache>
            </c:strRef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2007-9'!$H$3:$H$43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1.7022725338326668E-2</c:v>
                </c:pt>
                <c:pt idx="12" formatCode="0">
                  <c:v>0.42556813345816669</c:v>
                </c:pt>
                <c:pt idx="13" formatCode="0">
                  <c:v>2.1448633926291603</c:v>
                </c:pt>
                <c:pt idx="14" formatCode="0">
                  <c:v>4.7748744574006299</c:v>
                </c:pt>
                <c:pt idx="15" formatCode="0">
                  <c:v>10.102987488296876</c:v>
                </c:pt>
                <c:pt idx="16" formatCode="0">
                  <c:v>14.077793854796154</c:v>
                </c:pt>
                <c:pt idx="17" formatCode="0">
                  <c:v>13.89054387607456</c:v>
                </c:pt>
                <c:pt idx="18" formatCode="0">
                  <c:v>11.84781683547536</c:v>
                </c:pt>
                <c:pt idx="19" formatCode="0">
                  <c:v>10.741339688484127</c:v>
                </c:pt>
                <c:pt idx="20" formatCode="0">
                  <c:v>8.9539535279598272</c:v>
                </c:pt>
                <c:pt idx="21" formatCode="0">
                  <c:v>5.1323516895054899</c:v>
                </c:pt>
                <c:pt idx="22" formatCode="0">
                  <c:v>4.0854540811983995</c:v>
                </c:pt>
                <c:pt idx="23" formatCode="0">
                  <c:v>3.2598519022895567</c:v>
                </c:pt>
                <c:pt idx="24" formatCode="0">
                  <c:v>2.3831815473657332</c:v>
                </c:pt>
                <c:pt idx="25" formatCode="0">
                  <c:v>1.9235679632309135</c:v>
                </c:pt>
                <c:pt idx="26" formatCode="0">
                  <c:v>1.3277725763894799</c:v>
                </c:pt>
                <c:pt idx="27" formatCode="0">
                  <c:v>1.4128862030811131</c:v>
                </c:pt>
                <c:pt idx="28" formatCode="0">
                  <c:v>0.99582943229210996</c:v>
                </c:pt>
                <c:pt idx="29" formatCode="0">
                  <c:v>1.1234998723295599</c:v>
                </c:pt>
                <c:pt idx="30" formatCode="0">
                  <c:v>0.55323857349561667</c:v>
                </c:pt>
                <c:pt idx="31" formatCode="0">
                  <c:v>0.27236360541322668</c:v>
                </c:pt>
                <c:pt idx="32" formatCode="0">
                  <c:v>0.36598859477402335</c:v>
                </c:pt>
                <c:pt idx="33" formatCode="0">
                  <c:v>0.11064771469912332</c:v>
                </c:pt>
                <c:pt idx="34" formatCode="0">
                  <c:v>4.2556813345816666E-2</c:v>
                </c:pt>
                <c:pt idx="35" formatCode="0">
                  <c:v>2.5534088007490002E-2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8.5113626691633339E-3</c:v>
                </c:pt>
                <c:pt idx="40" formatCode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'vgl 2007-9'!$I$2</c:f>
              <c:strCache>
                <c:ptCount val="1"/>
                <c:pt idx="0">
                  <c:v>2008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2007-9'!$I$3:$I$43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1.4158289678606824E-2</c:v>
                </c:pt>
                <c:pt idx="15" formatCode="0">
                  <c:v>0.27608664873283306</c:v>
                </c:pt>
                <c:pt idx="16" formatCode="0">
                  <c:v>0.65128132521591386</c:v>
                </c:pt>
                <c:pt idx="17" formatCode="0">
                  <c:v>4.2687243380999575</c:v>
                </c:pt>
                <c:pt idx="18" formatCode="0">
                  <c:v>12.473453206852612</c:v>
                </c:pt>
                <c:pt idx="19" formatCode="0">
                  <c:v>14.675067251875973</c:v>
                </c:pt>
                <c:pt idx="20" formatCode="0">
                  <c:v>12.79909386946057</c:v>
                </c:pt>
                <c:pt idx="21" formatCode="0">
                  <c:v>11.213365425456605</c:v>
                </c:pt>
                <c:pt idx="22" formatCode="0">
                  <c:v>9.1250176978620985</c:v>
                </c:pt>
                <c:pt idx="23" formatCode="0">
                  <c:v>7.2065694464108736</c:v>
                </c:pt>
                <c:pt idx="24" formatCode="0">
                  <c:v>6.3358346311765539</c:v>
                </c:pt>
                <c:pt idx="25" formatCode="0">
                  <c:v>4.799660201047713</c:v>
                </c:pt>
                <c:pt idx="26" formatCode="0">
                  <c:v>4.035112558402945</c:v>
                </c:pt>
                <c:pt idx="27" formatCode="0">
                  <c:v>3.1714568880079286</c:v>
                </c:pt>
                <c:pt idx="28" formatCode="0">
                  <c:v>2.4635424040775877</c:v>
                </c:pt>
                <c:pt idx="29" formatCode="0">
                  <c:v>2.0600311482372931</c:v>
                </c:pt>
                <c:pt idx="30" formatCode="0">
                  <c:v>1.4229081126999858</c:v>
                </c:pt>
                <c:pt idx="31" formatCode="0">
                  <c:v>1.0760300155741187</c:v>
                </c:pt>
                <c:pt idx="32" formatCode="0">
                  <c:v>0.84241823587710607</c:v>
                </c:pt>
                <c:pt idx="33" formatCode="0">
                  <c:v>0.5096984284298457</c:v>
                </c:pt>
                <c:pt idx="34" formatCode="0">
                  <c:v>0.24777006937561941</c:v>
                </c:pt>
                <c:pt idx="35" formatCode="0">
                  <c:v>0.16989947614328188</c:v>
                </c:pt>
                <c:pt idx="36" formatCode="0">
                  <c:v>0.1132663174288546</c:v>
                </c:pt>
                <c:pt idx="37" formatCode="0">
                  <c:v>2.1237434517910235E-2</c:v>
                </c:pt>
                <c:pt idx="38" formatCode="0">
                  <c:v>7.0791448393034122E-3</c:v>
                </c:pt>
                <c:pt idx="39" formatCode="0">
                  <c:v>1.4158289678606824E-2</c:v>
                </c:pt>
                <c:pt idx="40" formatCode="0">
                  <c:v>7.0791448393034122E-3</c:v>
                </c:pt>
              </c:numCache>
            </c:numRef>
          </c:val>
        </c:ser>
        <c:ser>
          <c:idx val="2"/>
          <c:order val="2"/>
          <c:tx>
            <c:strRef>
              <c:f>'vgl 2007-9'!$J$2</c:f>
              <c:strCache>
                <c:ptCount val="1"/>
                <c:pt idx="0">
                  <c:v>2009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2007-9'!$J$3:$J$43</c:f>
              <c:numCache>
                <c:formatCode>General</c:formatCode>
                <c:ptCount val="41"/>
                <c:pt idx="10" formatCode="0">
                  <c:v>0</c:v>
                </c:pt>
                <c:pt idx="11" formatCode="0">
                  <c:v>1.2713749920539063E-2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6.3568749602695316E-3</c:v>
                </c:pt>
                <c:pt idx="18" formatCode="0">
                  <c:v>0.64840124594749227</c:v>
                </c:pt>
                <c:pt idx="19" formatCode="0">
                  <c:v>6.7192168330048947</c:v>
                </c:pt>
                <c:pt idx="20" formatCode="0">
                  <c:v>15.593414277541159</c:v>
                </c:pt>
                <c:pt idx="21" formatCode="0">
                  <c:v>15.707838026826012</c:v>
                </c:pt>
                <c:pt idx="22" formatCode="0">
                  <c:v>12.580255546373403</c:v>
                </c:pt>
                <c:pt idx="23" formatCode="0">
                  <c:v>10.679549933252813</c:v>
                </c:pt>
                <c:pt idx="24" formatCode="0">
                  <c:v>8.4037886974763207</c:v>
                </c:pt>
                <c:pt idx="25" formatCode="0">
                  <c:v>6.973491831415676</c:v>
                </c:pt>
                <c:pt idx="26" formatCode="0">
                  <c:v>5.5876930900769182</c:v>
                </c:pt>
                <c:pt idx="27" formatCode="0">
                  <c:v>4.0493293496916918</c:v>
                </c:pt>
                <c:pt idx="28" formatCode="0">
                  <c:v>3.3818574788633904</c:v>
                </c:pt>
                <c:pt idx="29" formatCode="0">
                  <c:v>2.797024982518594</c:v>
                </c:pt>
                <c:pt idx="30" formatCode="0">
                  <c:v>2.1613374864916408</c:v>
                </c:pt>
                <c:pt idx="31" formatCode="0">
                  <c:v>1.3095162418155235</c:v>
                </c:pt>
                <c:pt idx="32" formatCode="0">
                  <c:v>1.3921556162990274</c:v>
                </c:pt>
                <c:pt idx="33" formatCode="0">
                  <c:v>0.89631936939800394</c:v>
                </c:pt>
                <c:pt idx="34" formatCode="0">
                  <c:v>0.55940499650371878</c:v>
                </c:pt>
                <c:pt idx="35" formatCode="0">
                  <c:v>0.32420062297374613</c:v>
                </c:pt>
                <c:pt idx="36" formatCode="0">
                  <c:v>0.12078062424512111</c:v>
                </c:pt>
                <c:pt idx="37" formatCode="0">
                  <c:v>6.3568749602695318E-2</c:v>
                </c:pt>
                <c:pt idx="38" formatCode="0">
                  <c:v>3.1784374801347659E-2</c:v>
                </c:pt>
                <c:pt idx="39" formatCode="0">
                  <c:v>0</c:v>
                </c:pt>
                <c:pt idx="40" formatCode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'vgl 2007-9'!$K$2</c:f>
              <c:strCache>
                <c:ptCount val="1"/>
                <c:pt idx="0">
                  <c:v>2010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1.3960933842795533</c:v>
                </c:pt>
                <c:pt idx="4">
                  <c:v>15.494946439289107</c:v>
                </c:pt>
                <c:pt idx="5">
                  <c:v>24.55157608564139</c:v>
                </c:pt>
                <c:pt idx="6">
                  <c:v>24.04365699103856</c:v>
                </c:pt>
                <c:pt idx="7">
                  <c:v>18.750262676291481</c:v>
                </c:pt>
                <c:pt idx="8">
                  <c:v>14.844592845394599</c:v>
                </c:pt>
                <c:pt idx="9">
                  <c:v>10.011263140274574</c:v>
                </c:pt>
                <c:pt idx="10">
                  <c:v>7.7543796777687026</c:v>
                </c:pt>
                <c:pt idx="11">
                  <c:v>3.6074019615708921</c:v>
                </c:pt>
                <c:pt idx="12">
                  <c:v>1.9006326287834552</c:v>
                </c:pt>
                <c:pt idx="13">
                  <c:v>0.61285512581196588</c:v>
                </c:pt>
                <c:pt idx="14">
                  <c:v>5.7616557841747831E-4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2.8527582869850014E-2</c:v>
                </c:pt>
                <c:pt idx="19">
                  <c:v>0.10019519408679947</c:v>
                </c:pt>
                <c:pt idx="20">
                  <c:v>1.3680226436157215</c:v>
                </c:pt>
                <c:pt idx="21">
                  <c:v>9.4362546812987507</c:v>
                </c:pt>
                <c:pt idx="22">
                  <c:v>17.202480098735229</c:v>
                </c:pt>
                <c:pt idx="23">
                  <c:v>14.943518392269176</c:v>
                </c:pt>
                <c:pt idx="24">
                  <c:v>10.341575714753622</c:v>
                </c:pt>
                <c:pt idx="25">
                  <c:v>8.2059787165253937</c:v>
                </c:pt>
                <c:pt idx="26">
                  <c:v>6.0313235343561917</c:v>
                </c:pt>
                <c:pt idx="27">
                  <c:v>3.6645315955871012</c:v>
                </c:pt>
                <c:pt idx="28">
                  <c:v>3.5152835131697509</c:v>
                </c:pt>
                <c:pt idx="29">
                  <c:v>2.6881089802277409</c:v>
                </c:pt>
                <c:pt idx="30">
                  <c:v>2.1042609947167756</c:v>
                </c:pt>
                <c:pt idx="31">
                  <c:v>1.3462470668655164</c:v>
                </c:pt>
                <c:pt idx="32">
                  <c:v>1.2592516784051968</c:v>
                </c:pt>
                <c:pt idx="33">
                  <c:v>1.4664876678373788</c:v>
                </c:pt>
                <c:pt idx="34">
                  <c:v>1.0052329771773443</c:v>
                </c:pt>
                <c:pt idx="35">
                  <c:v>0.60926156215610194</c:v>
                </c:pt>
                <c:pt idx="36">
                  <c:v>0.49015082507568652</c:v>
                </c:pt>
                <c:pt idx="37">
                  <c:v>0.1601994575041874</c:v>
                </c:pt>
                <c:pt idx="38">
                  <c:v>7.4343518784041579E-2</c:v>
                </c:pt>
                <c:pt idx="39">
                  <c:v>5.3196333711939901E-2</c:v>
                </c:pt>
                <c:pt idx="40">
                  <c:v>2.9721710757063331E-2</c:v>
                </c:pt>
              </c:numCache>
            </c:numRef>
          </c:val>
        </c:ser>
        <c:ser>
          <c:idx val="4"/>
          <c:order val="4"/>
          <c:tx>
            <c:strRef>
              <c:f>'vgl 2007-9'!$L$2</c:f>
              <c:strCache>
                <c:ptCount val="1"/>
                <c:pt idx="0">
                  <c:v>2011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'vgl 2007-9'!$G$3:$G$43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f>'vgl 2007-9'!$L$3:$L$43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0.22789425706472194</c:v>
                </c:pt>
                <c:pt idx="10">
                  <c:v>2.643573381950775</c:v>
                </c:pt>
                <c:pt idx="11">
                  <c:v>4.193254329990884</c:v>
                </c:pt>
                <c:pt idx="12">
                  <c:v>6.4721969006381039</c:v>
                </c:pt>
                <c:pt idx="13">
                  <c:v>6.2443026435733824</c:v>
                </c:pt>
                <c:pt idx="14">
                  <c:v>6.0619872379216044</c:v>
                </c:pt>
                <c:pt idx="15">
                  <c:v>3.646308113035551</c:v>
                </c:pt>
                <c:pt idx="16">
                  <c:v>1.0027347310847767</c:v>
                </c:pt>
                <c:pt idx="17">
                  <c:v>0.22789425706472194</c:v>
                </c:pt>
                <c:pt idx="18">
                  <c:v>9.1157702825888781E-2</c:v>
                </c:pt>
                <c:pt idx="19">
                  <c:v>4.5578851412944391E-2</c:v>
                </c:pt>
                <c:pt idx="20">
                  <c:v>0</c:v>
                </c:pt>
                <c:pt idx="21">
                  <c:v>0</c:v>
                </c:pt>
                <c:pt idx="22">
                  <c:v>0.95715587967183224</c:v>
                </c:pt>
                <c:pt idx="23">
                  <c:v>6.7912488605287145</c:v>
                </c:pt>
                <c:pt idx="24">
                  <c:v>13.445761166818595</c:v>
                </c:pt>
                <c:pt idx="25">
                  <c:v>14.858705560619873</c:v>
                </c:pt>
                <c:pt idx="26">
                  <c:v>8.4776663628076587</c:v>
                </c:pt>
                <c:pt idx="27">
                  <c:v>6.9279854147675488</c:v>
                </c:pt>
                <c:pt idx="28">
                  <c:v>4.1476754785779395</c:v>
                </c:pt>
                <c:pt idx="29">
                  <c:v>3.00820419325433</c:v>
                </c:pt>
                <c:pt idx="30">
                  <c:v>3.828623518687329</c:v>
                </c:pt>
                <c:pt idx="31">
                  <c:v>2.461257976298997</c:v>
                </c:pt>
                <c:pt idx="32">
                  <c:v>1.6864175022789425</c:v>
                </c:pt>
                <c:pt idx="33">
                  <c:v>1.0938924339106655</c:v>
                </c:pt>
                <c:pt idx="34">
                  <c:v>0.41020966271649956</c:v>
                </c:pt>
                <c:pt idx="35">
                  <c:v>0.50136736554238837</c:v>
                </c:pt>
                <c:pt idx="36">
                  <c:v>0.31905195989061075</c:v>
                </c:pt>
                <c:pt idx="37">
                  <c:v>0.22789425706472194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marker val="1"/>
        <c:axId val="203784192"/>
        <c:axId val="203785728"/>
      </c:lineChart>
      <c:catAx>
        <c:axId val="203784192"/>
        <c:scaling>
          <c:orientation val="minMax"/>
        </c:scaling>
        <c:axPos val="b"/>
        <c:numFmt formatCode="General" sourceLinked="1"/>
        <c:majorTickMark val="in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203785728"/>
        <c:crosses val="autoZero"/>
        <c:auto val="1"/>
        <c:lblAlgn val="ctr"/>
        <c:lblOffset val="100"/>
        <c:tickLblSkip val="5"/>
      </c:catAx>
      <c:valAx>
        <c:axId val="203785728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GB"/>
                  <a:t>percentage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GB"/>
            </a:pPr>
            <a:endParaRPr lang="nl-NL"/>
          </a:p>
        </c:txPr>
        <c:crossAx val="20378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77911646586624"/>
          <c:y val="7.1011802332655444E-2"/>
          <c:w val="0.11538726333907046"/>
          <c:h val="0.39918131094540404"/>
        </c:manualLayout>
      </c:layout>
      <c:spPr>
        <a:ln>
          <a:solidFill>
            <a:schemeClr val="tx1"/>
          </a:solidFill>
        </a:ln>
      </c:spPr>
      <c:txPr>
        <a:bodyPr/>
        <a:lstStyle/>
        <a:p>
          <a:pPr>
            <a:defRPr lang="en-GB"/>
          </a:pPr>
          <a:endParaRPr lang="nl-NL"/>
        </a:p>
      </c:txPr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5.3519834410942532E-2"/>
          <c:y val="7.8683834048640919E-2"/>
          <c:w val="0.8414385701787277"/>
          <c:h val="0.74747220438646889"/>
        </c:manualLayout>
      </c:layout>
      <c:barChart>
        <c:barDir val="col"/>
        <c:grouping val="clustered"/>
        <c:ser>
          <c:idx val="0"/>
          <c:order val="0"/>
          <c:tx>
            <c:strRef>
              <c:f>Blad1!$H$2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</c:spPr>
          <c:cat>
            <c:numRef>
              <c:f>Blad1!$G$3:$G$38</c:f>
              <c:numCache>
                <c:formatCode>General</c:formatCode>
                <c:ptCount val="3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</c:numCache>
            </c:numRef>
          </c:cat>
          <c:val>
            <c:numRef>
              <c:f>Blad1!$H$3:$H$38</c:f>
              <c:numCache>
                <c:formatCode>General</c:formatCode>
                <c:ptCount val="36"/>
                <c:pt idx="10" formatCode="0">
                  <c:v>0</c:v>
                </c:pt>
                <c:pt idx="11" formatCode="0">
                  <c:v>1.7022725338326668E-2</c:v>
                </c:pt>
                <c:pt idx="12" formatCode="0">
                  <c:v>0.42556813345816669</c:v>
                </c:pt>
                <c:pt idx="13" formatCode="0">
                  <c:v>2.1448633926291603</c:v>
                </c:pt>
                <c:pt idx="14" formatCode="0">
                  <c:v>4.7748744574006299</c:v>
                </c:pt>
                <c:pt idx="15" formatCode="0">
                  <c:v>10.102987488296876</c:v>
                </c:pt>
                <c:pt idx="16" formatCode="0">
                  <c:v>14.077793854796154</c:v>
                </c:pt>
                <c:pt idx="17" formatCode="0">
                  <c:v>13.89054387607456</c:v>
                </c:pt>
                <c:pt idx="18" formatCode="0">
                  <c:v>11.84781683547536</c:v>
                </c:pt>
                <c:pt idx="19" formatCode="0">
                  <c:v>10.741339688484127</c:v>
                </c:pt>
                <c:pt idx="20" formatCode="0">
                  <c:v>8.9539535279598272</c:v>
                </c:pt>
                <c:pt idx="21" formatCode="0">
                  <c:v>5.1323516895054899</c:v>
                </c:pt>
                <c:pt idx="22" formatCode="0">
                  <c:v>4.0854540811983995</c:v>
                </c:pt>
                <c:pt idx="23" formatCode="0">
                  <c:v>3.2598519022895567</c:v>
                </c:pt>
                <c:pt idx="24" formatCode="0">
                  <c:v>2.3831815473657332</c:v>
                </c:pt>
                <c:pt idx="25" formatCode="0">
                  <c:v>1.9235679632309135</c:v>
                </c:pt>
                <c:pt idx="26" formatCode="0">
                  <c:v>1.3277725763894799</c:v>
                </c:pt>
                <c:pt idx="27" formatCode="0">
                  <c:v>1.4128862030811131</c:v>
                </c:pt>
                <c:pt idx="28" formatCode="0">
                  <c:v>0.99582943229210996</c:v>
                </c:pt>
                <c:pt idx="29" formatCode="0">
                  <c:v>1.1234998723295599</c:v>
                </c:pt>
                <c:pt idx="30" formatCode="0">
                  <c:v>0.55323857349561667</c:v>
                </c:pt>
                <c:pt idx="31" formatCode="0">
                  <c:v>0.27236360541322668</c:v>
                </c:pt>
                <c:pt idx="32" formatCode="0">
                  <c:v>0.36598859477402335</c:v>
                </c:pt>
                <c:pt idx="33" formatCode="0">
                  <c:v>0.11064771469912332</c:v>
                </c:pt>
                <c:pt idx="34" formatCode="0">
                  <c:v>4.2556813345816666E-2</c:v>
                </c:pt>
                <c:pt idx="35" formatCode="0">
                  <c:v>2.5534088007490002E-2</c:v>
                </c:pt>
              </c:numCache>
            </c:numRef>
          </c:val>
        </c:ser>
        <c:gapWidth val="50"/>
        <c:axId val="207561472"/>
        <c:axId val="207563008"/>
      </c:barChart>
      <c:catAx>
        <c:axId val="20756147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7563008"/>
        <c:crosses val="autoZero"/>
        <c:auto val="1"/>
        <c:lblAlgn val="ctr"/>
        <c:lblOffset val="100"/>
        <c:tickLblSkip val="5"/>
      </c:catAx>
      <c:valAx>
        <c:axId val="20756300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7561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5.3519834410942532E-2"/>
          <c:y val="7.8683834048640933E-2"/>
          <c:w val="0.8414385701787277"/>
          <c:h val="0.74747220438646889"/>
        </c:manualLayout>
      </c:layout>
      <c:barChart>
        <c:barDir val="col"/>
        <c:grouping val="clustered"/>
        <c:ser>
          <c:idx val="0"/>
          <c:order val="0"/>
          <c:tx>
            <c:strRef>
              <c:f>Blad1!$I$2</c:f>
              <c:strCache>
                <c:ptCount val="1"/>
                <c:pt idx="0">
                  <c:v>2008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cat>
            <c:numRef>
              <c:f>Blad1!$G$3:$G$38</c:f>
              <c:numCache>
                <c:formatCode>General</c:formatCode>
                <c:ptCount val="3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</c:numCache>
            </c:numRef>
          </c:cat>
          <c:val>
            <c:numRef>
              <c:f>Blad1!$I$3:$I$38</c:f>
              <c:numCache>
                <c:formatCode>General</c:formatCode>
                <c:ptCount val="36"/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1.4158289678606824E-2</c:v>
                </c:pt>
                <c:pt idx="15" formatCode="0">
                  <c:v>0.27608664873283306</c:v>
                </c:pt>
                <c:pt idx="16" formatCode="0">
                  <c:v>0.65128132521591386</c:v>
                </c:pt>
                <c:pt idx="17" formatCode="0">
                  <c:v>4.2687243380999575</c:v>
                </c:pt>
                <c:pt idx="18" formatCode="0">
                  <c:v>12.473453206852612</c:v>
                </c:pt>
                <c:pt idx="19" formatCode="0">
                  <c:v>14.675067251875973</c:v>
                </c:pt>
                <c:pt idx="20" formatCode="0">
                  <c:v>12.79909386946057</c:v>
                </c:pt>
                <c:pt idx="21" formatCode="0">
                  <c:v>11.213365425456605</c:v>
                </c:pt>
                <c:pt idx="22" formatCode="0">
                  <c:v>9.1250176978620985</c:v>
                </c:pt>
                <c:pt idx="23" formatCode="0">
                  <c:v>7.2065694464108736</c:v>
                </c:pt>
                <c:pt idx="24" formatCode="0">
                  <c:v>6.3358346311765539</c:v>
                </c:pt>
                <c:pt idx="25" formatCode="0">
                  <c:v>4.799660201047713</c:v>
                </c:pt>
                <c:pt idx="26" formatCode="0">
                  <c:v>4.035112558402945</c:v>
                </c:pt>
                <c:pt idx="27" formatCode="0">
                  <c:v>3.1714568880079286</c:v>
                </c:pt>
                <c:pt idx="28" formatCode="0">
                  <c:v>2.4635424040775877</c:v>
                </c:pt>
                <c:pt idx="29" formatCode="0">
                  <c:v>2.0600311482372931</c:v>
                </c:pt>
                <c:pt idx="30" formatCode="0">
                  <c:v>1.4229081126999858</c:v>
                </c:pt>
                <c:pt idx="31" formatCode="0">
                  <c:v>1.0760300155741187</c:v>
                </c:pt>
                <c:pt idx="32" formatCode="0">
                  <c:v>0.84241823587710607</c:v>
                </c:pt>
                <c:pt idx="33" formatCode="0">
                  <c:v>0.5096984284298457</c:v>
                </c:pt>
                <c:pt idx="34" formatCode="0">
                  <c:v>0.24777006937561941</c:v>
                </c:pt>
                <c:pt idx="35" formatCode="0">
                  <c:v>0.16989947614328188</c:v>
                </c:pt>
              </c:numCache>
            </c:numRef>
          </c:val>
        </c:ser>
        <c:gapWidth val="50"/>
        <c:axId val="201969024"/>
        <c:axId val="201979008"/>
      </c:barChart>
      <c:catAx>
        <c:axId val="20196902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1979008"/>
        <c:crosses val="autoZero"/>
        <c:auto val="1"/>
        <c:lblAlgn val="ctr"/>
        <c:lblOffset val="100"/>
        <c:tickLblSkip val="5"/>
      </c:catAx>
      <c:valAx>
        <c:axId val="20197900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19690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5.3519834410942532E-2"/>
          <c:y val="7.8683834048640933E-2"/>
          <c:w val="0.8414385701787277"/>
          <c:h val="0.74747220438646889"/>
        </c:manualLayout>
      </c:layout>
      <c:barChart>
        <c:barDir val="col"/>
        <c:grouping val="clustered"/>
        <c:ser>
          <c:idx val="0"/>
          <c:order val="0"/>
          <c:tx>
            <c:strRef>
              <c:f>Blad1!$J$2</c:f>
              <c:strCache>
                <c:ptCount val="1"/>
                <c:pt idx="0">
                  <c:v>2009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cat>
            <c:numRef>
              <c:f>Blad1!$G$3:$G$38</c:f>
              <c:numCache>
                <c:formatCode>General</c:formatCode>
                <c:ptCount val="3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</c:numCache>
            </c:numRef>
          </c:cat>
          <c:val>
            <c:numRef>
              <c:f>Blad1!$J$3:$J$38</c:f>
              <c:numCache>
                <c:formatCode>General</c:formatCode>
                <c:ptCount val="36"/>
                <c:pt idx="10" formatCode="0">
                  <c:v>0</c:v>
                </c:pt>
                <c:pt idx="11" formatCode="0">
                  <c:v>1.2713749920539063E-2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6.3568749602695316E-3</c:v>
                </c:pt>
                <c:pt idx="18" formatCode="0">
                  <c:v>0.64840124594749227</c:v>
                </c:pt>
                <c:pt idx="19" formatCode="0">
                  <c:v>6.7192168330048947</c:v>
                </c:pt>
                <c:pt idx="20" formatCode="0">
                  <c:v>15.593414277541159</c:v>
                </c:pt>
                <c:pt idx="21" formatCode="0">
                  <c:v>15.707838026826012</c:v>
                </c:pt>
                <c:pt idx="22" formatCode="0">
                  <c:v>12.580255546373403</c:v>
                </c:pt>
                <c:pt idx="23" formatCode="0">
                  <c:v>10.679549933252813</c:v>
                </c:pt>
                <c:pt idx="24" formatCode="0">
                  <c:v>8.4037886974763207</c:v>
                </c:pt>
                <c:pt idx="25" formatCode="0">
                  <c:v>6.973491831415676</c:v>
                </c:pt>
                <c:pt idx="26" formatCode="0">
                  <c:v>5.5876930900769182</c:v>
                </c:pt>
                <c:pt idx="27" formatCode="0">
                  <c:v>4.0493293496916918</c:v>
                </c:pt>
                <c:pt idx="28" formatCode="0">
                  <c:v>3.3818574788633904</c:v>
                </c:pt>
                <c:pt idx="29" formatCode="0">
                  <c:v>2.797024982518594</c:v>
                </c:pt>
                <c:pt idx="30" formatCode="0">
                  <c:v>2.1613374864916408</c:v>
                </c:pt>
                <c:pt idx="31" formatCode="0">
                  <c:v>1.3095162418155235</c:v>
                </c:pt>
                <c:pt idx="32" formatCode="0">
                  <c:v>1.3921556162990274</c:v>
                </c:pt>
                <c:pt idx="33" formatCode="0">
                  <c:v>0.89631936939800394</c:v>
                </c:pt>
                <c:pt idx="34" formatCode="0">
                  <c:v>0.55940499650371878</c:v>
                </c:pt>
                <c:pt idx="35" formatCode="0">
                  <c:v>0.32420062297374613</c:v>
                </c:pt>
              </c:numCache>
            </c:numRef>
          </c:val>
        </c:ser>
        <c:gapWidth val="50"/>
        <c:axId val="201726592"/>
        <c:axId val="201774592"/>
      </c:barChart>
      <c:catAx>
        <c:axId val="20172659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1774592"/>
        <c:crosses val="autoZero"/>
        <c:auto val="1"/>
        <c:lblAlgn val="ctr"/>
        <c:lblOffset val="100"/>
        <c:tickLblSkip val="5"/>
      </c:catAx>
      <c:valAx>
        <c:axId val="20177459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1726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5.3519834410942532E-2"/>
          <c:y val="7.8683834048640933E-2"/>
          <c:w val="0.8414385701787277"/>
          <c:h val="0.74747220438646889"/>
        </c:manualLayout>
      </c:layout>
      <c:barChart>
        <c:barDir val="col"/>
        <c:grouping val="clustered"/>
        <c:ser>
          <c:idx val="0"/>
          <c:order val="0"/>
          <c:tx>
            <c:strRef>
              <c:f>Blad1!$K$2</c:f>
              <c:strCache>
                <c:ptCount val="1"/>
                <c:pt idx="0">
                  <c:v>2010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cat>
            <c:numRef>
              <c:f>Blad1!$G$3:$G$38</c:f>
              <c:numCache>
                <c:formatCode>General</c:formatCode>
                <c:ptCount val="3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</c:numCache>
            </c:numRef>
          </c:cat>
          <c:val>
            <c:numRef>
              <c:f>Blad1!$K$3:$K$38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1.3960933842795533</c:v>
                </c:pt>
                <c:pt idx="4">
                  <c:v>15.494946439289107</c:v>
                </c:pt>
                <c:pt idx="5">
                  <c:v>24.55157608564139</c:v>
                </c:pt>
                <c:pt idx="6">
                  <c:v>24.04365699103856</c:v>
                </c:pt>
                <c:pt idx="7">
                  <c:v>18.750262676291481</c:v>
                </c:pt>
                <c:pt idx="8">
                  <c:v>14.844592845394599</c:v>
                </c:pt>
                <c:pt idx="9">
                  <c:v>10.011263140274574</c:v>
                </c:pt>
                <c:pt idx="10">
                  <c:v>7.7543796777687026</c:v>
                </c:pt>
                <c:pt idx="11">
                  <c:v>3.6074019615708921</c:v>
                </c:pt>
                <c:pt idx="12">
                  <c:v>1.9006326287834552</c:v>
                </c:pt>
                <c:pt idx="13">
                  <c:v>0.61285512581196588</c:v>
                </c:pt>
                <c:pt idx="14">
                  <c:v>5.7616557841747831E-4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2.8527582869850014E-2</c:v>
                </c:pt>
                <c:pt idx="19">
                  <c:v>0.10019519408679947</c:v>
                </c:pt>
                <c:pt idx="20">
                  <c:v>1.3680226436157215</c:v>
                </c:pt>
                <c:pt idx="21">
                  <c:v>9.4362546812987507</c:v>
                </c:pt>
                <c:pt idx="22">
                  <c:v>17.202480098735229</c:v>
                </c:pt>
                <c:pt idx="23">
                  <c:v>14.943518392269176</c:v>
                </c:pt>
                <c:pt idx="24">
                  <c:v>10.341575714753622</c:v>
                </c:pt>
                <c:pt idx="25">
                  <c:v>8.2059787165253937</c:v>
                </c:pt>
                <c:pt idx="26">
                  <c:v>6.0313235343561917</c:v>
                </c:pt>
                <c:pt idx="27">
                  <c:v>3.6645315955871012</c:v>
                </c:pt>
                <c:pt idx="28">
                  <c:v>3.5152835131697509</c:v>
                </c:pt>
                <c:pt idx="29">
                  <c:v>2.6881089802277409</c:v>
                </c:pt>
                <c:pt idx="30">
                  <c:v>2.1042609947167756</c:v>
                </c:pt>
                <c:pt idx="31">
                  <c:v>1.3462470668655164</c:v>
                </c:pt>
                <c:pt idx="32">
                  <c:v>1.2592516784051968</c:v>
                </c:pt>
                <c:pt idx="33">
                  <c:v>1.4664876678373788</c:v>
                </c:pt>
                <c:pt idx="34">
                  <c:v>1.0052329771773443</c:v>
                </c:pt>
                <c:pt idx="35">
                  <c:v>0.60926156215610194</c:v>
                </c:pt>
              </c:numCache>
            </c:numRef>
          </c:val>
        </c:ser>
        <c:gapWidth val="50"/>
        <c:axId val="197025792"/>
        <c:axId val="197027328"/>
      </c:barChart>
      <c:catAx>
        <c:axId val="19702579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197027328"/>
        <c:crosses val="autoZero"/>
        <c:auto val="1"/>
        <c:lblAlgn val="ctr"/>
        <c:lblOffset val="100"/>
        <c:tickLblSkip val="5"/>
      </c:catAx>
      <c:valAx>
        <c:axId val="197027328"/>
        <c:scaling>
          <c:orientation val="minMax"/>
        </c:scaling>
        <c:axPos val="l"/>
        <c:numFmt formatCode="0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1970257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autoTitleDeleted val="1"/>
    <c:plotArea>
      <c:layout>
        <c:manualLayout>
          <c:layoutTarget val="inner"/>
          <c:xMode val="edge"/>
          <c:yMode val="edge"/>
          <c:x val="5.3519834410942532E-2"/>
          <c:y val="7.8683834048640933E-2"/>
          <c:w val="0.8414385701787277"/>
          <c:h val="0.74747220438646889"/>
        </c:manualLayout>
      </c:layout>
      <c:barChart>
        <c:barDir val="col"/>
        <c:grouping val="clustered"/>
        <c:ser>
          <c:idx val="0"/>
          <c:order val="0"/>
          <c:tx>
            <c:strRef>
              <c:f>Blad1!$L$2</c:f>
              <c:strCache>
                <c:ptCount val="1"/>
                <c:pt idx="0">
                  <c:v>2011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cat>
            <c:numRef>
              <c:f>Blad1!$G$3:$G$38</c:f>
              <c:numCache>
                <c:formatCode>General</c:formatCode>
                <c:ptCount val="3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</c:numCache>
            </c:numRef>
          </c:cat>
          <c:val>
            <c:numRef>
              <c:f>Blad1!$L$3:$L$38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0.22789425706472194</c:v>
                </c:pt>
                <c:pt idx="10">
                  <c:v>2.643573381950775</c:v>
                </c:pt>
                <c:pt idx="11">
                  <c:v>4.193254329990884</c:v>
                </c:pt>
                <c:pt idx="12">
                  <c:v>6.4721969006381039</c:v>
                </c:pt>
                <c:pt idx="13">
                  <c:v>6.2443026435733824</c:v>
                </c:pt>
                <c:pt idx="14">
                  <c:v>6.0619872379216044</c:v>
                </c:pt>
                <c:pt idx="15">
                  <c:v>3.646308113035551</c:v>
                </c:pt>
                <c:pt idx="16">
                  <c:v>1.0027347310847767</c:v>
                </c:pt>
                <c:pt idx="17">
                  <c:v>0.22789425706472194</c:v>
                </c:pt>
                <c:pt idx="18">
                  <c:v>9.1157702825888781E-2</c:v>
                </c:pt>
                <c:pt idx="19">
                  <c:v>4.5578851412944391E-2</c:v>
                </c:pt>
                <c:pt idx="20">
                  <c:v>0</c:v>
                </c:pt>
                <c:pt idx="21">
                  <c:v>0</c:v>
                </c:pt>
                <c:pt idx="22">
                  <c:v>0.95715587967183224</c:v>
                </c:pt>
                <c:pt idx="23">
                  <c:v>6.7912488605287145</c:v>
                </c:pt>
                <c:pt idx="24">
                  <c:v>13.445761166818595</c:v>
                </c:pt>
                <c:pt idx="25">
                  <c:v>14.858705560619873</c:v>
                </c:pt>
                <c:pt idx="26">
                  <c:v>8.4776663628076587</c:v>
                </c:pt>
                <c:pt idx="27">
                  <c:v>6.9279854147675488</c:v>
                </c:pt>
                <c:pt idx="28">
                  <c:v>4.1476754785779395</c:v>
                </c:pt>
                <c:pt idx="29">
                  <c:v>3.00820419325433</c:v>
                </c:pt>
                <c:pt idx="30">
                  <c:v>3.828623518687329</c:v>
                </c:pt>
                <c:pt idx="31">
                  <c:v>2.461257976298997</c:v>
                </c:pt>
                <c:pt idx="32">
                  <c:v>1.6864175022789425</c:v>
                </c:pt>
                <c:pt idx="33">
                  <c:v>1.0938924339106655</c:v>
                </c:pt>
                <c:pt idx="34">
                  <c:v>0.41020966271649956</c:v>
                </c:pt>
                <c:pt idx="35">
                  <c:v>0.50136736554238837</c:v>
                </c:pt>
              </c:numCache>
            </c:numRef>
          </c:val>
        </c:ser>
        <c:gapWidth val="50"/>
        <c:axId val="203084544"/>
        <c:axId val="203087232"/>
      </c:barChart>
      <c:catAx>
        <c:axId val="20308454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3087232"/>
        <c:crosses val="autoZero"/>
        <c:auto val="1"/>
        <c:lblAlgn val="ctr"/>
        <c:lblOffset val="100"/>
        <c:tickLblSkip val="5"/>
      </c:catAx>
      <c:valAx>
        <c:axId val="203087232"/>
        <c:scaling>
          <c:orientation val="minMax"/>
        </c:scaling>
        <c:axPos val="l"/>
        <c:numFmt formatCode="0" sourceLinked="1"/>
        <c:tickLblPos val="nextTo"/>
        <c:txPr>
          <a:bodyPr/>
          <a:lstStyle/>
          <a:p>
            <a:pPr>
              <a:defRPr sz="800"/>
            </a:pPr>
            <a:endParaRPr lang="nl-NL"/>
          </a:p>
        </c:txPr>
        <c:crossAx val="2030845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514349</xdr:colOff>
      <xdr:row>41</xdr:row>
      <xdr:rowOff>9524</xdr:rowOff>
    </xdr:from>
    <xdr:to>
      <xdr:col>10</xdr:col>
      <xdr:colOff>323849</xdr:colOff>
      <xdr:row>55</xdr:row>
      <xdr:rowOff>171449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10</xdr:col>
      <xdr:colOff>333375</xdr:colOff>
      <xdr:row>70</xdr:row>
      <xdr:rowOff>161925</xdr:rowOff>
    </xdr:to>
    <xdr:graphicFrame macro="">
      <xdr:nvGraphicFramePr>
        <xdr:cNvPr id="3" name="Grafie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71</xdr:row>
      <xdr:rowOff>0</xdr:rowOff>
    </xdr:from>
    <xdr:to>
      <xdr:col>10</xdr:col>
      <xdr:colOff>333375</xdr:colOff>
      <xdr:row>85</xdr:row>
      <xdr:rowOff>161925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10</xdr:col>
      <xdr:colOff>333375</xdr:colOff>
      <xdr:row>100</xdr:row>
      <xdr:rowOff>161925</xdr:rowOff>
    </xdr:to>
    <xdr:graphicFrame macro="">
      <xdr:nvGraphicFramePr>
        <xdr:cNvPr id="5" name="Grafiek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101</xdr:row>
      <xdr:rowOff>0</xdr:rowOff>
    </xdr:from>
    <xdr:to>
      <xdr:col>10</xdr:col>
      <xdr:colOff>333375</xdr:colOff>
      <xdr:row>115</xdr:row>
      <xdr:rowOff>161925</xdr:rowOff>
    </xdr:to>
    <xdr:graphicFrame macro="">
      <xdr:nvGraphicFramePr>
        <xdr:cNvPr id="6" name="Grafiek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116</xdr:row>
      <xdr:rowOff>0</xdr:rowOff>
    </xdr:from>
    <xdr:to>
      <xdr:col>10</xdr:col>
      <xdr:colOff>333375</xdr:colOff>
      <xdr:row>130</xdr:row>
      <xdr:rowOff>161925</xdr:rowOff>
    </xdr:to>
    <xdr:graphicFrame macro="">
      <xdr:nvGraphicFramePr>
        <xdr:cNvPr id="7" name="Grafiek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41</xdr:row>
      <xdr:rowOff>9525</xdr:rowOff>
    </xdr:from>
    <xdr:to>
      <xdr:col>19</xdr:col>
      <xdr:colOff>590550</xdr:colOff>
      <xdr:row>55</xdr:row>
      <xdr:rowOff>180975</xdr:rowOff>
    </xdr:to>
    <xdr:graphicFrame macro="">
      <xdr:nvGraphicFramePr>
        <xdr:cNvPr id="8" name="Grafiek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19</xdr:col>
      <xdr:colOff>590550</xdr:colOff>
      <xdr:row>71</xdr:row>
      <xdr:rowOff>171450</xdr:rowOff>
    </xdr:to>
    <xdr:graphicFrame macro="">
      <xdr:nvGraphicFramePr>
        <xdr:cNvPr id="9" name="Grafiek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11</xdr:row>
      <xdr:rowOff>180975</xdr:rowOff>
    </xdr:from>
    <xdr:to>
      <xdr:col>21</xdr:col>
      <xdr:colOff>600074</xdr:colOff>
      <xdr:row>26</xdr:row>
      <xdr:rowOff>171450</xdr:rowOff>
    </xdr:to>
    <xdr:graphicFrame macro="">
      <xdr:nvGraphicFramePr>
        <xdr:cNvPr id="9" name="Grafiek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552449</xdr:colOff>
      <xdr:row>27</xdr:row>
      <xdr:rowOff>152400</xdr:rowOff>
    </xdr:from>
    <xdr:to>
      <xdr:col>21</xdr:col>
      <xdr:colOff>600074</xdr:colOff>
      <xdr:row>42</xdr:row>
      <xdr:rowOff>171450</xdr:rowOff>
    </xdr:to>
    <xdr:graphicFrame macro="">
      <xdr:nvGraphicFramePr>
        <xdr:cNvPr id="3" name="Grafie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44</xdr:row>
      <xdr:rowOff>0</xdr:rowOff>
    </xdr:from>
    <xdr:to>
      <xdr:col>22</xdr:col>
      <xdr:colOff>47625</xdr:colOff>
      <xdr:row>59</xdr:row>
      <xdr:rowOff>19050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60</xdr:row>
      <xdr:rowOff>0</xdr:rowOff>
    </xdr:from>
    <xdr:to>
      <xdr:col>22</xdr:col>
      <xdr:colOff>47625</xdr:colOff>
      <xdr:row>75</xdr:row>
      <xdr:rowOff>19050</xdr:rowOff>
    </xdr:to>
    <xdr:graphicFrame macro="">
      <xdr:nvGraphicFramePr>
        <xdr:cNvPr id="5" name="Grafiek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0.41831</cdr:x>
      <cdr:y>0.15411</cdr:y>
    </cdr:from>
    <cdr:to>
      <cdr:x>0.41831</cdr:x>
      <cdr:y>0.84589</cdr:y>
    </cdr:to>
    <cdr:sp macro="" textlink="">
      <cdr:nvSpPr>
        <cdr:cNvPr id="5" name="Rechte verbindingslijn 4"/>
        <cdr:cNvSpPr/>
      </cdr:nvSpPr>
      <cdr:spPr>
        <a:xfrm xmlns:a="http://schemas.openxmlformats.org/drawingml/2006/main" rot="5400000">
          <a:off x="1257302" y="1390650"/>
          <a:ext cx="1924050" cy="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60</xdr:row>
      <xdr:rowOff>0</xdr:rowOff>
    </xdr:from>
    <xdr:to>
      <xdr:col>22</xdr:col>
      <xdr:colOff>47625</xdr:colOff>
      <xdr:row>75</xdr:row>
      <xdr:rowOff>19050</xdr:rowOff>
    </xdr:to>
    <xdr:graphicFrame macro="">
      <xdr:nvGraphicFramePr>
        <xdr:cNvPr id="5" name="Grafiek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23</xdr:col>
      <xdr:colOff>472440</xdr:colOff>
      <xdr:row>46</xdr:row>
      <xdr:rowOff>15240</xdr:rowOff>
    </xdr:to>
    <xdr:grpSp>
      <xdr:nvGrpSpPr>
        <xdr:cNvPr id="12" name="Groep 11"/>
        <xdr:cNvGrpSpPr/>
      </xdr:nvGrpSpPr>
      <xdr:grpSpPr>
        <a:xfrm>
          <a:off x="7863840" y="182880"/>
          <a:ext cx="6568440" cy="8244840"/>
          <a:chOff x="7863840" y="182880"/>
          <a:chExt cx="6568440" cy="8244840"/>
        </a:xfrm>
      </xdr:grpSpPr>
      <xdr:graphicFrame macro="">
        <xdr:nvGraphicFramePr>
          <xdr:cNvPr id="6" name="Grafiek 5"/>
          <xdr:cNvGraphicFramePr/>
        </xdr:nvGraphicFramePr>
        <xdr:xfrm>
          <a:off x="7871460" y="182880"/>
          <a:ext cx="6560820" cy="16611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8" name="Grafiek 7"/>
          <xdr:cNvGraphicFramePr/>
        </xdr:nvGraphicFramePr>
        <xdr:xfrm>
          <a:off x="7863840" y="1828800"/>
          <a:ext cx="6560820" cy="16611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9" name="Grafiek 8"/>
          <xdr:cNvGraphicFramePr/>
        </xdr:nvGraphicFramePr>
        <xdr:xfrm>
          <a:off x="7863840" y="3474720"/>
          <a:ext cx="6560820" cy="16611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0" name="Grafiek 9"/>
          <xdr:cNvGraphicFramePr/>
        </xdr:nvGraphicFramePr>
        <xdr:xfrm>
          <a:off x="7863840" y="5120640"/>
          <a:ext cx="6560820" cy="16611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1" name="Grafiek 10"/>
          <xdr:cNvGraphicFramePr/>
        </xdr:nvGraphicFramePr>
        <xdr:xfrm>
          <a:off x="7863840" y="6766560"/>
          <a:ext cx="6560820" cy="16611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opLeftCell="A10" workbookViewId="0">
      <selection activeCell="F1" sqref="F1:F1048576"/>
    </sheetView>
  </sheetViews>
  <sheetFormatPr defaultColWidth="9.109375" defaultRowHeight="14.4"/>
  <cols>
    <col min="1" max="1" width="7.88671875" style="6" customWidth="1"/>
    <col min="2" max="4" width="8.6640625" style="5" customWidth="1"/>
    <col min="5" max="16384" width="9.109375" style="6"/>
  </cols>
  <sheetData>
    <row r="1" spans="1:15" ht="15" customHeight="1">
      <c r="A1" s="3"/>
      <c r="B1" s="4"/>
      <c r="C1" s="4"/>
      <c r="D1" s="4"/>
    </row>
    <row r="2" spans="1:15" ht="15" customHeight="1">
      <c r="A2" s="4"/>
      <c r="B2" s="4"/>
      <c r="C2" s="4"/>
      <c r="D2" s="4"/>
    </row>
    <row r="3" spans="1:15" s="7" customFormat="1" ht="15.6">
      <c r="A3" s="7" t="s">
        <v>9</v>
      </c>
      <c r="B3" s="8" t="s">
        <v>12</v>
      </c>
      <c r="C3" s="8" t="s">
        <v>12</v>
      </c>
      <c r="D3" s="8" t="s">
        <v>12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11" customFormat="1">
      <c r="A4" s="9" t="s">
        <v>0</v>
      </c>
      <c r="B4" s="10">
        <v>39902</v>
      </c>
      <c r="C4" s="10">
        <v>39903</v>
      </c>
      <c r="D4" s="10">
        <v>39903</v>
      </c>
      <c r="E4" s="10"/>
      <c r="F4" s="10" t="s">
        <v>13</v>
      </c>
      <c r="G4" s="10"/>
      <c r="H4" s="10"/>
      <c r="I4" s="10"/>
      <c r="J4" s="10"/>
      <c r="K4" s="10"/>
      <c r="L4" s="10"/>
      <c r="M4" s="10"/>
    </row>
    <row r="5" spans="1:15" s="14" customFormat="1">
      <c r="A5" s="12" t="s">
        <v>1</v>
      </c>
      <c r="B5" s="13"/>
      <c r="C5" s="13"/>
      <c r="D5" s="13">
        <v>0.4</v>
      </c>
      <c r="E5" s="13"/>
      <c r="F5" s="13"/>
      <c r="G5" s="13"/>
      <c r="H5" s="13"/>
      <c r="I5" s="13"/>
      <c r="J5" s="13"/>
      <c r="K5" s="13"/>
      <c r="L5" s="13"/>
      <c r="M5" s="13"/>
    </row>
    <row r="6" spans="1:15">
      <c r="A6" s="1" t="s">
        <v>2</v>
      </c>
      <c r="B6" s="5">
        <v>5</v>
      </c>
      <c r="C6" s="5">
        <v>6</v>
      </c>
      <c r="D6" s="5">
        <v>7</v>
      </c>
      <c r="E6" s="15"/>
      <c r="F6" s="5"/>
      <c r="G6" s="5"/>
      <c r="H6" s="5"/>
      <c r="I6" s="5"/>
      <c r="J6" s="15"/>
      <c r="K6" s="5"/>
      <c r="L6" s="5"/>
      <c r="M6" s="5"/>
      <c r="N6" s="5"/>
      <c r="O6" s="5"/>
    </row>
    <row r="7" spans="1:15">
      <c r="A7" s="2">
        <v>20</v>
      </c>
      <c r="E7" s="15"/>
      <c r="F7" s="5">
        <f>SUM(B7:D7)</f>
        <v>0</v>
      </c>
      <c r="G7" s="5"/>
      <c r="H7" s="5"/>
      <c r="I7" s="15"/>
      <c r="J7" s="15"/>
      <c r="K7" s="5"/>
      <c r="L7" s="5"/>
      <c r="M7" s="5"/>
    </row>
    <row r="8" spans="1:15">
      <c r="A8" s="2">
        <v>21</v>
      </c>
      <c r="E8" s="15"/>
      <c r="F8" s="5">
        <f t="shared" ref="F8:F44" si="0">SUM(B8:D8)</f>
        <v>0</v>
      </c>
      <c r="G8" s="5"/>
      <c r="H8" s="5"/>
      <c r="I8" s="15"/>
      <c r="J8" s="15"/>
      <c r="K8" s="5"/>
      <c r="L8" s="5"/>
      <c r="M8" s="5"/>
    </row>
    <row r="9" spans="1:15">
      <c r="A9" s="2">
        <v>22</v>
      </c>
      <c r="E9" s="15"/>
      <c r="F9" s="5">
        <f t="shared" si="0"/>
        <v>0</v>
      </c>
      <c r="G9" s="5"/>
      <c r="H9" s="5"/>
      <c r="I9" s="15"/>
      <c r="J9" s="15"/>
      <c r="K9" s="5"/>
      <c r="L9" s="5"/>
      <c r="M9" s="5"/>
    </row>
    <row r="10" spans="1:15">
      <c r="A10" s="2">
        <v>23</v>
      </c>
      <c r="E10" s="15"/>
      <c r="F10" s="5">
        <f t="shared" si="0"/>
        <v>0</v>
      </c>
      <c r="G10" s="5"/>
      <c r="H10" s="5"/>
      <c r="I10" s="15"/>
      <c r="J10" s="15"/>
      <c r="K10" s="5"/>
      <c r="L10" s="5"/>
      <c r="M10" s="5"/>
    </row>
    <row r="11" spans="1:15">
      <c r="A11" s="2">
        <v>24</v>
      </c>
      <c r="E11" s="15"/>
      <c r="F11" s="5">
        <f t="shared" si="0"/>
        <v>0</v>
      </c>
      <c r="G11" s="5"/>
      <c r="H11" s="5"/>
      <c r="I11" s="15"/>
      <c r="J11" s="15"/>
      <c r="K11" s="5"/>
      <c r="L11" s="5"/>
      <c r="M11" s="5"/>
    </row>
    <row r="12" spans="1:15">
      <c r="A12" s="2">
        <v>25</v>
      </c>
      <c r="E12" s="15"/>
      <c r="F12" s="5">
        <f t="shared" si="0"/>
        <v>0</v>
      </c>
      <c r="G12" s="5"/>
      <c r="H12" s="5"/>
      <c r="I12" s="15"/>
      <c r="J12" s="15"/>
      <c r="K12" s="5"/>
      <c r="L12" s="5"/>
      <c r="M12" s="5"/>
    </row>
    <row r="13" spans="1:15">
      <c r="A13" s="2">
        <v>26</v>
      </c>
      <c r="E13" s="15"/>
      <c r="F13" s="5">
        <f t="shared" si="0"/>
        <v>0</v>
      </c>
      <c r="G13" s="5"/>
      <c r="H13" s="5"/>
      <c r="I13" s="15"/>
      <c r="J13" s="15"/>
      <c r="K13" s="5"/>
      <c r="L13" s="5"/>
      <c r="M13" s="5"/>
    </row>
    <row r="14" spans="1:15">
      <c r="A14" s="2">
        <v>27</v>
      </c>
      <c r="E14" s="15"/>
      <c r="F14" s="5">
        <f t="shared" si="0"/>
        <v>0</v>
      </c>
      <c r="G14" s="5"/>
      <c r="H14" s="5"/>
      <c r="I14" s="15"/>
      <c r="J14" s="15"/>
      <c r="K14" s="5"/>
      <c r="L14" s="5"/>
      <c r="M14" s="5"/>
    </row>
    <row r="15" spans="1:15">
      <c r="A15" s="6">
        <v>28</v>
      </c>
      <c r="E15" s="15"/>
      <c r="F15" s="5">
        <f t="shared" si="0"/>
        <v>0</v>
      </c>
      <c r="G15" s="5"/>
      <c r="H15" s="5"/>
      <c r="I15" s="15"/>
      <c r="J15" s="15"/>
      <c r="K15" s="5"/>
      <c r="L15" s="5"/>
      <c r="M15" s="5"/>
    </row>
    <row r="16" spans="1:15">
      <c r="A16" s="6">
        <v>29</v>
      </c>
      <c r="E16" s="5"/>
      <c r="F16" s="5">
        <f t="shared" si="0"/>
        <v>0</v>
      </c>
      <c r="G16" s="5"/>
      <c r="H16" s="5"/>
      <c r="I16" s="5"/>
      <c r="J16" s="5"/>
      <c r="K16" s="5"/>
      <c r="L16" s="5"/>
      <c r="M16" s="5"/>
    </row>
    <row r="17" spans="1:13">
      <c r="A17" s="6">
        <v>30</v>
      </c>
      <c r="E17" s="5"/>
      <c r="F17" s="5">
        <f t="shared" si="0"/>
        <v>0</v>
      </c>
      <c r="G17" s="5"/>
      <c r="H17" s="5"/>
      <c r="I17" s="5"/>
      <c r="J17" s="5"/>
      <c r="K17" s="5"/>
      <c r="L17" s="5"/>
      <c r="M17" s="5"/>
    </row>
    <row r="18" spans="1:13">
      <c r="A18" s="6">
        <v>31</v>
      </c>
      <c r="E18" s="5"/>
      <c r="F18" s="5">
        <f t="shared" si="0"/>
        <v>0</v>
      </c>
      <c r="G18" s="5"/>
      <c r="H18" s="5"/>
      <c r="I18" s="5"/>
      <c r="J18" s="5"/>
      <c r="K18" s="5"/>
      <c r="L18" s="5"/>
      <c r="M18" s="5"/>
    </row>
    <row r="19" spans="1:13">
      <c r="A19" s="6">
        <v>32</v>
      </c>
      <c r="E19" s="5"/>
      <c r="F19" s="5">
        <f t="shared" si="0"/>
        <v>0</v>
      </c>
      <c r="G19" s="5"/>
      <c r="H19" s="5"/>
      <c r="I19" s="5"/>
      <c r="J19" s="5"/>
      <c r="K19" s="5"/>
      <c r="L19" s="5"/>
      <c r="M19" s="5"/>
    </row>
    <row r="20" spans="1:13">
      <c r="A20" s="6">
        <v>3</v>
      </c>
      <c r="B20" s="5">
        <v>4</v>
      </c>
      <c r="C20" s="5">
        <v>1</v>
      </c>
      <c r="D20" s="5">
        <v>7</v>
      </c>
      <c r="E20" s="5"/>
      <c r="F20" s="5">
        <f t="shared" si="0"/>
        <v>12</v>
      </c>
      <c r="G20" s="5"/>
      <c r="H20" s="5"/>
      <c r="I20" s="5"/>
      <c r="J20" s="5"/>
      <c r="K20" s="5"/>
      <c r="L20" s="5"/>
      <c r="M20" s="5"/>
    </row>
    <row r="21" spans="1:13">
      <c r="A21" s="6">
        <v>4</v>
      </c>
      <c r="B21" s="5">
        <v>31</v>
      </c>
      <c r="C21" s="5">
        <v>14</v>
      </c>
      <c r="D21" s="5">
        <v>6</v>
      </c>
      <c r="E21" s="5"/>
      <c r="F21" s="5">
        <f t="shared" si="0"/>
        <v>51</v>
      </c>
      <c r="G21" s="5"/>
      <c r="H21" s="5"/>
      <c r="I21" s="5"/>
      <c r="J21" s="5"/>
      <c r="K21" s="5"/>
      <c r="L21" s="5"/>
      <c r="M21" s="5"/>
    </row>
    <row r="22" spans="1:13">
      <c r="A22" s="6">
        <v>35</v>
      </c>
      <c r="B22" s="5">
        <v>46</v>
      </c>
      <c r="C22" s="5">
        <v>28</v>
      </c>
      <c r="D22" s="5">
        <v>23</v>
      </c>
      <c r="E22" s="5"/>
      <c r="F22" s="5">
        <f t="shared" si="0"/>
        <v>97</v>
      </c>
      <c r="G22" s="5"/>
      <c r="H22" s="5"/>
      <c r="I22" s="5"/>
      <c r="J22" s="5"/>
      <c r="K22" s="5"/>
      <c r="L22" s="5"/>
      <c r="M22" s="5"/>
    </row>
    <row r="23" spans="1:13">
      <c r="A23" s="6">
        <v>6</v>
      </c>
      <c r="B23" s="5">
        <v>21</v>
      </c>
      <c r="C23" s="5">
        <v>28</v>
      </c>
      <c r="D23" s="5">
        <v>18</v>
      </c>
      <c r="E23" s="5"/>
      <c r="F23" s="5">
        <f t="shared" si="0"/>
        <v>67</v>
      </c>
      <c r="G23" s="5"/>
      <c r="H23" s="5"/>
      <c r="I23" s="5"/>
      <c r="J23" s="5"/>
      <c r="K23" s="5"/>
      <c r="L23" s="5"/>
      <c r="M23" s="5"/>
    </row>
    <row r="24" spans="1:13">
      <c r="A24" s="6">
        <v>7</v>
      </c>
      <c r="B24" s="5">
        <v>17</v>
      </c>
      <c r="C24" s="5">
        <v>22</v>
      </c>
      <c r="D24" s="5">
        <v>20</v>
      </c>
      <c r="E24" s="5"/>
      <c r="F24" s="5">
        <f t="shared" si="0"/>
        <v>59</v>
      </c>
      <c r="G24" s="5"/>
      <c r="H24" s="5"/>
      <c r="I24" s="5"/>
      <c r="J24" s="5"/>
      <c r="K24" s="5"/>
      <c r="L24" s="5"/>
      <c r="M24" s="5"/>
    </row>
    <row r="25" spans="1:13">
      <c r="A25" s="6">
        <v>8</v>
      </c>
      <c r="B25" s="5">
        <v>13</v>
      </c>
      <c r="C25" s="5">
        <v>14</v>
      </c>
      <c r="D25" s="5">
        <v>16</v>
      </c>
      <c r="E25" s="5"/>
      <c r="F25" s="5">
        <f t="shared" si="0"/>
        <v>43</v>
      </c>
      <c r="G25" s="5"/>
      <c r="H25" s="5"/>
      <c r="I25" s="5"/>
      <c r="J25" s="5"/>
      <c r="K25" s="5"/>
      <c r="L25" s="5"/>
      <c r="M25" s="5"/>
    </row>
    <row r="26" spans="1:13">
      <c r="A26" s="6">
        <v>9</v>
      </c>
      <c r="B26" s="5">
        <v>7</v>
      </c>
      <c r="C26" s="5">
        <v>11</v>
      </c>
      <c r="D26" s="5">
        <v>23</v>
      </c>
      <c r="E26" s="5"/>
      <c r="F26" s="5">
        <f t="shared" si="0"/>
        <v>41</v>
      </c>
      <c r="G26" s="5"/>
      <c r="H26" s="5"/>
      <c r="I26" s="5"/>
      <c r="J26" s="5"/>
      <c r="K26" s="5"/>
      <c r="L26" s="5"/>
      <c r="M26" s="5"/>
    </row>
    <row r="27" spans="1:13">
      <c r="A27" s="6">
        <v>40</v>
      </c>
      <c r="B27" s="5">
        <v>8</v>
      </c>
      <c r="C27" s="5">
        <v>7</v>
      </c>
      <c r="D27" s="5">
        <v>7</v>
      </c>
      <c r="E27" s="5"/>
      <c r="F27" s="5">
        <f t="shared" si="0"/>
        <v>22</v>
      </c>
      <c r="G27" s="5"/>
      <c r="H27" s="5"/>
      <c r="I27" s="5"/>
      <c r="J27" s="5"/>
      <c r="K27" s="5"/>
      <c r="L27" s="5"/>
      <c r="M27" s="5"/>
    </row>
    <row r="28" spans="1:13">
      <c r="A28" s="6">
        <v>1</v>
      </c>
      <c r="B28" s="5">
        <v>3</v>
      </c>
      <c r="C28" s="5">
        <v>7</v>
      </c>
      <c r="D28" s="5">
        <v>7</v>
      </c>
      <c r="E28" s="5"/>
      <c r="F28" s="5">
        <f t="shared" si="0"/>
        <v>17</v>
      </c>
      <c r="G28" s="5"/>
      <c r="H28" s="5"/>
      <c r="I28" s="5"/>
      <c r="J28" s="5"/>
      <c r="K28" s="5"/>
      <c r="L28" s="5"/>
      <c r="M28" s="5"/>
    </row>
    <row r="29" spans="1:13">
      <c r="A29" s="6">
        <v>2</v>
      </c>
      <c r="B29" s="5">
        <v>0</v>
      </c>
      <c r="C29" s="5">
        <v>5</v>
      </c>
      <c r="D29" s="5">
        <v>8</v>
      </c>
      <c r="E29" s="5"/>
      <c r="F29" s="5">
        <f t="shared" si="0"/>
        <v>13</v>
      </c>
      <c r="G29" s="5"/>
      <c r="H29" s="5"/>
      <c r="I29" s="5"/>
      <c r="J29" s="5"/>
      <c r="K29" s="5"/>
      <c r="L29" s="5"/>
      <c r="M29" s="5"/>
    </row>
    <row r="30" spans="1:13">
      <c r="A30" s="6">
        <v>3</v>
      </c>
      <c r="B30" s="5">
        <v>4</v>
      </c>
      <c r="C30" s="5">
        <v>4</v>
      </c>
      <c r="D30" s="5">
        <v>4</v>
      </c>
      <c r="E30" s="5"/>
      <c r="F30" s="5">
        <f t="shared" si="0"/>
        <v>12</v>
      </c>
      <c r="G30" s="5"/>
      <c r="H30" s="5"/>
      <c r="I30" s="5"/>
      <c r="J30" s="5"/>
      <c r="K30" s="5"/>
      <c r="L30" s="5"/>
      <c r="M30" s="5"/>
    </row>
    <row r="31" spans="1:13">
      <c r="A31" s="6">
        <v>4</v>
      </c>
      <c r="B31" s="5">
        <v>4</v>
      </c>
      <c r="C31" s="5">
        <v>2</v>
      </c>
      <c r="D31" s="5">
        <v>7</v>
      </c>
      <c r="E31" s="5"/>
      <c r="F31" s="5">
        <f t="shared" si="0"/>
        <v>13</v>
      </c>
      <c r="G31" s="5"/>
      <c r="H31" s="5"/>
      <c r="I31" s="5"/>
      <c r="J31" s="5"/>
      <c r="K31" s="5"/>
      <c r="L31" s="5"/>
      <c r="M31" s="5"/>
    </row>
    <row r="32" spans="1:13">
      <c r="A32" s="6">
        <v>45</v>
      </c>
      <c r="C32" s="5">
        <v>1</v>
      </c>
      <c r="D32" s="5">
        <v>3</v>
      </c>
      <c r="E32" s="5"/>
      <c r="F32" s="5">
        <f t="shared" si="0"/>
        <v>4</v>
      </c>
      <c r="G32" s="5"/>
      <c r="H32" s="5"/>
      <c r="I32" s="5"/>
      <c r="J32" s="5"/>
      <c r="K32" s="5"/>
      <c r="L32" s="5"/>
      <c r="M32" s="5"/>
    </row>
    <row r="33" spans="1:13">
      <c r="A33" s="6">
        <v>6</v>
      </c>
      <c r="D33" s="5">
        <v>1</v>
      </c>
      <c r="E33" s="5"/>
      <c r="F33" s="5">
        <f t="shared" si="0"/>
        <v>1</v>
      </c>
      <c r="G33" s="5"/>
      <c r="H33" s="5"/>
      <c r="I33" s="5"/>
      <c r="J33" s="5"/>
      <c r="K33" s="5"/>
      <c r="L33" s="5"/>
      <c r="M33" s="5"/>
    </row>
    <row r="34" spans="1:13">
      <c r="A34" s="6">
        <v>7</v>
      </c>
      <c r="D34" s="5">
        <v>1</v>
      </c>
      <c r="E34" s="5"/>
      <c r="F34" s="5">
        <f t="shared" si="0"/>
        <v>1</v>
      </c>
      <c r="G34" s="5"/>
      <c r="H34" s="5"/>
      <c r="I34" s="5"/>
      <c r="J34" s="5"/>
      <c r="K34" s="5"/>
      <c r="L34" s="5"/>
      <c r="M34" s="5"/>
    </row>
    <row r="35" spans="1:13">
      <c r="A35" s="6">
        <v>8</v>
      </c>
      <c r="E35" s="5"/>
      <c r="F35" s="5">
        <f t="shared" si="0"/>
        <v>0</v>
      </c>
      <c r="G35" s="5"/>
      <c r="H35" s="5"/>
      <c r="I35" s="5"/>
      <c r="J35" s="5"/>
      <c r="K35" s="5"/>
      <c r="L35" s="5"/>
      <c r="M35" s="5"/>
    </row>
    <row r="36" spans="1:13">
      <c r="A36" s="6">
        <v>9</v>
      </c>
      <c r="D36" s="5">
        <v>1</v>
      </c>
      <c r="E36" s="5"/>
      <c r="F36" s="5">
        <f t="shared" si="0"/>
        <v>1</v>
      </c>
      <c r="G36" s="5"/>
      <c r="H36" s="5"/>
      <c r="I36" s="5"/>
      <c r="J36" s="5"/>
      <c r="K36" s="5"/>
      <c r="L36" s="5"/>
      <c r="M36" s="5"/>
    </row>
    <row r="37" spans="1:13">
      <c r="A37" s="6">
        <v>50</v>
      </c>
      <c r="E37" s="5"/>
      <c r="F37" s="5">
        <f t="shared" si="0"/>
        <v>0</v>
      </c>
      <c r="G37" s="5"/>
      <c r="H37" s="5"/>
      <c r="I37" s="5"/>
      <c r="J37" s="5"/>
      <c r="K37" s="5"/>
      <c r="L37" s="5"/>
      <c r="M37" s="5"/>
    </row>
    <row r="38" spans="1:13">
      <c r="A38" s="6">
        <v>1</v>
      </c>
      <c r="E38" s="5"/>
      <c r="F38" s="5">
        <f t="shared" si="0"/>
        <v>0</v>
      </c>
      <c r="G38" s="5"/>
      <c r="H38" s="5"/>
      <c r="I38" s="5"/>
      <c r="J38" s="5"/>
      <c r="K38" s="5"/>
      <c r="L38" s="5"/>
      <c r="M38" s="5"/>
    </row>
    <row r="39" spans="1:13">
      <c r="A39" s="6">
        <v>2</v>
      </c>
      <c r="E39" s="5"/>
      <c r="F39" s="5">
        <f t="shared" si="0"/>
        <v>0</v>
      </c>
      <c r="G39" s="5"/>
      <c r="H39" s="5"/>
      <c r="I39" s="5"/>
      <c r="J39" s="5"/>
      <c r="K39" s="5"/>
      <c r="L39" s="5"/>
      <c r="M39" s="5"/>
    </row>
    <row r="40" spans="1:13">
      <c r="A40" s="6">
        <v>3</v>
      </c>
      <c r="E40" s="5"/>
      <c r="F40" s="5">
        <f t="shared" si="0"/>
        <v>0</v>
      </c>
      <c r="G40" s="5"/>
      <c r="H40" s="5"/>
      <c r="I40" s="5"/>
      <c r="J40" s="5"/>
      <c r="K40" s="5"/>
      <c r="L40" s="5"/>
      <c r="M40" s="5"/>
    </row>
    <row r="41" spans="1:13">
      <c r="A41" s="6">
        <v>4</v>
      </c>
      <c r="E41" s="5"/>
      <c r="F41" s="5">
        <f t="shared" si="0"/>
        <v>0</v>
      </c>
      <c r="G41" s="5"/>
      <c r="H41" s="5"/>
      <c r="I41" s="5"/>
      <c r="J41" s="5"/>
      <c r="K41" s="5"/>
      <c r="L41" s="5"/>
      <c r="M41" s="5"/>
    </row>
    <row r="42" spans="1:13">
      <c r="A42" s="6">
        <v>55</v>
      </c>
      <c r="E42" s="5"/>
      <c r="F42" s="5">
        <f t="shared" si="0"/>
        <v>0</v>
      </c>
      <c r="G42" s="5"/>
      <c r="H42" s="5"/>
      <c r="I42" s="5"/>
      <c r="J42" s="5"/>
      <c r="K42" s="5"/>
      <c r="L42" s="5"/>
      <c r="M42" s="5"/>
    </row>
    <row r="43" spans="1:13">
      <c r="A43" s="6" t="s">
        <v>11</v>
      </c>
      <c r="B43" s="5">
        <f>SUM(B7:B42)</f>
        <v>158</v>
      </c>
      <c r="C43" s="5">
        <f t="shared" ref="C43:D43" si="1">SUM(C7:C42)</f>
        <v>144</v>
      </c>
      <c r="D43" s="5">
        <f t="shared" si="1"/>
        <v>152</v>
      </c>
      <c r="E43" s="5"/>
      <c r="F43" s="5">
        <f t="shared" si="0"/>
        <v>454</v>
      </c>
      <c r="G43" s="5"/>
      <c r="H43" s="5"/>
      <c r="I43" s="5"/>
      <c r="J43" s="5"/>
      <c r="K43" s="5"/>
      <c r="L43" s="5"/>
      <c r="M43" s="5"/>
    </row>
    <row r="44" spans="1:13">
      <c r="A44" s="6" t="s">
        <v>4</v>
      </c>
      <c r="B44" s="5">
        <v>96.5</v>
      </c>
      <c r="C44" s="5">
        <v>85.9</v>
      </c>
      <c r="D44" s="5">
        <v>99.8</v>
      </c>
      <c r="E44" s="5"/>
      <c r="F44" s="5">
        <f t="shared" si="0"/>
        <v>282.2</v>
      </c>
      <c r="G44" s="5"/>
      <c r="H44" s="5"/>
      <c r="I44" s="5"/>
      <c r="J44" s="5"/>
      <c r="K44" s="5"/>
      <c r="L44" s="5"/>
      <c r="M44" s="5"/>
    </row>
    <row r="45" spans="1:13"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6" t="s">
        <v>6</v>
      </c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6" t="s">
        <v>7</v>
      </c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6" t="s">
        <v>8</v>
      </c>
      <c r="E48" s="5"/>
      <c r="F48" s="5"/>
      <c r="G48" s="5"/>
      <c r="H48" s="5"/>
      <c r="I48" s="5"/>
      <c r="J48" s="5"/>
      <c r="K48" s="5"/>
      <c r="L48" s="5"/>
      <c r="M4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8"/>
  <sheetViews>
    <sheetView topLeftCell="Y1" workbookViewId="0">
      <selection activeCell="AO44" sqref="AO44"/>
    </sheetView>
  </sheetViews>
  <sheetFormatPr defaultColWidth="9.109375" defaultRowHeight="14.4"/>
  <cols>
    <col min="1" max="1" width="7.88671875" style="6" customWidth="1"/>
    <col min="2" max="38" width="9.109375" style="6"/>
    <col min="39" max="39" width="8.6640625" style="5" customWidth="1"/>
    <col min="40" max="16384" width="9.109375" style="6"/>
  </cols>
  <sheetData>
    <row r="1" spans="1:41" ht="15" customHeight="1">
      <c r="A1" s="3"/>
      <c r="AM1" s="4"/>
    </row>
    <row r="2" spans="1:41" ht="15" customHeight="1">
      <c r="A2" s="4"/>
      <c r="AM2" s="4"/>
    </row>
    <row r="3" spans="1:41" s="7" customFormat="1" ht="15.6">
      <c r="A3" s="7" t="s">
        <v>9</v>
      </c>
      <c r="B3" s="8" t="s">
        <v>12</v>
      </c>
      <c r="C3" s="8" t="s">
        <v>12</v>
      </c>
      <c r="D3" s="8" t="s">
        <v>12</v>
      </c>
      <c r="E3" s="8" t="s">
        <v>12</v>
      </c>
      <c r="F3" s="8" t="s">
        <v>12</v>
      </c>
      <c r="G3" s="8" t="s">
        <v>12</v>
      </c>
      <c r="H3" s="8" t="s">
        <v>12</v>
      </c>
      <c r="I3" s="8" t="s">
        <v>12</v>
      </c>
      <c r="J3" s="8" t="s">
        <v>12</v>
      </c>
      <c r="K3" s="8" t="s">
        <v>12</v>
      </c>
      <c r="L3" s="8" t="s">
        <v>12</v>
      </c>
      <c r="M3" s="8" t="s">
        <v>12</v>
      </c>
      <c r="N3" s="8" t="s">
        <v>12</v>
      </c>
      <c r="O3" s="8" t="s">
        <v>12</v>
      </c>
      <c r="P3" s="8" t="s">
        <v>12</v>
      </c>
      <c r="Q3" s="8" t="s">
        <v>12</v>
      </c>
      <c r="R3" s="8" t="s">
        <v>12</v>
      </c>
      <c r="S3" s="8" t="s">
        <v>12</v>
      </c>
      <c r="T3" s="8" t="s">
        <v>12</v>
      </c>
      <c r="U3" s="8" t="s">
        <v>12</v>
      </c>
      <c r="V3" s="8" t="s">
        <v>12</v>
      </c>
      <c r="W3" s="8" t="s">
        <v>12</v>
      </c>
      <c r="X3" s="8" t="s">
        <v>12</v>
      </c>
      <c r="Y3" s="8" t="s">
        <v>12</v>
      </c>
      <c r="Z3" s="8" t="s">
        <v>12</v>
      </c>
      <c r="AA3" s="8" t="s">
        <v>12</v>
      </c>
      <c r="AB3" s="8" t="s">
        <v>12</v>
      </c>
      <c r="AC3" s="8" t="s">
        <v>12</v>
      </c>
      <c r="AD3" s="8" t="s">
        <v>12</v>
      </c>
      <c r="AE3" s="8" t="s">
        <v>12</v>
      </c>
      <c r="AF3" s="8" t="s">
        <v>12</v>
      </c>
      <c r="AG3" s="8" t="s">
        <v>12</v>
      </c>
      <c r="AH3" s="8" t="s">
        <v>12</v>
      </c>
      <c r="AI3" s="8" t="s">
        <v>12</v>
      </c>
      <c r="AJ3" s="8" t="s">
        <v>12</v>
      </c>
      <c r="AK3" s="8" t="s">
        <v>12</v>
      </c>
      <c r="AL3" s="8" t="s">
        <v>12</v>
      </c>
      <c r="AM3" s="8" t="s">
        <v>10</v>
      </c>
      <c r="AO3" s="7" t="s">
        <v>14</v>
      </c>
    </row>
    <row r="4" spans="1:41" s="11" customFormat="1">
      <c r="A4" s="9" t="s">
        <v>0</v>
      </c>
      <c r="B4" s="10">
        <v>39905</v>
      </c>
      <c r="C4" s="10">
        <v>39906</v>
      </c>
      <c r="D4" s="10">
        <v>39906</v>
      </c>
      <c r="E4" s="10">
        <v>39907</v>
      </c>
      <c r="F4" s="10">
        <v>39908</v>
      </c>
      <c r="G4" s="10">
        <v>39908</v>
      </c>
      <c r="H4" s="10">
        <v>39908</v>
      </c>
      <c r="I4" s="10">
        <v>39909</v>
      </c>
      <c r="J4" s="10">
        <v>39911</v>
      </c>
      <c r="K4" s="10">
        <v>39911</v>
      </c>
      <c r="L4" s="10">
        <v>39912</v>
      </c>
      <c r="M4" s="10">
        <v>39913</v>
      </c>
      <c r="N4" s="10">
        <v>39914</v>
      </c>
      <c r="O4" s="10">
        <v>39915</v>
      </c>
      <c r="P4" s="10">
        <v>39916</v>
      </c>
      <c r="Q4" s="10">
        <v>39918</v>
      </c>
      <c r="R4" s="10">
        <v>39919</v>
      </c>
      <c r="S4" s="10">
        <v>39919</v>
      </c>
      <c r="T4" s="10">
        <v>39920</v>
      </c>
      <c r="U4" s="10">
        <v>39920</v>
      </c>
      <c r="V4" s="10">
        <v>39921</v>
      </c>
      <c r="W4" s="10">
        <v>39921</v>
      </c>
      <c r="X4" s="10">
        <v>39921</v>
      </c>
      <c r="Y4" s="10">
        <v>39922</v>
      </c>
      <c r="Z4" s="10">
        <v>39922</v>
      </c>
      <c r="AA4" s="10">
        <v>39923</v>
      </c>
      <c r="AB4" s="10">
        <v>39923</v>
      </c>
      <c r="AC4" s="10">
        <v>39924</v>
      </c>
      <c r="AD4" s="10">
        <v>39925</v>
      </c>
      <c r="AE4" s="10">
        <v>39925</v>
      </c>
      <c r="AF4" s="10">
        <v>39926</v>
      </c>
      <c r="AG4" s="10">
        <v>39927</v>
      </c>
      <c r="AH4" s="10">
        <v>39927</v>
      </c>
      <c r="AI4" s="10">
        <v>39927</v>
      </c>
      <c r="AJ4" s="10">
        <v>39928</v>
      </c>
      <c r="AK4" s="10">
        <v>39929</v>
      </c>
      <c r="AL4" s="10">
        <v>39929</v>
      </c>
      <c r="AM4" s="10">
        <v>39931</v>
      </c>
    </row>
    <row r="5" spans="1:41" s="14" customFormat="1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>
        <v>23</v>
      </c>
    </row>
    <row r="6" spans="1:41">
      <c r="A6" s="1" t="s">
        <v>2</v>
      </c>
      <c r="B6" s="5">
        <v>11</v>
      </c>
      <c r="C6" s="5">
        <v>12</v>
      </c>
      <c r="D6" s="5">
        <v>13</v>
      </c>
      <c r="E6" s="5">
        <v>14</v>
      </c>
      <c r="F6" s="15">
        <v>15</v>
      </c>
      <c r="G6" s="15">
        <v>16</v>
      </c>
      <c r="H6" s="15">
        <v>17</v>
      </c>
      <c r="I6" s="15">
        <v>18</v>
      </c>
      <c r="J6" s="5">
        <v>21</v>
      </c>
      <c r="K6" s="5">
        <v>22</v>
      </c>
      <c r="L6" s="5">
        <v>23</v>
      </c>
      <c r="M6" s="5">
        <v>24</v>
      </c>
      <c r="N6" s="5">
        <v>25</v>
      </c>
      <c r="O6" s="5">
        <v>26</v>
      </c>
      <c r="P6" s="5">
        <v>28</v>
      </c>
      <c r="Q6" s="5">
        <v>29</v>
      </c>
      <c r="R6" s="5">
        <v>30</v>
      </c>
      <c r="S6" s="15">
        <v>31</v>
      </c>
      <c r="T6" s="15">
        <v>32</v>
      </c>
      <c r="U6" s="5">
        <v>33</v>
      </c>
      <c r="V6" s="5">
        <v>34</v>
      </c>
      <c r="W6" s="5">
        <v>35</v>
      </c>
      <c r="X6" s="5">
        <v>36</v>
      </c>
      <c r="Y6" s="5">
        <v>38</v>
      </c>
      <c r="Z6" s="5">
        <v>39</v>
      </c>
      <c r="AA6" s="15">
        <v>40</v>
      </c>
      <c r="AB6" s="15">
        <v>41</v>
      </c>
      <c r="AC6" s="5">
        <v>42</v>
      </c>
      <c r="AD6" s="5">
        <v>44</v>
      </c>
      <c r="AE6" s="5">
        <v>45</v>
      </c>
      <c r="AF6" s="5">
        <v>46</v>
      </c>
      <c r="AG6" s="5">
        <v>47</v>
      </c>
      <c r="AH6" s="15">
        <v>48</v>
      </c>
      <c r="AI6" s="5">
        <v>49</v>
      </c>
      <c r="AJ6" s="5">
        <v>50</v>
      </c>
      <c r="AK6" s="5">
        <v>51</v>
      </c>
      <c r="AL6" s="15">
        <v>52</v>
      </c>
      <c r="AM6" s="5">
        <v>1</v>
      </c>
    </row>
    <row r="7" spans="1:41">
      <c r="A7" s="2">
        <v>20</v>
      </c>
      <c r="B7" s="5"/>
      <c r="C7" s="5"/>
      <c r="D7" s="5"/>
      <c r="E7" s="5"/>
      <c r="F7" s="15"/>
      <c r="G7" s="15"/>
      <c r="H7" s="15"/>
      <c r="I7" s="15"/>
      <c r="J7" s="5"/>
      <c r="K7" s="5"/>
      <c r="L7" s="5"/>
      <c r="M7" s="5"/>
      <c r="N7" s="5"/>
      <c r="O7" s="5"/>
      <c r="P7" s="5"/>
      <c r="Q7" s="5"/>
      <c r="R7" s="5"/>
      <c r="S7" s="15"/>
      <c r="T7" s="15"/>
      <c r="U7" s="5"/>
      <c r="V7" s="5"/>
      <c r="W7" s="5"/>
      <c r="X7" s="5"/>
      <c r="Y7" s="5"/>
      <c r="Z7" s="5"/>
      <c r="AA7" s="15"/>
      <c r="AB7" s="15"/>
      <c r="AC7" s="5"/>
      <c r="AD7" s="5"/>
      <c r="AE7" s="5"/>
      <c r="AF7" s="5"/>
      <c r="AG7" s="15"/>
      <c r="AH7" s="15"/>
      <c r="AI7" s="5"/>
      <c r="AJ7" s="5"/>
      <c r="AK7" s="5"/>
      <c r="AL7" s="15"/>
      <c r="AO7" s="6">
        <f>SUM(B7:AM7)</f>
        <v>0</v>
      </c>
    </row>
    <row r="8" spans="1:41">
      <c r="A8" s="2">
        <v>21</v>
      </c>
      <c r="B8" s="5"/>
      <c r="C8" s="5"/>
      <c r="D8" s="5">
        <v>1</v>
      </c>
      <c r="E8" s="5"/>
      <c r="F8" s="15"/>
      <c r="G8" s="15"/>
      <c r="H8" s="15">
        <v>1</v>
      </c>
      <c r="I8" s="15"/>
      <c r="J8" s="5"/>
      <c r="K8" s="5"/>
      <c r="L8" s="5"/>
      <c r="M8" s="5"/>
      <c r="N8" s="5"/>
      <c r="O8" s="5"/>
      <c r="P8" s="5"/>
      <c r="Q8" s="5"/>
      <c r="R8" s="5"/>
      <c r="S8" s="15"/>
      <c r="T8" s="15"/>
      <c r="U8" s="5"/>
      <c r="V8" s="5"/>
      <c r="W8" s="5"/>
      <c r="X8" s="5"/>
      <c r="Y8" s="5"/>
      <c r="Z8" s="5"/>
      <c r="AA8" s="15"/>
      <c r="AB8" s="15"/>
      <c r="AC8" s="5"/>
      <c r="AD8" s="5"/>
      <c r="AE8" s="5"/>
      <c r="AF8" s="5"/>
      <c r="AG8" s="15"/>
      <c r="AH8" s="15"/>
      <c r="AI8" s="5"/>
      <c r="AJ8" s="5"/>
      <c r="AK8" s="5"/>
      <c r="AL8" s="15"/>
      <c r="AO8" s="6">
        <f t="shared" ref="AO8:AO42" si="0">SUM(B8:AM8)</f>
        <v>2</v>
      </c>
    </row>
    <row r="9" spans="1:41">
      <c r="A9" s="2">
        <v>22</v>
      </c>
      <c r="B9" s="5"/>
      <c r="C9" s="5"/>
      <c r="D9" s="5"/>
      <c r="E9" s="5"/>
      <c r="F9" s="15"/>
      <c r="G9" s="15"/>
      <c r="H9" s="15"/>
      <c r="I9" s="15"/>
      <c r="J9" s="5"/>
      <c r="K9" s="5"/>
      <c r="L9" s="5"/>
      <c r="M9" s="5"/>
      <c r="N9" s="5">
        <v>3</v>
      </c>
      <c r="O9" s="5"/>
      <c r="P9" s="5"/>
      <c r="Q9" s="5"/>
      <c r="R9" s="5"/>
      <c r="S9" s="15"/>
      <c r="T9" s="15"/>
      <c r="U9" s="5"/>
      <c r="V9" s="5"/>
      <c r="W9" s="5"/>
      <c r="X9" s="5"/>
      <c r="Y9" s="5"/>
      <c r="Z9" s="5"/>
      <c r="AA9" s="15"/>
      <c r="AB9" s="15"/>
      <c r="AC9" s="5"/>
      <c r="AD9" s="5"/>
      <c r="AE9" s="5"/>
      <c r="AF9" s="5"/>
      <c r="AG9" s="15"/>
      <c r="AH9" s="15"/>
      <c r="AI9" s="5"/>
      <c r="AJ9" s="5"/>
      <c r="AK9" s="5"/>
      <c r="AL9" s="15"/>
      <c r="AO9" s="6">
        <f t="shared" si="0"/>
        <v>3</v>
      </c>
    </row>
    <row r="10" spans="1:41">
      <c r="A10" s="2">
        <v>23</v>
      </c>
      <c r="B10" s="5"/>
      <c r="C10" s="5"/>
      <c r="D10" s="5"/>
      <c r="E10" s="5"/>
      <c r="F10" s="15"/>
      <c r="G10" s="15">
        <v>1</v>
      </c>
      <c r="H10" s="15"/>
      <c r="I10" s="15"/>
      <c r="J10" s="5"/>
      <c r="K10" s="5"/>
      <c r="L10" s="5"/>
      <c r="M10" s="5"/>
      <c r="N10" s="5">
        <v>1</v>
      </c>
      <c r="O10" s="5"/>
      <c r="P10" s="5"/>
      <c r="Q10" s="5"/>
      <c r="R10" s="5"/>
      <c r="S10" s="15"/>
      <c r="T10" s="15"/>
      <c r="U10" s="5"/>
      <c r="V10" s="5"/>
      <c r="W10" s="5"/>
      <c r="X10" s="5"/>
      <c r="Y10" s="5"/>
      <c r="Z10" s="5"/>
      <c r="AA10" s="15"/>
      <c r="AB10" s="15"/>
      <c r="AC10" s="5"/>
      <c r="AD10" s="5"/>
      <c r="AE10" s="5"/>
      <c r="AF10" s="5"/>
      <c r="AG10" s="15"/>
      <c r="AH10" s="15"/>
      <c r="AI10" s="5"/>
      <c r="AJ10" s="5"/>
      <c r="AK10" s="5"/>
      <c r="AL10" s="15"/>
      <c r="AO10" s="6">
        <f t="shared" si="0"/>
        <v>2</v>
      </c>
    </row>
    <row r="11" spans="1:41">
      <c r="A11" s="2">
        <v>24</v>
      </c>
      <c r="B11" s="5"/>
      <c r="C11" s="5"/>
      <c r="D11" s="5"/>
      <c r="E11" s="5"/>
      <c r="F11" s="15"/>
      <c r="G11" s="15"/>
      <c r="H11" s="15">
        <v>1</v>
      </c>
      <c r="I11" s="15"/>
      <c r="J11" s="5"/>
      <c r="K11" s="5"/>
      <c r="L11" s="5"/>
      <c r="M11" s="5"/>
      <c r="N11" s="5">
        <v>2</v>
      </c>
      <c r="O11" s="5"/>
      <c r="P11" s="5"/>
      <c r="Q11" s="5"/>
      <c r="R11" s="5"/>
      <c r="S11" s="15"/>
      <c r="T11" s="15"/>
      <c r="U11" s="5"/>
      <c r="V11" s="5"/>
      <c r="W11" s="5"/>
      <c r="X11" s="5"/>
      <c r="Y11" s="5"/>
      <c r="Z11" s="5"/>
      <c r="AA11" s="15"/>
      <c r="AB11" s="15"/>
      <c r="AC11" s="5"/>
      <c r="AD11" s="5"/>
      <c r="AE11" s="5"/>
      <c r="AF11" s="5"/>
      <c r="AG11" s="15"/>
      <c r="AH11" s="15"/>
      <c r="AI11" s="5"/>
      <c r="AJ11" s="5"/>
      <c r="AK11" s="5"/>
      <c r="AL11" s="15"/>
      <c r="AO11" s="6">
        <f t="shared" si="0"/>
        <v>3</v>
      </c>
    </row>
    <row r="12" spans="1:41">
      <c r="A12" s="2">
        <v>25</v>
      </c>
      <c r="B12" s="5"/>
      <c r="C12" s="5"/>
      <c r="D12" s="5"/>
      <c r="E12" s="5"/>
      <c r="F12" s="15"/>
      <c r="G12" s="15"/>
      <c r="H12" s="15"/>
      <c r="I12" s="15"/>
      <c r="J12" s="5"/>
      <c r="K12" s="5"/>
      <c r="L12" s="5"/>
      <c r="M12" s="5"/>
      <c r="N12" s="5"/>
      <c r="O12" s="5"/>
      <c r="P12" s="5"/>
      <c r="Q12" s="5"/>
      <c r="R12" s="5"/>
      <c r="S12" s="15"/>
      <c r="T12" s="15"/>
      <c r="U12" s="5"/>
      <c r="V12" s="5"/>
      <c r="W12" s="5"/>
      <c r="X12" s="5"/>
      <c r="Y12" s="5"/>
      <c r="Z12" s="5"/>
      <c r="AA12" s="15"/>
      <c r="AB12" s="15"/>
      <c r="AC12" s="5"/>
      <c r="AD12" s="5"/>
      <c r="AE12" s="5"/>
      <c r="AF12" s="5"/>
      <c r="AG12" s="15"/>
      <c r="AH12" s="15"/>
      <c r="AI12" s="5"/>
      <c r="AJ12" s="5"/>
      <c r="AK12" s="5"/>
      <c r="AL12" s="15"/>
      <c r="AM12" s="5">
        <v>0</v>
      </c>
      <c r="AO12" s="6">
        <f t="shared" si="0"/>
        <v>0</v>
      </c>
    </row>
    <row r="13" spans="1:41">
      <c r="A13" s="2">
        <v>26</v>
      </c>
      <c r="B13" s="5"/>
      <c r="C13" s="5"/>
      <c r="D13" s="5"/>
      <c r="E13" s="5"/>
      <c r="F13" s="15"/>
      <c r="G13" s="15">
        <v>1</v>
      </c>
      <c r="H13" s="15"/>
      <c r="I13" s="15"/>
      <c r="J13" s="5">
        <v>1</v>
      </c>
      <c r="K13" s="5"/>
      <c r="L13" s="5"/>
      <c r="M13" s="5"/>
      <c r="N13" s="5"/>
      <c r="O13" s="5"/>
      <c r="P13" s="5"/>
      <c r="Q13" s="5"/>
      <c r="R13" s="5"/>
      <c r="S13" s="15"/>
      <c r="T13" s="15"/>
      <c r="U13" s="5"/>
      <c r="V13" s="5"/>
      <c r="W13" s="5"/>
      <c r="X13" s="5"/>
      <c r="Y13" s="5"/>
      <c r="Z13" s="5"/>
      <c r="AA13" s="15"/>
      <c r="AB13" s="15"/>
      <c r="AC13" s="5"/>
      <c r="AD13" s="5"/>
      <c r="AE13" s="5"/>
      <c r="AF13" s="5"/>
      <c r="AG13" s="15"/>
      <c r="AH13" s="15"/>
      <c r="AI13" s="5"/>
      <c r="AJ13" s="5"/>
      <c r="AK13" s="5"/>
      <c r="AL13" s="15"/>
      <c r="AM13" s="5">
        <v>0</v>
      </c>
      <c r="AO13" s="6">
        <f t="shared" si="0"/>
        <v>2</v>
      </c>
    </row>
    <row r="14" spans="1:41">
      <c r="A14" s="2">
        <v>27</v>
      </c>
      <c r="B14" s="5"/>
      <c r="C14" s="5"/>
      <c r="D14" s="5"/>
      <c r="E14" s="5"/>
      <c r="F14" s="15"/>
      <c r="G14" s="15"/>
      <c r="H14" s="15"/>
      <c r="I14" s="15"/>
      <c r="J14" s="5"/>
      <c r="K14" s="5"/>
      <c r="L14" s="5"/>
      <c r="M14" s="5"/>
      <c r="N14" s="5"/>
      <c r="O14" s="5"/>
      <c r="P14" s="5"/>
      <c r="Q14" s="5"/>
      <c r="R14" s="5"/>
      <c r="S14" s="15"/>
      <c r="T14" s="15"/>
      <c r="U14" s="5"/>
      <c r="V14" s="5"/>
      <c r="W14" s="5"/>
      <c r="X14" s="5"/>
      <c r="Y14" s="5"/>
      <c r="Z14" s="5"/>
      <c r="AA14" s="15"/>
      <c r="AB14" s="15"/>
      <c r="AC14" s="5"/>
      <c r="AD14" s="5"/>
      <c r="AE14" s="5"/>
      <c r="AF14" s="5"/>
      <c r="AG14" s="15"/>
      <c r="AH14" s="15"/>
      <c r="AI14" s="5"/>
      <c r="AJ14" s="5"/>
      <c r="AK14" s="5"/>
      <c r="AL14" s="15"/>
      <c r="AM14" s="5">
        <v>0</v>
      </c>
      <c r="AO14" s="6">
        <f t="shared" si="0"/>
        <v>0</v>
      </c>
    </row>
    <row r="15" spans="1:41">
      <c r="A15" s="6">
        <v>28</v>
      </c>
      <c r="B15" s="5"/>
      <c r="C15" s="5"/>
      <c r="D15" s="5"/>
      <c r="E15" s="5"/>
      <c r="F15" s="15"/>
      <c r="G15" s="15"/>
      <c r="H15" s="15"/>
      <c r="I15" s="15"/>
      <c r="J15" s="5"/>
      <c r="K15" s="5"/>
      <c r="L15" s="5"/>
      <c r="M15" s="5"/>
      <c r="N15" s="5"/>
      <c r="O15" s="5"/>
      <c r="P15" s="5"/>
      <c r="Q15" s="5"/>
      <c r="R15" s="5"/>
      <c r="S15" s="15"/>
      <c r="T15" s="15"/>
      <c r="U15" s="5"/>
      <c r="V15" s="5"/>
      <c r="W15" s="5"/>
      <c r="X15" s="5"/>
      <c r="Y15" s="5"/>
      <c r="Z15" s="5"/>
      <c r="AA15" s="15"/>
      <c r="AB15" s="15"/>
      <c r="AC15" s="5"/>
      <c r="AD15" s="5"/>
      <c r="AE15" s="5"/>
      <c r="AF15" s="5"/>
      <c r="AG15" s="15"/>
      <c r="AH15" s="15"/>
      <c r="AI15" s="5"/>
      <c r="AJ15" s="5"/>
      <c r="AK15" s="5"/>
      <c r="AL15" s="15"/>
      <c r="AM15" s="5">
        <v>0</v>
      </c>
      <c r="AO15" s="6">
        <f t="shared" si="0"/>
        <v>0</v>
      </c>
    </row>
    <row r="16" spans="1:41">
      <c r="A16" s="6">
        <v>29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0</v>
      </c>
      <c r="AO16" s="6">
        <f t="shared" si="0"/>
        <v>0</v>
      </c>
    </row>
    <row r="17" spans="1:41">
      <c r="A17" s="6">
        <v>30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</v>
      </c>
      <c r="AO17" s="6">
        <f t="shared" si="0"/>
        <v>0</v>
      </c>
    </row>
    <row r="18" spans="1:41">
      <c r="A18" s="6">
        <v>31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>
        <v>0</v>
      </c>
      <c r="AO18" s="6">
        <f t="shared" si="0"/>
        <v>0</v>
      </c>
    </row>
    <row r="19" spans="1:41">
      <c r="A19" s="6">
        <v>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</v>
      </c>
      <c r="AE19" s="5"/>
      <c r="AF19" s="5"/>
      <c r="AG19" s="5"/>
      <c r="AH19" s="5"/>
      <c r="AI19" s="5"/>
      <c r="AJ19" s="5"/>
      <c r="AK19" s="5"/>
      <c r="AL19" s="5"/>
      <c r="AM19" s="5">
        <v>0</v>
      </c>
      <c r="AO19" s="6">
        <f t="shared" si="0"/>
        <v>1</v>
      </c>
    </row>
    <row r="20" spans="1:41">
      <c r="A20" s="6">
        <v>3</v>
      </c>
      <c r="B20" s="5">
        <v>2</v>
      </c>
      <c r="C20" s="5"/>
      <c r="D20" s="5">
        <v>3</v>
      </c>
      <c r="E20" s="5">
        <v>2</v>
      </c>
      <c r="F20" s="5">
        <v>1</v>
      </c>
      <c r="G20" s="5"/>
      <c r="H20" s="5">
        <v>1</v>
      </c>
      <c r="I20" s="5"/>
      <c r="J20" s="5">
        <v>2</v>
      </c>
      <c r="K20" s="5">
        <v>1</v>
      </c>
      <c r="L20" s="5">
        <v>1</v>
      </c>
      <c r="M20" s="5">
        <v>1</v>
      </c>
      <c r="N20" s="5">
        <v>4</v>
      </c>
      <c r="O20" s="5"/>
      <c r="P20" s="5"/>
      <c r="Q20" s="5"/>
      <c r="R20" s="5">
        <v>1</v>
      </c>
      <c r="S20" s="5"/>
      <c r="T20" s="5"/>
      <c r="U20" s="5">
        <v>1</v>
      </c>
      <c r="V20" s="5">
        <v>1</v>
      </c>
      <c r="W20" s="5">
        <v>2</v>
      </c>
      <c r="X20" s="5">
        <v>3</v>
      </c>
      <c r="Y20" s="5"/>
      <c r="Z20" s="5"/>
      <c r="AA20" s="5"/>
      <c r="AB20" s="5"/>
      <c r="AC20" s="5">
        <v>1</v>
      </c>
      <c r="AD20" s="5"/>
      <c r="AE20" s="5">
        <v>4</v>
      </c>
      <c r="AF20" s="5"/>
      <c r="AG20" s="5">
        <v>2</v>
      </c>
      <c r="AH20" s="5">
        <v>1</v>
      </c>
      <c r="AI20" s="5"/>
      <c r="AJ20" s="5">
        <v>1</v>
      </c>
      <c r="AK20" s="5"/>
      <c r="AL20" s="5">
        <v>1</v>
      </c>
      <c r="AM20" s="5">
        <v>1</v>
      </c>
      <c r="AO20" s="6">
        <f t="shared" si="0"/>
        <v>37</v>
      </c>
    </row>
    <row r="21" spans="1:41">
      <c r="A21" s="6">
        <v>4</v>
      </c>
      <c r="B21" s="5">
        <v>10</v>
      </c>
      <c r="C21" s="5">
        <v>5</v>
      </c>
      <c r="D21" s="5">
        <v>7</v>
      </c>
      <c r="E21" s="5">
        <v>2</v>
      </c>
      <c r="F21" s="5">
        <v>6</v>
      </c>
      <c r="G21" s="5">
        <v>10</v>
      </c>
      <c r="H21" s="5">
        <v>2</v>
      </c>
      <c r="I21" s="5">
        <v>1</v>
      </c>
      <c r="J21" s="5">
        <v>25</v>
      </c>
      <c r="K21" s="5">
        <v>6</v>
      </c>
      <c r="L21" s="5">
        <v>9</v>
      </c>
      <c r="M21" s="5">
        <v>10</v>
      </c>
      <c r="N21" s="5">
        <v>14</v>
      </c>
      <c r="O21" s="5">
        <v>7</v>
      </c>
      <c r="P21" s="5">
        <v>17</v>
      </c>
      <c r="Q21" s="5">
        <v>12</v>
      </c>
      <c r="R21" s="5">
        <v>7</v>
      </c>
      <c r="S21" s="5">
        <v>9</v>
      </c>
      <c r="T21" s="5">
        <v>3</v>
      </c>
      <c r="U21" s="5">
        <v>3</v>
      </c>
      <c r="V21" s="5">
        <v>9</v>
      </c>
      <c r="W21" s="5">
        <v>10</v>
      </c>
      <c r="X21" s="5">
        <v>8</v>
      </c>
      <c r="Y21" s="5">
        <v>3</v>
      </c>
      <c r="Z21" s="5">
        <v>5</v>
      </c>
      <c r="AA21" s="5">
        <v>5</v>
      </c>
      <c r="AB21" s="5">
        <v>3</v>
      </c>
      <c r="AC21" s="5">
        <v>10</v>
      </c>
      <c r="AD21" s="5">
        <v>15</v>
      </c>
      <c r="AE21" s="5">
        <v>11</v>
      </c>
      <c r="AF21" s="5">
        <v>9</v>
      </c>
      <c r="AG21" s="5">
        <v>5</v>
      </c>
      <c r="AH21" s="5">
        <v>10</v>
      </c>
      <c r="AI21" s="5">
        <v>3</v>
      </c>
      <c r="AJ21" s="5">
        <v>10</v>
      </c>
      <c r="AK21" s="5">
        <v>19</v>
      </c>
      <c r="AL21" s="5">
        <v>11</v>
      </c>
      <c r="AM21" s="5">
        <v>10</v>
      </c>
      <c r="AO21" s="6">
        <f t="shared" si="0"/>
        <v>321</v>
      </c>
    </row>
    <row r="22" spans="1:41">
      <c r="A22" s="6">
        <v>35</v>
      </c>
      <c r="B22" s="5">
        <v>11</v>
      </c>
      <c r="C22" s="5">
        <v>4</v>
      </c>
      <c r="D22" s="5">
        <v>17</v>
      </c>
      <c r="E22" s="5">
        <v>11</v>
      </c>
      <c r="F22" s="5">
        <v>8</v>
      </c>
      <c r="G22" s="5">
        <v>25</v>
      </c>
      <c r="H22" s="5">
        <v>16</v>
      </c>
      <c r="I22" s="5"/>
      <c r="J22" s="5">
        <v>28</v>
      </c>
      <c r="K22" s="5">
        <v>7</v>
      </c>
      <c r="L22" s="5">
        <v>15</v>
      </c>
      <c r="M22" s="5">
        <v>24</v>
      </c>
      <c r="N22" s="5">
        <v>23</v>
      </c>
      <c r="O22" s="5">
        <v>12</v>
      </c>
      <c r="P22" s="5">
        <v>13</v>
      </c>
      <c r="Q22" s="5">
        <v>19</v>
      </c>
      <c r="R22" s="5">
        <v>17</v>
      </c>
      <c r="S22" s="5">
        <v>14</v>
      </c>
      <c r="T22" s="5">
        <v>15</v>
      </c>
      <c r="U22" s="5">
        <v>12</v>
      </c>
      <c r="V22" s="5">
        <v>11</v>
      </c>
      <c r="W22" s="5">
        <v>17</v>
      </c>
      <c r="X22" s="5">
        <v>15</v>
      </c>
      <c r="Y22" s="5">
        <v>17</v>
      </c>
      <c r="Z22" s="5">
        <v>3</v>
      </c>
      <c r="AA22" s="5">
        <v>18</v>
      </c>
      <c r="AB22" s="5">
        <v>21</v>
      </c>
      <c r="AC22" s="5">
        <v>12</v>
      </c>
      <c r="AD22" s="5">
        <v>34</v>
      </c>
      <c r="AE22" s="5">
        <v>30</v>
      </c>
      <c r="AF22" s="5">
        <v>22</v>
      </c>
      <c r="AG22" s="5">
        <v>15</v>
      </c>
      <c r="AH22" s="5">
        <v>45</v>
      </c>
      <c r="AI22" s="5">
        <v>11</v>
      </c>
      <c r="AJ22" s="5">
        <v>29</v>
      </c>
      <c r="AK22" s="5">
        <v>32</v>
      </c>
      <c r="AL22" s="5">
        <v>24</v>
      </c>
      <c r="AM22" s="5">
        <v>13</v>
      </c>
      <c r="AO22" s="6">
        <f t="shared" si="0"/>
        <v>660</v>
      </c>
    </row>
    <row r="23" spans="1:41">
      <c r="A23" s="6">
        <v>6</v>
      </c>
      <c r="B23" s="5">
        <v>16</v>
      </c>
      <c r="C23" s="5">
        <v>17</v>
      </c>
      <c r="D23" s="5">
        <v>20</v>
      </c>
      <c r="E23" s="5">
        <v>20</v>
      </c>
      <c r="F23" s="5">
        <v>15</v>
      </c>
      <c r="G23" s="5">
        <v>21</v>
      </c>
      <c r="H23" s="5">
        <v>15</v>
      </c>
      <c r="I23" s="5">
        <v>5</v>
      </c>
      <c r="J23" s="5">
        <v>25</v>
      </c>
      <c r="K23" s="5">
        <v>8</v>
      </c>
      <c r="L23" s="5">
        <v>21</v>
      </c>
      <c r="M23" s="5">
        <v>17</v>
      </c>
      <c r="N23" s="5">
        <v>17</v>
      </c>
      <c r="O23" s="5">
        <v>19</v>
      </c>
      <c r="P23" s="5">
        <v>12</v>
      </c>
      <c r="Q23" s="5">
        <v>20</v>
      </c>
      <c r="R23" s="5">
        <v>34</v>
      </c>
      <c r="S23" s="5">
        <v>20</v>
      </c>
      <c r="T23" s="5">
        <v>17</v>
      </c>
      <c r="U23" s="5">
        <v>16</v>
      </c>
      <c r="V23" s="5">
        <v>13</v>
      </c>
      <c r="W23" s="5">
        <v>20</v>
      </c>
      <c r="X23" s="5">
        <v>17</v>
      </c>
      <c r="Y23" s="5">
        <v>33</v>
      </c>
      <c r="Z23" s="5">
        <v>11</v>
      </c>
      <c r="AA23" s="5">
        <v>14</v>
      </c>
      <c r="AB23" s="5">
        <v>20</v>
      </c>
      <c r="AC23" s="5">
        <v>17</v>
      </c>
      <c r="AD23" s="5">
        <v>31</v>
      </c>
      <c r="AE23" s="5">
        <v>22</v>
      </c>
      <c r="AF23" s="5">
        <v>14</v>
      </c>
      <c r="AG23" s="5">
        <v>11</v>
      </c>
      <c r="AH23" s="5">
        <v>26</v>
      </c>
      <c r="AI23" s="5">
        <v>7</v>
      </c>
      <c r="AJ23" s="5">
        <v>25</v>
      </c>
      <c r="AK23" s="5">
        <v>16</v>
      </c>
      <c r="AL23" s="5">
        <v>14</v>
      </c>
      <c r="AM23" s="5">
        <v>17</v>
      </c>
      <c r="AO23" s="6">
        <f t="shared" si="0"/>
        <v>683</v>
      </c>
    </row>
    <row r="24" spans="1:41">
      <c r="A24" s="6">
        <v>7</v>
      </c>
      <c r="B24" s="5">
        <v>18</v>
      </c>
      <c r="C24" s="5">
        <v>17</v>
      </c>
      <c r="D24" s="5">
        <v>23</v>
      </c>
      <c r="E24" s="5">
        <v>17</v>
      </c>
      <c r="F24" s="5">
        <v>13</v>
      </c>
      <c r="G24" s="5">
        <v>24</v>
      </c>
      <c r="H24" s="5">
        <v>8</v>
      </c>
      <c r="I24" s="5">
        <v>12</v>
      </c>
      <c r="J24" s="5">
        <v>14</v>
      </c>
      <c r="K24" s="5">
        <v>9</v>
      </c>
      <c r="L24" s="5">
        <v>9</v>
      </c>
      <c r="M24" s="5">
        <v>23</v>
      </c>
      <c r="N24" s="5">
        <v>7</v>
      </c>
      <c r="O24" s="5">
        <v>3</v>
      </c>
      <c r="P24" s="5">
        <v>16</v>
      </c>
      <c r="Q24" s="5">
        <v>17</v>
      </c>
      <c r="R24" s="5">
        <v>21</v>
      </c>
      <c r="S24" s="5">
        <v>22</v>
      </c>
      <c r="T24" s="5">
        <v>8</v>
      </c>
      <c r="U24" s="5">
        <v>12</v>
      </c>
      <c r="V24" s="5">
        <v>13</v>
      </c>
      <c r="W24" s="5">
        <v>12</v>
      </c>
      <c r="X24" s="5">
        <v>10</v>
      </c>
      <c r="Y24" s="5">
        <v>21</v>
      </c>
      <c r="Z24" s="5">
        <v>15</v>
      </c>
      <c r="AA24" s="5">
        <v>20</v>
      </c>
      <c r="AB24" s="5">
        <v>15</v>
      </c>
      <c r="AC24" s="5">
        <v>23</v>
      </c>
      <c r="AD24" s="5">
        <v>21</v>
      </c>
      <c r="AE24" s="5">
        <v>19</v>
      </c>
      <c r="AF24" s="5">
        <v>17</v>
      </c>
      <c r="AG24" s="5">
        <v>22</v>
      </c>
      <c r="AH24" s="5">
        <v>13</v>
      </c>
      <c r="AI24" s="5">
        <v>16</v>
      </c>
      <c r="AJ24" s="5">
        <v>15</v>
      </c>
      <c r="AK24" s="5">
        <v>20</v>
      </c>
      <c r="AL24" s="5">
        <v>9</v>
      </c>
      <c r="AM24" s="5">
        <v>7</v>
      </c>
      <c r="AO24" s="6">
        <f t="shared" si="0"/>
        <v>581</v>
      </c>
    </row>
    <row r="25" spans="1:41">
      <c r="A25" s="6">
        <v>8</v>
      </c>
      <c r="B25" s="5">
        <v>15</v>
      </c>
      <c r="C25" s="5">
        <v>14</v>
      </c>
      <c r="D25" s="5">
        <v>24</v>
      </c>
      <c r="E25" s="5">
        <v>23</v>
      </c>
      <c r="F25" s="5">
        <v>20</v>
      </c>
      <c r="G25" s="5">
        <v>16</v>
      </c>
      <c r="H25" s="5">
        <v>15</v>
      </c>
      <c r="I25" s="5">
        <v>15</v>
      </c>
      <c r="J25" s="5">
        <v>16</v>
      </c>
      <c r="K25" s="5">
        <v>5</v>
      </c>
      <c r="L25" s="5">
        <v>9</v>
      </c>
      <c r="M25" s="5">
        <v>14</v>
      </c>
      <c r="N25" s="5">
        <v>7</v>
      </c>
      <c r="O25" s="5">
        <v>6</v>
      </c>
      <c r="P25" s="5">
        <v>13</v>
      </c>
      <c r="Q25" s="5">
        <v>19</v>
      </c>
      <c r="R25" s="5">
        <v>20</v>
      </c>
      <c r="S25" s="5">
        <v>23</v>
      </c>
      <c r="T25" s="5">
        <v>21</v>
      </c>
      <c r="U25" s="5">
        <v>20</v>
      </c>
      <c r="V25" s="5">
        <v>11</v>
      </c>
      <c r="W25" s="5">
        <v>12</v>
      </c>
      <c r="X25" s="5">
        <v>20</v>
      </c>
      <c r="Y25" s="5">
        <v>22</v>
      </c>
      <c r="Z25" s="5">
        <v>5</v>
      </c>
      <c r="AA25" s="5">
        <v>21</v>
      </c>
      <c r="AB25" s="5">
        <v>21</v>
      </c>
      <c r="AC25" s="5">
        <v>15</v>
      </c>
      <c r="AD25" s="5">
        <v>20</v>
      </c>
      <c r="AE25" s="5">
        <v>15</v>
      </c>
      <c r="AF25" s="5">
        <v>13</v>
      </c>
      <c r="AG25" s="5">
        <v>6</v>
      </c>
      <c r="AH25" s="5">
        <v>17</v>
      </c>
      <c r="AI25" s="5">
        <v>16</v>
      </c>
      <c r="AJ25" s="5">
        <v>10</v>
      </c>
      <c r="AK25" s="5">
        <v>6</v>
      </c>
      <c r="AL25" s="5">
        <v>17</v>
      </c>
      <c r="AM25" s="5">
        <v>11</v>
      </c>
      <c r="AO25" s="6">
        <f t="shared" si="0"/>
        <v>573</v>
      </c>
    </row>
    <row r="26" spans="1:41">
      <c r="A26" s="6">
        <v>9</v>
      </c>
      <c r="B26" s="5">
        <v>10</v>
      </c>
      <c r="C26" s="5">
        <v>19</v>
      </c>
      <c r="D26" s="5">
        <v>9</v>
      </c>
      <c r="E26" s="5">
        <v>13</v>
      </c>
      <c r="F26" s="5">
        <v>18</v>
      </c>
      <c r="G26" s="5">
        <v>8</v>
      </c>
      <c r="H26" s="5">
        <v>16</v>
      </c>
      <c r="I26" s="5">
        <v>10</v>
      </c>
      <c r="J26" s="5">
        <v>10</v>
      </c>
      <c r="K26" s="5">
        <v>9</v>
      </c>
      <c r="L26" s="5">
        <v>18</v>
      </c>
      <c r="M26" s="5">
        <v>9</v>
      </c>
      <c r="N26" s="5">
        <v>1</v>
      </c>
      <c r="O26" s="5">
        <v>7</v>
      </c>
      <c r="P26" s="5">
        <v>14</v>
      </c>
      <c r="Q26" s="5">
        <v>15</v>
      </c>
      <c r="R26" s="5">
        <v>18</v>
      </c>
      <c r="S26" s="5">
        <v>18</v>
      </c>
      <c r="T26" s="5">
        <v>17</v>
      </c>
      <c r="U26" s="5">
        <v>11</v>
      </c>
      <c r="V26" s="5">
        <v>20</v>
      </c>
      <c r="W26" s="5">
        <v>10</v>
      </c>
      <c r="X26" s="5">
        <v>13</v>
      </c>
      <c r="Y26" s="5">
        <v>15</v>
      </c>
      <c r="Z26" s="5">
        <v>8</v>
      </c>
      <c r="AA26" s="5">
        <v>23</v>
      </c>
      <c r="AB26" s="5">
        <v>17</v>
      </c>
      <c r="AC26" s="5">
        <v>11</v>
      </c>
      <c r="AD26" s="5">
        <v>5</v>
      </c>
      <c r="AE26" s="5">
        <v>6</v>
      </c>
      <c r="AF26" s="5">
        <v>8</v>
      </c>
      <c r="AG26" s="5">
        <v>7</v>
      </c>
      <c r="AH26" s="5">
        <v>11</v>
      </c>
      <c r="AI26" s="5">
        <v>12</v>
      </c>
      <c r="AJ26" s="5">
        <v>12</v>
      </c>
      <c r="AK26" s="5">
        <v>9</v>
      </c>
      <c r="AL26" s="5">
        <v>10</v>
      </c>
      <c r="AM26" s="5">
        <v>8</v>
      </c>
      <c r="AO26" s="6">
        <f t="shared" si="0"/>
        <v>455</v>
      </c>
    </row>
    <row r="27" spans="1:41">
      <c r="A27" s="6">
        <v>40</v>
      </c>
      <c r="B27" s="5">
        <v>7</v>
      </c>
      <c r="C27" s="5">
        <v>13</v>
      </c>
      <c r="D27" s="5">
        <v>15</v>
      </c>
      <c r="E27" s="5">
        <v>15</v>
      </c>
      <c r="F27" s="5">
        <v>11</v>
      </c>
      <c r="G27" s="5">
        <v>6</v>
      </c>
      <c r="H27" s="5">
        <v>10</v>
      </c>
      <c r="I27" s="5">
        <v>7</v>
      </c>
      <c r="J27" s="5">
        <v>13</v>
      </c>
      <c r="K27" s="5">
        <v>8</v>
      </c>
      <c r="L27" s="5">
        <v>10</v>
      </c>
      <c r="M27" s="5">
        <v>6</v>
      </c>
      <c r="N27" s="5">
        <v>5</v>
      </c>
      <c r="O27" s="5">
        <v>3</v>
      </c>
      <c r="P27" s="5">
        <v>9</v>
      </c>
      <c r="Q27" s="5">
        <v>11</v>
      </c>
      <c r="R27" s="5">
        <v>8</v>
      </c>
      <c r="S27" s="5">
        <v>19</v>
      </c>
      <c r="T27" s="5">
        <v>17</v>
      </c>
      <c r="U27" s="5">
        <v>11</v>
      </c>
      <c r="V27" s="5">
        <v>16</v>
      </c>
      <c r="W27" s="5">
        <v>11</v>
      </c>
      <c r="X27" s="5">
        <v>7</v>
      </c>
      <c r="Y27" s="5">
        <v>12</v>
      </c>
      <c r="Z27" s="5">
        <v>11</v>
      </c>
      <c r="AA27" s="5">
        <v>12</v>
      </c>
      <c r="AB27" s="5">
        <v>11</v>
      </c>
      <c r="AC27" s="5">
        <v>16</v>
      </c>
      <c r="AD27" s="5">
        <v>7</v>
      </c>
      <c r="AE27" s="5">
        <v>13</v>
      </c>
      <c r="AF27" s="5">
        <v>12</v>
      </c>
      <c r="AG27" s="5">
        <v>6</v>
      </c>
      <c r="AH27" s="5">
        <v>4</v>
      </c>
      <c r="AI27" s="5">
        <v>5</v>
      </c>
      <c r="AJ27" s="5">
        <v>9</v>
      </c>
      <c r="AK27" s="5">
        <v>7</v>
      </c>
      <c r="AL27" s="5">
        <v>14</v>
      </c>
      <c r="AM27" s="5">
        <v>11</v>
      </c>
      <c r="AO27" s="6">
        <f t="shared" si="0"/>
        <v>388</v>
      </c>
    </row>
    <row r="28" spans="1:41">
      <c r="A28" s="6">
        <v>1</v>
      </c>
      <c r="B28" s="5">
        <v>7</v>
      </c>
      <c r="C28" s="5">
        <v>17</v>
      </c>
      <c r="D28" s="5">
        <v>11</v>
      </c>
      <c r="E28" s="5">
        <v>7</v>
      </c>
      <c r="F28" s="5">
        <v>7</v>
      </c>
      <c r="G28" s="5">
        <v>9</v>
      </c>
      <c r="H28" s="5">
        <v>14</v>
      </c>
      <c r="I28" s="5">
        <v>10</v>
      </c>
      <c r="J28" s="5">
        <v>7</v>
      </c>
      <c r="K28" s="5">
        <v>9</v>
      </c>
      <c r="L28" s="5">
        <v>12</v>
      </c>
      <c r="M28" s="5">
        <v>5</v>
      </c>
      <c r="N28" s="5"/>
      <c r="O28" s="5">
        <v>8</v>
      </c>
      <c r="P28" s="5">
        <v>6</v>
      </c>
      <c r="Q28" s="5">
        <v>11</v>
      </c>
      <c r="R28" s="5">
        <v>9</v>
      </c>
      <c r="S28" s="5">
        <v>9</v>
      </c>
      <c r="T28" s="5">
        <v>14</v>
      </c>
      <c r="U28" s="5">
        <v>5</v>
      </c>
      <c r="V28" s="5">
        <v>16</v>
      </c>
      <c r="W28" s="5">
        <v>9</v>
      </c>
      <c r="X28" s="5">
        <v>7</v>
      </c>
      <c r="Y28" s="5">
        <v>12</v>
      </c>
      <c r="Z28" s="5">
        <v>6</v>
      </c>
      <c r="AA28" s="5">
        <v>7</v>
      </c>
      <c r="AB28" s="5">
        <v>15</v>
      </c>
      <c r="AC28" s="5">
        <v>10</v>
      </c>
      <c r="AD28" s="5">
        <v>5</v>
      </c>
      <c r="AE28" s="5">
        <v>9</v>
      </c>
      <c r="AF28" s="5">
        <v>15</v>
      </c>
      <c r="AG28" s="5">
        <v>6</v>
      </c>
      <c r="AH28" s="5">
        <v>3</v>
      </c>
      <c r="AI28" s="5">
        <v>8</v>
      </c>
      <c r="AJ28" s="5">
        <v>9</v>
      </c>
      <c r="AK28" s="5">
        <v>3</v>
      </c>
      <c r="AL28" s="5">
        <v>7</v>
      </c>
      <c r="AM28" s="5">
        <v>4</v>
      </c>
      <c r="AO28" s="6">
        <f t="shared" si="0"/>
        <v>328</v>
      </c>
    </row>
    <row r="29" spans="1:41">
      <c r="A29" s="6">
        <v>2</v>
      </c>
      <c r="B29" s="5">
        <v>10</v>
      </c>
      <c r="C29" s="5">
        <v>10</v>
      </c>
      <c r="D29" s="5">
        <v>7</v>
      </c>
      <c r="E29" s="5">
        <v>7</v>
      </c>
      <c r="F29" s="5">
        <v>9</v>
      </c>
      <c r="G29" s="5">
        <v>4</v>
      </c>
      <c r="H29" s="5">
        <v>9</v>
      </c>
      <c r="I29" s="5">
        <v>11</v>
      </c>
      <c r="J29" s="5">
        <v>4</v>
      </c>
      <c r="K29" s="5">
        <v>11</v>
      </c>
      <c r="L29" s="5">
        <v>6</v>
      </c>
      <c r="M29" s="5">
        <v>7</v>
      </c>
      <c r="N29" s="5">
        <v>1</v>
      </c>
      <c r="O29" s="5">
        <v>8</v>
      </c>
      <c r="P29" s="5">
        <v>4</v>
      </c>
      <c r="Q29" s="5">
        <v>4</v>
      </c>
      <c r="R29" s="5">
        <v>2</v>
      </c>
      <c r="S29" s="5">
        <v>4</v>
      </c>
      <c r="T29" s="5">
        <v>8</v>
      </c>
      <c r="U29" s="5">
        <v>5</v>
      </c>
      <c r="V29" s="5">
        <v>12</v>
      </c>
      <c r="W29" s="5">
        <v>8</v>
      </c>
      <c r="X29" s="5">
        <v>7</v>
      </c>
      <c r="Y29" s="5">
        <v>9</v>
      </c>
      <c r="Z29" s="5">
        <v>4</v>
      </c>
      <c r="AA29" s="5">
        <v>6</v>
      </c>
      <c r="AB29" s="5">
        <v>6</v>
      </c>
      <c r="AC29" s="5">
        <v>10</v>
      </c>
      <c r="AD29" s="5">
        <v>2</v>
      </c>
      <c r="AE29" s="5">
        <v>2</v>
      </c>
      <c r="AF29" s="5">
        <v>5</v>
      </c>
      <c r="AG29" s="5">
        <v>5</v>
      </c>
      <c r="AH29" s="5">
        <v>6</v>
      </c>
      <c r="AI29" s="5">
        <v>11</v>
      </c>
      <c r="AJ29" s="5">
        <v>4</v>
      </c>
      <c r="AK29" s="5">
        <v>13</v>
      </c>
      <c r="AL29" s="5">
        <v>5</v>
      </c>
      <c r="AM29" s="5">
        <v>6</v>
      </c>
      <c r="AO29" s="6">
        <f t="shared" si="0"/>
        <v>252</v>
      </c>
    </row>
    <row r="30" spans="1:41">
      <c r="A30" s="6">
        <v>3</v>
      </c>
      <c r="B30" s="5">
        <v>5</v>
      </c>
      <c r="C30" s="5">
        <v>5</v>
      </c>
      <c r="D30" s="5">
        <v>5</v>
      </c>
      <c r="E30" s="5">
        <v>1</v>
      </c>
      <c r="F30" s="5">
        <v>5</v>
      </c>
      <c r="G30" s="5">
        <v>5</v>
      </c>
      <c r="H30" s="5">
        <v>9</v>
      </c>
      <c r="I30" s="5">
        <v>9</v>
      </c>
      <c r="J30" s="5">
        <v>5</v>
      </c>
      <c r="K30" s="5">
        <v>11</v>
      </c>
      <c r="L30" s="5">
        <v>3</v>
      </c>
      <c r="M30" s="5">
        <v>9</v>
      </c>
      <c r="N30" s="5"/>
      <c r="O30" s="5">
        <v>7</v>
      </c>
      <c r="P30" s="5">
        <v>4</v>
      </c>
      <c r="Q30" s="5">
        <v>3</v>
      </c>
      <c r="R30" s="5">
        <v>3</v>
      </c>
      <c r="S30" s="5">
        <v>1</v>
      </c>
      <c r="T30" s="5">
        <v>11</v>
      </c>
      <c r="U30" s="5">
        <v>5</v>
      </c>
      <c r="V30" s="5">
        <v>4</v>
      </c>
      <c r="W30" s="5">
        <v>8</v>
      </c>
      <c r="X30" s="5">
        <v>11</v>
      </c>
      <c r="Y30" s="5">
        <v>4</v>
      </c>
      <c r="Z30" s="5">
        <v>3</v>
      </c>
      <c r="AA30" s="5">
        <v>6</v>
      </c>
      <c r="AB30" s="5">
        <v>6</v>
      </c>
      <c r="AC30" s="5">
        <v>8</v>
      </c>
      <c r="AD30" s="5">
        <v>4</v>
      </c>
      <c r="AE30" s="5">
        <v>6</v>
      </c>
      <c r="AF30" s="5">
        <v>6</v>
      </c>
      <c r="AG30" s="5">
        <v>4</v>
      </c>
      <c r="AH30" s="5">
        <v>2</v>
      </c>
      <c r="AI30" s="5">
        <v>6</v>
      </c>
      <c r="AJ30" s="5">
        <v>6</v>
      </c>
      <c r="AK30" s="5">
        <v>6</v>
      </c>
      <c r="AL30" s="5">
        <v>5</v>
      </c>
      <c r="AM30" s="5">
        <v>4</v>
      </c>
      <c r="AO30" s="6">
        <f t="shared" si="0"/>
        <v>205</v>
      </c>
    </row>
    <row r="31" spans="1:41">
      <c r="A31" s="6">
        <v>4</v>
      </c>
      <c r="B31" s="5"/>
      <c r="C31" s="5">
        <v>8</v>
      </c>
      <c r="D31" s="5">
        <v>3</v>
      </c>
      <c r="E31" s="5">
        <v>4</v>
      </c>
      <c r="F31" s="5">
        <v>5</v>
      </c>
      <c r="G31" s="5">
        <v>2</v>
      </c>
      <c r="H31" s="5">
        <v>8</v>
      </c>
      <c r="I31" s="5">
        <v>12</v>
      </c>
      <c r="J31" s="5">
        <v>7</v>
      </c>
      <c r="K31" s="5">
        <v>18</v>
      </c>
      <c r="L31" s="5">
        <v>3</v>
      </c>
      <c r="M31" s="5">
        <v>6</v>
      </c>
      <c r="N31" s="5"/>
      <c r="O31" s="5">
        <v>7</v>
      </c>
      <c r="P31" s="5">
        <v>5</v>
      </c>
      <c r="Q31" s="5">
        <v>5</v>
      </c>
      <c r="R31" s="5">
        <v>0</v>
      </c>
      <c r="S31" s="5">
        <v>2</v>
      </c>
      <c r="T31" s="5">
        <v>4</v>
      </c>
      <c r="U31" s="5">
        <v>11</v>
      </c>
      <c r="V31" s="5">
        <v>5</v>
      </c>
      <c r="W31" s="5">
        <v>2</v>
      </c>
      <c r="X31" s="5">
        <v>7</v>
      </c>
      <c r="Y31" s="5">
        <v>3</v>
      </c>
      <c r="Z31" s="5">
        <v>8</v>
      </c>
      <c r="AA31" s="5">
        <v>6</v>
      </c>
      <c r="AB31" s="5">
        <v>3</v>
      </c>
      <c r="AC31" s="5">
        <v>4</v>
      </c>
      <c r="AD31" s="5"/>
      <c r="AE31" s="5">
        <v>3</v>
      </c>
      <c r="AF31" s="5">
        <v>6</v>
      </c>
      <c r="AG31" s="5">
        <v>3</v>
      </c>
      <c r="AH31" s="5"/>
      <c r="AI31" s="5">
        <v>11</v>
      </c>
      <c r="AJ31" s="5">
        <v>2</v>
      </c>
      <c r="AK31" s="5">
        <v>5</v>
      </c>
      <c r="AL31" s="5">
        <v>7</v>
      </c>
      <c r="AM31" s="5">
        <v>4</v>
      </c>
      <c r="AO31" s="6">
        <f t="shared" si="0"/>
        <v>189</v>
      </c>
    </row>
    <row r="32" spans="1:41">
      <c r="A32" s="6">
        <v>45</v>
      </c>
      <c r="B32" s="5">
        <v>2</v>
      </c>
      <c r="C32" s="5">
        <v>3</v>
      </c>
      <c r="D32" s="5"/>
      <c r="E32" s="5">
        <v>1</v>
      </c>
      <c r="F32" s="5">
        <v>5</v>
      </c>
      <c r="G32" s="5">
        <v>1</v>
      </c>
      <c r="H32" s="5">
        <v>6</v>
      </c>
      <c r="I32" s="5">
        <v>4</v>
      </c>
      <c r="J32" s="5">
        <v>1</v>
      </c>
      <c r="K32" s="5">
        <v>8</v>
      </c>
      <c r="L32" s="5">
        <v>2</v>
      </c>
      <c r="M32" s="5">
        <v>3</v>
      </c>
      <c r="N32" s="5">
        <v>1</v>
      </c>
      <c r="O32" s="5">
        <v>5</v>
      </c>
      <c r="P32" s="5">
        <v>1</v>
      </c>
      <c r="Q32" s="5">
        <v>3</v>
      </c>
      <c r="R32" s="5">
        <v>2</v>
      </c>
      <c r="S32" s="5">
        <v>1</v>
      </c>
      <c r="T32" s="5">
        <v>2</v>
      </c>
      <c r="U32" s="5">
        <v>5</v>
      </c>
      <c r="V32" s="5">
        <v>3</v>
      </c>
      <c r="W32" s="5">
        <v>5</v>
      </c>
      <c r="X32" s="5">
        <v>6</v>
      </c>
      <c r="Y32" s="5">
        <v>5</v>
      </c>
      <c r="Z32" s="5"/>
      <c r="AA32" s="5">
        <v>2</v>
      </c>
      <c r="AB32" s="5">
        <v>1</v>
      </c>
      <c r="AC32" s="5">
        <v>4</v>
      </c>
      <c r="AD32" s="5">
        <v>1</v>
      </c>
      <c r="AE32" s="5">
        <v>1</v>
      </c>
      <c r="AF32" s="5">
        <v>2</v>
      </c>
      <c r="AG32" s="5">
        <v>2</v>
      </c>
      <c r="AH32" s="5">
        <v>6</v>
      </c>
      <c r="AI32" s="5">
        <v>6</v>
      </c>
      <c r="AJ32" s="5">
        <v>5</v>
      </c>
      <c r="AK32" s="5">
        <v>5</v>
      </c>
      <c r="AL32" s="5">
        <v>5</v>
      </c>
      <c r="AM32" s="5">
        <v>4</v>
      </c>
      <c r="AO32" s="6">
        <f t="shared" si="0"/>
        <v>119</v>
      </c>
    </row>
    <row r="33" spans="1:41">
      <c r="A33" s="6">
        <v>6</v>
      </c>
      <c r="B33" s="5">
        <v>1</v>
      </c>
      <c r="C33" s="5"/>
      <c r="D33" s="5"/>
      <c r="E33" s="5">
        <v>2</v>
      </c>
      <c r="F33" s="5">
        <v>4</v>
      </c>
      <c r="G33" s="5">
        <v>3</v>
      </c>
      <c r="H33" s="5">
        <v>2</v>
      </c>
      <c r="I33" s="5">
        <v>3</v>
      </c>
      <c r="J33" s="5"/>
      <c r="K33" s="5">
        <v>3</v>
      </c>
      <c r="L33" s="5">
        <v>1</v>
      </c>
      <c r="M33" s="5">
        <v>2</v>
      </c>
      <c r="N33" s="5"/>
      <c r="O33" s="5">
        <v>6</v>
      </c>
      <c r="P33" s="5">
        <v>1</v>
      </c>
      <c r="Q33" s="5">
        <v>2</v>
      </c>
      <c r="R33" s="5">
        <v>2</v>
      </c>
      <c r="S33" s="5">
        <v>3</v>
      </c>
      <c r="T33" s="5">
        <v>1</v>
      </c>
      <c r="U33" s="5">
        <v>0</v>
      </c>
      <c r="V33" s="5">
        <v>3</v>
      </c>
      <c r="W33" s="5">
        <v>2</v>
      </c>
      <c r="X33" s="5">
        <v>3</v>
      </c>
      <c r="Y33" s="5">
        <v>1</v>
      </c>
      <c r="Z33" s="5"/>
      <c r="AA33" s="5">
        <v>2</v>
      </c>
      <c r="AB33" s="5">
        <v>1</v>
      </c>
      <c r="AC33" s="5">
        <v>3</v>
      </c>
      <c r="AD33" s="5">
        <v>1</v>
      </c>
      <c r="AE33" s="5">
        <v>1</v>
      </c>
      <c r="AF33" s="5">
        <v>2</v>
      </c>
      <c r="AG33" s="5"/>
      <c r="AH33" s="5">
        <v>1</v>
      </c>
      <c r="AI33" s="5">
        <v>2</v>
      </c>
      <c r="AJ33" s="5">
        <v>1</v>
      </c>
      <c r="AK33" s="5"/>
      <c r="AL33" s="5">
        <v>3</v>
      </c>
      <c r="AM33" s="5">
        <v>2</v>
      </c>
      <c r="AO33" s="6">
        <f t="shared" si="0"/>
        <v>64</v>
      </c>
    </row>
    <row r="34" spans="1:41">
      <c r="A34" s="6">
        <v>7</v>
      </c>
      <c r="B34" s="5">
        <v>4</v>
      </c>
      <c r="C34" s="5"/>
      <c r="D34" s="5"/>
      <c r="E34" s="5"/>
      <c r="F34" s="5"/>
      <c r="G34" s="5">
        <v>3</v>
      </c>
      <c r="H34" s="5">
        <v>2</v>
      </c>
      <c r="I34" s="5">
        <v>3</v>
      </c>
      <c r="J34" s="5"/>
      <c r="K34" s="5">
        <v>4</v>
      </c>
      <c r="L34" s="5"/>
      <c r="M34" s="5">
        <v>4</v>
      </c>
      <c r="N34" s="5"/>
      <c r="O34" s="5">
        <v>3</v>
      </c>
      <c r="P34" s="5">
        <v>5</v>
      </c>
      <c r="Q34" s="5">
        <v>3</v>
      </c>
      <c r="R34" s="5">
        <v>4</v>
      </c>
      <c r="S34" s="5">
        <v>2</v>
      </c>
      <c r="T34" s="5"/>
      <c r="U34" s="5">
        <v>4</v>
      </c>
      <c r="V34" s="5"/>
      <c r="W34" s="5">
        <v>2</v>
      </c>
      <c r="X34" s="5">
        <v>1</v>
      </c>
      <c r="Y34" s="5">
        <v>1</v>
      </c>
      <c r="Z34" s="5">
        <v>2</v>
      </c>
      <c r="AA34" s="5"/>
      <c r="AB34" s="5">
        <v>2</v>
      </c>
      <c r="AC34" s="5"/>
      <c r="AD34" s="5">
        <v>1</v>
      </c>
      <c r="AE34" s="5"/>
      <c r="AF34" s="5"/>
      <c r="AG34" s="5">
        <v>1</v>
      </c>
      <c r="AH34" s="5"/>
      <c r="AI34" s="5">
        <v>1</v>
      </c>
      <c r="AJ34" s="5">
        <v>1</v>
      </c>
      <c r="AK34" s="5">
        <v>2</v>
      </c>
      <c r="AL34" s="5">
        <v>3</v>
      </c>
      <c r="AM34" s="5">
        <v>3</v>
      </c>
      <c r="AO34" s="6">
        <f t="shared" si="0"/>
        <v>61</v>
      </c>
    </row>
    <row r="35" spans="1:41">
      <c r="A35" s="6">
        <v>8</v>
      </c>
      <c r="B35" s="5">
        <v>4</v>
      </c>
      <c r="C35" s="5"/>
      <c r="D35" s="5"/>
      <c r="E35" s="5"/>
      <c r="F35" s="5">
        <v>1</v>
      </c>
      <c r="G35" s="5">
        <v>1</v>
      </c>
      <c r="H35" s="5"/>
      <c r="I35" s="5">
        <v>1</v>
      </c>
      <c r="J35" s="5">
        <v>2</v>
      </c>
      <c r="K35" s="5">
        <v>4</v>
      </c>
      <c r="L35" s="5">
        <v>1</v>
      </c>
      <c r="M35" s="5">
        <v>2</v>
      </c>
      <c r="N35" s="5">
        <v>2</v>
      </c>
      <c r="O35" s="5">
        <v>1</v>
      </c>
      <c r="P35" s="5">
        <v>2</v>
      </c>
      <c r="Q35" s="5"/>
      <c r="R35" s="5"/>
      <c r="S35" s="5">
        <v>1</v>
      </c>
      <c r="T35" s="5"/>
      <c r="U35" s="5">
        <v>1</v>
      </c>
      <c r="V35" s="5">
        <v>1</v>
      </c>
      <c r="W35" s="5">
        <v>1</v>
      </c>
      <c r="X35" s="5"/>
      <c r="Y35" s="5"/>
      <c r="Z35" s="5">
        <v>2</v>
      </c>
      <c r="AA35" s="5">
        <v>1</v>
      </c>
      <c r="AB35" s="5">
        <v>1</v>
      </c>
      <c r="AC35" s="5"/>
      <c r="AD35" s="5">
        <v>2</v>
      </c>
      <c r="AE35" s="5">
        <v>1</v>
      </c>
      <c r="AF35" s="5">
        <v>1</v>
      </c>
      <c r="AG35" s="5">
        <v>2</v>
      </c>
      <c r="AH35" s="5"/>
      <c r="AI35" s="5">
        <v>3</v>
      </c>
      <c r="AJ35" s="5">
        <v>2</v>
      </c>
      <c r="AK35" s="5">
        <v>3</v>
      </c>
      <c r="AL35" s="5">
        <v>1</v>
      </c>
      <c r="AM35" s="5">
        <v>1</v>
      </c>
      <c r="AO35" s="6">
        <f t="shared" si="0"/>
        <v>45</v>
      </c>
    </row>
    <row r="36" spans="1:41">
      <c r="A36" s="6">
        <v>9</v>
      </c>
      <c r="B36" s="5">
        <v>2</v>
      </c>
      <c r="C36" s="5">
        <v>1</v>
      </c>
      <c r="D36" s="5"/>
      <c r="E36" s="5">
        <v>1</v>
      </c>
      <c r="F36" s="5"/>
      <c r="G36" s="5">
        <v>1</v>
      </c>
      <c r="H36" s="5"/>
      <c r="I36" s="5"/>
      <c r="J36" s="5"/>
      <c r="K36" s="5"/>
      <c r="L36" s="5"/>
      <c r="M36" s="5">
        <v>1</v>
      </c>
      <c r="N36" s="5"/>
      <c r="O36" s="5">
        <v>2</v>
      </c>
      <c r="P36" s="5">
        <v>2</v>
      </c>
      <c r="Q36" s="5"/>
      <c r="R36" s="5"/>
      <c r="S36" s="5">
        <v>1</v>
      </c>
      <c r="T36" s="5"/>
      <c r="U36" s="5">
        <v>2</v>
      </c>
      <c r="V36" s="5"/>
      <c r="W36" s="5"/>
      <c r="X36" s="5">
        <v>1</v>
      </c>
      <c r="Y36" s="5"/>
      <c r="Z36" s="5"/>
      <c r="AA36" s="5"/>
      <c r="AB36" s="5">
        <v>1</v>
      </c>
      <c r="AC36" s="5"/>
      <c r="AD36" s="5"/>
      <c r="AE36" s="5"/>
      <c r="AF36" s="5">
        <v>1</v>
      </c>
      <c r="AG36" s="5"/>
      <c r="AH36" s="5"/>
      <c r="AI36" s="5">
        <v>1</v>
      </c>
      <c r="AJ36" s="5">
        <v>2</v>
      </c>
      <c r="AK36" s="5"/>
      <c r="AL36" s="5"/>
      <c r="AM36" s="5">
        <v>1</v>
      </c>
      <c r="AO36" s="6">
        <f t="shared" si="0"/>
        <v>20</v>
      </c>
    </row>
    <row r="37" spans="1:41">
      <c r="A37" s="6">
        <v>50</v>
      </c>
      <c r="B37" s="5"/>
      <c r="C37" s="5"/>
      <c r="D37" s="5"/>
      <c r="E37" s="5"/>
      <c r="F37" s="5"/>
      <c r="G37" s="5"/>
      <c r="H37" s="5"/>
      <c r="I37" s="5">
        <v>1</v>
      </c>
      <c r="J37" s="5"/>
      <c r="K37" s="5"/>
      <c r="L37" s="5"/>
      <c r="M37" s="5"/>
      <c r="N37" s="5"/>
      <c r="O37" s="5"/>
      <c r="P37" s="5">
        <v>2</v>
      </c>
      <c r="Q37" s="5"/>
      <c r="R37" s="5"/>
      <c r="S37" s="5"/>
      <c r="T37" s="5">
        <v>1</v>
      </c>
      <c r="U37" s="5">
        <v>2</v>
      </c>
      <c r="V37" s="5">
        <v>1</v>
      </c>
      <c r="W37" s="5"/>
      <c r="X37" s="5">
        <v>2</v>
      </c>
      <c r="Y37" s="5"/>
      <c r="Z37" s="5"/>
      <c r="AA37" s="5">
        <v>1</v>
      </c>
      <c r="AB37" s="5"/>
      <c r="AC37" s="5"/>
      <c r="AD37" s="5"/>
      <c r="AE37" s="5"/>
      <c r="AF37" s="5"/>
      <c r="AG37" s="5"/>
      <c r="AH37" s="5"/>
      <c r="AI37" s="5">
        <v>1</v>
      </c>
      <c r="AJ37" s="5"/>
      <c r="AK37" s="5">
        <v>1</v>
      </c>
      <c r="AL37" s="5"/>
      <c r="AM37" s="5">
        <v>0</v>
      </c>
      <c r="AO37" s="6">
        <f t="shared" si="0"/>
        <v>12</v>
      </c>
    </row>
    <row r="38" spans="1:41">
      <c r="A38" s="6">
        <v>1</v>
      </c>
      <c r="B38" s="5"/>
      <c r="C38" s="5">
        <v>1</v>
      </c>
      <c r="D38" s="5"/>
      <c r="E38" s="5"/>
      <c r="F38" s="5"/>
      <c r="G38" s="5"/>
      <c r="H38" s="5"/>
      <c r="I38" s="5">
        <v>1</v>
      </c>
      <c r="J38" s="5"/>
      <c r="K38" s="5"/>
      <c r="L38" s="5"/>
      <c r="M38" s="5"/>
      <c r="N38" s="5">
        <v>1</v>
      </c>
      <c r="O38" s="5">
        <v>1</v>
      </c>
      <c r="P38" s="5"/>
      <c r="Q38" s="5"/>
      <c r="R38" s="5"/>
      <c r="S38" s="5"/>
      <c r="T38" s="5"/>
      <c r="U38" s="5">
        <v>1</v>
      </c>
      <c r="V38" s="5"/>
      <c r="W38" s="5"/>
      <c r="X38" s="5">
        <v>1</v>
      </c>
      <c r="Y38" s="5"/>
      <c r="Z38" s="5"/>
      <c r="AA38" s="5">
        <v>1</v>
      </c>
      <c r="AB38" s="5"/>
      <c r="AC38" s="5"/>
      <c r="AD38" s="5"/>
      <c r="AE38" s="5"/>
      <c r="AF38" s="5">
        <v>1</v>
      </c>
      <c r="AG38" s="5"/>
      <c r="AH38" s="5"/>
      <c r="AI38" s="5"/>
      <c r="AJ38" s="5">
        <v>1</v>
      </c>
      <c r="AK38" s="5"/>
      <c r="AL38" s="5"/>
      <c r="AM38" s="5">
        <v>0</v>
      </c>
      <c r="AO38" s="6">
        <f t="shared" si="0"/>
        <v>9</v>
      </c>
    </row>
    <row r="39" spans="1:41">
      <c r="A39" s="6">
        <v>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</v>
      </c>
      <c r="AJ39" s="5"/>
      <c r="AK39" s="5"/>
      <c r="AL39" s="5"/>
      <c r="AM39" s="5">
        <v>0</v>
      </c>
      <c r="AO39" s="6">
        <f t="shared" si="0"/>
        <v>2</v>
      </c>
    </row>
    <row r="40" spans="1:41">
      <c r="A40" s="6">
        <v>3</v>
      </c>
      <c r="B40" s="5"/>
      <c r="C40" s="5">
        <v>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1</v>
      </c>
      <c r="AO40" s="6">
        <f t="shared" si="0"/>
        <v>2</v>
      </c>
    </row>
    <row r="41" spans="1:41">
      <c r="A41" s="6">
        <v>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>
        <v>0</v>
      </c>
      <c r="AO41" s="6">
        <f t="shared" si="0"/>
        <v>0</v>
      </c>
    </row>
    <row r="42" spans="1:41">
      <c r="A42" s="6">
        <v>55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0</v>
      </c>
      <c r="AO42" s="6">
        <f t="shared" si="0"/>
        <v>0</v>
      </c>
    </row>
    <row r="43" spans="1:41">
      <c r="A43" s="6" t="s">
        <v>3</v>
      </c>
      <c r="B43" s="5">
        <f t="shared" ref="B43:AL43" si="1">SUM(B7:B42)</f>
        <v>124</v>
      </c>
      <c r="C43" s="5">
        <f t="shared" si="1"/>
        <v>135</v>
      </c>
      <c r="D43" s="5">
        <f t="shared" si="1"/>
        <v>145</v>
      </c>
      <c r="E43" s="5">
        <f t="shared" si="1"/>
        <v>126</v>
      </c>
      <c r="F43" s="5">
        <f t="shared" si="1"/>
        <v>128</v>
      </c>
      <c r="G43" s="5">
        <f t="shared" si="1"/>
        <v>141</v>
      </c>
      <c r="H43" s="5">
        <f t="shared" si="1"/>
        <v>135</v>
      </c>
      <c r="I43" s="5">
        <f t="shared" si="1"/>
        <v>105</v>
      </c>
      <c r="J43" s="5">
        <f t="shared" si="1"/>
        <v>160</v>
      </c>
      <c r="K43" s="5">
        <f t="shared" si="1"/>
        <v>121</v>
      </c>
      <c r="L43" s="5">
        <f t="shared" si="1"/>
        <v>120</v>
      </c>
      <c r="M43" s="5">
        <f t="shared" si="1"/>
        <v>143</v>
      </c>
      <c r="N43" s="5">
        <f t="shared" si="1"/>
        <v>89</v>
      </c>
      <c r="O43" s="5">
        <f t="shared" si="1"/>
        <v>105</v>
      </c>
      <c r="P43" s="5">
        <f t="shared" si="1"/>
        <v>126</v>
      </c>
      <c r="Q43" s="5">
        <f t="shared" si="1"/>
        <v>145</v>
      </c>
      <c r="R43" s="5">
        <f t="shared" si="1"/>
        <v>148</v>
      </c>
      <c r="S43" s="5">
        <f t="shared" si="1"/>
        <v>149</v>
      </c>
      <c r="T43" s="5">
        <f t="shared" si="1"/>
        <v>139</v>
      </c>
      <c r="U43" s="5">
        <f t="shared" si="1"/>
        <v>127</v>
      </c>
      <c r="V43" s="5">
        <f t="shared" si="1"/>
        <v>139</v>
      </c>
      <c r="W43" s="5">
        <f t="shared" si="1"/>
        <v>131</v>
      </c>
      <c r="X43" s="5">
        <f t="shared" si="1"/>
        <v>139</v>
      </c>
      <c r="Y43" s="5">
        <f t="shared" si="1"/>
        <v>158</v>
      </c>
      <c r="Z43" s="5">
        <f t="shared" si="1"/>
        <v>83</v>
      </c>
      <c r="AA43" s="5">
        <f t="shared" si="1"/>
        <v>145</v>
      </c>
      <c r="AB43" s="5">
        <f t="shared" si="1"/>
        <v>144</v>
      </c>
      <c r="AC43" s="5">
        <f t="shared" si="1"/>
        <v>144</v>
      </c>
      <c r="AD43" s="5">
        <f t="shared" si="1"/>
        <v>150</v>
      </c>
      <c r="AE43" s="5">
        <f t="shared" si="1"/>
        <v>143</v>
      </c>
      <c r="AF43" s="5">
        <f t="shared" si="1"/>
        <v>134</v>
      </c>
      <c r="AG43" s="5">
        <f t="shared" si="1"/>
        <v>97</v>
      </c>
      <c r="AH43" s="5">
        <f t="shared" si="1"/>
        <v>145</v>
      </c>
      <c r="AI43" s="5">
        <f t="shared" si="1"/>
        <v>121</v>
      </c>
      <c r="AJ43" s="5">
        <f t="shared" si="1"/>
        <v>144</v>
      </c>
      <c r="AK43" s="5">
        <f t="shared" si="1"/>
        <v>147</v>
      </c>
      <c r="AL43" s="5">
        <f t="shared" si="1"/>
        <v>136</v>
      </c>
      <c r="AM43" s="5">
        <f>SUM(AM7:AM42)</f>
        <v>108</v>
      </c>
      <c r="AO43" s="5">
        <f>SUM(AO7:AO42)</f>
        <v>5019</v>
      </c>
    </row>
    <row r="44" spans="1:41">
      <c r="A44" s="6" t="s">
        <v>4</v>
      </c>
      <c r="B44" s="15">
        <v>86.9</v>
      </c>
      <c r="C44" s="15">
        <v>94.7</v>
      </c>
      <c r="D44" s="5">
        <v>95.7</v>
      </c>
      <c r="E44" s="5">
        <v>87.9</v>
      </c>
      <c r="F44" s="5">
        <v>92.5</v>
      </c>
      <c r="G44" s="5">
        <v>95.7</v>
      </c>
      <c r="H44" s="5">
        <v>97.1</v>
      </c>
      <c r="I44" s="5">
        <v>89.9</v>
      </c>
      <c r="J44" s="5">
        <v>101.5</v>
      </c>
      <c r="K44" s="5">
        <v>100.4</v>
      </c>
      <c r="L44" s="5">
        <v>82.1</v>
      </c>
      <c r="M44" s="5">
        <v>99.5</v>
      </c>
      <c r="N44" s="5">
        <v>48.5</v>
      </c>
      <c r="O44" s="5">
        <v>77.400000000000006</v>
      </c>
      <c r="P44" s="5">
        <v>93.2</v>
      </c>
      <c r="Q44" s="5">
        <v>98.4</v>
      </c>
      <c r="R44" s="5">
        <v>96.8</v>
      </c>
      <c r="S44" s="5">
        <v>99.7</v>
      </c>
      <c r="T44" s="5">
        <v>99.1</v>
      </c>
      <c r="U44" s="5">
        <v>90.4</v>
      </c>
      <c r="V44" s="5">
        <v>100.4</v>
      </c>
      <c r="W44" s="5">
        <v>87.8</v>
      </c>
      <c r="X44" s="5">
        <v>104</v>
      </c>
      <c r="Y44" s="5">
        <v>103.6</v>
      </c>
      <c r="Z44" s="5">
        <v>57.4</v>
      </c>
      <c r="AA44" s="5">
        <v>100.4</v>
      </c>
      <c r="AB44" s="5">
        <v>97.3</v>
      </c>
      <c r="AC44" s="5">
        <v>100.2</v>
      </c>
      <c r="AD44" s="5">
        <v>90.8</v>
      </c>
      <c r="AE44" s="5">
        <v>89.1</v>
      </c>
      <c r="AF44" s="5">
        <v>92.3</v>
      </c>
      <c r="AG44" s="5">
        <v>66.2</v>
      </c>
      <c r="AH44" s="5">
        <v>92.5</v>
      </c>
      <c r="AI44" s="5">
        <v>92.5</v>
      </c>
      <c r="AJ44" s="5">
        <v>96.5</v>
      </c>
      <c r="AK44" s="5">
        <v>99.4</v>
      </c>
      <c r="AL44" s="5">
        <v>96.53</v>
      </c>
      <c r="AM44" s="27">
        <v>76.66</v>
      </c>
      <c r="AO44" s="5">
        <f>SUM(B44:AN44)</f>
        <v>3470.9900000000007</v>
      </c>
    </row>
    <row r="45" spans="1:41">
      <c r="A45" s="6" t="s">
        <v>5</v>
      </c>
      <c r="B45" s="6">
        <f>B44/B43</f>
        <v>0.70080645161290323</v>
      </c>
      <c r="C45" s="6">
        <f t="shared" ref="C45:AK45" si="2">C44/C43</f>
        <v>0.70148148148148148</v>
      </c>
      <c r="D45" s="6">
        <f t="shared" si="2"/>
        <v>0.66</v>
      </c>
      <c r="E45" s="6">
        <f t="shared" si="2"/>
        <v>0.69761904761904769</v>
      </c>
      <c r="F45" s="6">
        <f t="shared" si="2"/>
        <v>0.72265625</v>
      </c>
      <c r="G45" s="6">
        <f t="shared" si="2"/>
        <v>0.67872340425531918</v>
      </c>
      <c r="H45" s="6">
        <f t="shared" si="2"/>
        <v>0.71925925925925926</v>
      </c>
      <c r="I45" s="6">
        <f t="shared" si="2"/>
        <v>0.85619047619047628</v>
      </c>
      <c r="J45" s="6">
        <f t="shared" si="2"/>
        <v>0.63437500000000002</v>
      </c>
      <c r="K45" s="6">
        <f t="shared" si="2"/>
        <v>0.82975206611570251</v>
      </c>
      <c r="L45" s="6">
        <f t="shared" si="2"/>
        <v>0.68416666666666659</v>
      </c>
      <c r="M45" s="6">
        <f t="shared" si="2"/>
        <v>0.69580419580419584</v>
      </c>
      <c r="N45" s="6">
        <f t="shared" si="2"/>
        <v>0.5449438202247191</v>
      </c>
      <c r="O45" s="6">
        <f t="shared" si="2"/>
        <v>0.73714285714285721</v>
      </c>
      <c r="P45" s="6">
        <f t="shared" si="2"/>
        <v>0.73968253968253972</v>
      </c>
      <c r="Q45" s="6">
        <f t="shared" si="2"/>
        <v>0.67862068965517242</v>
      </c>
      <c r="R45" s="6">
        <f t="shared" si="2"/>
        <v>0.65405405405405403</v>
      </c>
      <c r="S45" s="6">
        <f t="shared" si="2"/>
        <v>0.66912751677852356</v>
      </c>
      <c r="T45" s="6">
        <f t="shared" si="2"/>
        <v>0.71294964028776975</v>
      </c>
      <c r="U45" s="6">
        <f t="shared" si="2"/>
        <v>0.71181102362204729</v>
      </c>
      <c r="V45" s="6">
        <f t="shared" si="2"/>
        <v>0.72230215827338129</v>
      </c>
      <c r="W45" s="6">
        <f t="shared" si="2"/>
        <v>0.67022900763358773</v>
      </c>
      <c r="X45" s="6">
        <f t="shared" si="2"/>
        <v>0.74820143884892087</v>
      </c>
      <c r="Y45" s="6">
        <f t="shared" si="2"/>
        <v>0.65569620253164551</v>
      </c>
      <c r="Z45" s="6">
        <f t="shared" si="2"/>
        <v>0.69156626506024099</v>
      </c>
      <c r="AA45" s="6">
        <f t="shared" si="2"/>
        <v>0.69241379310344831</v>
      </c>
      <c r="AB45" s="6">
        <f t="shared" si="2"/>
        <v>0.67569444444444438</v>
      </c>
      <c r="AC45" s="6">
        <f t="shared" si="2"/>
        <v>0.6958333333333333</v>
      </c>
      <c r="AD45" s="6">
        <f t="shared" si="2"/>
        <v>0.60533333333333328</v>
      </c>
      <c r="AE45" s="6">
        <f t="shared" si="2"/>
        <v>0.62307692307692308</v>
      </c>
      <c r="AF45" s="6">
        <f t="shared" si="2"/>
        <v>0.68880597014925371</v>
      </c>
      <c r="AG45" s="6">
        <f t="shared" si="2"/>
        <v>0.68247422680412373</v>
      </c>
      <c r="AH45" s="6">
        <f t="shared" si="2"/>
        <v>0.63793103448275867</v>
      </c>
      <c r="AI45" s="6">
        <f t="shared" si="2"/>
        <v>0.76446280991735538</v>
      </c>
      <c r="AJ45" s="6">
        <f t="shared" si="2"/>
        <v>0.67013888888888884</v>
      </c>
      <c r="AK45" s="6">
        <f t="shared" si="2"/>
        <v>0.67619047619047623</v>
      </c>
      <c r="AL45" s="6">
        <f>AL44/AL43</f>
        <v>0.70977941176470594</v>
      </c>
      <c r="AM45" s="27">
        <v>0.70977941176470594</v>
      </c>
      <c r="AO45" s="6">
        <f>AO44/AO43</f>
        <v>0.69157003387128924</v>
      </c>
    </row>
    <row r="46" spans="1:41">
      <c r="A46" s="6" t="s">
        <v>6</v>
      </c>
    </row>
    <row r="47" spans="1:41">
      <c r="A47" s="6" t="s">
        <v>7</v>
      </c>
    </row>
    <row r="48" spans="1:41">
      <c r="A48" s="6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48"/>
  <sheetViews>
    <sheetView workbookViewId="0">
      <selection activeCell="AR1" sqref="AR1:AR1048576"/>
    </sheetView>
  </sheetViews>
  <sheetFormatPr defaultColWidth="9.109375" defaultRowHeight="14.4"/>
  <cols>
    <col min="1" max="1" width="7.88671875" style="6" customWidth="1"/>
    <col min="2" max="31" width="8.6640625" style="5" customWidth="1"/>
    <col min="32" max="16384" width="9.109375" style="6"/>
  </cols>
  <sheetData>
    <row r="1" spans="1:44" ht="1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4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44" s="7" customFormat="1" ht="15.6">
      <c r="A3" s="7" t="s">
        <v>9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8" t="s">
        <v>10</v>
      </c>
      <c r="I3" s="8" t="s">
        <v>10</v>
      </c>
      <c r="J3" s="8" t="s">
        <v>10</v>
      </c>
      <c r="K3" s="8" t="s">
        <v>10</v>
      </c>
      <c r="L3" s="8" t="s">
        <v>10</v>
      </c>
      <c r="M3" s="8" t="s">
        <v>10</v>
      </c>
      <c r="N3" s="8" t="s">
        <v>10</v>
      </c>
      <c r="O3" s="8" t="s">
        <v>10</v>
      </c>
      <c r="P3" s="8" t="s">
        <v>10</v>
      </c>
      <c r="Q3" s="8" t="s">
        <v>10</v>
      </c>
      <c r="R3" s="8" t="s">
        <v>10</v>
      </c>
      <c r="S3" s="8" t="s">
        <v>10</v>
      </c>
      <c r="T3" s="8" t="s">
        <v>10</v>
      </c>
      <c r="U3" s="8" t="s">
        <v>10</v>
      </c>
      <c r="V3" s="8" t="s">
        <v>10</v>
      </c>
      <c r="W3" s="8" t="s">
        <v>10</v>
      </c>
      <c r="X3" s="8" t="s">
        <v>10</v>
      </c>
      <c r="Y3" s="8" t="s">
        <v>10</v>
      </c>
      <c r="Z3" s="8" t="s">
        <v>10</v>
      </c>
      <c r="AA3" s="8" t="s">
        <v>10</v>
      </c>
      <c r="AB3" s="8" t="s">
        <v>10</v>
      </c>
      <c r="AC3" s="8" t="s">
        <v>10</v>
      </c>
      <c r="AD3" s="8" t="s">
        <v>10</v>
      </c>
      <c r="AE3" s="8" t="s">
        <v>10</v>
      </c>
      <c r="AF3" s="8" t="s">
        <v>10</v>
      </c>
      <c r="AG3" s="8" t="s">
        <v>10</v>
      </c>
      <c r="AH3" s="8" t="s">
        <v>10</v>
      </c>
      <c r="AI3" s="8" t="s">
        <v>10</v>
      </c>
      <c r="AJ3" s="8" t="s">
        <v>10</v>
      </c>
      <c r="AK3" s="8" t="s">
        <v>10</v>
      </c>
      <c r="AL3" s="8" t="s">
        <v>10</v>
      </c>
      <c r="AM3" s="8" t="s">
        <v>10</v>
      </c>
      <c r="AN3" s="8" t="s">
        <v>10</v>
      </c>
      <c r="AO3" s="8" t="s">
        <v>10</v>
      </c>
      <c r="AP3" s="8" t="s">
        <v>10</v>
      </c>
      <c r="AR3" s="7" t="s">
        <v>15</v>
      </c>
    </row>
    <row r="4" spans="1:44" s="11" customFormat="1">
      <c r="A4" s="9" t="s">
        <v>0</v>
      </c>
      <c r="B4" s="10">
        <v>39934</v>
      </c>
      <c r="C4" s="10">
        <v>39934</v>
      </c>
      <c r="D4" s="10">
        <v>39935</v>
      </c>
      <c r="E4" s="10">
        <v>39936</v>
      </c>
      <c r="F4" s="10">
        <v>39936</v>
      </c>
      <c r="G4" s="10">
        <v>39936</v>
      </c>
      <c r="H4" s="10">
        <v>39937</v>
      </c>
      <c r="I4" s="10">
        <v>39937</v>
      </c>
      <c r="J4" s="10">
        <v>39938</v>
      </c>
      <c r="K4" s="10">
        <v>39938</v>
      </c>
      <c r="L4" s="10">
        <v>39939</v>
      </c>
      <c r="M4" s="10">
        <v>39940</v>
      </c>
      <c r="N4" s="10">
        <v>39941</v>
      </c>
      <c r="O4" s="10">
        <v>39941</v>
      </c>
      <c r="P4" s="10">
        <v>39941</v>
      </c>
      <c r="Q4" s="10">
        <v>39942</v>
      </c>
      <c r="R4" s="10">
        <v>39942</v>
      </c>
      <c r="S4" s="10">
        <v>39947</v>
      </c>
      <c r="T4" s="10">
        <v>39948</v>
      </c>
      <c r="U4" s="10">
        <v>39948</v>
      </c>
      <c r="V4" s="10">
        <v>39949</v>
      </c>
      <c r="W4" s="10">
        <v>39949</v>
      </c>
      <c r="X4" s="10">
        <v>39950</v>
      </c>
      <c r="Y4" s="10">
        <v>39950</v>
      </c>
      <c r="Z4" s="10">
        <v>39951</v>
      </c>
      <c r="AA4" s="10">
        <v>39951</v>
      </c>
      <c r="AB4" s="10">
        <v>39952</v>
      </c>
      <c r="AC4" s="10">
        <v>39953</v>
      </c>
      <c r="AD4" s="10">
        <v>39954</v>
      </c>
      <c r="AE4" s="10">
        <v>39954</v>
      </c>
      <c r="AF4" s="10">
        <v>39954</v>
      </c>
      <c r="AG4" s="10">
        <v>39955</v>
      </c>
      <c r="AH4" s="10">
        <v>39955</v>
      </c>
      <c r="AI4" s="10">
        <v>39958</v>
      </c>
      <c r="AJ4" s="10">
        <v>39959</v>
      </c>
      <c r="AK4" s="10">
        <v>39960</v>
      </c>
      <c r="AL4" s="10">
        <v>39960</v>
      </c>
      <c r="AM4" s="10">
        <v>39961</v>
      </c>
      <c r="AN4" s="10">
        <v>39962</v>
      </c>
      <c r="AO4" s="10">
        <v>39962</v>
      </c>
      <c r="AP4" s="10">
        <v>39962</v>
      </c>
    </row>
    <row r="5" spans="1:44" s="14" customFormat="1">
      <c r="A5" s="12" t="s">
        <v>1</v>
      </c>
      <c r="B5" s="13">
        <v>21</v>
      </c>
      <c r="C5" s="13">
        <v>21</v>
      </c>
      <c r="D5" s="13">
        <v>6.3</v>
      </c>
      <c r="E5" s="13">
        <v>0</v>
      </c>
      <c r="F5" s="13">
        <v>7</v>
      </c>
      <c r="G5" s="13">
        <v>20.45</v>
      </c>
      <c r="H5" s="13">
        <v>9</v>
      </c>
      <c r="I5" s="13">
        <v>19.3</v>
      </c>
      <c r="J5" s="13">
        <v>9</v>
      </c>
      <c r="K5" s="13">
        <v>16</v>
      </c>
      <c r="L5" s="13">
        <v>1.3</v>
      </c>
      <c r="M5" s="13">
        <v>17</v>
      </c>
      <c r="N5" s="13">
        <v>5.3</v>
      </c>
      <c r="O5" s="13">
        <v>5.3</v>
      </c>
      <c r="P5" s="13">
        <v>23</v>
      </c>
      <c r="Q5" s="13">
        <v>8.15</v>
      </c>
      <c r="R5" s="13">
        <v>8.15</v>
      </c>
      <c r="S5" s="13">
        <v>4.3</v>
      </c>
      <c r="T5" s="13">
        <v>21.45</v>
      </c>
      <c r="U5" s="13">
        <v>21.45</v>
      </c>
      <c r="V5" s="13">
        <v>6.3</v>
      </c>
      <c r="W5" s="13">
        <v>22.45</v>
      </c>
      <c r="X5" s="13">
        <v>5.15</v>
      </c>
      <c r="Y5" s="13">
        <v>17</v>
      </c>
      <c r="Z5" s="13">
        <v>7</v>
      </c>
      <c r="AA5" s="13">
        <v>18</v>
      </c>
      <c r="AB5" s="13">
        <v>6</v>
      </c>
      <c r="AC5" s="13">
        <v>18</v>
      </c>
      <c r="AD5" s="13">
        <v>5.3</v>
      </c>
      <c r="AE5" s="13">
        <v>17</v>
      </c>
      <c r="AF5" s="13">
        <v>17</v>
      </c>
      <c r="AG5" s="13">
        <v>5.3</v>
      </c>
      <c r="AH5" s="13">
        <v>15</v>
      </c>
      <c r="AI5" s="13">
        <v>8</v>
      </c>
      <c r="AJ5" s="13">
        <v>17</v>
      </c>
      <c r="AK5" s="13">
        <v>9.3000000000000007</v>
      </c>
      <c r="AL5" s="13">
        <v>23</v>
      </c>
      <c r="AM5" s="13">
        <v>7</v>
      </c>
      <c r="AN5" s="13">
        <v>0.15</v>
      </c>
      <c r="AO5" s="13">
        <v>23</v>
      </c>
      <c r="AP5" s="13">
        <v>23</v>
      </c>
    </row>
    <row r="6" spans="1:44">
      <c r="A6" s="1" t="s">
        <v>2</v>
      </c>
      <c r="B6" s="5">
        <v>3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5">
        <v>8</v>
      </c>
      <c r="I6" s="15">
        <v>9</v>
      </c>
      <c r="J6" s="15">
        <v>10</v>
      </c>
      <c r="K6" s="15">
        <v>11</v>
      </c>
      <c r="L6" s="5">
        <v>12</v>
      </c>
      <c r="M6" s="5">
        <v>14</v>
      </c>
      <c r="N6" s="5">
        <v>15</v>
      </c>
      <c r="O6" s="5">
        <v>15</v>
      </c>
      <c r="P6" s="5">
        <v>17</v>
      </c>
      <c r="Q6" s="5">
        <v>18</v>
      </c>
      <c r="R6" s="5">
        <v>18</v>
      </c>
      <c r="S6" s="5">
        <v>20</v>
      </c>
      <c r="T6" s="15">
        <v>22</v>
      </c>
      <c r="U6" s="15">
        <v>22</v>
      </c>
      <c r="V6" s="5">
        <v>23</v>
      </c>
      <c r="W6" s="5">
        <v>24</v>
      </c>
      <c r="X6" s="5">
        <v>25</v>
      </c>
      <c r="Y6" s="5">
        <v>26</v>
      </c>
      <c r="Z6" s="5">
        <v>27</v>
      </c>
      <c r="AA6" s="15">
        <v>28</v>
      </c>
      <c r="AB6" s="15">
        <v>29</v>
      </c>
      <c r="AC6" s="5">
        <v>31</v>
      </c>
      <c r="AD6" s="5">
        <v>32</v>
      </c>
      <c r="AE6" s="5">
        <v>34</v>
      </c>
      <c r="AF6" s="5">
        <v>34</v>
      </c>
      <c r="AG6" s="15">
        <v>35</v>
      </c>
      <c r="AH6" s="5">
        <v>36</v>
      </c>
      <c r="AI6" s="5">
        <v>38</v>
      </c>
      <c r="AJ6" s="5">
        <v>41</v>
      </c>
      <c r="AK6" s="15">
        <v>42</v>
      </c>
      <c r="AL6" s="15">
        <v>44</v>
      </c>
      <c r="AM6" s="5">
        <v>45</v>
      </c>
      <c r="AN6" s="5">
        <v>46</v>
      </c>
      <c r="AO6" s="5">
        <v>49</v>
      </c>
      <c r="AP6" s="5">
        <v>49</v>
      </c>
    </row>
    <row r="7" spans="1:44">
      <c r="A7" s="2">
        <v>20</v>
      </c>
      <c r="F7" s="5">
        <v>0</v>
      </c>
      <c r="G7" s="5">
        <v>0</v>
      </c>
      <c r="H7" s="15">
        <v>0</v>
      </c>
      <c r="I7" s="15">
        <v>0</v>
      </c>
      <c r="J7" s="15">
        <v>0</v>
      </c>
      <c r="K7" s="15"/>
      <c r="N7" s="5">
        <v>0</v>
      </c>
      <c r="O7" s="5">
        <v>0</v>
      </c>
      <c r="P7" s="5">
        <v>0</v>
      </c>
      <c r="Q7" s="5">
        <v>0</v>
      </c>
      <c r="R7" s="5">
        <v>0</v>
      </c>
      <c r="T7" s="15">
        <v>0</v>
      </c>
      <c r="U7" s="1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15">
        <v>0</v>
      </c>
      <c r="AB7" s="15">
        <v>0</v>
      </c>
      <c r="AC7" s="5">
        <v>0</v>
      </c>
      <c r="AD7" s="5">
        <v>0</v>
      </c>
      <c r="AE7" s="5">
        <v>0</v>
      </c>
      <c r="AF7" s="15">
        <v>0</v>
      </c>
      <c r="AG7" s="15">
        <v>0</v>
      </c>
      <c r="AH7" s="5">
        <v>0</v>
      </c>
      <c r="AI7" s="5">
        <v>0</v>
      </c>
      <c r="AJ7" s="5">
        <v>0</v>
      </c>
      <c r="AK7" s="15"/>
      <c r="AL7" s="15">
        <v>0</v>
      </c>
      <c r="AM7" s="5">
        <v>0</v>
      </c>
      <c r="AN7" s="5">
        <v>0</v>
      </c>
      <c r="AO7" s="5">
        <v>0</v>
      </c>
      <c r="AP7" s="15">
        <v>0</v>
      </c>
      <c r="AR7" s="6">
        <f>SUM(B7:AP7)</f>
        <v>0</v>
      </c>
    </row>
    <row r="8" spans="1:44">
      <c r="A8" s="2">
        <v>21</v>
      </c>
      <c r="F8" s="5">
        <v>0</v>
      </c>
      <c r="G8" s="5">
        <v>0</v>
      </c>
      <c r="H8" s="15">
        <v>0</v>
      </c>
      <c r="I8" s="15">
        <v>0</v>
      </c>
      <c r="J8" s="15">
        <v>0</v>
      </c>
      <c r="K8" s="15"/>
      <c r="N8" s="5">
        <v>0</v>
      </c>
      <c r="O8" s="5">
        <v>0</v>
      </c>
      <c r="P8" s="5">
        <v>0</v>
      </c>
      <c r="Q8" s="5">
        <v>0</v>
      </c>
      <c r="R8" s="5">
        <v>0</v>
      </c>
      <c r="T8" s="15">
        <v>0</v>
      </c>
      <c r="U8" s="1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15">
        <v>0</v>
      </c>
      <c r="AB8" s="15">
        <v>0</v>
      </c>
      <c r="AC8" s="5">
        <v>0</v>
      </c>
      <c r="AD8" s="5">
        <v>0</v>
      </c>
      <c r="AE8" s="5">
        <v>0</v>
      </c>
      <c r="AF8" s="15">
        <v>0</v>
      </c>
      <c r="AG8" s="15">
        <v>0</v>
      </c>
      <c r="AH8" s="5">
        <v>0</v>
      </c>
      <c r="AI8" s="5">
        <v>0</v>
      </c>
      <c r="AJ8" s="5">
        <v>0</v>
      </c>
      <c r="AK8" s="15"/>
      <c r="AL8" s="15">
        <v>0</v>
      </c>
      <c r="AM8" s="5">
        <v>0</v>
      </c>
      <c r="AN8" s="5">
        <v>0</v>
      </c>
      <c r="AO8" s="5">
        <v>0</v>
      </c>
      <c r="AP8" s="15">
        <v>0</v>
      </c>
      <c r="AR8" s="6">
        <f t="shared" ref="AR8:AR41" si="0">SUM(B8:AP8)</f>
        <v>0</v>
      </c>
    </row>
    <row r="9" spans="1:44">
      <c r="A9" s="2">
        <v>22</v>
      </c>
      <c r="F9" s="5">
        <v>0</v>
      </c>
      <c r="G9" s="5">
        <v>0</v>
      </c>
      <c r="H9" s="15">
        <v>0</v>
      </c>
      <c r="I9" s="15">
        <v>0</v>
      </c>
      <c r="J9" s="15">
        <v>0</v>
      </c>
      <c r="K9" s="15"/>
      <c r="N9" s="5">
        <v>0</v>
      </c>
      <c r="O9" s="5">
        <v>0</v>
      </c>
      <c r="P9" s="5">
        <v>0</v>
      </c>
      <c r="Q9" s="5">
        <v>0</v>
      </c>
      <c r="R9" s="5">
        <v>0</v>
      </c>
      <c r="T9" s="15">
        <v>0</v>
      </c>
      <c r="U9" s="1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15">
        <v>0</v>
      </c>
      <c r="AB9" s="15">
        <v>0</v>
      </c>
      <c r="AC9" s="5">
        <v>0</v>
      </c>
      <c r="AD9" s="5">
        <v>0</v>
      </c>
      <c r="AE9" s="5">
        <v>0</v>
      </c>
      <c r="AF9" s="15">
        <v>0</v>
      </c>
      <c r="AG9" s="15">
        <v>0</v>
      </c>
      <c r="AH9" s="5">
        <v>0</v>
      </c>
      <c r="AI9" s="5">
        <v>0</v>
      </c>
      <c r="AJ9" s="5">
        <v>0</v>
      </c>
      <c r="AK9" s="15"/>
      <c r="AL9" s="15">
        <v>0</v>
      </c>
      <c r="AM9" s="5">
        <v>0</v>
      </c>
      <c r="AN9" s="5">
        <v>0</v>
      </c>
      <c r="AO9" s="5">
        <v>0</v>
      </c>
      <c r="AP9" s="15">
        <v>0</v>
      </c>
      <c r="AR9" s="6">
        <f t="shared" si="0"/>
        <v>0</v>
      </c>
    </row>
    <row r="10" spans="1:44">
      <c r="A10" s="2">
        <v>23</v>
      </c>
      <c r="E10" s="5">
        <v>1</v>
      </c>
      <c r="F10" s="5">
        <v>0</v>
      </c>
      <c r="G10" s="5">
        <v>0</v>
      </c>
      <c r="H10" s="15">
        <v>0</v>
      </c>
      <c r="I10" s="15">
        <v>0</v>
      </c>
      <c r="J10" s="15">
        <v>0</v>
      </c>
      <c r="K10" s="15"/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T10" s="15">
        <v>0</v>
      </c>
      <c r="U10" s="1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15">
        <v>0</v>
      </c>
      <c r="AB10" s="15">
        <v>0</v>
      </c>
      <c r="AC10" s="5">
        <v>0</v>
      </c>
      <c r="AD10" s="5">
        <v>0</v>
      </c>
      <c r="AE10" s="5">
        <v>0</v>
      </c>
      <c r="AF10" s="15">
        <v>0</v>
      </c>
      <c r="AG10" s="15">
        <v>0</v>
      </c>
      <c r="AH10" s="5">
        <v>0</v>
      </c>
      <c r="AI10" s="5">
        <v>0</v>
      </c>
      <c r="AJ10" s="5">
        <v>0</v>
      </c>
      <c r="AK10" s="15"/>
      <c r="AL10" s="15">
        <v>0</v>
      </c>
      <c r="AM10" s="5">
        <v>0</v>
      </c>
      <c r="AN10" s="5">
        <v>0</v>
      </c>
      <c r="AO10" s="5">
        <v>0</v>
      </c>
      <c r="AP10" s="15">
        <v>0</v>
      </c>
      <c r="AR10" s="6">
        <f t="shared" si="0"/>
        <v>2</v>
      </c>
    </row>
    <row r="11" spans="1:44">
      <c r="A11" s="2">
        <v>24</v>
      </c>
      <c r="F11" s="5">
        <v>0</v>
      </c>
      <c r="G11" s="5">
        <v>0</v>
      </c>
      <c r="H11" s="15">
        <v>0</v>
      </c>
      <c r="I11" s="15">
        <v>0</v>
      </c>
      <c r="J11" s="15">
        <v>0</v>
      </c>
      <c r="K11" s="15"/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T11" s="15">
        <v>0</v>
      </c>
      <c r="U11" s="1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15">
        <v>0</v>
      </c>
      <c r="AB11" s="15">
        <v>0</v>
      </c>
      <c r="AC11" s="5">
        <v>0</v>
      </c>
      <c r="AD11" s="5">
        <v>0</v>
      </c>
      <c r="AE11" s="5">
        <v>0</v>
      </c>
      <c r="AF11" s="15">
        <v>0</v>
      </c>
      <c r="AG11" s="15">
        <v>0</v>
      </c>
      <c r="AH11" s="5">
        <v>0</v>
      </c>
      <c r="AI11" s="5">
        <v>0</v>
      </c>
      <c r="AJ11" s="5">
        <v>0</v>
      </c>
      <c r="AK11" s="15"/>
      <c r="AL11" s="15">
        <v>0</v>
      </c>
      <c r="AM11" s="5">
        <v>0</v>
      </c>
      <c r="AN11" s="5">
        <v>0</v>
      </c>
      <c r="AO11" s="5">
        <v>0</v>
      </c>
      <c r="AP11" s="15">
        <v>0</v>
      </c>
      <c r="AR11" s="6">
        <f t="shared" si="0"/>
        <v>1</v>
      </c>
    </row>
    <row r="12" spans="1:44">
      <c r="A12" s="2">
        <v>25</v>
      </c>
      <c r="B12" s="5">
        <v>0</v>
      </c>
      <c r="C12" s="5">
        <v>0</v>
      </c>
      <c r="D12" s="5">
        <v>0</v>
      </c>
      <c r="F12" s="5">
        <v>0</v>
      </c>
      <c r="G12" s="5">
        <v>0</v>
      </c>
      <c r="H12" s="15">
        <v>0</v>
      </c>
      <c r="I12" s="15">
        <v>0</v>
      </c>
      <c r="J12" s="15">
        <v>0</v>
      </c>
      <c r="K12" s="15"/>
      <c r="N12" s="5">
        <v>0</v>
      </c>
      <c r="O12" s="5">
        <v>0</v>
      </c>
      <c r="P12" s="5">
        <v>0</v>
      </c>
      <c r="Q12" s="5">
        <v>0</v>
      </c>
      <c r="R12" s="5">
        <v>0</v>
      </c>
      <c r="T12" s="15">
        <v>0</v>
      </c>
      <c r="U12" s="1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15">
        <v>0</v>
      </c>
      <c r="AB12" s="15">
        <v>0</v>
      </c>
      <c r="AC12" s="5">
        <v>0</v>
      </c>
      <c r="AD12" s="5">
        <v>0</v>
      </c>
      <c r="AE12" s="5">
        <v>0</v>
      </c>
      <c r="AF12" s="15">
        <v>0</v>
      </c>
      <c r="AG12" s="15">
        <v>0</v>
      </c>
      <c r="AH12" s="5">
        <v>0</v>
      </c>
      <c r="AI12" s="5">
        <v>0</v>
      </c>
      <c r="AJ12" s="5">
        <v>0</v>
      </c>
      <c r="AK12" s="15"/>
      <c r="AL12" s="15">
        <v>0</v>
      </c>
      <c r="AM12" s="5">
        <v>0</v>
      </c>
      <c r="AN12" s="5">
        <v>0</v>
      </c>
      <c r="AO12" s="5">
        <v>0</v>
      </c>
      <c r="AP12" s="15">
        <v>0</v>
      </c>
      <c r="AR12" s="6">
        <f t="shared" si="0"/>
        <v>0</v>
      </c>
    </row>
    <row r="13" spans="1:44">
      <c r="A13" s="2">
        <v>26</v>
      </c>
      <c r="B13" s="5">
        <v>0</v>
      </c>
      <c r="C13" s="5">
        <v>0</v>
      </c>
      <c r="D13" s="5">
        <v>0</v>
      </c>
      <c r="F13" s="5">
        <v>0</v>
      </c>
      <c r="G13" s="5">
        <v>0</v>
      </c>
      <c r="H13" s="15">
        <v>0</v>
      </c>
      <c r="I13" s="15">
        <v>0</v>
      </c>
      <c r="J13" s="15">
        <v>0</v>
      </c>
      <c r="K13" s="15"/>
      <c r="N13" s="5">
        <v>0</v>
      </c>
      <c r="O13" s="5">
        <v>0</v>
      </c>
      <c r="P13" s="5">
        <v>0</v>
      </c>
      <c r="Q13" s="5">
        <v>0</v>
      </c>
      <c r="R13" s="5">
        <v>0</v>
      </c>
      <c r="T13" s="15">
        <v>0</v>
      </c>
      <c r="U13" s="1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15">
        <v>0</v>
      </c>
      <c r="AB13" s="15">
        <v>0</v>
      </c>
      <c r="AC13" s="5">
        <v>0</v>
      </c>
      <c r="AD13" s="5">
        <v>0</v>
      </c>
      <c r="AE13" s="5">
        <v>0</v>
      </c>
      <c r="AF13" s="15">
        <v>0</v>
      </c>
      <c r="AG13" s="15">
        <v>0</v>
      </c>
      <c r="AH13" s="5">
        <v>0</v>
      </c>
      <c r="AI13" s="5">
        <v>0</v>
      </c>
      <c r="AJ13" s="5">
        <v>0</v>
      </c>
      <c r="AK13" s="15"/>
      <c r="AL13" s="15">
        <v>0</v>
      </c>
      <c r="AM13" s="5">
        <v>0</v>
      </c>
      <c r="AN13" s="5">
        <v>0</v>
      </c>
      <c r="AO13" s="5">
        <v>0</v>
      </c>
      <c r="AP13" s="15">
        <v>0</v>
      </c>
      <c r="AR13" s="6">
        <f t="shared" si="0"/>
        <v>0</v>
      </c>
    </row>
    <row r="14" spans="1:44">
      <c r="A14" s="2">
        <v>27</v>
      </c>
      <c r="B14" s="5">
        <v>0</v>
      </c>
      <c r="C14" s="5">
        <v>0</v>
      </c>
      <c r="D14" s="5">
        <v>0</v>
      </c>
      <c r="F14" s="5">
        <v>0</v>
      </c>
      <c r="G14" s="5">
        <v>0</v>
      </c>
      <c r="H14" s="15">
        <v>0</v>
      </c>
      <c r="I14" s="15">
        <v>0</v>
      </c>
      <c r="J14" s="15">
        <v>0</v>
      </c>
      <c r="K14" s="15"/>
      <c r="N14" s="5">
        <v>0</v>
      </c>
      <c r="O14" s="5">
        <v>0</v>
      </c>
      <c r="P14" s="5">
        <v>0</v>
      </c>
      <c r="Q14" s="5">
        <v>0</v>
      </c>
      <c r="R14" s="5">
        <v>0</v>
      </c>
      <c r="T14" s="15">
        <v>0</v>
      </c>
      <c r="U14" s="1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15">
        <v>0</v>
      </c>
      <c r="AB14" s="15">
        <v>0</v>
      </c>
      <c r="AC14" s="5">
        <v>0</v>
      </c>
      <c r="AD14" s="5">
        <v>0</v>
      </c>
      <c r="AE14" s="5">
        <v>0</v>
      </c>
      <c r="AF14" s="15">
        <v>0</v>
      </c>
      <c r="AG14" s="15">
        <v>0</v>
      </c>
      <c r="AH14" s="5">
        <v>0</v>
      </c>
      <c r="AI14" s="5">
        <v>0</v>
      </c>
      <c r="AJ14" s="5">
        <v>0</v>
      </c>
      <c r="AK14" s="15"/>
      <c r="AL14" s="15">
        <v>0</v>
      </c>
      <c r="AM14" s="5">
        <v>0</v>
      </c>
      <c r="AN14" s="5">
        <v>0</v>
      </c>
      <c r="AO14" s="5">
        <v>0</v>
      </c>
      <c r="AP14" s="15">
        <v>0</v>
      </c>
      <c r="AR14" s="6">
        <f t="shared" si="0"/>
        <v>0</v>
      </c>
    </row>
    <row r="15" spans="1:44">
      <c r="A15" s="6">
        <v>28</v>
      </c>
      <c r="B15" s="5">
        <v>0</v>
      </c>
      <c r="C15" s="5">
        <v>0</v>
      </c>
      <c r="D15" s="5">
        <v>0</v>
      </c>
      <c r="F15" s="5">
        <v>0</v>
      </c>
      <c r="G15" s="5">
        <v>0</v>
      </c>
      <c r="H15" s="15">
        <v>0</v>
      </c>
      <c r="I15" s="15">
        <v>0</v>
      </c>
      <c r="J15" s="15">
        <v>0</v>
      </c>
      <c r="K15" s="15"/>
      <c r="N15" s="5">
        <v>0</v>
      </c>
      <c r="O15" s="5">
        <v>0</v>
      </c>
      <c r="P15" s="5">
        <v>0</v>
      </c>
      <c r="Q15" s="5">
        <v>0</v>
      </c>
      <c r="R15" s="5">
        <v>0</v>
      </c>
      <c r="T15" s="15">
        <v>0</v>
      </c>
      <c r="U15" s="1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15">
        <v>0</v>
      </c>
      <c r="AB15" s="15">
        <v>0</v>
      </c>
      <c r="AC15" s="5">
        <v>0</v>
      </c>
      <c r="AD15" s="5">
        <v>0</v>
      </c>
      <c r="AE15" s="5">
        <v>0</v>
      </c>
      <c r="AF15" s="15">
        <v>0</v>
      </c>
      <c r="AG15" s="15">
        <v>0</v>
      </c>
      <c r="AH15" s="5">
        <v>0</v>
      </c>
      <c r="AI15" s="5">
        <v>0</v>
      </c>
      <c r="AJ15" s="5">
        <v>0</v>
      </c>
      <c r="AK15" s="15"/>
      <c r="AL15" s="15">
        <v>0</v>
      </c>
      <c r="AM15" s="5">
        <v>0</v>
      </c>
      <c r="AN15" s="5">
        <v>0</v>
      </c>
      <c r="AO15" s="5">
        <v>0</v>
      </c>
      <c r="AP15" s="15">
        <v>0</v>
      </c>
      <c r="AR15" s="6">
        <f t="shared" si="0"/>
        <v>0</v>
      </c>
    </row>
    <row r="16" spans="1:44">
      <c r="A16" s="6">
        <v>29</v>
      </c>
      <c r="B16" s="5">
        <v>0</v>
      </c>
      <c r="C16" s="5">
        <v>0</v>
      </c>
      <c r="D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/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R16" s="6">
        <f t="shared" si="0"/>
        <v>0</v>
      </c>
    </row>
    <row r="17" spans="1:44">
      <c r="A17" s="6">
        <v>30</v>
      </c>
      <c r="B17" s="5">
        <v>0</v>
      </c>
      <c r="C17" s="5">
        <v>0</v>
      </c>
      <c r="D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/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R17" s="6">
        <f t="shared" si="0"/>
        <v>0</v>
      </c>
    </row>
    <row r="18" spans="1:44">
      <c r="A18" s="6">
        <v>31</v>
      </c>
      <c r="B18" s="5">
        <v>0</v>
      </c>
      <c r="C18" s="5">
        <v>0</v>
      </c>
      <c r="D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/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R18" s="6">
        <f t="shared" si="0"/>
        <v>0</v>
      </c>
    </row>
    <row r="19" spans="1:44">
      <c r="A19" s="6">
        <v>32</v>
      </c>
      <c r="B19" s="5">
        <v>0</v>
      </c>
      <c r="C19" s="5">
        <v>0</v>
      </c>
      <c r="D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/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R19" s="6">
        <f t="shared" si="0"/>
        <v>0</v>
      </c>
    </row>
    <row r="20" spans="1:44">
      <c r="A20" s="6">
        <v>3</v>
      </c>
      <c r="B20" s="5">
        <v>1</v>
      </c>
      <c r="C20" s="5">
        <v>0</v>
      </c>
      <c r="D20" s="5">
        <v>1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2</v>
      </c>
      <c r="M20" s="5">
        <v>5</v>
      </c>
      <c r="N20" s="5">
        <v>1</v>
      </c>
      <c r="O20" s="5">
        <v>2</v>
      </c>
      <c r="P20" s="5">
        <v>1</v>
      </c>
      <c r="Q20" s="5">
        <v>1</v>
      </c>
      <c r="R20" s="5">
        <v>3</v>
      </c>
      <c r="T20" s="5">
        <v>0</v>
      </c>
      <c r="U20" s="5">
        <v>0</v>
      </c>
      <c r="V20" s="5">
        <v>0</v>
      </c>
      <c r="W20" s="5">
        <v>3</v>
      </c>
      <c r="X20" s="5">
        <v>4</v>
      </c>
      <c r="Y20" s="5">
        <v>3</v>
      </c>
      <c r="Z20" s="5">
        <v>0</v>
      </c>
      <c r="AA20" s="5">
        <v>2</v>
      </c>
      <c r="AB20" s="5">
        <v>1</v>
      </c>
      <c r="AC20" s="5">
        <v>0</v>
      </c>
      <c r="AD20" s="5">
        <v>0</v>
      </c>
      <c r="AE20" s="5">
        <v>1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/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R20" s="6">
        <f t="shared" si="0"/>
        <v>33</v>
      </c>
    </row>
    <row r="21" spans="1:44">
      <c r="A21" s="6">
        <v>4</v>
      </c>
      <c r="B21" s="5">
        <v>8</v>
      </c>
      <c r="C21" s="5">
        <v>14</v>
      </c>
      <c r="D21" s="5">
        <v>5</v>
      </c>
      <c r="E21" s="5">
        <v>6</v>
      </c>
      <c r="F21" s="5">
        <v>11</v>
      </c>
      <c r="G21" s="5">
        <v>10</v>
      </c>
      <c r="H21" s="5">
        <v>3</v>
      </c>
      <c r="I21" s="5">
        <v>17</v>
      </c>
      <c r="J21" s="5">
        <v>13</v>
      </c>
      <c r="K21" s="5">
        <v>28</v>
      </c>
      <c r="L21" s="5">
        <v>17</v>
      </c>
      <c r="M21" s="5">
        <v>18</v>
      </c>
      <c r="N21" s="5">
        <v>21</v>
      </c>
      <c r="O21" s="5">
        <v>6</v>
      </c>
      <c r="P21" s="5">
        <v>23</v>
      </c>
      <c r="Q21" s="5">
        <v>10</v>
      </c>
      <c r="R21" s="5">
        <v>13</v>
      </c>
      <c r="S21" s="5">
        <v>4</v>
      </c>
      <c r="T21" s="5">
        <v>3</v>
      </c>
      <c r="U21" s="5">
        <v>6</v>
      </c>
      <c r="V21" s="5">
        <v>7</v>
      </c>
      <c r="W21" s="5">
        <v>10</v>
      </c>
      <c r="X21" s="5">
        <v>9</v>
      </c>
      <c r="Y21" s="5">
        <v>3</v>
      </c>
      <c r="Z21" s="5">
        <v>18</v>
      </c>
      <c r="AA21" s="5">
        <v>19</v>
      </c>
      <c r="AB21" s="5">
        <v>11</v>
      </c>
      <c r="AC21" s="5">
        <v>4</v>
      </c>
      <c r="AD21" s="5">
        <v>5</v>
      </c>
      <c r="AE21" s="5">
        <v>5</v>
      </c>
      <c r="AF21" s="5">
        <v>3</v>
      </c>
      <c r="AG21" s="5">
        <v>6</v>
      </c>
      <c r="AH21" s="5">
        <v>12</v>
      </c>
      <c r="AI21" s="5">
        <v>4</v>
      </c>
      <c r="AJ21" s="5">
        <v>1</v>
      </c>
      <c r="AK21" s="5">
        <v>1</v>
      </c>
      <c r="AL21" s="5">
        <v>1</v>
      </c>
      <c r="AM21" s="5">
        <v>1</v>
      </c>
      <c r="AN21" s="5">
        <v>0</v>
      </c>
      <c r="AO21" s="5">
        <v>3</v>
      </c>
      <c r="AP21" s="5">
        <v>1</v>
      </c>
      <c r="AR21" s="6">
        <f t="shared" si="0"/>
        <v>360</v>
      </c>
    </row>
    <row r="22" spans="1:44">
      <c r="A22" s="6">
        <v>35</v>
      </c>
      <c r="B22" s="5">
        <v>20</v>
      </c>
      <c r="C22" s="5">
        <v>24</v>
      </c>
      <c r="D22" s="5">
        <v>17</v>
      </c>
      <c r="E22" s="5">
        <v>15</v>
      </c>
      <c r="F22" s="5">
        <v>24</v>
      </c>
      <c r="G22" s="5">
        <v>14</v>
      </c>
      <c r="H22" s="5">
        <v>5</v>
      </c>
      <c r="I22" s="5">
        <v>15</v>
      </c>
      <c r="J22" s="5">
        <v>22</v>
      </c>
      <c r="K22" s="5">
        <v>24</v>
      </c>
      <c r="L22" s="5">
        <v>36</v>
      </c>
      <c r="M22" s="5">
        <v>27</v>
      </c>
      <c r="N22" s="5">
        <v>28</v>
      </c>
      <c r="O22" s="5">
        <v>24</v>
      </c>
      <c r="P22" s="5">
        <v>30</v>
      </c>
      <c r="Q22" s="5">
        <v>25</v>
      </c>
      <c r="R22" s="5">
        <v>26</v>
      </c>
      <c r="S22" s="5">
        <v>20</v>
      </c>
      <c r="T22" s="5">
        <v>14</v>
      </c>
      <c r="U22" s="5">
        <v>12</v>
      </c>
      <c r="V22" s="5">
        <v>27</v>
      </c>
      <c r="W22" s="5">
        <v>23</v>
      </c>
      <c r="X22" s="5">
        <v>27</v>
      </c>
      <c r="Y22" s="5">
        <v>14</v>
      </c>
      <c r="Z22" s="5">
        <v>13</v>
      </c>
      <c r="AA22" s="5">
        <v>24</v>
      </c>
      <c r="AB22" s="5">
        <v>20</v>
      </c>
      <c r="AC22" s="5">
        <v>16</v>
      </c>
      <c r="AD22" s="5">
        <v>15</v>
      </c>
      <c r="AE22" s="5">
        <v>18</v>
      </c>
      <c r="AF22" s="5">
        <v>14</v>
      </c>
      <c r="AG22" s="5">
        <v>14</v>
      </c>
      <c r="AH22" s="5">
        <v>23</v>
      </c>
      <c r="AI22" s="5">
        <v>14</v>
      </c>
      <c r="AJ22" s="5">
        <v>6</v>
      </c>
      <c r="AK22" s="5">
        <v>3</v>
      </c>
      <c r="AL22" s="5">
        <v>5</v>
      </c>
      <c r="AM22" s="5">
        <v>12</v>
      </c>
      <c r="AN22" s="5">
        <v>11</v>
      </c>
      <c r="AO22" s="5">
        <v>12</v>
      </c>
      <c r="AP22" s="5">
        <v>9</v>
      </c>
      <c r="AR22" s="6">
        <f t="shared" si="0"/>
        <v>742</v>
      </c>
    </row>
    <row r="23" spans="1:44">
      <c r="A23" s="6">
        <v>6</v>
      </c>
      <c r="B23" s="5">
        <v>19</v>
      </c>
      <c r="C23" s="5">
        <v>14</v>
      </c>
      <c r="D23" s="5">
        <v>20</v>
      </c>
      <c r="E23" s="5">
        <v>19</v>
      </c>
      <c r="F23" s="5">
        <v>19</v>
      </c>
      <c r="G23" s="5">
        <v>10</v>
      </c>
      <c r="H23" s="5">
        <v>6</v>
      </c>
      <c r="I23" s="5">
        <v>20</v>
      </c>
      <c r="J23" s="5">
        <v>12</v>
      </c>
      <c r="K23" s="5">
        <v>19</v>
      </c>
      <c r="L23" s="5">
        <v>17</v>
      </c>
      <c r="M23" s="5">
        <v>13</v>
      </c>
      <c r="N23" s="5">
        <v>16</v>
      </c>
      <c r="O23" s="5">
        <v>18</v>
      </c>
      <c r="P23" s="5">
        <v>14</v>
      </c>
      <c r="Q23" s="5">
        <v>13</v>
      </c>
      <c r="R23" s="5">
        <v>13</v>
      </c>
      <c r="S23" s="5">
        <v>29</v>
      </c>
      <c r="T23" s="5">
        <v>27</v>
      </c>
      <c r="U23" s="5">
        <v>21</v>
      </c>
      <c r="V23" s="5">
        <v>18</v>
      </c>
      <c r="W23" s="5">
        <v>17</v>
      </c>
      <c r="X23" s="5">
        <v>25</v>
      </c>
      <c r="Y23" s="5">
        <v>22</v>
      </c>
      <c r="Z23" s="5">
        <v>23</v>
      </c>
      <c r="AA23" s="5">
        <v>20</v>
      </c>
      <c r="AB23" s="5">
        <v>21</v>
      </c>
      <c r="AC23" s="5">
        <v>18</v>
      </c>
      <c r="AD23" s="5">
        <v>20</v>
      </c>
      <c r="AE23" s="5">
        <v>16</v>
      </c>
      <c r="AF23" s="5">
        <v>25</v>
      </c>
      <c r="AG23" s="5">
        <v>27</v>
      </c>
      <c r="AH23" s="5">
        <v>18</v>
      </c>
      <c r="AI23" s="5">
        <v>16</v>
      </c>
      <c r="AJ23" s="5">
        <v>14</v>
      </c>
      <c r="AK23" s="5">
        <v>14</v>
      </c>
      <c r="AL23" s="5">
        <v>10</v>
      </c>
      <c r="AM23" s="5">
        <v>17</v>
      </c>
      <c r="AN23" s="5">
        <v>18</v>
      </c>
      <c r="AO23" s="5">
        <v>23</v>
      </c>
      <c r="AP23" s="5">
        <v>14</v>
      </c>
      <c r="AR23" s="6">
        <f t="shared" si="0"/>
        <v>735</v>
      </c>
    </row>
    <row r="24" spans="1:44">
      <c r="A24" s="6">
        <v>7</v>
      </c>
      <c r="B24" s="5">
        <v>19</v>
      </c>
      <c r="C24" s="5">
        <v>15</v>
      </c>
      <c r="D24" s="5">
        <v>13</v>
      </c>
      <c r="E24" s="5">
        <v>13</v>
      </c>
      <c r="F24" s="5">
        <v>11</v>
      </c>
      <c r="G24" s="5">
        <v>13</v>
      </c>
      <c r="H24" s="5">
        <v>3</v>
      </c>
      <c r="I24" s="5">
        <v>20</v>
      </c>
      <c r="J24" s="5">
        <v>23</v>
      </c>
      <c r="K24" s="5">
        <v>16</v>
      </c>
      <c r="L24" s="5">
        <v>13</v>
      </c>
      <c r="M24" s="5">
        <v>18</v>
      </c>
      <c r="N24" s="5">
        <v>7</v>
      </c>
      <c r="O24" s="5">
        <v>15</v>
      </c>
      <c r="P24" s="5">
        <v>13</v>
      </c>
      <c r="Q24" s="5">
        <v>16</v>
      </c>
      <c r="R24" s="5">
        <v>11</v>
      </c>
      <c r="S24" s="5">
        <v>20</v>
      </c>
      <c r="T24" s="5">
        <v>11</v>
      </c>
      <c r="U24" s="5">
        <v>14</v>
      </c>
      <c r="V24" s="5">
        <v>8</v>
      </c>
      <c r="W24" s="5">
        <v>12</v>
      </c>
      <c r="X24" s="5">
        <v>12</v>
      </c>
      <c r="Y24" s="5">
        <v>17</v>
      </c>
      <c r="Z24" s="5">
        <v>12</v>
      </c>
      <c r="AA24" s="5">
        <v>14</v>
      </c>
      <c r="AB24" s="5">
        <v>19</v>
      </c>
      <c r="AC24" s="5">
        <v>14</v>
      </c>
      <c r="AD24" s="5">
        <v>21</v>
      </c>
      <c r="AE24" s="5">
        <v>10</v>
      </c>
      <c r="AF24" s="5">
        <v>11</v>
      </c>
      <c r="AG24" s="5">
        <v>20</v>
      </c>
      <c r="AH24" s="5">
        <v>12</v>
      </c>
      <c r="AI24" s="5">
        <v>14</v>
      </c>
      <c r="AJ24" s="5">
        <v>12</v>
      </c>
      <c r="AK24" s="5">
        <v>16</v>
      </c>
      <c r="AL24" s="5">
        <v>16</v>
      </c>
      <c r="AM24" s="5">
        <v>18</v>
      </c>
      <c r="AN24" s="5">
        <v>15</v>
      </c>
      <c r="AO24" s="5">
        <v>8</v>
      </c>
      <c r="AP24" s="5">
        <v>18</v>
      </c>
      <c r="AR24" s="6">
        <f t="shared" si="0"/>
        <v>583</v>
      </c>
    </row>
    <row r="25" spans="1:44">
      <c r="A25" s="6">
        <v>8</v>
      </c>
      <c r="B25" s="5">
        <v>15</v>
      </c>
      <c r="C25" s="5">
        <v>7</v>
      </c>
      <c r="D25" s="5">
        <v>10</v>
      </c>
      <c r="E25" s="5">
        <v>12</v>
      </c>
      <c r="F25" s="5">
        <v>12</v>
      </c>
      <c r="G25" s="5">
        <v>17</v>
      </c>
      <c r="H25" s="5">
        <v>9</v>
      </c>
      <c r="I25" s="5">
        <v>9</v>
      </c>
      <c r="J25" s="5">
        <v>8</v>
      </c>
      <c r="K25" s="5">
        <v>9</v>
      </c>
      <c r="L25" s="5">
        <v>10</v>
      </c>
      <c r="M25" s="5">
        <v>5</v>
      </c>
      <c r="N25" s="5">
        <v>12</v>
      </c>
      <c r="O25" s="5">
        <v>10</v>
      </c>
      <c r="P25" s="5">
        <v>9</v>
      </c>
      <c r="Q25" s="5">
        <v>10</v>
      </c>
      <c r="R25" s="5">
        <v>13</v>
      </c>
      <c r="S25" s="5">
        <v>14</v>
      </c>
      <c r="T25" s="5">
        <v>12</v>
      </c>
      <c r="U25" s="5">
        <v>8</v>
      </c>
      <c r="V25" s="5">
        <v>15</v>
      </c>
      <c r="W25" s="5">
        <v>8</v>
      </c>
      <c r="X25" s="5">
        <v>14</v>
      </c>
      <c r="Y25" s="5">
        <v>11</v>
      </c>
      <c r="Z25" s="5">
        <v>17</v>
      </c>
      <c r="AA25" s="5">
        <v>11</v>
      </c>
      <c r="AB25" s="5">
        <v>7</v>
      </c>
      <c r="AC25" s="5">
        <v>13</v>
      </c>
      <c r="AD25" s="5">
        <v>10</v>
      </c>
      <c r="AE25" s="5">
        <v>16</v>
      </c>
      <c r="AF25" s="5">
        <v>10</v>
      </c>
      <c r="AG25" s="5">
        <v>15</v>
      </c>
      <c r="AH25" s="5">
        <v>10</v>
      </c>
      <c r="AI25" s="5">
        <v>7</v>
      </c>
      <c r="AJ25" s="5">
        <v>10</v>
      </c>
      <c r="AK25" s="5">
        <v>11</v>
      </c>
      <c r="AL25" s="5">
        <v>15</v>
      </c>
      <c r="AM25" s="5">
        <v>13</v>
      </c>
      <c r="AN25" s="5">
        <v>9</v>
      </c>
      <c r="AO25" s="5">
        <v>20</v>
      </c>
      <c r="AP25" s="5">
        <v>10</v>
      </c>
      <c r="AR25" s="6">
        <f t="shared" si="0"/>
        <v>463</v>
      </c>
    </row>
    <row r="26" spans="1:44">
      <c r="A26" s="6">
        <v>9</v>
      </c>
      <c r="B26" s="5">
        <v>10</v>
      </c>
      <c r="C26" s="5">
        <v>8</v>
      </c>
      <c r="D26" s="5">
        <v>7</v>
      </c>
      <c r="E26" s="5">
        <v>14</v>
      </c>
      <c r="F26" s="5">
        <v>5</v>
      </c>
      <c r="G26" s="5">
        <v>9</v>
      </c>
      <c r="H26" s="5">
        <v>4</v>
      </c>
      <c r="I26" s="5">
        <v>7</v>
      </c>
      <c r="J26" s="5">
        <v>12</v>
      </c>
      <c r="K26" s="5">
        <v>3</v>
      </c>
      <c r="L26" s="5">
        <v>2</v>
      </c>
      <c r="M26" s="5">
        <v>8</v>
      </c>
      <c r="N26" s="5">
        <v>3</v>
      </c>
      <c r="O26" s="5">
        <v>6</v>
      </c>
      <c r="P26" s="5">
        <v>7</v>
      </c>
      <c r="Q26" s="5">
        <v>9</v>
      </c>
      <c r="R26" s="5">
        <v>7</v>
      </c>
      <c r="S26" s="5">
        <v>8</v>
      </c>
      <c r="T26" s="5">
        <v>11</v>
      </c>
      <c r="U26" s="5">
        <v>15</v>
      </c>
      <c r="V26" s="5">
        <v>10</v>
      </c>
      <c r="W26" s="5">
        <v>10</v>
      </c>
      <c r="X26" s="5">
        <v>5</v>
      </c>
      <c r="Y26" s="5">
        <v>14</v>
      </c>
      <c r="Z26" s="5">
        <v>9</v>
      </c>
      <c r="AA26" s="5">
        <v>7</v>
      </c>
      <c r="AB26" s="5">
        <v>8</v>
      </c>
      <c r="AC26" s="5">
        <v>11</v>
      </c>
      <c r="AD26" s="5">
        <v>10</v>
      </c>
      <c r="AE26" s="5">
        <v>13</v>
      </c>
      <c r="AF26" s="5">
        <v>8</v>
      </c>
      <c r="AG26" s="5">
        <v>14</v>
      </c>
      <c r="AH26" s="5">
        <v>3</v>
      </c>
      <c r="AI26" s="5">
        <v>12</v>
      </c>
      <c r="AJ26" s="5">
        <v>13</v>
      </c>
      <c r="AK26" s="5">
        <v>18</v>
      </c>
      <c r="AL26" s="5">
        <v>15</v>
      </c>
      <c r="AM26" s="5">
        <v>13</v>
      </c>
      <c r="AN26" s="5">
        <v>20</v>
      </c>
      <c r="AO26" s="5">
        <v>10</v>
      </c>
      <c r="AP26" s="5">
        <v>11</v>
      </c>
      <c r="AR26" s="6">
        <f t="shared" si="0"/>
        <v>389</v>
      </c>
    </row>
    <row r="27" spans="1:44">
      <c r="A27" s="6">
        <v>40</v>
      </c>
      <c r="B27" s="5">
        <v>6</v>
      </c>
      <c r="C27" s="5">
        <v>5</v>
      </c>
      <c r="D27" s="5">
        <v>15</v>
      </c>
      <c r="E27" s="5">
        <v>5</v>
      </c>
      <c r="F27" s="5">
        <v>6</v>
      </c>
      <c r="G27" s="5">
        <v>15</v>
      </c>
      <c r="H27" s="5">
        <v>5</v>
      </c>
      <c r="I27" s="5">
        <v>7</v>
      </c>
      <c r="J27" s="5">
        <v>12</v>
      </c>
      <c r="K27" s="5">
        <v>4</v>
      </c>
      <c r="L27" s="5">
        <v>5</v>
      </c>
      <c r="M27" s="5">
        <v>3</v>
      </c>
      <c r="N27" s="5">
        <v>7</v>
      </c>
      <c r="O27" s="5">
        <v>4</v>
      </c>
      <c r="P27" s="5">
        <v>5</v>
      </c>
      <c r="Q27" s="5">
        <v>5</v>
      </c>
      <c r="R27" s="5">
        <v>5</v>
      </c>
      <c r="S27" s="5">
        <v>4</v>
      </c>
      <c r="T27" s="5">
        <v>8</v>
      </c>
      <c r="U27" s="5">
        <v>9</v>
      </c>
      <c r="V27" s="5">
        <v>10</v>
      </c>
      <c r="W27" s="5">
        <v>10</v>
      </c>
      <c r="X27" s="5">
        <v>8</v>
      </c>
      <c r="Y27" s="5">
        <v>9</v>
      </c>
      <c r="Z27" s="5">
        <v>6</v>
      </c>
      <c r="AA27" s="5">
        <v>4</v>
      </c>
      <c r="AB27" s="5">
        <v>8</v>
      </c>
      <c r="AC27" s="5">
        <v>7</v>
      </c>
      <c r="AD27" s="5">
        <v>9</v>
      </c>
      <c r="AE27" s="5">
        <v>11</v>
      </c>
      <c r="AF27" s="5">
        <v>12</v>
      </c>
      <c r="AG27" s="5">
        <v>14</v>
      </c>
      <c r="AH27" s="5">
        <v>5</v>
      </c>
      <c r="AI27" s="5">
        <v>8</v>
      </c>
      <c r="AJ27" s="5">
        <v>18</v>
      </c>
      <c r="AK27" s="5">
        <v>13</v>
      </c>
      <c r="AL27" s="5">
        <v>11</v>
      </c>
      <c r="AM27" s="5">
        <v>9</v>
      </c>
      <c r="AN27" s="5">
        <v>7</v>
      </c>
      <c r="AO27" s="5">
        <v>10</v>
      </c>
      <c r="AP27" s="5">
        <v>10</v>
      </c>
      <c r="AR27" s="6">
        <f t="shared" si="0"/>
        <v>334</v>
      </c>
    </row>
    <row r="28" spans="1:44">
      <c r="A28" s="6">
        <v>1</v>
      </c>
      <c r="B28" s="5">
        <v>3</v>
      </c>
      <c r="C28" s="5">
        <v>3</v>
      </c>
      <c r="D28" s="5">
        <v>6</v>
      </c>
      <c r="E28" s="5">
        <v>5</v>
      </c>
      <c r="F28" s="5">
        <v>8</v>
      </c>
      <c r="G28" s="5">
        <v>5</v>
      </c>
      <c r="H28" s="5">
        <v>5</v>
      </c>
      <c r="I28" s="5">
        <v>1</v>
      </c>
      <c r="J28" s="5">
        <v>3</v>
      </c>
      <c r="K28" s="5">
        <v>2</v>
      </c>
      <c r="L28" s="5">
        <v>2</v>
      </c>
      <c r="M28" s="5">
        <v>4</v>
      </c>
      <c r="N28" s="5">
        <v>5</v>
      </c>
      <c r="O28" s="5">
        <v>2</v>
      </c>
      <c r="P28" s="5">
        <v>6</v>
      </c>
      <c r="Q28" s="5">
        <v>6</v>
      </c>
      <c r="R28" s="5">
        <v>5</v>
      </c>
      <c r="S28" s="5">
        <v>3</v>
      </c>
      <c r="T28" s="5">
        <v>4</v>
      </c>
      <c r="U28" s="5">
        <v>11</v>
      </c>
      <c r="V28" s="5">
        <v>4</v>
      </c>
      <c r="W28" s="5">
        <v>7</v>
      </c>
      <c r="X28" s="5">
        <v>4</v>
      </c>
      <c r="Y28" s="5">
        <v>11</v>
      </c>
      <c r="Z28" s="5">
        <v>3</v>
      </c>
      <c r="AA28" s="5">
        <v>3</v>
      </c>
      <c r="AB28" s="5">
        <v>1</v>
      </c>
      <c r="AC28" s="5">
        <v>9</v>
      </c>
      <c r="AD28" s="5">
        <v>8</v>
      </c>
      <c r="AE28" s="5">
        <v>5</v>
      </c>
      <c r="AF28" s="5">
        <v>6</v>
      </c>
      <c r="AG28" s="5">
        <v>4</v>
      </c>
      <c r="AH28" s="5">
        <v>5</v>
      </c>
      <c r="AI28" s="5">
        <v>11</v>
      </c>
      <c r="AJ28" s="5">
        <v>12</v>
      </c>
      <c r="AK28" s="5">
        <v>12</v>
      </c>
      <c r="AL28" s="5">
        <v>5</v>
      </c>
      <c r="AM28" s="5">
        <v>3</v>
      </c>
      <c r="AN28" s="5">
        <v>8</v>
      </c>
      <c r="AO28" s="5">
        <v>7</v>
      </c>
      <c r="AP28" s="5">
        <v>10</v>
      </c>
      <c r="AR28" s="6">
        <f t="shared" si="0"/>
        <v>227</v>
      </c>
    </row>
    <row r="29" spans="1:44">
      <c r="A29" s="6">
        <v>2</v>
      </c>
      <c r="B29" s="5">
        <v>5</v>
      </c>
      <c r="C29" s="5">
        <v>6</v>
      </c>
      <c r="D29" s="5">
        <v>5</v>
      </c>
      <c r="E29" s="5">
        <v>2</v>
      </c>
      <c r="F29" s="5">
        <v>4</v>
      </c>
      <c r="G29" s="5">
        <v>7</v>
      </c>
      <c r="H29" s="5">
        <v>3</v>
      </c>
      <c r="I29" s="5">
        <v>4</v>
      </c>
      <c r="J29" s="5">
        <v>1</v>
      </c>
      <c r="K29" s="5">
        <v>6</v>
      </c>
      <c r="M29" s="5">
        <v>3</v>
      </c>
      <c r="N29" s="5">
        <v>2</v>
      </c>
      <c r="O29" s="5">
        <v>3</v>
      </c>
      <c r="P29" s="5">
        <v>2</v>
      </c>
      <c r="Q29" s="5">
        <v>3</v>
      </c>
      <c r="R29" s="5">
        <v>3</v>
      </c>
      <c r="S29" s="5">
        <v>3</v>
      </c>
      <c r="T29" s="5">
        <v>5</v>
      </c>
      <c r="U29" s="5">
        <v>4</v>
      </c>
      <c r="V29" s="5">
        <v>6</v>
      </c>
      <c r="W29" s="5">
        <v>2</v>
      </c>
      <c r="X29" s="5">
        <v>3</v>
      </c>
      <c r="Y29" s="5">
        <v>2</v>
      </c>
      <c r="Z29" s="5">
        <v>4</v>
      </c>
      <c r="AA29" s="5">
        <v>3</v>
      </c>
      <c r="AB29" s="5">
        <v>7</v>
      </c>
      <c r="AC29" s="5">
        <v>5</v>
      </c>
      <c r="AD29" s="5">
        <v>8</v>
      </c>
      <c r="AE29" s="5">
        <v>3</v>
      </c>
      <c r="AF29" s="5">
        <v>8</v>
      </c>
      <c r="AG29" s="5">
        <v>7</v>
      </c>
      <c r="AH29" s="5">
        <v>2</v>
      </c>
      <c r="AI29" s="5">
        <v>3</v>
      </c>
      <c r="AJ29" s="5">
        <v>8</v>
      </c>
      <c r="AK29" s="5">
        <v>6</v>
      </c>
      <c r="AL29" s="5">
        <v>11</v>
      </c>
      <c r="AM29" s="5">
        <v>8</v>
      </c>
      <c r="AN29" s="5">
        <v>2</v>
      </c>
      <c r="AO29" s="5">
        <v>9</v>
      </c>
      <c r="AP29" s="5">
        <v>9</v>
      </c>
      <c r="AR29" s="6">
        <f t="shared" si="0"/>
        <v>187</v>
      </c>
    </row>
    <row r="30" spans="1:44">
      <c r="A30" s="6">
        <v>3</v>
      </c>
      <c r="B30" s="5">
        <v>0</v>
      </c>
      <c r="C30" s="5">
        <v>4</v>
      </c>
      <c r="D30" s="5">
        <v>8</v>
      </c>
      <c r="E30" s="5">
        <v>1</v>
      </c>
      <c r="F30" s="5">
        <v>4</v>
      </c>
      <c r="G30" s="5">
        <v>3</v>
      </c>
      <c r="H30" s="5">
        <v>4</v>
      </c>
      <c r="I30" s="5">
        <v>4</v>
      </c>
      <c r="J30" s="5">
        <v>3</v>
      </c>
      <c r="L30" s="5">
        <v>1</v>
      </c>
      <c r="M30" s="5">
        <v>2</v>
      </c>
      <c r="N30" s="5">
        <v>4</v>
      </c>
      <c r="O30" s="5">
        <v>11</v>
      </c>
      <c r="P30" s="5">
        <v>2</v>
      </c>
      <c r="Q30" s="5">
        <v>3</v>
      </c>
      <c r="R30" s="5">
        <v>3</v>
      </c>
      <c r="S30" s="5">
        <v>1</v>
      </c>
      <c r="T30" s="5">
        <v>7</v>
      </c>
      <c r="U30" s="5">
        <v>6</v>
      </c>
      <c r="V30" s="5">
        <v>1</v>
      </c>
      <c r="W30" s="5">
        <v>3</v>
      </c>
      <c r="X30" s="5">
        <v>1</v>
      </c>
      <c r="Y30" s="5">
        <v>2</v>
      </c>
      <c r="Z30" s="5">
        <v>5</v>
      </c>
      <c r="AA30" s="5">
        <v>0</v>
      </c>
      <c r="AB30" s="5">
        <v>4</v>
      </c>
      <c r="AC30" s="5">
        <v>3</v>
      </c>
      <c r="AD30" s="5">
        <v>3</v>
      </c>
      <c r="AE30" s="5">
        <v>2</v>
      </c>
      <c r="AF30" s="5">
        <v>5</v>
      </c>
      <c r="AG30" s="5">
        <v>10</v>
      </c>
      <c r="AH30" s="5">
        <v>1</v>
      </c>
      <c r="AI30" s="5">
        <v>7</v>
      </c>
      <c r="AJ30" s="5">
        <v>7</v>
      </c>
      <c r="AK30" s="5">
        <v>3</v>
      </c>
      <c r="AL30" s="5">
        <v>5</v>
      </c>
      <c r="AM30" s="5">
        <v>4</v>
      </c>
      <c r="AN30" s="5">
        <v>2</v>
      </c>
      <c r="AO30" s="5">
        <v>2</v>
      </c>
      <c r="AP30" s="5">
        <v>6</v>
      </c>
      <c r="AR30" s="6">
        <f t="shared" si="0"/>
        <v>147</v>
      </c>
    </row>
    <row r="31" spans="1:44">
      <c r="A31" s="6">
        <v>4</v>
      </c>
      <c r="B31" s="5">
        <v>2</v>
      </c>
      <c r="C31" s="5">
        <v>1</v>
      </c>
      <c r="D31" s="5">
        <v>1</v>
      </c>
      <c r="E31" s="5">
        <v>6</v>
      </c>
      <c r="F31" s="5">
        <v>5</v>
      </c>
      <c r="G31" s="5">
        <v>2</v>
      </c>
      <c r="H31" s="5">
        <v>0</v>
      </c>
      <c r="I31" s="5">
        <v>3</v>
      </c>
      <c r="J31" s="5">
        <v>1</v>
      </c>
      <c r="K31" s="5">
        <v>3</v>
      </c>
      <c r="L31" s="5">
        <v>2</v>
      </c>
      <c r="M31" s="5">
        <v>1</v>
      </c>
      <c r="N31" s="5">
        <v>4</v>
      </c>
      <c r="O31" s="5">
        <v>1</v>
      </c>
      <c r="P31" s="5">
        <v>1</v>
      </c>
      <c r="Q31" s="5">
        <v>3</v>
      </c>
      <c r="R31" s="5">
        <v>3</v>
      </c>
      <c r="S31" s="5">
        <v>2</v>
      </c>
      <c r="T31" s="5">
        <v>4</v>
      </c>
      <c r="U31" s="5">
        <v>5</v>
      </c>
      <c r="V31" s="5">
        <v>2</v>
      </c>
      <c r="W31" s="5">
        <v>2</v>
      </c>
      <c r="X31" s="5">
        <v>1</v>
      </c>
      <c r="Y31" s="5">
        <v>2</v>
      </c>
      <c r="Z31" s="5">
        <v>2</v>
      </c>
      <c r="AA31" s="5">
        <v>2</v>
      </c>
      <c r="AB31" s="5">
        <v>2</v>
      </c>
      <c r="AC31" s="5">
        <v>3</v>
      </c>
      <c r="AD31" s="5">
        <v>1</v>
      </c>
      <c r="AE31" s="5">
        <v>5</v>
      </c>
      <c r="AF31" s="5">
        <v>4</v>
      </c>
      <c r="AG31" s="5">
        <v>5</v>
      </c>
      <c r="AH31" s="5">
        <v>1</v>
      </c>
      <c r="AI31" s="5">
        <v>7</v>
      </c>
      <c r="AJ31" s="5">
        <v>2</v>
      </c>
      <c r="AK31" s="5">
        <v>4</v>
      </c>
      <c r="AL31" s="5">
        <v>7</v>
      </c>
      <c r="AM31" s="5">
        <v>5</v>
      </c>
      <c r="AN31" s="5">
        <v>6</v>
      </c>
      <c r="AO31" s="5">
        <v>4</v>
      </c>
      <c r="AP31" s="5">
        <v>3</v>
      </c>
      <c r="AR31" s="6">
        <f t="shared" si="0"/>
        <v>120</v>
      </c>
    </row>
    <row r="32" spans="1:44">
      <c r="A32" s="6">
        <v>45</v>
      </c>
      <c r="B32" s="5">
        <v>0</v>
      </c>
      <c r="C32" s="5">
        <v>3</v>
      </c>
      <c r="D32" s="5">
        <v>4</v>
      </c>
      <c r="E32" s="5">
        <v>1</v>
      </c>
      <c r="F32" s="5">
        <v>3</v>
      </c>
      <c r="G32" s="5">
        <v>1</v>
      </c>
      <c r="H32" s="5">
        <v>1</v>
      </c>
      <c r="I32" s="5">
        <v>2</v>
      </c>
      <c r="J32" s="5">
        <v>2</v>
      </c>
      <c r="K32" s="5">
        <v>2</v>
      </c>
      <c r="L32" s="5">
        <v>2</v>
      </c>
      <c r="N32" s="5">
        <v>1</v>
      </c>
      <c r="O32" s="5">
        <v>3</v>
      </c>
      <c r="P32" s="5">
        <v>1</v>
      </c>
      <c r="Q32" s="5">
        <v>4</v>
      </c>
      <c r="R32" s="5">
        <v>3</v>
      </c>
      <c r="S32" s="5">
        <v>2</v>
      </c>
      <c r="T32" s="5">
        <v>5</v>
      </c>
      <c r="U32" s="5">
        <v>0</v>
      </c>
      <c r="V32" s="5">
        <v>3</v>
      </c>
      <c r="W32" s="5">
        <v>5</v>
      </c>
      <c r="X32" s="5">
        <v>2</v>
      </c>
      <c r="Y32" s="5">
        <v>2</v>
      </c>
      <c r="Z32" s="5">
        <v>2</v>
      </c>
      <c r="AA32" s="5">
        <v>2</v>
      </c>
      <c r="AB32" s="5">
        <v>3</v>
      </c>
      <c r="AC32" s="5">
        <v>4</v>
      </c>
      <c r="AD32" s="5">
        <v>4</v>
      </c>
      <c r="AE32" s="5">
        <v>7</v>
      </c>
      <c r="AF32" s="5">
        <v>5</v>
      </c>
      <c r="AG32" s="5">
        <v>3</v>
      </c>
      <c r="AH32" s="5">
        <v>2</v>
      </c>
      <c r="AI32" s="5">
        <v>2</v>
      </c>
      <c r="AJ32" s="5">
        <v>4</v>
      </c>
      <c r="AK32" s="5">
        <v>3</v>
      </c>
      <c r="AL32" s="5">
        <v>4</v>
      </c>
      <c r="AM32" s="5">
        <v>3</v>
      </c>
      <c r="AN32" s="5">
        <v>3</v>
      </c>
      <c r="AO32" s="5">
        <v>4</v>
      </c>
      <c r="AP32" s="5">
        <v>3</v>
      </c>
      <c r="AR32" s="6">
        <f t="shared" si="0"/>
        <v>110</v>
      </c>
    </row>
    <row r="33" spans="1:44">
      <c r="A33" s="6">
        <v>6</v>
      </c>
      <c r="B33" s="5">
        <v>2</v>
      </c>
      <c r="C33" s="5">
        <v>4</v>
      </c>
      <c r="D33" s="5">
        <v>2</v>
      </c>
      <c r="E33" s="5">
        <v>4</v>
      </c>
      <c r="F33" s="5">
        <v>1</v>
      </c>
      <c r="G33" s="5">
        <v>4</v>
      </c>
      <c r="H33" s="5">
        <v>2</v>
      </c>
      <c r="I33" s="5">
        <v>1</v>
      </c>
      <c r="J33" s="5">
        <v>0</v>
      </c>
      <c r="K33" s="5">
        <v>1</v>
      </c>
      <c r="N33" s="5">
        <v>3</v>
      </c>
      <c r="O33" s="5">
        <v>3</v>
      </c>
      <c r="P33" s="5">
        <v>1</v>
      </c>
      <c r="Q33" s="5">
        <v>0</v>
      </c>
      <c r="R33" s="5">
        <v>3</v>
      </c>
      <c r="T33" s="5">
        <v>4</v>
      </c>
      <c r="U33" s="5">
        <v>2</v>
      </c>
      <c r="V33" s="5">
        <v>2</v>
      </c>
      <c r="W33" s="5">
        <v>3</v>
      </c>
      <c r="X33" s="5">
        <v>1</v>
      </c>
      <c r="Y33" s="5">
        <v>3</v>
      </c>
      <c r="Z33" s="5">
        <v>1</v>
      </c>
      <c r="AA33" s="5">
        <v>0</v>
      </c>
      <c r="AB33" s="5">
        <v>1</v>
      </c>
      <c r="AC33" s="5">
        <v>2</v>
      </c>
      <c r="AD33" s="5">
        <v>1</v>
      </c>
      <c r="AE33" s="5">
        <v>2</v>
      </c>
      <c r="AF33" s="5">
        <v>2</v>
      </c>
      <c r="AG33" s="5">
        <v>2</v>
      </c>
      <c r="AH33" s="5">
        <v>1</v>
      </c>
      <c r="AI33" s="5">
        <v>1</v>
      </c>
      <c r="AJ33" s="5">
        <v>3</v>
      </c>
      <c r="AK33" s="5">
        <v>2</v>
      </c>
      <c r="AL33" s="5">
        <v>3</v>
      </c>
      <c r="AM33" s="5">
        <v>7</v>
      </c>
      <c r="AN33" s="5">
        <v>1</v>
      </c>
      <c r="AO33" s="5">
        <v>1</v>
      </c>
      <c r="AP33" s="5">
        <v>3</v>
      </c>
      <c r="AR33" s="6">
        <f t="shared" si="0"/>
        <v>79</v>
      </c>
    </row>
    <row r="34" spans="1:44">
      <c r="A34" s="6">
        <v>7</v>
      </c>
      <c r="B34" s="5">
        <v>3</v>
      </c>
      <c r="C34" s="5">
        <v>6</v>
      </c>
      <c r="D34" s="5">
        <v>3</v>
      </c>
      <c r="E34" s="5">
        <v>2</v>
      </c>
      <c r="F34" s="5">
        <v>0</v>
      </c>
      <c r="G34" s="5">
        <v>1</v>
      </c>
      <c r="H34" s="5">
        <v>3</v>
      </c>
      <c r="I34" s="5">
        <v>4</v>
      </c>
      <c r="J34" s="5">
        <v>0</v>
      </c>
      <c r="L34" s="5">
        <v>2</v>
      </c>
      <c r="M34" s="5">
        <v>3</v>
      </c>
      <c r="N34" s="5">
        <v>1</v>
      </c>
      <c r="O34" s="5">
        <v>2</v>
      </c>
      <c r="P34" s="5">
        <v>1</v>
      </c>
      <c r="Q34" s="5">
        <v>1</v>
      </c>
      <c r="R34" s="5">
        <v>0</v>
      </c>
      <c r="S34" s="5">
        <v>1</v>
      </c>
      <c r="T34" s="5">
        <v>3</v>
      </c>
      <c r="U34" s="5">
        <v>3</v>
      </c>
      <c r="V34" s="5">
        <v>2</v>
      </c>
      <c r="W34" s="5">
        <v>2</v>
      </c>
      <c r="X34" s="5">
        <v>1</v>
      </c>
      <c r="Y34" s="5">
        <v>4</v>
      </c>
      <c r="Z34" s="5">
        <v>2</v>
      </c>
      <c r="AA34" s="5">
        <v>1</v>
      </c>
      <c r="AB34" s="5">
        <v>3</v>
      </c>
      <c r="AC34" s="5">
        <v>4</v>
      </c>
      <c r="AD34" s="5">
        <v>1</v>
      </c>
      <c r="AE34" s="5">
        <v>0</v>
      </c>
      <c r="AF34" s="5">
        <v>2</v>
      </c>
      <c r="AG34" s="5">
        <v>0</v>
      </c>
      <c r="AH34" s="5">
        <v>0</v>
      </c>
      <c r="AI34" s="5">
        <v>3</v>
      </c>
      <c r="AJ34" s="5">
        <v>1</v>
      </c>
      <c r="AK34" s="5">
        <v>3</v>
      </c>
      <c r="AL34" s="5">
        <v>2</v>
      </c>
      <c r="AM34" s="5">
        <v>3</v>
      </c>
      <c r="AN34" s="5">
        <v>1</v>
      </c>
      <c r="AO34" s="5">
        <v>6</v>
      </c>
      <c r="AP34" s="5">
        <v>3</v>
      </c>
      <c r="AR34" s="6">
        <f t="shared" si="0"/>
        <v>83</v>
      </c>
    </row>
    <row r="35" spans="1:44">
      <c r="A35" s="6">
        <v>8</v>
      </c>
      <c r="B35" s="5">
        <v>1</v>
      </c>
      <c r="C35" s="5">
        <v>3</v>
      </c>
      <c r="D35" s="5">
        <v>1</v>
      </c>
      <c r="E35" s="5">
        <v>1</v>
      </c>
      <c r="F35" s="5">
        <v>0</v>
      </c>
      <c r="G35" s="5">
        <v>2</v>
      </c>
      <c r="H35" s="5">
        <v>2</v>
      </c>
      <c r="I35" s="5">
        <v>2</v>
      </c>
      <c r="J35" s="5">
        <v>2</v>
      </c>
      <c r="N35" s="5">
        <v>0</v>
      </c>
      <c r="O35" s="5">
        <v>2</v>
      </c>
      <c r="P35" s="5">
        <v>0</v>
      </c>
      <c r="Q35" s="5">
        <v>2</v>
      </c>
      <c r="R35" s="5">
        <v>2</v>
      </c>
      <c r="S35" s="5">
        <v>2</v>
      </c>
      <c r="T35" s="5">
        <v>2</v>
      </c>
      <c r="U35" s="5">
        <v>2</v>
      </c>
      <c r="V35" s="5">
        <v>0</v>
      </c>
      <c r="W35" s="5">
        <v>0</v>
      </c>
      <c r="X35" s="5">
        <v>0</v>
      </c>
      <c r="Y35" s="5">
        <v>1</v>
      </c>
      <c r="Z35" s="5">
        <v>1</v>
      </c>
      <c r="AA35" s="5">
        <v>0</v>
      </c>
      <c r="AB35" s="5">
        <v>0</v>
      </c>
      <c r="AC35" s="5">
        <v>0</v>
      </c>
      <c r="AD35" s="5">
        <v>1</v>
      </c>
      <c r="AE35" s="5">
        <v>1</v>
      </c>
      <c r="AF35" s="5">
        <v>0</v>
      </c>
      <c r="AG35" s="5">
        <v>1</v>
      </c>
      <c r="AH35" s="5">
        <v>0</v>
      </c>
      <c r="AI35" s="5">
        <v>1</v>
      </c>
      <c r="AJ35" s="5">
        <v>1</v>
      </c>
      <c r="AK35" s="5">
        <v>3</v>
      </c>
      <c r="AL35" s="5">
        <v>0</v>
      </c>
      <c r="AM35" s="5">
        <v>2</v>
      </c>
      <c r="AN35" s="5">
        <v>3</v>
      </c>
      <c r="AO35" s="5">
        <v>0</v>
      </c>
      <c r="AP35" s="5">
        <v>0</v>
      </c>
      <c r="AR35" s="6">
        <f t="shared" si="0"/>
        <v>41</v>
      </c>
    </row>
    <row r="36" spans="1:44">
      <c r="A36" s="6">
        <v>9</v>
      </c>
      <c r="B36" s="5">
        <v>0</v>
      </c>
      <c r="C36" s="5">
        <v>0</v>
      </c>
      <c r="D36" s="5">
        <v>2</v>
      </c>
      <c r="E36" s="5">
        <v>4</v>
      </c>
      <c r="F36" s="5">
        <v>1</v>
      </c>
      <c r="G36" s="5">
        <v>2</v>
      </c>
      <c r="H36" s="5">
        <v>2</v>
      </c>
      <c r="I36" s="5">
        <v>2</v>
      </c>
      <c r="J36" s="5">
        <v>3</v>
      </c>
      <c r="K36" s="5">
        <v>1</v>
      </c>
      <c r="L36" s="5">
        <v>1</v>
      </c>
      <c r="N36" s="5">
        <v>0</v>
      </c>
      <c r="O36" s="5">
        <v>0</v>
      </c>
      <c r="P36" s="5">
        <v>2</v>
      </c>
      <c r="Q36" s="5">
        <v>3</v>
      </c>
      <c r="R36" s="5">
        <v>0</v>
      </c>
      <c r="T36" s="5">
        <v>1</v>
      </c>
      <c r="U36" s="5">
        <v>2</v>
      </c>
      <c r="V36" s="5">
        <v>2</v>
      </c>
      <c r="W36" s="5">
        <v>0</v>
      </c>
      <c r="X36" s="5">
        <v>0</v>
      </c>
      <c r="Y36" s="5">
        <v>1</v>
      </c>
      <c r="Z36" s="5">
        <v>0</v>
      </c>
      <c r="AA36" s="5">
        <v>0</v>
      </c>
      <c r="AB36" s="5">
        <v>1</v>
      </c>
      <c r="AC36" s="5">
        <v>2</v>
      </c>
      <c r="AD36" s="5">
        <v>0</v>
      </c>
      <c r="AE36" s="5">
        <v>0</v>
      </c>
      <c r="AF36" s="5">
        <v>0</v>
      </c>
      <c r="AG36" s="5">
        <v>1</v>
      </c>
      <c r="AH36" s="5">
        <v>0</v>
      </c>
      <c r="AI36" s="5">
        <v>0</v>
      </c>
      <c r="AJ36" s="5">
        <v>1</v>
      </c>
      <c r="AK36" s="5"/>
      <c r="AL36" s="5">
        <v>0</v>
      </c>
      <c r="AM36" s="5">
        <v>0</v>
      </c>
      <c r="AN36" s="5">
        <v>3</v>
      </c>
      <c r="AO36" s="5">
        <v>1</v>
      </c>
      <c r="AP36" s="5">
        <v>2</v>
      </c>
      <c r="AR36" s="6">
        <f t="shared" si="0"/>
        <v>40</v>
      </c>
    </row>
    <row r="37" spans="1:44">
      <c r="A37" s="6">
        <v>50</v>
      </c>
      <c r="B37" s="5">
        <v>1</v>
      </c>
      <c r="C37" s="5">
        <v>2</v>
      </c>
      <c r="D37" s="5">
        <v>1</v>
      </c>
      <c r="F37" s="5">
        <v>0</v>
      </c>
      <c r="G37" s="5">
        <v>0</v>
      </c>
      <c r="H37" s="5">
        <v>1</v>
      </c>
      <c r="I37" s="5">
        <v>0</v>
      </c>
      <c r="J37" s="5">
        <v>1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</v>
      </c>
      <c r="AD37" s="5">
        <v>0</v>
      </c>
      <c r="AE37" s="5">
        <v>0</v>
      </c>
      <c r="AF37" s="5">
        <v>0</v>
      </c>
      <c r="AG37" s="5">
        <v>1</v>
      </c>
      <c r="AH37" s="5">
        <v>1</v>
      </c>
      <c r="AI37" s="5">
        <v>1</v>
      </c>
      <c r="AJ37" s="5">
        <v>1</v>
      </c>
      <c r="AK37" s="5">
        <v>2</v>
      </c>
      <c r="AL37" s="5">
        <v>1</v>
      </c>
      <c r="AM37" s="5">
        <v>0</v>
      </c>
      <c r="AN37" s="5">
        <v>0</v>
      </c>
      <c r="AO37" s="5">
        <v>1</v>
      </c>
      <c r="AP37" s="5">
        <v>0</v>
      </c>
      <c r="AR37" s="6">
        <f t="shared" si="0"/>
        <v>17</v>
      </c>
    </row>
    <row r="38" spans="1:44">
      <c r="A38" s="6">
        <v>1</v>
      </c>
      <c r="B38" s="5">
        <v>0</v>
      </c>
      <c r="C38" s="5">
        <v>0</v>
      </c>
      <c r="D38" s="5">
        <v>0</v>
      </c>
      <c r="F38" s="5">
        <v>0</v>
      </c>
      <c r="G38" s="5">
        <v>1</v>
      </c>
      <c r="H38" s="5">
        <v>0</v>
      </c>
      <c r="I38" s="5">
        <v>0</v>
      </c>
      <c r="J38" s="5">
        <v>0</v>
      </c>
      <c r="M38" s="5">
        <v>1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1</v>
      </c>
      <c r="AG38" s="5">
        <v>0</v>
      </c>
      <c r="AH38" s="5">
        <v>0</v>
      </c>
      <c r="AI38" s="5">
        <v>0</v>
      </c>
      <c r="AJ38" s="5">
        <v>1</v>
      </c>
      <c r="AK38" s="5">
        <v>1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R38" s="6">
        <f t="shared" si="0"/>
        <v>7</v>
      </c>
    </row>
    <row r="39" spans="1:44">
      <c r="A39" s="6">
        <v>2</v>
      </c>
      <c r="B39" s="5">
        <v>0</v>
      </c>
      <c r="C39" s="5">
        <v>0</v>
      </c>
      <c r="D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1</v>
      </c>
      <c r="AJ39" s="5">
        <v>1</v>
      </c>
      <c r="AK39" s="5">
        <v>1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R39" s="6">
        <f t="shared" si="0"/>
        <v>5</v>
      </c>
    </row>
    <row r="40" spans="1:44">
      <c r="A40" s="6">
        <v>3</v>
      </c>
      <c r="B40" s="5">
        <v>0</v>
      </c>
      <c r="C40" s="5">
        <v>0</v>
      </c>
      <c r="D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/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R40" s="6">
        <f t="shared" si="0"/>
        <v>2</v>
      </c>
    </row>
    <row r="41" spans="1:44">
      <c r="A41" s="6">
        <v>4</v>
      </c>
      <c r="B41" s="5">
        <v>0</v>
      </c>
      <c r="C41" s="5">
        <v>0</v>
      </c>
      <c r="D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/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R41" s="6">
        <f t="shared" si="0"/>
        <v>0</v>
      </c>
    </row>
    <row r="42" spans="1:44">
      <c r="A42" s="6">
        <v>55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4">
      <c r="A43" s="6" t="s">
        <v>3</v>
      </c>
      <c r="B43" s="5">
        <f t="shared" ref="B43:AP43" si="1">SUM(B7:B42)</f>
        <v>115</v>
      </c>
      <c r="C43" s="5">
        <f t="shared" si="1"/>
        <v>119</v>
      </c>
      <c r="D43" s="5">
        <f t="shared" si="1"/>
        <v>121</v>
      </c>
      <c r="E43" s="5">
        <f t="shared" si="1"/>
        <v>112</v>
      </c>
      <c r="F43" s="5">
        <f t="shared" si="1"/>
        <v>114</v>
      </c>
      <c r="G43" s="5">
        <f t="shared" si="1"/>
        <v>116</v>
      </c>
      <c r="H43" s="5">
        <f t="shared" si="1"/>
        <v>59</v>
      </c>
      <c r="I43" s="5">
        <f t="shared" si="1"/>
        <v>118</v>
      </c>
      <c r="J43" s="5">
        <f t="shared" si="1"/>
        <v>119</v>
      </c>
      <c r="K43" s="5">
        <f t="shared" si="1"/>
        <v>120</v>
      </c>
      <c r="L43" s="5">
        <f t="shared" si="1"/>
        <v>114</v>
      </c>
      <c r="M43" s="5">
        <f t="shared" si="1"/>
        <v>111</v>
      </c>
      <c r="N43" s="5">
        <f t="shared" si="1"/>
        <v>115</v>
      </c>
      <c r="O43" s="5">
        <f t="shared" si="1"/>
        <v>114</v>
      </c>
      <c r="P43" s="5">
        <f t="shared" si="1"/>
        <v>118</v>
      </c>
      <c r="Q43" s="5">
        <f t="shared" si="1"/>
        <v>114</v>
      </c>
      <c r="R43" s="5">
        <f t="shared" si="1"/>
        <v>113</v>
      </c>
      <c r="S43" s="5">
        <f t="shared" si="1"/>
        <v>114</v>
      </c>
      <c r="T43" s="5">
        <f t="shared" si="1"/>
        <v>121</v>
      </c>
      <c r="U43" s="5">
        <f t="shared" si="1"/>
        <v>120</v>
      </c>
      <c r="V43" s="5">
        <f t="shared" si="1"/>
        <v>118</v>
      </c>
      <c r="W43" s="5">
        <f t="shared" si="1"/>
        <v>117</v>
      </c>
      <c r="X43" s="5">
        <f t="shared" si="1"/>
        <v>117</v>
      </c>
      <c r="Y43" s="5">
        <f t="shared" si="1"/>
        <v>121</v>
      </c>
      <c r="Z43" s="5">
        <f t="shared" si="1"/>
        <v>118</v>
      </c>
      <c r="AA43" s="5">
        <f t="shared" si="1"/>
        <v>112</v>
      </c>
      <c r="AB43" s="5">
        <f t="shared" si="1"/>
        <v>117</v>
      </c>
      <c r="AC43" s="5">
        <f t="shared" si="1"/>
        <v>116</v>
      </c>
      <c r="AD43" s="5">
        <f t="shared" si="1"/>
        <v>118</v>
      </c>
      <c r="AE43" s="5">
        <f t="shared" si="1"/>
        <v>115</v>
      </c>
      <c r="AF43" s="5">
        <f t="shared" si="1"/>
        <v>116</v>
      </c>
      <c r="AG43" s="5">
        <f t="shared" si="1"/>
        <v>144</v>
      </c>
      <c r="AH43" s="5">
        <f t="shared" si="1"/>
        <v>96</v>
      </c>
      <c r="AI43" s="5">
        <f t="shared" si="1"/>
        <v>112</v>
      </c>
      <c r="AJ43" s="5">
        <f t="shared" si="1"/>
        <v>116</v>
      </c>
      <c r="AK43" s="5">
        <f t="shared" si="1"/>
        <v>116</v>
      </c>
      <c r="AL43" s="5">
        <f t="shared" si="1"/>
        <v>111</v>
      </c>
      <c r="AM43" s="5">
        <f t="shared" si="1"/>
        <v>118</v>
      </c>
      <c r="AN43" s="5">
        <f t="shared" si="1"/>
        <v>109</v>
      </c>
      <c r="AO43" s="5">
        <f t="shared" si="1"/>
        <v>121</v>
      </c>
      <c r="AP43" s="5">
        <f t="shared" si="1"/>
        <v>112</v>
      </c>
      <c r="AR43" s="5">
        <f>SUM(AR7:AR42)</f>
        <v>4707</v>
      </c>
    </row>
    <row r="44" spans="1:44">
      <c r="A44" s="6" t="s">
        <v>4</v>
      </c>
      <c r="D44" s="15"/>
      <c r="E44" s="1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4">
      <c r="A45" s="6" t="s">
        <v>5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4">
      <c r="A46" s="6" t="s">
        <v>6</v>
      </c>
      <c r="E46" s="1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4">
      <c r="A47" s="6" t="s">
        <v>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4">
      <c r="A48" s="6" t="s">
        <v>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topLeftCell="A28" workbookViewId="0">
      <selection activeCell="I1" sqref="I1:I1048576"/>
    </sheetView>
  </sheetViews>
  <sheetFormatPr defaultColWidth="9.109375" defaultRowHeight="14.4"/>
  <cols>
    <col min="1" max="1" width="7.88671875" style="6" customWidth="1"/>
    <col min="2" max="16384" width="9.109375" style="6"/>
  </cols>
  <sheetData>
    <row r="1" spans="1:9" ht="15" customHeight="1">
      <c r="A1" s="3"/>
    </row>
    <row r="2" spans="1:9" ht="15" customHeight="1">
      <c r="A2" s="4"/>
    </row>
    <row r="3" spans="1:9" s="7" customFormat="1" ht="15.6">
      <c r="A3" s="7" t="s">
        <v>9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I3" s="7" t="s">
        <v>16</v>
      </c>
    </row>
    <row r="4" spans="1:9" s="11" customFormat="1">
      <c r="A4" s="9" t="s">
        <v>0</v>
      </c>
      <c r="B4" s="10">
        <v>39969</v>
      </c>
      <c r="C4" s="10">
        <v>39970</v>
      </c>
      <c r="D4" s="10">
        <v>39973</v>
      </c>
      <c r="E4" s="10">
        <v>39973</v>
      </c>
      <c r="F4" s="11">
        <v>39973</v>
      </c>
      <c r="G4" s="11">
        <v>39973</v>
      </c>
    </row>
    <row r="5" spans="1:9" s="14" customFormat="1">
      <c r="A5" s="12" t="s">
        <v>1</v>
      </c>
      <c r="B5" s="13">
        <v>20.149999999999999</v>
      </c>
      <c r="C5" s="13">
        <v>7.15</v>
      </c>
      <c r="D5" s="13">
        <v>1</v>
      </c>
      <c r="E5" s="13">
        <v>1</v>
      </c>
      <c r="F5" s="14">
        <v>15.15</v>
      </c>
      <c r="G5" s="14">
        <v>23</v>
      </c>
    </row>
    <row r="6" spans="1:9">
      <c r="A6" s="1" t="s">
        <v>2</v>
      </c>
      <c r="B6" s="15">
        <v>51</v>
      </c>
      <c r="C6" s="5">
        <v>52</v>
      </c>
      <c r="D6" s="5">
        <v>53</v>
      </c>
      <c r="E6" s="5">
        <v>53</v>
      </c>
      <c r="F6" s="5">
        <v>54</v>
      </c>
      <c r="G6" s="5">
        <v>55</v>
      </c>
    </row>
    <row r="7" spans="1:9">
      <c r="A7" s="2">
        <v>20</v>
      </c>
      <c r="B7" s="15">
        <v>0</v>
      </c>
      <c r="C7" s="5">
        <v>0</v>
      </c>
      <c r="D7" s="5">
        <v>0</v>
      </c>
      <c r="E7" s="5">
        <v>0</v>
      </c>
      <c r="F7" s="6">
        <v>0</v>
      </c>
      <c r="G7" s="6">
        <v>0</v>
      </c>
      <c r="I7" s="6">
        <f>SUM(B7:G7)</f>
        <v>0</v>
      </c>
    </row>
    <row r="8" spans="1:9">
      <c r="A8" s="2">
        <v>21</v>
      </c>
      <c r="B8" s="15">
        <v>0</v>
      </c>
      <c r="C8" s="5">
        <v>0</v>
      </c>
      <c r="D8" s="5">
        <v>0</v>
      </c>
      <c r="E8" s="5">
        <v>0</v>
      </c>
      <c r="F8" s="6">
        <v>0</v>
      </c>
      <c r="G8" s="6">
        <v>0</v>
      </c>
      <c r="I8" s="6">
        <f t="shared" ref="I8:I41" si="0">SUM(B8:G8)</f>
        <v>0</v>
      </c>
    </row>
    <row r="9" spans="1:9">
      <c r="A9" s="2">
        <v>22</v>
      </c>
      <c r="B9" s="15">
        <v>0</v>
      </c>
      <c r="C9" s="5">
        <v>0</v>
      </c>
      <c r="D9" s="5">
        <v>0</v>
      </c>
      <c r="E9" s="5">
        <v>0</v>
      </c>
      <c r="F9" s="6">
        <v>0</v>
      </c>
      <c r="G9" s="6">
        <v>0</v>
      </c>
      <c r="I9" s="6">
        <f t="shared" si="0"/>
        <v>0</v>
      </c>
    </row>
    <row r="10" spans="1:9">
      <c r="A10" s="2">
        <v>23</v>
      </c>
      <c r="B10" s="15">
        <v>0</v>
      </c>
      <c r="C10" s="5">
        <v>0</v>
      </c>
      <c r="D10" s="5">
        <v>0</v>
      </c>
      <c r="E10" s="5">
        <v>0</v>
      </c>
      <c r="F10" s="6">
        <v>0</v>
      </c>
      <c r="G10" s="6">
        <v>0</v>
      </c>
      <c r="I10" s="6">
        <f t="shared" si="0"/>
        <v>0</v>
      </c>
    </row>
    <row r="11" spans="1:9">
      <c r="A11" s="2">
        <v>24</v>
      </c>
      <c r="B11" s="15">
        <v>0</v>
      </c>
      <c r="C11" s="5">
        <v>0</v>
      </c>
      <c r="D11" s="5">
        <v>0</v>
      </c>
      <c r="E11" s="5">
        <v>0</v>
      </c>
      <c r="F11" s="6">
        <v>0</v>
      </c>
      <c r="G11" s="6">
        <v>0</v>
      </c>
      <c r="I11" s="6">
        <f t="shared" si="0"/>
        <v>0</v>
      </c>
    </row>
    <row r="12" spans="1:9">
      <c r="A12" s="2">
        <v>25</v>
      </c>
      <c r="B12" s="15">
        <v>0</v>
      </c>
      <c r="C12" s="5">
        <v>0</v>
      </c>
      <c r="D12" s="5">
        <v>0</v>
      </c>
      <c r="E12" s="5">
        <v>0</v>
      </c>
      <c r="F12" s="6">
        <v>0</v>
      </c>
      <c r="G12" s="6">
        <v>0</v>
      </c>
      <c r="I12" s="6">
        <f t="shared" si="0"/>
        <v>0</v>
      </c>
    </row>
    <row r="13" spans="1:9">
      <c r="A13" s="2">
        <v>26</v>
      </c>
      <c r="B13" s="15">
        <v>0</v>
      </c>
      <c r="C13" s="5">
        <v>0</v>
      </c>
      <c r="D13" s="5">
        <v>0</v>
      </c>
      <c r="E13" s="5">
        <v>0</v>
      </c>
      <c r="F13" s="6">
        <v>0</v>
      </c>
      <c r="G13" s="6">
        <v>0</v>
      </c>
      <c r="I13" s="6">
        <f t="shared" si="0"/>
        <v>0</v>
      </c>
    </row>
    <row r="14" spans="1:9">
      <c r="A14" s="2">
        <v>27</v>
      </c>
      <c r="B14" s="15">
        <v>0</v>
      </c>
      <c r="C14" s="5">
        <v>0</v>
      </c>
      <c r="D14" s="5">
        <v>0</v>
      </c>
      <c r="E14" s="5">
        <v>0</v>
      </c>
      <c r="F14" s="6">
        <v>0</v>
      </c>
      <c r="G14" s="6">
        <v>0</v>
      </c>
      <c r="I14" s="6">
        <f t="shared" si="0"/>
        <v>0</v>
      </c>
    </row>
    <row r="15" spans="1:9">
      <c r="A15" s="6">
        <v>28</v>
      </c>
      <c r="B15" s="15">
        <v>0</v>
      </c>
      <c r="C15" s="5">
        <v>0</v>
      </c>
      <c r="D15" s="5">
        <v>0</v>
      </c>
      <c r="E15" s="5">
        <v>0</v>
      </c>
      <c r="F15" s="6">
        <v>0</v>
      </c>
      <c r="G15" s="6">
        <v>0</v>
      </c>
      <c r="I15" s="6">
        <f t="shared" si="0"/>
        <v>0</v>
      </c>
    </row>
    <row r="16" spans="1:9">
      <c r="A16" s="6">
        <v>29</v>
      </c>
      <c r="B16" s="5">
        <v>0</v>
      </c>
      <c r="C16" s="5">
        <v>0</v>
      </c>
      <c r="D16" s="5">
        <v>0</v>
      </c>
      <c r="E16" s="5">
        <v>0</v>
      </c>
      <c r="F16" s="6">
        <v>0</v>
      </c>
      <c r="G16" s="6">
        <v>0</v>
      </c>
      <c r="I16" s="6">
        <f t="shared" si="0"/>
        <v>0</v>
      </c>
    </row>
    <row r="17" spans="1:9">
      <c r="A17" s="6">
        <v>30</v>
      </c>
      <c r="B17" s="5">
        <v>0</v>
      </c>
      <c r="C17" s="5">
        <v>0</v>
      </c>
      <c r="D17" s="5">
        <v>0</v>
      </c>
      <c r="E17" s="5">
        <v>0</v>
      </c>
      <c r="F17" s="6">
        <v>0</v>
      </c>
      <c r="G17" s="6">
        <v>0</v>
      </c>
      <c r="I17" s="6">
        <f t="shared" si="0"/>
        <v>0</v>
      </c>
    </row>
    <row r="18" spans="1:9">
      <c r="A18" s="6">
        <v>31</v>
      </c>
      <c r="B18" s="5">
        <v>0</v>
      </c>
      <c r="C18" s="5">
        <v>0</v>
      </c>
      <c r="D18" s="5">
        <v>0</v>
      </c>
      <c r="E18" s="5">
        <v>0</v>
      </c>
      <c r="F18" s="6">
        <v>0</v>
      </c>
      <c r="G18" s="6">
        <v>0</v>
      </c>
      <c r="I18" s="6">
        <f t="shared" si="0"/>
        <v>0</v>
      </c>
    </row>
    <row r="19" spans="1:9">
      <c r="A19" s="6">
        <v>32</v>
      </c>
      <c r="B19" s="5">
        <v>0</v>
      </c>
      <c r="C19" s="5">
        <v>0</v>
      </c>
      <c r="D19" s="5">
        <v>0</v>
      </c>
      <c r="E19" s="5">
        <v>0</v>
      </c>
      <c r="F19" s="6">
        <v>0</v>
      </c>
      <c r="G19" s="6">
        <v>0</v>
      </c>
      <c r="I19" s="6">
        <f t="shared" si="0"/>
        <v>0</v>
      </c>
    </row>
    <row r="20" spans="1:9">
      <c r="A20" s="6">
        <v>3</v>
      </c>
      <c r="B20" s="5">
        <v>0</v>
      </c>
      <c r="C20" s="5">
        <v>0</v>
      </c>
      <c r="D20" s="5">
        <v>1</v>
      </c>
      <c r="E20" s="5">
        <v>0</v>
      </c>
      <c r="F20" s="6">
        <v>1</v>
      </c>
      <c r="G20" s="6">
        <v>0</v>
      </c>
      <c r="I20" s="6">
        <f t="shared" si="0"/>
        <v>2</v>
      </c>
    </row>
    <row r="21" spans="1:9">
      <c r="A21" s="6">
        <v>4</v>
      </c>
      <c r="B21" s="5">
        <v>1</v>
      </c>
      <c r="C21" s="5">
        <v>3</v>
      </c>
      <c r="D21" s="5">
        <v>3</v>
      </c>
      <c r="E21" s="5">
        <v>5</v>
      </c>
      <c r="F21" s="6">
        <v>10</v>
      </c>
      <c r="G21" s="6">
        <v>4</v>
      </c>
      <c r="I21" s="6">
        <f t="shared" si="0"/>
        <v>26</v>
      </c>
    </row>
    <row r="22" spans="1:9">
      <c r="A22" s="6">
        <v>35</v>
      </c>
      <c r="B22" s="5">
        <v>11</v>
      </c>
      <c r="C22" s="5">
        <v>13</v>
      </c>
      <c r="D22" s="5">
        <v>20</v>
      </c>
      <c r="E22" s="5">
        <v>8</v>
      </c>
      <c r="F22" s="6">
        <v>32</v>
      </c>
      <c r="G22" s="6">
        <v>16</v>
      </c>
      <c r="I22" s="6">
        <f t="shared" si="0"/>
        <v>100</v>
      </c>
    </row>
    <row r="23" spans="1:9">
      <c r="A23" s="6">
        <v>6</v>
      </c>
      <c r="B23" s="5">
        <v>11</v>
      </c>
      <c r="C23" s="5">
        <v>13</v>
      </c>
      <c r="D23" s="5">
        <v>7</v>
      </c>
      <c r="E23" s="5">
        <v>13</v>
      </c>
      <c r="F23" s="6">
        <v>22</v>
      </c>
      <c r="G23" s="6">
        <v>21</v>
      </c>
      <c r="I23" s="6">
        <f t="shared" si="0"/>
        <v>87</v>
      </c>
    </row>
    <row r="24" spans="1:9">
      <c r="A24" s="6">
        <v>7</v>
      </c>
      <c r="B24" s="5">
        <v>13</v>
      </c>
      <c r="C24" s="5">
        <v>6</v>
      </c>
      <c r="D24" s="5">
        <v>14</v>
      </c>
      <c r="E24" s="5">
        <v>11</v>
      </c>
      <c r="F24" s="6">
        <v>15</v>
      </c>
      <c r="G24" s="6">
        <v>12</v>
      </c>
      <c r="I24" s="6">
        <f t="shared" si="0"/>
        <v>71</v>
      </c>
    </row>
    <row r="25" spans="1:9">
      <c r="A25" s="6">
        <v>8</v>
      </c>
      <c r="B25" s="5">
        <v>17</v>
      </c>
      <c r="C25" s="5">
        <v>15</v>
      </c>
      <c r="D25" s="5">
        <v>11</v>
      </c>
      <c r="E25" s="5">
        <v>17</v>
      </c>
      <c r="F25" s="6">
        <v>12</v>
      </c>
      <c r="G25" s="6">
        <v>15</v>
      </c>
      <c r="I25" s="6">
        <f t="shared" si="0"/>
        <v>87</v>
      </c>
    </row>
    <row r="26" spans="1:9">
      <c r="A26" s="6">
        <v>9</v>
      </c>
      <c r="B26" s="5">
        <v>10</v>
      </c>
      <c r="C26" s="5">
        <v>7</v>
      </c>
      <c r="D26" s="5">
        <v>13</v>
      </c>
      <c r="E26" s="5">
        <v>11</v>
      </c>
      <c r="F26" s="6">
        <v>6</v>
      </c>
      <c r="G26" s="6">
        <v>11</v>
      </c>
      <c r="I26" s="6">
        <f t="shared" si="0"/>
        <v>58</v>
      </c>
    </row>
    <row r="27" spans="1:9">
      <c r="A27" s="6">
        <v>40</v>
      </c>
      <c r="B27" s="5">
        <v>15</v>
      </c>
      <c r="C27" s="5">
        <v>11</v>
      </c>
      <c r="D27" s="5">
        <v>13</v>
      </c>
      <c r="E27" s="5">
        <v>7</v>
      </c>
      <c r="F27" s="6">
        <v>5</v>
      </c>
      <c r="G27" s="6">
        <v>7</v>
      </c>
      <c r="I27" s="6">
        <f t="shared" si="0"/>
        <v>58</v>
      </c>
    </row>
    <row r="28" spans="1:9">
      <c r="A28" s="6">
        <v>1</v>
      </c>
      <c r="B28" s="5">
        <v>9</v>
      </c>
      <c r="C28" s="5">
        <v>11</v>
      </c>
      <c r="D28" s="5">
        <v>6</v>
      </c>
      <c r="E28" s="5">
        <v>12</v>
      </c>
      <c r="F28" s="6">
        <v>3</v>
      </c>
      <c r="G28" s="6">
        <v>7</v>
      </c>
      <c r="I28" s="6">
        <f t="shared" si="0"/>
        <v>48</v>
      </c>
    </row>
    <row r="29" spans="1:9">
      <c r="A29" s="6">
        <v>2</v>
      </c>
      <c r="B29" s="5">
        <v>12</v>
      </c>
      <c r="C29" s="5">
        <v>8</v>
      </c>
      <c r="D29" s="5">
        <v>3</v>
      </c>
      <c r="E29" s="5">
        <v>8</v>
      </c>
      <c r="F29" s="6">
        <v>3</v>
      </c>
      <c r="G29" s="6">
        <v>6</v>
      </c>
      <c r="I29" s="6">
        <f t="shared" si="0"/>
        <v>40</v>
      </c>
    </row>
    <row r="30" spans="1:9">
      <c r="A30" s="6">
        <v>3</v>
      </c>
      <c r="B30" s="5">
        <v>5</v>
      </c>
      <c r="C30" s="5">
        <v>7</v>
      </c>
      <c r="D30" s="5">
        <v>5</v>
      </c>
      <c r="E30" s="5">
        <v>4</v>
      </c>
      <c r="F30" s="6">
        <v>1</v>
      </c>
      <c r="G30" s="6">
        <v>9</v>
      </c>
      <c r="I30" s="6">
        <f t="shared" si="0"/>
        <v>31</v>
      </c>
    </row>
    <row r="31" spans="1:9">
      <c r="A31" s="6">
        <v>4</v>
      </c>
      <c r="B31" s="5">
        <v>4</v>
      </c>
      <c r="C31" s="5">
        <v>5</v>
      </c>
      <c r="D31" s="5">
        <v>4</v>
      </c>
      <c r="E31" s="5">
        <v>2</v>
      </c>
      <c r="F31" s="6">
        <v>2</v>
      </c>
      <c r="G31" s="6">
        <v>0</v>
      </c>
      <c r="I31" s="6">
        <f t="shared" si="0"/>
        <v>17</v>
      </c>
    </row>
    <row r="32" spans="1:9">
      <c r="A32" s="6">
        <v>45</v>
      </c>
      <c r="B32" s="5">
        <v>0</v>
      </c>
      <c r="C32" s="5">
        <v>4</v>
      </c>
      <c r="D32" s="5">
        <v>5</v>
      </c>
      <c r="E32" s="5">
        <v>7</v>
      </c>
      <c r="F32" s="6">
        <v>1</v>
      </c>
      <c r="G32" s="6">
        <v>3</v>
      </c>
      <c r="I32" s="6">
        <f t="shared" si="0"/>
        <v>20</v>
      </c>
    </row>
    <row r="33" spans="1:9">
      <c r="A33" s="6">
        <v>6</v>
      </c>
      <c r="B33" s="5">
        <v>1</v>
      </c>
      <c r="C33" s="5">
        <v>3</v>
      </c>
      <c r="D33" s="5">
        <v>1</v>
      </c>
      <c r="E33" s="5">
        <v>3</v>
      </c>
      <c r="F33" s="6">
        <v>1</v>
      </c>
      <c r="G33" s="6">
        <v>2</v>
      </c>
      <c r="I33" s="6">
        <f t="shared" si="0"/>
        <v>11</v>
      </c>
    </row>
    <row r="34" spans="1:9">
      <c r="A34" s="6">
        <v>7</v>
      </c>
      <c r="B34" s="5">
        <v>5</v>
      </c>
      <c r="C34" s="5">
        <v>2</v>
      </c>
      <c r="D34" s="5">
        <v>5</v>
      </c>
      <c r="E34" s="5">
        <v>3</v>
      </c>
      <c r="F34" s="6">
        <v>1</v>
      </c>
      <c r="G34" s="6">
        <v>0</v>
      </c>
      <c r="I34" s="6">
        <f t="shared" si="0"/>
        <v>16</v>
      </c>
    </row>
    <row r="35" spans="1:9">
      <c r="A35" s="6">
        <v>8</v>
      </c>
      <c r="B35" s="5">
        <v>3</v>
      </c>
      <c r="C35" s="5">
        <v>3</v>
      </c>
      <c r="D35" s="5">
        <v>2</v>
      </c>
      <c r="E35" s="5">
        <v>0</v>
      </c>
      <c r="F35" s="6">
        <v>0</v>
      </c>
      <c r="G35" s="6">
        <v>0</v>
      </c>
      <c r="I35" s="6">
        <f t="shared" si="0"/>
        <v>8</v>
      </c>
    </row>
    <row r="36" spans="1:9">
      <c r="A36" s="6">
        <v>9</v>
      </c>
      <c r="B36" s="5">
        <v>1</v>
      </c>
      <c r="C36" s="5">
        <v>0</v>
      </c>
      <c r="D36" s="5">
        <v>1</v>
      </c>
      <c r="E36" s="5">
        <v>1</v>
      </c>
      <c r="F36" s="6">
        <v>0</v>
      </c>
      <c r="G36" s="6">
        <v>0</v>
      </c>
      <c r="I36" s="6">
        <f t="shared" si="0"/>
        <v>3</v>
      </c>
    </row>
    <row r="37" spans="1:9">
      <c r="A37" s="6">
        <v>50</v>
      </c>
      <c r="B37" s="5">
        <v>1</v>
      </c>
      <c r="C37" s="5">
        <v>2</v>
      </c>
      <c r="D37" s="5">
        <v>2</v>
      </c>
      <c r="E37" s="5">
        <v>0</v>
      </c>
      <c r="F37" s="6">
        <v>0</v>
      </c>
      <c r="G37" s="6">
        <v>0</v>
      </c>
      <c r="I37" s="6">
        <f t="shared" si="0"/>
        <v>5</v>
      </c>
    </row>
    <row r="38" spans="1:9">
      <c r="A38" s="6">
        <v>1</v>
      </c>
      <c r="B38" s="5">
        <v>0</v>
      </c>
      <c r="C38" s="5">
        <v>0</v>
      </c>
      <c r="D38" s="5">
        <v>0</v>
      </c>
      <c r="E38" s="5">
        <v>0</v>
      </c>
      <c r="F38" s="6">
        <v>0</v>
      </c>
      <c r="G38" s="6">
        <v>0</v>
      </c>
      <c r="I38" s="6">
        <f t="shared" si="0"/>
        <v>0</v>
      </c>
    </row>
    <row r="39" spans="1:9">
      <c r="A39" s="6">
        <v>2</v>
      </c>
      <c r="B39" s="5">
        <v>0</v>
      </c>
      <c r="C39" s="5">
        <v>2</v>
      </c>
      <c r="D39" s="5">
        <v>0</v>
      </c>
      <c r="E39" s="5">
        <v>0</v>
      </c>
      <c r="F39" s="6">
        <v>0</v>
      </c>
      <c r="G39" s="6">
        <v>0</v>
      </c>
      <c r="I39" s="6">
        <f t="shared" si="0"/>
        <v>2</v>
      </c>
    </row>
    <row r="40" spans="1:9">
      <c r="A40" s="6">
        <v>3</v>
      </c>
      <c r="B40" s="5">
        <v>0</v>
      </c>
      <c r="C40" s="5">
        <v>0</v>
      </c>
      <c r="D40" s="5">
        <v>0</v>
      </c>
      <c r="E40" s="5">
        <v>0</v>
      </c>
      <c r="F40" s="6">
        <v>0</v>
      </c>
      <c r="G40" s="6">
        <v>1</v>
      </c>
      <c r="I40" s="6">
        <f t="shared" si="0"/>
        <v>1</v>
      </c>
    </row>
    <row r="41" spans="1:9">
      <c r="A41" s="6">
        <v>4</v>
      </c>
      <c r="B41" s="5">
        <v>0</v>
      </c>
      <c r="C41" s="5">
        <v>0</v>
      </c>
      <c r="D41" s="5">
        <v>0</v>
      </c>
      <c r="E41" s="5">
        <v>0</v>
      </c>
      <c r="F41" s="6">
        <v>0</v>
      </c>
      <c r="G41" s="6">
        <v>0</v>
      </c>
      <c r="I41" s="6">
        <f t="shared" si="0"/>
        <v>0</v>
      </c>
    </row>
    <row r="42" spans="1:9">
      <c r="A42" s="6">
        <v>55</v>
      </c>
      <c r="B42" s="5"/>
      <c r="C42" s="5"/>
      <c r="D42" s="5"/>
      <c r="E42" s="5"/>
    </row>
    <row r="43" spans="1:9">
      <c r="A43" s="6" t="s">
        <v>3</v>
      </c>
      <c r="B43" s="5">
        <f t="shared" ref="B43:E43" si="1">SUM(B7:B42)</f>
        <v>119</v>
      </c>
      <c r="C43" s="5">
        <f t="shared" si="1"/>
        <v>115</v>
      </c>
      <c r="D43" s="5">
        <f t="shared" si="1"/>
        <v>116</v>
      </c>
      <c r="E43" s="5">
        <f t="shared" si="1"/>
        <v>112</v>
      </c>
      <c r="I43" s="5">
        <f>SUM(I7:I42)</f>
        <v>691</v>
      </c>
    </row>
    <row r="44" spans="1:9">
      <c r="A44" s="6" t="s">
        <v>4</v>
      </c>
      <c r="B44" s="5"/>
      <c r="C44" s="5"/>
      <c r="D44" s="5"/>
      <c r="E44" s="5"/>
    </row>
    <row r="45" spans="1:9">
      <c r="A45" s="6" t="s">
        <v>5</v>
      </c>
      <c r="B45" s="5"/>
      <c r="C45" s="5"/>
      <c r="D45" s="5"/>
      <c r="E45" s="5"/>
    </row>
    <row r="46" spans="1:9">
      <c r="A46" s="6" t="s">
        <v>6</v>
      </c>
      <c r="B46" s="5"/>
      <c r="C46" s="5"/>
      <c r="D46" s="5"/>
      <c r="E46" s="5"/>
    </row>
    <row r="47" spans="1:9">
      <c r="A47" s="6" t="s">
        <v>7</v>
      </c>
      <c r="B47" s="5"/>
      <c r="C47" s="5"/>
      <c r="D47" s="5"/>
      <c r="E47" s="5"/>
    </row>
    <row r="48" spans="1:9">
      <c r="A48" s="6" t="s">
        <v>8</v>
      </c>
      <c r="B48" s="5"/>
      <c r="C48" s="5"/>
      <c r="D48" s="5"/>
      <c r="E4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0"/>
  <sheetViews>
    <sheetView topLeftCell="A31" workbookViewId="0">
      <selection activeCell="T49" sqref="T49:T50"/>
    </sheetView>
  </sheetViews>
  <sheetFormatPr defaultColWidth="9.109375" defaultRowHeight="14.4"/>
  <cols>
    <col min="1" max="1" width="7.88671875" style="6" customWidth="1"/>
    <col min="2" max="34" width="8.6640625" style="5" customWidth="1"/>
    <col min="35" max="16384" width="9.109375" style="6"/>
  </cols>
  <sheetData>
    <row r="1" spans="1:51" ht="1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51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51" s="7" customFormat="1" ht="15.6">
      <c r="A3" s="7" t="s">
        <v>9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8" t="s">
        <v>10</v>
      </c>
      <c r="I3" s="8" t="s">
        <v>10</v>
      </c>
      <c r="J3" s="8" t="s">
        <v>10</v>
      </c>
      <c r="K3" s="8" t="s">
        <v>10</v>
      </c>
      <c r="L3" s="8" t="s">
        <v>10</v>
      </c>
      <c r="M3" s="8" t="s">
        <v>10</v>
      </c>
      <c r="N3" s="8" t="s">
        <v>10</v>
      </c>
      <c r="O3" s="8" t="s">
        <v>10</v>
      </c>
      <c r="P3" s="8" t="s">
        <v>10</v>
      </c>
      <c r="Q3" s="8" t="s">
        <v>10</v>
      </c>
      <c r="R3" s="8" t="s">
        <v>10</v>
      </c>
      <c r="S3" s="8"/>
      <c r="T3" s="8" t="s">
        <v>17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s="11" customFormat="1">
      <c r="A4" s="9" t="s">
        <v>0</v>
      </c>
      <c r="B4" s="10">
        <v>40001</v>
      </c>
      <c r="C4" s="10">
        <v>40001</v>
      </c>
      <c r="D4" s="10">
        <v>40002</v>
      </c>
      <c r="E4" s="10">
        <v>40003</v>
      </c>
      <c r="F4" s="10">
        <v>40004</v>
      </c>
      <c r="G4" s="10">
        <v>40004</v>
      </c>
      <c r="H4" s="10">
        <v>40005</v>
      </c>
      <c r="I4" s="10">
        <v>40006</v>
      </c>
      <c r="J4" s="10">
        <v>40007</v>
      </c>
      <c r="K4" s="10">
        <v>40007</v>
      </c>
      <c r="L4" s="10">
        <v>40009</v>
      </c>
      <c r="M4" s="10">
        <v>40010</v>
      </c>
      <c r="N4" s="10">
        <v>40014</v>
      </c>
      <c r="O4" s="10">
        <v>40019</v>
      </c>
      <c r="P4" s="10">
        <v>40020</v>
      </c>
      <c r="Q4" s="10">
        <v>40021</v>
      </c>
      <c r="R4" s="10">
        <v>40023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51" s="14" customFormat="1">
      <c r="A5" s="22" t="s">
        <v>1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51" s="19" customFormat="1">
      <c r="A6" s="16" t="s">
        <v>2</v>
      </c>
      <c r="B6" s="17">
        <v>1</v>
      </c>
      <c r="C6" s="17">
        <v>2</v>
      </c>
      <c r="D6" s="17">
        <v>4</v>
      </c>
      <c r="E6" s="17">
        <v>5</v>
      </c>
      <c r="F6" s="17">
        <v>6</v>
      </c>
      <c r="G6" s="17">
        <v>7</v>
      </c>
      <c r="H6" s="17">
        <v>8</v>
      </c>
      <c r="I6" s="17">
        <v>9</v>
      </c>
      <c r="J6" s="17">
        <v>10</v>
      </c>
      <c r="K6" s="17">
        <v>11</v>
      </c>
      <c r="L6" s="17">
        <v>12</v>
      </c>
      <c r="M6" s="17">
        <v>13</v>
      </c>
      <c r="N6" s="17">
        <v>14</v>
      </c>
      <c r="O6" s="17">
        <v>15</v>
      </c>
      <c r="P6" s="17">
        <v>16</v>
      </c>
      <c r="Q6" s="17">
        <v>17</v>
      </c>
      <c r="R6" s="17">
        <v>18</v>
      </c>
      <c r="S6" s="18"/>
      <c r="T6" s="18"/>
      <c r="U6" s="17"/>
      <c r="V6" s="17"/>
      <c r="W6" s="18"/>
      <c r="X6" s="18"/>
      <c r="Y6" s="18"/>
      <c r="Z6" s="18"/>
      <c r="AA6" s="18"/>
      <c r="AB6" s="18"/>
      <c r="AC6" s="17"/>
      <c r="AD6" s="17"/>
      <c r="AE6" s="18"/>
      <c r="AF6" s="18"/>
      <c r="AG6" s="18"/>
      <c r="AH6" s="18"/>
      <c r="AI6" s="18"/>
      <c r="AJ6" s="17"/>
      <c r="AK6" s="18"/>
      <c r="AL6" s="18"/>
      <c r="AM6" s="18"/>
      <c r="AN6" s="17"/>
      <c r="AO6" s="17"/>
      <c r="AP6" s="18"/>
      <c r="AQ6" s="18"/>
      <c r="AR6" s="18"/>
      <c r="AS6" s="18"/>
      <c r="AT6" s="17"/>
      <c r="AU6" s="18"/>
      <c r="AV6" s="18"/>
      <c r="AW6" s="18"/>
      <c r="AX6" s="18"/>
      <c r="AY6" s="18"/>
    </row>
    <row r="7" spans="1:51">
      <c r="A7" s="2">
        <v>20</v>
      </c>
      <c r="H7" s="15"/>
      <c r="I7" s="15"/>
      <c r="J7" s="15"/>
      <c r="K7" s="15"/>
      <c r="T7" s="5">
        <f>SUM(B7:R7)</f>
        <v>0</v>
      </c>
      <c r="U7" s="15"/>
      <c r="V7" s="15"/>
      <c r="AC7" s="15"/>
      <c r="AD7" s="15"/>
      <c r="AI7" s="15"/>
      <c r="AJ7" s="15"/>
      <c r="AK7" s="5"/>
      <c r="AL7" s="5"/>
      <c r="AM7" s="5"/>
      <c r="AN7" s="15"/>
      <c r="AO7" s="15"/>
      <c r="AP7" s="5"/>
      <c r="AQ7" s="5"/>
      <c r="AR7" s="5"/>
      <c r="AS7" s="15"/>
      <c r="AT7" s="15"/>
      <c r="AU7" s="5"/>
      <c r="AV7" s="5"/>
      <c r="AW7" s="5"/>
    </row>
    <row r="8" spans="1:51">
      <c r="A8" s="2">
        <v>21</v>
      </c>
      <c r="H8" s="15"/>
      <c r="I8" s="15"/>
      <c r="J8" s="15"/>
      <c r="K8" s="15"/>
      <c r="T8" s="5">
        <f t="shared" ref="T8:T42" si="0">SUM(B8:R8)</f>
        <v>0</v>
      </c>
      <c r="U8" s="15"/>
      <c r="V8" s="15"/>
      <c r="AC8" s="15"/>
      <c r="AD8" s="15"/>
      <c r="AI8" s="15"/>
      <c r="AJ8" s="15"/>
      <c r="AK8" s="5"/>
      <c r="AL8" s="5"/>
      <c r="AM8" s="5"/>
      <c r="AN8" s="15"/>
      <c r="AO8" s="15"/>
      <c r="AP8" s="5"/>
      <c r="AQ8" s="5"/>
      <c r="AR8" s="5"/>
      <c r="AS8" s="15"/>
      <c r="AT8" s="15"/>
      <c r="AU8" s="5"/>
      <c r="AV8" s="5"/>
      <c r="AW8" s="5"/>
    </row>
    <row r="9" spans="1:51">
      <c r="A9" s="2">
        <v>22</v>
      </c>
      <c r="H9" s="15"/>
      <c r="I9" s="15"/>
      <c r="J9" s="15"/>
      <c r="K9" s="15"/>
      <c r="T9" s="5">
        <f t="shared" si="0"/>
        <v>0</v>
      </c>
      <c r="U9" s="15"/>
      <c r="V9" s="15"/>
      <c r="AC9" s="15"/>
      <c r="AD9" s="15"/>
      <c r="AI9" s="15"/>
      <c r="AJ9" s="15"/>
      <c r="AK9" s="5"/>
      <c r="AL9" s="5"/>
      <c r="AM9" s="5"/>
      <c r="AN9" s="15"/>
      <c r="AO9" s="15"/>
      <c r="AP9" s="5"/>
      <c r="AQ9" s="5"/>
      <c r="AR9" s="5"/>
      <c r="AS9" s="15"/>
      <c r="AT9" s="15"/>
      <c r="AU9" s="5"/>
      <c r="AV9" s="5"/>
      <c r="AW9" s="5"/>
    </row>
    <row r="10" spans="1:51">
      <c r="A10" s="2">
        <v>23</v>
      </c>
      <c r="H10" s="15"/>
      <c r="I10" s="15"/>
      <c r="J10" s="15"/>
      <c r="K10" s="15"/>
      <c r="T10" s="5">
        <f t="shared" si="0"/>
        <v>0</v>
      </c>
      <c r="U10" s="15"/>
      <c r="V10" s="15"/>
      <c r="AC10" s="15"/>
      <c r="AD10" s="15"/>
      <c r="AI10" s="15"/>
      <c r="AJ10" s="15"/>
      <c r="AK10" s="5"/>
      <c r="AL10" s="5"/>
      <c r="AM10" s="5"/>
      <c r="AN10" s="15"/>
      <c r="AO10" s="15"/>
      <c r="AP10" s="5"/>
      <c r="AQ10" s="5"/>
      <c r="AR10" s="5"/>
      <c r="AS10" s="15"/>
      <c r="AT10" s="15"/>
      <c r="AU10" s="5"/>
      <c r="AV10" s="5"/>
      <c r="AW10" s="5"/>
    </row>
    <row r="11" spans="1:51">
      <c r="A11" s="2">
        <v>24</v>
      </c>
      <c r="H11" s="15"/>
      <c r="I11" s="15"/>
      <c r="J11" s="15"/>
      <c r="K11" s="15"/>
      <c r="T11" s="5">
        <f t="shared" si="0"/>
        <v>0</v>
      </c>
      <c r="U11" s="15"/>
      <c r="V11" s="15"/>
      <c r="AC11" s="15"/>
      <c r="AD11" s="15"/>
      <c r="AI11" s="15"/>
      <c r="AJ11" s="15"/>
      <c r="AK11" s="5"/>
      <c r="AL11" s="5"/>
      <c r="AM11" s="5"/>
      <c r="AN11" s="15"/>
      <c r="AO11" s="15"/>
      <c r="AP11" s="5"/>
      <c r="AQ11" s="5"/>
      <c r="AR11" s="5"/>
      <c r="AS11" s="15"/>
      <c r="AT11" s="15"/>
      <c r="AU11" s="5"/>
      <c r="AV11" s="5"/>
      <c r="AW11" s="5"/>
    </row>
    <row r="12" spans="1:51">
      <c r="A12" s="2">
        <v>25</v>
      </c>
      <c r="H12" s="15"/>
      <c r="I12" s="15"/>
      <c r="J12" s="15"/>
      <c r="K12" s="15"/>
      <c r="T12" s="5">
        <f t="shared" si="0"/>
        <v>0</v>
      </c>
      <c r="U12" s="15"/>
      <c r="V12" s="15"/>
      <c r="AC12" s="15"/>
      <c r="AD12" s="15"/>
      <c r="AI12" s="15"/>
      <c r="AJ12" s="15"/>
      <c r="AK12" s="5"/>
      <c r="AL12" s="5"/>
      <c r="AM12" s="5"/>
      <c r="AN12" s="15"/>
      <c r="AO12" s="15"/>
      <c r="AP12" s="5"/>
      <c r="AQ12" s="5"/>
      <c r="AR12" s="5"/>
      <c r="AS12" s="15"/>
      <c r="AT12" s="15"/>
      <c r="AU12" s="5"/>
      <c r="AV12" s="5"/>
      <c r="AW12" s="5"/>
    </row>
    <row r="13" spans="1:51">
      <c r="A13" s="2">
        <v>26</v>
      </c>
      <c r="H13" s="15"/>
      <c r="I13" s="15"/>
      <c r="J13" s="15"/>
      <c r="K13" s="15"/>
      <c r="T13" s="5">
        <f t="shared" si="0"/>
        <v>0</v>
      </c>
      <c r="U13" s="15"/>
      <c r="V13" s="15"/>
      <c r="AC13" s="15"/>
      <c r="AD13" s="15"/>
      <c r="AI13" s="15"/>
      <c r="AJ13" s="15"/>
      <c r="AK13" s="5"/>
      <c r="AL13" s="5"/>
      <c r="AM13" s="5"/>
      <c r="AN13" s="15"/>
      <c r="AO13" s="15"/>
      <c r="AP13" s="5"/>
      <c r="AQ13" s="5"/>
      <c r="AR13" s="5"/>
      <c r="AS13" s="15"/>
      <c r="AT13" s="15"/>
      <c r="AU13" s="5"/>
      <c r="AV13" s="5"/>
      <c r="AW13" s="5"/>
    </row>
    <row r="14" spans="1:51">
      <c r="A14" s="2">
        <v>27</v>
      </c>
      <c r="H14" s="15"/>
      <c r="I14" s="15"/>
      <c r="J14" s="15"/>
      <c r="K14" s="15"/>
      <c r="T14" s="5">
        <f t="shared" si="0"/>
        <v>0</v>
      </c>
      <c r="U14" s="15"/>
      <c r="V14" s="15"/>
      <c r="AC14" s="15"/>
      <c r="AD14" s="15"/>
      <c r="AI14" s="15"/>
      <c r="AJ14" s="15"/>
      <c r="AK14" s="5"/>
      <c r="AL14" s="5"/>
      <c r="AM14" s="5"/>
      <c r="AN14" s="15"/>
      <c r="AO14" s="15"/>
      <c r="AP14" s="5"/>
      <c r="AQ14" s="5"/>
      <c r="AR14" s="5"/>
      <c r="AS14" s="15"/>
      <c r="AT14" s="15"/>
      <c r="AU14" s="5"/>
      <c r="AV14" s="5"/>
      <c r="AW14" s="5"/>
    </row>
    <row r="15" spans="1:51">
      <c r="A15" s="2">
        <v>28</v>
      </c>
      <c r="H15" s="15"/>
      <c r="I15" s="15"/>
      <c r="J15" s="15"/>
      <c r="K15" s="15"/>
      <c r="T15" s="5">
        <f t="shared" si="0"/>
        <v>0</v>
      </c>
      <c r="U15" s="15"/>
      <c r="V15" s="15"/>
      <c r="AC15" s="15"/>
      <c r="AD15" s="15"/>
      <c r="AI15" s="15"/>
      <c r="AJ15" s="15"/>
      <c r="AK15" s="5"/>
      <c r="AL15" s="5"/>
      <c r="AM15" s="5"/>
      <c r="AN15" s="15"/>
      <c r="AO15" s="15"/>
      <c r="AP15" s="5"/>
      <c r="AQ15" s="5"/>
      <c r="AR15" s="5"/>
      <c r="AS15" s="15"/>
      <c r="AT15" s="15"/>
      <c r="AU15" s="5"/>
      <c r="AV15" s="5"/>
      <c r="AW15" s="5"/>
    </row>
    <row r="16" spans="1:51">
      <c r="A16" s="2">
        <v>29</v>
      </c>
      <c r="T16" s="5">
        <f t="shared" si="0"/>
        <v>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>
      <c r="A17" s="2">
        <v>30</v>
      </c>
      <c r="T17" s="5">
        <f t="shared" si="0"/>
        <v>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>
      <c r="A18" s="2">
        <v>31</v>
      </c>
      <c r="T18" s="5">
        <f t="shared" si="0"/>
        <v>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>
      <c r="A19" s="2">
        <v>32</v>
      </c>
      <c r="T19" s="5">
        <f t="shared" si="0"/>
        <v>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>
      <c r="A20" s="2">
        <v>33</v>
      </c>
      <c r="C20" s="5">
        <v>3</v>
      </c>
      <c r="G20" s="5">
        <v>2</v>
      </c>
      <c r="I20" s="5">
        <v>1</v>
      </c>
      <c r="M20" s="5">
        <v>1</v>
      </c>
      <c r="N20" s="5">
        <v>1</v>
      </c>
      <c r="T20" s="5">
        <f t="shared" si="0"/>
        <v>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>
      <c r="A21" s="2">
        <v>34</v>
      </c>
      <c r="B21" s="5">
        <v>5</v>
      </c>
      <c r="C21" s="5">
        <v>7</v>
      </c>
      <c r="D21" s="5">
        <v>2</v>
      </c>
      <c r="E21" s="5">
        <v>8</v>
      </c>
      <c r="F21" s="5">
        <v>20</v>
      </c>
      <c r="G21" s="5">
        <v>12</v>
      </c>
      <c r="H21" s="5">
        <v>19</v>
      </c>
      <c r="I21" s="5">
        <v>13</v>
      </c>
      <c r="J21" s="5">
        <v>3</v>
      </c>
      <c r="K21" s="5">
        <v>3</v>
      </c>
      <c r="L21" s="5">
        <v>4</v>
      </c>
      <c r="M21" s="5">
        <v>10</v>
      </c>
      <c r="N21" s="5">
        <v>18</v>
      </c>
      <c r="P21" s="5">
        <v>1</v>
      </c>
      <c r="Q21" s="5">
        <v>2</v>
      </c>
      <c r="T21" s="5">
        <f t="shared" si="0"/>
        <v>127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>
      <c r="A22" s="2">
        <v>35</v>
      </c>
      <c r="B22" s="5">
        <v>11</v>
      </c>
      <c r="C22" s="5">
        <v>22</v>
      </c>
      <c r="D22" s="5">
        <v>17</v>
      </c>
      <c r="E22" s="5">
        <v>23</v>
      </c>
      <c r="F22" s="5">
        <v>34</v>
      </c>
      <c r="G22" s="5">
        <v>24</v>
      </c>
      <c r="H22" s="5">
        <v>35</v>
      </c>
      <c r="I22" s="5">
        <v>31</v>
      </c>
      <c r="J22" s="5">
        <v>42</v>
      </c>
      <c r="K22" s="5">
        <v>14</v>
      </c>
      <c r="L22" s="5">
        <v>16</v>
      </c>
      <c r="M22" s="5">
        <v>26</v>
      </c>
      <c r="N22" s="5">
        <v>38</v>
      </c>
      <c r="P22" s="5">
        <v>11</v>
      </c>
      <c r="Q22" s="5">
        <v>8</v>
      </c>
      <c r="T22" s="5">
        <f t="shared" si="0"/>
        <v>352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>
      <c r="A23" s="2">
        <v>36</v>
      </c>
      <c r="B23" s="5">
        <v>31</v>
      </c>
      <c r="C23" s="5">
        <v>17</v>
      </c>
      <c r="D23" s="5">
        <v>13</v>
      </c>
      <c r="E23" s="5">
        <v>20</v>
      </c>
      <c r="F23" s="5">
        <v>19</v>
      </c>
      <c r="G23" s="5">
        <v>30</v>
      </c>
      <c r="H23" s="5">
        <v>28</v>
      </c>
      <c r="I23" s="5">
        <v>34</v>
      </c>
      <c r="J23" s="5">
        <v>33</v>
      </c>
      <c r="K23" s="5">
        <v>21</v>
      </c>
      <c r="L23" s="5">
        <v>15</v>
      </c>
      <c r="M23" s="5">
        <v>34</v>
      </c>
      <c r="N23" s="5">
        <v>44</v>
      </c>
      <c r="P23" s="5">
        <v>16</v>
      </c>
      <c r="Q23" s="5">
        <v>9</v>
      </c>
      <c r="R23" s="5">
        <v>3</v>
      </c>
      <c r="T23" s="5">
        <f t="shared" si="0"/>
        <v>367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>
      <c r="A24" s="2">
        <v>37</v>
      </c>
      <c r="B24" s="5">
        <v>22</v>
      </c>
      <c r="C24" s="5">
        <v>9</v>
      </c>
      <c r="D24" s="5">
        <v>12</v>
      </c>
      <c r="E24" s="5">
        <v>15</v>
      </c>
      <c r="F24" s="5">
        <v>25</v>
      </c>
      <c r="G24" s="5">
        <v>23</v>
      </c>
      <c r="H24" s="5">
        <v>18</v>
      </c>
      <c r="I24" s="5">
        <v>22</v>
      </c>
      <c r="J24" s="5">
        <v>13</v>
      </c>
      <c r="K24" s="5">
        <v>11</v>
      </c>
      <c r="L24" s="5">
        <v>18</v>
      </c>
      <c r="M24" s="5">
        <v>21</v>
      </c>
      <c r="N24" s="5">
        <v>30</v>
      </c>
      <c r="P24" s="5">
        <v>8</v>
      </c>
      <c r="Q24" s="5">
        <v>10</v>
      </c>
      <c r="R24" s="5">
        <v>2</v>
      </c>
      <c r="T24" s="5">
        <f t="shared" si="0"/>
        <v>259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>
      <c r="A25" s="2">
        <v>38</v>
      </c>
      <c r="B25" s="5">
        <v>16</v>
      </c>
      <c r="C25" s="5">
        <v>12</v>
      </c>
      <c r="D25" s="5">
        <v>8</v>
      </c>
      <c r="E25" s="5">
        <v>11</v>
      </c>
      <c r="F25" s="5">
        <v>14</v>
      </c>
      <c r="G25" s="5">
        <v>5</v>
      </c>
      <c r="H25" s="5">
        <v>15</v>
      </c>
      <c r="I25" s="5">
        <v>18</v>
      </c>
      <c r="J25" s="5">
        <v>14</v>
      </c>
      <c r="K25" s="5">
        <v>3</v>
      </c>
      <c r="L25" s="5">
        <v>17</v>
      </c>
      <c r="M25" s="5">
        <v>14</v>
      </c>
      <c r="N25" s="5">
        <v>10</v>
      </c>
      <c r="P25" s="5">
        <v>7</v>
      </c>
      <c r="Q25" s="5">
        <v>9</v>
      </c>
      <c r="R25" s="5">
        <v>4</v>
      </c>
      <c r="T25" s="5">
        <f t="shared" si="0"/>
        <v>177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>
      <c r="A26" s="2">
        <v>39</v>
      </c>
      <c r="B26" s="5">
        <v>9</v>
      </c>
      <c r="C26" s="5">
        <v>9</v>
      </c>
      <c r="D26" s="5">
        <v>10</v>
      </c>
      <c r="E26" s="5">
        <v>9</v>
      </c>
      <c r="F26" s="5">
        <v>7</v>
      </c>
      <c r="G26" s="5">
        <v>7</v>
      </c>
      <c r="H26" s="5">
        <v>4</v>
      </c>
      <c r="I26" s="5">
        <v>6</v>
      </c>
      <c r="J26" s="5">
        <v>5</v>
      </c>
      <c r="K26" s="5">
        <v>2</v>
      </c>
      <c r="L26" s="5">
        <v>20</v>
      </c>
      <c r="M26" s="5">
        <v>9</v>
      </c>
      <c r="N26" s="5">
        <v>9</v>
      </c>
      <c r="P26" s="5">
        <v>3</v>
      </c>
      <c r="Q26" s="5">
        <v>6</v>
      </c>
      <c r="R26" s="5">
        <v>3</v>
      </c>
      <c r="T26" s="5">
        <f t="shared" si="0"/>
        <v>118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>
      <c r="A27" s="2">
        <v>40</v>
      </c>
      <c r="B27" s="5">
        <v>7</v>
      </c>
      <c r="C27" s="5">
        <v>7</v>
      </c>
      <c r="D27" s="5">
        <v>5</v>
      </c>
      <c r="E27" s="5">
        <v>6</v>
      </c>
      <c r="F27" s="5">
        <v>7</v>
      </c>
      <c r="G27" s="5">
        <v>10</v>
      </c>
      <c r="H27" s="5">
        <v>7</v>
      </c>
      <c r="I27" s="5">
        <v>5</v>
      </c>
      <c r="J27" s="5">
        <v>6</v>
      </c>
      <c r="K27" s="5">
        <v>1</v>
      </c>
      <c r="L27" s="5">
        <v>6</v>
      </c>
      <c r="M27" s="5">
        <v>9</v>
      </c>
      <c r="N27" s="5">
        <v>7</v>
      </c>
      <c r="P27" s="5">
        <v>7</v>
      </c>
      <c r="Q27" s="5">
        <v>8</v>
      </c>
      <c r="R27" s="5">
        <v>8</v>
      </c>
      <c r="T27" s="5">
        <f t="shared" si="0"/>
        <v>106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>
      <c r="A28" s="2">
        <v>41</v>
      </c>
      <c r="B28" s="5">
        <v>11</v>
      </c>
      <c r="D28" s="5">
        <v>4</v>
      </c>
      <c r="E28" s="5">
        <v>5</v>
      </c>
      <c r="F28" s="5">
        <v>4</v>
      </c>
      <c r="G28" s="5">
        <v>13</v>
      </c>
      <c r="H28" s="5">
        <v>6</v>
      </c>
      <c r="I28" s="5">
        <v>11</v>
      </c>
      <c r="J28" s="5">
        <v>1</v>
      </c>
      <c r="K28" s="5">
        <v>1</v>
      </c>
      <c r="L28" s="5">
        <v>11</v>
      </c>
      <c r="N28" s="5">
        <v>7</v>
      </c>
      <c r="P28" s="5">
        <v>4</v>
      </c>
      <c r="Q28" s="5">
        <v>7</v>
      </c>
      <c r="R28" s="5">
        <v>10</v>
      </c>
      <c r="T28" s="5">
        <f t="shared" si="0"/>
        <v>95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>
      <c r="A29" s="2">
        <v>42</v>
      </c>
      <c r="B29" s="5">
        <v>2</v>
      </c>
      <c r="C29" s="5">
        <v>4</v>
      </c>
      <c r="D29" s="5">
        <v>3</v>
      </c>
      <c r="E29" s="5">
        <v>3</v>
      </c>
      <c r="F29" s="5">
        <v>4</v>
      </c>
      <c r="G29" s="5">
        <v>3</v>
      </c>
      <c r="H29" s="5">
        <v>6</v>
      </c>
      <c r="I29" s="5">
        <v>4</v>
      </c>
      <c r="J29" s="5">
        <v>1</v>
      </c>
      <c r="L29" s="5">
        <v>4</v>
      </c>
      <c r="M29" s="5">
        <v>4</v>
      </c>
      <c r="N29" s="5">
        <v>1</v>
      </c>
      <c r="P29" s="5">
        <v>2</v>
      </c>
      <c r="Q29" s="5">
        <v>2</v>
      </c>
      <c r="R29" s="5">
        <v>10</v>
      </c>
      <c r="T29" s="5">
        <f t="shared" si="0"/>
        <v>53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>
      <c r="A30" s="2">
        <v>43</v>
      </c>
      <c r="B30" s="5">
        <v>1</v>
      </c>
      <c r="D30" s="5">
        <v>2</v>
      </c>
      <c r="E30" s="5">
        <v>2</v>
      </c>
      <c r="F30" s="5">
        <v>3</v>
      </c>
      <c r="G30" s="5">
        <v>2</v>
      </c>
      <c r="H30" s="5">
        <v>3</v>
      </c>
      <c r="I30" s="5">
        <v>1</v>
      </c>
      <c r="J30" s="5">
        <v>3</v>
      </c>
      <c r="K30" s="5">
        <v>1</v>
      </c>
      <c r="L30" s="5">
        <v>5</v>
      </c>
      <c r="N30" s="5">
        <v>2</v>
      </c>
      <c r="P30" s="5">
        <v>2</v>
      </c>
      <c r="Q30" s="5">
        <v>5</v>
      </c>
      <c r="R30" s="5">
        <v>7</v>
      </c>
      <c r="T30" s="5">
        <f t="shared" si="0"/>
        <v>39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>
      <c r="A31" s="2">
        <v>44</v>
      </c>
      <c r="B31" s="5">
        <v>3</v>
      </c>
      <c r="C31" s="5">
        <v>3</v>
      </c>
      <c r="D31" s="5">
        <v>1</v>
      </c>
      <c r="G31" s="5">
        <v>2</v>
      </c>
      <c r="H31" s="5">
        <v>2</v>
      </c>
      <c r="I31" s="5">
        <v>4</v>
      </c>
      <c r="J31" s="5">
        <v>1</v>
      </c>
      <c r="L31" s="5">
        <v>5</v>
      </c>
      <c r="M31" s="5">
        <v>1</v>
      </c>
      <c r="N31" s="5">
        <v>1</v>
      </c>
      <c r="Q31" s="5">
        <v>3</v>
      </c>
      <c r="R31" s="5">
        <v>13</v>
      </c>
      <c r="T31" s="5">
        <f t="shared" si="0"/>
        <v>39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>
      <c r="A32" s="2">
        <v>45</v>
      </c>
      <c r="B32" s="5">
        <v>1</v>
      </c>
      <c r="D32" s="5">
        <v>1</v>
      </c>
      <c r="F32" s="5">
        <v>1</v>
      </c>
      <c r="G32" s="5">
        <v>1</v>
      </c>
      <c r="I32" s="5">
        <v>1</v>
      </c>
      <c r="J32" s="5">
        <v>1</v>
      </c>
      <c r="L32" s="5">
        <v>2</v>
      </c>
      <c r="Q32" s="5">
        <v>4</v>
      </c>
      <c r="R32" s="5">
        <v>13</v>
      </c>
      <c r="T32" s="5">
        <f t="shared" si="0"/>
        <v>25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>
      <c r="A33" s="2">
        <v>46</v>
      </c>
      <c r="G33" s="5">
        <v>1</v>
      </c>
      <c r="H33" s="5">
        <v>2</v>
      </c>
      <c r="I33" s="5">
        <v>1</v>
      </c>
      <c r="J33" s="5">
        <v>1</v>
      </c>
      <c r="L33" s="5">
        <v>1</v>
      </c>
      <c r="Q33" s="5">
        <v>1</v>
      </c>
      <c r="R33" s="5">
        <v>9</v>
      </c>
      <c r="T33" s="5">
        <f t="shared" si="0"/>
        <v>16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>
      <c r="A34" s="2">
        <v>47</v>
      </c>
      <c r="B34" s="5">
        <v>1</v>
      </c>
      <c r="C34" s="5">
        <v>2</v>
      </c>
      <c r="E34" s="5">
        <v>1</v>
      </c>
      <c r="F34" s="5">
        <v>1</v>
      </c>
      <c r="G34" s="5">
        <v>1</v>
      </c>
      <c r="L34" s="5">
        <v>2</v>
      </c>
      <c r="M34" s="5">
        <v>1</v>
      </c>
      <c r="Q34" s="5">
        <v>2</v>
      </c>
      <c r="R34" s="5">
        <v>8</v>
      </c>
      <c r="T34" s="5">
        <f t="shared" si="0"/>
        <v>19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>
      <c r="A35" s="2">
        <v>48</v>
      </c>
      <c r="C35" s="5">
        <v>1</v>
      </c>
      <c r="G35" s="5">
        <v>3</v>
      </c>
      <c r="I35" s="5">
        <v>1</v>
      </c>
      <c r="L35" s="5">
        <v>3</v>
      </c>
      <c r="Q35" s="5">
        <v>3</v>
      </c>
      <c r="R35" s="5">
        <v>4</v>
      </c>
      <c r="T35" s="5">
        <f t="shared" si="0"/>
        <v>15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>
      <c r="A36" s="2">
        <v>49</v>
      </c>
      <c r="J36" s="5">
        <v>2</v>
      </c>
      <c r="L36" s="5">
        <v>1</v>
      </c>
      <c r="Q36" s="5">
        <v>1</v>
      </c>
      <c r="R36" s="5">
        <v>6</v>
      </c>
      <c r="T36" s="5">
        <f t="shared" si="0"/>
        <v>10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>
      <c r="A37" s="2">
        <v>50</v>
      </c>
      <c r="E37" s="5">
        <v>1</v>
      </c>
      <c r="F37" s="5">
        <v>1</v>
      </c>
      <c r="R37" s="5">
        <v>4</v>
      </c>
      <c r="T37" s="5">
        <f t="shared" si="0"/>
        <v>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>
      <c r="A38" s="2">
        <v>51</v>
      </c>
      <c r="R38" s="5">
        <v>1</v>
      </c>
      <c r="T38" s="5">
        <f t="shared" si="0"/>
        <v>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>
      <c r="A39" s="2">
        <v>52</v>
      </c>
      <c r="Q39" s="5">
        <v>1</v>
      </c>
      <c r="T39" s="5">
        <f t="shared" si="0"/>
        <v>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>
      <c r="A40" s="2">
        <v>53</v>
      </c>
      <c r="T40" s="5">
        <f t="shared" si="0"/>
        <v>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>
      <c r="A41" s="2">
        <v>54</v>
      </c>
      <c r="T41" s="5">
        <f t="shared" si="0"/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>
      <c r="A42" s="2">
        <v>55</v>
      </c>
      <c r="T42" s="5">
        <f t="shared" si="0"/>
        <v>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>
      <c r="A43" s="6" t="s">
        <v>11</v>
      </c>
      <c r="B43" s="5">
        <f>SUM(B7:B42)</f>
        <v>120</v>
      </c>
      <c r="C43" s="5">
        <f t="shared" ref="C43:R43" si="1">SUM(C7:C42)</f>
        <v>96</v>
      </c>
      <c r="D43" s="5">
        <f t="shared" si="1"/>
        <v>78</v>
      </c>
      <c r="E43" s="5">
        <f t="shared" si="1"/>
        <v>104</v>
      </c>
      <c r="F43" s="5">
        <f t="shared" si="1"/>
        <v>140</v>
      </c>
      <c r="G43" s="5">
        <f t="shared" si="1"/>
        <v>139</v>
      </c>
      <c r="H43" s="5">
        <f t="shared" si="1"/>
        <v>145</v>
      </c>
      <c r="I43" s="5">
        <f t="shared" si="1"/>
        <v>153</v>
      </c>
      <c r="J43" s="5">
        <f t="shared" si="1"/>
        <v>126</v>
      </c>
      <c r="K43" s="5">
        <f t="shared" si="1"/>
        <v>57</v>
      </c>
      <c r="L43" s="5">
        <f t="shared" si="1"/>
        <v>130</v>
      </c>
      <c r="M43" s="5">
        <f t="shared" si="1"/>
        <v>130</v>
      </c>
      <c r="N43" s="5">
        <f t="shared" si="1"/>
        <v>168</v>
      </c>
      <c r="P43" s="5">
        <f t="shared" si="1"/>
        <v>61</v>
      </c>
      <c r="Q43" s="5">
        <f t="shared" si="1"/>
        <v>81</v>
      </c>
      <c r="R43" s="5">
        <f t="shared" si="1"/>
        <v>105</v>
      </c>
      <c r="T43" s="5">
        <f>SUM(T7:T42)</f>
        <v>1833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>
      <c r="A44" s="6" t="s">
        <v>4</v>
      </c>
      <c r="B44" s="20">
        <v>74.352999999999994</v>
      </c>
      <c r="C44" s="20">
        <v>65.739999999999995</v>
      </c>
      <c r="D44" s="21">
        <v>53.195</v>
      </c>
      <c r="E44" s="21">
        <v>79.734999999999999</v>
      </c>
      <c r="F44" s="20">
        <v>85.7</v>
      </c>
      <c r="G44" s="20">
        <v>96.444999999999993</v>
      </c>
      <c r="H44" s="20">
        <v>99.045000000000002</v>
      </c>
      <c r="I44" s="20">
        <v>91.754999999999995</v>
      </c>
      <c r="J44" s="20">
        <v>79.454999999999998</v>
      </c>
      <c r="K44" s="20">
        <v>45.924999999999997</v>
      </c>
      <c r="L44" s="20">
        <v>93.61</v>
      </c>
      <c r="M44" s="29">
        <v>141.83000000000001</v>
      </c>
      <c r="N44" s="20">
        <v>99.5</v>
      </c>
      <c r="O44" s="20"/>
      <c r="P44" s="29">
        <v>68.204999999999998</v>
      </c>
      <c r="Q44" s="29">
        <v>88.974999999999994</v>
      </c>
      <c r="R44" s="20">
        <v>103.435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>
      <c r="A45" s="6" t="s">
        <v>5</v>
      </c>
      <c r="B45" s="28">
        <f>B44/B43</f>
        <v>0.61960833333333332</v>
      </c>
      <c r="C45" s="28">
        <f t="shared" ref="C45:R45" si="2">C44/C43</f>
        <v>0.68479166666666658</v>
      </c>
      <c r="D45" s="28">
        <f t="shared" si="2"/>
        <v>0.68198717948717946</v>
      </c>
      <c r="E45" s="28">
        <f t="shared" si="2"/>
        <v>0.76668269230769226</v>
      </c>
      <c r="F45" s="28">
        <f t="shared" si="2"/>
        <v>0.61214285714285721</v>
      </c>
      <c r="G45" s="28">
        <f t="shared" si="2"/>
        <v>0.69384892086330929</v>
      </c>
      <c r="H45" s="28">
        <f t="shared" si="2"/>
        <v>0.68306896551724139</v>
      </c>
      <c r="I45" s="28">
        <f t="shared" si="2"/>
        <v>0.5997058823529412</v>
      </c>
      <c r="J45" s="28">
        <f t="shared" si="2"/>
        <v>0.6305952380952381</v>
      </c>
      <c r="K45" s="28">
        <f t="shared" si="2"/>
        <v>0.80570175438596481</v>
      </c>
      <c r="L45" s="28">
        <f t="shared" si="2"/>
        <v>0.72007692307692306</v>
      </c>
      <c r="M45" s="30">
        <f t="shared" si="2"/>
        <v>1.0910000000000002</v>
      </c>
      <c r="N45" s="28">
        <f t="shared" si="2"/>
        <v>0.59226190476190477</v>
      </c>
      <c r="O45" s="28"/>
      <c r="P45" s="30">
        <f t="shared" si="2"/>
        <v>1.1181147540983607</v>
      </c>
      <c r="Q45" s="30">
        <f t="shared" si="2"/>
        <v>1.0984567901234568</v>
      </c>
      <c r="R45" s="28">
        <f t="shared" si="2"/>
        <v>0.98509523809523813</v>
      </c>
      <c r="S45" s="28"/>
      <c r="T45" s="28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>
      <c r="E46" s="1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>
      <c r="A47" s="5" t="s">
        <v>22</v>
      </c>
      <c r="E47" s="1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>
      <c r="A48" s="6" t="s">
        <v>11</v>
      </c>
      <c r="B48" s="5">
        <v>120</v>
      </c>
      <c r="C48" s="5">
        <v>96</v>
      </c>
      <c r="D48" s="5">
        <v>78</v>
      </c>
      <c r="E48" s="5">
        <v>104</v>
      </c>
      <c r="F48" s="5">
        <v>140</v>
      </c>
      <c r="G48" s="5">
        <v>139</v>
      </c>
      <c r="H48" s="5">
        <v>145</v>
      </c>
      <c r="I48" s="5">
        <v>153</v>
      </c>
      <c r="J48" s="5">
        <v>126</v>
      </c>
      <c r="K48" s="5">
        <v>57</v>
      </c>
      <c r="L48" s="5">
        <v>130</v>
      </c>
      <c r="N48" s="5">
        <v>168</v>
      </c>
      <c r="R48" s="5">
        <v>105</v>
      </c>
      <c r="T48" s="5">
        <f>SUM(B48:R48)</f>
        <v>1561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>
      <c r="A49" s="6" t="s">
        <v>4</v>
      </c>
      <c r="B49" s="5">
        <v>74.352999999999994</v>
      </c>
      <c r="C49" s="5">
        <v>65.739999999999995</v>
      </c>
      <c r="D49" s="5">
        <v>53.195</v>
      </c>
      <c r="E49" s="5">
        <v>79.734999999999999</v>
      </c>
      <c r="F49" s="5">
        <v>85.7</v>
      </c>
      <c r="G49" s="5">
        <v>96.444999999999993</v>
      </c>
      <c r="H49" s="5">
        <v>99.045000000000002</v>
      </c>
      <c r="I49" s="5">
        <v>91.754999999999995</v>
      </c>
      <c r="J49" s="5">
        <v>79.454999999999998</v>
      </c>
      <c r="K49" s="5">
        <v>45.924999999999997</v>
      </c>
      <c r="L49" s="5">
        <v>93.61</v>
      </c>
      <c r="N49" s="5">
        <v>99.5</v>
      </c>
      <c r="R49" s="5">
        <v>103.435</v>
      </c>
      <c r="T49" s="28">
        <f>SUM(B49:R49)</f>
        <v>1067.893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>
      <c r="A50" s="6" t="s">
        <v>5</v>
      </c>
      <c r="B50" s="5">
        <v>0.61960833333333332</v>
      </c>
      <c r="C50" s="5">
        <v>0.68479166666666658</v>
      </c>
      <c r="D50" s="5">
        <v>0.68198717948717946</v>
      </c>
      <c r="E50" s="5">
        <v>0.76668269230769226</v>
      </c>
      <c r="F50" s="5">
        <v>0.61214285714285721</v>
      </c>
      <c r="G50" s="5">
        <v>0.69384892086330929</v>
      </c>
      <c r="H50" s="5">
        <v>0.68306896551724139</v>
      </c>
      <c r="I50" s="5">
        <v>0.5997058823529412</v>
      </c>
      <c r="J50" s="5">
        <v>0.6305952380952381</v>
      </c>
      <c r="K50" s="5">
        <v>0.80570175438596481</v>
      </c>
      <c r="L50" s="5">
        <v>0.72007692307692306</v>
      </c>
      <c r="N50" s="5">
        <v>0.59226190476190477</v>
      </c>
      <c r="R50" s="5">
        <v>0.98509523809523813</v>
      </c>
      <c r="T50" s="28">
        <f>T49/T48</f>
        <v>0.68410826393337609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50"/>
  <sheetViews>
    <sheetView topLeftCell="E1" workbookViewId="0">
      <selection activeCell="AA48" sqref="AA48:AA50"/>
    </sheetView>
  </sheetViews>
  <sheetFormatPr defaultColWidth="9.109375" defaultRowHeight="14.4"/>
  <cols>
    <col min="1" max="1" width="7.88671875" style="6" customWidth="1"/>
    <col min="2" max="24" width="8.6640625" style="5" customWidth="1"/>
    <col min="25" max="16384" width="9.109375" style="6"/>
  </cols>
  <sheetData>
    <row r="1" spans="1:40" ht="1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40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40" s="7" customFormat="1" ht="15.6">
      <c r="A3" s="7" t="s">
        <v>9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8" t="s">
        <v>10</v>
      </c>
      <c r="I3" s="8" t="s">
        <v>10</v>
      </c>
      <c r="J3" s="8" t="s">
        <v>10</v>
      </c>
      <c r="K3" s="8" t="s">
        <v>10</v>
      </c>
      <c r="L3" s="8" t="s">
        <v>10</v>
      </c>
      <c r="M3" s="8" t="s">
        <v>10</v>
      </c>
      <c r="N3" s="8" t="s">
        <v>10</v>
      </c>
      <c r="O3" s="8" t="s">
        <v>10</v>
      </c>
      <c r="P3" s="8" t="s">
        <v>10</v>
      </c>
      <c r="Q3" s="8" t="s">
        <v>10</v>
      </c>
      <c r="R3" s="8" t="s">
        <v>10</v>
      </c>
      <c r="S3" s="8" t="s">
        <v>10</v>
      </c>
      <c r="T3" s="8" t="s">
        <v>10</v>
      </c>
      <c r="U3" s="8" t="s">
        <v>10</v>
      </c>
      <c r="V3" s="8" t="s">
        <v>10</v>
      </c>
      <c r="W3" s="8" t="s">
        <v>10</v>
      </c>
      <c r="X3" s="8" t="s">
        <v>10</v>
      </c>
      <c r="Y3" s="8" t="s">
        <v>10</v>
      </c>
      <c r="Z3" s="8"/>
      <c r="AA3" s="8" t="s">
        <v>18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s="11" customFormat="1">
      <c r="A4" s="9" t="s">
        <v>0</v>
      </c>
      <c r="B4" s="10">
        <v>40026</v>
      </c>
      <c r="C4" s="10">
        <v>40027</v>
      </c>
      <c r="D4" s="10">
        <v>40028</v>
      </c>
      <c r="E4" s="10">
        <v>40028</v>
      </c>
      <c r="F4" s="10">
        <v>40030</v>
      </c>
      <c r="G4" s="10">
        <v>40030</v>
      </c>
      <c r="H4" s="10">
        <v>40031</v>
      </c>
      <c r="I4" s="10">
        <v>40033</v>
      </c>
      <c r="J4" s="10">
        <v>40033</v>
      </c>
      <c r="K4" s="10">
        <v>40033</v>
      </c>
      <c r="L4" s="10">
        <v>40034</v>
      </c>
      <c r="M4" s="10">
        <v>40035</v>
      </c>
      <c r="N4" s="10">
        <v>40036</v>
      </c>
      <c r="O4" s="10">
        <v>40036</v>
      </c>
      <c r="P4" s="10">
        <v>40040</v>
      </c>
      <c r="Q4" s="10">
        <v>40042</v>
      </c>
      <c r="R4" s="10">
        <v>40043</v>
      </c>
      <c r="S4" s="10">
        <v>40044</v>
      </c>
      <c r="T4" s="10">
        <v>40045</v>
      </c>
      <c r="U4" s="10">
        <v>40046</v>
      </c>
      <c r="V4" s="10">
        <v>40047</v>
      </c>
      <c r="W4" s="10">
        <v>40047</v>
      </c>
      <c r="X4" s="10">
        <v>40048</v>
      </c>
      <c r="Y4" s="10">
        <v>40048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40" s="14" customFormat="1">
      <c r="A5" s="22" t="s">
        <v>1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40" s="19" customFormat="1">
      <c r="A6" s="16" t="s">
        <v>2</v>
      </c>
      <c r="B6" s="23">
        <v>19</v>
      </c>
      <c r="C6" s="23">
        <v>20</v>
      </c>
      <c r="D6" s="23">
        <v>21</v>
      </c>
      <c r="E6" s="23">
        <v>22</v>
      </c>
      <c r="F6" s="23">
        <v>23</v>
      </c>
      <c r="G6" s="23">
        <v>24</v>
      </c>
      <c r="H6" s="23">
        <v>25</v>
      </c>
      <c r="I6" s="23">
        <v>27</v>
      </c>
      <c r="J6" s="23">
        <v>28</v>
      </c>
      <c r="K6" s="23">
        <v>29</v>
      </c>
      <c r="L6" s="23">
        <v>30</v>
      </c>
      <c r="M6" s="23">
        <v>32</v>
      </c>
      <c r="N6" s="23">
        <v>34</v>
      </c>
      <c r="O6" s="23">
        <v>35</v>
      </c>
      <c r="P6" s="17">
        <v>38</v>
      </c>
      <c r="Q6" s="17">
        <v>41</v>
      </c>
      <c r="R6" s="17">
        <v>43</v>
      </c>
      <c r="S6" s="17">
        <v>45</v>
      </c>
      <c r="T6" s="17">
        <v>47</v>
      </c>
      <c r="U6" s="17">
        <v>48</v>
      </c>
      <c r="V6" s="17">
        <v>49</v>
      </c>
      <c r="W6" s="17">
        <v>50</v>
      </c>
      <c r="X6" s="17">
        <v>51</v>
      </c>
      <c r="Y6" s="17">
        <v>52</v>
      </c>
      <c r="Z6" s="18"/>
      <c r="AA6" s="18"/>
      <c r="AB6" s="18"/>
      <c r="AC6" s="17"/>
      <c r="AD6" s="17"/>
      <c r="AE6" s="18"/>
      <c r="AF6" s="18"/>
      <c r="AG6" s="18"/>
      <c r="AH6" s="18"/>
      <c r="AI6" s="17"/>
      <c r="AJ6" s="18"/>
      <c r="AK6" s="18"/>
      <c r="AL6" s="18"/>
      <c r="AM6" s="18"/>
      <c r="AN6" s="18"/>
    </row>
    <row r="7" spans="1:40">
      <c r="A7" s="2">
        <v>20</v>
      </c>
      <c r="H7" s="15"/>
      <c r="I7" s="15"/>
      <c r="J7" s="15"/>
      <c r="P7" s="15"/>
      <c r="T7" s="15"/>
      <c r="Y7" s="15"/>
      <c r="Z7" s="5"/>
      <c r="AA7" s="5">
        <f>SUM(B7:Y7)</f>
        <v>0</v>
      </c>
      <c r="AB7" s="5"/>
      <c r="AC7" s="15"/>
      <c r="AD7" s="15"/>
      <c r="AE7" s="5"/>
      <c r="AF7" s="5"/>
      <c r="AG7" s="5"/>
      <c r="AH7" s="15"/>
      <c r="AI7" s="15"/>
      <c r="AJ7" s="5"/>
      <c r="AK7" s="5"/>
      <c r="AL7" s="5"/>
    </row>
    <row r="8" spans="1:40">
      <c r="A8" s="2">
        <v>21</v>
      </c>
      <c r="H8" s="15"/>
      <c r="I8" s="15"/>
      <c r="J8" s="15"/>
      <c r="P8" s="15"/>
      <c r="T8" s="15"/>
      <c r="Y8" s="15"/>
      <c r="Z8" s="5"/>
      <c r="AA8" s="5">
        <f t="shared" ref="AA8:AA42" si="0">SUM(B8:Y8)</f>
        <v>0</v>
      </c>
      <c r="AB8" s="5"/>
      <c r="AC8" s="15"/>
      <c r="AD8" s="15"/>
      <c r="AE8" s="5"/>
      <c r="AF8" s="5"/>
      <c r="AG8" s="5"/>
      <c r="AH8" s="15"/>
      <c r="AI8" s="15"/>
      <c r="AJ8" s="5"/>
      <c r="AK8" s="5"/>
      <c r="AL8" s="5"/>
    </row>
    <row r="9" spans="1:40">
      <c r="A9" s="2">
        <v>22</v>
      </c>
      <c r="H9" s="15"/>
      <c r="I9" s="15"/>
      <c r="J9" s="15"/>
      <c r="P9" s="15"/>
      <c r="T9" s="15"/>
      <c r="Y9" s="15"/>
      <c r="Z9" s="5"/>
      <c r="AA9" s="5">
        <f t="shared" si="0"/>
        <v>0</v>
      </c>
      <c r="AB9" s="5"/>
      <c r="AC9" s="15"/>
      <c r="AD9" s="15"/>
      <c r="AE9" s="5"/>
      <c r="AF9" s="5"/>
      <c r="AG9" s="5"/>
      <c r="AH9" s="15"/>
      <c r="AI9" s="15"/>
      <c r="AJ9" s="5"/>
      <c r="AK9" s="5"/>
      <c r="AL9" s="5"/>
    </row>
    <row r="10" spans="1:40">
      <c r="A10" s="2">
        <v>23</v>
      </c>
      <c r="H10" s="15"/>
      <c r="I10" s="15"/>
      <c r="J10" s="15"/>
      <c r="P10" s="15"/>
      <c r="T10" s="15"/>
      <c r="Y10" s="15"/>
      <c r="Z10" s="5"/>
      <c r="AA10" s="5">
        <f t="shared" si="0"/>
        <v>0</v>
      </c>
      <c r="AB10" s="5"/>
      <c r="AC10" s="15"/>
      <c r="AD10" s="15"/>
      <c r="AE10" s="5"/>
      <c r="AF10" s="5"/>
      <c r="AG10" s="5"/>
      <c r="AH10" s="15"/>
      <c r="AI10" s="15"/>
      <c r="AJ10" s="5"/>
      <c r="AK10" s="5"/>
      <c r="AL10" s="5"/>
    </row>
    <row r="11" spans="1:40">
      <c r="A11" s="2">
        <v>24</v>
      </c>
      <c r="H11" s="15"/>
      <c r="I11" s="15"/>
      <c r="J11" s="15"/>
      <c r="P11" s="15"/>
      <c r="T11" s="15"/>
      <c r="Y11" s="15"/>
      <c r="Z11" s="5"/>
      <c r="AA11" s="5">
        <f t="shared" si="0"/>
        <v>0</v>
      </c>
      <c r="AB11" s="5"/>
      <c r="AC11" s="15"/>
      <c r="AD11" s="15"/>
      <c r="AE11" s="5"/>
      <c r="AF11" s="5"/>
      <c r="AG11" s="5"/>
      <c r="AH11" s="15"/>
      <c r="AI11" s="15"/>
      <c r="AJ11" s="5"/>
      <c r="AK11" s="5"/>
      <c r="AL11" s="5"/>
    </row>
    <row r="12" spans="1:40">
      <c r="A12" s="2">
        <v>25</v>
      </c>
      <c r="H12" s="15"/>
      <c r="I12" s="15"/>
      <c r="J12" s="15"/>
      <c r="P12" s="15"/>
      <c r="T12" s="15"/>
      <c r="Y12" s="15"/>
      <c r="Z12" s="5"/>
      <c r="AA12" s="5">
        <f t="shared" si="0"/>
        <v>0</v>
      </c>
      <c r="AB12" s="5"/>
      <c r="AC12" s="15"/>
      <c r="AD12" s="15"/>
      <c r="AE12" s="5"/>
      <c r="AF12" s="5"/>
      <c r="AG12" s="5"/>
      <c r="AH12" s="15"/>
      <c r="AI12" s="15"/>
      <c r="AJ12" s="5"/>
      <c r="AK12" s="5"/>
      <c r="AL12" s="5"/>
    </row>
    <row r="13" spans="1:40">
      <c r="A13" s="2">
        <v>26</v>
      </c>
      <c r="H13" s="15"/>
      <c r="I13" s="15"/>
      <c r="J13" s="15"/>
      <c r="P13" s="15"/>
      <c r="T13" s="15"/>
      <c r="Y13" s="15"/>
      <c r="Z13" s="5"/>
      <c r="AA13" s="5">
        <f t="shared" si="0"/>
        <v>0</v>
      </c>
      <c r="AB13" s="5"/>
      <c r="AC13" s="15"/>
      <c r="AD13" s="15"/>
      <c r="AE13" s="5"/>
      <c r="AF13" s="5"/>
      <c r="AG13" s="5"/>
      <c r="AH13" s="15"/>
      <c r="AI13" s="15"/>
      <c r="AJ13" s="5"/>
      <c r="AK13" s="5"/>
      <c r="AL13" s="5"/>
    </row>
    <row r="14" spans="1:40">
      <c r="A14" s="2">
        <v>27</v>
      </c>
      <c r="H14" s="15"/>
      <c r="I14" s="15"/>
      <c r="J14" s="15"/>
      <c r="P14" s="15"/>
      <c r="T14" s="15"/>
      <c r="Y14" s="15"/>
      <c r="Z14" s="5"/>
      <c r="AA14" s="5">
        <f t="shared" si="0"/>
        <v>0</v>
      </c>
      <c r="AB14" s="5"/>
      <c r="AC14" s="15"/>
      <c r="AD14" s="15"/>
      <c r="AE14" s="5"/>
      <c r="AF14" s="5"/>
      <c r="AG14" s="5"/>
      <c r="AH14" s="15"/>
      <c r="AI14" s="15"/>
      <c r="AJ14" s="5"/>
      <c r="AK14" s="5"/>
      <c r="AL14" s="5"/>
    </row>
    <row r="15" spans="1:40">
      <c r="A15" s="2">
        <v>28</v>
      </c>
      <c r="H15" s="15"/>
      <c r="I15" s="15"/>
      <c r="J15" s="15"/>
      <c r="P15" s="15"/>
      <c r="T15" s="15"/>
      <c r="Y15" s="15"/>
      <c r="Z15" s="5"/>
      <c r="AA15" s="5">
        <f t="shared" si="0"/>
        <v>0</v>
      </c>
      <c r="AB15" s="5"/>
      <c r="AC15" s="15"/>
      <c r="AD15" s="15"/>
      <c r="AE15" s="5"/>
      <c r="AF15" s="5"/>
      <c r="AG15" s="5"/>
      <c r="AH15" s="15"/>
      <c r="AI15" s="15"/>
      <c r="AJ15" s="5"/>
      <c r="AK15" s="5"/>
      <c r="AL15" s="5"/>
    </row>
    <row r="16" spans="1:40">
      <c r="A16" s="2">
        <v>29</v>
      </c>
      <c r="Y16" s="5"/>
      <c r="Z16" s="5"/>
      <c r="AA16" s="5">
        <f t="shared" si="0"/>
        <v>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>
      <c r="A17" s="2">
        <v>30</v>
      </c>
      <c r="Y17" s="5"/>
      <c r="Z17" s="5"/>
      <c r="AA17" s="5">
        <f t="shared" si="0"/>
        <v>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>
      <c r="A18" s="2">
        <v>31</v>
      </c>
      <c r="Y18" s="5"/>
      <c r="Z18" s="5"/>
      <c r="AA18" s="5">
        <f t="shared" si="0"/>
        <v>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>
      <c r="A19" s="2">
        <v>32</v>
      </c>
      <c r="Y19" s="5"/>
      <c r="Z19" s="5"/>
      <c r="AA19" s="5">
        <f t="shared" si="0"/>
        <v>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>
      <c r="A20" s="2">
        <v>33</v>
      </c>
      <c r="F20" s="5">
        <v>1</v>
      </c>
      <c r="L20" s="5">
        <v>2</v>
      </c>
      <c r="O20" s="5">
        <v>1</v>
      </c>
      <c r="Q20" s="5">
        <v>2</v>
      </c>
      <c r="S20" s="5">
        <v>1</v>
      </c>
      <c r="X20" s="5">
        <v>1</v>
      </c>
      <c r="Y20" s="5">
        <v>2</v>
      </c>
      <c r="Z20" s="5"/>
      <c r="AA20" s="5">
        <f t="shared" si="0"/>
        <v>10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>
      <c r="A21" s="2">
        <v>34</v>
      </c>
      <c r="C21" s="5">
        <v>1</v>
      </c>
      <c r="D21" s="5">
        <v>1</v>
      </c>
      <c r="F21" s="5">
        <v>6</v>
      </c>
      <c r="G21" s="5">
        <v>4</v>
      </c>
      <c r="H21" s="5">
        <v>7</v>
      </c>
      <c r="I21" s="5">
        <v>6</v>
      </c>
      <c r="J21" s="5">
        <v>3</v>
      </c>
      <c r="K21" s="5">
        <v>5</v>
      </c>
      <c r="L21" s="5">
        <v>10</v>
      </c>
      <c r="M21" s="5">
        <v>8</v>
      </c>
      <c r="N21" s="5">
        <v>2</v>
      </c>
      <c r="O21" s="5">
        <v>8</v>
      </c>
      <c r="P21" s="5">
        <v>12</v>
      </c>
      <c r="Q21" s="5">
        <v>9</v>
      </c>
      <c r="R21" s="5">
        <v>11</v>
      </c>
      <c r="S21" s="5">
        <v>11</v>
      </c>
      <c r="T21" s="5">
        <v>26</v>
      </c>
      <c r="U21" s="5">
        <v>5</v>
      </c>
      <c r="V21" s="5">
        <v>11</v>
      </c>
      <c r="W21" s="5">
        <v>7</v>
      </c>
      <c r="X21" s="5">
        <v>9</v>
      </c>
      <c r="Y21" s="5">
        <v>10</v>
      </c>
      <c r="Z21" s="5"/>
      <c r="AA21" s="5">
        <f t="shared" si="0"/>
        <v>172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>
      <c r="A22" s="2">
        <v>35</v>
      </c>
      <c r="C22" s="5">
        <v>2</v>
      </c>
      <c r="D22" s="5">
        <v>2</v>
      </c>
      <c r="E22" s="5">
        <v>6</v>
      </c>
      <c r="F22" s="5">
        <v>22</v>
      </c>
      <c r="G22" s="5">
        <v>21</v>
      </c>
      <c r="H22" s="5">
        <v>16</v>
      </c>
      <c r="I22" s="5">
        <v>15</v>
      </c>
      <c r="J22" s="5">
        <v>7</v>
      </c>
      <c r="K22" s="5">
        <v>18</v>
      </c>
      <c r="L22" s="5">
        <v>24</v>
      </c>
      <c r="M22" s="5">
        <v>20</v>
      </c>
      <c r="N22" s="5">
        <v>24</v>
      </c>
      <c r="O22" s="5">
        <v>15</v>
      </c>
      <c r="P22" s="5">
        <v>26</v>
      </c>
      <c r="Q22" s="5">
        <v>37</v>
      </c>
      <c r="R22" s="5">
        <v>27</v>
      </c>
      <c r="S22" s="5">
        <v>22</v>
      </c>
      <c r="T22" s="5">
        <v>46</v>
      </c>
      <c r="U22" s="5">
        <v>31</v>
      </c>
      <c r="V22" s="5">
        <v>35</v>
      </c>
      <c r="W22" s="5">
        <v>31</v>
      </c>
      <c r="X22" s="5">
        <v>26</v>
      </c>
      <c r="Y22" s="5">
        <v>29</v>
      </c>
      <c r="Z22" s="5"/>
      <c r="AA22" s="5">
        <f t="shared" si="0"/>
        <v>502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>
      <c r="A23" s="2">
        <v>36</v>
      </c>
      <c r="C23" s="5">
        <v>7</v>
      </c>
      <c r="D23" s="5">
        <v>10</v>
      </c>
      <c r="E23" s="5">
        <v>15</v>
      </c>
      <c r="F23" s="5">
        <v>27</v>
      </c>
      <c r="G23" s="5">
        <v>17</v>
      </c>
      <c r="H23" s="5">
        <v>24</v>
      </c>
      <c r="I23" s="5">
        <v>21</v>
      </c>
      <c r="J23" s="5">
        <v>11</v>
      </c>
      <c r="K23" s="5">
        <v>20</v>
      </c>
      <c r="L23" s="5">
        <v>13</v>
      </c>
      <c r="M23" s="5">
        <v>21</v>
      </c>
      <c r="N23" s="5">
        <v>35</v>
      </c>
      <c r="O23" s="5">
        <v>9</v>
      </c>
      <c r="P23" s="5">
        <v>20</v>
      </c>
      <c r="Q23" s="5">
        <v>26</v>
      </c>
      <c r="R23" s="5">
        <v>28</v>
      </c>
      <c r="S23" s="5">
        <v>34</v>
      </c>
      <c r="T23" s="5">
        <v>44</v>
      </c>
      <c r="U23" s="5">
        <v>34</v>
      </c>
      <c r="V23" s="5">
        <v>36</v>
      </c>
      <c r="W23" s="5">
        <v>31</v>
      </c>
      <c r="X23" s="5">
        <v>26</v>
      </c>
      <c r="Y23" s="5">
        <v>23</v>
      </c>
      <c r="Z23" s="5"/>
      <c r="AA23" s="5">
        <f t="shared" si="0"/>
        <v>532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>
      <c r="A24" s="2">
        <v>37</v>
      </c>
      <c r="C24" s="5">
        <v>5</v>
      </c>
      <c r="D24" s="5">
        <v>18</v>
      </c>
      <c r="E24" s="5">
        <v>15</v>
      </c>
      <c r="F24" s="5">
        <v>13</v>
      </c>
      <c r="G24" s="5">
        <v>15</v>
      </c>
      <c r="H24" s="5">
        <v>28</v>
      </c>
      <c r="I24" s="5">
        <v>24</v>
      </c>
      <c r="J24" s="5">
        <v>5</v>
      </c>
      <c r="K24" s="5">
        <v>20</v>
      </c>
      <c r="L24" s="5">
        <v>27</v>
      </c>
      <c r="M24" s="5">
        <v>12</v>
      </c>
      <c r="N24" s="5">
        <v>20</v>
      </c>
      <c r="O24" s="5">
        <v>10</v>
      </c>
      <c r="P24" s="5">
        <v>12</v>
      </c>
      <c r="Q24" s="5">
        <v>16</v>
      </c>
      <c r="R24" s="5">
        <v>16</v>
      </c>
      <c r="S24" s="5">
        <v>26</v>
      </c>
      <c r="T24" s="5">
        <v>29</v>
      </c>
      <c r="U24" s="5">
        <v>32</v>
      </c>
      <c r="V24" s="5">
        <v>28</v>
      </c>
      <c r="W24" s="5">
        <v>19</v>
      </c>
      <c r="X24" s="5">
        <v>18</v>
      </c>
      <c r="Y24" s="5">
        <v>18</v>
      </c>
      <c r="Z24" s="5"/>
      <c r="AA24" s="5">
        <f t="shared" si="0"/>
        <v>426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>
      <c r="A25" s="2">
        <v>38</v>
      </c>
      <c r="C25" s="5">
        <v>9</v>
      </c>
      <c r="D25" s="5">
        <v>14</v>
      </c>
      <c r="E25" s="5">
        <v>14</v>
      </c>
      <c r="F25" s="5">
        <v>14</v>
      </c>
      <c r="G25" s="5">
        <v>16</v>
      </c>
      <c r="H25" s="5">
        <v>18</v>
      </c>
      <c r="I25" s="5">
        <v>12</v>
      </c>
      <c r="J25" s="5">
        <v>12</v>
      </c>
      <c r="K25" s="5">
        <v>7</v>
      </c>
      <c r="L25" s="5">
        <v>18</v>
      </c>
      <c r="M25" s="5">
        <v>18</v>
      </c>
      <c r="N25" s="5">
        <v>16</v>
      </c>
      <c r="O25" s="5">
        <v>6</v>
      </c>
      <c r="P25" s="5">
        <v>13</v>
      </c>
      <c r="Q25" s="5">
        <v>9</v>
      </c>
      <c r="R25" s="5">
        <v>6</v>
      </c>
      <c r="S25" s="5">
        <v>18</v>
      </c>
      <c r="T25" s="5">
        <v>12</v>
      </c>
      <c r="U25" s="5">
        <v>23</v>
      </c>
      <c r="V25" s="5">
        <v>26</v>
      </c>
      <c r="W25" s="5">
        <v>19</v>
      </c>
      <c r="X25" s="5">
        <v>17</v>
      </c>
      <c r="Y25" s="5">
        <v>20</v>
      </c>
      <c r="Z25" s="5"/>
      <c r="AA25" s="5">
        <f t="shared" si="0"/>
        <v>337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>
      <c r="A26" s="2">
        <v>39</v>
      </c>
      <c r="C26" s="5">
        <v>14</v>
      </c>
      <c r="D26" s="5">
        <v>9</v>
      </c>
      <c r="E26" s="5">
        <v>19</v>
      </c>
      <c r="F26" s="5">
        <v>8</v>
      </c>
      <c r="G26" s="5">
        <v>11</v>
      </c>
      <c r="H26" s="5">
        <v>11</v>
      </c>
      <c r="I26" s="5">
        <v>8</v>
      </c>
      <c r="J26" s="5">
        <v>10</v>
      </c>
      <c r="K26" s="5">
        <v>7</v>
      </c>
      <c r="L26" s="5">
        <v>15</v>
      </c>
      <c r="M26" s="5">
        <v>11</v>
      </c>
      <c r="N26" s="5">
        <v>7</v>
      </c>
      <c r="O26" s="5">
        <v>6</v>
      </c>
      <c r="P26" s="5">
        <v>13</v>
      </c>
      <c r="Q26" s="5">
        <v>4</v>
      </c>
      <c r="R26" s="5">
        <v>14</v>
      </c>
      <c r="S26" s="5">
        <v>12</v>
      </c>
      <c r="T26" s="5">
        <v>10</v>
      </c>
      <c r="U26" s="5">
        <v>12</v>
      </c>
      <c r="V26" s="5">
        <v>19</v>
      </c>
      <c r="W26" s="5">
        <v>16</v>
      </c>
      <c r="X26" s="5">
        <v>17</v>
      </c>
      <c r="Y26" s="5">
        <v>8</v>
      </c>
      <c r="Z26" s="5"/>
      <c r="AA26" s="5">
        <f t="shared" si="0"/>
        <v>261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>
      <c r="A27" s="2">
        <v>40</v>
      </c>
      <c r="C27" s="5">
        <v>15</v>
      </c>
      <c r="D27" s="5">
        <v>11</v>
      </c>
      <c r="E27" s="5">
        <v>11</v>
      </c>
      <c r="F27" s="5">
        <v>9</v>
      </c>
      <c r="G27" s="5">
        <v>8</v>
      </c>
      <c r="H27" s="5">
        <v>9</v>
      </c>
      <c r="I27" s="5">
        <v>11</v>
      </c>
      <c r="J27" s="5">
        <v>13</v>
      </c>
      <c r="K27" s="5">
        <v>8</v>
      </c>
      <c r="L27" s="5">
        <v>10</v>
      </c>
      <c r="M27" s="5">
        <v>4</v>
      </c>
      <c r="N27" s="5">
        <v>5</v>
      </c>
      <c r="P27" s="5">
        <v>6</v>
      </c>
      <c r="Q27" s="5">
        <v>7</v>
      </c>
      <c r="R27" s="5">
        <v>5</v>
      </c>
      <c r="S27" s="5">
        <v>7</v>
      </c>
      <c r="T27" s="5">
        <v>3</v>
      </c>
      <c r="U27" s="5">
        <v>9</v>
      </c>
      <c r="V27" s="5">
        <v>14</v>
      </c>
      <c r="W27" s="5">
        <v>6</v>
      </c>
      <c r="X27" s="5">
        <v>11</v>
      </c>
      <c r="Y27" s="5">
        <v>7</v>
      </c>
      <c r="Z27" s="5"/>
      <c r="AA27" s="5">
        <f t="shared" si="0"/>
        <v>189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>
      <c r="A28" s="2">
        <v>41</v>
      </c>
      <c r="C28" s="5">
        <v>9</v>
      </c>
      <c r="D28" s="5">
        <v>19</v>
      </c>
      <c r="E28" s="5">
        <v>9</v>
      </c>
      <c r="F28" s="5">
        <v>3</v>
      </c>
      <c r="G28" s="5">
        <v>13</v>
      </c>
      <c r="H28" s="5">
        <v>10</v>
      </c>
      <c r="I28" s="5">
        <v>6</v>
      </c>
      <c r="J28" s="5">
        <v>6</v>
      </c>
      <c r="K28" s="5">
        <v>12</v>
      </c>
      <c r="L28" s="5">
        <v>12</v>
      </c>
      <c r="M28" s="5">
        <v>8</v>
      </c>
      <c r="N28" s="5">
        <v>6</v>
      </c>
      <c r="O28" s="5">
        <v>1</v>
      </c>
      <c r="P28" s="5">
        <v>6</v>
      </c>
      <c r="Q28" s="5">
        <v>5</v>
      </c>
      <c r="R28" s="5">
        <v>5</v>
      </c>
      <c r="S28" s="5">
        <v>6</v>
      </c>
      <c r="T28" s="5">
        <v>1</v>
      </c>
      <c r="U28" s="5">
        <v>9</v>
      </c>
      <c r="V28" s="5">
        <v>6</v>
      </c>
      <c r="W28" s="5">
        <v>4</v>
      </c>
      <c r="X28" s="5">
        <v>6</v>
      </c>
      <c r="Y28" s="5">
        <v>2</v>
      </c>
      <c r="Z28" s="5"/>
      <c r="AA28" s="5">
        <f t="shared" si="0"/>
        <v>164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>
      <c r="A29" s="2">
        <v>42</v>
      </c>
      <c r="C29" s="5">
        <v>5</v>
      </c>
      <c r="D29" s="5">
        <v>4</v>
      </c>
      <c r="E29" s="5">
        <v>10</v>
      </c>
      <c r="F29" s="5">
        <v>4</v>
      </c>
      <c r="G29" s="5">
        <v>4</v>
      </c>
      <c r="H29" s="5">
        <v>4</v>
      </c>
      <c r="I29" s="5">
        <v>7</v>
      </c>
      <c r="J29" s="5">
        <v>4</v>
      </c>
      <c r="K29" s="5">
        <v>6</v>
      </c>
      <c r="L29" s="5">
        <v>5</v>
      </c>
      <c r="M29" s="5">
        <v>2</v>
      </c>
      <c r="N29" s="5">
        <v>4</v>
      </c>
      <c r="O29" s="5">
        <v>1</v>
      </c>
      <c r="P29" s="5">
        <v>5</v>
      </c>
      <c r="R29" s="5">
        <v>3</v>
      </c>
      <c r="S29" s="5">
        <v>3</v>
      </c>
      <c r="T29" s="5">
        <v>6</v>
      </c>
      <c r="U29" s="5">
        <v>2</v>
      </c>
      <c r="V29" s="5">
        <v>5</v>
      </c>
      <c r="W29" s="5">
        <v>3</v>
      </c>
      <c r="X29" s="5">
        <v>3</v>
      </c>
      <c r="Y29" s="5">
        <v>2</v>
      </c>
      <c r="Z29" s="5"/>
      <c r="AA29" s="5">
        <f t="shared" si="0"/>
        <v>92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>
      <c r="A30" s="2">
        <v>43</v>
      </c>
      <c r="C30" s="5">
        <v>13</v>
      </c>
      <c r="D30" s="5">
        <v>11</v>
      </c>
      <c r="E30" s="5">
        <v>12</v>
      </c>
      <c r="F30" s="5">
        <v>2</v>
      </c>
      <c r="G30" s="5">
        <v>4</v>
      </c>
      <c r="H30" s="5">
        <v>3</v>
      </c>
      <c r="I30" s="5">
        <v>6</v>
      </c>
      <c r="J30" s="5">
        <v>9</v>
      </c>
      <c r="K30" s="5">
        <v>7</v>
      </c>
      <c r="L30" s="5">
        <v>5</v>
      </c>
      <c r="M30" s="5">
        <v>3</v>
      </c>
      <c r="N30" s="5">
        <v>2</v>
      </c>
      <c r="P30" s="5">
        <v>5</v>
      </c>
      <c r="Q30" s="5">
        <v>1</v>
      </c>
      <c r="R30" s="5">
        <v>3</v>
      </c>
      <c r="S30" s="5">
        <v>4</v>
      </c>
      <c r="T30" s="5">
        <v>2</v>
      </c>
      <c r="U30" s="5">
        <v>2</v>
      </c>
      <c r="V30" s="5">
        <v>1</v>
      </c>
      <c r="W30" s="5">
        <v>1</v>
      </c>
      <c r="X30" s="5">
        <v>1</v>
      </c>
      <c r="Y30" s="5">
        <v>1</v>
      </c>
      <c r="Z30" s="5"/>
      <c r="AA30" s="5">
        <f t="shared" si="0"/>
        <v>98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>
      <c r="A31" s="2">
        <v>44</v>
      </c>
      <c r="C31" s="5">
        <v>6</v>
      </c>
      <c r="D31" s="5">
        <v>6</v>
      </c>
      <c r="E31" s="5">
        <v>8</v>
      </c>
      <c r="F31" s="5">
        <v>4</v>
      </c>
      <c r="G31" s="5">
        <v>1</v>
      </c>
      <c r="H31" s="5">
        <v>3</v>
      </c>
      <c r="I31" s="5">
        <v>1</v>
      </c>
      <c r="J31" s="5">
        <v>7</v>
      </c>
      <c r="K31" s="5">
        <v>4</v>
      </c>
      <c r="L31" s="5">
        <v>3</v>
      </c>
      <c r="M31" s="5">
        <v>3</v>
      </c>
      <c r="N31" s="5">
        <v>1</v>
      </c>
      <c r="P31" s="5">
        <v>5</v>
      </c>
      <c r="Q31" s="5">
        <v>1</v>
      </c>
      <c r="R31" s="5">
        <v>2</v>
      </c>
      <c r="T31" s="5">
        <v>1</v>
      </c>
      <c r="U31" s="5">
        <v>1</v>
      </c>
      <c r="V31" s="5">
        <v>2</v>
      </c>
      <c r="X31" s="5">
        <v>2</v>
      </c>
      <c r="Y31" s="5">
        <v>1</v>
      </c>
      <c r="Z31" s="5"/>
      <c r="AA31" s="5">
        <f t="shared" si="0"/>
        <v>62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>
      <c r="A32" s="2">
        <v>45</v>
      </c>
      <c r="C32" s="5">
        <v>8</v>
      </c>
      <c r="D32" s="5">
        <v>7</v>
      </c>
      <c r="E32" s="5">
        <v>7</v>
      </c>
      <c r="G32" s="5">
        <v>3</v>
      </c>
      <c r="H32" s="5">
        <v>5</v>
      </c>
      <c r="I32" s="5">
        <v>3</v>
      </c>
      <c r="J32" s="5">
        <v>8</v>
      </c>
      <c r="K32" s="5">
        <v>4</v>
      </c>
      <c r="L32" s="5">
        <v>1</v>
      </c>
      <c r="M32" s="5">
        <v>1</v>
      </c>
      <c r="N32" s="5">
        <v>2</v>
      </c>
      <c r="O32" s="5">
        <v>1</v>
      </c>
      <c r="P32" s="5">
        <v>4</v>
      </c>
      <c r="R32" s="5">
        <v>1</v>
      </c>
      <c r="S32" s="5">
        <v>2</v>
      </c>
      <c r="W32" s="5">
        <v>3</v>
      </c>
      <c r="X32" s="5">
        <v>2</v>
      </c>
      <c r="Y32" s="5"/>
      <c r="Z32" s="5"/>
      <c r="AA32" s="5">
        <f t="shared" si="0"/>
        <v>62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>
      <c r="A33" s="2">
        <v>46</v>
      </c>
      <c r="C33" s="5">
        <v>0</v>
      </c>
      <c r="D33" s="5">
        <v>3</v>
      </c>
      <c r="E33" s="5">
        <v>5</v>
      </c>
      <c r="F33" s="5">
        <v>1</v>
      </c>
      <c r="G33" s="5">
        <v>2</v>
      </c>
      <c r="I33" s="5">
        <v>4</v>
      </c>
      <c r="J33" s="5">
        <v>1</v>
      </c>
      <c r="K33" s="5">
        <v>1</v>
      </c>
      <c r="L33" s="5">
        <v>2</v>
      </c>
      <c r="M33" s="5">
        <v>2</v>
      </c>
      <c r="N33" s="5">
        <v>1</v>
      </c>
      <c r="P33" s="5">
        <v>4</v>
      </c>
      <c r="Q33" s="5">
        <v>1</v>
      </c>
      <c r="S33" s="5">
        <v>1</v>
      </c>
      <c r="T33" s="5">
        <v>1</v>
      </c>
      <c r="U33" s="5">
        <v>2</v>
      </c>
      <c r="W33" s="5">
        <v>3</v>
      </c>
      <c r="X33" s="5">
        <v>1</v>
      </c>
      <c r="Y33" s="5"/>
      <c r="Z33" s="5"/>
      <c r="AA33" s="5">
        <f t="shared" si="0"/>
        <v>35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>
      <c r="A34" s="2">
        <v>47</v>
      </c>
      <c r="C34" s="5">
        <v>5</v>
      </c>
      <c r="E34" s="5">
        <v>7</v>
      </c>
      <c r="F34" s="5">
        <v>1</v>
      </c>
      <c r="G34" s="5">
        <v>1</v>
      </c>
      <c r="H34" s="5">
        <v>5</v>
      </c>
      <c r="I34" s="5">
        <v>4</v>
      </c>
      <c r="J34" s="5">
        <v>4</v>
      </c>
      <c r="K34" s="5">
        <v>5</v>
      </c>
      <c r="L34" s="5">
        <v>1</v>
      </c>
      <c r="M34" s="5">
        <v>2</v>
      </c>
      <c r="N34" s="5">
        <v>1</v>
      </c>
      <c r="P34" s="5">
        <v>1</v>
      </c>
      <c r="S34" s="5">
        <v>1</v>
      </c>
      <c r="W34" s="5">
        <v>1</v>
      </c>
      <c r="Y34" s="5"/>
      <c r="Z34" s="5"/>
      <c r="AA34" s="5">
        <f t="shared" si="0"/>
        <v>39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>
      <c r="A35" s="2">
        <v>48</v>
      </c>
      <c r="C35" s="5">
        <v>4</v>
      </c>
      <c r="D35" s="5">
        <v>4</v>
      </c>
      <c r="E35" s="5">
        <v>1</v>
      </c>
      <c r="H35" s="5">
        <v>3</v>
      </c>
      <c r="I35" s="5">
        <v>4</v>
      </c>
      <c r="J35" s="5">
        <v>4</v>
      </c>
      <c r="K35" s="5">
        <v>2</v>
      </c>
      <c r="M35" s="5">
        <v>1</v>
      </c>
      <c r="N35" s="5">
        <v>3</v>
      </c>
      <c r="P35" s="5">
        <v>2</v>
      </c>
      <c r="S35" s="5">
        <v>1</v>
      </c>
      <c r="T35" s="5">
        <v>1</v>
      </c>
      <c r="V35" s="5">
        <v>2</v>
      </c>
      <c r="Y35" s="5"/>
      <c r="Z35" s="5"/>
      <c r="AA35" s="5">
        <f t="shared" si="0"/>
        <v>32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>
      <c r="A36" s="2">
        <v>49</v>
      </c>
      <c r="C36" s="5">
        <v>1</v>
      </c>
      <c r="D36" s="5">
        <v>2</v>
      </c>
      <c r="E36" s="5">
        <v>1</v>
      </c>
      <c r="F36" s="5">
        <v>1</v>
      </c>
      <c r="H36" s="5">
        <v>1</v>
      </c>
      <c r="I36" s="5">
        <v>1</v>
      </c>
      <c r="J36" s="5">
        <v>1</v>
      </c>
      <c r="K36" s="5">
        <v>1</v>
      </c>
      <c r="M36" s="5">
        <v>2</v>
      </c>
      <c r="N36" s="5">
        <v>1</v>
      </c>
      <c r="Q36" s="5">
        <v>1</v>
      </c>
      <c r="R36" s="5">
        <v>1</v>
      </c>
      <c r="Y36" s="5"/>
      <c r="Z36" s="5"/>
      <c r="AA36" s="5">
        <f t="shared" si="0"/>
        <v>14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>
      <c r="A37" s="2">
        <v>50</v>
      </c>
      <c r="C37" s="5">
        <v>1</v>
      </c>
      <c r="D37" s="5">
        <v>1</v>
      </c>
      <c r="E37" s="5">
        <v>1</v>
      </c>
      <c r="I37" s="5">
        <v>2</v>
      </c>
      <c r="J37" s="5">
        <v>2</v>
      </c>
      <c r="L37" s="5">
        <v>1</v>
      </c>
      <c r="P37" s="5">
        <v>2</v>
      </c>
      <c r="U37" s="5">
        <v>1</v>
      </c>
      <c r="Y37" s="5"/>
      <c r="Z37" s="5"/>
      <c r="AA37" s="5">
        <f t="shared" si="0"/>
        <v>11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>
      <c r="A38" s="2">
        <v>51</v>
      </c>
      <c r="E38" s="5">
        <v>1</v>
      </c>
      <c r="N38" s="5">
        <v>1</v>
      </c>
      <c r="Y38" s="5"/>
      <c r="Z38" s="5"/>
      <c r="AA38" s="5">
        <f t="shared" si="0"/>
        <v>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>
      <c r="A39" s="2">
        <v>52</v>
      </c>
      <c r="Y39" s="5"/>
      <c r="Z39" s="5"/>
      <c r="AA39" s="5">
        <f t="shared" si="0"/>
        <v>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>
      <c r="A40" s="2">
        <v>53</v>
      </c>
      <c r="Y40" s="5"/>
      <c r="Z40" s="5"/>
      <c r="AA40" s="5">
        <f t="shared" si="0"/>
        <v>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>
      <c r="A41" s="2">
        <v>54</v>
      </c>
      <c r="Y41" s="5"/>
      <c r="Z41" s="5"/>
      <c r="AA41" s="5">
        <f t="shared" si="0"/>
        <v>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>
      <c r="A42" s="2">
        <v>55</v>
      </c>
      <c r="Y42" s="5"/>
      <c r="Z42" s="5"/>
      <c r="AA42" s="5">
        <f t="shared" si="0"/>
        <v>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>
      <c r="A43" s="6" t="s">
        <v>11</v>
      </c>
      <c r="C43" s="5">
        <v>105</v>
      </c>
      <c r="D43" s="5">
        <v>122</v>
      </c>
      <c r="E43" s="5">
        <v>142</v>
      </c>
      <c r="F43" s="5">
        <v>116</v>
      </c>
      <c r="G43" s="5">
        <v>120</v>
      </c>
      <c r="H43" s="5">
        <v>147</v>
      </c>
      <c r="I43" s="5">
        <v>135</v>
      </c>
      <c r="J43" s="5">
        <v>107</v>
      </c>
      <c r="K43" s="5">
        <v>127</v>
      </c>
      <c r="L43" s="5">
        <v>149</v>
      </c>
      <c r="M43" s="27">
        <v>118</v>
      </c>
      <c r="N43" s="5">
        <v>131</v>
      </c>
      <c r="O43" s="5">
        <v>58</v>
      </c>
      <c r="P43" s="5">
        <v>136</v>
      </c>
      <c r="Q43" s="5">
        <v>119</v>
      </c>
      <c r="R43" s="5">
        <v>122</v>
      </c>
      <c r="S43" s="5">
        <v>149</v>
      </c>
      <c r="T43" s="5">
        <v>182</v>
      </c>
      <c r="U43" s="5">
        <v>163</v>
      </c>
      <c r="V43" s="5">
        <v>182</v>
      </c>
      <c r="W43" s="5">
        <v>144</v>
      </c>
      <c r="X43" s="5">
        <v>140</v>
      </c>
      <c r="Y43" s="5">
        <v>123</v>
      </c>
      <c r="Z43" s="5"/>
      <c r="AA43" s="5">
        <f>SUM(AA7:AA42)</f>
        <v>3040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s="24" customFormat="1">
      <c r="A44" s="24" t="s">
        <v>4</v>
      </c>
      <c r="B44" s="20"/>
      <c r="C44" s="20">
        <v>89.864999999999995</v>
      </c>
      <c r="D44" s="20">
        <v>105.73</v>
      </c>
      <c r="E44" s="20">
        <v>106.91200000000001</v>
      </c>
      <c r="F44" s="20">
        <v>104.96</v>
      </c>
      <c r="G44" s="20">
        <v>95.995000000000005</v>
      </c>
      <c r="H44" s="20">
        <v>102.845</v>
      </c>
      <c r="I44" s="20">
        <v>93.14</v>
      </c>
      <c r="J44" s="20">
        <v>86.454999999999998</v>
      </c>
      <c r="K44" s="20">
        <v>86.39</v>
      </c>
      <c r="L44" s="20">
        <v>98.745000000000005</v>
      </c>
      <c r="M44" s="29">
        <v>115.55500000000001</v>
      </c>
      <c r="N44" s="20">
        <v>86.135000000000005</v>
      </c>
      <c r="O44" s="20">
        <v>36.14</v>
      </c>
      <c r="P44" s="20">
        <v>91.59</v>
      </c>
      <c r="Q44" s="20">
        <v>78.150000000000006</v>
      </c>
      <c r="R44" s="20">
        <v>91.9</v>
      </c>
      <c r="S44" s="20">
        <v>88.81</v>
      </c>
      <c r="T44" s="20">
        <v>97.34</v>
      </c>
      <c r="U44" s="20">
        <v>95.015000000000001</v>
      </c>
      <c r="V44" s="20">
        <v>117.745</v>
      </c>
      <c r="W44" s="20">
        <v>86.54</v>
      </c>
      <c r="X44" s="20">
        <v>91.32</v>
      </c>
      <c r="Y44" s="20">
        <v>89.734999999999999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>
      <c r="A45" s="6" t="s">
        <v>23</v>
      </c>
      <c r="C45" s="28">
        <f>C44/C43</f>
        <v>0.85585714285714276</v>
      </c>
      <c r="D45" s="28">
        <f t="shared" ref="D45:Y45" si="1">D44/D43</f>
        <v>0.86663934426229516</v>
      </c>
      <c r="E45" s="28">
        <f t="shared" si="1"/>
        <v>0.7529014084507043</v>
      </c>
      <c r="F45" s="28">
        <f t="shared" si="1"/>
        <v>0.90482758620689652</v>
      </c>
      <c r="G45" s="28">
        <f t="shared" si="1"/>
        <v>0.79995833333333333</v>
      </c>
      <c r="H45" s="28">
        <f t="shared" si="1"/>
        <v>0.69962585034013602</v>
      </c>
      <c r="I45" s="28">
        <f t="shared" si="1"/>
        <v>0.68992592592592594</v>
      </c>
      <c r="J45" s="28">
        <f t="shared" si="1"/>
        <v>0.80799065420560745</v>
      </c>
      <c r="K45" s="28">
        <f t="shared" si="1"/>
        <v>0.68023622047244092</v>
      </c>
      <c r="L45" s="28">
        <f t="shared" si="1"/>
        <v>0.66271812080536918</v>
      </c>
      <c r="M45" s="30">
        <f t="shared" si="1"/>
        <v>0.97927966101694919</v>
      </c>
      <c r="N45" s="28">
        <f t="shared" si="1"/>
        <v>0.65751908396946568</v>
      </c>
      <c r="O45" s="28">
        <f t="shared" si="1"/>
        <v>0.62310344827586206</v>
      </c>
      <c r="P45" s="28">
        <f t="shared" si="1"/>
        <v>0.67345588235294118</v>
      </c>
      <c r="Q45" s="28">
        <f t="shared" si="1"/>
        <v>0.65672268907563025</v>
      </c>
      <c r="R45" s="28">
        <f t="shared" si="1"/>
        <v>0.75327868852459023</v>
      </c>
      <c r="S45" s="28">
        <f t="shared" si="1"/>
        <v>0.59604026845637581</v>
      </c>
      <c r="T45" s="28">
        <f t="shared" si="1"/>
        <v>0.5348351648351648</v>
      </c>
      <c r="U45" s="28">
        <f t="shared" si="1"/>
        <v>0.58291411042944785</v>
      </c>
      <c r="V45" s="28">
        <f t="shared" si="1"/>
        <v>0.64695054945054953</v>
      </c>
      <c r="W45" s="28">
        <f t="shared" si="1"/>
        <v>0.60097222222222224</v>
      </c>
      <c r="X45" s="28">
        <f t="shared" si="1"/>
        <v>0.65228571428571425</v>
      </c>
      <c r="Y45" s="28">
        <f t="shared" si="1"/>
        <v>0.72955284552845523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>
      <c r="A48" s="6" t="s">
        <v>11</v>
      </c>
      <c r="C48" s="5">
        <v>105</v>
      </c>
      <c r="D48" s="5">
        <v>122</v>
      </c>
      <c r="E48" s="5">
        <v>142</v>
      </c>
      <c r="F48" s="5">
        <v>116</v>
      </c>
      <c r="G48" s="5">
        <v>120</v>
      </c>
      <c r="H48" s="5">
        <v>147</v>
      </c>
      <c r="I48" s="5">
        <v>135</v>
      </c>
      <c r="J48" s="5">
        <v>107</v>
      </c>
      <c r="K48" s="5">
        <v>127</v>
      </c>
      <c r="L48" s="5">
        <v>149</v>
      </c>
      <c r="N48" s="5">
        <v>131</v>
      </c>
      <c r="O48" s="5">
        <v>58</v>
      </c>
      <c r="P48" s="5">
        <v>136</v>
      </c>
      <c r="Q48" s="5">
        <v>119</v>
      </c>
      <c r="R48" s="5">
        <v>122</v>
      </c>
      <c r="S48" s="5">
        <v>149</v>
      </c>
      <c r="T48" s="5">
        <v>182</v>
      </c>
      <c r="U48" s="5">
        <v>163</v>
      </c>
      <c r="V48" s="5">
        <v>182</v>
      </c>
      <c r="W48" s="5">
        <v>144</v>
      </c>
      <c r="X48" s="5">
        <v>140</v>
      </c>
      <c r="Y48" s="5">
        <v>123</v>
      </c>
      <c r="Z48" s="5"/>
      <c r="AA48" s="5">
        <f>SUM(C48:Y48)</f>
        <v>2919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27">
      <c r="A49" s="6" t="s">
        <v>4</v>
      </c>
      <c r="C49" s="5">
        <v>89.864999999999995</v>
      </c>
      <c r="D49" s="5">
        <v>105.73</v>
      </c>
      <c r="E49" s="5">
        <v>106.91200000000001</v>
      </c>
      <c r="F49" s="5">
        <v>104.96</v>
      </c>
      <c r="G49" s="5">
        <v>95.995000000000005</v>
      </c>
      <c r="H49" s="5">
        <v>102.845</v>
      </c>
      <c r="I49" s="5">
        <v>93.14</v>
      </c>
      <c r="J49" s="5">
        <v>86.454999999999998</v>
      </c>
      <c r="K49" s="5">
        <v>86.39</v>
      </c>
      <c r="L49" s="5">
        <v>98.745000000000005</v>
      </c>
      <c r="N49" s="5">
        <v>86.135000000000005</v>
      </c>
      <c r="O49" s="5">
        <v>36.14</v>
      </c>
      <c r="P49" s="5">
        <v>91.59</v>
      </c>
      <c r="Q49" s="5">
        <v>78.150000000000006</v>
      </c>
      <c r="R49" s="5">
        <v>91.9</v>
      </c>
      <c r="S49" s="5">
        <v>88.81</v>
      </c>
      <c r="T49" s="5">
        <v>97.34</v>
      </c>
      <c r="U49" s="5">
        <v>95.015000000000001</v>
      </c>
      <c r="V49" s="5">
        <v>117.745</v>
      </c>
      <c r="W49" s="5">
        <v>86.54</v>
      </c>
      <c r="X49" s="5">
        <v>91.32</v>
      </c>
      <c r="Y49" s="6">
        <v>89.734999999999999</v>
      </c>
      <c r="AA49" s="5">
        <f>SUM(C49:Y49)</f>
        <v>2021.4569999999999</v>
      </c>
    </row>
    <row r="50" spans="1:27">
      <c r="A50" s="6" t="s">
        <v>23</v>
      </c>
      <c r="C50" s="5">
        <v>0.85585714285714276</v>
      </c>
      <c r="D50" s="5">
        <v>0.86663934426229516</v>
      </c>
      <c r="E50" s="5">
        <v>0.7529014084507043</v>
      </c>
      <c r="F50" s="5">
        <v>0.90482758620689652</v>
      </c>
      <c r="G50" s="5">
        <v>0.79995833333333333</v>
      </c>
      <c r="H50" s="5">
        <v>0.69962585034013602</v>
      </c>
      <c r="I50" s="5">
        <v>0.68992592592592594</v>
      </c>
      <c r="J50" s="5">
        <v>0.80799065420560745</v>
      </c>
      <c r="K50" s="5">
        <v>0.68023622047244092</v>
      </c>
      <c r="L50" s="5">
        <v>0.66271812080536918</v>
      </c>
      <c r="N50" s="5">
        <v>0.65751908396946568</v>
      </c>
      <c r="O50" s="5">
        <v>0.62310344827586206</v>
      </c>
      <c r="P50" s="5">
        <v>0.67345588235294118</v>
      </c>
      <c r="Q50" s="5">
        <v>0.65672268907563025</v>
      </c>
      <c r="R50" s="5">
        <v>0.75327868852459023</v>
      </c>
      <c r="S50" s="5">
        <v>0.59604026845637581</v>
      </c>
      <c r="T50" s="5">
        <v>0.5348351648351648</v>
      </c>
      <c r="U50" s="5">
        <v>0.58291411042944785</v>
      </c>
      <c r="V50" s="5">
        <v>0.64695054945054953</v>
      </c>
      <c r="W50" s="5">
        <v>0.60097222222222224</v>
      </c>
      <c r="X50" s="5">
        <v>0.65228571428571425</v>
      </c>
      <c r="Y50" s="6">
        <v>0.72955284552845523</v>
      </c>
      <c r="AA50" s="6">
        <f>AA49/AA48</f>
        <v>0.69251695786228151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0"/>
  <sheetViews>
    <sheetView topLeftCell="A91" zoomScale="70" zoomScaleNormal="70" workbookViewId="0">
      <selection activeCell="K3" sqref="K3:P38"/>
    </sheetView>
  </sheetViews>
  <sheetFormatPr defaultRowHeight="14.4"/>
  <cols>
    <col min="1" max="1" width="7.88671875" style="6" customWidth="1"/>
  </cols>
  <sheetData>
    <row r="1" spans="1:16">
      <c r="A1" s="22"/>
      <c r="K1" t="s">
        <v>21</v>
      </c>
    </row>
    <row r="2" spans="1:16">
      <c r="A2" s="16"/>
      <c r="B2" s="25">
        <v>39873</v>
      </c>
      <c r="C2" s="25">
        <v>39904</v>
      </c>
      <c r="D2" s="25">
        <v>39934</v>
      </c>
      <c r="E2" s="25">
        <v>39965</v>
      </c>
      <c r="F2" s="25">
        <v>39995</v>
      </c>
      <c r="G2" s="25">
        <v>40026</v>
      </c>
      <c r="I2" s="25" t="s">
        <v>19</v>
      </c>
      <c r="J2" s="25"/>
      <c r="K2" s="25">
        <v>39873</v>
      </c>
      <c r="L2" s="25">
        <v>39904</v>
      </c>
      <c r="M2" s="25">
        <v>39934</v>
      </c>
      <c r="N2" s="25">
        <v>39965</v>
      </c>
      <c r="O2" s="25">
        <v>39995</v>
      </c>
      <c r="P2" s="25">
        <v>40026</v>
      </c>
    </row>
    <row r="3" spans="1:16">
      <c r="A3" s="2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>
        <f>SUM(B3:G3)</f>
        <v>0</v>
      </c>
      <c r="J3" s="2">
        <v>20</v>
      </c>
      <c r="K3">
        <f>B3/B$39*100</f>
        <v>0</v>
      </c>
      <c r="L3">
        <f t="shared" ref="L3:P18" si="0">C3/C$39*100</f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</row>
    <row r="4" spans="1:16">
      <c r="A4" s="2">
        <v>21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I4">
        <f t="shared" ref="I4:I39" si="1">SUM(B4:G4)</f>
        <v>2</v>
      </c>
      <c r="J4" s="2">
        <v>21</v>
      </c>
      <c r="K4">
        <f t="shared" ref="K4:K38" si="2">B4/B$39*100</f>
        <v>0</v>
      </c>
      <c r="L4">
        <f t="shared" si="0"/>
        <v>3.9848575413428969E-2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</row>
    <row r="5" spans="1:16">
      <c r="A5" s="2">
        <v>22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I5">
        <f t="shared" si="1"/>
        <v>3</v>
      </c>
      <c r="J5" s="2">
        <v>22</v>
      </c>
      <c r="K5">
        <f t="shared" si="2"/>
        <v>0</v>
      </c>
      <c r="L5">
        <f t="shared" si="0"/>
        <v>5.9772863120143446E-2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</row>
    <row r="6" spans="1:16">
      <c r="A6" s="2">
        <v>23</v>
      </c>
      <c r="B6">
        <v>0</v>
      </c>
      <c r="C6">
        <v>2</v>
      </c>
      <c r="D6">
        <v>2</v>
      </c>
      <c r="E6">
        <v>0</v>
      </c>
      <c r="F6">
        <v>0</v>
      </c>
      <c r="G6">
        <v>0</v>
      </c>
      <c r="I6">
        <f t="shared" si="1"/>
        <v>4</v>
      </c>
      <c r="J6" s="2">
        <v>23</v>
      </c>
      <c r="K6">
        <f t="shared" si="2"/>
        <v>0</v>
      </c>
      <c r="L6">
        <f t="shared" si="0"/>
        <v>3.9848575413428969E-2</v>
      </c>
      <c r="M6">
        <f t="shared" si="0"/>
        <v>4.2489908646696412E-2</v>
      </c>
      <c r="N6">
        <f t="shared" si="0"/>
        <v>0</v>
      </c>
      <c r="O6">
        <f t="shared" si="0"/>
        <v>0</v>
      </c>
      <c r="P6">
        <f t="shared" si="0"/>
        <v>0</v>
      </c>
    </row>
    <row r="7" spans="1:16">
      <c r="A7" s="2">
        <v>24</v>
      </c>
      <c r="B7">
        <v>0</v>
      </c>
      <c r="C7">
        <v>3</v>
      </c>
      <c r="D7">
        <v>1</v>
      </c>
      <c r="E7">
        <v>0</v>
      </c>
      <c r="F7">
        <v>0</v>
      </c>
      <c r="G7">
        <v>0</v>
      </c>
      <c r="I7">
        <f t="shared" si="1"/>
        <v>4</v>
      </c>
      <c r="J7" s="2">
        <v>24</v>
      </c>
      <c r="K7">
        <f t="shared" si="2"/>
        <v>0</v>
      </c>
      <c r="L7">
        <f t="shared" si="0"/>
        <v>5.9772863120143446E-2</v>
      </c>
      <c r="M7">
        <f t="shared" si="0"/>
        <v>2.1244954323348206E-2</v>
      </c>
      <c r="N7">
        <f t="shared" si="0"/>
        <v>0</v>
      </c>
      <c r="O7">
        <f t="shared" si="0"/>
        <v>0</v>
      </c>
      <c r="P7">
        <f t="shared" si="0"/>
        <v>0</v>
      </c>
    </row>
    <row r="8" spans="1:16">
      <c r="A8" s="2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>
        <f t="shared" si="1"/>
        <v>0</v>
      </c>
      <c r="J8" s="2">
        <v>25</v>
      </c>
      <c r="K8">
        <f t="shared" si="2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</row>
    <row r="9" spans="1:16">
      <c r="A9" s="2">
        <v>26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I9">
        <f t="shared" si="1"/>
        <v>2</v>
      </c>
      <c r="J9" s="2">
        <v>26</v>
      </c>
      <c r="K9">
        <f t="shared" si="2"/>
        <v>0</v>
      </c>
      <c r="L9">
        <f t="shared" si="0"/>
        <v>3.9848575413428969E-2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</row>
    <row r="10" spans="1:16">
      <c r="A10" s="2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>
        <f t="shared" si="1"/>
        <v>0</v>
      </c>
      <c r="J10" s="2">
        <v>27</v>
      </c>
      <c r="K10">
        <f t="shared" si="2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</row>
    <row r="11" spans="1:16">
      <c r="A11" s="2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I11">
        <f t="shared" si="1"/>
        <v>0</v>
      </c>
      <c r="J11" s="2">
        <v>28</v>
      </c>
      <c r="K11">
        <f t="shared" si="2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</row>
    <row r="12" spans="1:16">
      <c r="A12" s="2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>
        <f t="shared" si="1"/>
        <v>0</v>
      </c>
      <c r="J12" s="2">
        <v>29</v>
      </c>
      <c r="K12">
        <f t="shared" si="2"/>
        <v>0</v>
      </c>
      <c r="L1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0</v>
      </c>
    </row>
    <row r="13" spans="1:16">
      <c r="A13" s="2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I13">
        <f t="shared" si="1"/>
        <v>0</v>
      </c>
      <c r="J13" s="2">
        <v>30</v>
      </c>
      <c r="K13">
        <f t="shared" si="2"/>
        <v>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0</v>
      </c>
      <c r="P13">
        <f t="shared" si="0"/>
        <v>0</v>
      </c>
    </row>
    <row r="14" spans="1:16">
      <c r="A14" s="2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I14">
        <f t="shared" si="1"/>
        <v>0</v>
      </c>
      <c r="J14" s="2">
        <v>31</v>
      </c>
      <c r="K14">
        <f t="shared" si="2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</row>
    <row r="15" spans="1:16">
      <c r="A15" s="2">
        <v>32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I15">
        <f t="shared" si="1"/>
        <v>1</v>
      </c>
      <c r="J15" s="2">
        <v>32</v>
      </c>
      <c r="K15">
        <f t="shared" si="2"/>
        <v>0</v>
      </c>
      <c r="L15">
        <f t="shared" si="0"/>
        <v>1.9924287706714484E-2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</row>
    <row r="16" spans="1:16">
      <c r="A16" s="2">
        <v>33</v>
      </c>
      <c r="B16">
        <v>12</v>
      </c>
      <c r="C16">
        <v>37</v>
      </c>
      <c r="D16">
        <v>33</v>
      </c>
      <c r="E16">
        <v>2</v>
      </c>
      <c r="F16">
        <v>8</v>
      </c>
      <c r="G16">
        <v>10</v>
      </c>
      <c r="I16">
        <f t="shared" si="1"/>
        <v>102</v>
      </c>
      <c r="J16" s="2">
        <v>33</v>
      </c>
      <c r="K16">
        <f t="shared" si="2"/>
        <v>2.643171806167401</v>
      </c>
      <c r="L16">
        <f t="shared" si="0"/>
        <v>0.73719864514843592</v>
      </c>
      <c r="M16">
        <f t="shared" si="0"/>
        <v>0.70108349267049075</v>
      </c>
      <c r="N16">
        <f t="shared" si="0"/>
        <v>0.28943560057887119</v>
      </c>
      <c r="O16">
        <f t="shared" si="0"/>
        <v>0.43644298963447897</v>
      </c>
      <c r="P16">
        <f t="shared" si="0"/>
        <v>0.3289473684210526</v>
      </c>
    </row>
    <row r="17" spans="1:16">
      <c r="A17" s="2">
        <v>34</v>
      </c>
      <c r="B17">
        <v>51</v>
      </c>
      <c r="C17">
        <v>321</v>
      </c>
      <c r="D17">
        <v>360</v>
      </c>
      <c r="E17">
        <v>26</v>
      </c>
      <c r="F17">
        <v>127</v>
      </c>
      <c r="G17">
        <v>172</v>
      </c>
      <c r="I17">
        <f t="shared" si="1"/>
        <v>1057</v>
      </c>
      <c r="J17" s="2">
        <v>34</v>
      </c>
      <c r="K17">
        <f t="shared" si="2"/>
        <v>11.233480176211454</v>
      </c>
      <c r="L17">
        <f t="shared" si="0"/>
        <v>6.3956963538553495</v>
      </c>
      <c r="M17">
        <f t="shared" si="0"/>
        <v>7.6481835564053542</v>
      </c>
      <c r="N17">
        <f t="shared" si="0"/>
        <v>3.7626628075253259</v>
      </c>
      <c r="O17">
        <f t="shared" si="0"/>
        <v>6.9285324604473537</v>
      </c>
      <c r="P17">
        <f t="shared" si="0"/>
        <v>5.6578947368421053</v>
      </c>
    </row>
    <row r="18" spans="1:16">
      <c r="A18" s="2">
        <v>35</v>
      </c>
      <c r="B18">
        <v>97</v>
      </c>
      <c r="C18">
        <v>660</v>
      </c>
      <c r="D18">
        <v>742</v>
      </c>
      <c r="E18">
        <v>100</v>
      </c>
      <c r="F18">
        <v>352</v>
      </c>
      <c r="G18">
        <v>502</v>
      </c>
      <c r="I18">
        <f t="shared" si="1"/>
        <v>2453</v>
      </c>
      <c r="J18" s="2">
        <v>35</v>
      </c>
      <c r="K18">
        <f t="shared" si="2"/>
        <v>21.365638766519822</v>
      </c>
      <c r="L18">
        <f t="shared" si="0"/>
        <v>13.150029886431561</v>
      </c>
      <c r="M18">
        <f t="shared" si="0"/>
        <v>15.763756107924367</v>
      </c>
      <c r="N18">
        <f t="shared" si="0"/>
        <v>14.471780028943559</v>
      </c>
      <c r="O18">
        <f t="shared" si="0"/>
        <v>19.203491543917075</v>
      </c>
      <c r="P18">
        <f t="shared" si="0"/>
        <v>16.513157894736842</v>
      </c>
    </row>
    <row r="19" spans="1:16">
      <c r="A19" s="2">
        <v>36</v>
      </c>
      <c r="B19">
        <v>67</v>
      </c>
      <c r="C19">
        <v>683</v>
      </c>
      <c r="D19">
        <v>735</v>
      </c>
      <c r="E19">
        <v>87</v>
      </c>
      <c r="F19">
        <v>367</v>
      </c>
      <c r="G19">
        <v>532</v>
      </c>
      <c r="I19">
        <f t="shared" si="1"/>
        <v>2471</v>
      </c>
      <c r="J19" s="2">
        <v>36</v>
      </c>
      <c r="K19">
        <f t="shared" si="2"/>
        <v>14.757709251101323</v>
      </c>
      <c r="L19">
        <f t="shared" ref="L19:L38" si="3">C19/C$39*100</f>
        <v>13.608288503685992</v>
      </c>
      <c r="M19">
        <f t="shared" ref="M19:M38" si="4">D19/D$39*100</f>
        <v>15.61504142766093</v>
      </c>
      <c r="N19">
        <f t="shared" ref="N19:N38" si="5">E19/E$39*100</f>
        <v>12.590448625180898</v>
      </c>
      <c r="O19">
        <f t="shared" ref="O19:O38" si="6">F19/F$39*100</f>
        <v>20.021822149481725</v>
      </c>
      <c r="P19">
        <f t="shared" ref="P19:P38" si="7">G19/G$39*100</f>
        <v>17.5</v>
      </c>
    </row>
    <row r="20" spans="1:16">
      <c r="A20" s="2">
        <v>37</v>
      </c>
      <c r="B20">
        <v>59</v>
      </c>
      <c r="C20">
        <v>581</v>
      </c>
      <c r="D20">
        <v>583</v>
      </c>
      <c r="E20">
        <v>71</v>
      </c>
      <c r="F20">
        <v>259</v>
      </c>
      <c r="G20">
        <v>426</v>
      </c>
      <c r="I20">
        <f t="shared" si="1"/>
        <v>1979</v>
      </c>
      <c r="J20" s="2">
        <v>37</v>
      </c>
      <c r="K20">
        <f t="shared" si="2"/>
        <v>12.995594713656388</v>
      </c>
      <c r="L20">
        <f t="shared" si="3"/>
        <v>11.576011157601116</v>
      </c>
      <c r="M20">
        <f t="shared" si="4"/>
        <v>12.385808370512004</v>
      </c>
      <c r="N20">
        <f t="shared" si="5"/>
        <v>10.274963820549928</v>
      </c>
      <c r="O20">
        <f t="shared" si="6"/>
        <v>14.129841789416259</v>
      </c>
      <c r="P20">
        <f t="shared" si="7"/>
        <v>14.013157894736841</v>
      </c>
    </row>
    <row r="21" spans="1:16">
      <c r="A21" s="2">
        <v>38</v>
      </c>
      <c r="B21">
        <v>43</v>
      </c>
      <c r="C21">
        <v>573</v>
      </c>
      <c r="D21">
        <v>463</v>
      </c>
      <c r="E21">
        <v>87</v>
      </c>
      <c r="F21">
        <v>177</v>
      </c>
      <c r="G21">
        <v>337</v>
      </c>
      <c r="I21">
        <f t="shared" si="1"/>
        <v>1680</v>
      </c>
      <c r="J21" s="2">
        <v>38</v>
      </c>
      <c r="K21">
        <f t="shared" si="2"/>
        <v>9.4713656387665193</v>
      </c>
      <c r="L21">
        <f t="shared" si="3"/>
        <v>11.4166168559474</v>
      </c>
      <c r="M21">
        <f t="shared" si="4"/>
        <v>9.8364138517102191</v>
      </c>
      <c r="N21">
        <f t="shared" si="5"/>
        <v>12.590448625180898</v>
      </c>
      <c r="O21">
        <f t="shared" si="6"/>
        <v>9.656301145662848</v>
      </c>
      <c r="P21">
        <f t="shared" si="7"/>
        <v>11.085526315789473</v>
      </c>
    </row>
    <row r="22" spans="1:16">
      <c r="A22" s="2">
        <v>39</v>
      </c>
      <c r="B22">
        <v>41</v>
      </c>
      <c r="C22">
        <v>455</v>
      </c>
      <c r="D22">
        <v>389</v>
      </c>
      <c r="E22">
        <v>58</v>
      </c>
      <c r="F22">
        <v>118</v>
      </c>
      <c r="G22">
        <v>261</v>
      </c>
      <c r="I22">
        <f t="shared" si="1"/>
        <v>1322</v>
      </c>
      <c r="J22" s="2">
        <v>39</v>
      </c>
      <c r="K22">
        <f t="shared" si="2"/>
        <v>9.030837004405285</v>
      </c>
      <c r="L22">
        <f t="shared" si="3"/>
        <v>9.0655509065550905</v>
      </c>
      <c r="M22">
        <f t="shared" si="4"/>
        <v>8.2642872317824523</v>
      </c>
      <c r="N22">
        <f t="shared" si="5"/>
        <v>8.3936324167872645</v>
      </c>
      <c r="O22">
        <f t="shared" si="6"/>
        <v>6.4375340971085642</v>
      </c>
      <c r="P22">
        <f t="shared" si="7"/>
        <v>8.5855263157894743</v>
      </c>
    </row>
    <row r="23" spans="1:16">
      <c r="A23" s="2">
        <v>40</v>
      </c>
      <c r="B23">
        <v>22</v>
      </c>
      <c r="C23">
        <v>388</v>
      </c>
      <c r="D23">
        <v>334</v>
      </c>
      <c r="E23">
        <v>58</v>
      </c>
      <c r="F23">
        <v>106</v>
      </c>
      <c r="G23">
        <v>189</v>
      </c>
      <c r="I23">
        <f t="shared" si="1"/>
        <v>1097</v>
      </c>
      <c r="J23" s="2">
        <v>40</v>
      </c>
      <c r="K23">
        <f t="shared" si="2"/>
        <v>4.8458149779735686</v>
      </c>
      <c r="L23">
        <f t="shared" si="3"/>
        <v>7.73062363020522</v>
      </c>
      <c r="M23">
        <f t="shared" si="4"/>
        <v>7.095814743998301</v>
      </c>
      <c r="N23">
        <f t="shared" si="5"/>
        <v>8.3936324167872645</v>
      </c>
      <c r="O23">
        <f t="shared" si="6"/>
        <v>5.7828696126568468</v>
      </c>
      <c r="P23">
        <f t="shared" si="7"/>
        <v>6.2171052631578947</v>
      </c>
    </row>
    <row r="24" spans="1:16">
      <c r="A24" s="2">
        <v>41</v>
      </c>
      <c r="B24">
        <v>17</v>
      </c>
      <c r="C24">
        <v>328</v>
      </c>
      <c r="D24">
        <v>227</v>
      </c>
      <c r="E24">
        <v>48</v>
      </c>
      <c r="F24">
        <v>95</v>
      </c>
      <c r="G24">
        <v>164</v>
      </c>
      <c r="I24">
        <f t="shared" si="1"/>
        <v>879</v>
      </c>
      <c r="J24" s="2">
        <v>41</v>
      </c>
      <c r="K24">
        <f t="shared" si="2"/>
        <v>3.7444933920704844</v>
      </c>
      <c r="L24">
        <f t="shared" si="3"/>
        <v>6.5351663678023515</v>
      </c>
      <c r="M24">
        <f t="shared" si="4"/>
        <v>4.8226046314000426</v>
      </c>
      <c r="N24">
        <f t="shared" si="5"/>
        <v>6.9464544138929094</v>
      </c>
      <c r="O24">
        <f t="shared" si="6"/>
        <v>5.1827605019094376</v>
      </c>
      <c r="P24">
        <f t="shared" si="7"/>
        <v>5.3947368421052637</v>
      </c>
    </row>
    <row r="25" spans="1:16">
      <c r="A25" s="2">
        <v>42</v>
      </c>
      <c r="B25">
        <v>13</v>
      </c>
      <c r="C25">
        <v>252</v>
      </c>
      <c r="D25">
        <v>187</v>
      </c>
      <c r="E25">
        <v>40</v>
      </c>
      <c r="F25">
        <v>53</v>
      </c>
      <c r="G25">
        <v>92</v>
      </c>
      <c r="I25">
        <f t="shared" si="1"/>
        <v>637</v>
      </c>
      <c r="J25" s="2">
        <v>42</v>
      </c>
      <c r="K25">
        <f t="shared" si="2"/>
        <v>2.8634361233480177</v>
      </c>
      <c r="L25">
        <f t="shared" si="3"/>
        <v>5.02092050209205</v>
      </c>
      <c r="M25">
        <f t="shared" si="4"/>
        <v>3.9728064584661147</v>
      </c>
      <c r="N25">
        <f t="shared" si="5"/>
        <v>5.7887120115774238</v>
      </c>
      <c r="O25">
        <f t="shared" si="6"/>
        <v>2.8914348063284234</v>
      </c>
      <c r="P25">
        <f t="shared" si="7"/>
        <v>3.0263157894736841</v>
      </c>
    </row>
    <row r="26" spans="1:16">
      <c r="A26" s="2">
        <v>43</v>
      </c>
      <c r="B26">
        <v>12</v>
      </c>
      <c r="C26">
        <v>205</v>
      </c>
      <c r="D26">
        <v>147</v>
      </c>
      <c r="E26">
        <v>31</v>
      </c>
      <c r="F26">
        <v>39</v>
      </c>
      <c r="G26">
        <v>98</v>
      </c>
      <c r="I26">
        <f t="shared" si="1"/>
        <v>532</v>
      </c>
      <c r="J26" s="2">
        <v>43</v>
      </c>
      <c r="K26">
        <f t="shared" si="2"/>
        <v>2.643171806167401</v>
      </c>
      <c r="L26">
        <f t="shared" si="3"/>
        <v>4.0844789798764696</v>
      </c>
      <c r="M26">
        <f t="shared" si="4"/>
        <v>3.1230082855321859</v>
      </c>
      <c r="N26">
        <f t="shared" si="5"/>
        <v>4.4862518089725034</v>
      </c>
      <c r="O26">
        <f t="shared" si="6"/>
        <v>2.1276595744680851</v>
      </c>
      <c r="P26">
        <f t="shared" si="7"/>
        <v>3.2236842105263159</v>
      </c>
    </row>
    <row r="27" spans="1:16">
      <c r="A27" s="2">
        <v>44</v>
      </c>
      <c r="B27">
        <v>13</v>
      </c>
      <c r="C27">
        <v>189</v>
      </c>
      <c r="D27">
        <v>120</v>
      </c>
      <c r="E27">
        <v>17</v>
      </c>
      <c r="F27">
        <v>39</v>
      </c>
      <c r="G27">
        <v>62</v>
      </c>
      <c r="I27">
        <f t="shared" si="1"/>
        <v>440</v>
      </c>
      <c r="J27" s="2">
        <v>44</v>
      </c>
      <c r="K27">
        <f t="shared" si="2"/>
        <v>2.8634361233480177</v>
      </c>
      <c r="L27">
        <f t="shared" si="3"/>
        <v>3.7656903765690379</v>
      </c>
      <c r="M27">
        <f t="shared" si="4"/>
        <v>2.5493945188017846</v>
      </c>
      <c r="N27">
        <f t="shared" si="5"/>
        <v>2.4602026049204051</v>
      </c>
      <c r="O27">
        <f t="shared" si="6"/>
        <v>2.1276595744680851</v>
      </c>
      <c r="P27">
        <f t="shared" si="7"/>
        <v>2.0394736842105265</v>
      </c>
    </row>
    <row r="28" spans="1:16">
      <c r="A28" s="2">
        <v>45</v>
      </c>
      <c r="B28">
        <v>4</v>
      </c>
      <c r="C28">
        <v>119</v>
      </c>
      <c r="D28">
        <v>110</v>
      </c>
      <c r="E28">
        <v>20</v>
      </c>
      <c r="F28">
        <v>25</v>
      </c>
      <c r="G28">
        <v>62</v>
      </c>
      <c r="I28">
        <f t="shared" si="1"/>
        <v>340</v>
      </c>
      <c r="J28" s="2">
        <v>45</v>
      </c>
      <c r="K28">
        <f t="shared" si="2"/>
        <v>0.88105726872246704</v>
      </c>
      <c r="L28">
        <f t="shared" si="3"/>
        <v>2.3709902370990235</v>
      </c>
      <c r="M28">
        <f t="shared" si="4"/>
        <v>2.3369449755683025</v>
      </c>
      <c r="N28">
        <f t="shared" si="5"/>
        <v>2.8943560057887119</v>
      </c>
      <c r="O28">
        <f t="shared" si="6"/>
        <v>1.3638843426077467</v>
      </c>
      <c r="P28">
        <f t="shared" si="7"/>
        <v>2.0394736842105265</v>
      </c>
    </row>
    <row r="29" spans="1:16">
      <c r="A29" s="2">
        <v>46</v>
      </c>
      <c r="B29">
        <v>1</v>
      </c>
      <c r="C29">
        <v>64</v>
      </c>
      <c r="D29">
        <v>79</v>
      </c>
      <c r="E29">
        <v>11</v>
      </c>
      <c r="F29">
        <v>16</v>
      </c>
      <c r="G29">
        <v>35</v>
      </c>
      <c r="I29">
        <f t="shared" si="1"/>
        <v>206</v>
      </c>
      <c r="J29" s="2">
        <v>46</v>
      </c>
      <c r="K29">
        <f t="shared" si="2"/>
        <v>0.22026431718061676</v>
      </c>
      <c r="L29">
        <f t="shared" si="3"/>
        <v>1.275154413229727</v>
      </c>
      <c r="M29">
        <f t="shared" si="4"/>
        <v>1.6783513915445081</v>
      </c>
      <c r="N29">
        <f t="shared" si="5"/>
        <v>1.5918958031837915</v>
      </c>
      <c r="O29">
        <f t="shared" si="6"/>
        <v>0.87288597926895795</v>
      </c>
      <c r="P29">
        <f t="shared" si="7"/>
        <v>1.1513157894736841</v>
      </c>
    </row>
    <row r="30" spans="1:16">
      <c r="A30" s="2">
        <v>47</v>
      </c>
      <c r="B30">
        <v>1</v>
      </c>
      <c r="C30">
        <v>61</v>
      </c>
      <c r="D30">
        <v>83</v>
      </c>
      <c r="E30">
        <v>16</v>
      </c>
      <c r="F30">
        <v>19</v>
      </c>
      <c r="G30">
        <v>39</v>
      </c>
      <c r="I30">
        <f t="shared" si="1"/>
        <v>219</v>
      </c>
      <c r="J30" s="2">
        <v>47</v>
      </c>
      <c r="K30">
        <f t="shared" si="2"/>
        <v>0.22026431718061676</v>
      </c>
      <c r="L30">
        <f t="shared" si="3"/>
        <v>1.2153815501095835</v>
      </c>
      <c r="M30">
        <f t="shared" si="4"/>
        <v>1.7633312088379012</v>
      </c>
      <c r="N30">
        <f t="shared" si="5"/>
        <v>2.3154848046309695</v>
      </c>
      <c r="O30">
        <f t="shared" si="6"/>
        <v>1.0365521003818876</v>
      </c>
      <c r="P30">
        <f t="shared" si="7"/>
        <v>1.2828947368421053</v>
      </c>
    </row>
    <row r="31" spans="1:16">
      <c r="A31" s="2">
        <v>48</v>
      </c>
      <c r="B31">
        <v>0</v>
      </c>
      <c r="C31">
        <v>45</v>
      </c>
      <c r="D31">
        <v>41</v>
      </c>
      <c r="E31">
        <v>8</v>
      </c>
      <c r="F31">
        <v>15</v>
      </c>
      <c r="G31">
        <v>32</v>
      </c>
      <c r="I31">
        <f t="shared" si="1"/>
        <v>141</v>
      </c>
      <c r="J31" s="2">
        <v>48</v>
      </c>
      <c r="K31">
        <f t="shared" si="2"/>
        <v>0</v>
      </c>
      <c r="L31">
        <f t="shared" si="3"/>
        <v>0.89659294680215185</v>
      </c>
      <c r="M31">
        <f t="shared" si="4"/>
        <v>0.87104312725727639</v>
      </c>
      <c r="N31">
        <f t="shared" si="5"/>
        <v>1.1577424023154848</v>
      </c>
      <c r="O31">
        <f t="shared" si="6"/>
        <v>0.81833060556464821</v>
      </c>
      <c r="P31">
        <f t="shared" si="7"/>
        <v>1.0526315789473684</v>
      </c>
    </row>
    <row r="32" spans="1:16">
      <c r="A32" s="2">
        <v>49</v>
      </c>
      <c r="B32">
        <v>1</v>
      </c>
      <c r="C32">
        <v>20</v>
      </c>
      <c r="D32">
        <v>40</v>
      </c>
      <c r="E32">
        <v>3</v>
      </c>
      <c r="F32">
        <v>10</v>
      </c>
      <c r="G32">
        <v>14</v>
      </c>
      <c r="I32">
        <f t="shared" si="1"/>
        <v>88</v>
      </c>
      <c r="J32" s="2">
        <v>49</v>
      </c>
      <c r="K32">
        <f t="shared" si="2"/>
        <v>0.22026431718061676</v>
      </c>
      <c r="L32">
        <f t="shared" si="3"/>
        <v>0.39848575413428972</v>
      </c>
      <c r="M32">
        <f t="shared" si="4"/>
        <v>0.84979817293392812</v>
      </c>
      <c r="N32">
        <f t="shared" si="5"/>
        <v>0.43415340086830684</v>
      </c>
      <c r="O32">
        <f t="shared" si="6"/>
        <v>0.54555373704309873</v>
      </c>
      <c r="P32">
        <f t="shared" si="7"/>
        <v>0.46052631578947362</v>
      </c>
    </row>
    <row r="33" spans="1:16">
      <c r="A33" s="2">
        <v>50</v>
      </c>
      <c r="B33">
        <v>0</v>
      </c>
      <c r="C33">
        <v>12</v>
      </c>
      <c r="D33">
        <v>17</v>
      </c>
      <c r="E33">
        <v>5</v>
      </c>
      <c r="F33">
        <v>6</v>
      </c>
      <c r="G33">
        <v>11</v>
      </c>
      <c r="I33">
        <f t="shared" si="1"/>
        <v>51</v>
      </c>
      <c r="J33" s="2">
        <v>50</v>
      </c>
      <c r="K33">
        <f t="shared" si="2"/>
        <v>0</v>
      </c>
      <c r="L33">
        <f t="shared" si="3"/>
        <v>0.23909145248057379</v>
      </c>
      <c r="M33">
        <f t="shared" si="4"/>
        <v>0.36116422349691946</v>
      </c>
      <c r="N33">
        <f t="shared" si="5"/>
        <v>0.72358900144717797</v>
      </c>
      <c r="O33">
        <f t="shared" si="6"/>
        <v>0.32733224222585927</v>
      </c>
      <c r="P33">
        <f t="shared" si="7"/>
        <v>0.36184210526315791</v>
      </c>
    </row>
    <row r="34" spans="1:16">
      <c r="A34" s="2">
        <v>51</v>
      </c>
      <c r="B34">
        <v>0</v>
      </c>
      <c r="C34">
        <v>9</v>
      </c>
      <c r="D34">
        <v>7</v>
      </c>
      <c r="E34">
        <v>0</v>
      </c>
      <c r="F34">
        <v>1</v>
      </c>
      <c r="G34">
        <v>2</v>
      </c>
      <c r="I34">
        <f t="shared" si="1"/>
        <v>19</v>
      </c>
      <c r="J34" s="2">
        <v>51</v>
      </c>
      <c r="K34">
        <f t="shared" si="2"/>
        <v>0</v>
      </c>
      <c r="L34">
        <f t="shared" si="3"/>
        <v>0.17931858936043038</v>
      </c>
      <c r="M34">
        <f t="shared" si="4"/>
        <v>0.14871468026343743</v>
      </c>
      <c r="N34">
        <f t="shared" si="5"/>
        <v>0</v>
      </c>
      <c r="O34">
        <f t="shared" si="6"/>
        <v>5.4555373704309872E-2</v>
      </c>
      <c r="P34">
        <f t="shared" si="7"/>
        <v>6.5789473684210523E-2</v>
      </c>
    </row>
    <row r="35" spans="1:16">
      <c r="A35" s="2">
        <v>52</v>
      </c>
      <c r="B35">
        <v>0</v>
      </c>
      <c r="C35">
        <v>2</v>
      </c>
      <c r="D35">
        <v>5</v>
      </c>
      <c r="E35">
        <v>2</v>
      </c>
      <c r="F35">
        <v>1</v>
      </c>
      <c r="G35">
        <v>0</v>
      </c>
      <c r="I35">
        <f t="shared" si="1"/>
        <v>10</v>
      </c>
      <c r="J35" s="2">
        <v>52</v>
      </c>
      <c r="K35">
        <f t="shared" si="2"/>
        <v>0</v>
      </c>
      <c r="L35">
        <f t="shared" si="3"/>
        <v>3.9848575413428969E-2</v>
      </c>
      <c r="M35">
        <f t="shared" si="4"/>
        <v>0.10622477161674101</v>
      </c>
      <c r="N35">
        <f t="shared" si="5"/>
        <v>0.28943560057887119</v>
      </c>
      <c r="O35">
        <f t="shared" si="6"/>
        <v>5.4555373704309872E-2</v>
      </c>
      <c r="P35">
        <f t="shared" si="7"/>
        <v>0</v>
      </c>
    </row>
    <row r="36" spans="1:16">
      <c r="A36" s="2">
        <v>53</v>
      </c>
      <c r="B36">
        <v>0</v>
      </c>
      <c r="C36">
        <v>2</v>
      </c>
      <c r="D36">
        <v>2</v>
      </c>
      <c r="E36">
        <v>1</v>
      </c>
      <c r="F36">
        <v>0</v>
      </c>
      <c r="G36">
        <v>0</v>
      </c>
      <c r="I36">
        <f t="shared" si="1"/>
        <v>5</v>
      </c>
      <c r="J36" s="2">
        <v>53</v>
      </c>
      <c r="K36">
        <f t="shared" si="2"/>
        <v>0</v>
      </c>
      <c r="L36">
        <f t="shared" si="3"/>
        <v>3.9848575413428969E-2</v>
      </c>
      <c r="M36">
        <f t="shared" si="4"/>
        <v>4.2489908646696412E-2</v>
      </c>
      <c r="N36">
        <f t="shared" si="5"/>
        <v>0.14471780028943559</v>
      </c>
      <c r="O36">
        <f t="shared" si="6"/>
        <v>0</v>
      </c>
      <c r="P36">
        <f t="shared" si="7"/>
        <v>0</v>
      </c>
    </row>
    <row r="37" spans="1:16">
      <c r="A37" s="2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I37">
        <f t="shared" si="1"/>
        <v>0</v>
      </c>
      <c r="J37" s="2">
        <v>54</v>
      </c>
      <c r="K37">
        <f t="shared" si="2"/>
        <v>0</v>
      </c>
      <c r="L37">
        <f t="shared" si="3"/>
        <v>0</v>
      </c>
      <c r="M37">
        <f t="shared" si="4"/>
        <v>0</v>
      </c>
      <c r="N37">
        <f t="shared" si="5"/>
        <v>0</v>
      </c>
      <c r="O37">
        <f t="shared" si="6"/>
        <v>0</v>
      </c>
      <c r="P37">
        <f t="shared" si="7"/>
        <v>0</v>
      </c>
    </row>
    <row r="38" spans="1:16">
      <c r="A38" s="2">
        <v>55</v>
      </c>
      <c r="B38">
        <v>0</v>
      </c>
      <c r="C38">
        <v>0</v>
      </c>
      <c r="F38">
        <v>0</v>
      </c>
      <c r="G38">
        <v>0</v>
      </c>
      <c r="I38">
        <f t="shared" si="1"/>
        <v>0</v>
      </c>
      <c r="J38" s="2">
        <v>55</v>
      </c>
      <c r="K38">
        <f t="shared" si="2"/>
        <v>0</v>
      </c>
      <c r="L38">
        <f t="shared" si="3"/>
        <v>0</v>
      </c>
      <c r="M38">
        <f t="shared" si="4"/>
        <v>0</v>
      </c>
      <c r="N38">
        <f t="shared" si="5"/>
        <v>0</v>
      </c>
      <c r="O38">
        <f t="shared" si="6"/>
        <v>0</v>
      </c>
      <c r="P38">
        <f t="shared" si="7"/>
        <v>0</v>
      </c>
    </row>
    <row r="39" spans="1:16">
      <c r="A39" s="6" t="s">
        <v>11</v>
      </c>
      <c r="B39">
        <v>454</v>
      </c>
      <c r="C39">
        <v>5019</v>
      </c>
      <c r="D39">
        <v>4707</v>
      </c>
      <c r="E39">
        <v>691</v>
      </c>
      <c r="F39">
        <v>1833</v>
      </c>
      <c r="G39">
        <v>3040</v>
      </c>
      <c r="I39">
        <f t="shared" si="1"/>
        <v>15744</v>
      </c>
      <c r="J39" s="6" t="s">
        <v>11</v>
      </c>
      <c r="K39">
        <f>SUM(K3:K38)</f>
        <v>100.00000000000004</v>
      </c>
      <c r="L39">
        <f t="shared" ref="L39:P39" si="8">SUM(L3:L38)</f>
        <v>100</v>
      </c>
      <c r="M39">
        <f t="shared" si="8"/>
        <v>100</v>
      </c>
      <c r="N39">
        <f t="shared" si="8"/>
        <v>100</v>
      </c>
      <c r="O39">
        <f t="shared" si="8"/>
        <v>100</v>
      </c>
      <c r="P39">
        <f t="shared" si="8"/>
        <v>100</v>
      </c>
    </row>
    <row r="40" spans="1:16">
      <c r="A40" s="24" t="s">
        <v>4</v>
      </c>
      <c r="B40">
        <v>282.2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"/>
  <sheetViews>
    <sheetView topLeftCell="F1" workbookViewId="0">
      <selection activeCell="F1" sqref="A1:XFD1048576"/>
    </sheetView>
  </sheetViews>
  <sheetFormatPr defaultRowHeight="14.4"/>
  <cols>
    <col min="1" max="1" width="7.88671875" style="6" customWidth="1"/>
  </cols>
  <sheetData>
    <row r="1" spans="1:12">
      <c r="A1" s="22"/>
      <c r="G1" t="s">
        <v>20</v>
      </c>
    </row>
    <row r="2" spans="1:12">
      <c r="A2" s="16"/>
      <c r="B2">
        <v>2007</v>
      </c>
      <c r="C2">
        <v>2008</v>
      </c>
      <c r="D2">
        <v>2009</v>
      </c>
      <c r="E2">
        <v>2010</v>
      </c>
      <c r="G2" s="16"/>
      <c r="H2">
        <v>2007</v>
      </c>
      <c r="I2">
        <v>2008</v>
      </c>
      <c r="J2">
        <v>2009</v>
      </c>
      <c r="K2">
        <v>2010</v>
      </c>
      <c r="L2">
        <v>2011</v>
      </c>
    </row>
    <row r="3" spans="1:12">
      <c r="A3" s="16"/>
      <c r="E3">
        <v>0</v>
      </c>
      <c r="G3" s="2">
        <v>15</v>
      </c>
      <c r="K3" s="26">
        <f t="shared" ref="K3:K43" si="0">E3/E$44*100</f>
        <v>0</v>
      </c>
      <c r="L3" s="26">
        <v>0</v>
      </c>
    </row>
    <row r="4" spans="1:12">
      <c r="A4" s="16"/>
      <c r="E4">
        <v>0</v>
      </c>
      <c r="G4" s="2">
        <v>16</v>
      </c>
      <c r="K4" s="26">
        <f t="shared" si="0"/>
        <v>0</v>
      </c>
      <c r="L4" s="26">
        <v>0</v>
      </c>
    </row>
    <row r="5" spans="1:12">
      <c r="A5" s="16"/>
      <c r="E5">
        <v>0</v>
      </c>
      <c r="G5" s="2">
        <v>17</v>
      </c>
      <c r="K5" s="26">
        <f t="shared" si="0"/>
        <v>0</v>
      </c>
      <c r="L5" s="26">
        <v>0</v>
      </c>
    </row>
    <row r="6" spans="1:12">
      <c r="A6" s="16"/>
      <c r="E6">
        <v>94.499991020725091</v>
      </c>
      <c r="G6" s="2">
        <v>18</v>
      </c>
      <c r="K6" s="26">
        <f t="shared" si="0"/>
        <v>1.3960933842795533</v>
      </c>
      <c r="L6" s="26">
        <v>0</v>
      </c>
    </row>
    <row r="7" spans="1:12">
      <c r="A7" s="16"/>
      <c r="E7">
        <v>1048.8354975874818</v>
      </c>
      <c r="G7" s="2">
        <v>19</v>
      </c>
      <c r="K7" s="26">
        <f t="shared" si="0"/>
        <v>15.494946439289107</v>
      </c>
      <c r="L7" s="26">
        <v>0</v>
      </c>
    </row>
    <row r="8" spans="1:12">
      <c r="A8" s="16"/>
      <c r="E8">
        <v>1661.8685725203459</v>
      </c>
      <c r="G8" s="2">
        <v>20</v>
      </c>
      <c r="K8" s="26">
        <f t="shared" si="0"/>
        <v>24.55157608564139</v>
      </c>
      <c r="L8" s="26">
        <v>0</v>
      </c>
    </row>
    <row r="9" spans="1:12">
      <c r="A9" s="16"/>
      <c r="E9">
        <v>1627.4881002541649</v>
      </c>
      <c r="G9" s="2">
        <v>21</v>
      </c>
      <c r="K9" s="31">
        <f t="shared" si="0"/>
        <v>24.04365699103856</v>
      </c>
      <c r="L9" s="26">
        <v>0</v>
      </c>
    </row>
    <row r="10" spans="1:12">
      <c r="A10" s="16"/>
      <c r="E10">
        <v>1269.1841924744608</v>
      </c>
      <c r="G10" s="2">
        <v>22</v>
      </c>
      <c r="K10" s="26">
        <f t="shared" si="0"/>
        <v>18.750262676291481</v>
      </c>
      <c r="L10" s="26">
        <v>0</v>
      </c>
    </row>
    <row r="11" spans="1:12">
      <c r="A11" s="16"/>
      <c r="E11">
        <v>1004.8137942577705</v>
      </c>
      <c r="G11" s="2">
        <v>23</v>
      </c>
      <c r="K11" s="26">
        <f t="shared" si="0"/>
        <v>14.844592845394599</v>
      </c>
      <c r="L11" s="26">
        <v>0</v>
      </c>
    </row>
    <row r="12" spans="1:12">
      <c r="A12" s="16"/>
      <c r="E12">
        <v>677.65114247731697</v>
      </c>
      <c r="G12" s="2">
        <v>24</v>
      </c>
      <c r="K12" s="26">
        <f t="shared" si="0"/>
        <v>10.011263140274574</v>
      </c>
      <c r="L12" s="26">
        <v>0.22789425706472194</v>
      </c>
    </row>
    <row r="13" spans="1:12">
      <c r="A13" s="2">
        <v>25</v>
      </c>
      <c r="B13" s="26">
        <v>0</v>
      </c>
      <c r="C13">
        <v>0</v>
      </c>
      <c r="D13">
        <v>0</v>
      </c>
      <c r="E13">
        <v>524.88523917659518</v>
      </c>
      <c r="G13" s="2">
        <v>25</v>
      </c>
      <c r="H13" s="26">
        <f>B13/B$44*100</f>
        <v>0</v>
      </c>
      <c r="I13" s="26">
        <f t="shared" ref="I13:J28" si="1">C13/C$44*100</f>
        <v>0</v>
      </c>
      <c r="J13" s="26">
        <f t="shared" si="1"/>
        <v>0</v>
      </c>
      <c r="K13" s="26">
        <f t="shared" si="0"/>
        <v>7.7543796777687026</v>
      </c>
      <c r="L13" s="26">
        <v>2.643573381950775</v>
      </c>
    </row>
    <row r="14" spans="1:12">
      <c r="A14" s="2">
        <v>26</v>
      </c>
      <c r="B14" s="26">
        <v>2</v>
      </c>
      <c r="C14">
        <v>0</v>
      </c>
      <c r="D14">
        <v>2</v>
      </c>
      <c r="E14">
        <v>244.18098159853022</v>
      </c>
      <c r="G14" s="2">
        <v>26</v>
      </c>
      <c r="H14" s="26">
        <f t="shared" ref="H14:H43" si="2">B14/B$44*100</f>
        <v>1.7022725338326668E-2</v>
      </c>
      <c r="I14" s="26">
        <f t="shared" si="1"/>
        <v>0</v>
      </c>
      <c r="J14" s="26">
        <f t="shared" si="1"/>
        <v>1.2713749920539063E-2</v>
      </c>
      <c r="K14" s="26">
        <f t="shared" si="0"/>
        <v>3.6074019615708921</v>
      </c>
      <c r="L14" s="26">
        <v>4.193254329990884</v>
      </c>
    </row>
    <row r="15" spans="1:12">
      <c r="A15" s="2">
        <v>27</v>
      </c>
      <c r="B15" s="26">
        <v>50</v>
      </c>
      <c r="C15">
        <v>0</v>
      </c>
      <c r="D15">
        <v>0</v>
      </c>
      <c r="E15">
        <v>128.65168503496656</v>
      </c>
      <c r="G15" s="2">
        <v>27</v>
      </c>
      <c r="H15" s="26">
        <f t="shared" si="2"/>
        <v>0.42556813345816669</v>
      </c>
      <c r="I15" s="26">
        <f t="shared" si="1"/>
        <v>0</v>
      </c>
      <c r="J15" s="26">
        <f t="shared" si="1"/>
        <v>0</v>
      </c>
      <c r="K15" s="26">
        <f t="shared" si="0"/>
        <v>1.9006326287834552</v>
      </c>
      <c r="L15" s="26">
        <v>6.4721969006381039</v>
      </c>
    </row>
    <row r="16" spans="1:12">
      <c r="A16" s="2">
        <v>28</v>
      </c>
      <c r="B16" s="26">
        <v>252</v>
      </c>
      <c r="C16">
        <v>0</v>
      </c>
      <c r="D16">
        <v>0</v>
      </c>
      <c r="E16">
        <v>41.483474199057788</v>
      </c>
      <c r="G16" s="2">
        <v>28</v>
      </c>
      <c r="H16" s="26">
        <f t="shared" si="2"/>
        <v>2.1448633926291603</v>
      </c>
      <c r="I16" s="26">
        <f t="shared" si="1"/>
        <v>0</v>
      </c>
      <c r="J16" s="26">
        <f t="shared" si="1"/>
        <v>0</v>
      </c>
      <c r="K16" s="26">
        <f t="shared" si="0"/>
        <v>0.61285512581196588</v>
      </c>
      <c r="L16" s="31">
        <v>6.2443026435733824</v>
      </c>
    </row>
    <row r="17" spans="1:12">
      <c r="A17" s="2">
        <v>29</v>
      </c>
      <c r="B17" s="26">
        <v>561</v>
      </c>
      <c r="C17">
        <v>4</v>
      </c>
      <c r="D17">
        <v>0</v>
      </c>
      <c r="E17">
        <v>3.9E-2</v>
      </c>
      <c r="G17" s="2">
        <v>29</v>
      </c>
      <c r="H17" s="26">
        <f t="shared" si="2"/>
        <v>4.7748744574006299</v>
      </c>
      <c r="I17" s="26">
        <f t="shared" si="1"/>
        <v>1.4158289678606824E-2</v>
      </c>
      <c r="J17" s="26">
        <f t="shared" si="1"/>
        <v>0</v>
      </c>
      <c r="K17" s="26">
        <f t="shared" si="0"/>
        <v>5.7616557841747831E-4</v>
      </c>
      <c r="L17" s="26">
        <v>6.0619872379216044</v>
      </c>
    </row>
    <row r="18" spans="1:12">
      <c r="A18" s="2">
        <v>30</v>
      </c>
      <c r="B18" s="26">
        <v>1187</v>
      </c>
      <c r="C18">
        <v>78</v>
      </c>
      <c r="D18">
        <v>0</v>
      </c>
      <c r="E18">
        <v>0</v>
      </c>
      <c r="G18" s="2">
        <v>30</v>
      </c>
      <c r="H18" s="26">
        <f t="shared" si="2"/>
        <v>10.102987488296876</v>
      </c>
      <c r="I18" s="26">
        <f t="shared" si="1"/>
        <v>0.27608664873283306</v>
      </c>
      <c r="J18" s="26">
        <f t="shared" si="1"/>
        <v>0</v>
      </c>
      <c r="K18" s="26">
        <f t="shared" si="0"/>
        <v>0</v>
      </c>
      <c r="L18" s="26">
        <v>3.646308113035551</v>
      </c>
    </row>
    <row r="19" spans="1:12">
      <c r="A19" s="2">
        <v>31</v>
      </c>
      <c r="B19" s="26">
        <v>1654</v>
      </c>
      <c r="C19">
        <v>184</v>
      </c>
      <c r="D19">
        <v>0</v>
      </c>
      <c r="E19">
        <v>0</v>
      </c>
      <c r="G19" s="2">
        <v>31</v>
      </c>
      <c r="H19" s="26">
        <f t="shared" si="2"/>
        <v>14.077793854796154</v>
      </c>
      <c r="I19" s="26">
        <f t="shared" si="1"/>
        <v>0.65128132521591386</v>
      </c>
      <c r="J19" s="26">
        <f t="shared" si="1"/>
        <v>0</v>
      </c>
      <c r="K19" s="26">
        <f t="shared" si="0"/>
        <v>0</v>
      </c>
      <c r="L19" s="26">
        <v>1.0027347310847767</v>
      </c>
    </row>
    <row r="20" spans="1:12">
      <c r="A20" s="2">
        <v>32</v>
      </c>
      <c r="B20" s="26">
        <v>1632</v>
      </c>
      <c r="C20">
        <v>1206</v>
      </c>
      <c r="D20">
        <v>1</v>
      </c>
      <c r="E20">
        <v>0</v>
      </c>
      <c r="G20" s="2">
        <v>32</v>
      </c>
      <c r="H20" s="31">
        <f t="shared" si="2"/>
        <v>13.89054387607456</v>
      </c>
      <c r="I20" s="26">
        <f t="shared" si="1"/>
        <v>4.2687243380999575</v>
      </c>
      <c r="J20" s="26">
        <f t="shared" si="1"/>
        <v>6.3568749602695316E-3</v>
      </c>
      <c r="K20" s="26">
        <f t="shared" si="0"/>
        <v>0</v>
      </c>
      <c r="L20" s="26">
        <v>0.22789425706472194</v>
      </c>
    </row>
    <row r="21" spans="1:12">
      <c r="A21" s="2">
        <v>33</v>
      </c>
      <c r="B21" s="26">
        <v>1392</v>
      </c>
      <c r="C21">
        <v>3524</v>
      </c>
      <c r="D21">
        <v>102</v>
      </c>
      <c r="E21">
        <v>1.931</v>
      </c>
      <c r="G21" s="2">
        <v>33</v>
      </c>
      <c r="H21" s="26">
        <f t="shared" si="2"/>
        <v>11.84781683547536</v>
      </c>
      <c r="I21" s="26">
        <f t="shared" si="1"/>
        <v>12.473453206852612</v>
      </c>
      <c r="J21" s="26">
        <f t="shared" si="1"/>
        <v>0.64840124594749227</v>
      </c>
      <c r="K21" s="26">
        <f t="shared" si="0"/>
        <v>2.8527582869850014E-2</v>
      </c>
      <c r="L21" s="26">
        <v>9.1157702825888781E-2</v>
      </c>
    </row>
    <row r="22" spans="1:12">
      <c r="A22" s="2">
        <v>34</v>
      </c>
      <c r="B22" s="26">
        <v>1262</v>
      </c>
      <c r="C22">
        <v>4146</v>
      </c>
      <c r="D22">
        <v>1057</v>
      </c>
      <c r="E22">
        <v>6.7820999999999998</v>
      </c>
      <c r="G22" s="2">
        <v>34</v>
      </c>
      <c r="H22" s="26">
        <f t="shared" si="2"/>
        <v>10.741339688484127</v>
      </c>
      <c r="I22" s="31">
        <f t="shared" si="1"/>
        <v>14.675067251875973</v>
      </c>
      <c r="J22" s="26">
        <f t="shared" si="1"/>
        <v>6.7192168330048947</v>
      </c>
      <c r="K22" s="26">
        <f t="shared" si="0"/>
        <v>0.10019519408679947</v>
      </c>
      <c r="L22" s="26">
        <v>4.5578851412944391E-2</v>
      </c>
    </row>
    <row r="23" spans="1:12">
      <c r="A23" s="2">
        <v>35</v>
      </c>
      <c r="B23" s="26">
        <v>1052</v>
      </c>
      <c r="C23">
        <v>3616</v>
      </c>
      <c r="D23">
        <v>2453</v>
      </c>
      <c r="E23">
        <v>92.599914155848239</v>
      </c>
      <c r="G23" s="2">
        <v>35</v>
      </c>
      <c r="H23" s="26">
        <f t="shared" si="2"/>
        <v>8.9539535279598272</v>
      </c>
      <c r="I23" s="26">
        <f t="shared" si="1"/>
        <v>12.79909386946057</v>
      </c>
      <c r="J23" s="26">
        <f t="shared" si="1"/>
        <v>15.593414277541159</v>
      </c>
      <c r="K23" s="26">
        <f t="shared" si="0"/>
        <v>1.3680226436157215</v>
      </c>
      <c r="L23" s="26">
        <v>0</v>
      </c>
    </row>
    <row r="24" spans="1:12">
      <c r="A24" s="2">
        <v>36</v>
      </c>
      <c r="B24" s="26">
        <v>603</v>
      </c>
      <c r="C24">
        <v>3168</v>
      </c>
      <c r="D24">
        <v>2471</v>
      </c>
      <c r="E24">
        <v>638.72946659093122</v>
      </c>
      <c r="G24" s="2">
        <v>36</v>
      </c>
      <c r="H24" s="26">
        <f t="shared" si="2"/>
        <v>5.1323516895054899</v>
      </c>
      <c r="I24" s="26">
        <f t="shared" si="1"/>
        <v>11.213365425456605</v>
      </c>
      <c r="J24" s="31">
        <f t="shared" si="1"/>
        <v>15.707838026826012</v>
      </c>
      <c r="K24" s="26">
        <f t="shared" si="0"/>
        <v>9.4362546812987507</v>
      </c>
      <c r="L24" s="26">
        <v>0</v>
      </c>
    </row>
    <row r="25" spans="1:12">
      <c r="A25" s="2">
        <v>37</v>
      </c>
      <c r="B25" s="26">
        <v>480</v>
      </c>
      <c r="C25">
        <v>2578</v>
      </c>
      <c r="D25">
        <v>1979</v>
      </c>
      <c r="E25">
        <v>1164.4165305629474</v>
      </c>
      <c r="G25" s="2">
        <v>37</v>
      </c>
      <c r="H25" s="26">
        <f t="shared" si="2"/>
        <v>4.0854540811983995</v>
      </c>
      <c r="I25" s="26">
        <f t="shared" si="1"/>
        <v>9.1250176978620985</v>
      </c>
      <c r="J25" s="26">
        <f t="shared" si="1"/>
        <v>12.580255546373403</v>
      </c>
      <c r="K25" s="26">
        <f t="shared" si="0"/>
        <v>17.202480098735229</v>
      </c>
      <c r="L25" s="26">
        <v>0.95715587967183224</v>
      </c>
    </row>
    <row r="26" spans="1:12">
      <c r="A26" s="2">
        <v>38</v>
      </c>
      <c r="B26" s="26">
        <v>383</v>
      </c>
      <c r="C26">
        <v>2036</v>
      </c>
      <c r="D26">
        <v>1680</v>
      </c>
      <c r="E26">
        <v>1011.5099532659245</v>
      </c>
      <c r="G26" s="2">
        <v>38</v>
      </c>
      <c r="H26" s="26">
        <f t="shared" si="2"/>
        <v>3.2598519022895567</v>
      </c>
      <c r="I26" s="26">
        <f t="shared" si="1"/>
        <v>7.2065694464108736</v>
      </c>
      <c r="J26" s="26">
        <f t="shared" si="1"/>
        <v>10.679549933252813</v>
      </c>
      <c r="K26" s="31">
        <f t="shared" si="0"/>
        <v>14.943518392269176</v>
      </c>
      <c r="L26" s="26">
        <v>6.7912488605287145</v>
      </c>
    </row>
    <row r="27" spans="1:12">
      <c r="A27" s="2">
        <v>39</v>
      </c>
      <c r="B27" s="26">
        <v>280</v>
      </c>
      <c r="C27">
        <v>1790</v>
      </c>
      <c r="D27">
        <v>1322</v>
      </c>
      <c r="E27">
        <v>700.00962914718309</v>
      </c>
      <c r="G27" s="2">
        <v>39</v>
      </c>
      <c r="H27" s="26">
        <f t="shared" si="2"/>
        <v>2.3831815473657332</v>
      </c>
      <c r="I27" s="26">
        <f t="shared" si="1"/>
        <v>6.3358346311765539</v>
      </c>
      <c r="J27" s="26">
        <f t="shared" si="1"/>
        <v>8.4037886974763207</v>
      </c>
      <c r="K27" s="26">
        <f t="shared" si="0"/>
        <v>10.341575714753622</v>
      </c>
      <c r="L27" s="26">
        <v>13.445761166818595</v>
      </c>
    </row>
    <row r="28" spans="1:12">
      <c r="A28" s="2">
        <v>40</v>
      </c>
      <c r="B28" s="26">
        <v>226</v>
      </c>
      <c r="C28">
        <v>1356</v>
      </c>
      <c r="D28">
        <v>1097</v>
      </c>
      <c r="E28">
        <v>555.45347020470672</v>
      </c>
      <c r="G28" s="2">
        <v>40</v>
      </c>
      <c r="H28" s="26">
        <f t="shared" si="2"/>
        <v>1.9235679632309135</v>
      </c>
      <c r="I28" s="26">
        <f t="shared" si="1"/>
        <v>4.799660201047713</v>
      </c>
      <c r="J28" s="26">
        <f t="shared" si="1"/>
        <v>6.973491831415676</v>
      </c>
      <c r="K28" s="26">
        <f t="shared" si="0"/>
        <v>8.2059787165253937</v>
      </c>
      <c r="L28" s="31">
        <v>14.858705560619873</v>
      </c>
    </row>
    <row r="29" spans="1:12">
      <c r="A29" s="2">
        <v>41</v>
      </c>
      <c r="B29" s="26">
        <v>156</v>
      </c>
      <c r="C29">
        <v>1140</v>
      </c>
      <c r="D29">
        <v>879</v>
      </c>
      <c r="E29">
        <v>408.25350671930369</v>
      </c>
      <c r="G29" s="2">
        <v>41</v>
      </c>
      <c r="H29" s="26">
        <f t="shared" si="2"/>
        <v>1.3277725763894799</v>
      </c>
      <c r="I29" s="26">
        <f t="shared" ref="I29:I43" si="3">C29/C$44*100</f>
        <v>4.035112558402945</v>
      </c>
      <c r="J29" s="26">
        <f t="shared" ref="J29:J43" si="4">D29/D$44*100</f>
        <v>5.5876930900769182</v>
      </c>
      <c r="K29" s="26">
        <f t="shared" si="0"/>
        <v>6.0313235343561917</v>
      </c>
      <c r="L29" s="26">
        <v>8.4776663628076587</v>
      </c>
    </row>
    <row r="30" spans="1:12">
      <c r="A30" s="2">
        <v>42</v>
      </c>
      <c r="B30" s="26">
        <v>166</v>
      </c>
      <c r="C30">
        <v>896</v>
      </c>
      <c r="D30">
        <v>637</v>
      </c>
      <c r="E30">
        <v>248.04802227241396</v>
      </c>
      <c r="G30" s="2">
        <v>42</v>
      </c>
      <c r="H30" s="26">
        <f t="shared" si="2"/>
        <v>1.4128862030811131</v>
      </c>
      <c r="I30" s="26">
        <f t="shared" si="3"/>
        <v>3.1714568880079286</v>
      </c>
      <c r="J30" s="26">
        <f t="shared" si="4"/>
        <v>4.0493293496916918</v>
      </c>
      <c r="K30" s="26">
        <f t="shared" si="0"/>
        <v>3.6645315955871012</v>
      </c>
      <c r="L30" s="26">
        <v>6.9279854147675488</v>
      </c>
    </row>
    <row r="31" spans="1:12">
      <c r="A31" s="2">
        <v>43</v>
      </c>
      <c r="B31" s="26">
        <v>117</v>
      </c>
      <c r="C31">
        <v>696</v>
      </c>
      <c r="D31">
        <v>532</v>
      </c>
      <c r="E31">
        <v>237.94558743022156</v>
      </c>
      <c r="G31" s="2">
        <v>43</v>
      </c>
      <c r="H31" s="26">
        <f t="shared" si="2"/>
        <v>0.99582943229210996</v>
      </c>
      <c r="I31" s="26">
        <f t="shared" si="3"/>
        <v>2.4635424040775877</v>
      </c>
      <c r="J31" s="26">
        <f t="shared" si="4"/>
        <v>3.3818574788633904</v>
      </c>
      <c r="K31" s="26">
        <f t="shared" si="0"/>
        <v>3.5152835131697509</v>
      </c>
      <c r="L31" s="26">
        <v>4.1476754785779395</v>
      </c>
    </row>
    <row r="32" spans="1:12">
      <c r="A32" s="2">
        <v>44</v>
      </c>
      <c r="B32" s="26">
        <v>132</v>
      </c>
      <c r="C32">
        <v>582</v>
      </c>
      <c r="D32">
        <v>440</v>
      </c>
      <c r="E32">
        <v>181.95507360371951</v>
      </c>
      <c r="G32" s="2">
        <v>44</v>
      </c>
      <c r="H32" s="26">
        <f t="shared" si="2"/>
        <v>1.1234998723295599</v>
      </c>
      <c r="I32" s="26">
        <f t="shared" si="3"/>
        <v>2.0600311482372931</v>
      </c>
      <c r="J32" s="26">
        <f t="shared" si="4"/>
        <v>2.797024982518594</v>
      </c>
      <c r="K32" s="26">
        <f t="shared" si="0"/>
        <v>2.6881089802277409</v>
      </c>
      <c r="L32" s="26">
        <v>3.00820419325433</v>
      </c>
    </row>
    <row r="33" spans="1:12">
      <c r="A33" s="2">
        <v>45</v>
      </c>
      <c r="B33" s="26">
        <v>65</v>
      </c>
      <c r="C33">
        <v>402</v>
      </c>
      <c r="D33">
        <v>340</v>
      </c>
      <c r="E33">
        <v>142.43506010782667</v>
      </c>
      <c r="G33" s="2">
        <v>45</v>
      </c>
      <c r="H33" s="26">
        <f t="shared" si="2"/>
        <v>0.55323857349561667</v>
      </c>
      <c r="I33" s="26">
        <f t="shared" si="3"/>
        <v>1.4229081126999858</v>
      </c>
      <c r="J33" s="26">
        <f t="shared" si="4"/>
        <v>2.1613374864916408</v>
      </c>
      <c r="K33" s="26">
        <f t="shared" si="0"/>
        <v>2.1042609947167756</v>
      </c>
      <c r="L33" s="26">
        <v>3.828623518687329</v>
      </c>
    </row>
    <row r="34" spans="1:12">
      <c r="A34" s="2">
        <v>46</v>
      </c>
      <c r="B34" s="26">
        <v>32</v>
      </c>
      <c r="C34">
        <v>304</v>
      </c>
      <c r="D34">
        <v>206</v>
      </c>
      <c r="E34">
        <v>91.125949856226981</v>
      </c>
      <c r="G34" s="2">
        <v>46</v>
      </c>
      <c r="H34" s="26">
        <f t="shared" si="2"/>
        <v>0.27236360541322668</v>
      </c>
      <c r="I34" s="26">
        <f t="shared" si="3"/>
        <v>1.0760300155741187</v>
      </c>
      <c r="J34" s="26">
        <f t="shared" si="4"/>
        <v>1.3095162418155235</v>
      </c>
      <c r="K34" s="26">
        <f t="shared" si="0"/>
        <v>1.3462470668655164</v>
      </c>
      <c r="L34" s="26">
        <v>2.461257976298997</v>
      </c>
    </row>
    <row r="35" spans="1:12">
      <c r="A35" s="2">
        <v>47</v>
      </c>
      <c r="B35" s="26">
        <v>43</v>
      </c>
      <c r="C35">
        <v>238</v>
      </c>
      <c r="D35">
        <v>219</v>
      </c>
      <c r="E35">
        <v>85.237329853499062</v>
      </c>
      <c r="G35" s="2">
        <v>47</v>
      </c>
      <c r="H35" s="26">
        <f t="shared" si="2"/>
        <v>0.36598859477402335</v>
      </c>
      <c r="I35" s="26">
        <f t="shared" si="3"/>
        <v>0.84241823587710607</v>
      </c>
      <c r="J35" s="26">
        <f t="shared" si="4"/>
        <v>1.3921556162990274</v>
      </c>
      <c r="K35" s="26">
        <f t="shared" si="0"/>
        <v>1.2592516784051968</v>
      </c>
      <c r="L35" s="26">
        <v>1.6864175022789425</v>
      </c>
    </row>
    <row r="36" spans="1:12">
      <c r="A36" s="2">
        <v>48</v>
      </c>
      <c r="B36" s="26">
        <v>13</v>
      </c>
      <c r="C36">
        <v>144</v>
      </c>
      <c r="D36">
        <v>141</v>
      </c>
      <c r="E36">
        <v>99.264900903567735</v>
      </c>
      <c r="G36" s="2">
        <v>48</v>
      </c>
      <c r="H36" s="26">
        <f t="shared" si="2"/>
        <v>0.11064771469912332</v>
      </c>
      <c r="I36" s="26">
        <f t="shared" si="3"/>
        <v>0.5096984284298457</v>
      </c>
      <c r="J36" s="26">
        <f t="shared" si="4"/>
        <v>0.89631936939800394</v>
      </c>
      <c r="K36" s="26">
        <f t="shared" si="0"/>
        <v>1.4664876678373788</v>
      </c>
      <c r="L36" s="26">
        <v>1.0938924339106655</v>
      </c>
    </row>
    <row r="37" spans="1:12">
      <c r="A37" s="2">
        <v>49</v>
      </c>
      <c r="B37" s="26">
        <v>5</v>
      </c>
      <c r="C37">
        <v>70</v>
      </c>
      <c r="D37">
        <v>88</v>
      </c>
      <c r="E37">
        <v>68.043089657657248</v>
      </c>
      <c r="G37" s="2">
        <v>49</v>
      </c>
      <c r="H37" s="26">
        <f t="shared" si="2"/>
        <v>4.2556813345816666E-2</v>
      </c>
      <c r="I37" s="26">
        <f t="shared" si="3"/>
        <v>0.24777006937561941</v>
      </c>
      <c r="J37" s="26">
        <f t="shared" si="4"/>
        <v>0.55940499650371878</v>
      </c>
      <c r="K37" s="26">
        <f t="shared" si="0"/>
        <v>1.0052329771773443</v>
      </c>
      <c r="L37" s="26">
        <v>0.41020966271649956</v>
      </c>
    </row>
    <row r="38" spans="1:12">
      <c r="A38" s="2">
        <v>50</v>
      </c>
      <c r="B38" s="26">
        <v>3</v>
      </c>
      <c r="C38">
        <v>48</v>
      </c>
      <c r="D38">
        <v>51</v>
      </c>
      <c r="E38">
        <v>41.240229916808872</v>
      </c>
      <c r="G38" s="2">
        <v>50</v>
      </c>
      <c r="H38" s="26">
        <f t="shared" si="2"/>
        <v>2.5534088007490002E-2</v>
      </c>
      <c r="I38" s="26">
        <f t="shared" si="3"/>
        <v>0.16989947614328188</v>
      </c>
      <c r="J38" s="26">
        <f t="shared" si="4"/>
        <v>0.32420062297374613</v>
      </c>
      <c r="K38" s="26">
        <f t="shared" si="0"/>
        <v>0.60926156215610194</v>
      </c>
      <c r="L38" s="26">
        <v>0.50136736554238837</v>
      </c>
    </row>
    <row r="39" spans="1:12">
      <c r="A39" s="2">
        <v>51</v>
      </c>
      <c r="B39" s="26">
        <v>0</v>
      </c>
      <c r="C39">
        <v>32</v>
      </c>
      <c r="D39">
        <v>19</v>
      </c>
      <c r="E39">
        <v>33.177758085542521</v>
      </c>
      <c r="G39" s="2">
        <v>51</v>
      </c>
      <c r="H39" s="26">
        <f t="shared" si="2"/>
        <v>0</v>
      </c>
      <c r="I39" s="26">
        <f t="shared" si="3"/>
        <v>0.1132663174288546</v>
      </c>
      <c r="J39" s="26">
        <f t="shared" si="4"/>
        <v>0.12078062424512111</v>
      </c>
      <c r="K39" s="26">
        <f t="shared" si="0"/>
        <v>0.49015082507568652</v>
      </c>
      <c r="L39" s="26">
        <v>0.31905195989061075</v>
      </c>
    </row>
    <row r="40" spans="1:12">
      <c r="A40" s="2">
        <v>52</v>
      </c>
      <c r="B40" s="26">
        <v>0</v>
      </c>
      <c r="C40">
        <v>6</v>
      </c>
      <c r="D40">
        <v>10</v>
      </c>
      <c r="E40">
        <v>10.843721105005496</v>
      </c>
      <c r="G40" s="2">
        <v>52</v>
      </c>
      <c r="H40" s="26">
        <f t="shared" si="2"/>
        <v>0</v>
      </c>
      <c r="I40" s="26">
        <f t="shared" si="3"/>
        <v>2.1237434517910235E-2</v>
      </c>
      <c r="J40" s="26">
        <f t="shared" si="4"/>
        <v>6.3568749602695318E-2</v>
      </c>
      <c r="K40" s="26">
        <f t="shared" si="0"/>
        <v>0.1601994575041874</v>
      </c>
      <c r="L40" s="26">
        <v>0.22789425706472194</v>
      </c>
    </row>
    <row r="41" spans="1:12">
      <c r="A41" s="2">
        <v>53</v>
      </c>
      <c r="B41" s="26">
        <v>0</v>
      </c>
      <c r="C41">
        <v>2</v>
      </c>
      <c r="D41">
        <v>5</v>
      </c>
      <c r="E41">
        <v>5.0322291736712792</v>
      </c>
      <c r="G41" s="2">
        <v>53</v>
      </c>
      <c r="H41" s="26">
        <f t="shared" si="2"/>
        <v>0</v>
      </c>
      <c r="I41" s="26">
        <f t="shared" si="3"/>
        <v>7.0791448393034122E-3</v>
      </c>
      <c r="J41" s="26">
        <f t="shared" si="4"/>
        <v>3.1784374801347659E-2</v>
      </c>
      <c r="K41" s="26">
        <f t="shared" si="0"/>
        <v>7.4343518784041579E-2</v>
      </c>
      <c r="L41" s="26">
        <v>0</v>
      </c>
    </row>
    <row r="42" spans="1:12">
      <c r="A42" s="2">
        <v>54</v>
      </c>
      <c r="B42" s="26">
        <v>1</v>
      </c>
      <c r="C42">
        <v>4</v>
      </c>
      <c r="D42">
        <v>0</v>
      </c>
      <c r="E42">
        <v>3.6008</v>
      </c>
      <c r="G42" s="2">
        <v>54</v>
      </c>
      <c r="H42" s="26">
        <f t="shared" si="2"/>
        <v>8.5113626691633339E-3</v>
      </c>
      <c r="I42" s="26">
        <f t="shared" si="3"/>
        <v>1.4158289678606824E-2</v>
      </c>
      <c r="J42" s="26">
        <f t="shared" si="4"/>
        <v>0</v>
      </c>
      <c r="K42" s="26">
        <f t="shared" si="0"/>
        <v>5.3196333711939901E-2</v>
      </c>
      <c r="L42" s="26">
        <v>0</v>
      </c>
    </row>
    <row r="43" spans="1:12">
      <c r="A43" s="2">
        <v>55</v>
      </c>
      <c r="B43" s="26">
        <v>0</v>
      </c>
      <c r="C43">
        <v>2</v>
      </c>
      <c r="D43">
        <v>0</v>
      </c>
      <c r="E43">
        <v>2.0118291736712788</v>
      </c>
      <c r="G43" s="2">
        <v>55</v>
      </c>
      <c r="H43" s="26">
        <f t="shared" si="2"/>
        <v>0</v>
      </c>
      <c r="I43" s="26">
        <f t="shared" si="3"/>
        <v>7.0791448393034122E-3</v>
      </c>
      <c r="J43" s="26">
        <f t="shared" si="4"/>
        <v>0</v>
      </c>
      <c r="K43" s="26">
        <f t="shared" si="0"/>
        <v>2.9721710757063331E-2</v>
      </c>
      <c r="L43" s="26">
        <v>0</v>
      </c>
    </row>
    <row r="44" spans="1:12">
      <c r="A44" s="6" t="s">
        <v>11</v>
      </c>
      <c r="B44">
        <f>SUM(B13:B43)</f>
        <v>11749</v>
      </c>
      <c r="C44">
        <f t="shared" ref="C44:E44" si="5">SUM(C13:C43)</f>
        <v>28252</v>
      </c>
      <c r="D44">
        <f t="shared" si="5"/>
        <v>15731</v>
      </c>
      <c r="E44">
        <f t="shared" si="5"/>
        <v>6768.8875317958273</v>
      </c>
      <c r="H44" s="26">
        <f>SUM(H13:H43)</f>
        <v>100</v>
      </c>
      <c r="I44" s="26">
        <f t="shared" ref="I44:J44" si="6">SUM(I13:I43)</f>
        <v>100.00000000000001</v>
      </c>
      <c r="J44" s="26">
        <f t="shared" si="6"/>
        <v>99.999999999999986</v>
      </c>
      <c r="K44" s="26">
        <f t="shared" ref="K44:L44" si="7">SUM(K13:K43)</f>
        <v>100.00000000000001</v>
      </c>
      <c r="L44" s="26">
        <f t="shared" si="7"/>
        <v>99.772105742935267</v>
      </c>
    </row>
    <row r="45" spans="1:12">
      <c r="A45" s="24" t="s">
        <v>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"/>
  <sheetViews>
    <sheetView tabSelected="1" zoomScale="50" zoomScaleNormal="50" workbookViewId="0">
      <selection activeCell="AB47" sqref="AB47"/>
    </sheetView>
  </sheetViews>
  <sheetFormatPr defaultRowHeight="14.4"/>
  <cols>
    <col min="1" max="1" width="7.88671875" style="6" customWidth="1"/>
  </cols>
  <sheetData>
    <row r="1" spans="1:12">
      <c r="A1" s="22"/>
      <c r="G1" t="s">
        <v>20</v>
      </c>
    </row>
    <row r="2" spans="1:12">
      <c r="A2" s="16"/>
      <c r="B2">
        <v>2007</v>
      </c>
      <c r="C2">
        <v>2008</v>
      </c>
      <c r="D2">
        <v>2009</v>
      </c>
      <c r="E2">
        <v>2010</v>
      </c>
      <c r="G2" s="16"/>
      <c r="H2">
        <v>2007</v>
      </c>
      <c r="I2">
        <v>2008</v>
      </c>
      <c r="J2">
        <v>2009</v>
      </c>
      <c r="K2">
        <v>2010</v>
      </c>
      <c r="L2">
        <v>2011</v>
      </c>
    </row>
    <row r="3" spans="1:12">
      <c r="A3" s="16"/>
      <c r="E3">
        <v>0</v>
      </c>
      <c r="G3" s="2">
        <v>15</v>
      </c>
      <c r="K3" s="26">
        <f t="shared" ref="K3:K43" si="0">E3/E$44*100</f>
        <v>0</v>
      </c>
      <c r="L3" s="26">
        <v>0</v>
      </c>
    </row>
    <row r="4" spans="1:12">
      <c r="A4" s="16"/>
      <c r="E4">
        <v>0</v>
      </c>
      <c r="G4" s="2">
        <v>16</v>
      </c>
      <c r="K4" s="26">
        <f t="shared" si="0"/>
        <v>0</v>
      </c>
      <c r="L4" s="26">
        <v>0</v>
      </c>
    </row>
    <row r="5" spans="1:12">
      <c r="A5" s="16"/>
      <c r="E5">
        <v>0</v>
      </c>
      <c r="G5" s="2">
        <v>17</v>
      </c>
      <c r="K5" s="26">
        <f t="shared" si="0"/>
        <v>0</v>
      </c>
      <c r="L5" s="26">
        <v>0</v>
      </c>
    </row>
    <row r="6" spans="1:12">
      <c r="A6" s="16"/>
      <c r="E6">
        <v>94.499991020725091</v>
      </c>
      <c r="G6" s="2">
        <v>18</v>
      </c>
      <c r="K6" s="26">
        <f t="shared" si="0"/>
        <v>1.3960933842795533</v>
      </c>
      <c r="L6" s="26">
        <v>0</v>
      </c>
    </row>
    <row r="7" spans="1:12">
      <c r="A7" s="16"/>
      <c r="E7">
        <v>1048.8354975874818</v>
      </c>
      <c r="G7" s="2">
        <v>19</v>
      </c>
      <c r="K7" s="26">
        <f t="shared" si="0"/>
        <v>15.494946439289107</v>
      </c>
      <c r="L7" s="26">
        <v>0</v>
      </c>
    </row>
    <row r="8" spans="1:12">
      <c r="A8" s="16"/>
      <c r="E8">
        <v>1661.8685725203459</v>
      </c>
      <c r="G8" s="2">
        <v>20</v>
      </c>
      <c r="K8" s="26">
        <f t="shared" si="0"/>
        <v>24.55157608564139</v>
      </c>
      <c r="L8" s="26">
        <v>0</v>
      </c>
    </row>
    <row r="9" spans="1:12">
      <c r="A9" s="16"/>
      <c r="E9">
        <v>1627.4881002541649</v>
      </c>
      <c r="G9" s="2">
        <v>21</v>
      </c>
      <c r="K9" s="31">
        <f t="shared" si="0"/>
        <v>24.04365699103856</v>
      </c>
      <c r="L9" s="26">
        <v>0</v>
      </c>
    </row>
    <row r="10" spans="1:12">
      <c r="A10" s="16"/>
      <c r="E10">
        <v>1269.1841924744608</v>
      </c>
      <c r="G10" s="2">
        <v>22</v>
      </c>
      <c r="K10" s="26">
        <f t="shared" si="0"/>
        <v>18.750262676291481</v>
      </c>
      <c r="L10" s="26">
        <v>0</v>
      </c>
    </row>
    <row r="11" spans="1:12">
      <c r="A11" s="16"/>
      <c r="E11">
        <v>1004.8137942577705</v>
      </c>
      <c r="G11" s="2">
        <v>23</v>
      </c>
      <c r="K11" s="26">
        <f t="shared" si="0"/>
        <v>14.844592845394599</v>
      </c>
      <c r="L11" s="26">
        <v>0</v>
      </c>
    </row>
    <row r="12" spans="1:12">
      <c r="A12" s="16"/>
      <c r="E12">
        <v>677.65114247731697</v>
      </c>
      <c r="G12" s="2">
        <v>24</v>
      </c>
      <c r="K12" s="26">
        <f t="shared" si="0"/>
        <v>10.011263140274574</v>
      </c>
      <c r="L12" s="26">
        <v>0.22789425706472194</v>
      </c>
    </row>
    <row r="13" spans="1:12">
      <c r="A13" s="2">
        <v>25</v>
      </c>
      <c r="B13" s="26">
        <v>0</v>
      </c>
      <c r="C13">
        <v>0</v>
      </c>
      <c r="D13">
        <v>0</v>
      </c>
      <c r="E13">
        <v>524.88523917659518</v>
      </c>
      <c r="G13" s="2">
        <v>25</v>
      </c>
      <c r="H13" s="26">
        <f>B13/B$44*100</f>
        <v>0</v>
      </c>
      <c r="I13" s="26">
        <f t="shared" ref="I13:J28" si="1">C13/C$44*100</f>
        <v>0</v>
      </c>
      <c r="J13" s="26">
        <f t="shared" si="1"/>
        <v>0</v>
      </c>
      <c r="K13" s="26">
        <f t="shared" si="0"/>
        <v>7.7543796777687026</v>
      </c>
      <c r="L13" s="26">
        <v>2.643573381950775</v>
      </c>
    </row>
    <row r="14" spans="1:12">
      <c r="A14" s="2">
        <v>26</v>
      </c>
      <c r="B14" s="26">
        <v>2</v>
      </c>
      <c r="C14">
        <v>0</v>
      </c>
      <c r="D14">
        <v>2</v>
      </c>
      <c r="E14">
        <v>244.18098159853022</v>
      </c>
      <c r="G14" s="2">
        <v>26</v>
      </c>
      <c r="H14" s="26">
        <f t="shared" ref="H14:J43" si="2">B14/B$44*100</f>
        <v>1.7022725338326668E-2</v>
      </c>
      <c r="I14" s="26">
        <f t="shared" si="1"/>
        <v>0</v>
      </c>
      <c r="J14" s="26">
        <f t="shared" si="1"/>
        <v>1.2713749920539063E-2</v>
      </c>
      <c r="K14" s="26">
        <f t="shared" si="0"/>
        <v>3.6074019615708921</v>
      </c>
      <c r="L14" s="26">
        <v>4.193254329990884</v>
      </c>
    </row>
    <row r="15" spans="1:12">
      <c r="A15" s="2">
        <v>27</v>
      </c>
      <c r="B15" s="26">
        <v>50</v>
      </c>
      <c r="C15">
        <v>0</v>
      </c>
      <c r="D15">
        <v>0</v>
      </c>
      <c r="E15">
        <v>128.65168503496656</v>
      </c>
      <c r="G15" s="2">
        <v>27</v>
      </c>
      <c r="H15" s="26">
        <f t="shared" si="2"/>
        <v>0.42556813345816669</v>
      </c>
      <c r="I15" s="26">
        <f t="shared" si="1"/>
        <v>0</v>
      </c>
      <c r="J15" s="26">
        <f t="shared" si="1"/>
        <v>0</v>
      </c>
      <c r="K15" s="26">
        <f t="shared" si="0"/>
        <v>1.9006326287834552</v>
      </c>
      <c r="L15" s="26">
        <v>6.4721969006381039</v>
      </c>
    </row>
    <row r="16" spans="1:12">
      <c r="A16" s="2">
        <v>28</v>
      </c>
      <c r="B16" s="26">
        <v>252</v>
      </c>
      <c r="C16">
        <v>0</v>
      </c>
      <c r="D16">
        <v>0</v>
      </c>
      <c r="E16">
        <v>41.483474199057788</v>
      </c>
      <c r="G16" s="2">
        <v>28</v>
      </c>
      <c r="H16" s="26">
        <f t="shared" si="2"/>
        <v>2.1448633926291603</v>
      </c>
      <c r="I16" s="26">
        <f t="shared" si="1"/>
        <v>0</v>
      </c>
      <c r="J16" s="26">
        <f t="shared" si="1"/>
        <v>0</v>
      </c>
      <c r="K16" s="26">
        <f t="shared" si="0"/>
        <v>0.61285512581196588</v>
      </c>
      <c r="L16" s="31">
        <v>6.2443026435733824</v>
      </c>
    </row>
    <row r="17" spans="1:12">
      <c r="A17" s="2">
        <v>29</v>
      </c>
      <c r="B17" s="26">
        <v>561</v>
      </c>
      <c r="C17">
        <v>4</v>
      </c>
      <c r="D17">
        <v>0</v>
      </c>
      <c r="E17">
        <v>3.9E-2</v>
      </c>
      <c r="G17" s="2">
        <v>29</v>
      </c>
      <c r="H17" s="26">
        <f t="shared" si="2"/>
        <v>4.7748744574006299</v>
      </c>
      <c r="I17" s="26">
        <f t="shared" si="1"/>
        <v>1.4158289678606824E-2</v>
      </c>
      <c r="J17" s="26">
        <f t="shared" si="1"/>
        <v>0</v>
      </c>
      <c r="K17" s="26">
        <f t="shared" si="0"/>
        <v>5.7616557841747831E-4</v>
      </c>
      <c r="L17" s="26">
        <v>6.0619872379216044</v>
      </c>
    </row>
    <row r="18" spans="1:12">
      <c r="A18" s="2">
        <v>30</v>
      </c>
      <c r="B18" s="26">
        <v>1187</v>
      </c>
      <c r="C18">
        <v>78</v>
      </c>
      <c r="D18">
        <v>0</v>
      </c>
      <c r="E18">
        <v>0</v>
      </c>
      <c r="G18" s="2">
        <v>30</v>
      </c>
      <c r="H18" s="26">
        <f t="shared" si="2"/>
        <v>10.102987488296876</v>
      </c>
      <c r="I18" s="26">
        <f t="shared" si="1"/>
        <v>0.27608664873283306</v>
      </c>
      <c r="J18" s="26">
        <f t="shared" si="1"/>
        <v>0</v>
      </c>
      <c r="K18" s="26">
        <f t="shared" si="0"/>
        <v>0</v>
      </c>
      <c r="L18" s="26">
        <v>3.646308113035551</v>
      </c>
    </row>
    <row r="19" spans="1:12">
      <c r="A19" s="2">
        <v>31</v>
      </c>
      <c r="B19" s="26">
        <v>1654</v>
      </c>
      <c r="C19">
        <v>184</v>
      </c>
      <c r="D19">
        <v>0</v>
      </c>
      <c r="E19">
        <v>0</v>
      </c>
      <c r="G19" s="2">
        <v>31</v>
      </c>
      <c r="H19" s="26">
        <f t="shared" si="2"/>
        <v>14.077793854796154</v>
      </c>
      <c r="I19" s="26">
        <f t="shared" si="1"/>
        <v>0.65128132521591386</v>
      </c>
      <c r="J19" s="26">
        <f t="shared" si="1"/>
        <v>0</v>
      </c>
      <c r="K19" s="26">
        <f t="shared" si="0"/>
        <v>0</v>
      </c>
      <c r="L19" s="26">
        <v>1.0027347310847767</v>
      </c>
    </row>
    <row r="20" spans="1:12">
      <c r="A20" s="2">
        <v>32</v>
      </c>
      <c r="B20" s="26">
        <v>1632</v>
      </c>
      <c r="C20">
        <v>1206</v>
      </c>
      <c r="D20">
        <v>1</v>
      </c>
      <c r="E20">
        <v>0</v>
      </c>
      <c r="G20" s="2">
        <v>32</v>
      </c>
      <c r="H20" s="31">
        <f t="shared" si="2"/>
        <v>13.89054387607456</v>
      </c>
      <c r="I20" s="26">
        <f t="shared" si="1"/>
        <v>4.2687243380999575</v>
      </c>
      <c r="J20" s="26">
        <f t="shared" si="1"/>
        <v>6.3568749602695316E-3</v>
      </c>
      <c r="K20" s="26">
        <f t="shared" si="0"/>
        <v>0</v>
      </c>
      <c r="L20" s="26">
        <v>0.22789425706472194</v>
      </c>
    </row>
    <row r="21" spans="1:12">
      <c r="A21" s="2">
        <v>33</v>
      </c>
      <c r="B21" s="26">
        <v>1392</v>
      </c>
      <c r="C21">
        <v>3524</v>
      </c>
      <c r="D21">
        <v>102</v>
      </c>
      <c r="E21">
        <v>1.931</v>
      </c>
      <c r="G21" s="2">
        <v>33</v>
      </c>
      <c r="H21" s="26">
        <f t="shared" si="2"/>
        <v>11.84781683547536</v>
      </c>
      <c r="I21" s="26">
        <f t="shared" si="1"/>
        <v>12.473453206852612</v>
      </c>
      <c r="J21" s="26">
        <f t="shared" si="1"/>
        <v>0.64840124594749227</v>
      </c>
      <c r="K21" s="26">
        <f t="shared" si="0"/>
        <v>2.8527582869850014E-2</v>
      </c>
      <c r="L21" s="26">
        <v>9.1157702825888781E-2</v>
      </c>
    </row>
    <row r="22" spans="1:12">
      <c r="A22" s="2">
        <v>34</v>
      </c>
      <c r="B22" s="26">
        <v>1262</v>
      </c>
      <c r="C22">
        <v>4146</v>
      </c>
      <c r="D22">
        <v>1057</v>
      </c>
      <c r="E22">
        <v>6.7820999999999998</v>
      </c>
      <c r="G22" s="2">
        <v>34</v>
      </c>
      <c r="H22" s="26">
        <f t="shared" si="2"/>
        <v>10.741339688484127</v>
      </c>
      <c r="I22" s="31">
        <f t="shared" si="1"/>
        <v>14.675067251875973</v>
      </c>
      <c r="J22" s="26">
        <f t="shared" si="1"/>
        <v>6.7192168330048947</v>
      </c>
      <c r="K22" s="26">
        <f t="shared" si="0"/>
        <v>0.10019519408679947</v>
      </c>
      <c r="L22" s="26">
        <v>4.5578851412944391E-2</v>
      </c>
    </row>
    <row r="23" spans="1:12">
      <c r="A23" s="2">
        <v>35</v>
      </c>
      <c r="B23" s="26">
        <v>1052</v>
      </c>
      <c r="C23">
        <v>3616</v>
      </c>
      <c r="D23">
        <v>2453</v>
      </c>
      <c r="E23">
        <v>92.599914155848239</v>
      </c>
      <c r="G23" s="2">
        <v>35</v>
      </c>
      <c r="H23" s="26">
        <f t="shared" si="2"/>
        <v>8.9539535279598272</v>
      </c>
      <c r="I23" s="26">
        <f t="shared" si="1"/>
        <v>12.79909386946057</v>
      </c>
      <c r="J23" s="26">
        <f t="shared" si="1"/>
        <v>15.593414277541159</v>
      </c>
      <c r="K23" s="26">
        <f t="shared" si="0"/>
        <v>1.3680226436157215</v>
      </c>
      <c r="L23" s="26">
        <v>0</v>
      </c>
    </row>
    <row r="24" spans="1:12">
      <c r="A24" s="2">
        <v>36</v>
      </c>
      <c r="B24" s="26">
        <v>603</v>
      </c>
      <c r="C24">
        <v>3168</v>
      </c>
      <c r="D24">
        <v>2471</v>
      </c>
      <c r="E24">
        <v>638.72946659093122</v>
      </c>
      <c r="G24" s="2">
        <v>36</v>
      </c>
      <c r="H24" s="26">
        <f t="shared" si="2"/>
        <v>5.1323516895054899</v>
      </c>
      <c r="I24" s="26">
        <f t="shared" si="1"/>
        <v>11.213365425456605</v>
      </c>
      <c r="J24" s="31">
        <f t="shared" si="1"/>
        <v>15.707838026826012</v>
      </c>
      <c r="K24" s="26">
        <f t="shared" si="0"/>
        <v>9.4362546812987507</v>
      </c>
      <c r="L24" s="26">
        <v>0</v>
      </c>
    </row>
    <row r="25" spans="1:12">
      <c r="A25" s="2">
        <v>37</v>
      </c>
      <c r="B25" s="26">
        <v>480</v>
      </c>
      <c r="C25">
        <v>2578</v>
      </c>
      <c r="D25">
        <v>1979</v>
      </c>
      <c r="E25">
        <v>1164.4165305629474</v>
      </c>
      <c r="G25" s="2">
        <v>37</v>
      </c>
      <c r="H25" s="26">
        <f t="shared" si="2"/>
        <v>4.0854540811983995</v>
      </c>
      <c r="I25" s="26">
        <f t="shared" si="1"/>
        <v>9.1250176978620985</v>
      </c>
      <c r="J25" s="26">
        <f t="shared" si="1"/>
        <v>12.580255546373403</v>
      </c>
      <c r="K25" s="26">
        <f t="shared" si="0"/>
        <v>17.202480098735229</v>
      </c>
      <c r="L25" s="26">
        <v>0.95715587967183224</v>
      </c>
    </row>
    <row r="26" spans="1:12">
      <c r="A26" s="2">
        <v>38</v>
      </c>
      <c r="B26" s="26">
        <v>383</v>
      </c>
      <c r="C26">
        <v>2036</v>
      </c>
      <c r="D26">
        <v>1680</v>
      </c>
      <c r="E26">
        <v>1011.5099532659245</v>
      </c>
      <c r="G26" s="2">
        <v>38</v>
      </c>
      <c r="H26" s="26">
        <f t="shared" si="2"/>
        <v>3.2598519022895567</v>
      </c>
      <c r="I26" s="26">
        <f t="shared" si="1"/>
        <v>7.2065694464108736</v>
      </c>
      <c r="J26" s="26">
        <f t="shared" si="1"/>
        <v>10.679549933252813</v>
      </c>
      <c r="K26" s="31">
        <f t="shared" si="0"/>
        <v>14.943518392269176</v>
      </c>
      <c r="L26" s="26">
        <v>6.7912488605287145</v>
      </c>
    </row>
    <row r="27" spans="1:12">
      <c r="A27" s="2">
        <v>39</v>
      </c>
      <c r="B27" s="26">
        <v>280</v>
      </c>
      <c r="C27">
        <v>1790</v>
      </c>
      <c r="D27">
        <v>1322</v>
      </c>
      <c r="E27">
        <v>700.00962914718309</v>
      </c>
      <c r="G27" s="2">
        <v>39</v>
      </c>
      <c r="H27" s="26">
        <f t="shared" si="2"/>
        <v>2.3831815473657332</v>
      </c>
      <c r="I27" s="26">
        <f t="shared" si="1"/>
        <v>6.3358346311765539</v>
      </c>
      <c r="J27" s="26">
        <f t="shared" si="1"/>
        <v>8.4037886974763207</v>
      </c>
      <c r="K27" s="26">
        <f t="shared" si="0"/>
        <v>10.341575714753622</v>
      </c>
      <c r="L27" s="26">
        <v>13.445761166818595</v>
      </c>
    </row>
    <row r="28" spans="1:12">
      <c r="A28" s="2">
        <v>40</v>
      </c>
      <c r="B28" s="26">
        <v>226</v>
      </c>
      <c r="C28">
        <v>1356</v>
      </c>
      <c r="D28">
        <v>1097</v>
      </c>
      <c r="E28">
        <v>555.45347020470672</v>
      </c>
      <c r="G28" s="2">
        <v>40</v>
      </c>
      <c r="H28" s="26">
        <f t="shared" si="2"/>
        <v>1.9235679632309135</v>
      </c>
      <c r="I28" s="26">
        <f t="shared" si="1"/>
        <v>4.799660201047713</v>
      </c>
      <c r="J28" s="26">
        <f t="shared" si="1"/>
        <v>6.973491831415676</v>
      </c>
      <c r="K28" s="26">
        <f t="shared" si="0"/>
        <v>8.2059787165253937</v>
      </c>
      <c r="L28" s="31">
        <v>14.858705560619873</v>
      </c>
    </row>
    <row r="29" spans="1:12">
      <c r="A29" s="2">
        <v>41</v>
      </c>
      <c r="B29" s="26">
        <v>156</v>
      </c>
      <c r="C29">
        <v>1140</v>
      </c>
      <c r="D29">
        <v>879</v>
      </c>
      <c r="E29">
        <v>408.25350671930369</v>
      </c>
      <c r="G29" s="2">
        <v>41</v>
      </c>
      <c r="H29" s="26">
        <f t="shared" si="2"/>
        <v>1.3277725763894799</v>
      </c>
      <c r="I29" s="26">
        <f t="shared" si="2"/>
        <v>4.035112558402945</v>
      </c>
      <c r="J29" s="26">
        <f t="shared" si="2"/>
        <v>5.5876930900769182</v>
      </c>
      <c r="K29" s="26">
        <f t="shared" si="0"/>
        <v>6.0313235343561917</v>
      </c>
      <c r="L29" s="26">
        <v>8.4776663628076587</v>
      </c>
    </row>
    <row r="30" spans="1:12">
      <c r="A30" s="2">
        <v>42</v>
      </c>
      <c r="B30" s="26">
        <v>166</v>
      </c>
      <c r="C30">
        <v>896</v>
      </c>
      <c r="D30">
        <v>637</v>
      </c>
      <c r="E30">
        <v>248.04802227241396</v>
      </c>
      <c r="G30" s="2">
        <v>42</v>
      </c>
      <c r="H30" s="26">
        <f t="shared" si="2"/>
        <v>1.4128862030811131</v>
      </c>
      <c r="I30" s="26">
        <f t="shared" si="2"/>
        <v>3.1714568880079286</v>
      </c>
      <c r="J30" s="26">
        <f t="shared" si="2"/>
        <v>4.0493293496916918</v>
      </c>
      <c r="K30" s="26">
        <f t="shared" si="0"/>
        <v>3.6645315955871012</v>
      </c>
      <c r="L30" s="26">
        <v>6.9279854147675488</v>
      </c>
    </row>
    <row r="31" spans="1:12">
      <c r="A31" s="2">
        <v>43</v>
      </c>
      <c r="B31" s="26">
        <v>117</v>
      </c>
      <c r="C31">
        <v>696</v>
      </c>
      <c r="D31">
        <v>532</v>
      </c>
      <c r="E31">
        <v>237.94558743022156</v>
      </c>
      <c r="G31" s="2">
        <v>43</v>
      </c>
      <c r="H31" s="26">
        <f t="shared" si="2"/>
        <v>0.99582943229210996</v>
      </c>
      <c r="I31" s="26">
        <f t="shared" si="2"/>
        <v>2.4635424040775877</v>
      </c>
      <c r="J31" s="26">
        <f t="shared" si="2"/>
        <v>3.3818574788633904</v>
      </c>
      <c r="K31" s="26">
        <f t="shared" si="0"/>
        <v>3.5152835131697509</v>
      </c>
      <c r="L31" s="26">
        <v>4.1476754785779395</v>
      </c>
    </row>
    <row r="32" spans="1:12">
      <c r="A32" s="2">
        <v>44</v>
      </c>
      <c r="B32" s="26">
        <v>132</v>
      </c>
      <c r="C32">
        <v>582</v>
      </c>
      <c r="D32">
        <v>440</v>
      </c>
      <c r="E32">
        <v>181.95507360371951</v>
      </c>
      <c r="G32" s="2">
        <v>44</v>
      </c>
      <c r="H32" s="26">
        <f t="shared" si="2"/>
        <v>1.1234998723295599</v>
      </c>
      <c r="I32" s="26">
        <f t="shared" si="2"/>
        <v>2.0600311482372931</v>
      </c>
      <c r="J32" s="26">
        <f t="shared" si="2"/>
        <v>2.797024982518594</v>
      </c>
      <c r="K32" s="26">
        <f t="shared" si="0"/>
        <v>2.6881089802277409</v>
      </c>
      <c r="L32" s="26">
        <v>3.00820419325433</v>
      </c>
    </row>
    <row r="33" spans="1:12">
      <c r="A33" s="2">
        <v>45</v>
      </c>
      <c r="B33" s="26">
        <v>65</v>
      </c>
      <c r="C33">
        <v>402</v>
      </c>
      <c r="D33">
        <v>340</v>
      </c>
      <c r="E33">
        <v>142.43506010782667</v>
      </c>
      <c r="G33" s="2">
        <v>45</v>
      </c>
      <c r="H33" s="26">
        <f t="shared" si="2"/>
        <v>0.55323857349561667</v>
      </c>
      <c r="I33" s="26">
        <f t="shared" si="2"/>
        <v>1.4229081126999858</v>
      </c>
      <c r="J33" s="26">
        <f t="shared" si="2"/>
        <v>2.1613374864916408</v>
      </c>
      <c r="K33" s="26">
        <f t="shared" si="0"/>
        <v>2.1042609947167756</v>
      </c>
      <c r="L33" s="26">
        <v>3.828623518687329</v>
      </c>
    </row>
    <row r="34" spans="1:12">
      <c r="A34" s="2">
        <v>46</v>
      </c>
      <c r="B34" s="26">
        <v>32</v>
      </c>
      <c r="C34">
        <v>304</v>
      </c>
      <c r="D34">
        <v>206</v>
      </c>
      <c r="E34">
        <v>91.125949856226981</v>
      </c>
      <c r="G34" s="2">
        <v>46</v>
      </c>
      <c r="H34" s="26">
        <f t="shared" si="2"/>
        <v>0.27236360541322668</v>
      </c>
      <c r="I34" s="26">
        <f t="shared" si="2"/>
        <v>1.0760300155741187</v>
      </c>
      <c r="J34" s="26">
        <f t="shared" si="2"/>
        <v>1.3095162418155235</v>
      </c>
      <c r="K34" s="26">
        <f t="shared" si="0"/>
        <v>1.3462470668655164</v>
      </c>
      <c r="L34" s="26">
        <v>2.461257976298997</v>
      </c>
    </row>
    <row r="35" spans="1:12">
      <c r="A35" s="2">
        <v>47</v>
      </c>
      <c r="B35" s="26">
        <v>43</v>
      </c>
      <c r="C35">
        <v>238</v>
      </c>
      <c r="D35">
        <v>219</v>
      </c>
      <c r="E35">
        <v>85.237329853499062</v>
      </c>
      <c r="G35" s="2">
        <v>47</v>
      </c>
      <c r="H35" s="26">
        <f t="shared" si="2"/>
        <v>0.36598859477402335</v>
      </c>
      <c r="I35" s="26">
        <f t="shared" si="2"/>
        <v>0.84241823587710607</v>
      </c>
      <c r="J35" s="26">
        <f t="shared" si="2"/>
        <v>1.3921556162990274</v>
      </c>
      <c r="K35" s="26">
        <f t="shared" si="0"/>
        <v>1.2592516784051968</v>
      </c>
      <c r="L35" s="26">
        <v>1.6864175022789425</v>
      </c>
    </row>
    <row r="36" spans="1:12">
      <c r="A36" s="2">
        <v>48</v>
      </c>
      <c r="B36" s="26">
        <v>13</v>
      </c>
      <c r="C36">
        <v>144</v>
      </c>
      <c r="D36">
        <v>141</v>
      </c>
      <c r="E36">
        <v>99.264900903567735</v>
      </c>
      <c r="G36" s="2">
        <v>48</v>
      </c>
      <c r="H36" s="26">
        <f t="shared" si="2"/>
        <v>0.11064771469912332</v>
      </c>
      <c r="I36" s="26">
        <f t="shared" si="2"/>
        <v>0.5096984284298457</v>
      </c>
      <c r="J36" s="26">
        <f t="shared" si="2"/>
        <v>0.89631936939800394</v>
      </c>
      <c r="K36" s="26">
        <f t="shared" si="0"/>
        <v>1.4664876678373788</v>
      </c>
      <c r="L36" s="26">
        <v>1.0938924339106655</v>
      </c>
    </row>
    <row r="37" spans="1:12">
      <c r="A37" s="2">
        <v>49</v>
      </c>
      <c r="B37" s="26">
        <v>5</v>
      </c>
      <c r="C37">
        <v>70</v>
      </c>
      <c r="D37">
        <v>88</v>
      </c>
      <c r="E37">
        <v>68.043089657657248</v>
      </c>
      <c r="G37" s="2">
        <v>49</v>
      </c>
      <c r="H37" s="26">
        <f t="shared" si="2"/>
        <v>4.2556813345816666E-2</v>
      </c>
      <c r="I37" s="26">
        <f t="shared" si="2"/>
        <v>0.24777006937561941</v>
      </c>
      <c r="J37" s="26">
        <f t="shared" si="2"/>
        <v>0.55940499650371878</v>
      </c>
      <c r="K37" s="26">
        <f t="shared" si="0"/>
        <v>1.0052329771773443</v>
      </c>
      <c r="L37" s="26">
        <v>0.41020966271649956</v>
      </c>
    </row>
    <row r="38" spans="1:12">
      <c r="A38" s="2">
        <v>50</v>
      </c>
      <c r="B38" s="26">
        <v>3</v>
      </c>
      <c r="C38">
        <v>48</v>
      </c>
      <c r="D38">
        <v>51</v>
      </c>
      <c r="E38">
        <v>41.240229916808872</v>
      </c>
      <c r="G38" s="2">
        <v>50</v>
      </c>
      <c r="H38" s="26">
        <f t="shared" si="2"/>
        <v>2.5534088007490002E-2</v>
      </c>
      <c r="I38" s="26">
        <f t="shared" si="2"/>
        <v>0.16989947614328188</v>
      </c>
      <c r="J38" s="26">
        <f t="shared" si="2"/>
        <v>0.32420062297374613</v>
      </c>
      <c r="K38" s="26">
        <f t="shared" si="0"/>
        <v>0.60926156215610194</v>
      </c>
      <c r="L38" s="26">
        <v>0.50136736554238837</v>
      </c>
    </row>
    <row r="39" spans="1:12">
      <c r="A39" s="2">
        <v>51</v>
      </c>
      <c r="B39" s="26">
        <v>0</v>
      </c>
      <c r="C39">
        <v>32</v>
      </c>
      <c r="D39">
        <v>19</v>
      </c>
      <c r="E39">
        <v>33.177758085542521</v>
      </c>
      <c r="G39" s="2">
        <v>51</v>
      </c>
      <c r="H39" s="26">
        <f t="shared" si="2"/>
        <v>0</v>
      </c>
      <c r="I39" s="26">
        <f t="shared" si="2"/>
        <v>0.1132663174288546</v>
      </c>
      <c r="J39" s="26">
        <f t="shared" si="2"/>
        <v>0.12078062424512111</v>
      </c>
      <c r="K39" s="26">
        <f t="shared" si="0"/>
        <v>0.49015082507568652</v>
      </c>
      <c r="L39" s="26">
        <v>0.31905195989061075</v>
      </c>
    </row>
    <row r="40" spans="1:12">
      <c r="A40" s="2">
        <v>52</v>
      </c>
      <c r="B40" s="26">
        <v>0</v>
      </c>
      <c r="C40">
        <v>6</v>
      </c>
      <c r="D40">
        <v>10</v>
      </c>
      <c r="E40">
        <v>10.843721105005496</v>
      </c>
      <c r="G40" s="2">
        <v>52</v>
      </c>
      <c r="H40" s="26">
        <f t="shared" si="2"/>
        <v>0</v>
      </c>
      <c r="I40" s="26">
        <f t="shared" si="2"/>
        <v>2.1237434517910235E-2</v>
      </c>
      <c r="J40" s="26">
        <f t="shared" si="2"/>
        <v>6.3568749602695318E-2</v>
      </c>
      <c r="K40" s="26">
        <f t="shared" si="0"/>
        <v>0.1601994575041874</v>
      </c>
      <c r="L40" s="26">
        <v>0.22789425706472194</v>
      </c>
    </row>
    <row r="41" spans="1:12">
      <c r="A41" s="2">
        <v>53</v>
      </c>
      <c r="B41" s="26">
        <v>0</v>
      </c>
      <c r="C41">
        <v>2</v>
      </c>
      <c r="D41">
        <v>5</v>
      </c>
      <c r="E41">
        <v>5.0322291736712792</v>
      </c>
      <c r="G41" s="2">
        <v>53</v>
      </c>
      <c r="H41" s="26">
        <f t="shared" si="2"/>
        <v>0</v>
      </c>
      <c r="I41" s="26">
        <f t="shared" si="2"/>
        <v>7.0791448393034122E-3</v>
      </c>
      <c r="J41" s="26">
        <f t="shared" si="2"/>
        <v>3.1784374801347659E-2</v>
      </c>
      <c r="K41" s="26">
        <f t="shared" si="0"/>
        <v>7.4343518784041579E-2</v>
      </c>
      <c r="L41" s="26">
        <v>0</v>
      </c>
    </row>
    <row r="42" spans="1:12">
      <c r="A42" s="2">
        <v>54</v>
      </c>
      <c r="B42" s="26">
        <v>1</v>
      </c>
      <c r="C42">
        <v>4</v>
      </c>
      <c r="D42">
        <v>0</v>
      </c>
      <c r="E42">
        <v>3.6008</v>
      </c>
      <c r="G42" s="2">
        <v>54</v>
      </c>
      <c r="H42" s="26">
        <f t="shared" si="2"/>
        <v>8.5113626691633339E-3</v>
      </c>
      <c r="I42" s="26">
        <f t="shared" si="2"/>
        <v>1.4158289678606824E-2</v>
      </c>
      <c r="J42" s="26">
        <f t="shared" si="2"/>
        <v>0</v>
      </c>
      <c r="K42" s="26">
        <f t="shared" si="0"/>
        <v>5.3196333711939901E-2</v>
      </c>
      <c r="L42" s="26">
        <v>0</v>
      </c>
    </row>
    <row r="43" spans="1:12">
      <c r="A43" s="2">
        <v>55</v>
      </c>
      <c r="B43" s="26">
        <v>0</v>
      </c>
      <c r="C43">
        <v>2</v>
      </c>
      <c r="D43">
        <v>0</v>
      </c>
      <c r="E43">
        <v>2.0118291736712788</v>
      </c>
      <c r="G43" s="2">
        <v>55</v>
      </c>
      <c r="H43" s="26">
        <f t="shared" si="2"/>
        <v>0</v>
      </c>
      <c r="I43" s="26">
        <f t="shared" si="2"/>
        <v>7.0791448393034122E-3</v>
      </c>
      <c r="J43" s="26">
        <f t="shared" si="2"/>
        <v>0</v>
      </c>
      <c r="K43" s="26">
        <f t="shared" si="0"/>
        <v>2.9721710757063331E-2</v>
      </c>
      <c r="L43" s="26">
        <v>0</v>
      </c>
    </row>
    <row r="44" spans="1:12">
      <c r="A44" s="6" t="s">
        <v>11</v>
      </c>
      <c r="B44">
        <f>SUM(B13:B43)</f>
        <v>11749</v>
      </c>
      <c r="C44">
        <f t="shared" ref="C44:E44" si="3">SUM(C13:C43)</f>
        <v>28252</v>
      </c>
      <c r="D44">
        <f t="shared" si="3"/>
        <v>15731</v>
      </c>
      <c r="E44">
        <f t="shared" si="3"/>
        <v>6768.8875317958273</v>
      </c>
      <c r="H44" s="26">
        <f>SUM(H13:H43)</f>
        <v>100</v>
      </c>
      <c r="I44" s="26">
        <f t="shared" ref="I44:L44" si="4">SUM(I13:I43)</f>
        <v>100.00000000000001</v>
      </c>
      <c r="J44" s="26">
        <f t="shared" si="4"/>
        <v>99.999999999999986</v>
      </c>
      <c r="K44" s="26">
        <f t="shared" si="4"/>
        <v>100.00000000000001</v>
      </c>
      <c r="L44" s="26">
        <f t="shared" si="4"/>
        <v>99.772105742935267</v>
      </c>
    </row>
    <row r="45" spans="1:12">
      <c r="A45" s="2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mar</vt:lpstr>
      <vt:lpstr>apr</vt:lpstr>
      <vt:lpstr>may</vt:lpstr>
      <vt:lpstr>jun</vt:lpstr>
      <vt:lpstr>jul</vt:lpstr>
      <vt:lpstr>aug </vt:lpstr>
      <vt:lpstr>totaal 09</vt:lpstr>
      <vt:lpstr>vgl 2007-9</vt:lpstr>
      <vt:lpstr>Blad1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Corten</dc:creator>
  <cp:lastModifiedBy>Eigenaar</cp:lastModifiedBy>
  <dcterms:created xsi:type="dcterms:W3CDTF">2008-10-30T12:49:55Z</dcterms:created>
  <dcterms:modified xsi:type="dcterms:W3CDTF">2011-10-30T19:56:31Z</dcterms:modified>
</cp:coreProperties>
</file>