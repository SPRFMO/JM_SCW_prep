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niels_hintzen_wur_nl/Documents/SPRFMOdata/input/older Data submission/translation nicola/china/"/>
    </mc:Choice>
  </mc:AlternateContent>
  <xr:revisionPtr revIDLastSave="9" documentId="11_C5B948734D181EE8016243FCEB2734BC3087A2C5" xr6:coauthVersionLast="46" xr6:coauthVersionMax="46" xr10:uidLastSave="{0407ADBA-6894-4060-811E-9833EA6FEE17}"/>
  <bookViews>
    <workbookView xWindow="28680" yWindow="-120" windowWidth="29040" windowHeight="15840" activeTab="1" xr2:uid="{00000000-000D-0000-FFFF-FFFF00000000}"/>
  </bookViews>
  <sheets>
    <sheet name="Rodolfo 2010" sheetId="15" r:id="rId1"/>
    <sheet name="China Catch-at-length" sheetId="16" r:id="rId2"/>
    <sheet name="2010" sheetId="14" r:id="rId3"/>
    <sheet name="2009" sheetId="13" r:id="rId4"/>
    <sheet name="2008" sheetId="12" r:id="rId5"/>
    <sheet name="2007" sheetId="11" r:id="rId6"/>
    <sheet name="2006" sheetId="4" r:id="rId7"/>
    <sheet name="2005" sheetId="10" r:id="rId8"/>
    <sheet name="2004" sheetId="6" r:id="rId9"/>
    <sheet name="2002" sheetId="7" r:id="rId10"/>
    <sheet name="2001" sheetId="9" r:id="rId11"/>
    <sheet name="2000" sheetId="8" r:id="rId12"/>
  </sheets>
  <externalReferences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7" i="16" l="1"/>
  <c r="J57" i="16"/>
  <c r="N59" i="14"/>
  <c r="M56" i="14"/>
  <c r="M49" i="14"/>
  <c r="B57" i="16"/>
  <c r="O17" i="16"/>
  <c r="O4" i="16"/>
  <c r="F57" i="16"/>
  <c r="G57" i="16"/>
  <c r="H57" i="16"/>
  <c r="I57" i="16"/>
  <c r="K57" i="16"/>
  <c r="C57" i="16"/>
  <c r="D57" i="16"/>
  <c r="E57" i="16"/>
  <c r="Y20" i="16" l="1"/>
  <c r="X20" i="16"/>
  <c r="W20" i="16"/>
  <c r="V20" i="16"/>
  <c r="U20" i="16"/>
  <c r="T20" i="16"/>
  <c r="S20" i="16"/>
  <c r="R20" i="16"/>
  <c r="Q20" i="16"/>
  <c r="P20" i="16"/>
  <c r="O20" i="16"/>
  <c r="Y19" i="16"/>
  <c r="X19" i="16"/>
  <c r="W19" i="16"/>
  <c r="V19" i="16"/>
  <c r="U19" i="16"/>
  <c r="T19" i="16"/>
  <c r="S19" i="16"/>
  <c r="R19" i="16"/>
  <c r="Q19" i="16"/>
  <c r="P19" i="16"/>
  <c r="O19" i="16"/>
  <c r="N15" i="16"/>
  <c r="N16" i="16"/>
  <c r="N17" i="16"/>
  <c r="N18" i="16"/>
  <c r="N19" i="16"/>
  <c r="N20" i="16"/>
  <c r="N21" i="16"/>
  <c r="N22" i="16"/>
  <c r="N23" i="16"/>
  <c r="N24" i="16"/>
  <c r="N25" i="16"/>
  <c r="O16" i="16" l="1"/>
  <c r="P4" i="16"/>
  <c r="P16" i="16" s="1"/>
  <c r="Q4" i="16"/>
  <c r="Q16" i="16" s="1"/>
  <c r="R4" i="16"/>
  <c r="R16" i="16" s="1"/>
  <c r="S4" i="16"/>
  <c r="S16" i="16" s="1"/>
  <c r="T4" i="16"/>
  <c r="T16" i="16" s="1"/>
  <c r="U4" i="16"/>
  <c r="U16" i="16" s="1"/>
  <c r="V4" i="16"/>
  <c r="V16" i="16" s="1"/>
  <c r="W4" i="16"/>
  <c r="W16" i="16" s="1"/>
  <c r="X4" i="16"/>
  <c r="X16" i="16" s="1"/>
  <c r="Y4" i="16"/>
  <c r="Y16" i="16" s="1"/>
  <c r="O6" i="16"/>
  <c r="O18" i="16" s="1"/>
  <c r="P6" i="16"/>
  <c r="P18" i="16" s="1"/>
  <c r="Q6" i="16"/>
  <c r="Q18" i="16" s="1"/>
  <c r="R6" i="16"/>
  <c r="R18" i="16" s="1"/>
  <c r="S6" i="16"/>
  <c r="S18" i="16" s="1"/>
  <c r="T6" i="16"/>
  <c r="T18" i="16" s="1"/>
  <c r="U6" i="16"/>
  <c r="U18" i="16" s="1"/>
  <c r="V6" i="16"/>
  <c r="V18" i="16" s="1"/>
  <c r="W6" i="16"/>
  <c r="W18" i="16" s="1"/>
  <c r="X6" i="16"/>
  <c r="X18" i="16" s="1"/>
  <c r="Y6" i="16"/>
  <c r="Y18" i="16" s="1"/>
  <c r="D49" i="14"/>
  <c r="E49" i="14"/>
  <c r="J49" i="14"/>
  <c r="AB48" i="14" s="1"/>
  <c r="K49" i="14"/>
  <c r="L49" i="14"/>
  <c r="L56" i="14" s="1"/>
  <c r="L57" i="14" s="1"/>
  <c r="D48" i="14"/>
  <c r="E48" i="14"/>
  <c r="F48" i="14"/>
  <c r="F49" i="14" s="1"/>
  <c r="X47" i="14" s="1"/>
  <c r="G48" i="14"/>
  <c r="G49" i="14" s="1"/>
  <c r="H48" i="14"/>
  <c r="H49" i="14" s="1"/>
  <c r="I48" i="14"/>
  <c r="J48" i="14"/>
  <c r="J56" i="14" s="1"/>
  <c r="J57" i="14" s="1"/>
  <c r="K48" i="14"/>
  <c r="L48" i="14"/>
  <c r="M48" i="14"/>
  <c r="N48" i="14"/>
  <c r="N49" i="14" s="1"/>
  <c r="N56" i="14" s="1"/>
  <c r="N57" i="14" s="1"/>
  <c r="O48" i="14"/>
  <c r="C48" i="14"/>
  <c r="O50" i="14"/>
  <c r="O52" i="14"/>
  <c r="O53" i="14"/>
  <c r="O54" i="14"/>
  <c r="O55" i="14"/>
  <c r="D56" i="14"/>
  <c r="D57" i="14" s="1"/>
  <c r="H56" i="14"/>
  <c r="H57" i="14" s="1"/>
  <c r="O49" i="12"/>
  <c r="L49" i="12"/>
  <c r="L59" i="12" s="1"/>
  <c r="K49" i="12"/>
  <c r="I49" i="12"/>
  <c r="I59" i="12" s="1"/>
  <c r="G49" i="12"/>
  <c r="Y47" i="12" s="1"/>
  <c r="D49" i="12"/>
  <c r="C49" i="12"/>
  <c r="D48" i="12"/>
  <c r="E48" i="12"/>
  <c r="E49" i="12" s="1"/>
  <c r="W45" i="12" s="1"/>
  <c r="F48" i="12"/>
  <c r="F49" i="12" s="1"/>
  <c r="X47" i="12" s="1"/>
  <c r="G48" i="12"/>
  <c r="H48" i="12"/>
  <c r="I48" i="12"/>
  <c r="J48" i="12"/>
  <c r="J49" i="12" s="1"/>
  <c r="AB44" i="12" s="1"/>
  <c r="K48" i="12"/>
  <c r="L48" i="12"/>
  <c r="M48" i="12"/>
  <c r="M49" i="12" s="1"/>
  <c r="AE45" i="12" s="1"/>
  <c r="N48" i="12"/>
  <c r="N49" i="12" s="1"/>
  <c r="O48" i="12"/>
  <c r="P48" i="12"/>
  <c r="P49" i="12" s="1"/>
  <c r="C48" i="12"/>
  <c r="Q50" i="12"/>
  <c r="Q52" i="12"/>
  <c r="Q53" i="12"/>
  <c r="Q54" i="12"/>
  <c r="Q55" i="12"/>
  <c r="Q56" i="12"/>
  <c r="Q57" i="12"/>
  <c r="Q58" i="12"/>
  <c r="D59" i="12"/>
  <c r="P59" i="12"/>
  <c r="D49" i="11"/>
  <c r="F49" i="11"/>
  <c r="X46" i="11" s="1"/>
  <c r="H49" i="11"/>
  <c r="H55" i="11" s="1"/>
  <c r="H56" i="11" s="1"/>
  <c r="L49" i="11"/>
  <c r="M49" i="11"/>
  <c r="P49" i="11"/>
  <c r="P55" i="11" s="1"/>
  <c r="P56" i="11" s="1"/>
  <c r="C49" i="11"/>
  <c r="D48" i="11"/>
  <c r="E48" i="11"/>
  <c r="F48" i="11"/>
  <c r="G48" i="11"/>
  <c r="G49" i="11" s="1"/>
  <c r="Y47" i="11" s="1"/>
  <c r="H48" i="11"/>
  <c r="I48" i="11"/>
  <c r="J48" i="11"/>
  <c r="J49" i="11" s="1"/>
  <c r="K48" i="11"/>
  <c r="K49" i="11" s="1"/>
  <c r="AC47" i="11" s="1"/>
  <c r="L48" i="11"/>
  <c r="M48" i="11"/>
  <c r="N48" i="11"/>
  <c r="O48" i="11"/>
  <c r="O49" i="11" s="1"/>
  <c r="P48" i="11"/>
  <c r="C48" i="11"/>
  <c r="Q50" i="11"/>
  <c r="Q48" i="11" s="1"/>
  <c r="Q52" i="11"/>
  <c r="Q53" i="11"/>
  <c r="Q54" i="11"/>
  <c r="D55" i="11"/>
  <c r="D56" i="11" s="1"/>
  <c r="L55" i="11"/>
  <c r="L56" i="11" s="1"/>
  <c r="D48" i="4"/>
  <c r="E48" i="4"/>
  <c r="F48" i="4"/>
  <c r="G48" i="4"/>
  <c r="H48" i="4"/>
  <c r="I48" i="4"/>
  <c r="J48" i="4"/>
  <c r="K48" i="4"/>
  <c r="L48" i="4"/>
  <c r="M48" i="4"/>
  <c r="N48" i="4"/>
  <c r="C48" i="4"/>
  <c r="AE47" i="10"/>
  <c r="Y47" i="10"/>
  <c r="W47" i="10"/>
  <c r="U47" i="10"/>
  <c r="AC46" i="10"/>
  <c r="AC45" i="10"/>
  <c r="U45" i="10"/>
  <c r="U44" i="10"/>
  <c r="AC43" i="10"/>
  <c r="Y43" i="10"/>
  <c r="AE42" i="10"/>
  <c r="AD42" i="10"/>
  <c r="Y42" i="10"/>
  <c r="AC41" i="10"/>
  <c r="AC40" i="10"/>
  <c r="Z40" i="10"/>
  <c r="Y40" i="10"/>
  <c r="V40" i="10"/>
  <c r="Z38" i="10"/>
  <c r="Y38" i="10"/>
  <c r="V38" i="10"/>
  <c r="Y37" i="10"/>
  <c r="Y36" i="10"/>
  <c r="W36" i="10"/>
  <c r="AC34" i="10"/>
  <c r="W34" i="10"/>
  <c r="AC33" i="10"/>
  <c r="AC32" i="10"/>
  <c r="AB32" i="10"/>
  <c r="X32" i="10"/>
  <c r="AD30" i="10"/>
  <c r="AC30" i="10"/>
  <c r="Y30" i="10"/>
  <c r="AC29" i="10"/>
  <c r="Y29" i="10"/>
  <c r="U29" i="10"/>
  <c r="AE28" i="10"/>
  <c r="AB28" i="10"/>
  <c r="AC27" i="10"/>
  <c r="AA27" i="10"/>
  <c r="Y27" i="10"/>
  <c r="U27" i="10"/>
  <c r="AC26" i="10"/>
  <c r="Z26" i="10"/>
  <c r="V26" i="10"/>
  <c r="U26" i="10"/>
  <c r="AC25" i="10"/>
  <c r="Y25" i="10"/>
  <c r="X25" i="10"/>
  <c r="U25" i="10"/>
  <c r="X24" i="10"/>
  <c r="V24" i="10"/>
  <c r="AD23" i="10"/>
  <c r="AC23" i="10"/>
  <c r="Y23" i="10"/>
  <c r="V23" i="10"/>
  <c r="U23" i="10"/>
  <c r="AB22" i="10"/>
  <c r="Y22" i="10"/>
  <c r="AE21" i="10"/>
  <c r="AC21" i="10"/>
  <c r="Y21" i="10"/>
  <c r="U21" i="10"/>
  <c r="AD20" i="10"/>
  <c r="AB20" i="10"/>
  <c r="X20" i="10"/>
  <c r="AE19" i="10"/>
  <c r="AC19" i="10"/>
  <c r="Z19" i="10"/>
  <c r="Y19" i="10"/>
  <c r="W19" i="10"/>
  <c r="U19" i="10"/>
  <c r="AC18" i="10"/>
  <c r="Z18" i="10"/>
  <c r="Y18" i="10"/>
  <c r="V18" i="10"/>
  <c r="U18" i="10"/>
  <c r="AC17" i="10"/>
  <c r="Y17" i="10"/>
  <c r="X17" i="10"/>
  <c r="U17" i="10"/>
  <c r="X16" i="10"/>
  <c r="V16" i="10"/>
  <c r="AD15" i="10"/>
  <c r="AC15" i="10"/>
  <c r="Y15" i="10"/>
  <c r="V15" i="10"/>
  <c r="U15" i="10"/>
  <c r="AC14" i="10"/>
  <c r="Y14" i="10"/>
  <c r="V14" i="10"/>
  <c r="U14" i="10"/>
  <c r="AC13" i="10"/>
  <c r="Y13" i="10"/>
  <c r="W13" i="10"/>
  <c r="U13" i="10"/>
  <c r="AD12" i="10"/>
  <c r="Z12" i="10"/>
  <c r="W12" i="10"/>
  <c r="V12" i="10"/>
  <c r="AD11" i="10"/>
  <c r="AC11" i="10"/>
  <c r="Z11" i="10"/>
  <c r="Y11" i="10"/>
  <c r="W11" i="10"/>
  <c r="V11" i="10"/>
  <c r="U11" i="10"/>
  <c r="AD10" i="10"/>
  <c r="AC10" i="10"/>
  <c r="Z10" i="10"/>
  <c r="Y10" i="10"/>
  <c r="X10" i="10"/>
  <c r="V10" i="10"/>
  <c r="U10" i="10"/>
  <c r="AE9" i="10"/>
  <c r="AC9" i="10"/>
  <c r="Y9" i="10"/>
  <c r="X9" i="10"/>
  <c r="W9" i="10"/>
  <c r="U9" i="10"/>
  <c r="AE8" i="10"/>
  <c r="X8" i="10"/>
  <c r="W8" i="10"/>
  <c r="AE7" i="10"/>
  <c r="AC7" i="10"/>
  <c r="Y7" i="10"/>
  <c r="W7" i="10"/>
  <c r="U7" i="10"/>
  <c r="AC6" i="10"/>
  <c r="Y6" i="10"/>
  <c r="X6" i="10"/>
  <c r="U6" i="10"/>
  <c r="AE5" i="10"/>
  <c r="AC5" i="10"/>
  <c r="Y5" i="10"/>
  <c r="X5" i="10"/>
  <c r="W5" i="10"/>
  <c r="U5" i="10"/>
  <c r="AE4" i="10"/>
  <c r="Z4" i="10"/>
  <c r="X4" i="10"/>
  <c r="W4" i="10"/>
  <c r="V4" i="10"/>
  <c r="M48" i="10"/>
  <c r="AE45" i="10" s="1"/>
  <c r="L48" i="10"/>
  <c r="AD44" i="10" s="1"/>
  <c r="K48" i="10"/>
  <c r="AC28" i="10" s="1"/>
  <c r="J48" i="10"/>
  <c r="AB21" i="10" s="1"/>
  <c r="I48" i="10"/>
  <c r="AA21" i="10" s="1"/>
  <c r="H48" i="10"/>
  <c r="G48" i="10"/>
  <c r="F48" i="10"/>
  <c r="X39" i="10" s="1"/>
  <c r="E48" i="10"/>
  <c r="W41" i="10" s="1"/>
  <c r="D48" i="10"/>
  <c r="V39" i="10" s="1"/>
  <c r="C48" i="10"/>
  <c r="U28" i="10" s="1"/>
  <c r="N40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39" i="10" s="1"/>
  <c r="N14" i="10"/>
  <c r="N13" i="10"/>
  <c r="N12" i="10"/>
  <c r="B11" i="10"/>
  <c r="B10" i="10" s="1"/>
  <c r="B9" i="10" s="1"/>
  <c r="B8" i="10" s="1"/>
  <c r="B7" i="10" s="1"/>
  <c r="B6" i="10" s="1"/>
  <c r="B5" i="10" s="1"/>
  <c r="AD48" i="14"/>
  <c r="Z48" i="14"/>
  <c r="X48" i="14"/>
  <c r="V48" i="14"/>
  <c r="AE47" i="14"/>
  <c r="AD47" i="14"/>
  <c r="AC47" i="14"/>
  <c r="Z47" i="14"/>
  <c r="Y47" i="14"/>
  <c r="W47" i="14"/>
  <c r="V47" i="14"/>
  <c r="AE46" i="14"/>
  <c r="AD46" i="14"/>
  <c r="AB46" i="14"/>
  <c r="Z46" i="14"/>
  <c r="X46" i="14"/>
  <c r="W46" i="14"/>
  <c r="V46" i="14"/>
  <c r="AE45" i="14"/>
  <c r="AD45" i="14"/>
  <c r="AB45" i="14"/>
  <c r="Z45" i="14"/>
  <c r="X45" i="14"/>
  <c r="W45" i="14"/>
  <c r="V45" i="14"/>
  <c r="AE44" i="14"/>
  <c r="AD44" i="14"/>
  <c r="Z44" i="14"/>
  <c r="W44" i="14"/>
  <c r="V44" i="14"/>
  <c r="AE43" i="14"/>
  <c r="AD43" i="14"/>
  <c r="AC43" i="14"/>
  <c r="Z43" i="14"/>
  <c r="Y43" i="14"/>
  <c r="W43" i="14"/>
  <c r="V43" i="14"/>
  <c r="AE42" i="14"/>
  <c r="AD42" i="14"/>
  <c r="AB42" i="14"/>
  <c r="Z42" i="14"/>
  <c r="X42" i="14"/>
  <c r="W42" i="14"/>
  <c r="V42" i="14"/>
  <c r="AE41" i="14"/>
  <c r="AD41" i="14"/>
  <c r="AB41" i="14"/>
  <c r="Z41" i="14"/>
  <c r="X41" i="14"/>
  <c r="W41" i="14"/>
  <c r="V41" i="14"/>
  <c r="AE40" i="14"/>
  <c r="AD40" i="14"/>
  <c r="Z40" i="14"/>
  <c r="W40" i="14"/>
  <c r="V40" i="14"/>
  <c r="AE39" i="14"/>
  <c r="AD39" i="14"/>
  <c r="AC39" i="14"/>
  <c r="Z39" i="14"/>
  <c r="Y39" i="14"/>
  <c r="W39" i="14"/>
  <c r="V39" i="14"/>
  <c r="AE38" i="14"/>
  <c r="AD38" i="14"/>
  <c r="AB38" i="14"/>
  <c r="Z38" i="14"/>
  <c r="X38" i="14"/>
  <c r="W38" i="14"/>
  <c r="V38" i="14"/>
  <c r="AE37" i="14"/>
  <c r="AD37" i="14"/>
  <c r="AB37" i="14"/>
  <c r="Z37" i="14"/>
  <c r="X37" i="14"/>
  <c r="W37" i="14"/>
  <c r="V37" i="14"/>
  <c r="AE36" i="14"/>
  <c r="AD36" i="14"/>
  <c r="Z36" i="14"/>
  <c r="W36" i="14"/>
  <c r="V36" i="14"/>
  <c r="AE35" i="14"/>
  <c r="AD35" i="14"/>
  <c r="AC35" i="14"/>
  <c r="Z35" i="14"/>
  <c r="Y35" i="14"/>
  <c r="W35" i="14"/>
  <c r="V35" i="14"/>
  <c r="AE34" i="14"/>
  <c r="AD34" i="14"/>
  <c r="AB34" i="14"/>
  <c r="Z34" i="14"/>
  <c r="X34" i="14"/>
  <c r="W34" i="14"/>
  <c r="V34" i="14"/>
  <c r="AE33" i="14"/>
  <c r="AD33" i="14"/>
  <c r="AB33" i="14"/>
  <c r="Z33" i="14"/>
  <c r="X33" i="14"/>
  <c r="W33" i="14"/>
  <c r="V33" i="14"/>
  <c r="AE32" i="14"/>
  <c r="AD32" i="14"/>
  <c r="Z32" i="14"/>
  <c r="W32" i="14"/>
  <c r="V32" i="14"/>
  <c r="AE31" i="14"/>
  <c r="AD31" i="14"/>
  <c r="AC31" i="14"/>
  <c r="Z31" i="14"/>
  <c r="Y31" i="14"/>
  <c r="W31" i="14"/>
  <c r="V31" i="14"/>
  <c r="AE30" i="14"/>
  <c r="AD30" i="14"/>
  <c r="AB30" i="14"/>
  <c r="Z30" i="14"/>
  <c r="X30" i="14"/>
  <c r="W30" i="14"/>
  <c r="V30" i="14"/>
  <c r="AE29" i="14"/>
  <c r="AD29" i="14"/>
  <c r="AB29" i="14"/>
  <c r="Z29" i="14"/>
  <c r="X29" i="14"/>
  <c r="W29" i="14"/>
  <c r="V29" i="14"/>
  <c r="AE28" i="14"/>
  <c r="AD28" i="14"/>
  <c r="Z28" i="14"/>
  <c r="W28" i="14"/>
  <c r="V28" i="14"/>
  <c r="AE27" i="14"/>
  <c r="AD27" i="14"/>
  <c r="AC27" i="14"/>
  <c r="Z27" i="14"/>
  <c r="Y27" i="14"/>
  <c r="W27" i="14"/>
  <c r="V27" i="14"/>
  <c r="AE26" i="14"/>
  <c r="AD26" i="14"/>
  <c r="AB26" i="14"/>
  <c r="Z26" i="14"/>
  <c r="X26" i="14"/>
  <c r="W26" i="14"/>
  <c r="V26" i="14"/>
  <c r="AE25" i="14"/>
  <c r="AD25" i="14"/>
  <c r="AB25" i="14"/>
  <c r="Z25" i="14"/>
  <c r="X25" i="14"/>
  <c r="W25" i="14"/>
  <c r="V25" i="14"/>
  <c r="AE24" i="14"/>
  <c r="AD24" i="14"/>
  <c r="Z24" i="14"/>
  <c r="W24" i="14"/>
  <c r="V24" i="14"/>
  <c r="AE23" i="14"/>
  <c r="AD23" i="14"/>
  <c r="AC23" i="14"/>
  <c r="Z23" i="14"/>
  <c r="Y23" i="14"/>
  <c r="W23" i="14"/>
  <c r="V23" i="14"/>
  <c r="AE22" i="14"/>
  <c r="AD22" i="14"/>
  <c r="AB22" i="14"/>
  <c r="Z22" i="14"/>
  <c r="X22" i="14"/>
  <c r="W22" i="14"/>
  <c r="V22" i="14"/>
  <c r="AE21" i="14"/>
  <c r="AD21" i="14"/>
  <c r="AB21" i="14"/>
  <c r="Z21" i="14"/>
  <c r="X21" i="14"/>
  <c r="W21" i="14"/>
  <c r="V21" i="14"/>
  <c r="AE20" i="14"/>
  <c r="AD20" i="14"/>
  <c r="Z20" i="14"/>
  <c r="W20" i="14"/>
  <c r="V20" i="14"/>
  <c r="AE19" i="14"/>
  <c r="AD19" i="14"/>
  <c r="AC19" i="14"/>
  <c r="Z19" i="14"/>
  <c r="Y19" i="14"/>
  <c r="W19" i="14"/>
  <c r="V19" i="14"/>
  <c r="AE18" i="14"/>
  <c r="AD18" i="14"/>
  <c r="AB18" i="14"/>
  <c r="Z18" i="14"/>
  <c r="X18" i="14"/>
  <c r="W18" i="14"/>
  <c r="V18" i="14"/>
  <c r="AE17" i="14"/>
  <c r="AD17" i="14"/>
  <c r="AB17" i="14"/>
  <c r="Z17" i="14"/>
  <c r="X17" i="14"/>
  <c r="W17" i="14"/>
  <c r="V17" i="14"/>
  <c r="AE16" i="14"/>
  <c r="AD16" i="14"/>
  <c r="Z16" i="14"/>
  <c r="W16" i="14"/>
  <c r="V16" i="14"/>
  <c r="AE15" i="14"/>
  <c r="AD15" i="14"/>
  <c r="AC15" i="14"/>
  <c r="Z15" i="14"/>
  <c r="Y15" i="14"/>
  <c r="W15" i="14"/>
  <c r="V15" i="14"/>
  <c r="AE14" i="14"/>
  <c r="AD14" i="14"/>
  <c r="AB14" i="14"/>
  <c r="Z14" i="14"/>
  <c r="X14" i="14"/>
  <c r="W14" i="14"/>
  <c r="V14" i="14"/>
  <c r="AE13" i="14"/>
  <c r="AD13" i="14"/>
  <c r="AB13" i="14"/>
  <c r="Z13" i="14"/>
  <c r="X13" i="14"/>
  <c r="W13" i="14"/>
  <c r="V13" i="14"/>
  <c r="AE12" i="14"/>
  <c r="AD12" i="14"/>
  <c r="Z12" i="14"/>
  <c r="W12" i="14"/>
  <c r="V12" i="14"/>
  <c r="AE11" i="14"/>
  <c r="AD11" i="14"/>
  <c r="AC11" i="14"/>
  <c r="Z11" i="14"/>
  <c r="Y11" i="14"/>
  <c r="W11" i="14"/>
  <c r="V11" i="14"/>
  <c r="AE10" i="14"/>
  <c r="AD10" i="14"/>
  <c r="AB10" i="14"/>
  <c r="Z10" i="14"/>
  <c r="X10" i="14"/>
  <c r="W10" i="14"/>
  <c r="V10" i="14"/>
  <c r="AE9" i="14"/>
  <c r="AD9" i="14"/>
  <c r="AB9" i="14"/>
  <c r="Z9" i="14"/>
  <c r="X9" i="14"/>
  <c r="W9" i="14"/>
  <c r="V9" i="14"/>
  <c r="AE8" i="14"/>
  <c r="AD8" i="14"/>
  <c r="Z8" i="14"/>
  <c r="W8" i="14"/>
  <c r="V8" i="14"/>
  <c r="AE7" i="14"/>
  <c r="AD7" i="14"/>
  <c r="AC7" i="14"/>
  <c r="Z7" i="14"/>
  <c r="Y7" i="14"/>
  <c r="W7" i="14"/>
  <c r="V7" i="14"/>
  <c r="AE6" i="14"/>
  <c r="AD6" i="14"/>
  <c r="AB6" i="14"/>
  <c r="Z6" i="14"/>
  <c r="X6" i="14"/>
  <c r="W6" i="14"/>
  <c r="V6" i="14"/>
  <c r="AE5" i="14"/>
  <c r="AD5" i="14"/>
  <c r="AB5" i="14"/>
  <c r="Z5" i="14"/>
  <c r="X5" i="14"/>
  <c r="W5" i="14"/>
  <c r="V5" i="14"/>
  <c r="AE48" i="12"/>
  <c r="AD48" i="12"/>
  <c r="AB48" i="12"/>
  <c r="W48" i="12"/>
  <c r="V48" i="12"/>
  <c r="U48" i="12"/>
  <c r="AD47" i="12"/>
  <c r="V47" i="12"/>
  <c r="U47" i="12"/>
  <c r="AE46" i="12"/>
  <c r="AD46" i="12"/>
  <c r="AA46" i="12"/>
  <c r="W46" i="12"/>
  <c r="V46" i="12"/>
  <c r="U46" i="12"/>
  <c r="AD45" i="12"/>
  <c r="X45" i="12"/>
  <c r="V45" i="12"/>
  <c r="U45" i="12"/>
  <c r="AE44" i="12"/>
  <c r="AD44" i="12"/>
  <c r="AA44" i="12"/>
  <c r="X44" i="12"/>
  <c r="W44" i="12"/>
  <c r="V44" i="12"/>
  <c r="U44" i="12"/>
  <c r="AD43" i="12"/>
  <c r="V43" i="12"/>
  <c r="U43" i="12"/>
  <c r="AE42" i="12"/>
  <c r="AD42" i="12"/>
  <c r="AC42" i="12"/>
  <c r="AA42" i="12"/>
  <c r="Y42" i="12"/>
  <c r="W42" i="12"/>
  <c r="V42" i="12"/>
  <c r="U42" i="12"/>
  <c r="AD41" i="12"/>
  <c r="AB41" i="12"/>
  <c r="V41" i="12"/>
  <c r="U41" i="12"/>
  <c r="AE40" i="12"/>
  <c r="AD40" i="12"/>
  <c r="AA40" i="12"/>
  <c r="W40" i="12"/>
  <c r="V40" i="12"/>
  <c r="U40" i="12"/>
  <c r="AD39" i="12"/>
  <c r="V39" i="12"/>
  <c r="U39" i="12"/>
  <c r="AE38" i="12"/>
  <c r="AD38" i="12"/>
  <c r="AA38" i="12"/>
  <c r="W38" i="12"/>
  <c r="V38" i="12"/>
  <c r="U38" i="12"/>
  <c r="AD37" i="12"/>
  <c r="X37" i="12"/>
  <c r="V37" i="12"/>
  <c r="U37" i="12"/>
  <c r="AE36" i="12"/>
  <c r="AD36" i="12"/>
  <c r="AA36" i="12"/>
  <c r="X36" i="12"/>
  <c r="W36" i="12"/>
  <c r="V36" i="12"/>
  <c r="U36" i="12"/>
  <c r="AD35" i="12"/>
  <c r="V35" i="12"/>
  <c r="U35" i="12"/>
  <c r="AE34" i="12"/>
  <c r="AD34" i="12"/>
  <c r="AC34" i="12"/>
  <c r="AA34" i="12"/>
  <c r="Y34" i="12"/>
  <c r="W34" i="12"/>
  <c r="V34" i="12"/>
  <c r="U34" i="12"/>
  <c r="AD33" i="12"/>
  <c r="AB33" i="12"/>
  <c r="V33" i="12"/>
  <c r="U33" i="12"/>
  <c r="AE32" i="12"/>
  <c r="AD32" i="12"/>
  <c r="AA32" i="12"/>
  <c r="W32" i="12"/>
  <c r="V32" i="12"/>
  <c r="U32" i="12"/>
  <c r="AD31" i="12"/>
  <c r="V31" i="12"/>
  <c r="U31" i="12"/>
  <c r="AE30" i="12"/>
  <c r="AD30" i="12"/>
  <c r="AA30" i="12"/>
  <c r="W30" i="12"/>
  <c r="V30" i="12"/>
  <c r="U30" i="12"/>
  <c r="AD29" i="12"/>
  <c r="X29" i="12"/>
  <c r="V29" i="12"/>
  <c r="U29" i="12"/>
  <c r="AE28" i="12"/>
  <c r="AD28" i="12"/>
  <c r="AA28" i="12"/>
  <c r="X28" i="12"/>
  <c r="W28" i="12"/>
  <c r="V28" i="12"/>
  <c r="U28" i="12"/>
  <c r="AD27" i="12"/>
  <c r="V27" i="12"/>
  <c r="U27" i="12"/>
  <c r="AE26" i="12"/>
  <c r="AD26" i="12"/>
  <c r="AC26" i="12"/>
  <c r="AA26" i="12"/>
  <c r="Y26" i="12"/>
  <c r="W26" i="12"/>
  <c r="V26" i="12"/>
  <c r="U26" i="12"/>
  <c r="AD25" i="12"/>
  <c r="AB25" i="12"/>
  <c r="V25" i="12"/>
  <c r="U25" i="12"/>
  <c r="AE24" i="12"/>
  <c r="AD24" i="12"/>
  <c r="AA24" i="12"/>
  <c r="W24" i="12"/>
  <c r="V24" i="12"/>
  <c r="U24" i="12"/>
  <c r="AD23" i="12"/>
  <c r="V23" i="12"/>
  <c r="U23" i="12"/>
  <c r="AE22" i="12"/>
  <c r="AD22" i="12"/>
  <c r="AA22" i="12"/>
  <c r="W22" i="12"/>
  <c r="V22" i="12"/>
  <c r="U22" i="12"/>
  <c r="AD21" i="12"/>
  <c r="X21" i="12"/>
  <c r="V21" i="12"/>
  <c r="U21" i="12"/>
  <c r="AE20" i="12"/>
  <c r="AD20" i="12"/>
  <c r="AA20" i="12"/>
  <c r="W20" i="12"/>
  <c r="V20" i="12"/>
  <c r="U20" i="12"/>
  <c r="AD19" i="12"/>
  <c r="V19" i="12"/>
  <c r="U19" i="12"/>
  <c r="AE18" i="12"/>
  <c r="AD18" i="12"/>
  <c r="AA18" i="12"/>
  <c r="W18" i="12"/>
  <c r="V18" i="12"/>
  <c r="U18" i="12"/>
  <c r="AD17" i="12"/>
  <c r="V17" i="12"/>
  <c r="U17" i="12"/>
  <c r="AE16" i="12"/>
  <c r="AD16" i="12"/>
  <c r="AA16" i="12"/>
  <c r="W16" i="12"/>
  <c r="V16" i="12"/>
  <c r="U16" i="12"/>
  <c r="AD15" i="12"/>
  <c r="AB15" i="12"/>
  <c r="V15" i="12"/>
  <c r="U15" i="12"/>
  <c r="AE14" i="12"/>
  <c r="AD14" i="12"/>
  <c r="AC14" i="12"/>
  <c r="AB14" i="12"/>
  <c r="AA14" i="12"/>
  <c r="Y14" i="12"/>
  <c r="X14" i="12"/>
  <c r="W14" i="12"/>
  <c r="V14" i="12"/>
  <c r="U14" i="12"/>
  <c r="AD13" i="12"/>
  <c r="V13" i="12"/>
  <c r="U13" i="12"/>
  <c r="AE12" i="12"/>
  <c r="AD12" i="12"/>
  <c r="AC12" i="12"/>
  <c r="AA12" i="12"/>
  <c r="Y12" i="12"/>
  <c r="W12" i="12"/>
  <c r="V12" i="12"/>
  <c r="U12" i="12"/>
  <c r="AD11" i="12"/>
  <c r="X11" i="12"/>
  <c r="V11" i="12"/>
  <c r="U11" i="12"/>
  <c r="AE10" i="12"/>
  <c r="AD10" i="12"/>
  <c r="AA10" i="12"/>
  <c r="W10" i="12"/>
  <c r="V10" i="12"/>
  <c r="U10" i="12"/>
  <c r="AD9" i="12"/>
  <c r="V9" i="12"/>
  <c r="U9" i="12"/>
  <c r="AE8" i="12"/>
  <c r="AD8" i="12"/>
  <c r="AA8" i="12"/>
  <c r="W8" i="12"/>
  <c r="V8" i="12"/>
  <c r="U8" i="12"/>
  <c r="AD7" i="12"/>
  <c r="AB7" i="12"/>
  <c r="V7" i="12"/>
  <c r="U7" i="12"/>
  <c r="AE6" i="12"/>
  <c r="AD6" i="12"/>
  <c r="AC6" i="12"/>
  <c r="AB6" i="12"/>
  <c r="AA6" i="12"/>
  <c r="Y6" i="12"/>
  <c r="X6" i="12"/>
  <c r="W6" i="12"/>
  <c r="V6" i="12"/>
  <c r="U6" i="12"/>
  <c r="AD5" i="12"/>
  <c r="V5" i="12"/>
  <c r="AE48" i="11"/>
  <c r="AD48" i="11"/>
  <c r="AB48" i="11"/>
  <c r="Z48" i="11"/>
  <c r="X48" i="11"/>
  <c r="V48" i="11"/>
  <c r="AE47" i="11"/>
  <c r="AD47" i="11"/>
  <c r="Z47" i="11"/>
  <c r="V47" i="11"/>
  <c r="AE46" i="11"/>
  <c r="AD46" i="11"/>
  <c r="AC46" i="11"/>
  <c r="Z46" i="11"/>
  <c r="Y46" i="11"/>
  <c r="V46" i="11"/>
  <c r="AE45" i="11"/>
  <c r="AD45" i="11"/>
  <c r="AB45" i="11"/>
  <c r="Z45" i="11"/>
  <c r="X45" i="11"/>
  <c r="V45" i="11"/>
  <c r="AE44" i="11"/>
  <c r="AD44" i="11"/>
  <c r="AB44" i="11"/>
  <c r="Z44" i="11"/>
  <c r="X44" i="11"/>
  <c r="V44" i="11"/>
  <c r="AE43" i="11"/>
  <c r="AD43" i="11"/>
  <c r="Z43" i="11"/>
  <c r="V43" i="11"/>
  <c r="AE42" i="11"/>
  <c r="AD42" i="11"/>
  <c r="AC42" i="11"/>
  <c r="Z42" i="11"/>
  <c r="Y42" i="11"/>
  <c r="V42" i="11"/>
  <c r="AE41" i="11"/>
  <c r="AD41" i="11"/>
  <c r="AB41" i="11"/>
  <c r="Z41" i="11"/>
  <c r="X41" i="11"/>
  <c r="V41" i="11"/>
  <c r="AE40" i="11"/>
  <c r="AD40" i="11"/>
  <c r="AB40" i="11"/>
  <c r="Z40" i="11"/>
  <c r="X40" i="11"/>
  <c r="V40" i="11"/>
  <c r="AE39" i="11"/>
  <c r="AD39" i="11"/>
  <c r="Z39" i="11"/>
  <c r="V39" i="11"/>
  <c r="AE38" i="11"/>
  <c r="AD38" i="11"/>
  <c r="AC38" i="11"/>
  <c r="Z38" i="11"/>
  <c r="Y38" i="11"/>
  <c r="V38" i="11"/>
  <c r="AE37" i="11"/>
  <c r="AD37" i="11"/>
  <c r="AB37" i="11"/>
  <c r="Z37" i="11"/>
  <c r="X37" i="11"/>
  <c r="V37" i="11"/>
  <c r="AE36" i="11"/>
  <c r="AD36" i="11"/>
  <c r="AB36" i="11"/>
  <c r="Z36" i="11"/>
  <c r="X36" i="11"/>
  <c r="V36" i="11"/>
  <c r="AE35" i="11"/>
  <c r="AD35" i="11"/>
  <c r="Z35" i="11"/>
  <c r="V35" i="11"/>
  <c r="AE34" i="11"/>
  <c r="AD34" i="11"/>
  <c r="AC34" i="11"/>
  <c r="Z34" i="11"/>
  <c r="Y34" i="11"/>
  <c r="V34" i="11"/>
  <c r="AE33" i="11"/>
  <c r="AD33" i="11"/>
  <c r="AB33" i="11"/>
  <c r="Z33" i="11"/>
  <c r="X33" i="11"/>
  <c r="V33" i="11"/>
  <c r="AE32" i="11"/>
  <c r="AD32" i="11"/>
  <c r="AB32" i="11"/>
  <c r="Z32" i="11"/>
  <c r="X32" i="11"/>
  <c r="V32" i="11"/>
  <c r="AE31" i="11"/>
  <c r="AD31" i="11"/>
  <c r="Z31" i="11"/>
  <c r="V31" i="11"/>
  <c r="AE30" i="11"/>
  <c r="AD30" i="11"/>
  <c r="AC30" i="11"/>
  <c r="Z30" i="11"/>
  <c r="Y30" i="11"/>
  <c r="V30" i="11"/>
  <c r="AE29" i="11"/>
  <c r="AD29" i="11"/>
  <c r="AB29" i="11"/>
  <c r="Z29" i="11"/>
  <c r="X29" i="11"/>
  <c r="V29" i="11"/>
  <c r="AE28" i="11"/>
  <c r="AD28" i="11"/>
  <c r="AB28" i="11"/>
  <c r="Z28" i="11"/>
  <c r="X28" i="11"/>
  <c r="V28" i="11"/>
  <c r="AE27" i="11"/>
  <c r="AD27" i="11"/>
  <c r="Z27" i="11"/>
  <c r="V27" i="11"/>
  <c r="AE26" i="11"/>
  <c r="AD26" i="11"/>
  <c r="AC26" i="11"/>
  <c r="Z26" i="11"/>
  <c r="Y26" i="11"/>
  <c r="V26" i="11"/>
  <c r="AE25" i="11"/>
  <c r="AD25" i="11"/>
  <c r="AB25" i="11"/>
  <c r="Z25" i="11"/>
  <c r="X25" i="11"/>
  <c r="V25" i="11"/>
  <c r="AE24" i="11"/>
  <c r="AD24" i="11"/>
  <c r="AB24" i="11"/>
  <c r="Z24" i="11"/>
  <c r="X24" i="11"/>
  <c r="V24" i="11"/>
  <c r="AE23" i="11"/>
  <c r="AD23" i="11"/>
  <c r="Z23" i="11"/>
  <c r="V23" i="11"/>
  <c r="AE22" i="11"/>
  <c r="AD22" i="11"/>
  <c r="AC22" i="11"/>
  <c r="Z22" i="11"/>
  <c r="Y22" i="11"/>
  <c r="V22" i="11"/>
  <c r="AE21" i="11"/>
  <c r="AD21" i="11"/>
  <c r="AB21" i="11"/>
  <c r="Z21" i="11"/>
  <c r="X21" i="11"/>
  <c r="V21" i="11"/>
  <c r="AE20" i="11"/>
  <c r="AD20" i="11"/>
  <c r="AB20" i="11"/>
  <c r="Z20" i="11"/>
  <c r="X20" i="11"/>
  <c r="V20" i="11"/>
  <c r="AE19" i="11"/>
  <c r="AD19" i="11"/>
  <c r="Z19" i="11"/>
  <c r="V19" i="11"/>
  <c r="AE18" i="11"/>
  <c r="AD18" i="11"/>
  <c r="AC18" i="11"/>
  <c r="Z18" i="11"/>
  <c r="Y18" i="11"/>
  <c r="V18" i="11"/>
  <c r="AE17" i="11"/>
  <c r="AD17" i="11"/>
  <c r="AB17" i="11"/>
  <c r="Z17" i="11"/>
  <c r="X17" i="11"/>
  <c r="V17" i="11"/>
  <c r="AE16" i="11"/>
  <c r="AD16" i="11"/>
  <c r="AB16" i="11"/>
  <c r="Z16" i="11"/>
  <c r="X16" i="11"/>
  <c r="V16" i="11"/>
  <c r="AE15" i="11"/>
  <c r="AD15" i="11"/>
  <c r="Z15" i="11"/>
  <c r="V15" i="11"/>
  <c r="AE14" i="11"/>
  <c r="AD14" i="11"/>
  <c r="AC14" i="11"/>
  <c r="Z14" i="11"/>
  <c r="Y14" i="11"/>
  <c r="V14" i="11"/>
  <c r="AE13" i="11"/>
  <c r="AD13" i="11"/>
  <c r="AB13" i="11"/>
  <c r="Z13" i="11"/>
  <c r="X13" i="11"/>
  <c r="V13" i="11"/>
  <c r="AE12" i="11"/>
  <c r="AD12" i="11"/>
  <c r="AB12" i="11"/>
  <c r="Z12" i="11"/>
  <c r="X12" i="11"/>
  <c r="V12" i="11"/>
  <c r="AE11" i="11"/>
  <c r="AD11" i="11"/>
  <c r="Z11" i="11"/>
  <c r="V11" i="11"/>
  <c r="AE10" i="11"/>
  <c r="AD10" i="11"/>
  <c r="AC10" i="11"/>
  <c r="Z10" i="11"/>
  <c r="Y10" i="11"/>
  <c r="V10" i="11"/>
  <c r="AE9" i="11"/>
  <c r="AD9" i="11"/>
  <c r="AB9" i="11"/>
  <c r="Z9" i="11"/>
  <c r="X9" i="11"/>
  <c r="V9" i="11"/>
  <c r="AE8" i="11"/>
  <c r="AD8" i="11"/>
  <c r="AB8" i="11"/>
  <c r="Z8" i="11"/>
  <c r="X8" i="11"/>
  <c r="V8" i="11"/>
  <c r="AE7" i="11"/>
  <c r="AD7" i="11"/>
  <c r="Z7" i="11"/>
  <c r="V7" i="11"/>
  <c r="AE6" i="11"/>
  <c r="AD6" i="11"/>
  <c r="AC6" i="11"/>
  <c r="Z6" i="11"/>
  <c r="Y6" i="11"/>
  <c r="V6" i="11"/>
  <c r="AE5" i="11"/>
  <c r="AD5" i="11"/>
  <c r="AB5" i="11"/>
  <c r="Z5" i="11"/>
  <c r="X5" i="11"/>
  <c r="V5" i="11"/>
  <c r="U5" i="12"/>
  <c r="Q49" i="13"/>
  <c r="Q49" i="6"/>
  <c r="Q49" i="8"/>
  <c r="P49" i="6"/>
  <c r="P49" i="8"/>
  <c r="O49" i="13"/>
  <c r="O49" i="6"/>
  <c r="O49" i="8"/>
  <c r="N49" i="13"/>
  <c r="N49" i="8"/>
  <c r="T48" i="14"/>
  <c r="T47" i="14"/>
  <c r="T46" i="14"/>
  <c r="T45" i="14"/>
  <c r="T44" i="14"/>
  <c r="T43" i="14"/>
  <c r="T42" i="14"/>
  <c r="T41" i="14"/>
  <c r="T40" i="14"/>
  <c r="T39" i="14"/>
  <c r="T38" i="14"/>
  <c r="T37" i="14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48" i="13"/>
  <c r="T47" i="13"/>
  <c r="T46" i="13"/>
  <c r="T45" i="13"/>
  <c r="T44" i="13"/>
  <c r="T43" i="13"/>
  <c r="T42" i="13"/>
  <c r="T41" i="13"/>
  <c r="T40" i="13"/>
  <c r="T39" i="13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AA34" i="10" l="1"/>
  <c r="AA40" i="10"/>
  <c r="AA43" i="10"/>
  <c r="AA33" i="10"/>
  <c r="AA45" i="10"/>
  <c r="AA37" i="10"/>
  <c r="AA29" i="10"/>
  <c r="AA28" i="10"/>
  <c r="AA20" i="10"/>
  <c r="AA47" i="10"/>
  <c r="AA46" i="10"/>
  <c r="AA22" i="10"/>
  <c r="AA14" i="10"/>
  <c r="AA6" i="10"/>
  <c r="AA26" i="10"/>
  <c r="AA18" i="10"/>
  <c r="AA10" i="10"/>
  <c r="AA39" i="10"/>
  <c r="AA35" i="10"/>
  <c r="AA23" i="10"/>
  <c r="AA15" i="10"/>
  <c r="AA13" i="10"/>
  <c r="AA12" i="10"/>
  <c r="AA11" i="10"/>
  <c r="AA41" i="10"/>
  <c r="AA31" i="10"/>
  <c r="AA24" i="10"/>
  <c r="AA16" i="10"/>
  <c r="AA9" i="10"/>
  <c r="AA8" i="10"/>
  <c r="AA7" i="10"/>
  <c r="AA25" i="10"/>
  <c r="AA17" i="10"/>
  <c r="AA5" i="10"/>
  <c r="AA4" i="10"/>
  <c r="AA38" i="10"/>
  <c r="AA19" i="10"/>
  <c r="AA42" i="10"/>
  <c r="AA32" i="10"/>
  <c r="AA30" i="10"/>
  <c r="AA36" i="10"/>
  <c r="AA44" i="10"/>
  <c r="Z43" i="10"/>
  <c r="Z36" i="10"/>
  <c r="Z46" i="10"/>
  <c r="Z41" i="10"/>
  <c r="Z32" i="10"/>
  <c r="Z45" i="10"/>
  <c r="Z44" i="10"/>
  <c r="Z23" i="10"/>
  <c r="Z15" i="10"/>
  <c r="Z28" i="10"/>
  <c r="Z47" i="10"/>
  <c r="Z25" i="10"/>
  <c r="Z17" i="10"/>
  <c r="Z9" i="10"/>
  <c r="Z42" i="10"/>
  <c r="Z31" i="10"/>
  <c r="Z30" i="10"/>
  <c r="Z29" i="10"/>
  <c r="Z21" i="10"/>
  <c r="Z13" i="10"/>
  <c r="Z5" i="10"/>
  <c r="V6" i="10"/>
  <c r="V7" i="10"/>
  <c r="V8" i="10"/>
  <c r="AE11" i="10"/>
  <c r="AE12" i="10"/>
  <c r="AE13" i="10"/>
  <c r="AD14" i="10"/>
  <c r="AE15" i="10"/>
  <c r="W17" i="10"/>
  <c r="X18" i="10"/>
  <c r="Z20" i="10"/>
  <c r="AD22" i="10"/>
  <c r="AE23" i="10"/>
  <c r="W25" i="10"/>
  <c r="X26" i="10"/>
  <c r="Z27" i="10"/>
  <c r="AD28" i="10"/>
  <c r="Z34" i="10"/>
  <c r="AB45" i="10"/>
  <c r="AB47" i="10"/>
  <c r="AB42" i="10"/>
  <c r="AB38" i="10"/>
  <c r="AB30" i="10"/>
  <c r="AB40" i="10"/>
  <c r="AB34" i="10"/>
  <c r="AB46" i="10"/>
  <c r="AB25" i="10"/>
  <c r="AB17" i="10"/>
  <c r="AB39" i="10"/>
  <c r="AB27" i="10"/>
  <c r="AB19" i="10"/>
  <c r="AB11" i="10"/>
  <c r="AB44" i="10"/>
  <c r="AB43" i="10"/>
  <c r="AB23" i="10"/>
  <c r="AB15" i="10"/>
  <c r="AB7" i="10"/>
  <c r="AB26" i="10"/>
  <c r="AB36" i="10"/>
  <c r="Z6" i="10"/>
  <c r="Z7" i="10"/>
  <c r="Z8" i="10"/>
  <c r="X12" i="10"/>
  <c r="X13" i="10"/>
  <c r="X14" i="10"/>
  <c r="W15" i="10"/>
  <c r="Z16" i="10"/>
  <c r="AB18" i="10"/>
  <c r="AE20" i="10"/>
  <c r="V22" i="10"/>
  <c r="W23" i="10"/>
  <c r="Z24" i="10"/>
  <c r="AE27" i="10"/>
  <c r="X31" i="10"/>
  <c r="X33" i="10"/>
  <c r="W35" i="10"/>
  <c r="V37" i="10"/>
  <c r="V47" i="10"/>
  <c r="V32" i="10"/>
  <c r="V43" i="10"/>
  <c r="V36" i="10"/>
  <c r="V41" i="10"/>
  <c r="V35" i="10"/>
  <c r="V34" i="10"/>
  <c r="V33" i="10"/>
  <c r="V27" i="10"/>
  <c r="V19" i="10"/>
  <c r="V42" i="10"/>
  <c r="V31" i="10"/>
  <c r="V30" i="10"/>
  <c r="V44" i="10"/>
  <c r="V29" i="10"/>
  <c r="V21" i="10"/>
  <c r="V13" i="10"/>
  <c r="V5" i="10"/>
  <c r="V45" i="10"/>
  <c r="V25" i="10"/>
  <c r="V17" i="10"/>
  <c r="V9" i="10"/>
  <c r="AD47" i="10"/>
  <c r="AD39" i="10"/>
  <c r="AD46" i="10"/>
  <c r="AD41" i="10"/>
  <c r="AD32" i="10"/>
  <c r="AD36" i="10"/>
  <c r="AD27" i="10"/>
  <c r="AD19" i="10"/>
  <c r="AD38" i="10"/>
  <c r="AD37" i="10"/>
  <c r="AD40" i="10"/>
  <c r="AD35" i="10"/>
  <c r="AD34" i="10"/>
  <c r="AD33" i="10"/>
  <c r="AD21" i="10"/>
  <c r="AD13" i="10"/>
  <c r="AD5" i="10"/>
  <c r="AD45" i="10"/>
  <c r="AD25" i="10"/>
  <c r="AD17" i="10"/>
  <c r="AD9" i="10"/>
  <c r="AB4" i="10"/>
  <c r="AB5" i="10"/>
  <c r="AB6" i="10"/>
  <c r="X22" i="10"/>
  <c r="AD26" i="10"/>
  <c r="V28" i="10"/>
  <c r="AB29" i="10"/>
  <c r="Z33" i="10"/>
  <c r="Z35" i="10"/>
  <c r="V46" i="10"/>
  <c r="W44" i="10"/>
  <c r="W45" i="10"/>
  <c r="W40" i="10"/>
  <c r="W37" i="10"/>
  <c r="W33" i="10"/>
  <c r="W42" i="10"/>
  <c r="W32" i="10"/>
  <c r="W31" i="10"/>
  <c r="W30" i="10"/>
  <c r="W24" i="10"/>
  <c r="W16" i="10"/>
  <c r="W43" i="10"/>
  <c r="W29" i="10"/>
  <c r="W26" i="10"/>
  <c r="W18" i="10"/>
  <c r="W10" i="10"/>
  <c r="W46" i="10"/>
  <c r="W39" i="10"/>
  <c r="W38" i="10"/>
  <c r="W22" i="10"/>
  <c r="W14" i="10"/>
  <c r="W6" i="10"/>
  <c r="AE44" i="10"/>
  <c r="AE37" i="10"/>
  <c r="AE29" i="10"/>
  <c r="AE43" i="10"/>
  <c r="AE33" i="10"/>
  <c r="AE38" i="10"/>
  <c r="AE24" i="10"/>
  <c r="AE16" i="10"/>
  <c r="AE40" i="10"/>
  <c r="AE39" i="10"/>
  <c r="AE36" i="10"/>
  <c r="AE35" i="10"/>
  <c r="AE34" i="10"/>
  <c r="AE41" i="10"/>
  <c r="AE32" i="10"/>
  <c r="AE31" i="10"/>
  <c r="AE30" i="10"/>
  <c r="AE26" i="10"/>
  <c r="AE18" i="10"/>
  <c r="AE10" i="10"/>
  <c r="AE46" i="10"/>
  <c r="AE22" i="10"/>
  <c r="AE14" i="10"/>
  <c r="AE6" i="10"/>
  <c r="AD4" i="10"/>
  <c r="AB8" i="10"/>
  <c r="AB9" i="10"/>
  <c r="AB10" i="10"/>
  <c r="Z14" i="10"/>
  <c r="AB16" i="10"/>
  <c r="AE17" i="10"/>
  <c r="AD18" i="10"/>
  <c r="V20" i="10"/>
  <c r="W21" i="10"/>
  <c r="AB24" i="10"/>
  <c r="AE25" i="10"/>
  <c r="W28" i="10"/>
  <c r="AB31" i="10"/>
  <c r="AB33" i="10"/>
  <c r="Z37" i="10"/>
  <c r="Z39" i="10"/>
  <c r="AB41" i="10"/>
  <c r="AD43" i="10"/>
  <c r="X41" i="10"/>
  <c r="X34" i="10"/>
  <c r="X47" i="10"/>
  <c r="X42" i="10"/>
  <c r="X38" i="10"/>
  <c r="X30" i="10"/>
  <c r="X43" i="10"/>
  <c r="X29" i="10"/>
  <c r="X21" i="10"/>
  <c r="X44" i="10"/>
  <c r="X46" i="10"/>
  <c r="X45" i="10"/>
  <c r="X23" i="10"/>
  <c r="X15" i="10"/>
  <c r="X7" i="10"/>
  <c r="X40" i="10"/>
  <c r="X37" i="10"/>
  <c r="X36" i="10"/>
  <c r="X35" i="10"/>
  <c r="X27" i="10"/>
  <c r="X19" i="10"/>
  <c r="X11" i="10"/>
  <c r="AD6" i="10"/>
  <c r="AD7" i="10"/>
  <c r="AD8" i="10"/>
  <c r="AB12" i="10"/>
  <c r="AB13" i="10"/>
  <c r="AB14" i="10"/>
  <c r="AD16" i="10"/>
  <c r="W20" i="10"/>
  <c r="Z22" i="10"/>
  <c r="AD24" i="10"/>
  <c r="W27" i="10"/>
  <c r="X28" i="10"/>
  <c r="AD29" i="10"/>
  <c r="AD31" i="10"/>
  <c r="AB35" i="10"/>
  <c r="AB37" i="10"/>
  <c r="Y46" i="10"/>
  <c r="Y44" i="10"/>
  <c r="Y39" i="10"/>
  <c r="Y31" i="10"/>
  <c r="Y35" i="10"/>
  <c r="U4" i="10"/>
  <c r="AC4" i="10"/>
  <c r="Y8" i="10"/>
  <c r="U12" i="10"/>
  <c r="AC12" i="10"/>
  <c r="Y16" i="10"/>
  <c r="U20" i="10"/>
  <c r="AC20" i="10"/>
  <c r="Y24" i="10"/>
  <c r="Y32" i="10"/>
  <c r="Y33" i="10"/>
  <c r="Y34" i="10"/>
  <c r="Y41" i="10"/>
  <c r="I55" i="11"/>
  <c r="I56" i="11" s="1"/>
  <c r="U42" i="10"/>
  <c r="U46" i="10"/>
  <c r="U41" i="10"/>
  <c r="U35" i="10"/>
  <c r="U39" i="10"/>
  <c r="U31" i="10"/>
  <c r="AC42" i="10"/>
  <c r="AC35" i="10"/>
  <c r="AC44" i="10"/>
  <c r="AC39" i="10"/>
  <c r="AC31" i="10"/>
  <c r="Y4" i="10"/>
  <c r="U8" i="10"/>
  <c r="AC8" i="10"/>
  <c r="Y12" i="10"/>
  <c r="U16" i="10"/>
  <c r="AC16" i="10"/>
  <c r="Y20" i="10"/>
  <c r="U24" i="10"/>
  <c r="AC24" i="10"/>
  <c r="Y28" i="10"/>
  <c r="U30" i="10"/>
  <c r="AC36" i="10"/>
  <c r="AC37" i="10"/>
  <c r="AC38" i="10"/>
  <c r="U43" i="10"/>
  <c r="H49" i="12"/>
  <c r="C49" i="14"/>
  <c r="U32" i="10"/>
  <c r="U33" i="10"/>
  <c r="U34" i="10"/>
  <c r="Y45" i="10"/>
  <c r="I49" i="11"/>
  <c r="U22" i="10"/>
  <c r="AC22" i="10"/>
  <c r="Y26" i="10"/>
  <c r="U36" i="10"/>
  <c r="U37" i="10"/>
  <c r="U38" i="10"/>
  <c r="U40" i="10"/>
  <c r="AC47" i="10"/>
  <c r="N49" i="11"/>
  <c r="N55" i="11" s="1"/>
  <c r="N56" i="11" s="1"/>
  <c r="F55" i="11"/>
  <c r="F56" i="11" s="1"/>
  <c r="AC20" i="12"/>
  <c r="AC47" i="12"/>
  <c r="M55" i="11"/>
  <c r="M56" i="11" s="1"/>
  <c r="I60" i="12"/>
  <c r="I56" i="14"/>
  <c r="I57" i="14" s="1"/>
  <c r="C55" i="11"/>
  <c r="C56" i="11" s="1"/>
  <c r="E49" i="11"/>
  <c r="E55" i="11" s="1"/>
  <c r="E56" i="11" s="1"/>
  <c r="M57" i="14"/>
  <c r="E56" i="14"/>
  <c r="E57" i="14" s="1"/>
  <c r="I49" i="14"/>
  <c r="C59" i="12"/>
  <c r="C60" i="12" s="1"/>
  <c r="Q60" i="12" s="1"/>
  <c r="AC6" i="14"/>
  <c r="Y10" i="14"/>
  <c r="Y14" i="14"/>
  <c r="Y18" i="14"/>
  <c r="AC22" i="14"/>
  <c r="Y26" i="14"/>
  <c r="Y30" i="14"/>
  <c r="Y34" i="14"/>
  <c r="Y38" i="14"/>
  <c r="Y42" i="14"/>
  <c r="Y5" i="14"/>
  <c r="AC5" i="14"/>
  <c r="X8" i="14"/>
  <c r="AB8" i="14"/>
  <c r="Y9" i="14"/>
  <c r="AC9" i="14"/>
  <c r="X12" i="14"/>
  <c r="AB12" i="14"/>
  <c r="Y13" i="14"/>
  <c r="AC13" i="14"/>
  <c r="X16" i="14"/>
  <c r="AB16" i="14"/>
  <c r="Y17" i="14"/>
  <c r="AC17" i="14"/>
  <c r="X20" i="14"/>
  <c r="AB20" i="14"/>
  <c r="Y21" i="14"/>
  <c r="AC21" i="14"/>
  <c r="X24" i="14"/>
  <c r="AB24" i="14"/>
  <c r="Y25" i="14"/>
  <c r="AC25" i="14"/>
  <c r="X28" i="14"/>
  <c r="AB28" i="14"/>
  <c r="Y29" i="14"/>
  <c r="AC29" i="14"/>
  <c r="X32" i="14"/>
  <c r="AB32" i="14"/>
  <c r="Y33" i="14"/>
  <c r="AC33" i="14"/>
  <c r="X36" i="14"/>
  <c r="AB36" i="14"/>
  <c r="Y37" i="14"/>
  <c r="AC37" i="14"/>
  <c r="X40" i="14"/>
  <c r="AB40" i="14"/>
  <c r="Y41" i="14"/>
  <c r="AC41" i="14"/>
  <c r="X44" i="14"/>
  <c r="AB44" i="14"/>
  <c r="Y45" i="14"/>
  <c r="AC45" i="14"/>
  <c r="F56" i="14"/>
  <c r="F57" i="14" s="1"/>
  <c r="Y6" i="14"/>
  <c r="AC10" i="14"/>
  <c r="AC14" i="14"/>
  <c r="AC18" i="14"/>
  <c r="Y22" i="14"/>
  <c r="AC26" i="14"/>
  <c r="AC30" i="14"/>
  <c r="AC34" i="14"/>
  <c r="AC38" i="14"/>
  <c r="AC42" i="14"/>
  <c r="Y46" i="14"/>
  <c r="AC46" i="14"/>
  <c r="X7" i="14"/>
  <c r="AB7" i="14"/>
  <c r="Y8" i="14"/>
  <c r="AC8" i="14"/>
  <c r="X11" i="14"/>
  <c r="AB11" i="14"/>
  <c r="Y12" i="14"/>
  <c r="AC12" i="14"/>
  <c r="X15" i="14"/>
  <c r="AB15" i="14"/>
  <c r="Y16" i="14"/>
  <c r="AC16" i="14"/>
  <c r="X19" i="14"/>
  <c r="AB19" i="14"/>
  <c r="Y20" i="14"/>
  <c r="AC20" i="14"/>
  <c r="X23" i="14"/>
  <c r="AB23" i="14"/>
  <c r="Y24" i="14"/>
  <c r="AC24" i="14"/>
  <c r="X27" i="14"/>
  <c r="AB27" i="14"/>
  <c r="Y28" i="14"/>
  <c r="AC28" i="14"/>
  <c r="X31" i="14"/>
  <c r="AB31" i="14"/>
  <c r="Y32" i="14"/>
  <c r="AC32" i="14"/>
  <c r="X35" i="14"/>
  <c r="AB35" i="14"/>
  <c r="Y36" i="14"/>
  <c r="AC36" i="14"/>
  <c r="X39" i="14"/>
  <c r="AB39" i="14"/>
  <c r="Y40" i="14"/>
  <c r="AC40" i="14"/>
  <c r="X43" i="14"/>
  <c r="AB43" i="14"/>
  <c r="Y44" i="14"/>
  <c r="AC44" i="14"/>
  <c r="AB47" i="14"/>
  <c r="AC48" i="14"/>
  <c r="Y48" i="14"/>
  <c r="W48" i="14"/>
  <c r="AA48" i="14"/>
  <c r="AE48" i="14"/>
  <c r="K56" i="14"/>
  <c r="K57" i="14" s="1"/>
  <c r="G56" i="14"/>
  <c r="G57" i="14" s="1"/>
  <c r="X46" i="12"/>
  <c r="X5" i="12"/>
  <c r="AB8" i="12"/>
  <c r="AB9" i="12"/>
  <c r="X13" i="12"/>
  <c r="AB16" i="12"/>
  <c r="AB19" i="12"/>
  <c r="X27" i="12"/>
  <c r="AB31" i="12"/>
  <c r="AB32" i="12"/>
  <c r="AB39" i="12"/>
  <c r="AB40" i="12"/>
  <c r="X43" i="12"/>
  <c r="X7" i="12"/>
  <c r="Y8" i="12"/>
  <c r="AC8" i="12"/>
  <c r="X10" i="12"/>
  <c r="AB10" i="12"/>
  <c r="AB11" i="12"/>
  <c r="X15" i="12"/>
  <c r="Y16" i="12"/>
  <c r="AC16" i="12"/>
  <c r="X18" i="12"/>
  <c r="AC18" i="12"/>
  <c r="X20" i="12"/>
  <c r="AB20" i="12"/>
  <c r="AB21" i="12"/>
  <c r="AC22" i="12"/>
  <c r="X24" i="12"/>
  <c r="X25" i="12"/>
  <c r="AB29" i="12"/>
  <c r="AC30" i="12"/>
  <c r="X32" i="12"/>
  <c r="X33" i="12"/>
  <c r="AB37" i="12"/>
  <c r="AC38" i="12"/>
  <c r="X40" i="12"/>
  <c r="X41" i="12"/>
  <c r="AB45" i="12"/>
  <c r="AC46" i="12"/>
  <c r="X48" i="12"/>
  <c r="X8" i="12"/>
  <c r="X16" i="12"/>
  <c r="AB17" i="12"/>
  <c r="AB23" i="12"/>
  <c r="AB24" i="12"/>
  <c r="X35" i="12"/>
  <c r="AB47" i="12"/>
  <c r="AB46" i="12"/>
  <c r="AB5" i="12"/>
  <c r="X9" i="12"/>
  <c r="Y10" i="12"/>
  <c r="AC10" i="12"/>
  <c r="X12" i="12"/>
  <c r="AB12" i="12"/>
  <c r="AB13" i="12"/>
  <c r="X17" i="12"/>
  <c r="Y18" i="12"/>
  <c r="X19" i="12"/>
  <c r="Y20" i="12"/>
  <c r="Y22" i="12"/>
  <c r="X23" i="12"/>
  <c r="AB27" i="12"/>
  <c r="AB28" i="12"/>
  <c r="Y30" i="12"/>
  <c r="X31" i="12"/>
  <c r="AB35" i="12"/>
  <c r="AB36" i="12"/>
  <c r="Y38" i="12"/>
  <c r="X39" i="12"/>
  <c r="AB43" i="12"/>
  <c r="Y46" i="12"/>
  <c r="N59" i="12"/>
  <c r="N60" i="12" s="1"/>
  <c r="J59" i="12"/>
  <c r="J60" i="12" s="1"/>
  <c r="F59" i="12"/>
  <c r="F60" i="12" s="1"/>
  <c r="Y5" i="12"/>
  <c r="AC5" i="12"/>
  <c r="W7" i="12"/>
  <c r="AA7" i="12"/>
  <c r="AE7" i="12"/>
  <c r="Y9" i="12"/>
  <c r="AC9" i="12"/>
  <c r="W11" i="12"/>
  <c r="AA11" i="12"/>
  <c r="AE11" i="12"/>
  <c r="Y13" i="12"/>
  <c r="AC13" i="12"/>
  <c r="W15" i="12"/>
  <c r="AA15" i="12"/>
  <c r="AE15" i="12"/>
  <c r="Y17" i="12"/>
  <c r="AC17" i="12"/>
  <c r="W19" i="12"/>
  <c r="AA19" i="12"/>
  <c r="AE19" i="12"/>
  <c r="Y21" i="12"/>
  <c r="AC21" i="12"/>
  <c r="W23" i="12"/>
  <c r="AA23" i="12"/>
  <c r="AE23" i="12"/>
  <c r="Y25" i="12"/>
  <c r="AC25" i="12"/>
  <c r="W27" i="12"/>
  <c r="AA27" i="12"/>
  <c r="AE27" i="12"/>
  <c r="Y29" i="12"/>
  <c r="AC29" i="12"/>
  <c r="W31" i="12"/>
  <c r="AA31" i="12"/>
  <c r="AE31" i="12"/>
  <c r="Y33" i="12"/>
  <c r="AC33" i="12"/>
  <c r="W35" i="12"/>
  <c r="AA35" i="12"/>
  <c r="AE35" i="12"/>
  <c r="Y37" i="12"/>
  <c r="AC37" i="12"/>
  <c r="W39" i="12"/>
  <c r="AA39" i="12"/>
  <c r="AE39" i="12"/>
  <c r="Y41" i="12"/>
  <c r="AC41" i="12"/>
  <c r="W43" i="12"/>
  <c r="AA43" i="12"/>
  <c r="AE43" i="12"/>
  <c r="Y45" i="12"/>
  <c r="AC45" i="12"/>
  <c r="W47" i="12"/>
  <c r="AA47" i="12"/>
  <c r="AE47" i="12"/>
  <c r="M59" i="12"/>
  <c r="M60" i="12" s="1"/>
  <c r="E59" i="12"/>
  <c r="E60" i="12" s="1"/>
  <c r="O59" i="12"/>
  <c r="O60" i="12" s="1"/>
  <c r="K59" i="12"/>
  <c r="K60" i="12" s="1"/>
  <c r="G59" i="12"/>
  <c r="G60" i="12" s="1"/>
  <c r="Y24" i="12"/>
  <c r="AC24" i="12"/>
  <c r="Y28" i="12"/>
  <c r="AC28" i="12"/>
  <c r="Y32" i="12"/>
  <c r="AC32" i="12"/>
  <c r="Y36" i="12"/>
  <c r="AC36" i="12"/>
  <c r="Y40" i="12"/>
  <c r="AC40" i="12"/>
  <c r="Y44" i="12"/>
  <c r="AC44" i="12"/>
  <c r="W5" i="12"/>
  <c r="AA5" i="12"/>
  <c r="AE5" i="12"/>
  <c r="Y7" i="12"/>
  <c r="AC7" i="12"/>
  <c r="W9" i="12"/>
  <c r="AA9" i="12"/>
  <c r="AE9" i="12"/>
  <c r="Y11" i="12"/>
  <c r="AC11" i="12"/>
  <c r="W13" i="12"/>
  <c r="AA13" i="12"/>
  <c r="AE13" i="12"/>
  <c r="Y15" i="12"/>
  <c r="AC15" i="12"/>
  <c r="W17" i="12"/>
  <c r="AA17" i="12"/>
  <c r="AE17" i="12"/>
  <c r="AB18" i="12"/>
  <c r="Y19" i="12"/>
  <c r="AC19" i="12"/>
  <c r="W21" i="12"/>
  <c r="AA21" i="12"/>
  <c r="AE21" i="12"/>
  <c r="X22" i="12"/>
  <c r="AB22" i="12"/>
  <c r="Y23" i="12"/>
  <c r="AC23" i="12"/>
  <c r="W25" i="12"/>
  <c r="AA25" i="12"/>
  <c r="AE25" i="12"/>
  <c r="X26" i="12"/>
  <c r="AB26" i="12"/>
  <c r="Y27" i="12"/>
  <c r="AC27" i="12"/>
  <c r="W29" i="12"/>
  <c r="AA29" i="12"/>
  <c r="AE29" i="12"/>
  <c r="X30" i="12"/>
  <c r="AB30" i="12"/>
  <c r="Y31" i="12"/>
  <c r="AC31" i="12"/>
  <c r="W33" i="12"/>
  <c r="AA33" i="12"/>
  <c r="AE33" i="12"/>
  <c r="X34" i="12"/>
  <c r="AB34" i="12"/>
  <c r="Y35" i="12"/>
  <c r="AC35" i="12"/>
  <c r="W37" i="12"/>
  <c r="AA37" i="12"/>
  <c r="AE37" i="12"/>
  <c r="X38" i="12"/>
  <c r="AB38" i="12"/>
  <c r="Y39" i="12"/>
  <c r="AC39" i="12"/>
  <c r="W41" i="12"/>
  <c r="AA41" i="12"/>
  <c r="AE41" i="12"/>
  <c r="X42" i="12"/>
  <c r="AB42" i="12"/>
  <c r="Y43" i="12"/>
  <c r="AC43" i="12"/>
  <c r="AA45" i="12"/>
  <c r="AA48" i="12"/>
  <c r="Y48" i="12"/>
  <c r="AC48" i="12"/>
  <c r="D60" i="12"/>
  <c r="P60" i="12"/>
  <c r="L60" i="12"/>
  <c r="AC5" i="11"/>
  <c r="AC9" i="11"/>
  <c r="AC13" i="11"/>
  <c r="Y17" i="11"/>
  <c r="AC21" i="11"/>
  <c r="AC25" i="11"/>
  <c r="Y29" i="11"/>
  <c r="AC33" i="11"/>
  <c r="Y37" i="11"/>
  <c r="Y41" i="11"/>
  <c r="AC45" i="11"/>
  <c r="X7" i="11"/>
  <c r="AB7" i="11"/>
  <c r="Y8" i="11"/>
  <c r="AC8" i="11"/>
  <c r="X11" i="11"/>
  <c r="AB11" i="11"/>
  <c r="Y12" i="11"/>
  <c r="AC12" i="11"/>
  <c r="X15" i="11"/>
  <c r="AB15" i="11"/>
  <c r="Y16" i="11"/>
  <c r="AC16" i="11"/>
  <c r="X19" i="11"/>
  <c r="AB19" i="11"/>
  <c r="Y20" i="11"/>
  <c r="AC20" i="11"/>
  <c r="X23" i="11"/>
  <c r="AB23" i="11"/>
  <c r="Y24" i="11"/>
  <c r="AC24" i="11"/>
  <c r="X27" i="11"/>
  <c r="AB27" i="11"/>
  <c r="Y28" i="11"/>
  <c r="AC28" i="11"/>
  <c r="X31" i="11"/>
  <c r="AB31" i="11"/>
  <c r="Y32" i="11"/>
  <c r="AC32" i="11"/>
  <c r="X35" i="11"/>
  <c r="AB35" i="11"/>
  <c r="Y36" i="11"/>
  <c r="AC36" i="11"/>
  <c r="X39" i="11"/>
  <c r="AB39" i="11"/>
  <c r="Y40" i="11"/>
  <c r="AC40" i="11"/>
  <c r="X43" i="11"/>
  <c r="AB43" i="11"/>
  <c r="Y44" i="11"/>
  <c r="AC44" i="11"/>
  <c r="X47" i="11"/>
  <c r="AB47" i="11"/>
  <c r="Y48" i="11"/>
  <c r="AC48" i="11"/>
  <c r="J55" i="11"/>
  <c r="J56" i="11" s="1"/>
  <c r="Y5" i="11"/>
  <c r="Y9" i="11"/>
  <c r="Y13" i="11"/>
  <c r="AC17" i="11"/>
  <c r="Y21" i="11"/>
  <c r="Y25" i="11"/>
  <c r="AC29" i="11"/>
  <c r="Y33" i="11"/>
  <c r="AC37" i="11"/>
  <c r="AC41" i="11"/>
  <c r="Y45" i="11"/>
  <c r="X6" i="11"/>
  <c r="AB6" i="11"/>
  <c r="Y7" i="11"/>
  <c r="AC7" i="11"/>
  <c r="X10" i="11"/>
  <c r="AB10" i="11"/>
  <c r="Y11" i="11"/>
  <c r="AC11" i="11"/>
  <c r="X14" i="11"/>
  <c r="AB14" i="11"/>
  <c r="Y15" i="11"/>
  <c r="AC15" i="11"/>
  <c r="X18" i="11"/>
  <c r="AB18" i="11"/>
  <c r="Y19" i="11"/>
  <c r="AC19" i="11"/>
  <c r="X22" i="11"/>
  <c r="AB22" i="11"/>
  <c r="Y23" i="11"/>
  <c r="AC23" i="11"/>
  <c r="X26" i="11"/>
  <c r="AB26" i="11"/>
  <c r="Y27" i="11"/>
  <c r="AC27" i="11"/>
  <c r="X30" i="11"/>
  <c r="AB30" i="11"/>
  <c r="Y31" i="11"/>
  <c r="AC31" i="11"/>
  <c r="X34" i="11"/>
  <c r="AB34" i="11"/>
  <c r="Y35" i="11"/>
  <c r="AC35" i="11"/>
  <c r="X38" i="11"/>
  <c r="AB38" i="11"/>
  <c r="Y39" i="11"/>
  <c r="AC39" i="11"/>
  <c r="X42" i="11"/>
  <c r="AB42" i="11"/>
  <c r="Y43" i="11"/>
  <c r="AC43" i="11"/>
  <c r="AB46" i="11"/>
  <c r="O55" i="11"/>
  <c r="O56" i="11" s="1"/>
  <c r="K55" i="11"/>
  <c r="K56" i="11" s="1"/>
  <c r="G55" i="11"/>
  <c r="G56" i="11" s="1"/>
  <c r="N48" i="10"/>
  <c r="T11" i="10"/>
  <c r="T12" i="10"/>
  <c r="D50" i="10"/>
  <c r="F50" i="10"/>
  <c r="J50" i="10"/>
  <c r="I50" i="10"/>
  <c r="C50" i="10"/>
  <c r="G50" i="10"/>
  <c r="K50" i="10"/>
  <c r="C56" i="14" l="1"/>
  <c r="C57" i="14" s="1"/>
  <c r="U46" i="14"/>
  <c r="U44" i="14"/>
  <c r="U30" i="14"/>
  <c r="U28" i="14"/>
  <c r="U42" i="14"/>
  <c r="U40" i="14"/>
  <c r="U26" i="14"/>
  <c r="U24" i="14"/>
  <c r="U10" i="14"/>
  <c r="U8" i="14"/>
  <c r="U41" i="14"/>
  <c r="U39" i="14"/>
  <c r="U25" i="14"/>
  <c r="U23" i="14"/>
  <c r="U9" i="14"/>
  <c r="U7" i="14"/>
  <c r="U38" i="14"/>
  <c r="U36" i="14"/>
  <c r="U22" i="14"/>
  <c r="U20" i="14"/>
  <c r="U6" i="14"/>
  <c r="U48" i="14"/>
  <c r="U34" i="14"/>
  <c r="U32" i="14"/>
  <c r="U18" i="14"/>
  <c r="U16" i="14"/>
  <c r="U43" i="14"/>
  <c r="U35" i="14"/>
  <c r="U33" i="14"/>
  <c r="U27" i="14"/>
  <c r="U19" i="14"/>
  <c r="U17" i="14"/>
  <c r="U45" i="14"/>
  <c r="U37" i="14"/>
  <c r="U15" i="14"/>
  <c r="U14" i="14"/>
  <c r="U13" i="14"/>
  <c r="U47" i="14"/>
  <c r="U21" i="14"/>
  <c r="U29" i="14"/>
  <c r="U31" i="14"/>
  <c r="U5" i="14"/>
  <c r="U11" i="14"/>
  <c r="U12" i="14"/>
  <c r="AA37" i="14"/>
  <c r="AA36" i="14"/>
  <c r="AA35" i="14"/>
  <c r="AA21" i="14"/>
  <c r="AA20" i="14"/>
  <c r="AA19" i="14"/>
  <c r="AA47" i="14"/>
  <c r="AA33" i="14"/>
  <c r="AA32" i="14"/>
  <c r="AA31" i="14"/>
  <c r="AA17" i="14"/>
  <c r="AA16" i="14"/>
  <c r="AA15" i="14"/>
  <c r="AA46" i="14"/>
  <c r="AA30" i="14"/>
  <c r="AA14" i="14"/>
  <c r="AA45" i="14"/>
  <c r="AA44" i="14"/>
  <c r="AA43" i="14"/>
  <c r="AA29" i="14"/>
  <c r="AA28" i="14"/>
  <c r="AA27" i="14"/>
  <c r="AA13" i="14"/>
  <c r="AA12" i="14"/>
  <c r="AA11" i="14"/>
  <c r="AA41" i="14"/>
  <c r="AA40" i="14"/>
  <c r="AA39" i="14"/>
  <c r="AA25" i="14"/>
  <c r="AA24" i="14"/>
  <c r="AA23" i="14"/>
  <c r="AA9" i="14"/>
  <c r="AA8" i="14"/>
  <c r="AA7" i="14"/>
  <c r="AA22" i="14"/>
  <c r="AA10" i="14"/>
  <c r="AA6" i="14"/>
  <c r="AA5" i="14"/>
  <c r="AA38" i="14"/>
  <c r="AA18" i="14"/>
  <c r="AA26" i="14"/>
  <c r="AA42" i="14"/>
  <c r="AA34" i="14"/>
  <c r="Z44" i="12"/>
  <c r="Z31" i="12"/>
  <c r="Z27" i="12"/>
  <c r="Z19" i="12"/>
  <c r="Z48" i="12"/>
  <c r="Z45" i="12"/>
  <c r="Z36" i="12"/>
  <c r="Z23" i="12"/>
  <c r="Z16" i="12"/>
  <c r="Z40" i="12"/>
  <c r="Z37" i="12"/>
  <c r="Z28" i="12"/>
  <c r="Z10" i="12"/>
  <c r="Z5" i="12"/>
  <c r="O11" i="16" s="1" a="1"/>
  <c r="Z32" i="12"/>
  <c r="Z29" i="12"/>
  <c r="Z20" i="12"/>
  <c r="Z17" i="12"/>
  <c r="Z11" i="12"/>
  <c r="Z7" i="12"/>
  <c r="Z6" i="12"/>
  <c r="Z47" i="12"/>
  <c r="Z43" i="12"/>
  <c r="Z34" i="12"/>
  <c r="Z30" i="12"/>
  <c r="Z25" i="12"/>
  <c r="Z18" i="12"/>
  <c r="Z13" i="12"/>
  <c r="Z22" i="12"/>
  <c r="Z12" i="12"/>
  <c r="Z9" i="12"/>
  <c r="Z41" i="12"/>
  <c r="Z38" i="12"/>
  <c r="Z35" i="12"/>
  <c r="Z42" i="12"/>
  <c r="Z26" i="12"/>
  <c r="Z39" i="12"/>
  <c r="Z15" i="12"/>
  <c r="Z14" i="12"/>
  <c r="Z33" i="12"/>
  <c r="Z24" i="12"/>
  <c r="Z8" i="12"/>
  <c r="Z21" i="12"/>
  <c r="Z46" i="12"/>
  <c r="AA35" i="11"/>
  <c r="AA19" i="11"/>
  <c r="AA38" i="11"/>
  <c r="AA37" i="11"/>
  <c r="AA36" i="11"/>
  <c r="AA39" i="11"/>
  <c r="AA23" i="11"/>
  <c r="AA7" i="11"/>
  <c r="AA42" i="11"/>
  <c r="AA41" i="11"/>
  <c r="AA40" i="11"/>
  <c r="AA26" i="11"/>
  <c r="AA25" i="11"/>
  <c r="AA24" i="11"/>
  <c r="AA10" i="11"/>
  <c r="AA9" i="11"/>
  <c r="AA8" i="11"/>
  <c r="AA47" i="11"/>
  <c r="AA31" i="11"/>
  <c r="AA15" i="11"/>
  <c r="AA46" i="11"/>
  <c r="AA32" i="11"/>
  <c r="AA18" i="11"/>
  <c r="AA13" i="11"/>
  <c r="AA33" i="11"/>
  <c r="AA28" i="11"/>
  <c r="AA14" i="11"/>
  <c r="AA34" i="11"/>
  <c r="AA29" i="11"/>
  <c r="AA6" i="11"/>
  <c r="AA5" i="11"/>
  <c r="AA30" i="11"/>
  <c r="AA44" i="11"/>
  <c r="AA16" i="11"/>
  <c r="AA45" i="11"/>
  <c r="AA27" i="11"/>
  <c r="AA17" i="11"/>
  <c r="AA12" i="11"/>
  <c r="AA48" i="11"/>
  <c r="AA21" i="11"/>
  <c r="AA22" i="11"/>
  <c r="AA11" i="11"/>
  <c r="AA43" i="11"/>
  <c r="AA20" i="11"/>
  <c r="H59" i="12"/>
  <c r="H60" i="12" s="1"/>
  <c r="W47" i="11"/>
  <c r="W46" i="11"/>
  <c r="W45" i="11"/>
  <c r="W44" i="11"/>
  <c r="W31" i="11"/>
  <c r="W30" i="11"/>
  <c r="W29" i="11"/>
  <c r="W28" i="11"/>
  <c r="W15" i="11"/>
  <c r="W14" i="11"/>
  <c r="W13" i="11"/>
  <c r="W12" i="11"/>
  <c r="W48" i="11"/>
  <c r="W35" i="11"/>
  <c r="W34" i="11"/>
  <c r="W33" i="11"/>
  <c r="W32" i="11"/>
  <c r="W19" i="11"/>
  <c r="W18" i="11"/>
  <c r="W17" i="11"/>
  <c r="W16" i="11"/>
  <c r="W43" i="11"/>
  <c r="W42" i="11"/>
  <c r="W41" i="11"/>
  <c r="W40" i="11"/>
  <c r="W27" i="11"/>
  <c r="W26" i="11"/>
  <c r="W25" i="11"/>
  <c r="W24" i="11"/>
  <c r="W11" i="11"/>
  <c r="W10" i="11"/>
  <c r="W9" i="11"/>
  <c r="W8" i="11"/>
  <c r="W36" i="11"/>
  <c r="W37" i="11"/>
  <c r="W38" i="11"/>
  <c r="W23" i="11"/>
  <c r="W22" i="11"/>
  <c r="W21" i="11"/>
  <c r="W20" i="11"/>
  <c r="W6" i="11"/>
  <c r="W7" i="11"/>
  <c r="W39" i="11"/>
  <c r="W5" i="11"/>
  <c r="O57" i="14"/>
  <c r="O56" i="14"/>
  <c r="Q59" i="12"/>
  <c r="Q56" i="11"/>
  <c r="Q55" i="11"/>
  <c r="L50" i="10"/>
  <c r="E50" i="10"/>
  <c r="H50" i="10"/>
  <c r="N50" i="10" s="1"/>
  <c r="T10" i="10"/>
  <c r="O11" i="16" l="1"/>
  <c r="O23" i="16" s="1"/>
  <c r="X11" i="16"/>
  <c r="X23" i="16" s="1"/>
  <c r="P11" i="16"/>
  <c r="P23" i="16" s="1"/>
  <c r="Q11" i="16"/>
  <c r="Q23" i="16" s="1"/>
  <c r="Y11" i="16"/>
  <c r="Y23" i="16" s="1"/>
  <c r="R11" i="16"/>
  <c r="R23" i="16" s="1"/>
  <c r="U11" i="16"/>
  <c r="U23" i="16" s="1"/>
  <c r="V11" i="16"/>
  <c r="V23" i="16" s="1"/>
  <c r="T11" i="16"/>
  <c r="T23" i="16" s="1"/>
  <c r="W11" i="16"/>
  <c r="W23" i="16" s="1"/>
  <c r="S11" i="16"/>
  <c r="S23" i="16" s="1"/>
  <c r="O10" i="16" a="1"/>
  <c r="O13" i="16" a="1"/>
  <c r="T9" i="10"/>
  <c r="O13" i="16" l="1"/>
  <c r="O25" i="16" s="1"/>
  <c r="U13" i="16"/>
  <c r="U25" i="16" s="1"/>
  <c r="Q13" i="16"/>
  <c r="Q25" i="16" s="1"/>
  <c r="R13" i="16"/>
  <c r="R25" i="16" s="1"/>
  <c r="T13" i="16"/>
  <c r="T25" i="16" s="1"/>
  <c r="V13" i="16"/>
  <c r="V25" i="16" s="1"/>
  <c r="X13" i="16"/>
  <c r="X25" i="16" s="1"/>
  <c r="P13" i="16"/>
  <c r="P25" i="16" s="1"/>
  <c r="Y13" i="16"/>
  <c r="Y25" i="16" s="1"/>
  <c r="W13" i="16"/>
  <c r="W25" i="16" s="1"/>
  <c r="S13" i="16"/>
  <c r="S25" i="16" s="1"/>
  <c r="O10" i="16"/>
  <c r="O22" i="16" s="1"/>
  <c r="X10" i="16"/>
  <c r="X22" i="16" s="1"/>
  <c r="P10" i="16"/>
  <c r="P22" i="16" s="1"/>
  <c r="T10" i="16"/>
  <c r="T22" i="16" s="1"/>
  <c r="U10" i="16"/>
  <c r="U22" i="16" s="1"/>
  <c r="Y10" i="16"/>
  <c r="Y22" i="16" s="1"/>
  <c r="V10" i="16"/>
  <c r="V22" i="16" s="1"/>
  <c r="Q10" i="16"/>
  <c r="Q22" i="16" s="1"/>
  <c r="S10" i="16"/>
  <c r="S22" i="16" s="1"/>
  <c r="W10" i="16"/>
  <c r="W22" i="16" s="1"/>
  <c r="R10" i="16"/>
  <c r="R22" i="16" s="1"/>
  <c r="T8" i="10"/>
  <c r="T7" i="10" l="1"/>
  <c r="T5" i="10" l="1"/>
  <c r="T6" i="10"/>
  <c r="D7" i="15" l="1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D42" i="15"/>
  <c r="C42" i="15" s="1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D50" i="15"/>
  <c r="C50" i="15" s="1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D58" i="15"/>
  <c r="C58" i="15" s="1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D66" i="15"/>
  <c r="C66" i="15" s="1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C34" i="15" l="1"/>
  <c r="C26" i="15"/>
  <c r="C18" i="15"/>
  <c r="C65" i="15"/>
  <c r="C57" i="15"/>
  <c r="C49" i="15"/>
  <c r="C41" i="15"/>
  <c r="C33" i="15"/>
  <c r="C25" i="15"/>
  <c r="C17" i="15"/>
  <c r="C16" i="15"/>
  <c r="C12" i="15"/>
  <c r="C8" i="15"/>
  <c r="C64" i="15"/>
  <c r="C40" i="15"/>
  <c r="C63" i="15"/>
  <c r="C55" i="15"/>
  <c r="C47" i="15"/>
  <c r="C39" i="15"/>
  <c r="C31" i="15"/>
  <c r="C23" i="15"/>
  <c r="C13" i="15"/>
  <c r="C9" i="15"/>
  <c r="C56" i="15"/>
  <c r="C32" i="15"/>
  <c r="C62" i="15"/>
  <c r="C54" i="15"/>
  <c r="C46" i="15"/>
  <c r="C38" i="15"/>
  <c r="C30" i="15"/>
  <c r="C22" i="15"/>
  <c r="C61" i="15"/>
  <c r="C53" i="15"/>
  <c r="C45" i="15"/>
  <c r="C37" i="15"/>
  <c r="C29" i="15"/>
  <c r="C21" i="15"/>
  <c r="C48" i="15"/>
  <c r="C24" i="15"/>
  <c r="C14" i="15"/>
  <c r="C60" i="15"/>
  <c r="C52" i="15"/>
  <c r="C44" i="15"/>
  <c r="C36" i="15"/>
  <c r="C28" i="15"/>
  <c r="C20" i="15"/>
  <c r="C10" i="15"/>
  <c r="C68" i="15"/>
  <c r="C67" i="15"/>
  <c r="C59" i="15"/>
  <c r="C51" i="15"/>
  <c r="C43" i="15"/>
  <c r="C35" i="15"/>
  <c r="C27" i="15"/>
  <c r="C19" i="15"/>
  <c r="C15" i="15"/>
  <c r="C11" i="15"/>
  <c r="C7" i="15"/>
  <c r="B12" i="14"/>
  <c r="B12" i="13"/>
  <c r="B12" i="12"/>
  <c r="Q11" i="12"/>
  <c r="B12" i="11"/>
  <c r="B12" i="4"/>
  <c r="T12" i="4" s="1"/>
  <c r="B12" i="6"/>
  <c r="B4" i="10"/>
  <c r="T4" i="10" s="1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C49" i="13"/>
  <c r="D49" i="13"/>
  <c r="E49" i="13"/>
  <c r="F49" i="13"/>
  <c r="G49" i="13"/>
  <c r="H49" i="13"/>
  <c r="I49" i="13"/>
  <c r="J49" i="13"/>
  <c r="K49" i="13"/>
  <c r="L49" i="13"/>
  <c r="M49" i="13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E25" i="9"/>
  <c r="F25" i="9"/>
  <c r="G25" i="9"/>
  <c r="H25" i="9"/>
  <c r="I25" i="9"/>
  <c r="J25" i="9"/>
  <c r="K25" i="9"/>
  <c r="L25" i="9"/>
  <c r="M25" i="9"/>
  <c r="N25" i="9"/>
  <c r="O25" i="9"/>
  <c r="P25" i="9"/>
  <c r="E28" i="9"/>
  <c r="F28" i="9"/>
  <c r="G28" i="9"/>
  <c r="H28" i="9"/>
  <c r="I28" i="9"/>
  <c r="J28" i="9"/>
  <c r="K28" i="9"/>
  <c r="L28" i="9"/>
  <c r="M28" i="9"/>
  <c r="N28" i="9"/>
  <c r="O28" i="9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C49" i="8"/>
  <c r="D49" i="8"/>
  <c r="E49" i="8"/>
  <c r="F49" i="8"/>
  <c r="G49" i="8"/>
  <c r="H49" i="8"/>
  <c r="I49" i="8"/>
  <c r="J49" i="8"/>
  <c r="K49" i="8"/>
  <c r="L49" i="8"/>
  <c r="M49" i="8"/>
  <c r="C52" i="8"/>
  <c r="D52" i="8"/>
  <c r="E52" i="8"/>
  <c r="F52" i="8"/>
  <c r="G52" i="8"/>
  <c r="H52" i="8"/>
  <c r="I52" i="8"/>
  <c r="J52" i="8"/>
  <c r="K52" i="8"/>
  <c r="L52" i="8"/>
  <c r="M52" i="8"/>
  <c r="O52" i="8"/>
  <c r="P52" i="8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C49" i="7"/>
  <c r="D49" i="7"/>
  <c r="E49" i="7"/>
  <c r="F49" i="7"/>
  <c r="G49" i="7"/>
  <c r="H49" i="7"/>
  <c r="I49" i="7"/>
  <c r="J49" i="7"/>
  <c r="K49" i="7"/>
  <c r="L49" i="7"/>
  <c r="M49" i="7"/>
  <c r="O49" i="7"/>
  <c r="P49" i="7"/>
  <c r="Q49" i="7"/>
  <c r="C52" i="7"/>
  <c r="D52" i="7"/>
  <c r="E52" i="7"/>
  <c r="F52" i="7"/>
  <c r="G52" i="7"/>
  <c r="H52" i="7"/>
  <c r="I52" i="7"/>
  <c r="J52" i="7"/>
  <c r="K52" i="7"/>
  <c r="L52" i="7"/>
  <c r="M52" i="7"/>
  <c r="O52" i="7"/>
  <c r="P52" i="7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C49" i="6"/>
  <c r="D49" i="6"/>
  <c r="E49" i="6"/>
  <c r="F49" i="6"/>
  <c r="G49" i="6"/>
  <c r="H49" i="6"/>
  <c r="I49" i="6"/>
  <c r="J49" i="6"/>
  <c r="K49" i="6"/>
  <c r="L49" i="6"/>
  <c r="M49" i="6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50" i="4"/>
  <c r="O52" i="4"/>
  <c r="O53" i="4"/>
  <c r="O54" i="4"/>
  <c r="O55" i="4"/>
  <c r="O56" i="4"/>
  <c r="O57" i="4"/>
  <c r="O7" i="4"/>
  <c r="U47" i="8" l="1"/>
  <c r="U39" i="8"/>
  <c r="U31" i="8"/>
  <c r="U23" i="8"/>
  <c r="U15" i="8"/>
  <c r="U7" i="8"/>
  <c r="U44" i="8"/>
  <c r="U36" i="8"/>
  <c r="U28" i="8"/>
  <c r="U20" i="8"/>
  <c r="U12" i="8"/>
  <c r="U41" i="8"/>
  <c r="U33" i="8"/>
  <c r="U25" i="8"/>
  <c r="U17" i="8"/>
  <c r="U9" i="8"/>
  <c r="U5" i="8"/>
  <c r="U46" i="8"/>
  <c r="U38" i="8"/>
  <c r="U30" i="8"/>
  <c r="U22" i="8"/>
  <c r="U14" i="8"/>
  <c r="U6" i="8"/>
  <c r="U45" i="8"/>
  <c r="U37" i="8"/>
  <c r="U29" i="8"/>
  <c r="U21" i="8"/>
  <c r="U35" i="8"/>
  <c r="U8" i="8"/>
  <c r="U34" i="8"/>
  <c r="U13" i="8"/>
  <c r="U27" i="8"/>
  <c r="U19" i="8"/>
  <c r="U42" i="8"/>
  <c r="U48" i="8"/>
  <c r="U26" i="8"/>
  <c r="U24" i="8"/>
  <c r="U10" i="8"/>
  <c r="U40" i="8"/>
  <c r="U43" i="8"/>
  <c r="U18" i="8"/>
  <c r="U16" i="8"/>
  <c r="U11" i="8"/>
  <c r="U32" i="8"/>
  <c r="AB42" i="13"/>
  <c r="AB34" i="13"/>
  <c r="AB26" i="13"/>
  <c r="AB18" i="13"/>
  <c r="AB10" i="13"/>
  <c r="AB47" i="13"/>
  <c r="AB39" i="13"/>
  <c r="AB31" i="13"/>
  <c r="AB23" i="13"/>
  <c r="AB15" i="13"/>
  <c r="AB44" i="13"/>
  <c r="AB36" i="13"/>
  <c r="AB28" i="13"/>
  <c r="AB46" i="13"/>
  <c r="AB38" i="13"/>
  <c r="AB30" i="13"/>
  <c r="AB22" i="13"/>
  <c r="AB14" i="13"/>
  <c r="AB41" i="13"/>
  <c r="AB25" i="13"/>
  <c r="AB20" i="13"/>
  <c r="AB35" i="13"/>
  <c r="AB13" i="13"/>
  <c r="AB7" i="13"/>
  <c r="AB48" i="13"/>
  <c r="AB32" i="13"/>
  <c r="AB21" i="13"/>
  <c r="AB45" i="13"/>
  <c r="AB29" i="13"/>
  <c r="AB40" i="13"/>
  <c r="AB24" i="13"/>
  <c r="AB11" i="13"/>
  <c r="AB8" i="13"/>
  <c r="AB27" i="13"/>
  <c r="AB17" i="13"/>
  <c r="AB6" i="13"/>
  <c r="AB16" i="13"/>
  <c r="AB33" i="13"/>
  <c r="AB19" i="13"/>
  <c r="AB43" i="13"/>
  <c r="AB5" i="13"/>
  <c r="AB12" i="13"/>
  <c r="AB37" i="13"/>
  <c r="AB9" i="13"/>
  <c r="AB43" i="6"/>
  <c r="AB45" i="6"/>
  <c r="AB42" i="6"/>
  <c r="AB41" i="6"/>
  <c r="AB48" i="6"/>
  <c r="AB33" i="6"/>
  <c r="AB25" i="6"/>
  <c r="AB17" i="6"/>
  <c r="AB9" i="6"/>
  <c r="AB39" i="6"/>
  <c r="AB38" i="6"/>
  <c r="AB30" i="6"/>
  <c r="AB22" i="6"/>
  <c r="AB14" i="6"/>
  <c r="AB6" i="6"/>
  <c r="AB35" i="6"/>
  <c r="AB27" i="6"/>
  <c r="AB19" i="6"/>
  <c r="AB11" i="6"/>
  <c r="AB46" i="6"/>
  <c r="AB32" i="6"/>
  <c r="AB24" i="6"/>
  <c r="AB16" i="6"/>
  <c r="AB8" i="6"/>
  <c r="AB44" i="6"/>
  <c r="AB31" i="6"/>
  <c r="AB23" i="6"/>
  <c r="AB15" i="6"/>
  <c r="AB7" i="6"/>
  <c r="AB36" i="6"/>
  <c r="AB28" i="6"/>
  <c r="AB20" i="6"/>
  <c r="AB12" i="6"/>
  <c r="AB26" i="6"/>
  <c r="AB37" i="6"/>
  <c r="AB5" i="6"/>
  <c r="AB47" i="6"/>
  <c r="AB34" i="6"/>
  <c r="AB40" i="6"/>
  <c r="AB13" i="6"/>
  <c r="AB10" i="6"/>
  <c r="AB21" i="6"/>
  <c r="AB18" i="6"/>
  <c r="AB29" i="6"/>
  <c r="N49" i="6"/>
  <c r="X47" i="7"/>
  <c r="X39" i="7"/>
  <c r="X31" i="7"/>
  <c r="X23" i="7"/>
  <c r="X44" i="7"/>
  <c r="X36" i="7"/>
  <c r="X28" i="7"/>
  <c r="X20" i="7"/>
  <c r="X41" i="7"/>
  <c r="X33" i="7"/>
  <c r="X46" i="7"/>
  <c r="X38" i="7"/>
  <c r="X30" i="7"/>
  <c r="X22" i="7"/>
  <c r="X14" i="7"/>
  <c r="X48" i="7"/>
  <c r="X45" i="7"/>
  <c r="X37" i="7"/>
  <c r="X29" i="7"/>
  <c r="X21" i="7"/>
  <c r="X42" i="7"/>
  <c r="X40" i="7"/>
  <c r="X7" i="7"/>
  <c r="X9" i="7"/>
  <c r="X43" i="7"/>
  <c r="X6" i="7"/>
  <c r="X35" i="7"/>
  <c r="X26" i="7"/>
  <c r="X16" i="7"/>
  <c r="X15" i="7"/>
  <c r="X11" i="7"/>
  <c r="X27" i="7"/>
  <c r="X18" i="7"/>
  <c r="X13" i="7"/>
  <c r="X5" i="7"/>
  <c r="X24" i="7"/>
  <c r="X17" i="7"/>
  <c r="X32" i="7"/>
  <c r="X12" i="7"/>
  <c r="X10" i="7"/>
  <c r="X8" i="7"/>
  <c r="X25" i="7"/>
  <c r="X19" i="7"/>
  <c r="X34" i="7"/>
  <c r="AB42" i="8"/>
  <c r="AB34" i="8"/>
  <c r="AB26" i="8"/>
  <c r="AB18" i="8"/>
  <c r="AB10" i="8"/>
  <c r="AB47" i="8"/>
  <c r="AB39" i="8"/>
  <c r="AB31" i="8"/>
  <c r="AB23" i="8"/>
  <c r="AB15" i="8"/>
  <c r="AB7" i="8"/>
  <c r="AB44" i="8"/>
  <c r="AB36" i="8"/>
  <c r="AB28" i="8"/>
  <c r="AB20" i="8"/>
  <c r="AB12" i="8"/>
  <c r="AB41" i="8"/>
  <c r="AB33" i="8"/>
  <c r="AB25" i="8"/>
  <c r="AB17" i="8"/>
  <c r="AB9" i="8"/>
  <c r="AB48" i="8"/>
  <c r="AB40" i="8"/>
  <c r="AB32" i="8"/>
  <c r="AB24" i="8"/>
  <c r="AB16" i="8"/>
  <c r="AB21" i="8"/>
  <c r="AB19" i="8"/>
  <c r="AB46" i="8"/>
  <c r="AB38" i="8"/>
  <c r="AB11" i="8"/>
  <c r="AB43" i="8"/>
  <c r="AB8" i="8"/>
  <c r="AB30" i="8"/>
  <c r="AB13" i="8"/>
  <c r="AB14" i="8"/>
  <c r="AB22" i="8"/>
  <c r="AB37" i="8"/>
  <c r="AB35" i="8"/>
  <c r="AB5" i="8"/>
  <c r="AB29" i="8"/>
  <c r="AB27" i="8"/>
  <c r="AB6" i="8"/>
  <c r="AB45" i="8"/>
  <c r="Y44" i="6"/>
  <c r="Y46" i="6"/>
  <c r="Y43" i="6"/>
  <c r="Y42" i="6"/>
  <c r="Y41" i="6"/>
  <c r="Y34" i="6"/>
  <c r="Y26" i="6"/>
  <c r="Y18" i="6"/>
  <c r="Y10" i="6"/>
  <c r="Y48" i="6"/>
  <c r="Y31" i="6"/>
  <c r="Y23" i="6"/>
  <c r="Y15" i="6"/>
  <c r="Y7" i="6"/>
  <c r="Y45" i="6"/>
  <c r="Y36" i="6"/>
  <c r="Y28" i="6"/>
  <c r="Y20" i="6"/>
  <c r="Y12" i="6"/>
  <c r="Y39" i="6"/>
  <c r="Y33" i="6"/>
  <c r="Y25" i="6"/>
  <c r="Y17" i="6"/>
  <c r="Y9" i="6"/>
  <c r="Y32" i="6"/>
  <c r="Y24" i="6"/>
  <c r="Y16" i="6"/>
  <c r="Y8" i="6"/>
  <c r="Y47" i="6"/>
  <c r="Y37" i="6"/>
  <c r="Y29" i="6"/>
  <c r="Y21" i="6"/>
  <c r="Y13" i="6"/>
  <c r="Y5" i="6"/>
  <c r="Y35" i="6"/>
  <c r="Y14" i="6"/>
  <c r="Y11" i="6"/>
  <c r="Y30" i="6"/>
  <c r="Y22" i="6"/>
  <c r="Y40" i="6"/>
  <c r="Y27" i="6"/>
  <c r="Y19" i="6"/>
  <c r="Y38" i="6"/>
  <c r="Y6" i="6"/>
  <c r="AC48" i="7"/>
  <c r="AC40" i="7"/>
  <c r="AC32" i="7"/>
  <c r="AC24" i="7"/>
  <c r="AC45" i="7"/>
  <c r="AC37" i="7"/>
  <c r="AC29" i="7"/>
  <c r="AC21" i="7"/>
  <c r="AC42" i="7"/>
  <c r="AC34" i="7"/>
  <c r="AC47" i="7"/>
  <c r="AC39" i="7"/>
  <c r="AC31" i="7"/>
  <c r="AC23" i="7"/>
  <c r="AC15" i="7"/>
  <c r="AC46" i="7"/>
  <c r="AC38" i="7"/>
  <c r="AC30" i="7"/>
  <c r="AC22" i="7"/>
  <c r="AC14" i="7"/>
  <c r="AC8" i="7"/>
  <c r="AC43" i="7"/>
  <c r="AC41" i="7"/>
  <c r="AC17" i="7"/>
  <c r="AC10" i="7"/>
  <c r="AC35" i="7"/>
  <c r="AC33" i="7"/>
  <c r="AC18" i="7"/>
  <c r="AC7" i="7"/>
  <c r="AC27" i="7"/>
  <c r="AC19" i="7"/>
  <c r="AC12" i="7"/>
  <c r="AC36" i="7"/>
  <c r="AC6" i="7"/>
  <c r="AC20" i="7"/>
  <c r="AC26" i="7"/>
  <c r="AC16" i="7"/>
  <c r="AC44" i="7"/>
  <c r="AC28" i="7"/>
  <c r="AC11" i="7"/>
  <c r="AC25" i="7"/>
  <c r="AC5" i="7"/>
  <c r="AC13" i="7"/>
  <c r="AC9" i="7"/>
  <c r="O48" i="4"/>
  <c r="X47" i="6"/>
  <c r="X41" i="6"/>
  <c r="X46" i="6"/>
  <c r="X45" i="6"/>
  <c r="X44" i="6"/>
  <c r="X37" i="6"/>
  <c r="X29" i="6"/>
  <c r="X21" i="6"/>
  <c r="X13" i="6"/>
  <c r="X5" i="6"/>
  <c r="X34" i="6"/>
  <c r="X26" i="6"/>
  <c r="X18" i="6"/>
  <c r="X10" i="6"/>
  <c r="X48" i="6"/>
  <c r="X31" i="6"/>
  <c r="X23" i="6"/>
  <c r="X15" i="6"/>
  <c r="X7" i="6"/>
  <c r="X42" i="6"/>
  <c r="X36" i="6"/>
  <c r="X28" i="6"/>
  <c r="X20" i="6"/>
  <c r="X12" i="6"/>
  <c r="X40" i="6"/>
  <c r="X35" i="6"/>
  <c r="X27" i="6"/>
  <c r="X19" i="6"/>
  <c r="X11" i="6"/>
  <c r="X32" i="6"/>
  <c r="X24" i="6"/>
  <c r="X16" i="6"/>
  <c r="X8" i="6"/>
  <c r="X43" i="6"/>
  <c r="X38" i="6"/>
  <c r="X6" i="6"/>
  <c r="X17" i="6"/>
  <c r="X14" i="6"/>
  <c r="X22" i="6"/>
  <c r="X25" i="6"/>
  <c r="X39" i="6"/>
  <c r="X30" i="6"/>
  <c r="X9" i="6"/>
  <c r="X33" i="6"/>
  <c r="AE42" i="6"/>
  <c r="AE44" i="6"/>
  <c r="AE41" i="6"/>
  <c r="AE48" i="6"/>
  <c r="AE40" i="6"/>
  <c r="AE39" i="6"/>
  <c r="AE32" i="6"/>
  <c r="AE24" i="6"/>
  <c r="AE16" i="6"/>
  <c r="AE8" i="6"/>
  <c r="AE46" i="6"/>
  <c r="AE37" i="6"/>
  <c r="AE29" i="6"/>
  <c r="AE21" i="6"/>
  <c r="AE13" i="6"/>
  <c r="AE5" i="6"/>
  <c r="AE43" i="6"/>
  <c r="AE34" i="6"/>
  <c r="AE26" i="6"/>
  <c r="AE18" i="6"/>
  <c r="AE10" i="6"/>
  <c r="AE31" i="6"/>
  <c r="AE23" i="6"/>
  <c r="AE15" i="6"/>
  <c r="AE7" i="6"/>
  <c r="AE38" i="6"/>
  <c r="AE30" i="6"/>
  <c r="AE22" i="6"/>
  <c r="AE14" i="6"/>
  <c r="AE6" i="6"/>
  <c r="AE45" i="6"/>
  <c r="AE35" i="6"/>
  <c r="AE27" i="6"/>
  <c r="AE19" i="6"/>
  <c r="AE11" i="6"/>
  <c r="AE17" i="6"/>
  <c r="AE47" i="6"/>
  <c r="AE28" i="6"/>
  <c r="AE25" i="6"/>
  <c r="AE33" i="6"/>
  <c r="AE36" i="6"/>
  <c r="AE9" i="6"/>
  <c r="AE12" i="6"/>
  <c r="AE20" i="6"/>
  <c r="W42" i="6"/>
  <c r="W44" i="6"/>
  <c r="W41" i="6"/>
  <c r="W48" i="6"/>
  <c r="W40" i="6"/>
  <c r="W47" i="6"/>
  <c r="W32" i="6"/>
  <c r="W24" i="6"/>
  <c r="W16" i="6"/>
  <c r="W8" i="6"/>
  <c r="W37" i="6"/>
  <c r="W29" i="6"/>
  <c r="W21" i="6"/>
  <c r="W13" i="6"/>
  <c r="W5" i="6"/>
  <c r="W34" i="6"/>
  <c r="W26" i="6"/>
  <c r="W18" i="6"/>
  <c r="W10" i="6"/>
  <c r="W45" i="6"/>
  <c r="W31" i="6"/>
  <c r="W23" i="6"/>
  <c r="W15" i="6"/>
  <c r="W7" i="6"/>
  <c r="W43" i="6"/>
  <c r="W38" i="6"/>
  <c r="W30" i="6"/>
  <c r="W22" i="6"/>
  <c r="W14" i="6"/>
  <c r="W6" i="6"/>
  <c r="W35" i="6"/>
  <c r="W27" i="6"/>
  <c r="W19" i="6"/>
  <c r="W11" i="6"/>
  <c r="W9" i="6"/>
  <c r="W36" i="6"/>
  <c r="W20" i="6"/>
  <c r="W25" i="6"/>
  <c r="W17" i="6"/>
  <c r="W28" i="6"/>
  <c r="W39" i="6"/>
  <c r="W33" i="6"/>
  <c r="W12" i="6"/>
  <c r="W46" i="6"/>
  <c r="AA46" i="7"/>
  <c r="AA38" i="7"/>
  <c r="AA30" i="7"/>
  <c r="AA43" i="7"/>
  <c r="AA35" i="7"/>
  <c r="AA27" i="7"/>
  <c r="AA19" i="7"/>
  <c r="AA40" i="7"/>
  <c r="AA32" i="7"/>
  <c r="AA45" i="7"/>
  <c r="AA37" i="7"/>
  <c r="AA29" i="7"/>
  <c r="AA21" i="7"/>
  <c r="AA44" i="7"/>
  <c r="AA36" i="7"/>
  <c r="AA28" i="7"/>
  <c r="AA20" i="7"/>
  <c r="AA25" i="7"/>
  <c r="AA6" i="7"/>
  <c r="AA47" i="7"/>
  <c r="AA26" i="7"/>
  <c r="AA16" i="7"/>
  <c r="AA15" i="7"/>
  <c r="AA14" i="7"/>
  <c r="AA8" i="7"/>
  <c r="AA41" i="7"/>
  <c r="AA39" i="7"/>
  <c r="AA23" i="7"/>
  <c r="AA17" i="7"/>
  <c r="AA13" i="7"/>
  <c r="AA5" i="7"/>
  <c r="AA33" i="7"/>
  <c r="AA31" i="7"/>
  <c r="AA18" i="7"/>
  <c r="AA10" i="7"/>
  <c r="AA48" i="7"/>
  <c r="AA42" i="7"/>
  <c r="AA12" i="7"/>
  <c r="AA34" i="7"/>
  <c r="AA7" i="7"/>
  <c r="AA11" i="7"/>
  <c r="AA9" i="7"/>
  <c r="AA24" i="7"/>
  <c r="AA22" i="7"/>
  <c r="AE41" i="8"/>
  <c r="AE33" i="8"/>
  <c r="AE25" i="8"/>
  <c r="AE17" i="8"/>
  <c r="AE9" i="8"/>
  <c r="AE46" i="8"/>
  <c r="AE38" i="8"/>
  <c r="AE30" i="8"/>
  <c r="AE22" i="8"/>
  <c r="AE14" i="8"/>
  <c r="AE6" i="8"/>
  <c r="AE43" i="8"/>
  <c r="AE35" i="8"/>
  <c r="AE27" i="8"/>
  <c r="AE19" i="8"/>
  <c r="AE11" i="8"/>
  <c r="AE48" i="8"/>
  <c r="AE40" i="8"/>
  <c r="AE32" i="8"/>
  <c r="AE24" i="8"/>
  <c r="AE16" i="8"/>
  <c r="AE8" i="8"/>
  <c r="AE47" i="8"/>
  <c r="AE39" i="8"/>
  <c r="AE31" i="8"/>
  <c r="AE23" i="8"/>
  <c r="AE15" i="8"/>
  <c r="AE44" i="8"/>
  <c r="AE42" i="8"/>
  <c r="AE10" i="8"/>
  <c r="AE36" i="8"/>
  <c r="AE34" i="8"/>
  <c r="AE7" i="8"/>
  <c r="AE28" i="8"/>
  <c r="AE26" i="8"/>
  <c r="AE29" i="8"/>
  <c r="AE45" i="8"/>
  <c r="AE20" i="8"/>
  <c r="AE18" i="8"/>
  <c r="AE5" i="8"/>
  <c r="AE21" i="8"/>
  <c r="AE12" i="8"/>
  <c r="AE13" i="8"/>
  <c r="AE37" i="8"/>
  <c r="W41" i="8"/>
  <c r="W33" i="8"/>
  <c r="W25" i="8"/>
  <c r="W17" i="8"/>
  <c r="W9" i="8"/>
  <c r="W46" i="8"/>
  <c r="W38" i="8"/>
  <c r="W30" i="8"/>
  <c r="W22" i="8"/>
  <c r="W14" i="8"/>
  <c r="W6" i="8"/>
  <c r="W43" i="8"/>
  <c r="W35" i="8"/>
  <c r="W27" i="8"/>
  <c r="W19" i="8"/>
  <c r="W11" i="8"/>
  <c r="W48" i="8"/>
  <c r="W40" i="8"/>
  <c r="W32" i="8"/>
  <c r="W24" i="8"/>
  <c r="W16" i="8"/>
  <c r="W8" i="8"/>
  <c r="W47" i="8"/>
  <c r="W39" i="8"/>
  <c r="W31" i="8"/>
  <c r="W23" i="8"/>
  <c r="W15" i="8"/>
  <c r="W29" i="8"/>
  <c r="W34" i="8"/>
  <c r="W21" i="8"/>
  <c r="W12" i="8"/>
  <c r="W36" i="8"/>
  <c r="W44" i="8"/>
  <c r="W42" i="8"/>
  <c r="W13" i="8"/>
  <c r="W10" i="8"/>
  <c r="W28" i="8"/>
  <c r="W45" i="8"/>
  <c r="W20" i="8"/>
  <c r="W18" i="8"/>
  <c r="W26" i="8"/>
  <c r="W37" i="8"/>
  <c r="W5" i="8"/>
  <c r="W7" i="8"/>
  <c r="AD44" i="13"/>
  <c r="AD36" i="13"/>
  <c r="AD28" i="13"/>
  <c r="AD20" i="13"/>
  <c r="AD12" i="13"/>
  <c r="AD41" i="13"/>
  <c r="AD33" i="13"/>
  <c r="AD25" i="13"/>
  <c r="AD17" i="13"/>
  <c r="AD9" i="13"/>
  <c r="AD46" i="13"/>
  <c r="AD38" i="13"/>
  <c r="AD30" i="13"/>
  <c r="AD48" i="13"/>
  <c r="AD40" i="13"/>
  <c r="AD32" i="13"/>
  <c r="AD24" i="13"/>
  <c r="AD16" i="13"/>
  <c r="AD35" i="13"/>
  <c r="AD21" i="13"/>
  <c r="AD14" i="13"/>
  <c r="AD45" i="13"/>
  <c r="AD29" i="13"/>
  <c r="AD22" i="13"/>
  <c r="AD42" i="13"/>
  <c r="AD26" i="13"/>
  <c r="AD15" i="13"/>
  <c r="AD6" i="13"/>
  <c r="AD39" i="13"/>
  <c r="AD23" i="13"/>
  <c r="AD34" i="13"/>
  <c r="AD19" i="13"/>
  <c r="AD31" i="13"/>
  <c r="AD10" i="13"/>
  <c r="AD13" i="13"/>
  <c r="AD37" i="13"/>
  <c r="AD43" i="13"/>
  <c r="AD47" i="13"/>
  <c r="AD27" i="13"/>
  <c r="AD11" i="13"/>
  <c r="AD8" i="13"/>
  <c r="AD7" i="13"/>
  <c r="AD18" i="13"/>
  <c r="AD5" i="13"/>
  <c r="V44" i="13"/>
  <c r="V36" i="13"/>
  <c r="V28" i="13"/>
  <c r="V20" i="13"/>
  <c r="V12" i="13"/>
  <c r="V41" i="13"/>
  <c r="V33" i="13"/>
  <c r="V25" i="13"/>
  <c r="V17" i="13"/>
  <c r="V46" i="13"/>
  <c r="V38" i="13"/>
  <c r="V30" i="13"/>
  <c r="V48" i="13"/>
  <c r="V40" i="13"/>
  <c r="V32" i="13"/>
  <c r="V24" i="13"/>
  <c r="V16" i="13"/>
  <c r="V43" i="13"/>
  <c r="V27" i="13"/>
  <c r="V23" i="13"/>
  <c r="V37" i="13"/>
  <c r="V10" i="13"/>
  <c r="V9" i="13"/>
  <c r="V34" i="13"/>
  <c r="V18" i="13"/>
  <c r="V11" i="13"/>
  <c r="V6" i="13"/>
  <c r="V47" i="13"/>
  <c r="V31" i="13"/>
  <c r="V19" i="13"/>
  <c r="V42" i="13"/>
  <c r="V26" i="13"/>
  <c r="V22" i="13"/>
  <c r="V35" i="13"/>
  <c r="V39" i="13"/>
  <c r="V14" i="13"/>
  <c r="V8" i="13"/>
  <c r="V13" i="13"/>
  <c r="V21" i="13"/>
  <c r="V15" i="13"/>
  <c r="V7" i="13"/>
  <c r="V5" i="13"/>
  <c r="V29" i="13"/>
  <c r="V45" i="13"/>
  <c r="AC47" i="8"/>
  <c r="AC39" i="8"/>
  <c r="AC31" i="8"/>
  <c r="AC23" i="8"/>
  <c r="AC15" i="8"/>
  <c r="AC7" i="8"/>
  <c r="AC44" i="8"/>
  <c r="AC36" i="8"/>
  <c r="AC28" i="8"/>
  <c r="AC20" i="8"/>
  <c r="AC12" i="8"/>
  <c r="AC41" i="8"/>
  <c r="AC33" i="8"/>
  <c r="AC25" i="8"/>
  <c r="AC17" i="8"/>
  <c r="AC9" i="8"/>
  <c r="AC46" i="8"/>
  <c r="AC38" i="8"/>
  <c r="AC30" i="8"/>
  <c r="AC22" i="8"/>
  <c r="AC14" i="8"/>
  <c r="AC6" i="8"/>
  <c r="AC45" i="8"/>
  <c r="AC37" i="8"/>
  <c r="AC29" i="8"/>
  <c r="AC21" i="8"/>
  <c r="AC42" i="8"/>
  <c r="AC40" i="8"/>
  <c r="AC13" i="8"/>
  <c r="AC43" i="8"/>
  <c r="AC34" i="8"/>
  <c r="AC32" i="8"/>
  <c r="AC10" i="8"/>
  <c r="AC8" i="8"/>
  <c r="AC26" i="8"/>
  <c r="AC24" i="8"/>
  <c r="AC11" i="8"/>
  <c r="AC18" i="8"/>
  <c r="AC5" i="8"/>
  <c r="AC27" i="8"/>
  <c r="AC16" i="8"/>
  <c r="AC19" i="8"/>
  <c r="AC48" i="8"/>
  <c r="AC35" i="8"/>
  <c r="U48" i="7"/>
  <c r="U40" i="7"/>
  <c r="U32" i="7"/>
  <c r="U24" i="7"/>
  <c r="U45" i="7"/>
  <c r="U37" i="7"/>
  <c r="U29" i="7"/>
  <c r="U21" i="7"/>
  <c r="U42" i="7"/>
  <c r="U34" i="7"/>
  <c r="U47" i="7"/>
  <c r="U39" i="7"/>
  <c r="U31" i="7"/>
  <c r="U23" i="7"/>
  <c r="U15" i="7"/>
  <c r="U46" i="7"/>
  <c r="U38" i="7"/>
  <c r="U30" i="7"/>
  <c r="U22" i="7"/>
  <c r="U14" i="7"/>
  <c r="U44" i="7"/>
  <c r="U27" i="7"/>
  <c r="U18" i="7"/>
  <c r="U8" i="7"/>
  <c r="U28" i="7"/>
  <c r="U20" i="7"/>
  <c r="U10" i="7"/>
  <c r="U25" i="7"/>
  <c r="U7" i="7"/>
  <c r="U12" i="7"/>
  <c r="U35" i="7"/>
  <c r="U33" i="7"/>
  <c r="U16" i="7"/>
  <c r="U6" i="7"/>
  <c r="U5" i="7"/>
  <c r="U43" i="7"/>
  <c r="U17" i="7"/>
  <c r="U13" i="7"/>
  <c r="U41" i="7"/>
  <c r="U19" i="7"/>
  <c r="U26" i="7"/>
  <c r="U11" i="7"/>
  <c r="U9" i="7"/>
  <c r="U36" i="7"/>
  <c r="AD45" i="6"/>
  <c r="AD47" i="6"/>
  <c r="AD39" i="6"/>
  <c r="AD44" i="6"/>
  <c r="AD43" i="6"/>
  <c r="AD42" i="6"/>
  <c r="AD35" i="6"/>
  <c r="AD27" i="6"/>
  <c r="AD19" i="6"/>
  <c r="AD11" i="6"/>
  <c r="AD32" i="6"/>
  <c r="AD24" i="6"/>
  <c r="AD16" i="6"/>
  <c r="AD8" i="6"/>
  <c r="AD46" i="6"/>
  <c r="AD37" i="6"/>
  <c r="AD29" i="6"/>
  <c r="AD21" i="6"/>
  <c r="AD13" i="6"/>
  <c r="AD5" i="6"/>
  <c r="AD40" i="6"/>
  <c r="AD34" i="6"/>
  <c r="AD26" i="6"/>
  <c r="AD18" i="6"/>
  <c r="AD10" i="6"/>
  <c r="AD33" i="6"/>
  <c r="AD25" i="6"/>
  <c r="AD17" i="6"/>
  <c r="AD9" i="6"/>
  <c r="AD48" i="6"/>
  <c r="AD38" i="6"/>
  <c r="AD30" i="6"/>
  <c r="AD22" i="6"/>
  <c r="AD14" i="6"/>
  <c r="AD6" i="6"/>
  <c r="AD20" i="6"/>
  <c r="AD31" i="6"/>
  <c r="AD41" i="6"/>
  <c r="AD28" i="6"/>
  <c r="AD15" i="6"/>
  <c r="AD7" i="6"/>
  <c r="AD12" i="6"/>
  <c r="AD36" i="6"/>
  <c r="AD23" i="6"/>
  <c r="V45" i="6"/>
  <c r="V47" i="6"/>
  <c r="V39" i="6"/>
  <c r="V44" i="6"/>
  <c r="V43" i="6"/>
  <c r="V35" i="6"/>
  <c r="V27" i="6"/>
  <c r="V19" i="6"/>
  <c r="V11" i="6"/>
  <c r="V41" i="6"/>
  <c r="V32" i="6"/>
  <c r="V24" i="6"/>
  <c r="V16" i="6"/>
  <c r="V8" i="6"/>
  <c r="V37" i="6"/>
  <c r="V29" i="6"/>
  <c r="V21" i="6"/>
  <c r="V13" i="6"/>
  <c r="V5" i="6"/>
  <c r="V48" i="6"/>
  <c r="V34" i="6"/>
  <c r="V26" i="6"/>
  <c r="V18" i="6"/>
  <c r="V10" i="6"/>
  <c r="V46" i="6"/>
  <c r="V33" i="6"/>
  <c r="V25" i="6"/>
  <c r="V17" i="6"/>
  <c r="V9" i="6"/>
  <c r="V40" i="6"/>
  <c r="V38" i="6"/>
  <c r="V30" i="6"/>
  <c r="V22" i="6"/>
  <c r="V14" i="6"/>
  <c r="V6" i="6"/>
  <c r="V12" i="6"/>
  <c r="V7" i="6"/>
  <c r="V42" i="6"/>
  <c r="V23" i="6"/>
  <c r="V20" i="6"/>
  <c r="V31" i="6"/>
  <c r="V28" i="6"/>
  <c r="V36" i="6"/>
  <c r="V15" i="6"/>
  <c r="Z41" i="7"/>
  <c r="Z33" i="7"/>
  <c r="Z25" i="7"/>
  <c r="Z46" i="7"/>
  <c r="Z38" i="7"/>
  <c r="Z30" i="7"/>
  <c r="Z22" i="7"/>
  <c r="Z43" i="7"/>
  <c r="Z35" i="7"/>
  <c r="Z40" i="7"/>
  <c r="Z32" i="7"/>
  <c r="Z24" i="7"/>
  <c r="Z16" i="7"/>
  <c r="Z47" i="7"/>
  <c r="Z39" i="7"/>
  <c r="Z31" i="7"/>
  <c r="Z23" i="7"/>
  <c r="Z15" i="7"/>
  <c r="Z36" i="7"/>
  <c r="Z34" i="7"/>
  <c r="Z21" i="7"/>
  <c r="Z9" i="7"/>
  <c r="Z45" i="7"/>
  <c r="Z11" i="7"/>
  <c r="Z37" i="7"/>
  <c r="Z26" i="7"/>
  <c r="Z14" i="7"/>
  <c r="Z8" i="7"/>
  <c r="Z29" i="7"/>
  <c r="Z17" i="7"/>
  <c r="Z13" i="7"/>
  <c r="Z5" i="7"/>
  <c r="Z19" i="7"/>
  <c r="Z7" i="7"/>
  <c r="Z28" i="7"/>
  <c r="Z48" i="7"/>
  <c r="Z27" i="7"/>
  <c r="Z20" i="7"/>
  <c r="Z12" i="7"/>
  <c r="Z10" i="7"/>
  <c r="Z42" i="7"/>
  <c r="Z6" i="7"/>
  <c r="Z18" i="7"/>
  <c r="Z44" i="7"/>
  <c r="AD44" i="8"/>
  <c r="AD36" i="8"/>
  <c r="AD28" i="8"/>
  <c r="AD20" i="8"/>
  <c r="AD12" i="8"/>
  <c r="AD41" i="8"/>
  <c r="AD33" i="8"/>
  <c r="AD25" i="8"/>
  <c r="AD17" i="8"/>
  <c r="AD9" i="8"/>
  <c r="AD46" i="8"/>
  <c r="AD38" i="8"/>
  <c r="AD30" i="8"/>
  <c r="AD22" i="8"/>
  <c r="AD14" i="8"/>
  <c r="AD6" i="8"/>
  <c r="AD43" i="8"/>
  <c r="AD35" i="8"/>
  <c r="AD27" i="8"/>
  <c r="AD19" i="8"/>
  <c r="AD11" i="8"/>
  <c r="AD42" i="8"/>
  <c r="AD34" i="8"/>
  <c r="AD26" i="8"/>
  <c r="AD18" i="8"/>
  <c r="AD47" i="8"/>
  <c r="AD40" i="8"/>
  <c r="AD15" i="8"/>
  <c r="AD13" i="8"/>
  <c r="AD32" i="8"/>
  <c r="AD10" i="8"/>
  <c r="AD24" i="8"/>
  <c r="AD7" i="8"/>
  <c r="AD45" i="8"/>
  <c r="AD37" i="8"/>
  <c r="AD48" i="8"/>
  <c r="AD16" i="8"/>
  <c r="AD8" i="8"/>
  <c r="AD39" i="8"/>
  <c r="AD31" i="8"/>
  <c r="AD29" i="8"/>
  <c r="AD23" i="8"/>
  <c r="AD21" i="8"/>
  <c r="AD5" i="8"/>
  <c r="V44" i="8"/>
  <c r="V36" i="8"/>
  <c r="V28" i="8"/>
  <c r="V20" i="8"/>
  <c r="V12" i="8"/>
  <c r="V41" i="8"/>
  <c r="V33" i="8"/>
  <c r="V25" i="8"/>
  <c r="V17" i="8"/>
  <c r="V9" i="8"/>
  <c r="V46" i="8"/>
  <c r="V38" i="8"/>
  <c r="V30" i="8"/>
  <c r="V22" i="8"/>
  <c r="V14" i="8"/>
  <c r="V6" i="8"/>
  <c r="V43" i="8"/>
  <c r="V35" i="8"/>
  <c r="V27" i="8"/>
  <c r="V19" i="8"/>
  <c r="V11" i="8"/>
  <c r="V42" i="8"/>
  <c r="V34" i="8"/>
  <c r="V26" i="8"/>
  <c r="V18" i="8"/>
  <c r="V47" i="8"/>
  <c r="V39" i="8"/>
  <c r="V37" i="8"/>
  <c r="V5" i="8"/>
  <c r="V31" i="8"/>
  <c r="V29" i="8"/>
  <c r="V24" i="8"/>
  <c r="V23" i="8"/>
  <c r="V21" i="8"/>
  <c r="V48" i="8"/>
  <c r="V10" i="8"/>
  <c r="V40" i="8"/>
  <c r="V15" i="8"/>
  <c r="V16" i="8"/>
  <c r="V7" i="8"/>
  <c r="V45" i="8"/>
  <c r="V8" i="8"/>
  <c r="V32" i="8"/>
  <c r="V13" i="8"/>
  <c r="Q49" i="11"/>
  <c r="AC47" i="13"/>
  <c r="AC39" i="13"/>
  <c r="AC31" i="13"/>
  <c r="AC23" i="13"/>
  <c r="AC15" i="13"/>
  <c r="AC44" i="13"/>
  <c r="AC36" i="13"/>
  <c r="AC28" i="13"/>
  <c r="AC20" i="13"/>
  <c r="AC12" i="13"/>
  <c r="AC41" i="13"/>
  <c r="AC33" i="13"/>
  <c r="AC25" i="13"/>
  <c r="AC43" i="13"/>
  <c r="AC35" i="13"/>
  <c r="AC27" i="13"/>
  <c r="AC19" i="13"/>
  <c r="AC11" i="13"/>
  <c r="AC38" i="13"/>
  <c r="AC13" i="13"/>
  <c r="AC7" i="13"/>
  <c r="AC48" i="13"/>
  <c r="AC32" i="13"/>
  <c r="AC21" i="13"/>
  <c r="AC14" i="13"/>
  <c r="AC45" i="13"/>
  <c r="AC29" i="13"/>
  <c r="AC22" i="13"/>
  <c r="AC42" i="13"/>
  <c r="AC26" i="13"/>
  <c r="AC16" i="13"/>
  <c r="AC9" i="13"/>
  <c r="AC6" i="13"/>
  <c r="AC37" i="13"/>
  <c r="AC18" i="13"/>
  <c r="AC5" i="13"/>
  <c r="AC46" i="13"/>
  <c r="AC8" i="13"/>
  <c r="AC30" i="13"/>
  <c r="AC34" i="13"/>
  <c r="AC10" i="13"/>
  <c r="AC24" i="13"/>
  <c r="AC17" i="13"/>
  <c r="AC40" i="13"/>
  <c r="U47" i="13"/>
  <c r="U39" i="13"/>
  <c r="U31" i="13"/>
  <c r="U23" i="13"/>
  <c r="U15" i="13"/>
  <c r="U44" i="13"/>
  <c r="U36" i="13"/>
  <c r="U28" i="13"/>
  <c r="U20" i="13"/>
  <c r="U12" i="13"/>
  <c r="U41" i="13"/>
  <c r="U33" i="13"/>
  <c r="U25" i="13"/>
  <c r="U43" i="13"/>
  <c r="U35" i="13"/>
  <c r="U27" i="13"/>
  <c r="U19" i="13"/>
  <c r="U11" i="13"/>
  <c r="U46" i="13"/>
  <c r="U30" i="13"/>
  <c r="U16" i="13"/>
  <c r="U7" i="13"/>
  <c r="U40" i="13"/>
  <c r="U24" i="13"/>
  <c r="U17" i="13"/>
  <c r="U37" i="13"/>
  <c r="U10" i="13"/>
  <c r="U9" i="13"/>
  <c r="U34" i="13"/>
  <c r="U18" i="13"/>
  <c r="U6" i="13"/>
  <c r="U45" i="13"/>
  <c r="U29" i="13"/>
  <c r="U21" i="13"/>
  <c r="U14" i="13"/>
  <c r="U38" i="13"/>
  <c r="U42" i="13"/>
  <c r="U8" i="13"/>
  <c r="U48" i="13"/>
  <c r="U32" i="13"/>
  <c r="U26" i="13"/>
  <c r="U13" i="13"/>
  <c r="U5" i="13"/>
  <c r="U22" i="13"/>
  <c r="B11" i="11"/>
  <c r="T12" i="11"/>
  <c r="AC48" i="6"/>
  <c r="AC40" i="6"/>
  <c r="AC42" i="6"/>
  <c r="AC47" i="6"/>
  <c r="AC39" i="6"/>
  <c r="AC46" i="6"/>
  <c r="AC45" i="6"/>
  <c r="AC38" i="6"/>
  <c r="AC30" i="6"/>
  <c r="AC22" i="6"/>
  <c r="AC14" i="6"/>
  <c r="AC6" i="6"/>
  <c r="AC35" i="6"/>
  <c r="AC27" i="6"/>
  <c r="AC19" i="6"/>
  <c r="AC11" i="6"/>
  <c r="AC32" i="6"/>
  <c r="AC24" i="6"/>
  <c r="AC16" i="6"/>
  <c r="AC8" i="6"/>
  <c r="AC43" i="6"/>
  <c r="AC37" i="6"/>
  <c r="AC29" i="6"/>
  <c r="AC21" i="6"/>
  <c r="AC13" i="6"/>
  <c r="AC5" i="6"/>
  <c r="AC41" i="6"/>
  <c r="AC36" i="6"/>
  <c r="AC28" i="6"/>
  <c r="AC20" i="6"/>
  <c r="AC12" i="6"/>
  <c r="AC33" i="6"/>
  <c r="AC25" i="6"/>
  <c r="AC17" i="6"/>
  <c r="AC9" i="6"/>
  <c r="AC23" i="6"/>
  <c r="AC34" i="6"/>
  <c r="AC31" i="6"/>
  <c r="AC10" i="6"/>
  <c r="AC44" i="6"/>
  <c r="AC15" i="6"/>
  <c r="AC7" i="6"/>
  <c r="AC26" i="6"/>
  <c r="AC18" i="6"/>
  <c r="Y48" i="7"/>
  <c r="Y44" i="7"/>
  <c r="Y36" i="7"/>
  <c r="Y28" i="7"/>
  <c r="Y41" i="7"/>
  <c r="Y33" i="7"/>
  <c r="Y25" i="7"/>
  <c r="Y17" i="7"/>
  <c r="Y46" i="7"/>
  <c r="Y38" i="7"/>
  <c r="Y30" i="7"/>
  <c r="Y43" i="7"/>
  <c r="Y35" i="7"/>
  <c r="Y27" i="7"/>
  <c r="Y19" i="7"/>
  <c r="Y42" i="7"/>
  <c r="Y34" i="7"/>
  <c r="Y26" i="7"/>
  <c r="Y18" i="7"/>
  <c r="Y32" i="7"/>
  <c r="Y20" i="7"/>
  <c r="Y12" i="7"/>
  <c r="Y22" i="7"/>
  <c r="Y6" i="7"/>
  <c r="Y47" i="7"/>
  <c r="Y45" i="7"/>
  <c r="Y16" i="7"/>
  <c r="Y15" i="7"/>
  <c r="Y11" i="7"/>
  <c r="Y39" i="7"/>
  <c r="Y37" i="7"/>
  <c r="Y23" i="7"/>
  <c r="Y14" i="7"/>
  <c r="Y8" i="7"/>
  <c r="Y24" i="7"/>
  <c r="Y10" i="7"/>
  <c r="Y31" i="7"/>
  <c r="Y29" i="7"/>
  <c r="Y9" i="7"/>
  <c r="Y7" i="7"/>
  <c r="Y5" i="7"/>
  <c r="Y40" i="7"/>
  <c r="Y21" i="7"/>
  <c r="Y13" i="7"/>
  <c r="AA46" i="6"/>
  <c r="AA48" i="6"/>
  <c r="AA40" i="6"/>
  <c r="AA45" i="6"/>
  <c r="AA44" i="6"/>
  <c r="AA36" i="6"/>
  <c r="AA28" i="6"/>
  <c r="AA20" i="6"/>
  <c r="AA12" i="6"/>
  <c r="AA42" i="6"/>
  <c r="AA33" i="6"/>
  <c r="AA25" i="6"/>
  <c r="AA17" i="6"/>
  <c r="AA9" i="6"/>
  <c r="AA39" i="6"/>
  <c r="AA38" i="6"/>
  <c r="AA30" i="6"/>
  <c r="AA22" i="6"/>
  <c r="AA14" i="6"/>
  <c r="AA6" i="6"/>
  <c r="AA35" i="6"/>
  <c r="AA27" i="6"/>
  <c r="AA19" i="6"/>
  <c r="AA11" i="6"/>
  <c r="AA47" i="6"/>
  <c r="AA34" i="6"/>
  <c r="AA26" i="6"/>
  <c r="AA18" i="6"/>
  <c r="AA10" i="6"/>
  <c r="AA41" i="6"/>
  <c r="AA31" i="6"/>
  <c r="AA23" i="6"/>
  <c r="AA15" i="6"/>
  <c r="AA7" i="6"/>
  <c r="AA29" i="6"/>
  <c r="AA8" i="6"/>
  <c r="AA37" i="6"/>
  <c r="AA5" i="6"/>
  <c r="AA13" i="6"/>
  <c r="AA16" i="6"/>
  <c r="AA21" i="6"/>
  <c r="AA24" i="6"/>
  <c r="AA43" i="6"/>
  <c r="AA32" i="6"/>
  <c r="AE42" i="7"/>
  <c r="AE34" i="7"/>
  <c r="AE26" i="7"/>
  <c r="AE48" i="7"/>
  <c r="AE47" i="7"/>
  <c r="AE39" i="7"/>
  <c r="AE31" i="7"/>
  <c r="AE23" i="7"/>
  <c r="AE44" i="7"/>
  <c r="AE36" i="7"/>
  <c r="AE28" i="7"/>
  <c r="AE41" i="7"/>
  <c r="AE33" i="7"/>
  <c r="AE25" i="7"/>
  <c r="AE17" i="7"/>
  <c r="AE40" i="7"/>
  <c r="AE32" i="7"/>
  <c r="AE24" i="7"/>
  <c r="AE16" i="7"/>
  <c r="AE10" i="7"/>
  <c r="AE37" i="7"/>
  <c r="AE35" i="7"/>
  <c r="AE18" i="7"/>
  <c r="AE12" i="7"/>
  <c r="AE29" i="7"/>
  <c r="AE27" i="7"/>
  <c r="AE19" i="7"/>
  <c r="AE9" i="7"/>
  <c r="AE46" i="7"/>
  <c r="AE20" i="7"/>
  <c r="AE6" i="7"/>
  <c r="AE30" i="7"/>
  <c r="AE22" i="7"/>
  <c r="AE8" i="7"/>
  <c r="AE43" i="7"/>
  <c r="AE14" i="7"/>
  <c r="AE13" i="7"/>
  <c r="AE11" i="7"/>
  <c r="AE5" i="7"/>
  <c r="AE38" i="7"/>
  <c r="AE21" i="7"/>
  <c r="AE45" i="7"/>
  <c r="AE7" i="7"/>
  <c r="AE15" i="7"/>
  <c r="W42" i="7"/>
  <c r="W34" i="7"/>
  <c r="W26" i="7"/>
  <c r="W47" i="7"/>
  <c r="W39" i="7"/>
  <c r="W31" i="7"/>
  <c r="W23" i="7"/>
  <c r="W44" i="7"/>
  <c r="W36" i="7"/>
  <c r="W28" i="7"/>
  <c r="W41" i="7"/>
  <c r="W33" i="7"/>
  <c r="W25" i="7"/>
  <c r="W17" i="7"/>
  <c r="W40" i="7"/>
  <c r="W32" i="7"/>
  <c r="W24" i="7"/>
  <c r="W16" i="7"/>
  <c r="W48" i="7"/>
  <c r="W38" i="7"/>
  <c r="W19" i="7"/>
  <c r="W10" i="7"/>
  <c r="W21" i="7"/>
  <c r="W12" i="7"/>
  <c r="W22" i="7"/>
  <c r="W9" i="7"/>
  <c r="W45" i="7"/>
  <c r="W43" i="7"/>
  <c r="W6" i="7"/>
  <c r="W29" i="7"/>
  <c r="W8" i="7"/>
  <c r="W37" i="7"/>
  <c r="W27" i="7"/>
  <c r="W20" i="7"/>
  <c r="W14" i="7"/>
  <c r="W13" i="7"/>
  <c r="W11" i="7"/>
  <c r="W30" i="7"/>
  <c r="W7" i="7"/>
  <c r="W18" i="7"/>
  <c r="W46" i="7"/>
  <c r="W15" i="7"/>
  <c r="W5" i="7"/>
  <c r="W35" i="7"/>
  <c r="AA45" i="8"/>
  <c r="AA37" i="8"/>
  <c r="AA29" i="8"/>
  <c r="AA21" i="8"/>
  <c r="AA13" i="8"/>
  <c r="AA5" i="8"/>
  <c r="AA42" i="8"/>
  <c r="AA34" i="8"/>
  <c r="AA26" i="8"/>
  <c r="AA18" i="8"/>
  <c r="AA10" i="8"/>
  <c r="AA47" i="8"/>
  <c r="AA39" i="8"/>
  <c r="AA31" i="8"/>
  <c r="AA23" i="8"/>
  <c r="AA15" i="8"/>
  <c r="AA7" i="8"/>
  <c r="AA44" i="8"/>
  <c r="AA36" i="8"/>
  <c r="AA28" i="8"/>
  <c r="AA20" i="8"/>
  <c r="AA12" i="8"/>
  <c r="AA43" i="8"/>
  <c r="AA35" i="8"/>
  <c r="AA27" i="8"/>
  <c r="AA19" i="8"/>
  <c r="AA48" i="8"/>
  <c r="AA17" i="8"/>
  <c r="AA6" i="8"/>
  <c r="AA24" i="8"/>
  <c r="AA46" i="8"/>
  <c r="AA40" i="8"/>
  <c r="AA38" i="8"/>
  <c r="AA32" i="8"/>
  <c r="AA30" i="8"/>
  <c r="AA16" i="8"/>
  <c r="AA33" i="8"/>
  <c r="AA8" i="8"/>
  <c r="AA41" i="8"/>
  <c r="AA11" i="8"/>
  <c r="AA25" i="8"/>
  <c r="AA9" i="8"/>
  <c r="AA22" i="8"/>
  <c r="AA14" i="8"/>
  <c r="Z48" i="13"/>
  <c r="Z40" i="13"/>
  <c r="Z32" i="13"/>
  <c r="Z24" i="13"/>
  <c r="Z16" i="13"/>
  <c r="Z45" i="13"/>
  <c r="Z37" i="13"/>
  <c r="Z29" i="13"/>
  <c r="Z21" i="13"/>
  <c r="Z13" i="13"/>
  <c r="Z42" i="13"/>
  <c r="Z34" i="13"/>
  <c r="Z26" i="13"/>
  <c r="Z44" i="13"/>
  <c r="Z36" i="13"/>
  <c r="Z28" i="13"/>
  <c r="Z20" i="13"/>
  <c r="Z12" i="13"/>
  <c r="Z47" i="13"/>
  <c r="Z31" i="13"/>
  <c r="Z11" i="13"/>
  <c r="Z8" i="13"/>
  <c r="Z41" i="13"/>
  <c r="Z25" i="13"/>
  <c r="Z19" i="13"/>
  <c r="Z5" i="13"/>
  <c r="Z38" i="13"/>
  <c r="Z35" i="13"/>
  <c r="Z14" i="13"/>
  <c r="Z7" i="13"/>
  <c r="Z46" i="13"/>
  <c r="Z30" i="13"/>
  <c r="Z17" i="13"/>
  <c r="Z10" i="13"/>
  <c r="Z6" i="13"/>
  <c r="Z43" i="13"/>
  <c r="Z27" i="13"/>
  <c r="Z23" i="13"/>
  <c r="Z22" i="13"/>
  <c r="Z18" i="13"/>
  <c r="Z39" i="13"/>
  <c r="Z15" i="13"/>
  <c r="Z9" i="13"/>
  <c r="Z33" i="13"/>
  <c r="P49" i="13"/>
  <c r="O49" i="14"/>
  <c r="B11" i="13"/>
  <c r="T12" i="13"/>
  <c r="AA45" i="13"/>
  <c r="AA37" i="13"/>
  <c r="AA29" i="13"/>
  <c r="AA21" i="13"/>
  <c r="AA13" i="13"/>
  <c r="AA42" i="13"/>
  <c r="AA34" i="13"/>
  <c r="AA26" i="13"/>
  <c r="AA18" i="13"/>
  <c r="AA10" i="13"/>
  <c r="AA47" i="13"/>
  <c r="AA39" i="13"/>
  <c r="AA31" i="13"/>
  <c r="AA41" i="13"/>
  <c r="AA33" i="13"/>
  <c r="AA25" i="13"/>
  <c r="AA17" i="13"/>
  <c r="AA9" i="13"/>
  <c r="AA44" i="13"/>
  <c r="AA28" i="13"/>
  <c r="AA19" i="13"/>
  <c r="AA12" i="13"/>
  <c r="AA5" i="13"/>
  <c r="AA38" i="13"/>
  <c r="AA20" i="13"/>
  <c r="AA35" i="13"/>
  <c r="AA14" i="13"/>
  <c r="AA7" i="13"/>
  <c r="AA48" i="13"/>
  <c r="AA32" i="13"/>
  <c r="AA22" i="13"/>
  <c r="AA15" i="13"/>
  <c r="AA43" i="13"/>
  <c r="AA27" i="13"/>
  <c r="AA23" i="13"/>
  <c r="AA11" i="13"/>
  <c r="AA46" i="13"/>
  <c r="AA8" i="13"/>
  <c r="AA6" i="13"/>
  <c r="AA30" i="13"/>
  <c r="AA16" i="13"/>
  <c r="AA40" i="13"/>
  <c r="AA24" i="13"/>
  <c r="AA36" i="13"/>
  <c r="B11" i="12"/>
  <c r="T12" i="12"/>
  <c r="Z41" i="6"/>
  <c r="Z43" i="6"/>
  <c r="Z48" i="6"/>
  <c r="Z40" i="6"/>
  <c r="Z47" i="6"/>
  <c r="Z39" i="6"/>
  <c r="Z31" i="6"/>
  <c r="Z23" i="6"/>
  <c r="Z15" i="6"/>
  <c r="Z7" i="6"/>
  <c r="Z45" i="6"/>
  <c r="Z36" i="6"/>
  <c r="Z28" i="6"/>
  <c r="Z20" i="6"/>
  <c r="Z12" i="6"/>
  <c r="Z42" i="6"/>
  <c r="Z33" i="6"/>
  <c r="Z25" i="6"/>
  <c r="Z17" i="6"/>
  <c r="Z9" i="6"/>
  <c r="Z38" i="6"/>
  <c r="Z30" i="6"/>
  <c r="Z22" i="6"/>
  <c r="Z14" i="6"/>
  <c r="Z6" i="6"/>
  <c r="Z37" i="6"/>
  <c r="Z29" i="6"/>
  <c r="Z21" i="6"/>
  <c r="Z13" i="6"/>
  <c r="Z5" i="6"/>
  <c r="Z44" i="6"/>
  <c r="Z34" i="6"/>
  <c r="Z26" i="6"/>
  <c r="Z18" i="6"/>
  <c r="Z10" i="6"/>
  <c r="Z32" i="6"/>
  <c r="Z11" i="6"/>
  <c r="Z27" i="6"/>
  <c r="Z8" i="6"/>
  <c r="Z46" i="6"/>
  <c r="Z19" i="6"/>
  <c r="Z24" i="6"/>
  <c r="Z35" i="6"/>
  <c r="Z16" i="6"/>
  <c r="AD45" i="7"/>
  <c r="AD37" i="7"/>
  <c r="AD29" i="7"/>
  <c r="AD42" i="7"/>
  <c r="AD34" i="7"/>
  <c r="AD26" i="7"/>
  <c r="AD18" i="7"/>
  <c r="AD48" i="7"/>
  <c r="AD47" i="7"/>
  <c r="AD39" i="7"/>
  <c r="AD31" i="7"/>
  <c r="AD44" i="7"/>
  <c r="AD36" i="7"/>
  <c r="AD28" i="7"/>
  <c r="AD20" i="7"/>
  <c r="AD43" i="7"/>
  <c r="AD35" i="7"/>
  <c r="AD27" i="7"/>
  <c r="AD19" i="7"/>
  <c r="AD16" i="7"/>
  <c r="AD15" i="7"/>
  <c r="AD14" i="7"/>
  <c r="AD13" i="7"/>
  <c r="AD5" i="7"/>
  <c r="AD33" i="7"/>
  <c r="AD7" i="7"/>
  <c r="AD12" i="7"/>
  <c r="AD24" i="7"/>
  <c r="AD9" i="7"/>
  <c r="AD40" i="7"/>
  <c r="AD38" i="7"/>
  <c r="AD25" i="7"/>
  <c r="AD21" i="7"/>
  <c r="AD11" i="7"/>
  <c r="AD17" i="7"/>
  <c r="AD10" i="7"/>
  <c r="AD8" i="7"/>
  <c r="AD6" i="7"/>
  <c r="AD32" i="7"/>
  <c r="AD23" i="7"/>
  <c r="AD46" i="7"/>
  <c r="AD41" i="7"/>
  <c r="AD22" i="7"/>
  <c r="AD30" i="7"/>
  <c r="V48" i="7"/>
  <c r="V45" i="7"/>
  <c r="V37" i="7"/>
  <c r="V29" i="7"/>
  <c r="V42" i="7"/>
  <c r="V34" i="7"/>
  <c r="V26" i="7"/>
  <c r="V18" i="7"/>
  <c r="V47" i="7"/>
  <c r="V39" i="7"/>
  <c r="V31" i="7"/>
  <c r="V44" i="7"/>
  <c r="V36" i="7"/>
  <c r="V28" i="7"/>
  <c r="V20" i="7"/>
  <c r="V43" i="7"/>
  <c r="V35" i="7"/>
  <c r="V27" i="7"/>
  <c r="V19" i="7"/>
  <c r="V46" i="7"/>
  <c r="V24" i="7"/>
  <c r="V13" i="7"/>
  <c r="V5" i="7"/>
  <c r="V32" i="7"/>
  <c r="V30" i="7"/>
  <c r="V25" i="7"/>
  <c r="V7" i="7"/>
  <c r="V21" i="7"/>
  <c r="V12" i="7"/>
  <c r="V41" i="7"/>
  <c r="V22" i="7"/>
  <c r="V9" i="7"/>
  <c r="V17" i="7"/>
  <c r="V15" i="7"/>
  <c r="V14" i="7"/>
  <c r="V11" i="7"/>
  <c r="V33" i="7"/>
  <c r="V38" i="7"/>
  <c r="V23" i="7"/>
  <c r="V10" i="7"/>
  <c r="V8" i="7"/>
  <c r="V6" i="7"/>
  <c r="V40" i="7"/>
  <c r="V16" i="7"/>
  <c r="Z48" i="8"/>
  <c r="Z40" i="8"/>
  <c r="Z32" i="8"/>
  <c r="Z24" i="8"/>
  <c r="Z16" i="8"/>
  <c r="Z8" i="8"/>
  <c r="Z45" i="8"/>
  <c r="Z37" i="8"/>
  <c r="Z29" i="8"/>
  <c r="Z21" i="8"/>
  <c r="Z13" i="8"/>
  <c r="Z5" i="8"/>
  <c r="Z42" i="8"/>
  <c r="Z34" i="8"/>
  <c r="Z26" i="8"/>
  <c r="Z18" i="8"/>
  <c r="Z10" i="8"/>
  <c r="Z47" i="8"/>
  <c r="Z39" i="8"/>
  <c r="Z31" i="8"/>
  <c r="Z23" i="8"/>
  <c r="Z15" i="8"/>
  <c r="Z7" i="8"/>
  <c r="Z46" i="8"/>
  <c r="Z38" i="8"/>
  <c r="Z30" i="8"/>
  <c r="Z22" i="8"/>
  <c r="Z14" i="8"/>
  <c r="Z27" i="8"/>
  <c r="Z25" i="8"/>
  <c r="Z9" i="8"/>
  <c r="Z44" i="8"/>
  <c r="Z19" i="8"/>
  <c r="Z17" i="8"/>
  <c r="Z6" i="8"/>
  <c r="Z36" i="8"/>
  <c r="Z20" i="8"/>
  <c r="Z28" i="8"/>
  <c r="Z43" i="8"/>
  <c r="Z41" i="8"/>
  <c r="Z11" i="8"/>
  <c r="Z35" i="8"/>
  <c r="Z33" i="8"/>
  <c r="Z12" i="8"/>
  <c r="Y43" i="13"/>
  <c r="Y35" i="13"/>
  <c r="Y27" i="13"/>
  <c r="Y19" i="13"/>
  <c r="Y11" i="13"/>
  <c r="Y48" i="13"/>
  <c r="Y40" i="13"/>
  <c r="Y32" i="13"/>
  <c r="Y24" i="13"/>
  <c r="Y16" i="13"/>
  <c r="Y45" i="13"/>
  <c r="Y37" i="13"/>
  <c r="Y29" i="13"/>
  <c r="Y47" i="13"/>
  <c r="Y39" i="13"/>
  <c r="Y31" i="13"/>
  <c r="Y23" i="13"/>
  <c r="Y15" i="13"/>
  <c r="Y34" i="13"/>
  <c r="Y18" i="13"/>
  <c r="Y44" i="13"/>
  <c r="Y28" i="13"/>
  <c r="Y12" i="13"/>
  <c r="Y8" i="13"/>
  <c r="Y41" i="13"/>
  <c r="Y25" i="13"/>
  <c r="Y20" i="13"/>
  <c r="Y13" i="13"/>
  <c r="Y5" i="13"/>
  <c r="Y38" i="13"/>
  <c r="Y21" i="13"/>
  <c r="Y33" i="13"/>
  <c r="Y9" i="13"/>
  <c r="Y14" i="13"/>
  <c r="Y42" i="13"/>
  <c r="Y17" i="13"/>
  <c r="Y46" i="13"/>
  <c r="Y26" i="13"/>
  <c r="Y6" i="13"/>
  <c r="Y30" i="13"/>
  <c r="Y10" i="13"/>
  <c r="Y36" i="13"/>
  <c r="Y22" i="13"/>
  <c r="Y7" i="13"/>
  <c r="B11" i="14"/>
  <c r="T12" i="14"/>
  <c r="Y43" i="8"/>
  <c r="Y35" i="8"/>
  <c r="Y27" i="8"/>
  <c r="Y19" i="8"/>
  <c r="Y11" i="8"/>
  <c r="Y48" i="8"/>
  <c r="Y40" i="8"/>
  <c r="Y32" i="8"/>
  <c r="Y24" i="8"/>
  <c r="Y16" i="8"/>
  <c r="Y8" i="8"/>
  <c r="Y45" i="8"/>
  <c r="Y37" i="8"/>
  <c r="Y29" i="8"/>
  <c r="Y21" i="8"/>
  <c r="Y13" i="8"/>
  <c r="Y5" i="8"/>
  <c r="Y42" i="8"/>
  <c r="Y34" i="8"/>
  <c r="Y26" i="8"/>
  <c r="Y18" i="8"/>
  <c r="Y10" i="8"/>
  <c r="Y41" i="8"/>
  <c r="Y33" i="8"/>
  <c r="Y25" i="8"/>
  <c r="Y17" i="8"/>
  <c r="Y46" i="8"/>
  <c r="Y23" i="8"/>
  <c r="Y12" i="8"/>
  <c r="Y15" i="8"/>
  <c r="Y9" i="8"/>
  <c r="Y44" i="8"/>
  <c r="Y6" i="8"/>
  <c r="Y28" i="8"/>
  <c r="Y20" i="8"/>
  <c r="Y38" i="8"/>
  <c r="Y36" i="8"/>
  <c r="Y7" i="8"/>
  <c r="Y30" i="8"/>
  <c r="Y39" i="8"/>
  <c r="Y14" i="8"/>
  <c r="Y47" i="8"/>
  <c r="Y31" i="8"/>
  <c r="Y22" i="8"/>
  <c r="X46" i="13"/>
  <c r="X38" i="13"/>
  <c r="X30" i="13"/>
  <c r="X22" i="13"/>
  <c r="X14" i="13"/>
  <c r="X43" i="13"/>
  <c r="X35" i="13"/>
  <c r="X27" i="13"/>
  <c r="X19" i="13"/>
  <c r="X11" i="13"/>
  <c r="X48" i="13"/>
  <c r="X40" i="13"/>
  <c r="X32" i="13"/>
  <c r="X24" i="13"/>
  <c r="X42" i="13"/>
  <c r="X34" i="13"/>
  <c r="X26" i="13"/>
  <c r="X18" i="13"/>
  <c r="X10" i="13"/>
  <c r="X37" i="13"/>
  <c r="X17" i="13"/>
  <c r="X6" i="13"/>
  <c r="X47" i="13"/>
  <c r="X31" i="13"/>
  <c r="X44" i="13"/>
  <c r="X28" i="13"/>
  <c r="X12" i="13"/>
  <c r="X8" i="13"/>
  <c r="X41" i="13"/>
  <c r="X25" i="13"/>
  <c r="X20" i="13"/>
  <c r="X13" i="13"/>
  <c r="X5" i="13"/>
  <c r="X36" i="13"/>
  <c r="X23" i="13"/>
  <c r="X16" i="13"/>
  <c r="X39" i="13"/>
  <c r="X45" i="13"/>
  <c r="X21" i="13"/>
  <c r="X15" i="13"/>
  <c r="X9" i="13"/>
  <c r="X7" i="13"/>
  <c r="X33" i="13"/>
  <c r="X29" i="13"/>
  <c r="B11" i="6"/>
  <c r="T12" i="6"/>
  <c r="U48" i="6"/>
  <c r="U40" i="6"/>
  <c r="U42" i="6"/>
  <c r="U47" i="6"/>
  <c r="U39" i="6"/>
  <c r="U46" i="6"/>
  <c r="U38" i="6"/>
  <c r="U30" i="6"/>
  <c r="U22" i="6"/>
  <c r="U14" i="6"/>
  <c r="U6" i="6"/>
  <c r="U44" i="6"/>
  <c r="U35" i="6"/>
  <c r="U27" i="6"/>
  <c r="U19" i="6"/>
  <c r="U11" i="6"/>
  <c r="U5" i="6"/>
  <c r="U41" i="6"/>
  <c r="U32" i="6"/>
  <c r="U24" i="6"/>
  <c r="U16" i="6"/>
  <c r="U8" i="6"/>
  <c r="U37" i="6"/>
  <c r="U29" i="6"/>
  <c r="U21" i="6"/>
  <c r="U13" i="6"/>
  <c r="U36" i="6"/>
  <c r="U28" i="6"/>
  <c r="U20" i="6"/>
  <c r="U12" i="6"/>
  <c r="U43" i="6"/>
  <c r="U33" i="6"/>
  <c r="U25" i="6"/>
  <c r="U17" i="6"/>
  <c r="U9" i="6"/>
  <c r="U15" i="6"/>
  <c r="U26" i="6"/>
  <c r="U23" i="6"/>
  <c r="U34" i="6"/>
  <c r="U10" i="6"/>
  <c r="U7" i="6"/>
  <c r="U45" i="6"/>
  <c r="U18" i="6"/>
  <c r="U31" i="6"/>
  <c r="AB43" i="7"/>
  <c r="AB35" i="7"/>
  <c r="AB27" i="7"/>
  <c r="AB40" i="7"/>
  <c r="AB32" i="7"/>
  <c r="AB24" i="7"/>
  <c r="AB16" i="7"/>
  <c r="AB45" i="7"/>
  <c r="AB37" i="7"/>
  <c r="AB29" i="7"/>
  <c r="AB48" i="7"/>
  <c r="AB42" i="7"/>
  <c r="AB34" i="7"/>
  <c r="AB26" i="7"/>
  <c r="AB18" i="7"/>
  <c r="AB41" i="7"/>
  <c r="AB33" i="7"/>
  <c r="AB25" i="7"/>
  <c r="AB17" i="7"/>
  <c r="AB30" i="7"/>
  <c r="AB28" i="7"/>
  <c r="AB22" i="7"/>
  <c r="AB11" i="7"/>
  <c r="AB39" i="7"/>
  <c r="AB23" i="7"/>
  <c r="AB13" i="7"/>
  <c r="AB5" i="7"/>
  <c r="AB31" i="7"/>
  <c r="AB10" i="7"/>
  <c r="AB7" i="7"/>
  <c r="AB46" i="7"/>
  <c r="AB44" i="7"/>
  <c r="AB20" i="7"/>
  <c r="AB9" i="7"/>
  <c r="AB38" i="7"/>
  <c r="AB12" i="7"/>
  <c r="AB14" i="7"/>
  <c r="AB8" i="7"/>
  <c r="AB6" i="7"/>
  <c r="AB47" i="7"/>
  <c r="AB36" i="7"/>
  <c r="AB19" i="7"/>
  <c r="AB21" i="7"/>
  <c r="AB15" i="7"/>
  <c r="R49" i="8"/>
  <c r="C50" i="8" s="1"/>
  <c r="X46" i="8"/>
  <c r="X38" i="8"/>
  <c r="X30" i="8"/>
  <c r="X22" i="8"/>
  <c r="X14" i="8"/>
  <c r="X6" i="8"/>
  <c r="X43" i="8"/>
  <c r="X35" i="8"/>
  <c r="X27" i="8"/>
  <c r="X19" i="8"/>
  <c r="X11" i="8"/>
  <c r="X48" i="8"/>
  <c r="X40" i="8"/>
  <c r="X32" i="8"/>
  <c r="X24" i="8"/>
  <c r="X16" i="8"/>
  <c r="X8" i="8"/>
  <c r="X45" i="8"/>
  <c r="X37" i="8"/>
  <c r="X29" i="8"/>
  <c r="X21" i="8"/>
  <c r="X13" i="8"/>
  <c r="X5" i="8"/>
  <c r="X44" i="8"/>
  <c r="X36" i="8"/>
  <c r="X28" i="8"/>
  <c r="X20" i="8"/>
  <c r="X47" i="8"/>
  <c r="X33" i="8"/>
  <c r="X31" i="8"/>
  <c r="X25" i="8"/>
  <c r="X23" i="8"/>
  <c r="X12" i="8"/>
  <c r="X42" i="8"/>
  <c r="X17" i="8"/>
  <c r="X15" i="8"/>
  <c r="X9" i="8"/>
  <c r="X18" i="8"/>
  <c r="X34" i="8"/>
  <c r="X10" i="8"/>
  <c r="X26" i="8"/>
  <c r="X7" i="8"/>
  <c r="X41" i="8"/>
  <c r="X39" i="8"/>
  <c r="Q25" i="9"/>
  <c r="M26" i="9" s="1"/>
  <c r="AE41" i="13"/>
  <c r="AE33" i="13"/>
  <c r="AE25" i="13"/>
  <c r="AE17" i="13"/>
  <c r="AE9" i="13"/>
  <c r="AE46" i="13"/>
  <c r="AE38" i="13"/>
  <c r="AE30" i="13"/>
  <c r="AE22" i="13"/>
  <c r="AE14" i="13"/>
  <c r="AE43" i="13"/>
  <c r="AE35" i="13"/>
  <c r="AE27" i="13"/>
  <c r="AE45" i="13"/>
  <c r="AE37" i="13"/>
  <c r="AE29" i="13"/>
  <c r="AE21" i="13"/>
  <c r="AE13" i="13"/>
  <c r="AE48" i="13"/>
  <c r="AE32" i="13"/>
  <c r="AE42" i="13"/>
  <c r="AE26" i="13"/>
  <c r="AE15" i="13"/>
  <c r="AE6" i="13"/>
  <c r="AE39" i="13"/>
  <c r="AE23" i="13"/>
  <c r="AE16" i="13"/>
  <c r="AE36" i="13"/>
  <c r="AE10" i="13"/>
  <c r="AE8" i="13"/>
  <c r="AE47" i="13"/>
  <c r="AE31" i="13"/>
  <c r="AE12" i="13"/>
  <c r="AE7" i="13"/>
  <c r="AE20" i="13"/>
  <c r="AE34" i="13"/>
  <c r="AE19" i="13"/>
  <c r="AE5" i="13"/>
  <c r="AE28" i="13"/>
  <c r="AE11" i="13"/>
  <c r="AE44" i="13"/>
  <c r="AE40" i="13"/>
  <c r="AE24" i="13"/>
  <c r="AE18" i="13"/>
  <c r="W41" i="13"/>
  <c r="W33" i="13"/>
  <c r="W25" i="13"/>
  <c r="W17" i="13"/>
  <c r="W46" i="13"/>
  <c r="W38" i="13"/>
  <c r="W30" i="13"/>
  <c r="W22" i="13"/>
  <c r="W14" i="13"/>
  <c r="W43" i="13"/>
  <c r="W35" i="13"/>
  <c r="W27" i="13"/>
  <c r="W45" i="13"/>
  <c r="W37" i="13"/>
  <c r="W29" i="13"/>
  <c r="W21" i="13"/>
  <c r="W13" i="13"/>
  <c r="W40" i="13"/>
  <c r="W24" i="13"/>
  <c r="W10" i="13"/>
  <c r="W9" i="13"/>
  <c r="W34" i="13"/>
  <c r="W18" i="13"/>
  <c r="W11" i="13"/>
  <c r="W6" i="13"/>
  <c r="W47" i="13"/>
  <c r="W31" i="13"/>
  <c r="W19" i="13"/>
  <c r="W44" i="13"/>
  <c r="W28" i="13"/>
  <c r="W12" i="13"/>
  <c r="W8" i="13"/>
  <c r="W39" i="13"/>
  <c r="W15" i="13"/>
  <c r="W7" i="13"/>
  <c r="W20" i="13"/>
  <c r="W42" i="13"/>
  <c r="W23" i="13"/>
  <c r="W26" i="13"/>
  <c r="W32" i="13"/>
  <c r="W5" i="13"/>
  <c r="W36" i="13"/>
  <c r="W48" i="13"/>
  <c r="W16" i="13"/>
  <c r="B11" i="4"/>
  <c r="I50" i="8"/>
  <c r="M50" i="8"/>
  <c r="E50" i="8"/>
  <c r="J50" i="13"/>
  <c r="K50" i="6"/>
  <c r="R49" i="7"/>
  <c r="P50" i="7" s="1"/>
  <c r="J26" i="9"/>
  <c r="O26" i="9"/>
  <c r="E26" i="9"/>
  <c r="P26" i="9"/>
  <c r="Q9" i="12"/>
  <c r="Q10" i="12"/>
  <c r="K26" i="9"/>
  <c r="G26" i="9"/>
  <c r="N26" i="9"/>
  <c r="L50" i="8"/>
  <c r="D50" i="8"/>
  <c r="O50" i="8"/>
  <c r="J50" i="8"/>
  <c r="F50" i="8"/>
  <c r="Q50" i="8"/>
  <c r="H50" i="8"/>
  <c r="P50" i="8"/>
  <c r="K50" i="8"/>
  <c r="G50" i="8"/>
  <c r="E50" i="6"/>
  <c r="B10" i="4" l="1"/>
  <c r="T11" i="4"/>
  <c r="H26" i="9"/>
  <c r="B10" i="14"/>
  <c r="T11" i="14"/>
  <c r="B10" i="12"/>
  <c r="T11" i="12"/>
  <c r="L26" i="9"/>
  <c r="Q26" i="9" s="1"/>
  <c r="O5" i="16" a="1"/>
  <c r="F26" i="9"/>
  <c r="I26" i="9"/>
  <c r="B10" i="13"/>
  <c r="T11" i="13"/>
  <c r="B10" i="11"/>
  <c r="N58" i="11"/>
  <c r="P58" i="11"/>
  <c r="F58" i="11"/>
  <c r="H58" i="11"/>
  <c r="L58" i="11"/>
  <c r="T11" i="11"/>
  <c r="K58" i="11"/>
  <c r="O58" i="11"/>
  <c r="G58" i="11"/>
  <c r="D58" i="11"/>
  <c r="M58" i="11"/>
  <c r="I58" i="11"/>
  <c r="E58" i="11"/>
  <c r="J58" i="11"/>
  <c r="O12" i="16" a="1"/>
  <c r="B10" i="6"/>
  <c r="T11" i="6"/>
  <c r="O3" i="16" a="1"/>
  <c r="D50" i="7"/>
  <c r="E50" i="7"/>
  <c r="K50" i="7"/>
  <c r="C50" i="13"/>
  <c r="I50" i="13"/>
  <c r="J50" i="6"/>
  <c r="H50" i="6"/>
  <c r="I50" i="6"/>
  <c r="M50" i="6"/>
  <c r="L50" i="6"/>
  <c r="G50" i="6"/>
  <c r="C50" i="6"/>
  <c r="F50" i="6"/>
  <c r="D50" i="6"/>
  <c r="R50" i="8"/>
  <c r="F50" i="13"/>
  <c r="E50" i="13"/>
  <c r="G50" i="13"/>
  <c r="N50" i="13"/>
  <c r="H50" i="13"/>
  <c r="L50" i="13"/>
  <c r="D50" i="13"/>
  <c r="O50" i="13"/>
  <c r="M50" i="13"/>
  <c r="K50" i="13"/>
  <c r="J50" i="7"/>
  <c r="Q50" i="7"/>
  <c r="O50" i="7"/>
  <c r="G50" i="7"/>
  <c r="M50" i="7"/>
  <c r="L50" i="7"/>
  <c r="F50" i="7"/>
  <c r="C50" i="7"/>
  <c r="I50" i="7"/>
  <c r="H50" i="7"/>
  <c r="Q8" i="12"/>
  <c r="O12" i="16" l="1"/>
  <c r="O24" i="16" s="1"/>
  <c r="V12" i="16"/>
  <c r="V24" i="16" s="1"/>
  <c r="P12" i="16"/>
  <c r="P24" i="16" s="1"/>
  <c r="Q12" i="16"/>
  <c r="Q24" i="16" s="1"/>
  <c r="R12" i="16"/>
  <c r="R24" i="16" s="1"/>
  <c r="T12" i="16"/>
  <c r="T24" i="16" s="1"/>
  <c r="U12" i="16"/>
  <c r="U24" i="16" s="1"/>
  <c r="Y12" i="16"/>
  <c r="Y24" i="16" s="1"/>
  <c r="X12" i="16"/>
  <c r="X24" i="16" s="1"/>
  <c r="W12" i="16"/>
  <c r="W24" i="16" s="1"/>
  <c r="S12" i="16"/>
  <c r="S24" i="16" s="1"/>
  <c r="B9" i="13"/>
  <c r="T10" i="13"/>
  <c r="B9" i="14"/>
  <c r="D59" i="14"/>
  <c r="E59" i="14"/>
  <c r="F59" i="14"/>
  <c r="H59" i="14"/>
  <c r="J59" i="14"/>
  <c r="M59" i="14"/>
  <c r="I59" i="14"/>
  <c r="L59" i="14"/>
  <c r="T10" i="14"/>
  <c r="G59" i="14"/>
  <c r="C59" i="14"/>
  <c r="K59" i="14"/>
  <c r="B9" i="6"/>
  <c r="T10" i="6"/>
  <c r="B9" i="11"/>
  <c r="T10" i="11"/>
  <c r="B9" i="12"/>
  <c r="T10" i="12"/>
  <c r="P3" i="16"/>
  <c r="P15" i="16" s="1"/>
  <c r="Q3" i="16"/>
  <c r="Q15" i="16" s="1"/>
  <c r="R3" i="16"/>
  <c r="R15" i="16" s="1"/>
  <c r="S3" i="16"/>
  <c r="S15" i="16" s="1"/>
  <c r="U3" i="16"/>
  <c r="U15" i="16" s="1"/>
  <c r="V3" i="16"/>
  <c r="V15" i="16" s="1"/>
  <c r="W3" i="16"/>
  <c r="W15" i="16" s="1"/>
  <c r="O3" i="16"/>
  <c r="O15" i="16" s="1"/>
  <c r="Y3" i="16"/>
  <c r="Y15" i="16" s="1"/>
  <c r="X3" i="16"/>
  <c r="X15" i="16" s="1"/>
  <c r="T3" i="16"/>
  <c r="T15" i="16" s="1"/>
  <c r="P5" i="16"/>
  <c r="P17" i="16" s="1"/>
  <c r="O5" i="16"/>
  <c r="Q5" i="16"/>
  <c r="Q17" i="16" s="1"/>
  <c r="R5" i="16"/>
  <c r="R17" i="16" s="1"/>
  <c r="S5" i="16"/>
  <c r="S17" i="16" s="1"/>
  <c r="U5" i="16"/>
  <c r="U17" i="16" s="1"/>
  <c r="V5" i="16"/>
  <c r="V17" i="16" s="1"/>
  <c r="Y5" i="16"/>
  <c r="Y17" i="16" s="1"/>
  <c r="W5" i="16"/>
  <c r="W17" i="16" s="1"/>
  <c r="X5" i="16"/>
  <c r="X17" i="16" s="1"/>
  <c r="T5" i="16"/>
  <c r="T17" i="16" s="1"/>
  <c r="B9" i="4"/>
  <c r="T10" i="4"/>
  <c r="R50" i="7"/>
  <c r="P50" i="13"/>
  <c r="N50" i="6"/>
  <c r="Q7" i="12"/>
  <c r="B8" i="4" l="1"/>
  <c r="T9" i="4"/>
  <c r="B8" i="12"/>
  <c r="T9" i="12"/>
  <c r="T9" i="11"/>
  <c r="B8" i="11"/>
  <c r="B8" i="6"/>
  <c r="T9" i="6"/>
  <c r="B8" i="13"/>
  <c r="T9" i="13"/>
  <c r="B8" i="14"/>
  <c r="T9" i="14"/>
  <c r="Q6" i="12"/>
  <c r="Q49" i="12" s="1"/>
  <c r="B7" i="11" l="1"/>
  <c r="T8" i="11"/>
  <c r="B7" i="12"/>
  <c r="T8" i="12"/>
  <c r="T8" i="6"/>
  <c r="D52" i="6"/>
  <c r="H52" i="6"/>
  <c r="F52" i="6"/>
  <c r="B7" i="6"/>
  <c r="L52" i="6"/>
  <c r="J52" i="6"/>
  <c r="I52" i="6"/>
  <c r="C52" i="6"/>
  <c r="M52" i="6"/>
  <c r="G52" i="6"/>
  <c r="K52" i="6"/>
  <c r="E52" i="6"/>
  <c r="T8" i="14"/>
  <c r="B7" i="14"/>
  <c r="B7" i="13"/>
  <c r="T8" i="13"/>
  <c r="B7" i="4"/>
  <c r="T8" i="4"/>
  <c r="C49" i="4"/>
  <c r="C58" i="4"/>
  <c r="K61" i="4"/>
  <c r="F49" i="4"/>
  <c r="E49" i="4"/>
  <c r="N49" i="4"/>
  <c r="N58" i="4" s="1"/>
  <c r="I61" i="4"/>
  <c r="I49" i="4"/>
  <c r="O49" i="4"/>
  <c r="G49" i="4"/>
  <c r="G58" i="4" s="1"/>
  <c r="K49" i="4"/>
  <c r="K58" i="4" s="1"/>
  <c r="D49" i="4"/>
  <c r="H49" i="4"/>
  <c r="H58" i="4"/>
  <c r="L49" i="4"/>
  <c r="J49" i="4"/>
  <c r="M49" i="4"/>
  <c r="M58" i="4"/>
  <c r="AA46" i="4" l="1"/>
  <c r="AA42" i="4"/>
  <c r="AA38" i="4"/>
  <c r="AA34" i="4"/>
  <c r="AA30" i="4"/>
  <c r="AA26" i="4"/>
  <c r="AA22" i="4"/>
  <c r="AA18" i="4"/>
  <c r="AA14" i="4"/>
  <c r="AA10" i="4"/>
  <c r="AA6" i="4"/>
  <c r="AA41" i="4"/>
  <c r="AA31" i="4"/>
  <c r="AA20" i="4"/>
  <c r="AA9" i="4"/>
  <c r="AA39" i="4"/>
  <c r="AA47" i="4"/>
  <c r="AA36" i="4"/>
  <c r="AA25" i="4"/>
  <c r="AA15" i="4"/>
  <c r="AA45" i="4"/>
  <c r="AA35" i="4"/>
  <c r="AA24" i="4"/>
  <c r="AA13" i="4"/>
  <c r="AA43" i="4"/>
  <c r="AA23" i="4"/>
  <c r="AA7" i="4"/>
  <c r="AA33" i="4"/>
  <c r="AA17" i="4"/>
  <c r="AA11" i="4"/>
  <c r="AA8" i="4"/>
  <c r="AA44" i="4"/>
  <c r="AA27" i="4"/>
  <c r="AA21" i="4"/>
  <c r="AA5" i="4"/>
  <c r="AA19" i="4"/>
  <c r="AA16" i="4"/>
  <c r="AA37" i="4"/>
  <c r="AA32" i="4"/>
  <c r="AA29" i="4"/>
  <c r="AA28" i="4"/>
  <c r="AA12" i="4"/>
  <c r="AA40" i="4"/>
  <c r="AA48" i="4"/>
  <c r="AE44" i="4"/>
  <c r="AE40" i="4"/>
  <c r="AE36" i="4"/>
  <c r="AE32" i="4"/>
  <c r="AE28" i="4"/>
  <c r="AE24" i="4"/>
  <c r="AE20" i="4"/>
  <c r="AE16" i="4"/>
  <c r="AE12" i="4"/>
  <c r="AE8" i="4"/>
  <c r="AE47" i="4"/>
  <c r="AE37" i="4"/>
  <c r="AE26" i="4"/>
  <c r="AE15" i="4"/>
  <c r="AE5" i="4"/>
  <c r="AE45" i="4"/>
  <c r="AE42" i="4"/>
  <c r="AE31" i="4"/>
  <c r="AE21" i="4"/>
  <c r="AE10" i="4"/>
  <c r="AE41" i="4"/>
  <c r="AE30" i="4"/>
  <c r="AE19" i="4"/>
  <c r="AE9" i="4"/>
  <c r="AE33" i="4"/>
  <c r="AE27" i="4"/>
  <c r="AE11" i="4"/>
  <c r="AE46" i="4"/>
  <c r="AE18" i="4"/>
  <c r="AE34" i="4"/>
  <c r="AE25" i="4"/>
  <c r="AE6" i="4"/>
  <c r="AE43" i="4"/>
  <c r="AE23" i="4"/>
  <c r="AE39" i="4"/>
  <c r="AE38" i="4"/>
  <c r="AE7" i="4"/>
  <c r="AE22" i="4"/>
  <c r="AE14" i="4"/>
  <c r="AE29" i="4"/>
  <c r="AE13" i="4"/>
  <c r="AE35" i="4"/>
  <c r="AE17" i="4"/>
  <c r="AE48" i="4"/>
  <c r="F61" i="4"/>
  <c r="X45" i="4"/>
  <c r="X34" i="4"/>
  <c r="X24" i="4"/>
  <c r="X23" i="4"/>
  <c r="X13" i="4"/>
  <c r="X42" i="4"/>
  <c r="X40" i="4"/>
  <c r="X39" i="4"/>
  <c r="X29" i="4"/>
  <c r="X18" i="4"/>
  <c r="X8" i="4"/>
  <c r="X7" i="4"/>
  <c r="X38" i="4"/>
  <c r="X28" i="4"/>
  <c r="X27" i="4"/>
  <c r="X17" i="4"/>
  <c r="X6" i="4"/>
  <c r="X35" i="4"/>
  <c r="X19" i="4"/>
  <c r="X16" i="4"/>
  <c r="X43" i="4"/>
  <c r="X32" i="4"/>
  <c r="X26" i="4"/>
  <c r="X10" i="4"/>
  <c r="X41" i="4"/>
  <c r="X36" i="4"/>
  <c r="X33" i="4"/>
  <c r="X20" i="4"/>
  <c r="X14" i="4"/>
  <c r="X11" i="4"/>
  <c r="X31" i="4"/>
  <c r="X12" i="4"/>
  <c r="X44" i="4"/>
  <c r="X15" i="4"/>
  <c r="X30" i="4"/>
  <c r="X47" i="4"/>
  <c r="X22" i="4"/>
  <c r="X25" i="4"/>
  <c r="X21" i="4"/>
  <c r="X5" i="4"/>
  <c r="X46" i="4"/>
  <c r="X9" i="4"/>
  <c r="X37" i="4"/>
  <c r="X48" i="4"/>
  <c r="H61" i="4"/>
  <c r="Z43" i="4"/>
  <c r="Z42" i="4"/>
  <c r="Z32" i="4"/>
  <c r="Z21" i="4"/>
  <c r="Z11" i="4"/>
  <c r="Z10" i="4"/>
  <c r="Z40" i="4"/>
  <c r="Z37" i="4"/>
  <c r="Z27" i="4"/>
  <c r="Z26" i="4"/>
  <c r="Z16" i="4"/>
  <c r="Z5" i="4"/>
  <c r="Z47" i="4"/>
  <c r="Z46" i="4"/>
  <c r="Z36" i="4"/>
  <c r="Z25" i="4"/>
  <c r="Z15" i="4"/>
  <c r="Z14" i="4"/>
  <c r="Z29" i="4"/>
  <c r="Z41" i="4"/>
  <c r="Z23" i="4"/>
  <c r="Z20" i="4"/>
  <c r="Z7" i="4"/>
  <c r="Z39" i="4"/>
  <c r="Z33" i="4"/>
  <c r="Z30" i="4"/>
  <c r="Z17" i="4"/>
  <c r="Z24" i="4"/>
  <c r="Z8" i="4"/>
  <c r="Z28" i="4"/>
  <c r="Z22" i="4"/>
  <c r="Z6" i="4"/>
  <c r="Z44" i="4"/>
  <c r="Z12" i="4"/>
  <c r="Z35" i="4"/>
  <c r="Z31" i="4"/>
  <c r="Z34" i="4"/>
  <c r="Z19" i="4"/>
  <c r="Z38" i="4"/>
  <c r="Z18" i="4"/>
  <c r="Z13" i="4"/>
  <c r="Z9" i="4"/>
  <c r="Z45" i="4"/>
  <c r="Z48" i="4"/>
  <c r="B6" i="11"/>
  <c r="T7" i="11"/>
  <c r="D61" i="4"/>
  <c r="V47" i="4"/>
  <c r="V37" i="4"/>
  <c r="V36" i="4"/>
  <c r="V26" i="4"/>
  <c r="V15" i="4"/>
  <c r="V5" i="4"/>
  <c r="V45" i="4"/>
  <c r="V44" i="4"/>
  <c r="V42" i="4"/>
  <c r="V31" i="4"/>
  <c r="V21" i="4"/>
  <c r="V20" i="4"/>
  <c r="V10" i="4"/>
  <c r="V41" i="4"/>
  <c r="V40" i="4"/>
  <c r="V30" i="4"/>
  <c r="V19" i="4"/>
  <c r="V9" i="4"/>
  <c r="V8" i="4"/>
  <c r="V25" i="4"/>
  <c r="V6" i="4"/>
  <c r="V38" i="4"/>
  <c r="V35" i="4"/>
  <c r="V22" i="4"/>
  <c r="V16" i="4"/>
  <c r="V43" i="4"/>
  <c r="V32" i="4"/>
  <c r="V29" i="4"/>
  <c r="V13" i="4"/>
  <c r="V7" i="4"/>
  <c r="V39" i="4"/>
  <c r="V23" i="4"/>
  <c r="V18" i="4"/>
  <c r="V28" i="4"/>
  <c r="V24" i="4"/>
  <c r="V12" i="4"/>
  <c r="V27" i="4"/>
  <c r="V11" i="4"/>
  <c r="V34" i="4"/>
  <c r="V14" i="4"/>
  <c r="V46" i="4"/>
  <c r="V33" i="4"/>
  <c r="V17" i="4"/>
  <c r="V48" i="4"/>
  <c r="E61" i="4"/>
  <c r="W44" i="4"/>
  <c r="W40" i="4"/>
  <c r="W36" i="4"/>
  <c r="W32" i="4"/>
  <c r="W28" i="4"/>
  <c r="W24" i="4"/>
  <c r="W20" i="4"/>
  <c r="W16" i="4"/>
  <c r="W12" i="4"/>
  <c r="W8" i="4"/>
  <c r="W46" i="4"/>
  <c r="W35" i="4"/>
  <c r="W25" i="4"/>
  <c r="W14" i="4"/>
  <c r="W43" i="4"/>
  <c r="W41" i="4"/>
  <c r="W30" i="4"/>
  <c r="W19" i="4"/>
  <c r="W9" i="4"/>
  <c r="W39" i="4"/>
  <c r="W29" i="4"/>
  <c r="W18" i="4"/>
  <c r="W7" i="4"/>
  <c r="W47" i="4"/>
  <c r="W38" i="4"/>
  <c r="W22" i="4"/>
  <c r="W45" i="4"/>
  <c r="W13" i="4"/>
  <c r="W26" i="4"/>
  <c r="W23" i="4"/>
  <c r="W10" i="4"/>
  <c r="W17" i="4"/>
  <c r="W42" i="4"/>
  <c r="W37" i="4"/>
  <c r="W34" i="4"/>
  <c r="W21" i="4"/>
  <c r="W15" i="4"/>
  <c r="W27" i="4"/>
  <c r="W31" i="4"/>
  <c r="W11" i="4"/>
  <c r="W5" i="4"/>
  <c r="W33" i="4"/>
  <c r="W6" i="4"/>
  <c r="W48" i="4"/>
  <c r="T7" i="4"/>
  <c r="B6" i="4"/>
  <c r="J58" i="4"/>
  <c r="AB40" i="4"/>
  <c r="AB30" i="4"/>
  <c r="AB29" i="4"/>
  <c r="AB19" i="4"/>
  <c r="AB8" i="4"/>
  <c r="AB46" i="4"/>
  <c r="AB45" i="4"/>
  <c r="AB35" i="4"/>
  <c r="AB24" i="4"/>
  <c r="AB14" i="4"/>
  <c r="AB13" i="4"/>
  <c r="AB44" i="4"/>
  <c r="AB34" i="4"/>
  <c r="AB33" i="4"/>
  <c r="AB23" i="4"/>
  <c r="AB12" i="4"/>
  <c r="AB41" i="4"/>
  <c r="AB26" i="4"/>
  <c r="AB20" i="4"/>
  <c r="AB17" i="4"/>
  <c r="AB48" i="4"/>
  <c r="AB39" i="4"/>
  <c r="AB36" i="4"/>
  <c r="AB11" i="4"/>
  <c r="AB27" i="4"/>
  <c r="AB21" i="4"/>
  <c r="AB5" i="4"/>
  <c r="AB37" i="4"/>
  <c r="AB18" i="4"/>
  <c r="AB47" i="4"/>
  <c r="AB38" i="4"/>
  <c r="AB32" i="4"/>
  <c r="AB16" i="4"/>
  <c r="AB31" i="4"/>
  <c r="AB15" i="4"/>
  <c r="AB43" i="4"/>
  <c r="AB7" i="4"/>
  <c r="AB42" i="4"/>
  <c r="AB22" i="4"/>
  <c r="AB10" i="4"/>
  <c r="AB6" i="4"/>
  <c r="AB28" i="4"/>
  <c r="AB25" i="4"/>
  <c r="AB9" i="4"/>
  <c r="G61" i="4"/>
  <c r="Y47" i="4"/>
  <c r="Y43" i="4"/>
  <c r="Y39" i="4"/>
  <c r="Y35" i="4"/>
  <c r="Y31" i="4"/>
  <c r="Y27" i="4"/>
  <c r="Y23" i="4"/>
  <c r="Y19" i="4"/>
  <c r="Y15" i="4"/>
  <c r="Y11" i="4"/>
  <c r="Y7" i="4"/>
  <c r="Y44" i="4"/>
  <c r="Y33" i="4"/>
  <c r="Y22" i="4"/>
  <c r="Y12" i="4"/>
  <c r="Y41" i="4"/>
  <c r="Y38" i="4"/>
  <c r="Y28" i="4"/>
  <c r="Y17" i="4"/>
  <c r="Y6" i="4"/>
  <c r="Y37" i="4"/>
  <c r="Y26" i="4"/>
  <c r="Y16" i="4"/>
  <c r="Y5" i="4"/>
  <c r="Y45" i="4"/>
  <c r="Y32" i="4"/>
  <c r="Y13" i="4"/>
  <c r="Y10" i="4"/>
  <c r="Y29" i="4"/>
  <c r="Y48" i="4"/>
  <c r="Y36" i="4"/>
  <c r="Y20" i="4"/>
  <c r="Y14" i="4"/>
  <c r="Y46" i="4"/>
  <c r="Y30" i="4"/>
  <c r="Y40" i="4"/>
  <c r="Y25" i="4"/>
  <c r="Y9" i="4"/>
  <c r="Y8" i="4"/>
  <c r="Y34" i="4"/>
  <c r="Y42" i="4"/>
  <c r="Y18" i="4"/>
  <c r="Y24" i="4"/>
  <c r="Y21" i="4"/>
  <c r="M61" i="4"/>
  <c r="B6" i="13"/>
  <c r="T7" i="13"/>
  <c r="B6" i="6"/>
  <c r="T7" i="6"/>
  <c r="I58" i="4"/>
  <c r="AC45" i="4"/>
  <c r="AC41" i="4"/>
  <c r="AC37" i="4"/>
  <c r="AC33" i="4"/>
  <c r="AC29" i="4"/>
  <c r="AC25" i="4"/>
  <c r="AC21" i="4"/>
  <c r="AC17" i="4"/>
  <c r="AC13" i="4"/>
  <c r="AC9" i="4"/>
  <c r="AC5" i="4"/>
  <c r="AC39" i="4"/>
  <c r="AC28" i="4"/>
  <c r="AC18" i="4"/>
  <c r="AC7" i="4"/>
  <c r="AC47" i="4"/>
  <c r="AC44" i="4"/>
  <c r="AC34" i="4"/>
  <c r="AC23" i="4"/>
  <c r="AC12" i="4"/>
  <c r="AC43" i="4"/>
  <c r="AC32" i="4"/>
  <c r="AC22" i="4"/>
  <c r="AC11" i="4"/>
  <c r="AC36" i="4"/>
  <c r="AC30" i="4"/>
  <c r="AC27" i="4"/>
  <c r="AC14" i="4"/>
  <c r="AC8" i="4"/>
  <c r="AC46" i="4"/>
  <c r="AC24" i="4"/>
  <c r="AC42" i="4"/>
  <c r="AC31" i="4"/>
  <c r="AC15" i="4"/>
  <c r="AC35" i="4"/>
  <c r="AC10" i="4"/>
  <c r="AC48" i="4"/>
  <c r="AC19" i="4"/>
  <c r="AC38" i="4"/>
  <c r="AC26" i="4"/>
  <c r="AC6" i="4"/>
  <c r="AC40" i="4"/>
  <c r="AC16" i="4"/>
  <c r="AC20" i="4"/>
  <c r="L58" i="4"/>
  <c r="AD38" i="4"/>
  <c r="AD27" i="4"/>
  <c r="AD17" i="4"/>
  <c r="AD16" i="4"/>
  <c r="AD6" i="4"/>
  <c r="AD46" i="4"/>
  <c r="AD43" i="4"/>
  <c r="AD33" i="4"/>
  <c r="AD32" i="4"/>
  <c r="AD22" i="4"/>
  <c r="AD11" i="4"/>
  <c r="AD42" i="4"/>
  <c r="AD31" i="4"/>
  <c r="AD21" i="4"/>
  <c r="AD20" i="4"/>
  <c r="AD10" i="4"/>
  <c r="AD39" i="4"/>
  <c r="AD30" i="4"/>
  <c r="AD14" i="4"/>
  <c r="AD8" i="4"/>
  <c r="AD24" i="4"/>
  <c r="AD5" i="4"/>
  <c r="AD44" i="4"/>
  <c r="AD37" i="4"/>
  <c r="AD18" i="4"/>
  <c r="AD15" i="4"/>
  <c r="AD40" i="4"/>
  <c r="AD34" i="4"/>
  <c r="AD28" i="4"/>
  <c r="AD12" i="4"/>
  <c r="AD9" i="4"/>
  <c r="AD45" i="4"/>
  <c r="AD29" i="4"/>
  <c r="AD26" i="4"/>
  <c r="AD13" i="4"/>
  <c r="AD7" i="4"/>
  <c r="AD35" i="4"/>
  <c r="AD19" i="4"/>
  <c r="AD23" i="4"/>
  <c r="AD47" i="4"/>
  <c r="AD25" i="4"/>
  <c r="AD36" i="4"/>
  <c r="AD41" i="4"/>
  <c r="AD48" i="4"/>
  <c r="L61" i="4"/>
  <c r="B6" i="14"/>
  <c r="T7" i="14"/>
  <c r="B6" i="12"/>
  <c r="T7" i="12"/>
  <c r="D58" i="4"/>
  <c r="E58" i="4"/>
  <c r="J61" i="4"/>
  <c r="N61" i="4"/>
  <c r="F58" i="4"/>
  <c r="B5" i="6" l="1"/>
  <c r="T5" i="6" s="1"/>
  <c r="T6" i="6"/>
  <c r="B5" i="4"/>
  <c r="T5" i="4" s="1"/>
  <c r="T6" i="4"/>
  <c r="T6" i="12"/>
  <c r="B5" i="12"/>
  <c r="T5" i="12" s="1"/>
  <c r="T6" i="13"/>
  <c r="H52" i="13"/>
  <c r="L52" i="13"/>
  <c r="B5" i="13"/>
  <c r="T5" i="13" s="1"/>
  <c r="G52" i="13"/>
  <c r="E52" i="13"/>
  <c r="M52" i="13"/>
  <c r="K52" i="13"/>
  <c r="I52" i="13"/>
  <c r="O52" i="13"/>
  <c r="F52" i="13"/>
  <c r="J52" i="13"/>
  <c r="N52" i="13"/>
  <c r="C52" i="13"/>
  <c r="D52" i="13"/>
  <c r="B5" i="14"/>
  <c r="T5" i="14" s="1"/>
  <c r="T6" i="14"/>
  <c r="O9" i="16" a="1"/>
  <c r="B5" i="11"/>
  <c r="T5" i="11" s="1"/>
  <c r="T6" i="11"/>
  <c r="O58" i="4"/>
  <c r="D59" i="4" s="1"/>
  <c r="E59" i="4" l="1"/>
  <c r="P9" i="16"/>
  <c r="P21" i="16" s="1"/>
  <c r="O9" i="16"/>
  <c r="O21" i="16" s="1"/>
  <c r="S9" i="16"/>
  <c r="S21" i="16" s="1"/>
  <c r="U9" i="16"/>
  <c r="U21" i="16" s="1"/>
  <c r="W9" i="16"/>
  <c r="W21" i="16" s="1"/>
  <c r="Y9" i="16"/>
  <c r="Y21" i="16" s="1"/>
  <c r="R9" i="16"/>
  <c r="R21" i="16" s="1"/>
  <c r="Q9" i="16"/>
  <c r="Q21" i="16" s="1"/>
  <c r="V9" i="16"/>
  <c r="V21" i="16" s="1"/>
  <c r="X9" i="16"/>
  <c r="X21" i="16" s="1"/>
  <c r="T9" i="16"/>
  <c r="T21" i="16" s="1"/>
  <c r="F59" i="4"/>
  <c r="I59" i="4"/>
  <c r="K59" i="4"/>
  <c r="C59" i="4"/>
  <c r="H59" i="4"/>
  <c r="N59" i="4"/>
  <c r="M59" i="4"/>
  <c r="J59" i="4"/>
  <c r="G59" i="4"/>
  <c r="L59" i="4"/>
  <c r="O5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</author>
  </authors>
  <commentList>
    <comment ref="N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jim:</t>
        </r>
        <r>
          <rPr>
            <sz val="9"/>
            <color indexed="81"/>
            <rFont val="Tahoma"/>
            <family val="2"/>
          </rPr>
          <t xml:space="preserve">
From cohort sliced
</t>
        </r>
      </text>
    </comment>
  </commentList>
</comments>
</file>

<file path=xl/sharedStrings.xml><?xml version="1.0" encoding="utf-8"?>
<sst xmlns="http://schemas.openxmlformats.org/spreadsheetml/2006/main" count="225" uniqueCount="45">
  <si>
    <t>L.H.</t>
  </si>
  <si>
    <t>II</t>
  </si>
  <si>
    <t>III</t>
  </si>
  <si>
    <t>IV</t>
  </si>
  <si>
    <t>V</t>
  </si>
  <si>
    <t>VI</t>
  </si>
  <si>
    <t>VII</t>
  </si>
  <si>
    <t>Total</t>
  </si>
  <si>
    <t>%</t>
  </si>
  <si>
    <t>VIII</t>
  </si>
  <si>
    <t>IX</t>
  </si>
  <si>
    <t>X</t>
  </si>
  <si>
    <t>XI</t>
  </si>
  <si>
    <t>XII</t>
  </si>
  <si>
    <t>XIII</t>
  </si>
  <si>
    <t>XIV</t>
  </si>
  <si>
    <t>XV</t>
  </si>
  <si>
    <t>CLAVE EDAD-TALLA JUREL 2006</t>
  </si>
  <si>
    <t>CLAVE EDAD-TALLA JUREL 2004</t>
  </si>
  <si>
    <t>CLAVE EDAD-TALLA JUREL 2002</t>
  </si>
  <si>
    <t>CLAVE EDAD-TALLA JUREL 2000</t>
  </si>
  <si>
    <t>-</t>
  </si>
  <si>
    <t>CLAVE EDAD-TALLA JUREL 2001</t>
  </si>
  <si>
    <t>LH (cm)</t>
  </si>
  <si>
    <t>CLAVE EDAD-TALLA JUREL 2007</t>
  </si>
  <si>
    <t>CLAVE EDAD-TALLA JUREL 2008</t>
  </si>
  <si>
    <t>CLAVE EDAD-TALLA JUREL 2009</t>
  </si>
  <si>
    <t>CLAVE EDAD-TALLA JUREL 2010</t>
  </si>
  <si>
    <t>TOTAL</t>
  </si>
  <si>
    <t>XXIV</t>
  </si>
  <si>
    <t>XXIII</t>
  </si>
  <si>
    <t>XXII</t>
  </si>
  <si>
    <t>XXI</t>
  </si>
  <si>
    <t>XX</t>
  </si>
  <si>
    <t>XIX</t>
  </si>
  <si>
    <t>XVIII</t>
  </si>
  <si>
    <t>XVII</t>
  </si>
  <si>
    <t>XVI</t>
  </si>
  <si>
    <t>I</t>
  </si>
  <si>
    <t>O</t>
  </si>
  <si>
    <t>(Unidades)</t>
  </si>
  <si>
    <t xml:space="preserve"> (cm)</t>
  </si>
  <si>
    <t>GRUPOS  DE  EDAD</t>
  </si>
  <si>
    <t>FREC.</t>
  </si>
  <si>
    <t xml:space="preserve">  TALLAS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</si>
</sst>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0.0"/>
    <numFmt numFmtId="166" formatCode="0.000"/>
    <numFmt numFmtId="167" formatCode="_-* #,##0\ _P_t_s_-;\-* #,##0\ _P_t_s_-;_-* &quot;-&quot;\ _P_t_s_-;_-@_-"/>
    <numFmt numFmtId="168" formatCode="_-* #,##0.0\ _P_t_s_-;\-* #,##0.0\ _P_t_s_-;_-* &quot;-&quot;\ _P_t_s_-;_-@_-"/>
    <numFmt numFmtId="169" formatCode="#,##0.0000"/>
  </numFmts>
  <fonts count="7">
    <font>
      <sz val="10"/>
      <name val="Arial"/>
    </font>
    <font>
      <sz val="10"/>
      <name val="Arial"/>
      <family val="2"/>
    </font>
    <font>
      <sz val="11"/>
      <name val="Geneva"/>
    </font>
    <font>
      <sz val="11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</cellStyleXfs>
  <cellXfs count="128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165" fontId="1" fillId="0" borderId="7" xfId="1" applyNumberForma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5" xfId="1" applyFill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0" xfId="1" applyFill="1"/>
    <xf numFmtId="0" fontId="1" fillId="0" borderId="0" xfId="1" applyFill="1" applyBorder="1"/>
    <xf numFmtId="0" fontId="1" fillId="0" borderId="0" xfId="1" applyBorder="1"/>
    <xf numFmtId="166" fontId="1" fillId="0" borderId="0" xfId="1" applyNumberFormat="1" applyFill="1" applyBorder="1"/>
    <xf numFmtId="2" fontId="2" fillId="0" borderId="0" xfId="1" applyNumberFormat="1" applyFont="1" applyFill="1" applyBorder="1"/>
    <xf numFmtId="0" fontId="1" fillId="0" borderId="0" xfId="1" applyFill="1" applyAlignment="1">
      <alignment horizontal="center"/>
    </xf>
    <xf numFmtId="2" fontId="1" fillId="0" borderId="0" xfId="1" applyNumberFormat="1"/>
    <xf numFmtId="0" fontId="1" fillId="0" borderId="2" xfId="1" applyFill="1" applyBorder="1"/>
    <xf numFmtId="0" fontId="1" fillId="0" borderId="5" xfId="1" applyBorder="1"/>
    <xf numFmtId="0" fontId="1" fillId="0" borderId="8" xfId="1" applyBorder="1"/>
    <xf numFmtId="0" fontId="1" fillId="0" borderId="2" xfId="1" applyBorder="1"/>
    <xf numFmtId="0" fontId="1" fillId="0" borderId="12" xfId="1" applyBorder="1"/>
    <xf numFmtId="0" fontId="1" fillId="0" borderId="13" xfId="1" applyBorder="1"/>
    <xf numFmtId="0" fontId="1" fillId="0" borderId="6" xfId="1" applyBorder="1"/>
    <xf numFmtId="0" fontId="1" fillId="0" borderId="11" xfId="1" applyBorder="1"/>
    <xf numFmtId="0" fontId="1" fillId="0" borderId="3" xfId="1" applyBorder="1"/>
    <xf numFmtId="0" fontId="1" fillId="0" borderId="13" xfId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1" fillId="0" borderId="0" xfId="3" applyNumberFormat="1" applyFont="1" applyFill="1"/>
    <xf numFmtId="1" fontId="1" fillId="0" borderId="0" xfId="3" applyNumberFormat="1" applyFont="1" applyFill="1" applyBorder="1"/>
    <xf numFmtId="168" fontId="1" fillId="0" borderId="0" xfId="3" applyNumberFormat="1" applyFont="1" applyFill="1" applyAlignment="1">
      <alignment horizontal="center"/>
    </xf>
    <xf numFmtId="3" fontId="1" fillId="0" borderId="0" xfId="3" applyNumberFormat="1" applyFont="1" applyFill="1" applyBorder="1"/>
    <xf numFmtId="168" fontId="1" fillId="0" borderId="0" xfId="3" applyNumberFormat="1" applyFont="1" applyFill="1" applyBorder="1" applyAlignment="1">
      <alignment horizontal="center"/>
    </xf>
    <xf numFmtId="165" fontId="1" fillId="0" borderId="0" xfId="4" applyNumberFormat="1" applyFont="1" applyFill="1"/>
    <xf numFmtId="166" fontId="1" fillId="0" borderId="0" xfId="5" applyNumberFormat="1" applyFont="1" applyFill="1"/>
    <xf numFmtId="165" fontId="1" fillId="0" borderId="0" xfId="4" applyNumberFormat="1" applyFont="1" applyFill="1" applyBorder="1"/>
    <xf numFmtId="1" fontId="1" fillId="0" borderId="0" xfId="5" applyNumberFormat="1" applyFont="1" applyFill="1"/>
    <xf numFmtId="1" fontId="1" fillId="0" borderId="0" xfId="4" applyNumberFormat="1" applyFont="1" applyFill="1"/>
    <xf numFmtId="1" fontId="4" fillId="0" borderId="0" xfId="3" applyNumberFormat="1" applyFont="1" applyFill="1" applyBorder="1" applyAlignment="1">
      <alignment horizontal="right"/>
    </xf>
    <xf numFmtId="165" fontId="1" fillId="0" borderId="0" xfId="5" applyNumberFormat="1" applyFont="1" applyFill="1" applyAlignment="1">
      <alignment horizontal="right"/>
    </xf>
    <xf numFmtId="1" fontId="1" fillId="0" borderId="0" xfId="3" applyNumberFormat="1" applyFont="1" applyFill="1" applyBorder="1" applyAlignment="1">
      <alignment horizontal="center"/>
    </xf>
    <xf numFmtId="1" fontId="1" fillId="0" borderId="0" xfId="6" applyNumberFormat="1" applyFont="1" applyFill="1"/>
    <xf numFmtId="1" fontId="4" fillId="0" borderId="0" xfId="6" applyNumberFormat="1" applyFont="1" applyFill="1" applyBorder="1"/>
    <xf numFmtId="1" fontId="4" fillId="0" borderId="0" xfId="6" applyNumberFormat="1" applyFont="1" applyFill="1" applyBorder="1" applyAlignment="1">
      <alignment horizontal="right"/>
    </xf>
    <xf numFmtId="165" fontId="4" fillId="0" borderId="0" xfId="1" applyNumberFormat="1" applyFont="1" applyFill="1"/>
    <xf numFmtId="165" fontId="1" fillId="0" borderId="0" xfId="3" applyNumberFormat="1" applyFont="1" applyFill="1" applyBorder="1"/>
    <xf numFmtId="4" fontId="1" fillId="0" borderId="14" xfId="3" applyNumberFormat="1" applyFont="1" applyFill="1" applyBorder="1"/>
    <xf numFmtId="4" fontId="1" fillId="0" borderId="15" xfId="3" applyNumberFormat="1" applyFont="1" applyFill="1" applyBorder="1"/>
    <xf numFmtId="4" fontId="1" fillId="0" borderId="16" xfId="3" applyNumberFormat="1" applyFont="1" applyFill="1" applyBorder="1"/>
    <xf numFmtId="0" fontId="1" fillId="0" borderId="17" xfId="7" applyFont="1" applyFill="1" applyBorder="1" applyAlignment="1">
      <alignment horizontal="center"/>
    </xf>
    <xf numFmtId="3" fontId="1" fillId="0" borderId="18" xfId="3" applyNumberFormat="1" applyFont="1" applyFill="1" applyBorder="1"/>
    <xf numFmtId="3" fontId="1" fillId="0" borderId="2" xfId="3" applyNumberFormat="1" applyFont="1" applyFill="1" applyBorder="1"/>
    <xf numFmtId="168" fontId="1" fillId="0" borderId="19" xfId="3" applyNumberFormat="1" applyFont="1" applyFill="1" applyBorder="1" applyAlignment="1">
      <alignment horizontal="center"/>
    </xf>
    <xf numFmtId="1" fontId="1" fillId="0" borderId="18" xfId="3" applyNumberFormat="1" applyFont="1" applyFill="1" applyBorder="1"/>
    <xf numFmtId="1" fontId="1" fillId="0" borderId="2" xfId="3" applyNumberFormat="1" applyFont="1" applyFill="1" applyBorder="1"/>
    <xf numFmtId="168" fontId="1" fillId="0" borderId="19" xfId="3" quotePrefix="1" applyNumberFormat="1" applyFont="1" applyFill="1" applyBorder="1" applyAlignment="1">
      <alignment horizontal="center"/>
    </xf>
    <xf numFmtId="0" fontId="1" fillId="0" borderId="0" xfId="7" applyFont="1" applyFill="1"/>
    <xf numFmtId="0" fontId="1" fillId="0" borderId="0" xfId="7" applyFont="1" applyFill="1" applyBorder="1"/>
    <xf numFmtId="166" fontId="1" fillId="0" borderId="18" xfId="7" applyNumberFormat="1" applyFont="1" applyFill="1" applyBorder="1"/>
    <xf numFmtId="166" fontId="1" fillId="0" borderId="0" xfId="7" applyNumberFormat="1" applyFont="1" applyFill="1" applyBorder="1"/>
    <xf numFmtId="2" fontId="1" fillId="0" borderId="0" xfId="7" applyNumberFormat="1" applyFont="1" applyFill="1" applyBorder="1" applyAlignment="1">
      <alignment horizontal="right"/>
    </xf>
    <xf numFmtId="166" fontId="1" fillId="0" borderId="2" xfId="7" applyNumberFormat="1" applyFont="1" applyFill="1" applyBorder="1"/>
    <xf numFmtId="0" fontId="1" fillId="0" borderId="19" xfId="7" applyFont="1" applyFill="1" applyBorder="1" applyAlignment="1">
      <alignment horizontal="center"/>
    </xf>
    <xf numFmtId="165" fontId="1" fillId="0" borderId="18" xfId="7" applyNumberFormat="1" applyFont="1" applyFill="1" applyBorder="1"/>
    <xf numFmtId="165" fontId="1" fillId="0" borderId="0" xfId="7" applyNumberFormat="1" applyFont="1" applyFill="1" applyBorder="1"/>
    <xf numFmtId="165" fontId="1" fillId="0" borderId="2" xfId="7" applyNumberFormat="1" applyFont="1" applyFill="1" applyBorder="1"/>
    <xf numFmtId="2" fontId="1" fillId="0" borderId="18" xfId="7" applyNumberFormat="1" applyFont="1" applyFill="1" applyBorder="1"/>
    <xf numFmtId="2" fontId="1" fillId="0" borderId="0" xfId="7" applyNumberFormat="1" applyFont="1" applyFill="1" applyBorder="1"/>
    <xf numFmtId="2" fontId="1" fillId="0" borderId="2" xfId="7" applyNumberFormat="1" applyFont="1" applyFill="1" applyBorder="1"/>
    <xf numFmtId="3" fontId="1" fillId="0" borderId="20" xfId="7" applyNumberFormat="1" applyFont="1" applyFill="1" applyBorder="1"/>
    <xf numFmtId="3" fontId="1" fillId="0" borderId="21" xfId="3" applyNumberFormat="1" applyFont="1" applyFill="1" applyBorder="1"/>
    <xf numFmtId="168" fontId="1" fillId="0" borderId="22" xfId="3" applyNumberFormat="1" applyFont="1" applyFill="1" applyBorder="1" applyAlignment="1">
      <alignment horizontal="center"/>
    </xf>
    <xf numFmtId="1" fontId="1" fillId="0" borderId="14" xfId="3" applyNumberFormat="1" applyFont="1" applyFill="1" applyBorder="1"/>
    <xf numFmtId="3" fontId="1" fillId="0" borderId="15" xfId="3" applyNumberFormat="1" applyFont="1" applyFill="1" applyBorder="1"/>
    <xf numFmtId="1" fontId="1" fillId="0" borderId="15" xfId="3" applyNumberFormat="1" applyFont="1" applyFill="1" applyBorder="1"/>
    <xf numFmtId="3" fontId="1" fillId="0" borderId="23" xfId="3" applyNumberFormat="1" applyFont="1" applyFill="1" applyBorder="1"/>
    <xf numFmtId="169" fontId="1" fillId="0" borderId="0" xfId="3" applyNumberFormat="1" applyFont="1" applyFill="1" applyBorder="1"/>
    <xf numFmtId="3" fontId="1" fillId="0" borderId="3" xfId="3" applyNumberFormat="1" applyFont="1" applyFill="1" applyBorder="1"/>
    <xf numFmtId="168" fontId="1" fillId="0" borderId="19" xfId="3" applyNumberFormat="1" applyFont="1" applyFill="1" applyBorder="1" applyAlignment="1">
      <alignment horizontal="right"/>
    </xf>
    <xf numFmtId="3" fontId="1" fillId="0" borderId="0" xfId="5" applyNumberFormat="1" applyFont="1" applyFill="1"/>
    <xf numFmtId="165" fontId="1" fillId="0" borderId="0" xfId="5" applyNumberFormat="1" applyFont="1" applyFill="1"/>
    <xf numFmtId="1" fontId="4" fillId="0" borderId="0" xfId="3" applyNumberFormat="1" applyFont="1" applyFill="1"/>
    <xf numFmtId="1" fontId="4" fillId="0" borderId="0" xfId="3" applyNumberFormat="1" applyFont="1" applyFill="1" applyBorder="1"/>
    <xf numFmtId="1" fontId="4" fillId="0" borderId="14" xfId="6" applyNumberFormat="1" applyFont="1" applyFill="1" applyBorder="1" applyAlignment="1">
      <alignment horizontal="right"/>
    </xf>
    <xf numFmtId="1" fontId="4" fillId="0" borderId="15" xfId="6" applyNumberFormat="1" applyFont="1" applyFill="1" applyBorder="1" applyAlignment="1">
      <alignment horizontal="right"/>
    </xf>
    <xf numFmtId="1" fontId="4" fillId="0" borderId="15" xfId="6" quotePrefix="1" applyNumberFormat="1" applyFont="1" applyFill="1" applyBorder="1" applyAlignment="1">
      <alignment horizontal="right"/>
    </xf>
    <xf numFmtId="1" fontId="4" fillId="0" borderId="23" xfId="6" applyNumberFormat="1" applyFont="1" applyFill="1" applyBorder="1" applyAlignment="1">
      <alignment horizontal="right"/>
    </xf>
    <xf numFmtId="1" fontId="4" fillId="0" borderId="16" xfId="3" applyNumberFormat="1" applyFont="1" applyFill="1" applyBorder="1" applyAlignment="1">
      <alignment horizontal="center"/>
    </xf>
    <xf numFmtId="168" fontId="4" fillId="0" borderId="17" xfId="3" quotePrefix="1" applyNumberFormat="1" applyFont="1" applyFill="1" applyBorder="1" applyAlignment="1">
      <alignment horizontal="center"/>
    </xf>
    <xf numFmtId="1" fontId="4" fillId="0" borderId="18" xfId="3" applyNumberFormat="1" applyFont="1" applyFill="1" applyBorder="1" applyAlignment="1">
      <alignment horizontal="centerContinuous"/>
    </xf>
    <xf numFmtId="1" fontId="4" fillId="0" borderId="0" xfId="3" applyNumberFormat="1" applyFont="1" applyFill="1" applyBorder="1" applyAlignment="1">
      <alignment horizontal="centerContinuous"/>
    </xf>
    <xf numFmtId="1" fontId="4" fillId="0" borderId="2" xfId="3" applyNumberFormat="1" applyFont="1" applyFill="1" applyBorder="1" applyAlignment="1">
      <alignment horizontal="center"/>
    </xf>
    <xf numFmtId="168" fontId="4" fillId="0" borderId="19" xfId="3" applyNumberFormat="1" applyFont="1" applyFill="1" applyBorder="1" applyAlignment="1">
      <alignment horizontal="center"/>
    </xf>
    <xf numFmtId="1" fontId="4" fillId="0" borderId="24" xfId="3" applyNumberFormat="1" applyFont="1" applyFill="1" applyBorder="1"/>
    <xf numFmtId="1" fontId="4" fillId="0" borderId="20" xfId="3" applyNumberFormat="1" applyFont="1" applyFill="1" applyBorder="1"/>
    <xf numFmtId="1" fontId="4" fillId="0" borderId="21" xfId="3" applyNumberFormat="1" applyFont="1" applyFill="1" applyBorder="1"/>
    <xf numFmtId="168" fontId="4" fillId="0" borderId="22" xfId="3" applyNumberFormat="1" applyFont="1" applyFill="1" applyBorder="1" applyAlignment="1">
      <alignment horizontal="center"/>
    </xf>
    <xf numFmtId="0" fontId="1" fillId="0" borderId="0" xfId="1" applyAlignment="1">
      <alignment vertical="center"/>
    </xf>
    <xf numFmtId="0" fontId="1" fillId="0" borderId="0" xfId="1" applyFill="1" applyAlignment="1">
      <alignment vertical="center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  <xf numFmtId="0" fontId="1" fillId="0" borderId="4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10" xfId="1" applyBorder="1" applyAlignment="1">
      <alignment horizontal="center"/>
    </xf>
  </cellXfs>
  <cellStyles count="8">
    <cellStyle name="Euro" xfId="2" xr:uid="{00000000-0005-0000-0000-000000000000}"/>
    <cellStyle name="Millares [0]_105NEN" xfId="6" xr:uid="{00000000-0005-0000-0000-000001000000}"/>
    <cellStyle name="Millares [0]_166AREN" xfId="5" xr:uid="{00000000-0005-0000-0000-000002000000}"/>
    <cellStyle name="Millares [0]_166AREN_03_TABLAS_COMPOSICIONES JUREL_2002 ZONA CENTRO SUR" xfId="3" xr:uid="{00000000-0005-0000-0000-000003000000}"/>
    <cellStyle name="Millares [0]_74CAEN" xfId="4" xr:uid="{00000000-0005-0000-0000-000004000000}"/>
    <cellStyle name="Normal" xfId="0" builtinId="0"/>
    <cellStyle name="Normal 2" xfId="1" xr:uid="{00000000-0005-0000-0000-000005000000}"/>
    <cellStyle name="Normal_JZNfb97   " xfId="7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705365458975864E-2"/>
          <c:y val="7.4205075028080533E-2"/>
          <c:w val="0.88632151358064182"/>
          <c:h val="0.784453650296851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'2008'!$C$4:$P$4</c:f>
              <c:strCache>
                <c:ptCount val="14"/>
                <c:pt idx="0">
                  <c:v>II</c:v>
                </c:pt>
                <c:pt idx="1">
                  <c:v>III</c:v>
                </c:pt>
                <c:pt idx="2">
                  <c:v>IV</c:v>
                </c:pt>
                <c:pt idx="3">
                  <c:v>V</c:v>
                </c:pt>
                <c:pt idx="4">
                  <c:v>VI</c:v>
                </c:pt>
                <c:pt idx="5">
                  <c:v>VII</c:v>
                </c:pt>
                <c:pt idx="6">
                  <c:v>VIII</c:v>
                </c:pt>
                <c:pt idx="7">
                  <c:v>IX</c:v>
                </c:pt>
                <c:pt idx="8">
                  <c:v>X</c:v>
                </c:pt>
                <c:pt idx="9">
                  <c:v>XI</c:v>
                </c:pt>
                <c:pt idx="10">
                  <c:v>XII</c:v>
                </c:pt>
                <c:pt idx="11">
                  <c:v>XIII</c:v>
                </c:pt>
                <c:pt idx="12">
                  <c:v>XIV</c:v>
                </c:pt>
                <c:pt idx="13">
                  <c:v>XV</c:v>
                </c:pt>
              </c:strCache>
            </c:strRef>
          </c:cat>
          <c:val>
            <c:numRef>
              <c:f>'2008'!$C$57:$P$57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C3AC-4E50-A867-5D85E54C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896256"/>
        <c:axId val="46897792"/>
      </c:barChart>
      <c:catAx>
        <c:axId val="4689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46897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897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468962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9810357352478"/>
          <c:y val="9.2198900843932993E-2"/>
          <c:w val="0.84693961947905338"/>
          <c:h val="0.6666689753330541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'2008'!$B$6:$B$56</c:f>
              <c:numCache>
                <c:formatCode>General</c:formatCode>
                <c:ptCount val="51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</c:numCache>
            </c:numRef>
          </c:cat>
          <c:val>
            <c:numRef>
              <c:f>'2008'!$Q$6:$Q$56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15</c:v>
                </c:pt>
                <c:pt idx="4">
                  <c:v>29</c:v>
                </c:pt>
                <c:pt idx="5">
                  <c:v>13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27</c:v>
                </c:pt>
                <c:pt idx="10">
                  <c:v>48</c:v>
                </c:pt>
                <c:pt idx="11">
                  <c:v>88</c:v>
                </c:pt>
                <c:pt idx="12">
                  <c:v>87</c:v>
                </c:pt>
                <c:pt idx="13">
                  <c:v>57</c:v>
                </c:pt>
                <c:pt idx="14">
                  <c:v>98</c:v>
                </c:pt>
                <c:pt idx="15">
                  <c:v>87</c:v>
                </c:pt>
                <c:pt idx="16">
                  <c:v>92</c:v>
                </c:pt>
                <c:pt idx="17">
                  <c:v>100</c:v>
                </c:pt>
                <c:pt idx="18">
                  <c:v>110</c:v>
                </c:pt>
                <c:pt idx="19">
                  <c:v>105</c:v>
                </c:pt>
                <c:pt idx="20">
                  <c:v>111</c:v>
                </c:pt>
                <c:pt idx="21">
                  <c:v>107</c:v>
                </c:pt>
                <c:pt idx="22">
                  <c:v>107</c:v>
                </c:pt>
                <c:pt idx="23">
                  <c:v>80</c:v>
                </c:pt>
                <c:pt idx="24">
                  <c:v>67</c:v>
                </c:pt>
                <c:pt idx="25">
                  <c:v>64</c:v>
                </c:pt>
                <c:pt idx="26">
                  <c:v>62</c:v>
                </c:pt>
                <c:pt idx="27">
                  <c:v>71</c:v>
                </c:pt>
                <c:pt idx="28">
                  <c:v>67</c:v>
                </c:pt>
                <c:pt idx="29">
                  <c:v>58</c:v>
                </c:pt>
                <c:pt idx="30">
                  <c:v>58</c:v>
                </c:pt>
                <c:pt idx="31">
                  <c:v>58</c:v>
                </c:pt>
                <c:pt idx="32">
                  <c:v>49</c:v>
                </c:pt>
                <c:pt idx="33">
                  <c:v>52</c:v>
                </c:pt>
                <c:pt idx="34">
                  <c:v>46</c:v>
                </c:pt>
                <c:pt idx="35">
                  <c:v>38</c:v>
                </c:pt>
                <c:pt idx="36">
                  <c:v>38</c:v>
                </c:pt>
                <c:pt idx="37">
                  <c:v>40</c:v>
                </c:pt>
                <c:pt idx="38">
                  <c:v>28</c:v>
                </c:pt>
                <c:pt idx="39">
                  <c:v>25</c:v>
                </c:pt>
                <c:pt idx="40">
                  <c:v>9</c:v>
                </c:pt>
                <c:pt idx="41">
                  <c:v>4</c:v>
                </c:pt>
                <c:pt idx="42">
                  <c:v>10</c:v>
                </c:pt>
                <c:pt idx="43">
                  <c:v>2237</c:v>
                </c:pt>
                <c:pt idx="44">
                  <c:v>3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4-4B3E-BD41-009898121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98176"/>
        <c:axId val="134508544"/>
      </c:lineChart>
      <c:catAx>
        <c:axId val="13449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Lp (cm)</a:t>
                </a:r>
              </a:p>
            </c:rich>
          </c:tx>
          <c:layout>
            <c:manualLayout>
              <c:xMode val="edge"/>
              <c:yMode val="edge"/>
              <c:x val="0.51632704512819394"/>
              <c:y val="0.868797334875522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34508544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34508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</a:t>
                </a:r>
              </a:p>
            </c:rich>
          </c:tx>
          <c:layout>
            <c:manualLayout>
              <c:xMode val="edge"/>
              <c:yMode val="edge"/>
              <c:x val="3.0612275402857353E-2"/>
              <c:y val="0.404256719084937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344981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11" r="0.75000000000000011" t="1" header="0" footer="0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862675933299379E-2"/>
          <c:y val="7.4205075028080533E-2"/>
          <c:w val="0.89077376628296812"/>
          <c:h val="0.784453650296851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'2007'!$C$4:$P$4</c:f>
              <c:strCache>
                <c:ptCount val="14"/>
                <c:pt idx="0">
                  <c:v>II</c:v>
                </c:pt>
                <c:pt idx="1">
                  <c:v>III</c:v>
                </c:pt>
                <c:pt idx="2">
                  <c:v>IV</c:v>
                </c:pt>
                <c:pt idx="3">
                  <c:v>V</c:v>
                </c:pt>
                <c:pt idx="4">
                  <c:v>VI</c:v>
                </c:pt>
                <c:pt idx="5">
                  <c:v>VII</c:v>
                </c:pt>
                <c:pt idx="6">
                  <c:v>VIII</c:v>
                </c:pt>
                <c:pt idx="7">
                  <c:v>IX</c:v>
                </c:pt>
                <c:pt idx="8">
                  <c:v>X</c:v>
                </c:pt>
                <c:pt idx="9">
                  <c:v>XI</c:v>
                </c:pt>
                <c:pt idx="10">
                  <c:v>XII</c:v>
                </c:pt>
                <c:pt idx="11">
                  <c:v>XIII</c:v>
                </c:pt>
                <c:pt idx="12">
                  <c:v>XIV</c:v>
                </c:pt>
                <c:pt idx="13">
                  <c:v>XV</c:v>
                </c:pt>
              </c:strCache>
            </c:strRef>
          </c:cat>
          <c:val>
            <c:numRef>
              <c:f>'2007'!$C$53:$P$53</c:f>
              <c:numCache>
                <c:formatCode>General</c:formatCode>
                <c:ptCount val="14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6-4EA5-9C5D-2FE9792F5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48192"/>
        <c:axId val="61449728"/>
      </c:barChart>
      <c:catAx>
        <c:axId val="6144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61449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14497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614481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673552767810092E-2"/>
          <c:y val="9.2198900843932993E-2"/>
          <c:w val="0.90816417028476781"/>
          <c:h val="0.748229541464225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'2007'!$B$9:$B$52</c:f>
              <c:numCache>
                <c:formatCode>General</c:formatCode>
                <c:ptCount val="44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</c:numCache>
            </c:numRef>
          </c:cat>
          <c:val>
            <c:numRef>
              <c:f>'2007'!$Q$9:$Q$52</c:f>
              <c:numCache>
                <c:formatCode>General</c:formatCode>
                <c:ptCount val="44"/>
                <c:pt idx="0">
                  <c:v>3</c:v>
                </c:pt>
                <c:pt idx="1">
                  <c:v>8</c:v>
                </c:pt>
                <c:pt idx="2">
                  <c:v>2</c:v>
                </c:pt>
                <c:pt idx="3">
                  <c:v>9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25</c:v>
                </c:pt>
                <c:pt idx="8">
                  <c:v>47</c:v>
                </c:pt>
                <c:pt idx="9">
                  <c:v>62</c:v>
                </c:pt>
                <c:pt idx="10">
                  <c:v>63</c:v>
                </c:pt>
                <c:pt idx="11">
                  <c:v>76</c:v>
                </c:pt>
                <c:pt idx="12">
                  <c:v>71</c:v>
                </c:pt>
                <c:pt idx="13">
                  <c:v>85</c:v>
                </c:pt>
                <c:pt idx="14">
                  <c:v>69</c:v>
                </c:pt>
                <c:pt idx="15">
                  <c:v>73</c:v>
                </c:pt>
                <c:pt idx="16">
                  <c:v>65</c:v>
                </c:pt>
                <c:pt idx="17">
                  <c:v>72</c:v>
                </c:pt>
                <c:pt idx="18">
                  <c:v>71</c:v>
                </c:pt>
                <c:pt idx="19">
                  <c:v>76</c:v>
                </c:pt>
                <c:pt idx="20">
                  <c:v>71</c:v>
                </c:pt>
                <c:pt idx="21">
                  <c:v>75</c:v>
                </c:pt>
                <c:pt idx="22">
                  <c:v>74</c:v>
                </c:pt>
                <c:pt idx="23">
                  <c:v>74</c:v>
                </c:pt>
                <c:pt idx="24">
                  <c:v>73</c:v>
                </c:pt>
                <c:pt idx="25">
                  <c:v>79</c:v>
                </c:pt>
                <c:pt idx="26">
                  <c:v>71</c:v>
                </c:pt>
                <c:pt idx="27">
                  <c:v>75</c:v>
                </c:pt>
                <c:pt idx="28">
                  <c:v>71</c:v>
                </c:pt>
                <c:pt idx="29">
                  <c:v>51</c:v>
                </c:pt>
                <c:pt idx="30">
                  <c:v>56</c:v>
                </c:pt>
                <c:pt idx="31">
                  <c:v>57</c:v>
                </c:pt>
                <c:pt idx="32">
                  <c:v>46</c:v>
                </c:pt>
                <c:pt idx="33">
                  <c:v>36</c:v>
                </c:pt>
                <c:pt idx="34">
                  <c:v>40</c:v>
                </c:pt>
                <c:pt idx="35">
                  <c:v>42</c:v>
                </c:pt>
                <c:pt idx="36">
                  <c:v>27</c:v>
                </c:pt>
                <c:pt idx="37">
                  <c:v>22</c:v>
                </c:pt>
                <c:pt idx="38">
                  <c:v>13</c:v>
                </c:pt>
                <c:pt idx="39">
                  <c:v>21</c:v>
                </c:pt>
                <c:pt idx="40">
                  <c:v>2006</c:v>
                </c:pt>
                <c:pt idx="41">
                  <c:v>13</c:v>
                </c:pt>
                <c:pt idx="42">
                  <c:v>1</c:v>
                </c:pt>
                <c:pt idx="4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5-411C-B647-B8366D5AE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42848"/>
        <c:axId val="134544384"/>
      </c:lineChart>
      <c:catAx>
        <c:axId val="13454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3454438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4544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345428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395646472690244E-2"/>
          <c:y val="9.1872950034766393E-2"/>
          <c:w val="0.8832407957435775"/>
          <c:h val="0.74911790028347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'2006'!$C$4:$N$4</c:f>
              <c:strCache>
                <c:ptCount val="12"/>
                <c:pt idx="0">
                  <c:v>II</c:v>
                </c:pt>
                <c:pt idx="1">
                  <c:v>III</c:v>
                </c:pt>
                <c:pt idx="2">
                  <c:v>IV</c:v>
                </c:pt>
                <c:pt idx="3">
                  <c:v>V</c:v>
                </c:pt>
                <c:pt idx="4">
                  <c:v>VI</c:v>
                </c:pt>
                <c:pt idx="5">
                  <c:v>VII</c:v>
                </c:pt>
                <c:pt idx="6">
                  <c:v>VIII</c:v>
                </c:pt>
                <c:pt idx="7">
                  <c:v>IX</c:v>
                </c:pt>
                <c:pt idx="8">
                  <c:v>X</c:v>
                </c:pt>
                <c:pt idx="9">
                  <c:v>XI</c:v>
                </c:pt>
                <c:pt idx="10">
                  <c:v>XII</c:v>
                </c:pt>
                <c:pt idx="11">
                  <c:v>XIII</c:v>
                </c:pt>
              </c:strCache>
            </c:strRef>
          </c:cat>
          <c:val>
            <c:numRef>
              <c:f>'2006'!$C$58:$N$58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58</c:v>
                </c:pt>
                <c:pt idx="3">
                  <c:v>226</c:v>
                </c:pt>
                <c:pt idx="4">
                  <c:v>492</c:v>
                </c:pt>
                <c:pt idx="5">
                  <c:v>540</c:v>
                </c:pt>
                <c:pt idx="6">
                  <c:v>565</c:v>
                </c:pt>
                <c:pt idx="7">
                  <c:v>625</c:v>
                </c:pt>
                <c:pt idx="8">
                  <c:v>617</c:v>
                </c:pt>
                <c:pt idx="9">
                  <c:v>454</c:v>
                </c:pt>
                <c:pt idx="10">
                  <c:v>313</c:v>
                </c:pt>
                <c:pt idx="1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6-403F-9761-823537213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71072"/>
        <c:axId val="61972864"/>
      </c:barChart>
      <c:catAx>
        <c:axId val="61971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6197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19728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61971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755189488191054E-2"/>
          <c:y val="6.0283896705648501E-2"/>
          <c:w val="0.88367434996248206"/>
          <c:h val="0.7765984340315897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'2006'!$B$7:$B$57</c:f>
              <c:numCache>
                <c:formatCode>General</c:formatCode>
                <c:ptCount val="51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</c:numCache>
            </c:numRef>
          </c:cat>
          <c:val>
            <c:numRef>
              <c:f>'2006'!$O$7:$O$57</c:f>
              <c:numCache>
                <c:formatCode>General</c:formatCode>
                <c:ptCount val="5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51</c:v>
                </c:pt>
                <c:pt idx="10">
                  <c:v>69</c:v>
                </c:pt>
                <c:pt idx="11">
                  <c:v>92</c:v>
                </c:pt>
                <c:pt idx="12">
                  <c:v>78</c:v>
                </c:pt>
                <c:pt idx="13">
                  <c:v>84</c:v>
                </c:pt>
                <c:pt idx="14">
                  <c:v>80</c:v>
                </c:pt>
                <c:pt idx="15">
                  <c:v>78</c:v>
                </c:pt>
                <c:pt idx="16">
                  <c:v>74</c:v>
                </c:pt>
                <c:pt idx="17">
                  <c:v>80</c:v>
                </c:pt>
                <c:pt idx="18">
                  <c:v>80</c:v>
                </c:pt>
                <c:pt idx="19">
                  <c:v>78</c:v>
                </c:pt>
                <c:pt idx="20">
                  <c:v>78</c:v>
                </c:pt>
                <c:pt idx="21">
                  <c:v>75</c:v>
                </c:pt>
                <c:pt idx="22">
                  <c:v>71</c:v>
                </c:pt>
                <c:pt idx="23">
                  <c:v>69</c:v>
                </c:pt>
                <c:pt idx="24">
                  <c:v>69</c:v>
                </c:pt>
                <c:pt idx="25">
                  <c:v>70</c:v>
                </c:pt>
                <c:pt idx="26">
                  <c:v>64</c:v>
                </c:pt>
                <c:pt idx="27">
                  <c:v>63</c:v>
                </c:pt>
                <c:pt idx="28">
                  <c:v>69</c:v>
                </c:pt>
                <c:pt idx="29">
                  <c:v>73</c:v>
                </c:pt>
                <c:pt idx="30">
                  <c:v>64</c:v>
                </c:pt>
                <c:pt idx="31">
                  <c:v>62</c:v>
                </c:pt>
                <c:pt idx="32">
                  <c:v>67</c:v>
                </c:pt>
                <c:pt idx="33">
                  <c:v>52</c:v>
                </c:pt>
                <c:pt idx="34">
                  <c:v>45</c:v>
                </c:pt>
                <c:pt idx="35">
                  <c:v>44</c:v>
                </c:pt>
                <c:pt idx="36">
                  <c:v>31</c:v>
                </c:pt>
                <c:pt idx="37">
                  <c:v>28</c:v>
                </c:pt>
                <c:pt idx="38">
                  <c:v>21</c:v>
                </c:pt>
                <c:pt idx="39">
                  <c:v>18</c:v>
                </c:pt>
                <c:pt idx="40">
                  <c:v>16</c:v>
                </c:pt>
                <c:pt idx="41">
                  <c:v>32</c:v>
                </c:pt>
                <c:pt idx="42">
                  <c:v>2034</c:v>
                </c:pt>
                <c:pt idx="43">
                  <c:v>9</c:v>
                </c:pt>
                <c:pt idx="44">
                  <c:v>5</c:v>
                </c:pt>
                <c:pt idx="45">
                  <c:v>9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8-4F6E-BB20-C1EB39301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80032"/>
        <c:axId val="61990016"/>
      </c:lineChart>
      <c:catAx>
        <c:axId val="6198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6199001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61990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61980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80349344978165"/>
          <c:y val="9.1872950034766393E-2"/>
          <c:w val="0.86462882096069882"/>
          <c:h val="0.752651475284817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'2001'!$E$4:$P$4</c:f>
              <c:strCache>
                <c:ptCount val="12"/>
                <c:pt idx="0">
                  <c:v>II</c:v>
                </c:pt>
                <c:pt idx="1">
                  <c:v>III</c:v>
                </c:pt>
                <c:pt idx="2">
                  <c:v>IV</c:v>
                </c:pt>
                <c:pt idx="3">
                  <c:v>V</c:v>
                </c:pt>
                <c:pt idx="4">
                  <c:v>VI</c:v>
                </c:pt>
                <c:pt idx="5">
                  <c:v>VII</c:v>
                </c:pt>
                <c:pt idx="6">
                  <c:v>VIII</c:v>
                </c:pt>
                <c:pt idx="7">
                  <c:v>IX</c:v>
                </c:pt>
                <c:pt idx="8">
                  <c:v>X</c:v>
                </c:pt>
                <c:pt idx="9">
                  <c:v>XI</c:v>
                </c:pt>
                <c:pt idx="10">
                  <c:v>XII</c:v>
                </c:pt>
                <c:pt idx="11">
                  <c:v>XIII</c:v>
                </c:pt>
              </c:strCache>
            </c:strRef>
          </c:cat>
          <c:val>
            <c:numRef>
              <c:f>'2001'!$E$25:$P$25</c:f>
              <c:numCache>
                <c:formatCode>General</c:formatCode>
                <c:ptCount val="12"/>
                <c:pt idx="0">
                  <c:v>5</c:v>
                </c:pt>
                <c:pt idx="1">
                  <c:v>46</c:v>
                </c:pt>
                <c:pt idx="2">
                  <c:v>47</c:v>
                </c:pt>
                <c:pt idx="3">
                  <c:v>119</c:v>
                </c:pt>
                <c:pt idx="4">
                  <c:v>138</c:v>
                </c:pt>
                <c:pt idx="5">
                  <c:v>143</c:v>
                </c:pt>
                <c:pt idx="6">
                  <c:v>143</c:v>
                </c:pt>
                <c:pt idx="7">
                  <c:v>101</c:v>
                </c:pt>
                <c:pt idx="8">
                  <c:v>39</c:v>
                </c:pt>
                <c:pt idx="9">
                  <c:v>13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4-479E-BA28-9B8CB396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1920"/>
        <c:axId val="62003456"/>
      </c:barChart>
      <c:catAx>
        <c:axId val="6200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62003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2003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62001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11" r="0.75000000000000011" t="1" header="0" footer="0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104775</xdr:rowOff>
    </xdr:from>
    <xdr:to>
      <xdr:col>27</xdr:col>
      <xdr:colOff>742950</xdr:colOff>
      <xdr:row>2</xdr:row>
      <xdr:rowOff>47625</xdr:rowOff>
    </xdr:to>
    <xdr:sp macro="" textlink="">
      <xdr:nvSpPr>
        <xdr:cNvPr id="2" name="Text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800100" y="104775"/>
          <a:ext cx="20516850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TABLA 20.  COMPOSICIÓN EN NÚMERO POR GRUPO DE EDAD EN LA CAPTURA DE JUREL.  ZONA CALDERA - COQUIMBO. CUARTO TRIMESTRE 2010.</a:t>
          </a:r>
          <a:endParaRPr lang="en-US" sz="1800" b="1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800" b="1" i="1" u="none" strike="noStrike" baseline="0">
            <a:solidFill>
              <a:srgbClr val="333399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800" b="1" i="1" u="none" strike="noStrike" baseline="0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19050</xdr:colOff>
      <xdr:row>0</xdr:row>
      <xdr:rowOff>266700</xdr:rowOff>
    </xdr:from>
    <xdr:to>
      <xdr:col>1</xdr:col>
      <xdr:colOff>1276350</xdr:colOff>
      <xdr:row>1</xdr:row>
      <xdr:rowOff>219075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781050" y="161925"/>
          <a:ext cx="7429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</xdr:colOff>
      <xdr:row>0</xdr:row>
      <xdr:rowOff>104775</xdr:rowOff>
    </xdr:from>
    <xdr:to>
      <xdr:col>27</xdr:col>
      <xdr:colOff>742950</xdr:colOff>
      <xdr:row>2</xdr:row>
      <xdr:rowOff>47625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800100" y="104775"/>
          <a:ext cx="20516850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TABLA 16.  COMPOSICIÓN EN NÚMERO POR GRUPO DE EDAD EN LA CAPTURA DE JUREL.  ZONA CALDERA - COQUIMBO. AÑO 2010.</a:t>
          </a:r>
          <a:endParaRPr lang="en-US" sz="1800" b="1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800" b="1" i="1" u="none" strike="noStrike" baseline="0">
            <a:solidFill>
              <a:srgbClr val="333399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800" b="1" i="1" u="none" strike="noStrike" baseline="0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19050</xdr:colOff>
      <xdr:row>0</xdr:row>
      <xdr:rowOff>266700</xdr:rowOff>
    </xdr:from>
    <xdr:to>
      <xdr:col>1</xdr:col>
      <xdr:colOff>1276350</xdr:colOff>
      <xdr:row>1</xdr:row>
      <xdr:rowOff>219075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781050" y="161925"/>
          <a:ext cx="7429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60</xdr:row>
      <xdr:rowOff>66675</xdr:rowOff>
    </xdr:from>
    <xdr:to>
      <xdr:col>15</xdr:col>
      <xdr:colOff>209550</xdr:colOff>
      <xdr:row>77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323850</xdr:colOff>
      <xdr:row>60</xdr:row>
      <xdr:rowOff>38100</xdr:rowOff>
    </xdr:from>
    <xdr:to>
      <xdr:col>22</xdr:col>
      <xdr:colOff>323850</xdr:colOff>
      <xdr:row>76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57</xdr:row>
      <xdr:rowOff>57150</xdr:rowOff>
    </xdr:from>
    <xdr:to>
      <xdr:col>15</xdr:col>
      <xdr:colOff>304800</xdr:colOff>
      <xdr:row>74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57</xdr:row>
      <xdr:rowOff>47625</xdr:rowOff>
    </xdr:from>
    <xdr:to>
      <xdr:col>22</xdr:col>
      <xdr:colOff>390525</xdr:colOff>
      <xdr:row>73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60</xdr:row>
      <xdr:rowOff>57150</xdr:rowOff>
    </xdr:from>
    <xdr:to>
      <xdr:col>14</xdr:col>
      <xdr:colOff>0</xdr:colOff>
      <xdr:row>77</xdr:row>
      <xdr:rowOff>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00000000-0008-0000-0600-000001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60</xdr:row>
      <xdr:rowOff>47625</xdr:rowOff>
    </xdr:from>
    <xdr:to>
      <xdr:col>20</xdr:col>
      <xdr:colOff>400050</xdr:colOff>
      <xdr:row>76</xdr:row>
      <xdr:rowOff>142875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00000000-0008-0000-0600-000002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29</xdr:row>
      <xdr:rowOff>57150</xdr:rowOff>
    </xdr:from>
    <xdr:to>
      <xdr:col>16</xdr:col>
      <xdr:colOff>0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/Documents/Dropbox/sprfmo/Chilean%20Age%20Length%20Key%202010%20Fleet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hort%20slicing%20of%20peruvian%20length%20frequencies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d Coqbo 2011"/>
      <sheetName val="SAnt Guaitecas 2011"/>
      <sheetName val="Ages 2010"/>
    </sheetNames>
    <sheetDataSet>
      <sheetData sheetId="0"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</sheetData>
      <sheetData sheetId="1"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</sheetData>
      <sheetData sheetId="2">
        <row r="16">
          <cell r="C16">
            <v>262104</v>
          </cell>
          <cell r="D16">
            <v>0</v>
          </cell>
          <cell r="E16">
            <v>0</v>
          </cell>
          <cell r="F16">
            <v>262104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C17">
            <v>314524</v>
          </cell>
          <cell r="D17">
            <v>0</v>
          </cell>
          <cell r="E17">
            <v>0</v>
          </cell>
          <cell r="F17">
            <v>314524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C18">
            <v>289746</v>
          </cell>
          <cell r="D18">
            <v>0</v>
          </cell>
          <cell r="E18">
            <v>0</v>
          </cell>
          <cell r="F18">
            <v>144873</v>
          </cell>
          <cell r="G18">
            <v>144873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C19">
            <v>574779</v>
          </cell>
          <cell r="D19">
            <v>0</v>
          </cell>
          <cell r="E19">
            <v>0</v>
          </cell>
          <cell r="F19">
            <v>287389.5</v>
          </cell>
          <cell r="G19">
            <v>287389.5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C20">
            <v>541621</v>
          </cell>
          <cell r="D20">
            <v>0</v>
          </cell>
          <cell r="E20">
            <v>0</v>
          </cell>
          <cell r="F20">
            <v>541621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C21">
            <v>436884</v>
          </cell>
          <cell r="D21">
            <v>0</v>
          </cell>
          <cell r="E21">
            <v>0</v>
          </cell>
          <cell r="F21">
            <v>244132.5</v>
          </cell>
          <cell r="G21">
            <v>192751.5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C22">
            <v>226675</v>
          </cell>
          <cell r="D22">
            <v>0</v>
          </cell>
          <cell r="E22">
            <v>0</v>
          </cell>
          <cell r="F22">
            <v>0</v>
          </cell>
          <cell r="G22">
            <v>226675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C23">
            <v>2590841.6068887925</v>
          </cell>
          <cell r="D23">
            <v>0</v>
          </cell>
          <cell r="E23">
            <v>0</v>
          </cell>
          <cell r="F23">
            <v>4195</v>
          </cell>
          <cell r="G23">
            <v>2586646.6068887925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C24">
            <v>8352716.6615054728</v>
          </cell>
          <cell r="D24">
            <v>0</v>
          </cell>
          <cell r="E24">
            <v>0</v>
          </cell>
          <cell r="F24">
            <v>0</v>
          </cell>
          <cell r="G24">
            <v>6080488.8294624379</v>
          </cell>
          <cell r="H24">
            <v>2272227.832043035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C25">
            <v>17513475.2297442</v>
          </cell>
          <cell r="D25">
            <v>0</v>
          </cell>
          <cell r="E25">
            <v>0</v>
          </cell>
          <cell r="F25">
            <v>0</v>
          </cell>
          <cell r="G25">
            <v>8014515.8896351978</v>
          </cell>
          <cell r="H25">
            <v>9498959.3401090018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C26">
            <v>27270393.150265668</v>
          </cell>
          <cell r="D26">
            <v>0</v>
          </cell>
          <cell r="E26">
            <v>0</v>
          </cell>
          <cell r="F26">
            <v>0</v>
          </cell>
          <cell r="G26">
            <v>5363272.3778072968</v>
          </cell>
          <cell r="H26">
            <v>21907120.772458371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C27">
            <v>31517360.947969403</v>
          </cell>
          <cell r="D27">
            <v>0</v>
          </cell>
          <cell r="E27">
            <v>0</v>
          </cell>
          <cell r="F27">
            <v>0</v>
          </cell>
          <cell r="G27">
            <v>1291621.9705128204</v>
          </cell>
          <cell r="H27">
            <v>29622260.605708499</v>
          </cell>
          <cell r="I27">
            <v>603478.37174808781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C28">
            <v>57121685.68236506</v>
          </cell>
          <cell r="D28">
            <v>0</v>
          </cell>
          <cell r="E28">
            <v>0</v>
          </cell>
          <cell r="F28">
            <v>0</v>
          </cell>
          <cell r="G28">
            <v>89573.181818181809</v>
          </cell>
          <cell r="H28">
            <v>48142166.925054155</v>
          </cell>
          <cell r="I28">
            <v>8889945.5754927211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C29">
            <v>83420840.881345928</v>
          </cell>
          <cell r="D29">
            <v>0</v>
          </cell>
          <cell r="E29">
            <v>0</v>
          </cell>
          <cell r="F29">
            <v>0</v>
          </cell>
          <cell r="G29">
            <v>111558.35294117648</v>
          </cell>
          <cell r="H29">
            <v>57350869.107953183</v>
          </cell>
          <cell r="I29">
            <v>25958413.420451574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C30">
            <v>73302950.710499868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6731483.6109743342</v>
          </cell>
          <cell r="I30">
            <v>65062367.340001725</v>
          </cell>
          <cell r="J30">
            <v>1509099.7595238094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C31">
            <v>34072417.930382773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542079.02272727282</v>
          </cell>
          <cell r="I31">
            <v>20701731.326173387</v>
          </cell>
          <cell r="J31">
            <v>12828607.581482112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C32">
            <v>13386493.709329968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135842.62626262626</v>
          </cell>
          <cell r="I32">
            <v>872016.16108452959</v>
          </cell>
          <cell r="J32">
            <v>11887324.951049816</v>
          </cell>
          <cell r="K32">
            <v>491309.97093299672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C33">
            <v>16320784.518515024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564641.2350263152</v>
          </cell>
          <cell r="J33">
            <v>13559688.629097734</v>
          </cell>
          <cell r="K33">
            <v>2196454.6543909754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C34">
            <v>25677999.148366459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44353.125</v>
          </cell>
          <cell r="J34">
            <v>12926931.654544402</v>
          </cell>
          <cell r="K34">
            <v>12706714.368822055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C35">
            <v>27165204.955244619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4038.705882352941</v>
          </cell>
          <cell r="J35">
            <v>5700676.2877416462</v>
          </cell>
          <cell r="K35">
            <v>21460489.961620621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C36">
            <v>18467792.125715945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10144.888888888889</v>
          </cell>
          <cell r="J36">
            <v>949892.59187293472</v>
          </cell>
          <cell r="K36">
            <v>15397589.281588137</v>
          </cell>
          <cell r="L36">
            <v>2110165.3633659845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C37">
            <v>11786280.796836464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46587.327188940086</v>
          </cell>
          <cell r="K37">
            <v>5509537.9081797684</v>
          </cell>
          <cell r="L37">
            <v>5861730.1941326996</v>
          </cell>
          <cell r="M37">
            <v>368425.36733505642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C38">
            <v>14940134.963187693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75304.370370370365</v>
          </cell>
          <cell r="K38">
            <v>3527252.2957681213</v>
          </cell>
          <cell r="L38">
            <v>10804541.198240733</v>
          </cell>
          <cell r="M38">
            <v>533037.09880846855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C39">
            <v>28103422.604584854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2413053.4841791661</v>
          </cell>
          <cell r="L39">
            <v>17799586.928494435</v>
          </cell>
          <cell r="M39">
            <v>7890782.1919112541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C40">
            <v>30004710.533434015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25370.052631578947</v>
          </cell>
          <cell r="L40">
            <v>2192975.7501044497</v>
          </cell>
          <cell r="M40">
            <v>24663668.546239842</v>
          </cell>
          <cell r="N40">
            <v>2915261.4102645963</v>
          </cell>
          <cell r="O40">
            <v>207434.77419354836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C41">
            <v>21285610.474680997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194011.65756823821</v>
          </cell>
          <cell r="M41">
            <v>12050697.356385879</v>
          </cell>
          <cell r="N41">
            <v>7974017.6658622567</v>
          </cell>
          <cell r="O41">
            <v>1066883.7948646245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C42">
            <v>13130961.837088972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7457.2222222222226</v>
          </cell>
          <cell r="M42">
            <v>5618571.1250090804</v>
          </cell>
          <cell r="N42">
            <v>6845247.5233479701</v>
          </cell>
          <cell r="O42">
            <v>329842.98325484968</v>
          </cell>
          <cell r="P42">
            <v>329842.98325484968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C43">
            <v>10764339.844610063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2369336.6372340126</v>
          </cell>
          <cell r="N43">
            <v>7069165.2596931253</v>
          </cell>
          <cell r="O43">
            <v>1325837.947682926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C44">
            <v>8725446.3421327844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747289.58143922419</v>
          </cell>
          <cell r="N44">
            <v>7557199.8718046714</v>
          </cell>
          <cell r="O44">
            <v>280637.9259259259</v>
          </cell>
          <cell r="P44">
            <v>140318.96296296295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C45">
            <v>6648981.8773609027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731724.78972220025</v>
          </cell>
          <cell r="N45">
            <v>4027688.3434721017</v>
          </cell>
          <cell r="O45">
            <v>1583460.2243055007</v>
          </cell>
          <cell r="P45">
            <v>306108.51986110013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C46">
            <v>4686623.9386804514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2502189.1222614036</v>
          </cell>
          <cell r="O46">
            <v>1969871.8427348372</v>
          </cell>
          <cell r="P46">
            <v>214562.9736842105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C47">
            <v>4013898.1733505642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138568.42857142855</v>
          </cell>
          <cell r="N47">
            <v>895331.21546522563</v>
          </cell>
          <cell r="O47">
            <v>1743609.8126691733</v>
          </cell>
          <cell r="P47">
            <v>870448.62062030076</v>
          </cell>
          <cell r="Q47">
            <v>365940.09602443618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C48">
            <v>3173957.1733505642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144005.45454545453</v>
          </cell>
          <cell r="O48">
            <v>1859959.7960484452</v>
          </cell>
          <cell r="P48">
            <v>881981.01366575551</v>
          </cell>
          <cell r="Q48">
            <v>144005.45454545453</v>
          </cell>
          <cell r="R48">
            <v>144005.45454545453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C49">
            <v>2660004.7512386399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255466</v>
          </cell>
          <cell r="O49">
            <v>1436885.0378053405</v>
          </cell>
          <cell r="P49">
            <v>730498.83468739013</v>
          </cell>
          <cell r="Q49">
            <v>177866.15905943169</v>
          </cell>
          <cell r="R49">
            <v>59288.719686477227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C50">
            <v>2049703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290378.81818181818</v>
          </cell>
          <cell r="P50">
            <v>397040.95454545453</v>
          </cell>
          <cell r="Q50">
            <v>981829.27272727271</v>
          </cell>
          <cell r="R50">
            <v>380453.95454545453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C51">
            <v>1771222.2582842633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59954.3125</v>
          </cell>
          <cell r="P51">
            <v>60599.3125</v>
          </cell>
          <cell r="Q51">
            <v>767753.99578426336</v>
          </cell>
          <cell r="R51">
            <v>643097.38749999995</v>
          </cell>
          <cell r="S51">
            <v>239817.25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C52">
            <v>1518141.357695424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706641.25055256695</v>
          </cell>
          <cell r="R52">
            <v>745307.35714285716</v>
          </cell>
          <cell r="S52">
            <v>66192.75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C53">
            <v>1050659.1656852679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483.75</v>
          </cell>
          <cell r="Q53">
            <v>409005.81568526779</v>
          </cell>
          <cell r="R53">
            <v>563500.80000000005</v>
          </cell>
          <cell r="S53">
            <v>77668.800000000003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C54">
            <v>811554.71539084811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199938</v>
          </cell>
          <cell r="R54">
            <v>355641.71539084811</v>
          </cell>
          <cell r="S54">
            <v>255975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C55">
            <v>542662.09941116069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76794.5</v>
          </cell>
          <cell r="R55">
            <v>243262.04970558034</v>
          </cell>
          <cell r="S55">
            <v>177769.02485279017</v>
          </cell>
          <cell r="T55">
            <v>44836.524852790171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C56">
            <v>343863.80798984377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48374.75</v>
          </cell>
          <cell r="S56">
            <v>173201.07066158854</v>
          </cell>
          <cell r="T56">
            <v>122287.98732825521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C57">
            <v>545750.06627410708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84322</v>
          </cell>
          <cell r="S57">
            <v>90743</v>
          </cell>
          <cell r="T57">
            <v>303338.04418273806</v>
          </cell>
          <cell r="U57">
            <v>67347.022091369028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C58">
            <v>426995.25828426331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192443.17218950891</v>
          </cell>
          <cell r="U58">
            <v>234552.08609475443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C59">
            <v>263083.2346701129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127072.23467011288</v>
          </cell>
          <cell r="U59">
            <v>136011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C60">
            <v>353168.70401033864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56036.5</v>
          </cell>
          <cell r="U60">
            <v>151326.70401033867</v>
          </cell>
          <cell r="V60">
            <v>145805.5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C61">
            <v>139409.2346701129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12371.234670112888</v>
          </cell>
          <cell r="V61">
            <v>89314</v>
          </cell>
          <cell r="W61">
            <v>37724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C62">
            <v>56262.234670112884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14511.234670112888</v>
          </cell>
          <cell r="W62">
            <v>41751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C63">
            <v>46788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16461</v>
          </cell>
          <cell r="X63">
            <v>30327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C64">
            <v>22322.234670112888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22322.234670112888</v>
          </cell>
          <cell r="Z64">
            <v>0</v>
          </cell>
          <cell r="AA64">
            <v>0</v>
          </cell>
          <cell r="AB64">
            <v>0</v>
          </cell>
        </row>
        <row r="65">
          <cell r="C65">
            <v>3317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3317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C66">
            <v>7263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7263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4"/>
      <sheetName val="EU LengthFreq "/>
      <sheetName val="Chart8"/>
      <sheetName val="Chart2"/>
      <sheetName val="Russian LF"/>
      <sheetName val="Chart3"/>
      <sheetName val="CHinaSlice"/>
      <sheetName val="China LF"/>
      <sheetName val="China"/>
      <sheetName val="Russian data"/>
      <sheetName val="Chart1"/>
      <sheetName val="Chart9"/>
      <sheetName val="Peruvia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7">
          <cell r="V97">
            <v>8.2758620689655157E-3</v>
          </cell>
          <cell r="W97">
            <v>0.3497931034482758</v>
          </cell>
          <cell r="X97">
            <v>0.42565517241379314</v>
          </cell>
          <cell r="Y97">
            <v>0.12937931034482758</v>
          </cell>
          <cell r="Z97">
            <v>4.0275862068965516E-2</v>
          </cell>
          <cell r="AA97">
            <v>2.0413793103448274E-2</v>
          </cell>
          <cell r="AB97">
            <v>1.2689655172413791E-2</v>
          </cell>
          <cell r="AC97">
            <v>7.1724137931034482E-3</v>
          </cell>
          <cell r="AD97">
            <v>4.1379310344827579E-3</v>
          </cell>
          <cell r="AE97">
            <v>5.517241379310344E-4</v>
          </cell>
          <cell r="AF97">
            <v>1.6551724137931032E-3</v>
          </cell>
        </row>
        <row r="99">
          <cell r="V99">
            <v>4.1237113402061841E-2</v>
          </cell>
          <cell r="W99">
            <v>0.8487972508591064</v>
          </cell>
          <cell r="X99">
            <v>0.10652920962199311</v>
          </cell>
          <cell r="Y99">
            <v>3.436426116838487E-3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111"/>
  <sheetViews>
    <sheetView workbookViewId="0">
      <selection activeCell="F17" sqref="F17:F23"/>
    </sheetView>
  </sheetViews>
  <sheetFormatPr defaultColWidth="11.453125" defaultRowHeight="12.5"/>
  <cols>
    <col min="1" max="1" width="11.453125" style="51"/>
    <col min="2" max="2" width="21.08984375" style="53" customWidth="1"/>
    <col min="3" max="3" width="20.08984375" style="51" bestFit="1" customWidth="1"/>
    <col min="4" max="4" width="11.453125" style="51" bestFit="1" customWidth="1"/>
    <col min="5" max="28" width="20.36328125" style="51" customWidth="1"/>
    <col min="29" max="29" width="11.453125" style="52"/>
    <col min="30" max="30" width="22.453125" style="52" customWidth="1"/>
    <col min="31" max="31" width="21.54296875" style="52" bestFit="1" customWidth="1"/>
    <col min="32" max="33" width="11.453125" style="52"/>
    <col min="34" max="16384" width="11.453125" style="51"/>
  </cols>
  <sheetData>
    <row r="1" spans="2:33" ht="26.25" customHeight="1"/>
    <row r="2" spans="2:33" ht="26.25" customHeight="1"/>
    <row r="3" spans="2:33" ht="26.25" customHeight="1" thickBot="1"/>
    <row r="4" spans="2:33" ht="13">
      <c r="B4" s="119"/>
      <c r="C4" s="118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6"/>
    </row>
    <row r="5" spans="2:33" s="104" customFormat="1" ht="13">
      <c r="B5" s="115" t="s">
        <v>44</v>
      </c>
      <c r="C5" s="114" t="s">
        <v>43</v>
      </c>
      <c r="D5" s="113" t="s">
        <v>42</v>
      </c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2"/>
      <c r="AC5" s="105"/>
      <c r="AD5" s="105"/>
      <c r="AE5" s="105"/>
      <c r="AF5" s="105"/>
      <c r="AG5" s="105"/>
    </row>
    <row r="6" spans="2:33" s="104" customFormat="1" ht="13.5" thickBot="1">
      <c r="B6" s="111" t="s">
        <v>41</v>
      </c>
      <c r="C6" s="110" t="s">
        <v>40</v>
      </c>
      <c r="D6" s="109" t="s">
        <v>39</v>
      </c>
      <c r="E6" s="107" t="s">
        <v>38</v>
      </c>
      <c r="F6" s="107" t="s">
        <v>1</v>
      </c>
      <c r="G6" s="108" t="s">
        <v>2</v>
      </c>
      <c r="H6" s="107" t="s">
        <v>3</v>
      </c>
      <c r="I6" s="107" t="s">
        <v>4</v>
      </c>
      <c r="J6" s="107" t="s">
        <v>5</v>
      </c>
      <c r="K6" s="107" t="s">
        <v>6</v>
      </c>
      <c r="L6" s="107" t="s">
        <v>9</v>
      </c>
      <c r="M6" s="107" t="s">
        <v>10</v>
      </c>
      <c r="N6" s="108" t="s">
        <v>11</v>
      </c>
      <c r="O6" s="108" t="s">
        <v>12</v>
      </c>
      <c r="P6" s="108" t="s">
        <v>13</v>
      </c>
      <c r="Q6" s="108" t="s">
        <v>14</v>
      </c>
      <c r="R6" s="108" t="s">
        <v>15</v>
      </c>
      <c r="S6" s="108" t="s">
        <v>16</v>
      </c>
      <c r="T6" s="107" t="s">
        <v>37</v>
      </c>
      <c r="U6" s="107" t="s">
        <v>36</v>
      </c>
      <c r="V6" s="107" t="s">
        <v>35</v>
      </c>
      <c r="W6" s="107" t="s">
        <v>34</v>
      </c>
      <c r="X6" s="107" t="s">
        <v>33</v>
      </c>
      <c r="Y6" s="107" t="s">
        <v>32</v>
      </c>
      <c r="Z6" s="107" t="s">
        <v>31</v>
      </c>
      <c r="AA6" s="107" t="s">
        <v>30</v>
      </c>
      <c r="AB6" s="106" t="s">
        <v>29</v>
      </c>
      <c r="AC6" s="105"/>
      <c r="AD6" s="105"/>
      <c r="AE6" s="105"/>
      <c r="AF6" s="105"/>
      <c r="AG6" s="105"/>
    </row>
    <row r="7" spans="2:33" ht="18" customHeight="1">
      <c r="B7" s="101">
        <v>5</v>
      </c>
      <c r="C7" s="100">
        <f t="shared" ref="C7:C38" si="0">SUM(D7:AA7)</f>
        <v>0</v>
      </c>
      <c r="D7" s="54">
        <f>'[1]Cald Coqbo 2011'!D7+'[1]SAnt Guaitecas 2011'!D7</f>
        <v>0</v>
      </c>
      <c r="E7" s="54">
        <f>'[1]Cald Coqbo 2011'!E7+'[1]SAnt Guaitecas 2011'!E7</f>
        <v>0</v>
      </c>
      <c r="F7" s="54">
        <f>'[1]Cald Coqbo 2011'!F7+'[1]SAnt Guaitecas 2011'!F7</f>
        <v>0</v>
      </c>
      <c r="G7" s="54">
        <f>'[1]Cald Coqbo 2011'!G7+'[1]SAnt Guaitecas 2011'!G7</f>
        <v>0</v>
      </c>
      <c r="H7" s="54">
        <f>'[1]Cald Coqbo 2011'!H7+'[1]SAnt Guaitecas 2011'!H7</f>
        <v>0</v>
      </c>
      <c r="I7" s="54">
        <f>'[1]Cald Coqbo 2011'!I7+'[1]SAnt Guaitecas 2011'!I7</f>
        <v>0</v>
      </c>
      <c r="J7" s="54">
        <f>'[1]Cald Coqbo 2011'!J7+'[1]SAnt Guaitecas 2011'!J7</f>
        <v>0</v>
      </c>
      <c r="K7" s="54">
        <f>'[1]Cald Coqbo 2011'!K7+'[1]SAnt Guaitecas 2011'!K7</f>
        <v>0</v>
      </c>
      <c r="L7" s="54">
        <f>'[1]Cald Coqbo 2011'!L7+'[1]SAnt Guaitecas 2011'!L7</f>
        <v>0</v>
      </c>
      <c r="M7" s="54">
        <f>'[1]Cald Coqbo 2011'!M7+'[1]SAnt Guaitecas 2011'!M7</f>
        <v>0</v>
      </c>
      <c r="N7" s="54">
        <f>'[1]Cald Coqbo 2011'!N7+'[1]SAnt Guaitecas 2011'!N7</f>
        <v>0</v>
      </c>
      <c r="O7" s="54">
        <f>'[1]Cald Coqbo 2011'!O7+'[1]SAnt Guaitecas 2011'!O7</f>
        <v>0</v>
      </c>
      <c r="P7" s="54">
        <f>'[1]Cald Coqbo 2011'!P7+'[1]SAnt Guaitecas 2011'!P7</f>
        <v>0</v>
      </c>
      <c r="Q7" s="54">
        <f>'[1]Cald Coqbo 2011'!Q7+'[1]SAnt Guaitecas 2011'!Q7</f>
        <v>0</v>
      </c>
      <c r="R7" s="54">
        <f>'[1]Cald Coqbo 2011'!R7+'[1]SAnt Guaitecas 2011'!R7</f>
        <v>0</v>
      </c>
      <c r="S7" s="54">
        <f>'[1]Cald Coqbo 2011'!S7+'[1]SAnt Guaitecas 2011'!S7</f>
        <v>0</v>
      </c>
      <c r="T7" s="54">
        <f>'[1]Cald Coqbo 2011'!T7+'[1]SAnt Guaitecas 2011'!T7</f>
        <v>0</v>
      </c>
      <c r="U7" s="54">
        <f>'[1]Cald Coqbo 2011'!U7+'[1]SAnt Guaitecas 2011'!U7</f>
        <v>0</v>
      </c>
      <c r="V7" s="54">
        <f>'[1]Cald Coqbo 2011'!V7+'[1]SAnt Guaitecas 2011'!V7</f>
        <v>0</v>
      </c>
      <c r="W7" s="54">
        <f>'[1]Cald Coqbo 2011'!W7+'[1]SAnt Guaitecas 2011'!W7</f>
        <v>0</v>
      </c>
      <c r="X7" s="54">
        <f>'[1]Cald Coqbo 2011'!X7+'[1]SAnt Guaitecas 2011'!X7</f>
        <v>0</v>
      </c>
      <c r="Y7" s="54">
        <f>'[1]Cald Coqbo 2011'!Y7+'[1]SAnt Guaitecas 2011'!Y7</f>
        <v>0</v>
      </c>
      <c r="Z7" s="54">
        <v>0</v>
      </c>
      <c r="AA7" s="54">
        <v>0</v>
      </c>
      <c r="AB7" s="52">
        <v>0</v>
      </c>
    </row>
    <row r="8" spans="2:33" ht="18" customHeight="1">
      <c r="B8" s="101">
        <v>6</v>
      </c>
      <c r="C8" s="100">
        <f t="shared" si="0"/>
        <v>0</v>
      </c>
      <c r="D8" s="99">
        <f>'[1]Cald Coqbo 2011'!D8+'[1]SAnt Guaitecas 2011'!D8</f>
        <v>0</v>
      </c>
      <c r="E8" s="99">
        <f>'[1]Cald Coqbo 2011'!E8+'[1]SAnt Guaitecas 2011'!E8</f>
        <v>0</v>
      </c>
      <c r="F8" s="99">
        <f>'[1]Cald Coqbo 2011'!F8+'[1]SAnt Guaitecas 2011'!F8</f>
        <v>0</v>
      </c>
      <c r="G8" s="99">
        <f>'[1]Cald Coqbo 2011'!G8+'[1]SAnt Guaitecas 2011'!G8</f>
        <v>0</v>
      </c>
      <c r="H8" s="99">
        <f>'[1]Cald Coqbo 2011'!H8+'[1]SAnt Guaitecas 2011'!H8</f>
        <v>0</v>
      </c>
      <c r="I8" s="99">
        <f>'[1]Cald Coqbo 2011'!I8+'[1]SAnt Guaitecas 2011'!I8</f>
        <v>0</v>
      </c>
      <c r="J8" s="99">
        <f>'[1]Cald Coqbo 2011'!J8+'[1]SAnt Guaitecas 2011'!J8</f>
        <v>0</v>
      </c>
      <c r="K8" s="99">
        <f>'[1]Cald Coqbo 2011'!K8+'[1]SAnt Guaitecas 2011'!K8</f>
        <v>0</v>
      </c>
      <c r="L8" s="99">
        <f>'[1]Cald Coqbo 2011'!L8+'[1]SAnt Guaitecas 2011'!L8</f>
        <v>0</v>
      </c>
      <c r="M8" s="99">
        <f>'[1]Cald Coqbo 2011'!M8+'[1]SAnt Guaitecas 2011'!M8</f>
        <v>0</v>
      </c>
      <c r="N8" s="99">
        <f>'[1]Cald Coqbo 2011'!N8+'[1]SAnt Guaitecas 2011'!N8</f>
        <v>0</v>
      </c>
      <c r="O8" s="99">
        <f>'[1]Cald Coqbo 2011'!O8+'[1]SAnt Guaitecas 2011'!O8</f>
        <v>0</v>
      </c>
      <c r="P8" s="99">
        <f>'[1]Cald Coqbo 2011'!P8+'[1]SAnt Guaitecas 2011'!P8</f>
        <v>0</v>
      </c>
      <c r="Q8" s="99">
        <f>'[1]Cald Coqbo 2011'!Q8+'[1]SAnt Guaitecas 2011'!Q8</f>
        <v>0</v>
      </c>
      <c r="R8" s="99">
        <f>'[1]Cald Coqbo 2011'!R8+'[1]SAnt Guaitecas 2011'!R8</f>
        <v>0</v>
      </c>
      <c r="S8" s="99">
        <f>'[1]Cald Coqbo 2011'!S8+'[1]SAnt Guaitecas 2011'!S8</f>
        <v>0</v>
      </c>
      <c r="T8" s="99">
        <f>'[1]Cald Coqbo 2011'!T8+'[1]SAnt Guaitecas 2011'!T8</f>
        <v>0</v>
      </c>
      <c r="U8" s="99">
        <f>'[1]Cald Coqbo 2011'!U8+'[1]SAnt Guaitecas 2011'!U8</f>
        <v>0</v>
      </c>
      <c r="V8" s="99">
        <f>'[1]Cald Coqbo 2011'!V8+'[1]SAnt Guaitecas 2011'!V8</f>
        <v>0</v>
      </c>
      <c r="W8" s="99">
        <f>'[1]Cald Coqbo 2011'!W8+'[1]SAnt Guaitecas 2011'!W8</f>
        <v>0</v>
      </c>
      <c r="X8" s="99">
        <f>'[1]Cald Coqbo 2011'!X8+'[1]SAnt Guaitecas 2011'!X8</f>
        <v>0</v>
      </c>
      <c r="Y8" s="99">
        <f>'[1]Cald Coqbo 2011'!Y8+'[1]SAnt Guaitecas 2011'!Y8</f>
        <v>0</v>
      </c>
      <c r="Z8" s="99">
        <v>0</v>
      </c>
      <c r="AA8" s="99">
        <v>0</v>
      </c>
      <c r="AB8" s="99">
        <v>0</v>
      </c>
      <c r="AF8" s="55"/>
    </row>
    <row r="9" spans="2:33" ht="18" customHeight="1">
      <c r="B9" s="75">
        <v>7</v>
      </c>
      <c r="C9" s="100">
        <f t="shared" si="0"/>
        <v>0</v>
      </c>
      <c r="D9" s="99">
        <f>'[1]Cald Coqbo 2011'!D9+'[1]SAnt Guaitecas 2011'!D9</f>
        <v>0</v>
      </c>
      <c r="E9" s="99">
        <f>'[1]Cald Coqbo 2011'!E9+'[1]SAnt Guaitecas 2011'!E9</f>
        <v>0</v>
      </c>
      <c r="F9" s="99">
        <f>'[1]Cald Coqbo 2011'!F9+'[1]SAnt Guaitecas 2011'!F9</f>
        <v>0</v>
      </c>
      <c r="G9" s="99">
        <f>'[1]Cald Coqbo 2011'!G9+'[1]SAnt Guaitecas 2011'!G9</f>
        <v>0</v>
      </c>
      <c r="H9" s="99">
        <f>'[1]Cald Coqbo 2011'!H9+'[1]SAnt Guaitecas 2011'!H9</f>
        <v>0</v>
      </c>
      <c r="I9" s="99">
        <f>'[1]Cald Coqbo 2011'!I9+'[1]SAnt Guaitecas 2011'!I9</f>
        <v>0</v>
      </c>
      <c r="J9" s="99">
        <f>'[1]Cald Coqbo 2011'!J9+'[1]SAnt Guaitecas 2011'!J9</f>
        <v>0</v>
      </c>
      <c r="K9" s="99">
        <f>'[1]Cald Coqbo 2011'!K9+'[1]SAnt Guaitecas 2011'!K9</f>
        <v>0</v>
      </c>
      <c r="L9" s="99">
        <f>'[1]Cald Coqbo 2011'!L9+'[1]SAnt Guaitecas 2011'!L9</f>
        <v>0</v>
      </c>
      <c r="M9" s="99">
        <f>'[1]Cald Coqbo 2011'!M9+'[1]SAnt Guaitecas 2011'!M9</f>
        <v>0</v>
      </c>
      <c r="N9" s="99">
        <f>'[1]Cald Coqbo 2011'!N9+'[1]SAnt Guaitecas 2011'!N9</f>
        <v>0</v>
      </c>
      <c r="O9" s="99">
        <f>'[1]Cald Coqbo 2011'!O9+'[1]SAnt Guaitecas 2011'!O9</f>
        <v>0</v>
      </c>
      <c r="P9" s="99">
        <f>'[1]Cald Coqbo 2011'!P9+'[1]SAnt Guaitecas 2011'!P9</f>
        <v>0</v>
      </c>
      <c r="Q9" s="99">
        <f>'[1]Cald Coqbo 2011'!Q9+'[1]SAnt Guaitecas 2011'!Q9</f>
        <v>0</v>
      </c>
      <c r="R9" s="99">
        <f>'[1]Cald Coqbo 2011'!R9+'[1]SAnt Guaitecas 2011'!R9</f>
        <v>0</v>
      </c>
      <c r="S9" s="99">
        <f>'[1]Cald Coqbo 2011'!S9+'[1]SAnt Guaitecas 2011'!S9</f>
        <v>0</v>
      </c>
      <c r="T9" s="99">
        <f>'[1]Cald Coqbo 2011'!T9+'[1]SAnt Guaitecas 2011'!T9</f>
        <v>0</v>
      </c>
      <c r="U9" s="99">
        <f>'[1]Cald Coqbo 2011'!U9+'[1]SAnt Guaitecas 2011'!U9</f>
        <v>0</v>
      </c>
      <c r="V9" s="99">
        <f>'[1]Cald Coqbo 2011'!V9+'[1]SAnt Guaitecas 2011'!V9</f>
        <v>0</v>
      </c>
      <c r="W9" s="99">
        <f>'[1]Cald Coqbo 2011'!W9+'[1]SAnt Guaitecas 2011'!W9</f>
        <v>0</v>
      </c>
      <c r="X9" s="99">
        <f>'[1]Cald Coqbo 2011'!X9+'[1]SAnt Guaitecas 2011'!X9</f>
        <v>0</v>
      </c>
      <c r="Y9" s="99">
        <f>'[1]Cald Coqbo 2011'!Y9+'[1]SAnt Guaitecas 2011'!Y9</f>
        <v>0</v>
      </c>
      <c r="Z9" s="99">
        <v>0</v>
      </c>
      <c r="AA9" s="99">
        <v>0</v>
      </c>
      <c r="AB9" s="99">
        <v>0</v>
      </c>
      <c r="AF9" s="55"/>
    </row>
    <row r="10" spans="2:33" ht="18" customHeight="1">
      <c r="B10" s="101">
        <v>8</v>
      </c>
      <c r="C10" s="100">
        <f t="shared" si="0"/>
        <v>0</v>
      </c>
      <c r="D10" s="99">
        <f>'[1]Cald Coqbo 2011'!D10+'[1]SAnt Guaitecas 2011'!D10</f>
        <v>0</v>
      </c>
      <c r="E10" s="99">
        <f>'[1]Cald Coqbo 2011'!E10+'[1]SAnt Guaitecas 2011'!E10</f>
        <v>0</v>
      </c>
      <c r="F10" s="99">
        <f>'[1]Cald Coqbo 2011'!F10+'[1]SAnt Guaitecas 2011'!F10</f>
        <v>0</v>
      </c>
      <c r="G10" s="99">
        <f>'[1]Cald Coqbo 2011'!G10+'[1]SAnt Guaitecas 2011'!G10</f>
        <v>0</v>
      </c>
      <c r="H10" s="99">
        <f>'[1]Cald Coqbo 2011'!H10+'[1]SAnt Guaitecas 2011'!H10</f>
        <v>0</v>
      </c>
      <c r="I10" s="99">
        <f>'[1]Cald Coqbo 2011'!I10+'[1]SAnt Guaitecas 2011'!I10</f>
        <v>0</v>
      </c>
      <c r="J10" s="99">
        <f>'[1]Cald Coqbo 2011'!J10+'[1]SAnt Guaitecas 2011'!J10</f>
        <v>0</v>
      </c>
      <c r="K10" s="99">
        <f>'[1]Cald Coqbo 2011'!K10+'[1]SAnt Guaitecas 2011'!K10</f>
        <v>0</v>
      </c>
      <c r="L10" s="99">
        <f>'[1]Cald Coqbo 2011'!L10+'[1]SAnt Guaitecas 2011'!L10</f>
        <v>0</v>
      </c>
      <c r="M10" s="99">
        <f>'[1]Cald Coqbo 2011'!M10+'[1]SAnt Guaitecas 2011'!M10</f>
        <v>0</v>
      </c>
      <c r="N10" s="99">
        <f>'[1]Cald Coqbo 2011'!N10+'[1]SAnt Guaitecas 2011'!N10</f>
        <v>0</v>
      </c>
      <c r="O10" s="99">
        <f>'[1]Cald Coqbo 2011'!O10+'[1]SAnt Guaitecas 2011'!O10</f>
        <v>0</v>
      </c>
      <c r="P10" s="99">
        <f>'[1]Cald Coqbo 2011'!P10+'[1]SAnt Guaitecas 2011'!P10</f>
        <v>0</v>
      </c>
      <c r="Q10" s="99">
        <f>'[1]Cald Coqbo 2011'!Q10+'[1]SAnt Guaitecas 2011'!Q10</f>
        <v>0</v>
      </c>
      <c r="R10" s="99">
        <f>'[1]Cald Coqbo 2011'!R10+'[1]SAnt Guaitecas 2011'!R10</f>
        <v>0</v>
      </c>
      <c r="S10" s="99">
        <f>'[1]Cald Coqbo 2011'!S10+'[1]SAnt Guaitecas 2011'!S10</f>
        <v>0</v>
      </c>
      <c r="T10" s="99">
        <f>'[1]Cald Coqbo 2011'!T10+'[1]SAnt Guaitecas 2011'!T10</f>
        <v>0</v>
      </c>
      <c r="U10" s="99">
        <f>'[1]Cald Coqbo 2011'!U10+'[1]SAnt Guaitecas 2011'!U10</f>
        <v>0</v>
      </c>
      <c r="V10" s="99">
        <f>'[1]Cald Coqbo 2011'!V10+'[1]SAnt Guaitecas 2011'!V10</f>
        <v>0</v>
      </c>
      <c r="W10" s="99">
        <f>'[1]Cald Coqbo 2011'!W10+'[1]SAnt Guaitecas 2011'!W10</f>
        <v>0</v>
      </c>
      <c r="X10" s="99">
        <f>'[1]Cald Coqbo 2011'!X10+'[1]SAnt Guaitecas 2011'!X10</f>
        <v>0</v>
      </c>
      <c r="Y10" s="99">
        <f>'[1]Cald Coqbo 2011'!Y10+'[1]SAnt Guaitecas 2011'!Y10</f>
        <v>0</v>
      </c>
      <c r="Z10" s="99">
        <v>0</v>
      </c>
      <c r="AA10" s="99">
        <v>0</v>
      </c>
      <c r="AB10" s="99">
        <v>0</v>
      </c>
      <c r="AD10" s="103"/>
      <c r="AF10" s="55"/>
    </row>
    <row r="11" spans="2:33" ht="18" customHeight="1">
      <c r="B11" s="75">
        <v>9</v>
      </c>
      <c r="C11" s="100">
        <f t="shared" si="0"/>
        <v>0</v>
      </c>
      <c r="D11" s="99">
        <f>'[1]Cald Coqbo 2011'!D11+'[1]SAnt Guaitecas 2011'!D11</f>
        <v>0</v>
      </c>
      <c r="E11" s="99">
        <f>'[1]Cald Coqbo 2011'!E11+'[1]SAnt Guaitecas 2011'!E11</f>
        <v>0</v>
      </c>
      <c r="F11" s="99">
        <f>'[1]Cald Coqbo 2011'!F11+'[1]SAnt Guaitecas 2011'!F11</f>
        <v>0</v>
      </c>
      <c r="G11" s="99">
        <f>'[1]Cald Coqbo 2011'!G11+'[1]SAnt Guaitecas 2011'!G11</f>
        <v>0</v>
      </c>
      <c r="H11" s="99">
        <f>'[1]Cald Coqbo 2011'!H11+'[1]SAnt Guaitecas 2011'!H11</f>
        <v>0</v>
      </c>
      <c r="I11" s="99">
        <f>'[1]Cald Coqbo 2011'!I11+'[1]SAnt Guaitecas 2011'!I11</f>
        <v>0</v>
      </c>
      <c r="J11" s="99">
        <f>'[1]Cald Coqbo 2011'!J11+'[1]SAnt Guaitecas 2011'!J11</f>
        <v>0</v>
      </c>
      <c r="K11" s="99">
        <f>'[1]Cald Coqbo 2011'!K11+'[1]SAnt Guaitecas 2011'!K11</f>
        <v>0</v>
      </c>
      <c r="L11" s="99">
        <f>'[1]Cald Coqbo 2011'!L11+'[1]SAnt Guaitecas 2011'!L11</f>
        <v>0</v>
      </c>
      <c r="M11" s="99">
        <f>'[1]Cald Coqbo 2011'!M11+'[1]SAnt Guaitecas 2011'!M11</f>
        <v>0</v>
      </c>
      <c r="N11" s="99">
        <f>'[1]Cald Coqbo 2011'!N11+'[1]SAnt Guaitecas 2011'!N11</f>
        <v>0</v>
      </c>
      <c r="O11" s="99">
        <f>'[1]Cald Coqbo 2011'!O11+'[1]SAnt Guaitecas 2011'!O11</f>
        <v>0</v>
      </c>
      <c r="P11" s="99">
        <f>'[1]Cald Coqbo 2011'!P11+'[1]SAnt Guaitecas 2011'!P11</f>
        <v>0</v>
      </c>
      <c r="Q11" s="99">
        <f>'[1]Cald Coqbo 2011'!Q11+'[1]SAnt Guaitecas 2011'!Q11</f>
        <v>0</v>
      </c>
      <c r="R11" s="99">
        <f>'[1]Cald Coqbo 2011'!R11+'[1]SAnt Guaitecas 2011'!R11</f>
        <v>0</v>
      </c>
      <c r="S11" s="99">
        <f>'[1]Cald Coqbo 2011'!S11+'[1]SAnt Guaitecas 2011'!S11</f>
        <v>0</v>
      </c>
      <c r="T11" s="99">
        <f>'[1]Cald Coqbo 2011'!T11+'[1]SAnt Guaitecas 2011'!T11</f>
        <v>0</v>
      </c>
      <c r="U11" s="99">
        <f>'[1]Cald Coqbo 2011'!U11+'[1]SAnt Guaitecas 2011'!U11</f>
        <v>0</v>
      </c>
      <c r="V11" s="99">
        <f>'[1]Cald Coqbo 2011'!V11+'[1]SAnt Guaitecas 2011'!V11</f>
        <v>0</v>
      </c>
      <c r="W11" s="99">
        <f>'[1]Cald Coqbo 2011'!W11+'[1]SAnt Guaitecas 2011'!W11</f>
        <v>0</v>
      </c>
      <c r="X11" s="99">
        <f>'[1]Cald Coqbo 2011'!X11+'[1]SAnt Guaitecas 2011'!X11</f>
        <v>0</v>
      </c>
      <c r="Y11" s="99">
        <f>'[1]Cald Coqbo 2011'!Y11+'[1]SAnt Guaitecas 2011'!Y11</f>
        <v>0</v>
      </c>
      <c r="Z11" s="99">
        <v>0</v>
      </c>
      <c r="AA11" s="99">
        <v>0</v>
      </c>
      <c r="AB11" s="99">
        <v>0</v>
      </c>
      <c r="AD11" s="102"/>
      <c r="AF11" s="55"/>
    </row>
    <row r="12" spans="2:33" ht="18" customHeight="1">
      <c r="B12" s="101">
        <v>10</v>
      </c>
      <c r="C12" s="100">
        <f t="shared" si="0"/>
        <v>0</v>
      </c>
      <c r="D12" s="99">
        <f>'[1]Cald Coqbo 2011'!D12+'[1]SAnt Guaitecas 2011'!D12</f>
        <v>0</v>
      </c>
      <c r="E12" s="99">
        <f>'[1]Cald Coqbo 2011'!E12+'[1]SAnt Guaitecas 2011'!E12</f>
        <v>0</v>
      </c>
      <c r="F12" s="99">
        <f>'[1]Cald Coqbo 2011'!F12+'[1]SAnt Guaitecas 2011'!F12</f>
        <v>0</v>
      </c>
      <c r="G12" s="99">
        <f>'[1]Cald Coqbo 2011'!G12+'[1]SAnt Guaitecas 2011'!G12</f>
        <v>0</v>
      </c>
      <c r="H12" s="99">
        <f>'[1]Cald Coqbo 2011'!H12+'[1]SAnt Guaitecas 2011'!H12</f>
        <v>0</v>
      </c>
      <c r="I12" s="99">
        <f>'[1]Cald Coqbo 2011'!I12+'[1]SAnt Guaitecas 2011'!I12</f>
        <v>0</v>
      </c>
      <c r="J12" s="99">
        <f>'[1]Cald Coqbo 2011'!J12+'[1]SAnt Guaitecas 2011'!J12</f>
        <v>0</v>
      </c>
      <c r="K12" s="99">
        <f>'[1]Cald Coqbo 2011'!K12+'[1]SAnt Guaitecas 2011'!K12</f>
        <v>0</v>
      </c>
      <c r="L12" s="99">
        <f>'[1]Cald Coqbo 2011'!L12+'[1]SAnt Guaitecas 2011'!L12</f>
        <v>0</v>
      </c>
      <c r="M12" s="99">
        <f>'[1]Cald Coqbo 2011'!M12+'[1]SAnt Guaitecas 2011'!M12</f>
        <v>0</v>
      </c>
      <c r="N12" s="99">
        <f>'[1]Cald Coqbo 2011'!N12+'[1]SAnt Guaitecas 2011'!N12</f>
        <v>0</v>
      </c>
      <c r="O12" s="99">
        <f>'[1]Cald Coqbo 2011'!O12+'[1]SAnt Guaitecas 2011'!O12</f>
        <v>0</v>
      </c>
      <c r="P12" s="99">
        <f>'[1]Cald Coqbo 2011'!P12+'[1]SAnt Guaitecas 2011'!P12</f>
        <v>0</v>
      </c>
      <c r="Q12" s="99">
        <f>'[1]Cald Coqbo 2011'!Q12+'[1]SAnt Guaitecas 2011'!Q12</f>
        <v>0</v>
      </c>
      <c r="R12" s="99">
        <f>'[1]Cald Coqbo 2011'!R12+'[1]SAnt Guaitecas 2011'!R12</f>
        <v>0</v>
      </c>
      <c r="S12" s="99">
        <f>'[1]Cald Coqbo 2011'!S12+'[1]SAnt Guaitecas 2011'!S12</f>
        <v>0</v>
      </c>
      <c r="T12" s="99">
        <f>'[1]Cald Coqbo 2011'!T12+'[1]SAnt Guaitecas 2011'!T12</f>
        <v>0</v>
      </c>
      <c r="U12" s="99">
        <f>'[1]Cald Coqbo 2011'!U12+'[1]SAnt Guaitecas 2011'!U12</f>
        <v>0</v>
      </c>
      <c r="V12" s="99">
        <f>'[1]Cald Coqbo 2011'!V12+'[1]SAnt Guaitecas 2011'!V12</f>
        <v>0</v>
      </c>
      <c r="W12" s="99">
        <f>'[1]Cald Coqbo 2011'!W12+'[1]SAnt Guaitecas 2011'!W12</f>
        <v>0</v>
      </c>
      <c r="X12" s="99">
        <f>'[1]Cald Coqbo 2011'!X12+'[1]SAnt Guaitecas 2011'!X12</f>
        <v>0</v>
      </c>
      <c r="Y12" s="99">
        <f>'[1]Cald Coqbo 2011'!Y12+'[1]SAnt Guaitecas 2011'!Y12</f>
        <v>0</v>
      </c>
      <c r="Z12" s="99">
        <v>0</v>
      </c>
      <c r="AA12" s="99">
        <v>0</v>
      </c>
      <c r="AB12" s="99">
        <v>0</v>
      </c>
      <c r="AD12" s="102"/>
      <c r="AF12" s="55"/>
    </row>
    <row r="13" spans="2:33" ht="18" customHeight="1">
      <c r="B13" s="75">
        <v>11</v>
      </c>
      <c r="C13" s="100">
        <f t="shared" si="0"/>
        <v>0</v>
      </c>
      <c r="D13" s="99">
        <f>'[1]Cald Coqbo 2011'!D13+'[1]SAnt Guaitecas 2011'!D13</f>
        <v>0</v>
      </c>
      <c r="E13" s="99">
        <f>'[1]Cald Coqbo 2011'!E13+'[1]SAnt Guaitecas 2011'!E13</f>
        <v>0</v>
      </c>
      <c r="F13" s="99">
        <f>'[1]Cald Coqbo 2011'!F13+'[1]SAnt Guaitecas 2011'!F13</f>
        <v>0</v>
      </c>
      <c r="G13" s="99">
        <f>'[1]Cald Coqbo 2011'!G13+'[1]SAnt Guaitecas 2011'!G13</f>
        <v>0</v>
      </c>
      <c r="H13" s="99">
        <f>'[1]Cald Coqbo 2011'!H13+'[1]SAnt Guaitecas 2011'!H13</f>
        <v>0</v>
      </c>
      <c r="I13" s="99">
        <f>'[1]Cald Coqbo 2011'!I13+'[1]SAnt Guaitecas 2011'!I13</f>
        <v>0</v>
      </c>
      <c r="J13" s="99">
        <f>'[1]Cald Coqbo 2011'!J13+'[1]SAnt Guaitecas 2011'!J13</f>
        <v>0</v>
      </c>
      <c r="K13" s="99">
        <f>'[1]Cald Coqbo 2011'!K13+'[1]SAnt Guaitecas 2011'!K13</f>
        <v>0</v>
      </c>
      <c r="L13" s="99">
        <f>'[1]Cald Coqbo 2011'!L13+'[1]SAnt Guaitecas 2011'!L13</f>
        <v>0</v>
      </c>
      <c r="M13" s="99">
        <f>'[1]Cald Coqbo 2011'!M13+'[1]SAnt Guaitecas 2011'!M13</f>
        <v>0</v>
      </c>
      <c r="N13" s="99">
        <f>'[1]Cald Coqbo 2011'!N13+'[1]SAnt Guaitecas 2011'!N13</f>
        <v>0</v>
      </c>
      <c r="O13" s="99">
        <f>'[1]Cald Coqbo 2011'!O13+'[1]SAnt Guaitecas 2011'!O13</f>
        <v>0</v>
      </c>
      <c r="P13" s="99">
        <f>'[1]Cald Coqbo 2011'!P13+'[1]SAnt Guaitecas 2011'!P13</f>
        <v>0</v>
      </c>
      <c r="Q13" s="99">
        <f>'[1]Cald Coqbo 2011'!Q13+'[1]SAnt Guaitecas 2011'!Q13</f>
        <v>0</v>
      </c>
      <c r="R13" s="99">
        <f>'[1]Cald Coqbo 2011'!R13+'[1]SAnt Guaitecas 2011'!R13</f>
        <v>0</v>
      </c>
      <c r="S13" s="99">
        <f>'[1]Cald Coqbo 2011'!S13+'[1]SAnt Guaitecas 2011'!S13</f>
        <v>0</v>
      </c>
      <c r="T13" s="99">
        <f>'[1]Cald Coqbo 2011'!T13+'[1]SAnt Guaitecas 2011'!T13</f>
        <v>0</v>
      </c>
      <c r="U13" s="99">
        <f>'[1]Cald Coqbo 2011'!U13+'[1]SAnt Guaitecas 2011'!U13</f>
        <v>0</v>
      </c>
      <c r="V13" s="99">
        <f>'[1]Cald Coqbo 2011'!V13+'[1]SAnt Guaitecas 2011'!V13</f>
        <v>0</v>
      </c>
      <c r="W13" s="99">
        <f>'[1]Cald Coqbo 2011'!W13+'[1]SAnt Guaitecas 2011'!W13</f>
        <v>0</v>
      </c>
      <c r="X13" s="99">
        <f>'[1]Cald Coqbo 2011'!X13+'[1]SAnt Guaitecas 2011'!X13</f>
        <v>0</v>
      </c>
      <c r="Y13" s="99">
        <f>'[1]Cald Coqbo 2011'!Y13+'[1]SAnt Guaitecas 2011'!Y13</f>
        <v>0</v>
      </c>
      <c r="Z13" s="99">
        <v>0</v>
      </c>
      <c r="AA13" s="99">
        <v>0</v>
      </c>
      <c r="AB13" s="99">
        <v>0</v>
      </c>
      <c r="AF13" s="55"/>
    </row>
    <row r="14" spans="2:33" ht="18" customHeight="1">
      <c r="B14" s="101">
        <v>12</v>
      </c>
      <c r="C14" s="100">
        <f t="shared" si="0"/>
        <v>0</v>
      </c>
      <c r="D14" s="99">
        <f>'[1]Cald Coqbo 2011'!D14+'[1]SAnt Guaitecas 2011'!D14</f>
        <v>0</v>
      </c>
      <c r="E14" s="99">
        <f>'[1]Cald Coqbo 2011'!E14+'[1]SAnt Guaitecas 2011'!E14</f>
        <v>0</v>
      </c>
      <c r="F14" s="99">
        <f>'[1]Cald Coqbo 2011'!F14+'[1]SAnt Guaitecas 2011'!F14</f>
        <v>0</v>
      </c>
      <c r="G14" s="99">
        <f>'[1]Cald Coqbo 2011'!G14+'[1]SAnt Guaitecas 2011'!G14</f>
        <v>0</v>
      </c>
      <c r="H14" s="99">
        <f>'[1]Cald Coqbo 2011'!H14+'[1]SAnt Guaitecas 2011'!H14</f>
        <v>0</v>
      </c>
      <c r="I14" s="99">
        <f>'[1]Cald Coqbo 2011'!I14+'[1]SAnt Guaitecas 2011'!I14</f>
        <v>0</v>
      </c>
      <c r="J14" s="99">
        <f>'[1]Cald Coqbo 2011'!J14+'[1]SAnt Guaitecas 2011'!J14</f>
        <v>0</v>
      </c>
      <c r="K14" s="99">
        <f>'[1]Cald Coqbo 2011'!K14+'[1]SAnt Guaitecas 2011'!K14</f>
        <v>0</v>
      </c>
      <c r="L14" s="99">
        <f>'[1]Cald Coqbo 2011'!L14+'[1]SAnt Guaitecas 2011'!L14</f>
        <v>0</v>
      </c>
      <c r="M14" s="99">
        <f>'[1]Cald Coqbo 2011'!M14+'[1]SAnt Guaitecas 2011'!M14</f>
        <v>0</v>
      </c>
      <c r="N14" s="99">
        <f>'[1]Cald Coqbo 2011'!N14+'[1]SAnt Guaitecas 2011'!N14</f>
        <v>0</v>
      </c>
      <c r="O14" s="99">
        <f>'[1]Cald Coqbo 2011'!O14+'[1]SAnt Guaitecas 2011'!O14</f>
        <v>0</v>
      </c>
      <c r="P14" s="99">
        <f>'[1]Cald Coqbo 2011'!P14+'[1]SAnt Guaitecas 2011'!P14</f>
        <v>0</v>
      </c>
      <c r="Q14" s="99">
        <f>'[1]Cald Coqbo 2011'!Q14+'[1]SAnt Guaitecas 2011'!Q14</f>
        <v>0</v>
      </c>
      <c r="R14" s="99">
        <f>'[1]Cald Coqbo 2011'!R14+'[1]SAnt Guaitecas 2011'!R14</f>
        <v>0</v>
      </c>
      <c r="S14" s="99">
        <f>'[1]Cald Coqbo 2011'!S14+'[1]SAnt Guaitecas 2011'!S14</f>
        <v>0</v>
      </c>
      <c r="T14" s="99">
        <f>'[1]Cald Coqbo 2011'!T14+'[1]SAnt Guaitecas 2011'!T14</f>
        <v>0</v>
      </c>
      <c r="U14" s="99">
        <f>'[1]Cald Coqbo 2011'!U14+'[1]SAnt Guaitecas 2011'!U14</f>
        <v>0</v>
      </c>
      <c r="V14" s="99">
        <f>'[1]Cald Coqbo 2011'!V14+'[1]SAnt Guaitecas 2011'!V14</f>
        <v>0</v>
      </c>
      <c r="W14" s="99">
        <f>'[1]Cald Coqbo 2011'!W14+'[1]SAnt Guaitecas 2011'!W14</f>
        <v>0</v>
      </c>
      <c r="X14" s="99">
        <f>'[1]Cald Coqbo 2011'!X14+'[1]SAnt Guaitecas 2011'!X14</f>
        <v>0</v>
      </c>
      <c r="Y14" s="99">
        <f>'[1]Cald Coqbo 2011'!Y14+'[1]SAnt Guaitecas 2011'!Y14</f>
        <v>0</v>
      </c>
      <c r="Z14" s="99">
        <v>0</v>
      </c>
      <c r="AA14" s="99">
        <v>0</v>
      </c>
      <c r="AB14" s="99">
        <v>0</v>
      </c>
      <c r="AF14" s="55"/>
    </row>
    <row r="15" spans="2:33" ht="18" customHeight="1">
      <c r="B15" s="75">
        <v>13</v>
      </c>
      <c r="C15" s="100">
        <f t="shared" si="0"/>
        <v>0</v>
      </c>
      <c r="D15" s="99">
        <f>'[1]Cald Coqbo 2011'!D15+'[1]SAnt Guaitecas 2011'!D15</f>
        <v>0</v>
      </c>
      <c r="E15" s="99">
        <f>'[1]Cald Coqbo 2011'!E15+'[1]SAnt Guaitecas 2011'!E15</f>
        <v>0</v>
      </c>
      <c r="F15" s="99">
        <f>'[1]Cald Coqbo 2011'!F15+'[1]SAnt Guaitecas 2011'!F15</f>
        <v>0</v>
      </c>
      <c r="G15" s="99">
        <f>'[1]Cald Coqbo 2011'!G15+'[1]SAnt Guaitecas 2011'!G15</f>
        <v>0</v>
      </c>
      <c r="H15" s="99">
        <f>'[1]Cald Coqbo 2011'!H15+'[1]SAnt Guaitecas 2011'!H15</f>
        <v>0</v>
      </c>
      <c r="I15" s="99">
        <f>'[1]Cald Coqbo 2011'!I15+'[1]SAnt Guaitecas 2011'!I15</f>
        <v>0</v>
      </c>
      <c r="J15" s="99">
        <f>'[1]Cald Coqbo 2011'!J15+'[1]SAnt Guaitecas 2011'!J15</f>
        <v>0</v>
      </c>
      <c r="K15" s="99">
        <f>'[1]Cald Coqbo 2011'!K15+'[1]SAnt Guaitecas 2011'!K15</f>
        <v>0</v>
      </c>
      <c r="L15" s="99">
        <f>'[1]Cald Coqbo 2011'!L15+'[1]SAnt Guaitecas 2011'!L15</f>
        <v>0</v>
      </c>
      <c r="M15" s="99">
        <f>'[1]Cald Coqbo 2011'!M15+'[1]SAnt Guaitecas 2011'!M15</f>
        <v>0</v>
      </c>
      <c r="N15" s="99">
        <f>'[1]Cald Coqbo 2011'!N15+'[1]SAnt Guaitecas 2011'!N15</f>
        <v>0</v>
      </c>
      <c r="O15" s="99">
        <f>'[1]Cald Coqbo 2011'!O15+'[1]SAnt Guaitecas 2011'!O15</f>
        <v>0</v>
      </c>
      <c r="P15" s="99">
        <f>'[1]Cald Coqbo 2011'!P15+'[1]SAnt Guaitecas 2011'!P15</f>
        <v>0</v>
      </c>
      <c r="Q15" s="99">
        <f>'[1]Cald Coqbo 2011'!Q15+'[1]SAnt Guaitecas 2011'!Q15</f>
        <v>0</v>
      </c>
      <c r="R15" s="99">
        <f>'[1]Cald Coqbo 2011'!R15+'[1]SAnt Guaitecas 2011'!R15</f>
        <v>0</v>
      </c>
      <c r="S15" s="99">
        <f>'[1]Cald Coqbo 2011'!S15+'[1]SAnt Guaitecas 2011'!S15</f>
        <v>0</v>
      </c>
      <c r="T15" s="99">
        <f>'[1]Cald Coqbo 2011'!T15+'[1]SAnt Guaitecas 2011'!T15</f>
        <v>0</v>
      </c>
      <c r="U15" s="99">
        <f>'[1]Cald Coqbo 2011'!U15+'[1]SAnt Guaitecas 2011'!U15</f>
        <v>0</v>
      </c>
      <c r="V15" s="99">
        <f>'[1]Cald Coqbo 2011'!V15+'[1]SAnt Guaitecas 2011'!V15</f>
        <v>0</v>
      </c>
      <c r="W15" s="99">
        <f>'[1]Cald Coqbo 2011'!W15+'[1]SAnt Guaitecas 2011'!W15</f>
        <v>0</v>
      </c>
      <c r="X15" s="99">
        <f>'[1]Cald Coqbo 2011'!X15+'[1]SAnt Guaitecas 2011'!X15</f>
        <v>0</v>
      </c>
      <c r="Y15" s="99">
        <f>'[1]Cald Coqbo 2011'!Y15+'[1]SAnt Guaitecas 2011'!Y15</f>
        <v>0</v>
      </c>
      <c r="Z15" s="99">
        <v>0</v>
      </c>
      <c r="AA15" s="99">
        <v>0</v>
      </c>
      <c r="AB15" s="99">
        <v>0</v>
      </c>
      <c r="AF15" s="55"/>
    </row>
    <row r="16" spans="2:33" ht="18" customHeight="1">
      <c r="B16" s="101">
        <v>14</v>
      </c>
      <c r="C16" s="100">
        <f t="shared" si="0"/>
        <v>1</v>
      </c>
      <c r="D16" s="99">
        <f>'[1]Ages 2010'!D16/'[1]Ages 2010'!$C$16</f>
        <v>0</v>
      </c>
      <c r="E16" s="99">
        <f>'[1]Ages 2010'!E16/'[1]Ages 2010'!$C$16</f>
        <v>0</v>
      </c>
      <c r="F16" s="99">
        <f>'[1]Ages 2010'!F16/'[1]Ages 2010'!$C$16</f>
        <v>1</v>
      </c>
      <c r="G16" s="99">
        <f>'[1]Ages 2010'!G16/'[1]Ages 2010'!$C$16</f>
        <v>0</v>
      </c>
      <c r="H16" s="99">
        <f>'[1]Ages 2010'!H16/'[1]Ages 2010'!$C$16</f>
        <v>0</v>
      </c>
      <c r="I16" s="99">
        <f>'[1]Ages 2010'!I16/'[1]Ages 2010'!$C$16</f>
        <v>0</v>
      </c>
      <c r="J16" s="99">
        <f>'[1]Ages 2010'!J16/'[1]Ages 2010'!$C$16</f>
        <v>0</v>
      </c>
      <c r="K16" s="99">
        <f>'[1]Ages 2010'!K16/'[1]Ages 2010'!$C$16</f>
        <v>0</v>
      </c>
      <c r="L16" s="99">
        <f>'[1]Ages 2010'!L16/'[1]Ages 2010'!$C$16</f>
        <v>0</v>
      </c>
      <c r="M16" s="99">
        <f>'[1]Ages 2010'!M16/'[1]Ages 2010'!$C$16</f>
        <v>0</v>
      </c>
      <c r="N16" s="99">
        <f>'[1]Ages 2010'!N16/'[1]Ages 2010'!$C$16</f>
        <v>0</v>
      </c>
      <c r="O16" s="99">
        <f>'[1]Ages 2010'!O16/'[1]Ages 2010'!$C$16</f>
        <v>0</v>
      </c>
      <c r="P16" s="99">
        <f>'[1]Ages 2010'!P16/'[1]Ages 2010'!$C$16</f>
        <v>0</v>
      </c>
      <c r="Q16" s="99">
        <f>'[1]Ages 2010'!Q16/'[1]Ages 2010'!$C$16</f>
        <v>0</v>
      </c>
      <c r="R16" s="99">
        <f>'[1]Ages 2010'!R16/'[1]Ages 2010'!$C$16</f>
        <v>0</v>
      </c>
      <c r="S16" s="99">
        <f>'[1]Ages 2010'!S16/'[1]Ages 2010'!$C$16</f>
        <v>0</v>
      </c>
      <c r="T16" s="99">
        <f>'[1]Ages 2010'!T16/'[1]Ages 2010'!$C$16</f>
        <v>0</v>
      </c>
      <c r="U16" s="99">
        <f>'[1]Ages 2010'!U16/'[1]Ages 2010'!$C$16</f>
        <v>0</v>
      </c>
      <c r="V16" s="99">
        <f>'[1]Ages 2010'!V16/'[1]Ages 2010'!$C$16</f>
        <v>0</v>
      </c>
      <c r="W16" s="99">
        <f>'[1]Ages 2010'!W16/'[1]Ages 2010'!$C$16</f>
        <v>0</v>
      </c>
      <c r="X16" s="99">
        <f>'[1]Ages 2010'!X16/'[1]Ages 2010'!$C$16</f>
        <v>0</v>
      </c>
      <c r="Y16" s="99">
        <f>'[1]Ages 2010'!Y16/'[1]Ages 2010'!$C$16</f>
        <v>0</v>
      </c>
      <c r="Z16" s="99">
        <f>'[1]Ages 2010'!Z16/'[1]Ages 2010'!$C$16</f>
        <v>0</v>
      </c>
      <c r="AA16" s="99">
        <f>'[1]Ages 2010'!AA16/'[1]Ages 2010'!$C$16</f>
        <v>0</v>
      </c>
      <c r="AB16" s="99">
        <v>0</v>
      </c>
    </row>
    <row r="17" spans="2:32" ht="18" customHeight="1">
      <c r="B17" s="75">
        <v>15</v>
      </c>
      <c r="C17" s="100">
        <f t="shared" si="0"/>
        <v>1</v>
      </c>
      <c r="D17" s="99">
        <f>'[1]Ages 2010'!D17/'[1]Ages 2010'!$C$17</f>
        <v>0</v>
      </c>
      <c r="E17" s="99">
        <f>'[1]Ages 2010'!E17/'[1]Ages 2010'!$C$17</f>
        <v>0</v>
      </c>
      <c r="F17" s="99">
        <f>'[1]Ages 2010'!F17/'[1]Ages 2010'!$C$17</f>
        <v>1</v>
      </c>
      <c r="G17" s="99">
        <f>'[1]Ages 2010'!G17/'[1]Ages 2010'!$C$17</f>
        <v>0</v>
      </c>
      <c r="H17" s="99">
        <f>'[1]Ages 2010'!H17/'[1]Ages 2010'!$C$17</f>
        <v>0</v>
      </c>
      <c r="I17" s="99">
        <f>'[1]Ages 2010'!I17/'[1]Ages 2010'!$C$17</f>
        <v>0</v>
      </c>
      <c r="J17" s="99">
        <f>'[1]Ages 2010'!J17/'[1]Ages 2010'!$C$17</f>
        <v>0</v>
      </c>
      <c r="K17" s="99">
        <f>'[1]Ages 2010'!K17/'[1]Ages 2010'!$C$17</f>
        <v>0</v>
      </c>
      <c r="L17" s="99">
        <f>'[1]Ages 2010'!L17/'[1]Ages 2010'!$C$17</f>
        <v>0</v>
      </c>
      <c r="M17" s="99">
        <f>'[1]Ages 2010'!M17/'[1]Ages 2010'!$C$17</f>
        <v>0</v>
      </c>
      <c r="N17" s="99">
        <f>'[1]Ages 2010'!N17/'[1]Ages 2010'!$C$17</f>
        <v>0</v>
      </c>
      <c r="O17" s="99">
        <f>'[1]Ages 2010'!O17/'[1]Ages 2010'!$C$17</f>
        <v>0</v>
      </c>
      <c r="P17" s="99">
        <f>'[1]Ages 2010'!P17/'[1]Ages 2010'!$C$17</f>
        <v>0</v>
      </c>
      <c r="Q17" s="99">
        <f>'[1]Ages 2010'!Q17/'[1]Ages 2010'!$C$17</f>
        <v>0</v>
      </c>
      <c r="R17" s="99">
        <f>'[1]Ages 2010'!R17/'[1]Ages 2010'!$C$17</f>
        <v>0</v>
      </c>
      <c r="S17" s="99">
        <f>'[1]Ages 2010'!S17/'[1]Ages 2010'!$C$17</f>
        <v>0</v>
      </c>
      <c r="T17" s="99">
        <f>'[1]Ages 2010'!T17/'[1]Ages 2010'!$C$17</f>
        <v>0</v>
      </c>
      <c r="U17" s="99">
        <f>'[1]Ages 2010'!U17/'[1]Ages 2010'!$C$17</f>
        <v>0</v>
      </c>
      <c r="V17" s="99">
        <f>'[1]Ages 2010'!V17/'[1]Ages 2010'!$C$17</f>
        <v>0</v>
      </c>
      <c r="W17" s="99">
        <f>'[1]Ages 2010'!W17/'[1]Ages 2010'!$C$17</f>
        <v>0</v>
      </c>
      <c r="X17" s="99">
        <f>'[1]Ages 2010'!X17/'[1]Ages 2010'!$C$17</f>
        <v>0</v>
      </c>
      <c r="Y17" s="99">
        <f>'[1]Ages 2010'!Y17/'[1]Ages 2010'!$C$17</f>
        <v>0</v>
      </c>
      <c r="Z17" s="99">
        <f>'[1]Ages 2010'!Z17/'[1]Ages 2010'!$C$17</f>
        <v>0</v>
      </c>
      <c r="AA17" s="99">
        <f>'[1]Ages 2010'!AA17/'[1]Ages 2010'!$C$17</f>
        <v>0</v>
      </c>
      <c r="AB17" s="99">
        <f>'[1]Ages 2010'!AB17/'[1]Ages 2010'!$C$17</f>
        <v>0</v>
      </c>
    </row>
    <row r="18" spans="2:32">
      <c r="B18" s="101">
        <v>16</v>
      </c>
      <c r="C18" s="100">
        <f t="shared" si="0"/>
        <v>1</v>
      </c>
      <c r="D18" s="99">
        <f>'[1]Ages 2010'!D18/'[1]Ages 2010'!$C$18</f>
        <v>0</v>
      </c>
      <c r="E18" s="99">
        <f>'[1]Ages 2010'!E18/'[1]Ages 2010'!$C$18</f>
        <v>0</v>
      </c>
      <c r="F18" s="99">
        <f>'[1]Ages 2010'!F18/'[1]Ages 2010'!$C$18</f>
        <v>0.5</v>
      </c>
      <c r="G18" s="99">
        <f>'[1]Ages 2010'!G18/'[1]Ages 2010'!$C$18</f>
        <v>0.5</v>
      </c>
      <c r="H18" s="99">
        <f>'[1]Ages 2010'!H18/'[1]Ages 2010'!$C$18</f>
        <v>0</v>
      </c>
      <c r="I18" s="99">
        <f>'[1]Ages 2010'!I18/'[1]Ages 2010'!$C$18</f>
        <v>0</v>
      </c>
      <c r="J18" s="99">
        <f>'[1]Ages 2010'!J18/'[1]Ages 2010'!$C$18</f>
        <v>0</v>
      </c>
      <c r="K18" s="99">
        <f>'[1]Ages 2010'!K18/'[1]Ages 2010'!$C$18</f>
        <v>0</v>
      </c>
      <c r="L18" s="99">
        <f>'[1]Ages 2010'!L18/'[1]Ages 2010'!$C$18</f>
        <v>0</v>
      </c>
      <c r="M18" s="99">
        <f>'[1]Ages 2010'!M18/'[1]Ages 2010'!$C$18</f>
        <v>0</v>
      </c>
      <c r="N18" s="99">
        <f>'[1]Ages 2010'!N18/'[1]Ages 2010'!$C$18</f>
        <v>0</v>
      </c>
      <c r="O18" s="99">
        <f>'[1]Ages 2010'!O18/'[1]Ages 2010'!$C$18</f>
        <v>0</v>
      </c>
      <c r="P18" s="99">
        <f>'[1]Ages 2010'!P18/'[1]Ages 2010'!$C$18</f>
        <v>0</v>
      </c>
      <c r="Q18" s="99">
        <f>'[1]Ages 2010'!Q18/'[1]Ages 2010'!$C$18</f>
        <v>0</v>
      </c>
      <c r="R18" s="99">
        <f>'[1]Ages 2010'!R18/'[1]Ages 2010'!$C$18</f>
        <v>0</v>
      </c>
      <c r="S18" s="99">
        <f>'[1]Ages 2010'!S18/'[1]Ages 2010'!$C$18</f>
        <v>0</v>
      </c>
      <c r="T18" s="99">
        <f>'[1]Ages 2010'!T18/'[1]Ages 2010'!$C$18</f>
        <v>0</v>
      </c>
      <c r="U18" s="99">
        <f>'[1]Ages 2010'!U18/'[1]Ages 2010'!$C$18</f>
        <v>0</v>
      </c>
      <c r="V18" s="99">
        <f>'[1]Ages 2010'!V18/'[1]Ages 2010'!$C$18</f>
        <v>0</v>
      </c>
      <c r="W18" s="99">
        <f>'[1]Ages 2010'!W18/'[1]Ages 2010'!$C$18</f>
        <v>0</v>
      </c>
      <c r="X18" s="99">
        <f>'[1]Ages 2010'!X18/'[1]Ages 2010'!$C$18</f>
        <v>0</v>
      </c>
      <c r="Y18" s="99">
        <f>'[1]Ages 2010'!Y18/'[1]Ages 2010'!$C$18</f>
        <v>0</v>
      </c>
      <c r="Z18" s="99">
        <f>'[1]Ages 2010'!Z18/'[1]Ages 2010'!$C$18</f>
        <v>0</v>
      </c>
      <c r="AA18" s="99">
        <f>'[1]Ages 2010'!AA18/'[1]Ages 2010'!$C$18</f>
        <v>0</v>
      </c>
      <c r="AB18" s="99">
        <f>'[1]Ages 2010'!AB18/'[1]Ages 2010'!$C$18</f>
        <v>0</v>
      </c>
    </row>
    <row r="19" spans="2:32">
      <c r="B19" s="75">
        <v>17</v>
      </c>
      <c r="C19" s="100">
        <f t="shared" si="0"/>
        <v>1</v>
      </c>
      <c r="D19" s="99">
        <f>'[1]Ages 2010'!D19/'[1]Ages 2010'!$C$19</f>
        <v>0</v>
      </c>
      <c r="E19" s="99">
        <f>'[1]Ages 2010'!E19/'[1]Ages 2010'!$C$19</f>
        <v>0</v>
      </c>
      <c r="F19" s="99">
        <f>'[1]Ages 2010'!F19/'[1]Ages 2010'!$C$19</f>
        <v>0.5</v>
      </c>
      <c r="G19" s="99">
        <f>'[1]Ages 2010'!G19/'[1]Ages 2010'!$C$19</f>
        <v>0.5</v>
      </c>
      <c r="H19" s="99">
        <f>'[1]Ages 2010'!H19/'[1]Ages 2010'!$C$19</f>
        <v>0</v>
      </c>
      <c r="I19" s="99">
        <f>'[1]Ages 2010'!I19/'[1]Ages 2010'!$C$19</f>
        <v>0</v>
      </c>
      <c r="J19" s="99">
        <f>'[1]Ages 2010'!J19/'[1]Ages 2010'!$C$19</f>
        <v>0</v>
      </c>
      <c r="K19" s="99">
        <f>'[1]Ages 2010'!K19/'[1]Ages 2010'!$C$19</f>
        <v>0</v>
      </c>
      <c r="L19" s="99">
        <f>'[1]Ages 2010'!L19/'[1]Ages 2010'!$C$19</f>
        <v>0</v>
      </c>
      <c r="M19" s="99">
        <f>'[1]Ages 2010'!M19/'[1]Ages 2010'!$C$19</f>
        <v>0</v>
      </c>
      <c r="N19" s="99">
        <f>'[1]Ages 2010'!N19/'[1]Ages 2010'!$C$19</f>
        <v>0</v>
      </c>
      <c r="O19" s="99">
        <f>'[1]Ages 2010'!O19/'[1]Ages 2010'!$C$19</f>
        <v>0</v>
      </c>
      <c r="P19" s="99">
        <f>'[1]Ages 2010'!P19/'[1]Ages 2010'!$C$19</f>
        <v>0</v>
      </c>
      <c r="Q19" s="99">
        <f>'[1]Ages 2010'!Q19/'[1]Ages 2010'!$C$19</f>
        <v>0</v>
      </c>
      <c r="R19" s="99">
        <f>'[1]Ages 2010'!R19/'[1]Ages 2010'!$C$19</f>
        <v>0</v>
      </c>
      <c r="S19" s="99">
        <f>'[1]Ages 2010'!S19/'[1]Ages 2010'!$C$19</f>
        <v>0</v>
      </c>
      <c r="T19" s="99">
        <f>'[1]Ages 2010'!T19/'[1]Ages 2010'!$C$19</f>
        <v>0</v>
      </c>
      <c r="U19" s="99">
        <f>'[1]Ages 2010'!U19/'[1]Ages 2010'!$C$19</f>
        <v>0</v>
      </c>
      <c r="V19" s="99">
        <f>'[1]Ages 2010'!V19/'[1]Ages 2010'!$C$19</f>
        <v>0</v>
      </c>
      <c r="W19" s="99">
        <f>'[1]Ages 2010'!W19/'[1]Ages 2010'!$C$19</f>
        <v>0</v>
      </c>
      <c r="X19" s="99">
        <f>'[1]Ages 2010'!X19/'[1]Ages 2010'!$C$19</f>
        <v>0</v>
      </c>
      <c r="Y19" s="99">
        <f>'[1]Ages 2010'!Y19/'[1]Ages 2010'!$C$19</f>
        <v>0</v>
      </c>
      <c r="Z19" s="99">
        <f>'[1]Ages 2010'!Z19/'[1]Ages 2010'!$C$19</f>
        <v>0</v>
      </c>
      <c r="AA19" s="99">
        <f>'[1]Ages 2010'!AA19/'[1]Ages 2010'!$C$19</f>
        <v>0</v>
      </c>
      <c r="AB19" s="99">
        <f>'[1]Ages 2010'!AB19/'[1]Ages 2010'!$C$19</f>
        <v>0</v>
      </c>
      <c r="AD19" s="103"/>
      <c r="AF19" s="55"/>
    </row>
    <row r="20" spans="2:32">
      <c r="B20" s="101">
        <v>18</v>
      </c>
      <c r="C20" s="100">
        <f t="shared" si="0"/>
        <v>1</v>
      </c>
      <c r="D20" s="99">
        <f>'[1]Ages 2010'!D20/'[1]Ages 2010'!$C$20</f>
        <v>0</v>
      </c>
      <c r="E20" s="99">
        <f>'[1]Ages 2010'!E20/'[1]Ages 2010'!$C$20</f>
        <v>0</v>
      </c>
      <c r="F20" s="99">
        <f>'[1]Ages 2010'!F20/'[1]Ages 2010'!$C$20</f>
        <v>1</v>
      </c>
      <c r="G20" s="99">
        <f>'[1]Ages 2010'!G20/'[1]Ages 2010'!$C$20</f>
        <v>0</v>
      </c>
      <c r="H20" s="99">
        <f>'[1]Ages 2010'!H20/'[1]Ages 2010'!$C$20</f>
        <v>0</v>
      </c>
      <c r="I20" s="99">
        <f>'[1]Ages 2010'!I20/'[1]Ages 2010'!$C$20</f>
        <v>0</v>
      </c>
      <c r="J20" s="99">
        <f>'[1]Ages 2010'!J20/'[1]Ages 2010'!$C$20</f>
        <v>0</v>
      </c>
      <c r="K20" s="99">
        <f>'[1]Ages 2010'!K20/'[1]Ages 2010'!$C$20</f>
        <v>0</v>
      </c>
      <c r="L20" s="99">
        <f>'[1]Ages 2010'!L20/'[1]Ages 2010'!$C$20</f>
        <v>0</v>
      </c>
      <c r="M20" s="99">
        <f>'[1]Ages 2010'!M20/'[1]Ages 2010'!$C$20</f>
        <v>0</v>
      </c>
      <c r="N20" s="99">
        <f>'[1]Ages 2010'!N20/'[1]Ages 2010'!$C$20</f>
        <v>0</v>
      </c>
      <c r="O20" s="99">
        <f>'[1]Ages 2010'!O20/'[1]Ages 2010'!$C$20</f>
        <v>0</v>
      </c>
      <c r="P20" s="99">
        <f>'[1]Ages 2010'!P20/'[1]Ages 2010'!$C$20</f>
        <v>0</v>
      </c>
      <c r="Q20" s="99">
        <f>'[1]Ages 2010'!Q20/'[1]Ages 2010'!$C$20</f>
        <v>0</v>
      </c>
      <c r="R20" s="99">
        <f>'[1]Ages 2010'!R20/'[1]Ages 2010'!$C$20</f>
        <v>0</v>
      </c>
      <c r="S20" s="99">
        <f>'[1]Ages 2010'!S20/'[1]Ages 2010'!$C$20</f>
        <v>0</v>
      </c>
      <c r="T20" s="99">
        <f>'[1]Ages 2010'!T20/'[1]Ages 2010'!$C$20</f>
        <v>0</v>
      </c>
      <c r="U20" s="99">
        <f>'[1]Ages 2010'!U20/'[1]Ages 2010'!$C$20</f>
        <v>0</v>
      </c>
      <c r="V20" s="99">
        <f>'[1]Ages 2010'!V20/'[1]Ages 2010'!$C$20</f>
        <v>0</v>
      </c>
      <c r="W20" s="99">
        <f>'[1]Ages 2010'!W20/'[1]Ages 2010'!$C$20</f>
        <v>0</v>
      </c>
      <c r="X20" s="99">
        <f>'[1]Ages 2010'!X20/'[1]Ages 2010'!$C$20</f>
        <v>0</v>
      </c>
      <c r="Y20" s="99">
        <f>'[1]Ages 2010'!Y20/'[1]Ages 2010'!$C$20</f>
        <v>0</v>
      </c>
      <c r="Z20" s="99">
        <f>'[1]Ages 2010'!Z20/'[1]Ages 2010'!$C$20</f>
        <v>0</v>
      </c>
      <c r="AA20" s="99">
        <f>'[1]Ages 2010'!AA20/'[1]Ages 2010'!$C$20</f>
        <v>0</v>
      </c>
      <c r="AB20" s="99">
        <f>'[1]Ages 2010'!AB20/'[1]Ages 2010'!$C$20</f>
        <v>0</v>
      </c>
      <c r="AD20" s="102"/>
      <c r="AF20" s="55"/>
    </row>
    <row r="21" spans="2:32">
      <c r="B21" s="75">
        <v>19</v>
      </c>
      <c r="C21" s="100">
        <f t="shared" si="0"/>
        <v>1</v>
      </c>
      <c r="D21" s="99">
        <f>'[1]Ages 2010'!D21/'[1]Ages 2010'!$C$21</f>
        <v>0</v>
      </c>
      <c r="E21" s="99">
        <f>'[1]Ages 2010'!E21/'[1]Ages 2010'!$C$21</f>
        <v>0</v>
      </c>
      <c r="F21" s="99">
        <f>'[1]Ages 2010'!F21/'[1]Ages 2010'!$C$21</f>
        <v>0.55880393880297741</v>
      </c>
      <c r="G21" s="99">
        <f>'[1]Ages 2010'!G21/'[1]Ages 2010'!$C$21</f>
        <v>0.44119606119702254</v>
      </c>
      <c r="H21" s="99">
        <f>'[1]Ages 2010'!H21/'[1]Ages 2010'!$C$21</f>
        <v>0</v>
      </c>
      <c r="I21" s="99">
        <f>'[1]Ages 2010'!I21/'[1]Ages 2010'!$C$21</f>
        <v>0</v>
      </c>
      <c r="J21" s="99">
        <f>'[1]Ages 2010'!J21/'[1]Ages 2010'!$C$21</f>
        <v>0</v>
      </c>
      <c r="K21" s="99">
        <f>'[1]Ages 2010'!K21/'[1]Ages 2010'!$C$21</f>
        <v>0</v>
      </c>
      <c r="L21" s="99">
        <f>'[1]Ages 2010'!L21/'[1]Ages 2010'!$C$21</f>
        <v>0</v>
      </c>
      <c r="M21" s="99">
        <f>'[1]Ages 2010'!M21/'[1]Ages 2010'!$C$21</f>
        <v>0</v>
      </c>
      <c r="N21" s="99">
        <f>'[1]Ages 2010'!N21/'[1]Ages 2010'!$C$21</f>
        <v>0</v>
      </c>
      <c r="O21" s="99">
        <f>'[1]Ages 2010'!O21/'[1]Ages 2010'!$C$21</f>
        <v>0</v>
      </c>
      <c r="P21" s="99">
        <f>'[1]Ages 2010'!P21/'[1]Ages 2010'!$C$21</f>
        <v>0</v>
      </c>
      <c r="Q21" s="99">
        <f>'[1]Ages 2010'!Q21/'[1]Ages 2010'!$C$21</f>
        <v>0</v>
      </c>
      <c r="R21" s="99">
        <f>'[1]Ages 2010'!R21/'[1]Ages 2010'!$C$21</f>
        <v>0</v>
      </c>
      <c r="S21" s="99">
        <f>'[1]Ages 2010'!S21/'[1]Ages 2010'!$C$21</f>
        <v>0</v>
      </c>
      <c r="T21" s="99">
        <f>'[1]Ages 2010'!T21/'[1]Ages 2010'!$C$21</f>
        <v>0</v>
      </c>
      <c r="U21" s="99">
        <f>'[1]Ages 2010'!U21/'[1]Ages 2010'!$C$21</f>
        <v>0</v>
      </c>
      <c r="V21" s="99">
        <f>'[1]Ages 2010'!V21/'[1]Ages 2010'!$C$21</f>
        <v>0</v>
      </c>
      <c r="W21" s="99">
        <f>'[1]Ages 2010'!W21/'[1]Ages 2010'!$C$21</f>
        <v>0</v>
      </c>
      <c r="X21" s="99">
        <f>'[1]Ages 2010'!X21/'[1]Ages 2010'!$C$21</f>
        <v>0</v>
      </c>
      <c r="Y21" s="99">
        <f>'[1]Ages 2010'!Y21/'[1]Ages 2010'!$C$21</f>
        <v>0</v>
      </c>
      <c r="Z21" s="99">
        <f>'[1]Ages 2010'!Z21/'[1]Ages 2010'!$C$21</f>
        <v>0</v>
      </c>
      <c r="AA21" s="99">
        <f>'[1]Ages 2010'!AA21/'[1]Ages 2010'!$C$21</f>
        <v>0</v>
      </c>
      <c r="AB21" s="99">
        <f>'[1]Ages 2010'!AB21/'[1]Ages 2010'!$C$21</f>
        <v>0</v>
      </c>
      <c r="AD21" s="102"/>
      <c r="AF21" s="55"/>
    </row>
    <row r="22" spans="2:32">
      <c r="B22" s="101">
        <v>20</v>
      </c>
      <c r="C22" s="100">
        <f t="shared" si="0"/>
        <v>1</v>
      </c>
      <c r="D22" s="99">
        <f>'[1]Ages 2010'!D22/'[1]Ages 2010'!$C$22</f>
        <v>0</v>
      </c>
      <c r="E22" s="99">
        <f>'[1]Ages 2010'!E22/'[1]Ages 2010'!$C$22</f>
        <v>0</v>
      </c>
      <c r="F22" s="99">
        <f>'[1]Ages 2010'!F22/'[1]Ages 2010'!$C$22</f>
        <v>0</v>
      </c>
      <c r="G22" s="99">
        <f>'[1]Ages 2010'!G22/'[1]Ages 2010'!$C$22</f>
        <v>1</v>
      </c>
      <c r="H22" s="99">
        <f>'[1]Ages 2010'!H22/'[1]Ages 2010'!$C$22</f>
        <v>0</v>
      </c>
      <c r="I22" s="99">
        <f>'[1]Ages 2010'!I22/'[1]Ages 2010'!$C$22</f>
        <v>0</v>
      </c>
      <c r="J22" s="99">
        <f>'[1]Ages 2010'!J22/'[1]Ages 2010'!$C$22</f>
        <v>0</v>
      </c>
      <c r="K22" s="99">
        <f>'[1]Ages 2010'!K22/'[1]Ages 2010'!$C$22</f>
        <v>0</v>
      </c>
      <c r="L22" s="99">
        <f>'[1]Ages 2010'!L22/'[1]Ages 2010'!$C$22</f>
        <v>0</v>
      </c>
      <c r="M22" s="99">
        <f>'[1]Ages 2010'!M22/'[1]Ages 2010'!$C$22</f>
        <v>0</v>
      </c>
      <c r="N22" s="99">
        <f>'[1]Ages 2010'!N22/'[1]Ages 2010'!$C$22</f>
        <v>0</v>
      </c>
      <c r="O22" s="99">
        <f>'[1]Ages 2010'!O22/'[1]Ages 2010'!$C$22</f>
        <v>0</v>
      </c>
      <c r="P22" s="99">
        <f>'[1]Ages 2010'!P22/'[1]Ages 2010'!$C$22</f>
        <v>0</v>
      </c>
      <c r="Q22" s="99">
        <f>'[1]Ages 2010'!Q22/'[1]Ages 2010'!$C$22</f>
        <v>0</v>
      </c>
      <c r="R22" s="99">
        <f>'[1]Ages 2010'!R22/'[1]Ages 2010'!$C$22</f>
        <v>0</v>
      </c>
      <c r="S22" s="99">
        <f>'[1]Ages 2010'!S22/'[1]Ages 2010'!$C$22</f>
        <v>0</v>
      </c>
      <c r="T22" s="99">
        <f>'[1]Ages 2010'!T22/'[1]Ages 2010'!$C$22</f>
        <v>0</v>
      </c>
      <c r="U22" s="99">
        <f>'[1]Ages 2010'!U22/'[1]Ages 2010'!$C$22</f>
        <v>0</v>
      </c>
      <c r="V22" s="99">
        <f>'[1]Ages 2010'!V22/'[1]Ages 2010'!$C$22</f>
        <v>0</v>
      </c>
      <c r="W22" s="99">
        <f>'[1]Ages 2010'!W22/'[1]Ages 2010'!$C$22</f>
        <v>0</v>
      </c>
      <c r="X22" s="99">
        <f>'[1]Ages 2010'!X22/'[1]Ages 2010'!$C$22</f>
        <v>0</v>
      </c>
      <c r="Y22" s="99">
        <f>'[1]Ages 2010'!Y22/'[1]Ages 2010'!$C$22</f>
        <v>0</v>
      </c>
      <c r="Z22" s="99">
        <f>'[1]Ages 2010'!Z22/'[1]Ages 2010'!$C$22</f>
        <v>0</v>
      </c>
      <c r="AA22" s="99">
        <f>'[1]Ages 2010'!AA22/'[1]Ages 2010'!$C$22</f>
        <v>0</v>
      </c>
      <c r="AB22" s="99">
        <f>'[1]Ages 2010'!AB22/'[1]Ages 2010'!$C$22</f>
        <v>0</v>
      </c>
      <c r="AF22" s="55"/>
    </row>
    <row r="23" spans="2:32">
      <c r="B23" s="75">
        <v>21</v>
      </c>
      <c r="C23" s="100">
        <f t="shared" si="0"/>
        <v>1</v>
      </c>
      <c r="D23" s="99">
        <f>'[1]Ages 2010'!D23/'[1]Ages 2010'!$C$23</f>
        <v>0</v>
      </c>
      <c r="E23" s="99">
        <f>'[1]Ages 2010'!E23/'[1]Ages 2010'!$C$23</f>
        <v>0</v>
      </c>
      <c r="F23" s="99">
        <f>'[1]Ages 2010'!F23/'[1]Ages 2010'!$C$23</f>
        <v>1.6191649805398789E-3</v>
      </c>
      <c r="G23" s="99">
        <f>'[1]Ages 2010'!G23/'[1]Ages 2010'!$C$23</f>
        <v>0.99838083501946007</v>
      </c>
      <c r="H23" s="99">
        <f>'[1]Ages 2010'!H23/'[1]Ages 2010'!$C$23</f>
        <v>0</v>
      </c>
      <c r="I23" s="99">
        <f>'[1]Ages 2010'!I23/'[1]Ages 2010'!$C$23</f>
        <v>0</v>
      </c>
      <c r="J23" s="99">
        <f>'[1]Ages 2010'!J23/'[1]Ages 2010'!$C$23</f>
        <v>0</v>
      </c>
      <c r="K23" s="99">
        <f>'[1]Ages 2010'!K23/'[1]Ages 2010'!$C$23</f>
        <v>0</v>
      </c>
      <c r="L23" s="99">
        <f>'[1]Ages 2010'!L23/'[1]Ages 2010'!$C$23</f>
        <v>0</v>
      </c>
      <c r="M23" s="99">
        <f>'[1]Ages 2010'!M23/'[1]Ages 2010'!$C$23</f>
        <v>0</v>
      </c>
      <c r="N23" s="99">
        <f>'[1]Ages 2010'!N23/'[1]Ages 2010'!$C$23</f>
        <v>0</v>
      </c>
      <c r="O23" s="99">
        <f>'[1]Ages 2010'!O23/'[1]Ages 2010'!$C$23</f>
        <v>0</v>
      </c>
      <c r="P23" s="99">
        <f>'[1]Ages 2010'!P23/'[1]Ages 2010'!$C$23</f>
        <v>0</v>
      </c>
      <c r="Q23" s="99">
        <f>'[1]Ages 2010'!Q23/'[1]Ages 2010'!$C$23</f>
        <v>0</v>
      </c>
      <c r="R23" s="99">
        <f>'[1]Ages 2010'!R23/'[1]Ages 2010'!$C$23</f>
        <v>0</v>
      </c>
      <c r="S23" s="99">
        <f>'[1]Ages 2010'!S23/'[1]Ages 2010'!$C$23</f>
        <v>0</v>
      </c>
      <c r="T23" s="99">
        <f>'[1]Ages 2010'!T23/'[1]Ages 2010'!$C$23</f>
        <v>0</v>
      </c>
      <c r="U23" s="99">
        <f>'[1]Ages 2010'!U23/'[1]Ages 2010'!$C$23</f>
        <v>0</v>
      </c>
      <c r="V23" s="99">
        <f>'[1]Ages 2010'!V23/'[1]Ages 2010'!$C$23</f>
        <v>0</v>
      </c>
      <c r="W23" s="99">
        <f>'[1]Ages 2010'!W23/'[1]Ages 2010'!$C$23</f>
        <v>0</v>
      </c>
      <c r="X23" s="99">
        <f>'[1]Ages 2010'!X23/'[1]Ages 2010'!$C$23</f>
        <v>0</v>
      </c>
      <c r="Y23" s="99">
        <f>'[1]Ages 2010'!Y23/'[1]Ages 2010'!$C$23</f>
        <v>0</v>
      </c>
      <c r="Z23" s="99">
        <f>'[1]Ages 2010'!Z23/'[1]Ages 2010'!$C$23</f>
        <v>0</v>
      </c>
      <c r="AA23" s="99">
        <f>'[1]Ages 2010'!AA23/'[1]Ages 2010'!$C$23</f>
        <v>0</v>
      </c>
      <c r="AB23" s="99">
        <f>'[1]Ages 2010'!AB23/'[1]Ages 2010'!$C$23</f>
        <v>0</v>
      </c>
      <c r="AF23" s="55"/>
    </row>
    <row r="24" spans="2:32">
      <c r="B24" s="101">
        <v>22</v>
      </c>
      <c r="C24" s="100">
        <f t="shared" si="0"/>
        <v>1</v>
      </c>
      <c r="D24" s="99">
        <f>'[1]Ages 2010'!D24/'[1]Ages 2010'!$C$24</f>
        <v>0</v>
      </c>
      <c r="E24" s="99">
        <f>'[1]Ages 2010'!E24/'[1]Ages 2010'!$C$24</f>
        <v>0</v>
      </c>
      <c r="F24" s="99">
        <f>'[1]Ages 2010'!F24/'[1]Ages 2010'!$C$24</f>
        <v>0</v>
      </c>
      <c r="G24" s="99">
        <f>'[1]Ages 2010'!G24/'[1]Ages 2010'!$C$24</f>
        <v>0.72796541243702451</v>
      </c>
      <c r="H24" s="99">
        <f>'[1]Ages 2010'!H24/'[1]Ages 2010'!$C$24</f>
        <v>0.27203458756297549</v>
      </c>
      <c r="I24" s="99">
        <f>'[1]Ages 2010'!I24/'[1]Ages 2010'!$C$24</f>
        <v>0</v>
      </c>
      <c r="J24" s="99">
        <f>'[1]Ages 2010'!J24/'[1]Ages 2010'!$C$24</f>
        <v>0</v>
      </c>
      <c r="K24" s="99">
        <f>'[1]Ages 2010'!K24/'[1]Ages 2010'!$C$24</f>
        <v>0</v>
      </c>
      <c r="L24" s="99">
        <f>'[1]Ages 2010'!L24/'[1]Ages 2010'!$C$24</f>
        <v>0</v>
      </c>
      <c r="M24" s="99">
        <f>'[1]Ages 2010'!M24/'[1]Ages 2010'!$C$24</f>
        <v>0</v>
      </c>
      <c r="N24" s="99">
        <f>'[1]Ages 2010'!N24/'[1]Ages 2010'!$C$24</f>
        <v>0</v>
      </c>
      <c r="O24" s="99">
        <f>'[1]Ages 2010'!O24/'[1]Ages 2010'!$C$24</f>
        <v>0</v>
      </c>
      <c r="P24" s="99">
        <f>'[1]Ages 2010'!P24/'[1]Ages 2010'!$C$24</f>
        <v>0</v>
      </c>
      <c r="Q24" s="99">
        <f>'[1]Ages 2010'!Q24/'[1]Ages 2010'!$C$24</f>
        <v>0</v>
      </c>
      <c r="R24" s="99">
        <f>'[1]Ages 2010'!R24/'[1]Ages 2010'!$C$24</f>
        <v>0</v>
      </c>
      <c r="S24" s="99">
        <f>'[1]Ages 2010'!S24/'[1]Ages 2010'!$C$24</f>
        <v>0</v>
      </c>
      <c r="T24" s="99">
        <f>'[1]Ages 2010'!T24/'[1]Ages 2010'!$C$24</f>
        <v>0</v>
      </c>
      <c r="U24" s="99">
        <f>'[1]Ages 2010'!U24/'[1]Ages 2010'!$C$24</f>
        <v>0</v>
      </c>
      <c r="V24" s="99">
        <f>'[1]Ages 2010'!V24/'[1]Ages 2010'!$C$24</f>
        <v>0</v>
      </c>
      <c r="W24" s="99">
        <f>'[1]Ages 2010'!W24/'[1]Ages 2010'!$C$24</f>
        <v>0</v>
      </c>
      <c r="X24" s="99">
        <f>'[1]Ages 2010'!X24/'[1]Ages 2010'!$C$24</f>
        <v>0</v>
      </c>
      <c r="Y24" s="99">
        <f>'[1]Ages 2010'!Y24/'[1]Ages 2010'!$C$24</f>
        <v>0</v>
      </c>
      <c r="Z24" s="99">
        <f>'[1]Ages 2010'!Z24/'[1]Ages 2010'!$C$24</f>
        <v>0</v>
      </c>
      <c r="AA24" s="99">
        <f>'[1]Ages 2010'!AA24/'[1]Ages 2010'!$C$24</f>
        <v>0</v>
      </c>
      <c r="AB24" s="99">
        <f>'[1]Ages 2010'!AB24/'[1]Ages 2010'!$C$24</f>
        <v>0</v>
      </c>
      <c r="AF24" s="55"/>
    </row>
    <row r="25" spans="2:32">
      <c r="B25" s="75">
        <v>23</v>
      </c>
      <c r="C25" s="100">
        <f t="shared" si="0"/>
        <v>1</v>
      </c>
      <c r="D25" s="99">
        <f>'[1]Ages 2010'!D25/'[1]Ages 2010'!$C$25</f>
        <v>0</v>
      </c>
      <c r="E25" s="99">
        <f>'[1]Ages 2010'!E25/'[1]Ages 2010'!$C$25</f>
        <v>0</v>
      </c>
      <c r="F25" s="99">
        <f>'[1]Ages 2010'!F25/'[1]Ages 2010'!$C$25</f>
        <v>0</v>
      </c>
      <c r="G25" s="99">
        <f>'[1]Ages 2010'!G25/'[1]Ages 2010'!$C$25</f>
        <v>0.45761996317119624</v>
      </c>
      <c r="H25" s="99">
        <f>'[1]Ages 2010'!H25/'[1]Ages 2010'!$C$25</f>
        <v>0.54238003682880376</v>
      </c>
      <c r="I25" s="99">
        <f>'[1]Ages 2010'!I25/'[1]Ages 2010'!$C$25</f>
        <v>0</v>
      </c>
      <c r="J25" s="99">
        <f>'[1]Ages 2010'!J25/'[1]Ages 2010'!$C$25</f>
        <v>0</v>
      </c>
      <c r="K25" s="99">
        <f>'[1]Ages 2010'!K25/'[1]Ages 2010'!$C$25</f>
        <v>0</v>
      </c>
      <c r="L25" s="99">
        <f>'[1]Ages 2010'!L25/'[1]Ages 2010'!$C$25</f>
        <v>0</v>
      </c>
      <c r="M25" s="99">
        <f>'[1]Ages 2010'!M25/'[1]Ages 2010'!$C$25</f>
        <v>0</v>
      </c>
      <c r="N25" s="99">
        <f>'[1]Ages 2010'!N25/'[1]Ages 2010'!$C$25</f>
        <v>0</v>
      </c>
      <c r="O25" s="99">
        <f>'[1]Ages 2010'!O25/'[1]Ages 2010'!$C$25</f>
        <v>0</v>
      </c>
      <c r="P25" s="99">
        <f>'[1]Ages 2010'!P25/'[1]Ages 2010'!$C$25</f>
        <v>0</v>
      </c>
      <c r="Q25" s="99">
        <f>'[1]Ages 2010'!Q25/'[1]Ages 2010'!$C$25</f>
        <v>0</v>
      </c>
      <c r="R25" s="99">
        <f>'[1]Ages 2010'!R25/'[1]Ages 2010'!$C$25</f>
        <v>0</v>
      </c>
      <c r="S25" s="99">
        <f>'[1]Ages 2010'!S25/'[1]Ages 2010'!$C$25</f>
        <v>0</v>
      </c>
      <c r="T25" s="99">
        <f>'[1]Ages 2010'!T25/'[1]Ages 2010'!$C$25</f>
        <v>0</v>
      </c>
      <c r="U25" s="99">
        <f>'[1]Ages 2010'!U25/'[1]Ages 2010'!$C$25</f>
        <v>0</v>
      </c>
      <c r="V25" s="99">
        <f>'[1]Ages 2010'!V25/'[1]Ages 2010'!$C$25</f>
        <v>0</v>
      </c>
      <c r="W25" s="99">
        <f>'[1]Ages 2010'!W25/'[1]Ages 2010'!$C$25</f>
        <v>0</v>
      </c>
      <c r="X25" s="99">
        <f>'[1]Ages 2010'!X25/'[1]Ages 2010'!$C$25</f>
        <v>0</v>
      </c>
      <c r="Y25" s="99">
        <f>'[1]Ages 2010'!Y25/'[1]Ages 2010'!$C$25</f>
        <v>0</v>
      </c>
      <c r="Z25" s="99">
        <f>'[1]Ages 2010'!Z25/'[1]Ages 2010'!$C$25</f>
        <v>0</v>
      </c>
      <c r="AA25" s="99">
        <f>'[1]Ages 2010'!AA25/'[1]Ages 2010'!$C$25</f>
        <v>0</v>
      </c>
      <c r="AB25" s="99">
        <f>'[1]Ages 2010'!AB25/'[1]Ages 2010'!$C$25</f>
        <v>0</v>
      </c>
      <c r="AF25" s="55"/>
    </row>
    <row r="26" spans="2:32">
      <c r="B26" s="101">
        <v>24</v>
      </c>
      <c r="C26" s="100">
        <f t="shared" si="0"/>
        <v>1</v>
      </c>
      <c r="D26" s="99">
        <f>'[1]Ages 2010'!D26/'[1]Ages 2010'!$C$26</f>
        <v>0</v>
      </c>
      <c r="E26" s="99">
        <f>'[1]Ages 2010'!E26/'[1]Ages 2010'!$C$26</f>
        <v>0</v>
      </c>
      <c r="F26" s="99">
        <f>'[1]Ages 2010'!F26/'[1]Ages 2010'!$C$26</f>
        <v>0</v>
      </c>
      <c r="G26" s="99">
        <f>'[1]Ages 2010'!G26/'[1]Ages 2010'!$C$26</f>
        <v>0.1966701524343461</v>
      </c>
      <c r="H26" s="99">
        <f>'[1]Ages 2010'!H26/'[1]Ages 2010'!$C$26</f>
        <v>0.80332984756565384</v>
      </c>
      <c r="I26" s="99">
        <f>'[1]Ages 2010'!I26/'[1]Ages 2010'!$C$26</f>
        <v>0</v>
      </c>
      <c r="J26" s="99">
        <f>'[1]Ages 2010'!J26/'[1]Ages 2010'!$C$26</f>
        <v>0</v>
      </c>
      <c r="K26" s="99">
        <f>'[1]Ages 2010'!K26/'[1]Ages 2010'!$C$26</f>
        <v>0</v>
      </c>
      <c r="L26" s="99">
        <f>'[1]Ages 2010'!L26/'[1]Ages 2010'!$C$26</f>
        <v>0</v>
      </c>
      <c r="M26" s="99">
        <f>'[1]Ages 2010'!M26/'[1]Ages 2010'!$C$26</f>
        <v>0</v>
      </c>
      <c r="N26" s="99">
        <f>'[1]Ages 2010'!N26/'[1]Ages 2010'!$C$26</f>
        <v>0</v>
      </c>
      <c r="O26" s="99">
        <f>'[1]Ages 2010'!O26/'[1]Ages 2010'!$C$26</f>
        <v>0</v>
      </c>
      <c r="P26" s="99">
        <f>'[1]Ages 2010'!P26/'[1]Ages 2010'!$C$26</f>
        <v>0</v>
      </c>
      <c r="Q26" s="99">
        <f>'[1]Ages 2010'!Q26/'[1]Ages 2010'!$C$26</f>
        <v>0</v>
      </c>
      <c r="R26" s="99">
        <f>'[1]Ages 2010'!R26/'[1]Ages 2010'!$C$26</f>
        <v>0</v>
      </c>
      <c r="S26" s="99">
        <f>'[1]Ages 2010'!S26/'[1]Ages 2010'!$C$26</f>
        <v>0</v>
      </c>
      <c r="T26" s="99">
        <f>'[1]Ages 2010'!T26/'[1]Ages 2010'!$C$26</f>
        <v>0</v>
      </c>
      <c r="U26" s="99">
        <f>'[1]Ages 2010'!U26/'[1]Ages 2010'!$C$26</f>
        <v>0</v>
      </c>
      <c r="V26" s="99">
        <f>'[1]Ages 2010'!V26/'[1]Ages 2010'!$C$26</f>
        <v>0</v>
      </c>
      <c r="W26" s="99">
        <f>'[1]Ages 2010'!W26/'[1]Ages 2010'!$C$26</f>
        <v>0</v>
      </c>
      <c r="X26" s="99">
        <f>'[1]Ages 2010'!X26/'[1]Ages 2010'!$C$26</f>
        <v>0</v>
      </c>
      <c r="Y26" s="99">
        <f>'[1]Ages 2010'!Y26/'[1]Ages 2010'!$C$26</f>
        <v>0</v>
      </c>
      <c r="Z26" s="99">
        <f>'[1]Ages 2010'!Z26/'[1]Ages 2010'!$C$26</f>
        <v>0</v>
      </c>
      <c r="AA26" s="99">
        <f>'[1]Ages 2010'!AA26/'[1]Ages 2010'!$C$26</f>
        <v>0</v>
      </c>
      <c r="AB26" s="99">
        <f>'[1]Ages 2010'!AB26/'[1]Ages 2010'!$C$26</f>
        <v>0</v>
      </c>
      <c r="AF26" s="55"/>
    </row>
    <row r="27" spans="2:32">
      <c r="B27" s="75">
        <v>25</v>
      </c>
      <c r="C27" s="100">
        <f t="shared" si="0"/>
        <v>1</v>
      </c>
      <c r="D27" s="99">
        <f>'[1]Ages 2010'!D27/'[1]Ages 2010'!$C$27</f>
        <v>0</v>
      </c>
      <c r="E27" s="99">
        <f>'[1]Ages 2010'!E27/'[1]Ages 2010'!$C$27</f>
        <v>0</v>
      </c>
      <c r="F27" s="99">
        <f>'[1]Ages 2010'!F27/'[1]Ages 2010'!$C$27</f>
        <v>0</v>
      </c>
      <c r="G27" s="99">
        <f>'[1]Ages 2010'!G27/'[1]Ages 2010'!$C$27</f>
        <v>4.0981285604626008E-2</v>
      </c>
      <c r="H27" s="99">
        <f>'[1]Ages 2010'!H27/'[1]Ages 2010'!$C$27</f>
        <v>0.93987122381885202</v>
      </c>
      <c r="I27" s="99">
        <f>'[1]Ages 2010'!I27/'[1]Ages 2010'!$C$27</f>
        <v>1.9147490576522038E-2</v>
      </c>
      <c r="J27" s="99">
        <f>'[1]Ages 2010'!J27/'[1]Ages 2010'!$C$27</f>
        <v>0</v>
      </c>
      <c r="K27" s="99">
        <f>'[1]Ages 2010'!K27/'[1]Ages 2010'!$C$27</f>
        <v>0</v>
      </c>
      <c r="L27" s="99">
        <f>'[1]Ages 2010'!L27/'[1]Ages 2010'!$C$27</f>
        <v>0</v>
      </c>
      <c r="M27" s="99">
        <f>'[1]Ages 2010'!M27/'[1]Ages 2010'!$C$27</f>
        <v>0</v>
      </c>
      <c r="N27" s="99">
        <f>'[1]Ages 2010'!N27/'[1]Ages 2010'!$C$27</f>
        <v>0</v>
      </c>
      <c r="O27" s="99">
        <f>'[1]Ages 2010'!O27/'[1]Ages 2010'!$C$27</f>
        <v>0</v>
      </c>
      <c r="P27" s="99">
        <f>'[1]Ages 2010'!P27/'[1]Ages 2010'!$C$27</f>
        <v>0</v>
      </c>
      <c r="Q27" s="99">
        <f>'[1]Ages 2010'!Q27/'[1]Ages 2010'!$C$27</f>
        <v>0</v>
      </c>
      <c r="R27" s="99">
        <f>'[1]Ages 2010'!R27/'[1]Ages 2010'!$C$27</f>
        <v>0</v>
      </c>
      <c r="S27" s="99">
        <f>'[1]Ages 2010'!S27/'[1]Ages 2010'!$C$27</f>
        <v>0</v>
      </c>
      <c r="T27" s="99">
        <f>'[1]Ages 2010'!T27/'[1]Ages 2010'!$C$27</f>
        <v>0</v>
      </c>
      <c r="U27" s="99">
        <f>'[1]Ages 2010'!U27/'[1]Ages 2010'!$C$27</f>
        <v>0</v>
      </c>
      <c r="V27" s="99">
        <f>'[1]Ages 2010'!V27/'[1]Ages 2010'!$C$27</f>
        <v>0</v>
      </c>
      <c r="W27" s="99">
        <f>'[1]Ages 2010'!W27/'[1]Ages 2010'!$C$27</f>
        <v>0</v>
      </c>
      <c r="X27" s="99">
        <f>'[1]Ages 2010'!X27/'[1]Ages 2010'!$C$27</f>
        <v>0</v>
      </c>
      <c r="Y27" s="99">
        <f>'[1]Ages 2010'!Y27/'[1]Ages 2010'!$C$27</f>
        <v>0</v>
      </c>
      <c r="Z27" s="99">
        <f>'[1]Ages 2010'!Z27/'[1]Ages 2010'!$C$27</f>
        <v>0</v>
      </c>
      <c r="AA27" s="99">
        <f>'[1]Ages 2010'!AA27/'[1]Ages 2010'!$C$27</f>
        <v>0</v>
      </c>
      <c r="AB27" s="99">
        <f>'[1]Ages 2010'!AB27/'[1]Ages 2010'!$C$27</f>
        <v>0</v>
      </c>
    </row>
    <row r="28" spans="2:32">
      <c r="B28" s="101">
        <v>26</v>
      </c>
      <c r="C28" s="100">
        <f t="shared" si="0"/>
        <v>0.99999999999999989</v>
      </c>
      <c r="D28" s="99">
        <f>'[1]Ages 2010'!D28/'[1]Ages 2010'!$C$28</f>
        <v>0</v>
      </c>
      <c r="E28" s="99">
        <f>'[1]Ages 2010'!E28/'[1]Ages 2010'!$C$28</f>
        <v>0</v>
      </c>
      <c r="F28" s="99">
        <f>'[1]Ages 2010'!F28/'[1]Ages 2010'!$C$28</f>
        <v>0</v>
      </c>
      <c r="G28" s="99">
        <f>'[1]Ages 2010'!G28/'[1]Ages 2010'!$C$28</f>
        <v>1.5681116680671657E-3</v>
      </c>
      <c r="H28" s="99">
        <f>'[1]Ages 2010'!H28/'[1]Ages 2010'!$C$28</f>
        <v>0.84280017912561156</v>
      </c>
      <c r="I28" s="99">
        <f>'[1]Ages 2010'!I28/'[1]Ages 2010'!$C$28</f>
        <v>0.15563170920632122</v>
      </c>
      <c r="J28" s="99">
        <f>'[1]Ages 2010'!J28/'[1]Ages 2010'!$C$28</f>
        <v>0</v>
      </c>
      <c r="K28" s="99">
        <f>'[1]Ages 2010'!K28/'[1]Ages 2010'!$C$28</f>
        <v>0</v>
      </c>
      <c r="L28" s="99">
        <f>'[1]Ages 2010'!L28/'[1]Ages 2010'!$C$28</f>
        <v>0</v>
      </c>
      <c r="M28" s="99">
        <f>'[1]Ages 2010'!M28/'[1]Ages 2010'!$C$28</f>
        <v>0</v>
      </c>
      <c r="N28" s="99">
        <f>'[1]Ages 2010'!N28/'[1]Ages 2010'!$C$28</f>
        <v>0</v>
      </c>
      <c r="O28" s="99">
        <f>'[1]Ages 2010'!O28/'[1]Ages 2010'!$C$28</f>
        <v>0</v>
      </c>
      <c r="P28" s="99">
        <f>'[1]Ages 2010'!P28/'[1]Ages 2010'!$C$28</f>
        <v>0</v>
      </c>
      <c r="Q28" s="99">
        <f>'[1]Ages 2010'!Q28/'[1]Ages 2010'!$C$28</f>
        <v>0</v>
      </c>
      <c r="R28" s="99">
        <f>'[1]Ages 2010'!R28/'[1]Ages 2010'!$C$28</f>
        <v>0</v>
      </c>
      <c r="S28" s="99">
        <f>'[1]Ages 2010'!S28/'[1]Ages 2010'!$C$28</f>
        <v>0</v>
      </c>
      <c r="T28" s="99">
        <f>'[1]Ages 2010'!T28/'[1]Ages 2010'!$C$28</f>
        <v>0</v>
      </c>
      <c r="U28" s="99">
        <f>'[1]Ages 2010'!U28/'[1]Ages 2010'!$C$28</f>
        <v>0</v>
      </c>
      <c r="V28" s="99">
        <f>'[1]Ages 2010'!V28/'[1]Ages 2010'!$C$28</f>
        <v>0</v>
      </c>
      <c r="W28" s="99">
        <f>'[1]Ages 2010'!W28/'[1]Ages 2010'!$C$28</f>
        <v>0</v>
      </c>
      <c r="X28" s="99">
        <f>'[1]Ages 2010'!X28/'[1]Ages 2010'!$C$28</f>
        <v>0</v>
      </c>
      <c r="Y28" s="99">
        <f>'[1]Ages 2010'!Y28/'[1]Ages 2010'!$C$28</f>
        <v>0</v>
      </c>
      <c r="Z28" s="99">
        <f>'[1]Ages 2010'!Z28/'[1]Ages 2010'!$C$28</f>
        <v>0</v>
      </c>
      <c r="AA28" s="99">
        <f>'[1]Ages 2010'!AA28/'[1]Ages 2010'!$C$28</f>
        <v>0</v>
      </c>
      <c r="AB28" s="99">
        <f>'[1]Ages 2010'!AB28/'[1]Ages 2010'!$C$28</f>
        <v>0</v>
      </c>
    </row>
    <row r="29" spans="2:32">
      <c r="B29" s="75">
        <v>27</v>
      </c>
      <c r="C29" s="100">
        <f t="shared" si="0"/>
        <v>1</v>
      </c>
      <c r="D29" s="99">
        <f>'[1]Ages 2010'!D29/'[1]Ages 2010'!$C$29</f>
        <v>0</v>
      </c>
      <c r="E29" s="99">
        <f>'[1]Ages 2010'!E29/'[1]Ages 2010'!$C$29</f>
        <v>0</v>
      </c>
      <c r="F29" s="99">
        <f>'[1]Ages 2010'!F29/'[1]Ages 2010'!$C$29</f>
        <v>0</v>
      </c>
      <c r="G29" s="99">
        <f>'[1]Ages 2010'!G29/'[1]Ages 2010'!$C$29</f>
        <v>1.3372959534159105E-3</v>
      </c>
      <c r="H29" s="99">
        <f>'[1]Ages 2010'!H29/'[1]Ages 2010'!$C$29</f>
        <v>0.68748850409607465</v>
      </c>
      <c r="I29" s="99">
        <f>'[1]Ages 2010'!I29/'[1]Ages 2010'!$C$29</f>
        <v>0.31117419995050949</v>
      </c>
      <c r="J29" s="99">
        <f>'[1]Ages 2010'!J29/'[1]Ages 2010'!$C$29</f>
        <v>0</v>
      </c>
      <c r="K29" s="99">
        <f>'[1]Ages 2010'!K29/'[1]Ages 2010'!$C$29</f>
        <v>0</v>
      </c>
      <c r="L29" s="99">
        <f>'[1]Ages 2010'!L29/'[1]Ages 2010'!$C$29</f>
        <v>0</v>
      </c>
      <c r="M29" s="99">
        <f>'[1]Ages 2010'!M29/'[1]Ages 2010'!$C$29</f>
        <v>0</v>
      </c>
      <c r="N29" s="99">
        <f>'[1]Ages 2010'!N29/'[1]Ages 2010'!$C$29</f>
        <v>0</v>
      </c>
      <c r="O29" s="99">
        <f>'[1]Ages 2010'!O29/'[1]Ages 2010'!$C$29</f>
        <v>0</v>
      </c>
      <c r="P29" s="99">
        <f>'[1]Ages 2010'!P29/'[1]Ages 2010'!$C$29</f>
        <v>0</v>
      </c>
      <c r="Q29" s="99">
        <f>'[1]Ages 2010'!Q29/'[1]Ages 2010'!$C$29</f>
        <v>0</v>
      </c>
      <c r="R29" s="99">
        <f>'[1]Ages 2010'!R29/'[1]Ages 2010'!$C$29</f>
        <v>0</v>
      </c>
      <c r="S29" s="99">
        <f>'[1]Ages 2010'!S29/'[1]Ages 2010'!$C$29</f>
        <v>0</v>
      </c>
      <c r="T29" s="99">
        <f>'[1]Ages 2010'!T29/'[1]Ages 2010'!$C$29</f>
        <v>0</v>
      </c>
      <c r="U29" s="99">
        <f>'[1]Ages 2010'!U29/'[1]Ages 2010'!$C$29</f>
        <v>0</v>
      </c>
      <c r="V29" s="99">
        <f>'[1]Ages 2010'!V29/'[1]Ages 2010'!$C$29</f>
        <v>0</v>
      </c>
      <c r="W29" s="99">
        <f>'[1]Ages 2010'!W29/'[1]Ages 2010'!$C$29</f>
        <v>0</v>
      </c>
      <c r="X29" s="99">
        <f>'[1]Ages 2010'!X29/'[1]Ages 2010'!$C$29</f>
        <v>0</v>
      </c>
      <c r="Y29" s="99">
        <f>'[1]Ages 2010'!Y29/'[1]Ages 2010'!$C$29</f>
        <v>0</v>
      </c>
      <c r="Z29" s="99">
        <f>'[1]Ages 2010'!Z29/'[1]Ages 2010'!$C$29</f>
        <v>0</v>
      </c>
      <c r="AA29" s="99">
        <f>'[1]Ages 2010'!AA29/'[1]Ages 2010'!$C$29</f>
        <v>0</v>
      </c>
      <c r="AB29" s="99">
        <f>'[1]Ages 2010'!AB29/'[1]Ages 2010'!$C$29</f>
        <v>0</v>
      </c>
    </row>
    <row r="30" spans="2:32">
      <c r="B30" s="101">
        <v>28</v>
      </c>
      <c r="C30" s="100">
        <f t="shared" si="0"/>
        <v>1</v>
      </c>
      <c r="D30" s="99">
        <f>'[1]Ages 2010'!D30/'[1]Ages 2010'!$C$30</f>
        <v>0</v>
      </c>
      <c r="E30" s="99">
        <f>'[1]Ages 2010'!E30/'[1]Ages 2010'!$C$30</f>
        <v>0</v>
      </c>
      <c r="F30" s="99">
        <f>'[1]Ages 2010'!F30/'[1]Ages 2010'!$C$30</f>
        <v>0</v>
      </c>
      <c r="G30" s="99">
        <f>'[1]Ages 2010'!G30/'[1]Ages 2010'!$C$30</f>
        <v>0</v>
      </c>
      <c r="H30" s="99">
        <f>'[1]Ages 2010'!H30/'[1]Ages 2010'!$C$30</f>
        <v>9.1831004696651605E-2</v>
      </c>
      <c r="I30" s="99">
        <f>'[1]Ages 2010'!I30/'[1]Ages 2010'!$C$30</f>
        <v>0.8875818327826499</v>
      </c>
      <c r="J30" s="99">
        <f>'[1]Ages 2010'!J30/'[1]Ages 2010'!$C$30</f>
        <v>2.0587162520698459E-2</v>
      </c>
      <c r="K30" s="99">
        <f>'[1]Ages 2010'!K30/'[1]Ages 2010'!$C$30</f>
        <v>0</v>
      </c>
      <c r="L30" s="99">
        <f>'[1]Ages 2010'!L30/'[1]Ages 2010'!$C$30</f>
        <v>0</v>
      </c>
      <c r="M30" s="99">
        <f>'[1]Ages 2010'!M30/'[1]Ages 2010'!$C$30</f>
        <v>0</v>
      </c>
      <c r="N30" s="99">
        <f>'[1]Ages 2010'!N30/'[1]Ages 2010'!$C$30</f>
        <v>0</v>
      </c>
      <c r="O30" s="99">
        <f>'[1]Ages 2010'!O30/'[1]Ages 2010'!$C$30</f>
        <v>0</v>
      </c>
      <c r="P30" s="99">
        <f>'[1]Ages 2010'!P30/'[1]Ages 2010'!$C$30</f>
        <v>0</v>
      </c>
      <c r="Q30" s="99">
        <f>'[1]Ages 2010'!Q30/'[1]Ages 2010'!$C$30</f>
        <v>0</v>
      </c>
      <c r="R30" s="99">
        <f>'[1]Ages 2010'!R30/'[1]Ages 2010'!$C$30</f>
        <v>0</v>
      </c>
      <c r="S30" s="99">
        <f>'[1]Ages 2010'!S30/'[1]Ages 2010'!$C$30</f>
        <v>0</v>
      </c>
      <c r="T30" s="99">
        <f>'[1]Ages 2010'!T30/'[1]Ages 2010'!$C$30</f>
        <v>0</v>
      </c>
      <c r="U30" s="99">
        <f>'[1]Ages 2010'!U30/'[1]Ages 2010'!$C$30</f>
        <v>0</v>
      </c>
      <c r="V30" s="99">
        <f>'[1]Ages 2010'!V30/'[1]Ages 2010'!$C$30</f>
        <v>0</v>
      </c>
      <c r="W30" s="99">
        <f>'[1]Ages 2010'!W30/'[1]Ages 2010'!$C$30</f>
        <v>0</v>
      </c>
      <c r="X30" s="99">
        <f>'[1]Ages 2010'!X30/'[1]Ages 2010'!$C$30</f>
        <v>0</v>
      </c>
      <c r="Y30" s="99">
        <f>'[1]Ages 2010'!Y30/'[1]Ages 2010'!$C$30</f>
        <v>0</v>
      </c>
      <c r="Z30" s="99">
        <f>'[1]Ages 2010'!Z30/'[1]Ages 2010'!$C$30</f>
        <v>0</v>
      </c>
      <c r="AA30" s="99">
        <f>'[1]Ages 2010'!AA30/'[1]Ages 2010'!$C$30</f>
        <v>0</v>
      </c>
      <c r="AB30" s="99">
        <f>'[1]Ages 2010'!AB30/'[1]Ages 2010'!$C$30</f>
        <v>0</v>
      </c>
    </row>
    <row r="31" spans="2:32">
      <c r="B31" s="75">
        <v>29</v>
      </c>
      <c r="C31" s="100">
        <f t="shared" si="0"/>
        <v>1</v>
      </c>
      <c r="D31" s="99">
        <f>'[1]Ages 2010'!D31/'[1]Ages 2010'!$C$31</f>
        <v>0</v>
      </c>
      <c r="E31" s="99">
        <f>'[1]Ages 2010'!E31/'[1]Ages 2010'!$C$31</f>
        <v>0</v>
      </c>
      <c r="F31" s="99">
        <f>'[1]Ages 2010'!F31/'[1]Ages 2010'!$C$31</f>
        <v>0</v>
      </c>
      <c r="G31" s="99">
        <f>'[1]Ages 2010'!G31/'[1]Ages 2010'!$C$31</f>
        <v>0</v>
      </c>
      <c r="H31" s="99">
        <f>'[1]Ages 2010'!H31/'[1]Ages 2010'!$C$31</f>
        <v>1.5909614158726746E-2</v>
      </c>
      <c r="I31" s="99">
        <f>'[1]Ages 2010'!I31/'[1]Ages 2010'!$C$31</f>
        <v>0.60758034162622232</v>
      </c>
      <c r="J31" s="99">
        <f>'[1]Ages 2010'!J31/'[1]Ages 2010'!$C$31</f>
        <v>0.37651004421505097</v>
      </c>
      <c r="K31" s="99">
        <f>'[1]Ages 2010'!K31/'[1]Ages 2010'!$C$31</f>
        <v>0</v>
      </c>
      <c r="L31" s="99">
        <f>'[1]Ages 2010'!L31/'[1]Ages 2010'!$C$31</f>
        <v>0</v>
      </c>
      <c r="M31" s="99">
        <f>'[1]Ages 2010'!M31/'[1]Ages 2010'!$C$31</f>
        <v>0</v>
      </c>
      <c r="N31" s="99">
        <f>'[1]Ages 2010'!N31/'[1]Ages 2010'!$C$31</f>
        <v>0</v>
      </c>
      <c r="O31" s="99">
        <f>'[1]Ages 2010'!O31/'[1]Ages 2010'!$C$31</f>
        <v>0</v>
      </c>
      <c r="P31" s="99">
        <f>'[1]Ages 2010'!P31/'[1]Ages 2010'!$C$31</f>
        <v>0</v>
      </c>
      <c r="Q31" s="99">
        <f>'[1]Ages 2010'!Q31/'[1]Ages 2010'!$C$31</f>
        <v>0</v>
      </c>
      <c r="R31" s="99">
        <f>'[1]Ages 2010'!R31/'[1]Ages 2010'!$C$31</f>
        <v>0</v>
      </c>
      <c r="S31" s="99">
        <f>'[1]Ages 2010'!S31/'[1]Ages 2010'!$C$31</f>
        <v>0</v>
      </c>
      <c r="T31" s="99">
        <f>'[1]Ages 2010'!T31/'[1]Ages 2010'!$C$31</f>
        <v>0</v>
      </c>
      <c r="U31" s="99">
        <f>'[1]Ages 2010'!U31/'[1]Ages 2010'!$C$31</f>
        <v>0</v>
      </c>
      <c r="V31" s="99">
        <f>'[1]Ages 2010'!V31/'[1]Ages 2010'!$C$31</f>
        <v>0</v>
      </c>
      <c r="W31" s="99">
        <f>'[1]Ages 2010'!W31/'[1]Ages 2010'!$C$31</f>
        <v>0</v>
      </c>
      <c r="X31" s="99">
        <f>'[1]Ages 2010'!X31/'[1]Ages 2010'!$C$31</f>
        <v>0</v>
      </c>
      <c r="Y31" s="99">
        <f>'[1]Ages 2010'!Y31/'[1]Ages 2010'!$C$31</f>
        <v>0</v>
      </c>
      <c r="Z31" s="99">
        <f>'[1]Ages 2010'!Z31/'[1]Ages 2010'!$C$31</f>
        <v>0</v>
      </c>
      <c r="AA31" s="99">
        <f>'[1]Ages 2010'!AA31/'[1]Ages 2010'!$C$31</f>
        <v>0</v>
      </c>
      <c r="AB31" s="99">
        <f>'[1]Ages 2010'!AB31/'[1]Ages 2010'!$C$31</f>
        <v>0</v>
      </c>
    </row>
    <row r="32" spans="2:32">
      <c r="B32" s="101">
        <v>30</v>
      </c>
      <c r="C32" s="100">
        <f t="shared" si="0"/>
        <v>1</v>
      </c>
      <c r="D32" s="99">
        <f>'[1]Ages 2010'!D32/'[1]Ages 2010'!$C$32</f>
        <v>0</v>
      </c>
      <c r="E32" s="99">
        <f>'[1]Ages 2010'!E32/'[1]Ages 2010'!$C$32</f>
        <v>0</v>
      </c>
      <c r="F32" s="99">
        <f>'[1]Ages 2010'!F32/'[1]Ages 2010'!$C$32</f>
        <v>0</v>
      </c>
      <c r="G32" s="99">
        <f>'[1]Ages 2010'!G32/'[1]Ages 2010'!$C$32</f>
        <v>0</v>
      </c>
      <c r="H32" s="99">
        <f>'[1]Ages 2010'!H32/'[1]Ages 2010'!$C$32</f>
        <v>1.0147737653508789E-2</v>
      </c>
      <c r="I32" s="99">
        <f>'[1]Ages 2010'!I32/'[1]Ages 2010'!$C$32</f>
        <v>6.5141491119273573E-2</v>
      </c>
      <c r="J32" s="99">
        <f>'[1]Ages 2010'!J32/'[1]Ages 2010'!$C$32</f>
        <v>0.8880088549822962</v>
      </c>
      <c r="K32" s="99">
        <f>'[1]Ages 2010'!K32/'[1]Ages 2010'!$C$32</f>
        <v>3.6701916244921473E-2</v>
      </c>
      <c r="L32" s="99">
        <f>'[1]Ages 2010'!L32/'[1]Ages 2010'!$C$32</f>
        <v>0</v>
      </c>
      <c r="M32" s="99">
        <f>'[1]Ages 2010'!M32/'[1]Ages 2010'!$C$32</f>
        <v>0</v>
      </c>
      <c r="N32" s="99">
        <f>'[1]Ages 2010'!N32/'[1]Ages 2010'!$C$32</f>
        <v>0</v>
      </c>
      <c r="O32" s="99">
        <f>'[1]Ages 2010'!O32/'[1]Ages 2010'!$C$32</f>
        <v>0</v>
      </c>
      <c r="P32" s="99">
        <f>'[1]Ages 2010'!P32/'[1]Ages 2010'!$C$32</f>
        <v>0</v>
      </c>
      <c r="Q32" s="99">
        <f>'[1]Ages 2010'!Q32/'[1]Ages 2010'!$C$32</f>
        <v>0</v>
      </c>
      <c r="R32" s="99">
        <f>'[1]Ages 2010'!R32/'[1]Ages 2010'!$C$32</f>
        <v>0</v>
      </c>
      <c r="S32" s="99">
        <f>'[1]Ages 2010'!S32/'[1]Ages 2010'!$C$32</f>
        <v>0</v>
      </c>
      <c r="T32" s="99">
        <f>'[1]Ages 2010'!T32/'[1]Ages 2010'!$C$32</f>
        <v>0</v>
      </c>
      <c r="U32" s="99">
        <f>'[1]Ages 2010'!U32/'[1]Ages 2010'!$C$32</f>
        <v>0</v>
      </c>
      <c r="V32" s="99">
        <f>'[1]Ages 2010'!V32/'[1]Ages 2010'!$C$32</f>
        <v>0</v>
      </c>
      <c r="W32" s="99">
        <f>'[1]Ages 2010'!W32/'[1]Ages 2010'!$C$32</f>
        <v>0</v>
      </c>
      <c r="X32" s="99">
        <f>'[1]Ages 2010'!X32/'[1]Ages 2010'!$C$32</f>
        <v>0</v>
      </c>
      <c r="Y32" s="99">
        <f>'[1]Ages 2010'!Y32/'[1]Ages 2010'!$C$32</f>
        <v>0</v>
      </c>
      <c r="Z32" s="99">
        <f>'[1]Ages 2010'!Z32/'[1]Ages 2010'!$C$32</f>
        <v>0</v>
      </c>
      <c r="AA32" s="99">
        <f>'[1]Ages 2010'!AA32/'[1]Ages 2010'!$C$32</f>
        <v>0</v>
      </c>
      <c r="AB32" s="99">
        <f>'[1]Ages 2010'!AB32/'[1]Ages 2010'!$C$32</f>
        <v>0</v>
      </c>
    </row>
    <row r="33" spans="2:28">
      <c r="B33" s="75">
        <v>31</v>
      </c>
      <c r="C33" s="100">
        <f t="shared" si="0"/>
        <v>1</v>
      </c>
      <c r="D33" s="99">
        <f>'[1]Ages 2010'!D33/'[1]Ages 2010'!$C$33</f>
        <v>0</v>
      </c>
      <c r="E33" s="99">
        <f>'[1]Ages 2010'!E33/'[1]Ages 2010'!$C$33</f>
        <v>0</v>
      </c>
      <c r="F33" s="99">
        <f>'[1]Ages 2010'!F33/'[1]Ages 2010'!$C$33</f>
        <v>0</v>
      </c>
      <c r="G33" s="99">
        <f>'[1]Ages 2010'!G33/'[1]Ages 2010'!$C$33</f>
        <v>0</v>
      </c>
      <c r="H33" s="99">
        <f>'[1]Ages 2010'!H33/'[1]Ages 2010'!$C$33</f>
        <v>0</v>
      </c>
      <c r="I33" s="99">
        <f>'[1]Ages 2010'!I33/'[1]Ages 2010'!$C$33</f>
        <v>3.4596451805718104E-2</v>
      </c>
      <c r="J33" s="99">
        <f>'[1]Ages 2010'!J33/'[1]Ages 2010'!$C$33</f>
        <v>0.8308233353436546</v>
      </c>
      <c r="K33" s="99">
        <f>'[1]Ages 2010'!K33/'[1]Ages 2010'!$C$33</f>
        <v>0.13458021285062732</v>
      </c>
      <c r="L33" s="99">
        <f>'[1]Ages 2010'!L33/'[1]Ages 2010'!$C$33</f>
        <v>0</v>
      </c>
      <c r="M33" s="99">
        <f>'[1]Ages 2010'!M33/'[1]Ages 2010'!$C$33</f>
        <v>0</v>
      </c>
      <c r="N33" s="99">
        <f>'[1]Ages 2010'!N33/'[1]Ages 2010'!$C$33</f>
        <v>0</v>
      </c>
      <c r="O33" s="99">
        <f>'[1]Ages 2010'!O33/'[1]Ages 2010'!$C$33</f>
        <v>0</v>
      </c>
      <c r="P33" s="99">
        <f>'[1]Ages 2010'!P33/'[1]Ages 2010'!$C$33</f>
        <v>0</v>
      </c>
      <c r="Q33" s="99">
        <f>'[1]Ages 2010'!Q33/'[1]Ages 2010'!$C$33</f>
        <v>0</v>
      </c>
      <c r="R33" s="99">
        <f>'[1]Ages 2010'!R33/'[1]Ages 2010'!$C$33</f>
        <v>0</v>
      </c>
      <c r="S33" s="99">
        <f>'[1]Ages 2010'!S33/'[1]Ages 2010'!$C$33</f>
        <v>0</v>
      </c>
      <c r="T33" s="99">
        <f>'[1]Ages 2010'!T33/'[1]Ages 2010'!$C$33</f>
        <v>0</v>
      </c>
      <c r="U33" s="99">
        <f>'[1]Ages 2010'!U33/'[1]Ages 2010'!$C$33</f>
        <v>0</v>
      </c>
      <c r="V33" s="99">
        <f>'[1]Ages 2010'!V33/'[1]Ages 2010'!$C$33</f>
        <v>0</v>
      </c>
      <c r="W33" s="99">
        <f>'[1]Ages 2010'!W33/'[1]Ages 2010'!$C$33</f>
        <v>0</v>
      </c>
      <c r="X33" s="99">
        <f>'[1]Ages 2010'!X33/'[1]Ages 2010'!$C$33</f>
        <v>0</v>
      </c>
      <c r="Y33" s="99">
        <f>'[1]Ages 2010'!Y33/'[1]Ages 2010'!$C$33</f>
        <v>0</v>
      </c>
      <c r="Z33" s="99">
        <f>'[1]Ages 2010'!Z33/'[1]Ages 2010'!$C$33</f>
        <v>0</v>
      </c>
      <c r="AA33" s="99">
        <f>'[1]Ages 2010'!AA33/'[1]Ages 2010'!$C$33</f>
        <v>0</v>
      </c>
      <c r="AB33" s="99">
        <f>'[1]Ages 2010'!AB33/'[1]Ages 2010'!$C$33</f>
        <v>0</v>
      </c>
    </row>
    <row r="34" spans="2:28">
      <c r="B34" s="101">
        <v>32</v>
      </c>
      <c r="C34" s="100">
        <f t="shared" si="0"/>
        <v>1</v>
      </c>
      <c r="D34" s="99">
        <f>'[1]Ages 2010'!D34/'[1]Ages 2010'!$C$34</f>
        <v>0</v>
      </c>
      <c r="E34" s="99">
        <f>'[1]Ages 2010'!E34/'[1]Ages 2010'!$C$34</f>
        <v>0</v>
      </c>
      <c r="F34" s="99">
        <f>'[1]Ages 2010'!F34/'[1]Ages 2010'!$C$34</f>
        <v>0</v>
      </c>
      <c r="G34" s="99">
        <f>'[1]Ages 2010'!G34/'[1]Ages 2010'!$C$34</f>
        <v>0</v>
      </c>
      <c r="H34" s="99">
        <f>'[1]Ages 2010'!H34/'[1]Ages 2010'!$C$34</f>
        <v>0</v>
      </c>
      <c r="I34" s="99">
        <f>'[1]Ages 2010'!I34/'[1]Ages 2010'!$C$34</f>
        <v>1.7272811928892671E-3</v>
      </c>
      <c r="J34" s="99">
        <f>'[1]Ages 2010'!J34/'[1]Ages 2010'!$C$34</f>
        <v>0.50342441324392551</v>
      </c>
      <c r="K34" s="99">
        <f>'[1]Ages 2010'!K34/'[1]Ages 2010'!$C$34</f>
        <v>0.49484830556318521</v>
      </c>
      <c r="L34" s="99">
        <f>'[1]Ages 2010'!L34/'[1]Ages 2010'!$C$34</f>
        <v>0</v>
      </c>
      <c r="M34" s="99">
        <f>'[1]Ages 2010'!M34/'[1]Ages 2010'!$C$34</f>
        <v>0</v>
      </c>
      <c r="N34" s="99">
        <f>'[1]Ages 2010'!N34/'[1]Ages 2010'!$C$34</f>
        <v>0</v>
      </c>
      <c r="O34" s="99">
        <f>'[1]Ages 2010'!O34/'[1]Ages 2010'!$C$34</f>
        <v>0</v>
      </c>
      <c r="P34" s="99">
        <f>'[1]Ages 2010'!P34/'[1]Ages 2010'!$C$34</f>
        <v>0</v>
      </c>
      <c r="Q34" s="99">
        <f>'[1]Ages 2010'!Q34/'[1]Ages 2010'!$C$34</f>
        <v>0</v>
      </c>
      <c r="R34" s="99">
        <f>'[1]Ages 2010'!R34/'[1]Ages 2010'!$C$34</f>
        <v>0</v>
      </c>
      <c r="S34" s="99">
        <f>'[1]Ages 2010'!S34/'[1]Ages 2010'!$C$34</f>
        <v>0</v>
      </c>
      <c r="T34" s="99">
        <f>'[1]Ages 2010'!T34/'[1]Ages 2010'!$C$34</f>
        <v>0</v>
      </c>
      <c r="U34" s="99">
        <f>'[1]Ages 2010'!U34/'[1]Ages 2010'!$C$34</f>
        <v>0</v>
      </c>
      <c r="V34" s="99">
        <f>'[1]Ages 2010'!V34/'[1]Ages 2010'!$C$34</f>
        <v>0</v>
      </c>
      <c r="W34" s="99">
        <f>'[1]Ages 2010'!W34/'[1]Ages 2010'!$C$34</f>
        <v>0</v>
      </c>
      <c r="X34" s="99">
        <f>'[1]Ages 2010'!X34/'[1]Ages 2010'!$C$34</f>
        <v>0</v>
      </c>
      <c r="Y34" s="99">
        <f>'[1]Ages 2010'!Y34/'[1]Ages 2010'!$C$34</f>
        <v>0</v>
      </c>
      <c r="Z34" s="99">
        <f>'[1]Ages 2010'!Z34/'[1]Ages 2010'!$C$34</f>
        <v>0</v>
      </c>
      <c r="AA34" s="99">
        <f>'[1]Ages 2010'!AA34/'[1]Ages 2010'!$C$34</f>
        <v>0</v>
      </c>
      <c r="AB34" s="99">
        <f>'[1]Ages 2010'!AB34/'[1]Ages 2010'!$C$34</f>
        <v>0</v>
      </c>
    </row>
    <row r="35" spans="2:28">
      <c r="B35" s="75">
        <v>33</v>
      </c>
      <c r="C35" s="100">
        <f t="shared" si="0"/>
        <v>1</v>
      </c>
      <c r="D35" s="99">
        <f>'[1]Ages 2010'!D35/'[1]Ages 2010'!$C$35</f>
        <v>0</v>
      </c>
      <c r="E35" s="99">
        <f>'[1]Ages 2010'!E35/'[1]Ages 2010'!$C$35</f>
        <v>0</v>
      </c>
      <c r="F35" s="99">
        <f>'[1]Ages 2010'!F35/'[1]Ages 2010'!$C$35</f>
        <v>0</v>
      </c>
      <c r="G35" s="99">
        <f>'[1]Ages 2010'!G35/'[1]Ages 2010'!$C$35</f>
        <v>0</v>
      </c>
      <c r="H35" s="99">
        <f>'[1]Ages 2010'!H35/'[1]Ages 2010'!$C$35</f>
        <v>0</v>
      </c>
      <c r="I35" s="99">
        <f>'[1]Ages 2010'!I35/'[1]Ages 2010'!$C$35</f>
        <v>1.4867201955614964E-4</v>
      </c>
      <c r="J35" s="99">
        <f>'[1]Ages 2010'!J35/'[1]Ages 2010'!$C$35</f>
        <v>0.2098521361106481</v>
      </c>
      <c r="K35" s="99">
        <f>'[1]Ages 2010'!K35/'[1]Ages 2010'!$C$35</f>
        <v>0.78999919186979584</v>
      </c>
      <c r="L35" s="99">
        <f>'[1]Ages 2010'!L35/'[1]Ages 2010'!$C$35</f>
        <v>0</v>
      </c>
      <c r="M35" s="99">
        <f>'[1]Ages 2010'!M35/'[1]Ages 2010'!$C$35</f>
        <v>0</v>
      </c>
      <c r="N35" s="99">
        <f>'[1]Ages 2010'!N35/'[1]Ages 2010'!$C$35</f>
        <v>0</v>
      </c>
      <c r="O35" s="99">
        <f>'[1]Ages 2010'!O35/'[1]Ages 2010'!$C$35</f>
        <v>0</v>
      </c>
      <c r="P35" s="99">
        <f>'[1]Ages 2010'!P35/'[1]Ages 2010'!$C$35</f>
        <v>0</v>
      </c>
      <c r="Q35" s="99">
        <f>'[1]Ages 2010'!Q35/'[1]Ages 2010'!$C$35</f>
        <v>0</v>
      </c>
      <c r="R35" s="99">
        <f>'[1]Ages 2010'!R35/'[1]Ages 2010'!$C$35</f>
        <v>0</v>
      </c>
      <c r="S35" s="99">
        <f>'[1]Ages 2010'!S35/'[1]Ages 2010'!$C$35</f>
        <v>0</v>
      </c>
      <c r="T35" s="99">
        <f>'[1]Ages 2010'!T35/'[1]Ages 2010'!$C$35</f>
        <v>0</v>
      </c>
      <c r="U35" s="99">
        <f>'[1]Ages 2010'!U35/'[1]Ages 2010'!$C$35</f>
        <v>0</v>
      </c>
      <c r="V35" s="99">
        <f>'[1]Ages 2010'!V35/'[1]Ages 2010'!$C$35</f>
        <v>0</v>
      </c>
      <c r="W35" s="99">
        <f>'[1]Ages 2010'!W35/'[1]Ages 2010'!$C$35</f>
        <v>0</v>
      </c>
      <c r="X35" s="99">
        <f>'[1]Ages 2010'!X35/'[1]Ages 2010'!$C$35</f>
        <v>0</v>
      </c>
      <c r="Y35" s="99">
        <f>'[1]Ages 2010'!Y35/'[1]Ages 2010'!$C$35</f>
        <v>0</v>
      </c>
      <c r="Z35" s="99">
        <f>'[1]Ages 2010'!Z35/'[1]Ages 2010'!$C$35</f>
        <v>0</v>
      </c>
      <c r="AA35" s="99">
        <f>'[1]Ages 2010'!AA35/'[1]Ages 2010'!$C$35</f>
        <v>0</v>
      </c>
      <c r="AB35" s="99">
        <f>'[1]Ages 2010'!AB35/'[1]Ages 2010'!$C$35</f>
        <v>0</v>
      </c>
    </row>
    <row r="36" spans="2:28">
      <c r="B36" s="101">
        <v>34</v>
      </c>
      <c r="C36" s="100">
        <f t="shared" si="0"/>
        <v>1</v>
      </c>
      <c r="D36" s="99">
        <f>'[1]Ages 2010'!D36/'[1]Ages 2010'!$C$36</f>
        <v>0</v>
      </c>
      <c r="E36" s="99">
        <f>'[1]Ages 2010'!E36/'[1]Ages 2010'!$C$36</f>
        <v>0</v>
      </c>
      <c r="F36" s="99">
        <f>'[1]Ages 2010'!F36/'[1]Ages 2010'!$C$36</f>
        <v>0</v>
      </c>
      <c r="G36" s="99">
        <f>'[1]Ages 2010'!G36/'[1]Ages 2010'!$C$36</f>
        <v>0</v>
      </c>
      <c r="H36" s="99">
        <f>'[1]Ages 2010'!H36/'[1]Ages 2010'!$C$36</f>
        <v>0</v>
      </c>
      <c r="I36" s="99">
        <f>'[1]Ages 2010'!I36/'[1]Ages 2010'!$C$36</f>
        <v>5.4932873512055511E-4</v>
      </c>
      <c r="J36" s="99">
        <f>'[1]Ages 2010'!J36/'[1]Ages 2010'!$C$36</f>
        <v>5.1435092262611767E-2</v>
      </c>
      <c r="K36" s="99">
        <f>'[1]Ages 2010'!K36/'[1]Ages 2010'!$C$36</f>
        <v>0.83375366025196773</v>
      </c>
      <c r="L36" s="99">
        <f>'[1]Ages 2010'!L36/'[1]Ages 2010'!$C$36</f>
        <v>0.11426191875029995</v>
      </c>
      <c r="M36" s="99">
        <f>'[1]Ages 2010'!M36/'[1]Ages 2010'!$C$36</f>
        <v>0</v>
      </c>
      <c r="N36" s="99">
        <f>'[1]Ages 2010'!N36/'[1]Ages 2010'!$C$36</f>
        <v>0</v>
      </c>
      <c r="O36" s="99">
        <f>'[1]Ages 2010'!O36/'[1]Ages 2010'!$C$36</f>
        <v>0</v>
      </c>
      <c r="P36" s="99">
        <f>'[1]Ages 2010'!P36/'[1]Ages 2010'!$C$36</f>
        <v>0</v>
      </c>
      <c r="Q36" s="99">
        <f>'[1]Ages 2010'!Q36/'[1]Ages 2010'!$C$36</f>
        <v>0</v>
      </c>
      <c r="R36" s="99">
        <f>'[1]Ages 2010'!R36/'[1]Ages 2010'!$C$36</f>
        <v>0</v>
      </c>
      <c r="S36" s="99">
        <f>'[1]Ages 2010'!S36/'[1]Ages 2010'!$C$36</f>
        <v>0</v>
      </c>
      <c r="T36" s="99">
        <f>'[1]Ages 2010'!T36/'[1]Ages 2010'!$C$36</f>
        <v>0</v>
      </c>
      <c r="U36" s="99">
        <f>'[1]Ages 2010'!U36/'[1]Ages 2010'!$C$36</f>
        <v>0</v>
      </c>
      <c r="V36" s="99">
        <f>'[1]Ages 2010'!V36/'[1]Ages 2010'!$C$36</f>
        <v>0</v>
      </c>
      <c r="W36" s="99">
        <f>'[1]Ages 2010'!W36/'[1]Ages 2010'!$C$36</f>
        <v>0</v>
      </c>
      <c r="X36" s="99">
        <f>'[1]Ages 2010'!X36/'[1]Ages 2010'!$C$36</f>
        <v>0</v>
      </c>
      <c r="Y36" s="99">
        <f>'[1]Ages 2010'!Y36/'[1]Ages 2010'!$C$36</f>
        <v>0</v>
      </c>
      <c r="Z36" s="99">
        <f>'[1]Ages 2010'!Z36/'[1]Ages 2010'!$C$36</f>
        <v>0</v>
      </c>
      <c r="AA36" s="99">
        <f>'[1]Ages 2010'!AA36/'[1]Ages 2010'!$C$36</f>
        <v>0</v>
      </c>
      <c r="AB36" s="99">
        <f>'[1]Ages 2010'!AB36/'[1]Ages 2010'!$C$36</f>
        <v>0</v>
      </c>
    </row>
    <row r="37" spans="2:28">
      <c r="B37" s="75">
        <v>35</v>
      </c>
      <c r="C37" s="100">
        <f t="shared" si="0"/>
        <v>1</v>
      </c>
      <c r="D37" s="99">
        <f>'[1]Ages 2010'!D37/'[1]Ages 2010'!$C$37</f>
        <v>0</v>
      </c>
      <c r="E37" s="99">
        <f>'[1]Ages 2010'!E37/'[1]Ages 2010'!$C$37</f>
        <v>0</v>
      </c>
      <c r="F37" s="99">
        <f>'[1]Ages 2010'!F37/'[1]Ages 2010'!$C$37</f>
        <v>0</v>
      </c>
      <c r="G37" s="99">
        <f>'[1]Ages 2010'!G37/'[1]Ages 2010'!$C$37</f>
        <v>0</v>
      </c>
      <c r="H37" s="99">
        <f>'[1]Ages 2010'!H37/'[1]Ages 2010'!$C$37</f>
        <v>0</v>
      </c>
      <c r="I37" s="99">
        <f>'[1]Ages 2010'!I37/'[1]Ages 2010'!$C$37</f>
        <v>0</v>
      </c>
      <c r="J37" s="99">
        <f>'[1]Ages 2010'!J37/'[1]Ages 2010'!$C$37</f>
        <v>3.9526741295222252E-3</v>
      </c>
      <c r="K37" s="99">
        <f>'[1]Ages 2010'!K37/'[1]Ages 2010'!$C$37</f>
        <v>0.46745347435287427</v>
      </c>
      <c r="L37" s="99">
        <f>'[1]Ages 2010'!L37/'[1]Ages 2010'!$C$37</f>
        <v>0.49733501985681838</v>
      </c>
      <c r="M37" s="99">
        <f>'[1]Ages 2010'!M37/'[1]Ages 2010'!$C$37</f>
        <v>3.1258831660785212E-2</v>
      </c>
      <c r="N37" s="99">
        <f>'[1]Ages 2010'!N37/'[1]Ages 2010'!$C$37</f>
        <v>0</v>
      </c>
      <c r="O37" s="99">
        <f>'[1]Ages 2010'!O37/'[1]Ages 2010'!$C$37</f>
        <v>0</v>
      </c>
      <c r="P37" s="99">
        <f>'[1]Ages 2010'!P37/'[1]Ages 2010'!$C$37</f>
        <v>0</v>
      </c>
      <c r="Q37" s="99">
        <f>'[1]Ages 2010'!Q37/'[1]Ages 2010'!$C$37</f>
        <v>0</v>
      </c>
      <c r="R37" s="99">
        <f>'[1]Ages 2010'!R37/'[1]Ages 2010'!$C$37</f>
        <v>0</v>
      </c>
      <c r="S37" s="99">
        <f>'[1]Ages 2010'!S37/'[1]Ages 2010'!$C$37</f>
        <v>0</v>
      </c>
      <c r="T37" s="99">
        <f>'[1]Ages 2010'!T37/'[1]Ages 2010'!$C$37</f>
        <v>0</v>
      </c>
      <c r="U37" s="99">
        <f>'[1]Ages 2010'!U37/'[1]Ages 2010'!$C$37</f>
        <v>0</v>
      </c>
      <c r="V37" s="99">
        <f>'[1]Ages 2010'!V37/'[1]Ages 2010'!$C$37</f>
        <v>0</v>
      </c>
      <c r="W37" s="99">
        <f>'[1]Ages 2010'!W37/'[1]Ages 2010'!$C$37</f>
        <v>0</v>
      </c>
      <c r="X37" s="99">
        <f>'[1]Ages 2010'!X37/'[1]Ages 2010'!$C$37</f>
        <v>0</v>
      </c>
      <c r="Y37" s="99">
        <f>'[1]Ages 2010'!Y37/'[1]Ages 2010'!$C$37</f>
        <v>0</v>
      </c>
      <c r="Z37" s="99">
        <f>'[1]Ages 2010'!Z37/'[1]Ages 2010'!$C$37</f>
        <v>0</v>
      </c>
      <c r="AA37" s="99">
        <f>'[1]Ages 2010'!AA37/'[1]Ages 2010'!$C$37</f>
        <v>0</v>
      </c>
      <c r="AB37" s="99">
        <f>'[1]Ages 2010'!AB37/'[1]Ages 2010'!$C$37</f>
        <v>0</v>
      </c>
    </row>
    <row r="38" spans="2:28">
      <c r="B38" s="101">
        <v>36</v>
      </c>
      <c r="C38" s="100">
        <f t="shared" si="0"/>
        <v>1</v>
      </c>
      <c r="D38" s="99">
        <f>'[1]Ages 2010'!D38/'[1]Ages 2010'!$C$38</f>
        <v>0</v>
      </c>
      <c r="E38" s="99">
        <f>'[1]Ages 2010'!E38/'[1]Ages 2010'!$C$38</f>
        <v>0</v>
      </c>
      <c r="F38" s="99">
        <f>'[1]Ages 2010'!F38/'[1]Ages 2010'!$C$38</f>
        <v>0</v>
      </c>
      <c r="G38" s="99">
        <f>'[1]Ages 2010'!G38/'[1]Ages 2010'!$C$38</f>
        <v>0</v>
      </c>
      <c r="H38" s="99">
        <f>'[1]Ages 2010'!H38/'[1]Ages 2010'!$C$38</f>
        <v>0</v>
      </c>
      <c r="I38" s="99">
        <f>'[1]Ages 2010'!I38/'[1]Ages 2010'!$C$38</f>
        <v>0</v>
      </c>
      <c r="J38" s="99">
        <f>'[1]Ages 2010'!J38/'[1]Ages 2010'!$C$38</f>
        <v>5.0404076372749908E-3</v>
      </c>
      <c r="K38" s="99">
        <f>'[1]Ages 2010'!K38/'[1]Ages 2010'!$C$38</f>
        <v>0.23609239839260002</v>
      </c>
      <c r="L38" s="99">
        <f>'[1]Ages 2010'!L38/'[1]Ages 2010'!$C$38</f>
        <v>0.72318899560566141</v>
      </c>
      <c r="M38" s="99">
        <f>'[1]Ages 2010'!M38/'[1]Ages 2010'!$C$38</f>
        <v>3.5678198364463599E-2</v>
      </c>
      <c r="N38" s="99">
        <f>'[1]Ages 2010'!N38/'[1]Ages 2010'!$C$38</f>
        <v>0</v>
      </c>
      <c r="O38" s="99">
        <f>'[1]Ages 2010'!O38/'[1]Ages 2010'!$C$38</f>
        <v>0</v>
      </c>
      <c r="P38" s="99">
        <f>'[1]Ages 2010'!P38/'[1]Ages 2010'!$C$38</f>
        <v>0</v>
      </c>
      <c r="Q38" s="99">
        <f>'[1]Ages 2010'!Q38/'[1]Ages 2010'!$C$38</f>
        <v>0</v>
      </c>
      <c r="R38" s="99">
        <f>'[1]Ages 2010'!R38/'[1]Ages 2010'!$C$38</f>
        <v>0</v>
      </c>
      <c r="S38" s="99">
        <f>'[1]Ages 2010'!S38/'[1]Ages 2010'!$C$38</f>
        <v>0</v>
      </c>
      <c r="T38" s="99">
        <f>'[1]Ages 2010'!T38/'[1]Ages 2010'!$C$38</f>
        <v>0</v>
      </c>
      <c r="U38" s="99">
        <f>'[1]Ages 2010'!U38/'[1]Ages 2010'!$C$38</f>
        <v>0</v>
      </c>
      <c r="V38" s="99">
        <f>'[1]Ages 2010'!V38/'[1]Ages 2010'!$C$38</f>
        <v>0</v>
      </c>
      <c r="W38" s="99">
        <f>'[1]Ages 2010'!W38/'[1]Ages 2010'!$C$38</f>
        <v>0</v>
      </c>
      <c r="X38" s="99">
        <f>'[1]Ages 2010'!X38/'[1]Ages 2010'!$C$38</f>
        <v>0</v>
      </c>
      <c r="Y38" s="99">
        <f>'[1]Ages 2010'!Y38/'[1]Ages 2010'!$C$38</f>
        <v>0</v>
      </c>
      <c r="Z38" s="99">
        <f>'[1]Ages 2010'!Z38/'[1]Ages 2010'!$C$38</f>
        <v>0</v>
      </c>
      <c r="AA38" s="99">
        <f>'[1]Ages 2010'!AA38/'[1]Ages 2010'!$C$38</f>
        <v>0</v>
      </c>
      <c r="AB38" s="99">
        <f>'[1]Ages 2010'!AB38/'[1]Ages 2010'!$C$38</f>
        <v>0</v>
      </c>
    </row>
    <row r="39" spans="2:28">
      <c r="B39" s="75">
        <v>37</v>
      </c>
      <c r="C39" s="100">
        <f t="shared" ref="C39:C68" si="1">SUM(D39:AA39)</f>
        <v>1</v>
      </c>
      <c r="D39" s="99">
        <f>'[1]Ages 2010'!D39/'[1]Ages 2010'!$C$39</f>
        <v>0</v>
      </c>
      <c r="E39" s="99">
        <f>'[1]Ages 2010'!E39/'[1]Ages 2010'!$C$39</f>
        <v>0</v>
      </c>
      <c r="F39" s="99">
        <f>'[1]Ages 2010'!F39/'[1]Ages 2010'!$C$39</f>
        <v>0</v>
      </c>
      <c r="G39" s="99">
        <f>'[1]Ages 2010'!G39/'[1]Ages 2010'!$C$39</f>
        <v>0</v>
      </c>
      <c r="H39" s="99">
        <f>'[1]Ages 2010'!H39/'[1]Ages 2010'!$C$39</f>
        <v>0</v>
      </c>
      <c r="I39" s="99">
        <f>'[1]Ages 2010'!I39/'[1]Ages 2010'!$C$39</f>
        <v>0</v>
      </c>
      <c r="J39" s="99">
        <f>'[1]Ages 2010'!J39/'[1]Ages 2010'!$C$39</f>
        <v>0</v>
      </c>
      <c r="K39" s="99">
        <f>'[1]Ages 2010'!K39/'[1]Ages 2010'!$C$39</f>
        <v>8.586333124370038E-2</v>
      </c>
      <c r="L39" s="99">
        <f>'[1]Ages 2010'!L39/'[1]Ages 2010'!$C$39</f>
        <v>0.63336011342584908</v>
      </c>
      <c r="M39" s="99">
        <f>'[1]Ages 2010'!M39/'[1]Ages 2010'!$C$39</f>
        <v>0.28077655533045054</v>
      </c>
      <c r="N39" s="99">
        <f>'[1]Ages 2010'!N39/'[1]Ages 2010'!$C$39</f>
        <v>0</v>
      </c>
      <c r="O39" s="99">
        <f>'[1]Ages 2010'!O39/'[1]Ages 2010'!$C$39</f>
        <v>0</v>
      </c>
      <c r="P39" s="99">
        <f>'[1]Ages 2010'!P39/'[1]Ages 2010'!$C$39</f>
        <v>0</v>
      </c>
      <c r="Q39" s="99">
        <f>'[1]Ages 2010'!Q39/'[1]Ages 2010'!$C$39</f>
        <v>0</v>
      </c>
      <c r="R39" s="99">
        <f>'[1]Ages 2010'!R39/'[1]Ages 2010'!$C$39</f>
        <v>0</v>
      </c>
      <c r="S39" s="99">
        <f>'[1]Ages 2010'!S39/'[1]Ages 2010'!$C$39</f>
        <v>0</v>
      </c>
      <c r="T39" s="99">
        <f>'[1]Ages 2010'!T39/'[1]Ages 2010'!$C$39</f>
        <v>0</v>
      </c>
      <c r="U39" s="99">
        <f>'[1]Ages 2010'!U39/'[1]Ages 2010'!$C$39</f>
        <v>0</v>
      </c>
      <c r="V39" s="99">
        <f>'[1]Ages 2010'!V39/'[1]Ages 2010'!$C$39</f>
        <v>0</v>
      </c>
      <c r="W39" s="99">
        <f>'[1]Ages 2010'!W39/'[1]Ages 2010'!$C$39</f>
        <v>0</v>
      </c>
      <c r="X39" s="99">
        <f>'[1]Ages 2010'!X39/'[1]Ages 2010'!$C$39</f>
        <v>0</v>
      </c>
      <c r="Y39" s="99">
        <f>'[1]Ages 2010'!Y39/'[1]Ages 2010'!$C$39</f>
        <v>0</v>
      </c>
      <c r="Z39" s="99">
        <f>'[1]Ages 2010'!Z39/'[1]Ages 2010'!$C$39</f>
        <v>0</v>
      </c>
      <c r="AA39" s="99">
        <f>'[1]Ages 2010'!AA39/'[1]Ages 2010'!$C$39</f>
        <v>0</v>
      </c>
      <c r="AB39" s="99">
        <f>'[1]Ages 2010'!AB39/'[1]Ages 2010'!$C$39</f>
        <v>0</v>
      </c>
    </row>
    <row r="40" spans="2:28">
      <c r="B40" s="101">
        <v>38</v>
      </c>
      <c r="C40" s="100">
        <f t="shared" si="1"/>
        <v>1</v>
      </c>
      <c r="D40" s="99">
        <f>'[1]Ages 2010'!D40/'[1]Ages 2010'!$C$40</f>
        <v>0</v>
      </c>
      <c r="E40" s="99">
        <f>'[1]Ages 2010'!E40/'[1]Ages 2010'!$C$40</f>
        <v>0</v>
      </c>
      <c r="F40" s="99">
        <f>'[1]Ages 2010'!F40/'[1]Ages 2010'!$C$40</f>
        <v>0</v>
      </c>
      <c r="G40" s="99">
        <f>'[1]Ages 2010'!G40/'[1]Ages 2010'!$C$40</f>
        <v>0</v>
      </c>
      <c r="H40" s="99">
        <f>'[1]Ages 2010'!H40/'[1]Ages 2010'!$C$40</f>
        <v>0</v>
      </c>
      <c r="I40" s="99">
        <f>'[1]Ages 2010'!I40/'[1]Ages 2010'!$C$40</f>
        <v>0</v>
      </c>
      <c r="J40" s="99">
        <f>'[1]Ages 2010'!J40/'[1]Ages 2010'!$C$40</f>
        <v>0</v>
      </c>
      <c r="K40" s="99">
        <f>'[1]Ages 2010'!K40/'[1]Ages 2010'!$C$40</f>
        <v>8.4553565691991247E-4</v>
      </c>
      <c r="L40" s="99">
        <f>'[1]Ages 2010'!L40/'[1]Ages 2010'!$C$40</f>
        <v>7.3087715599216799E-2</v>
      </c>
      <c r="M40" s="99">
        <f>'[1]Ages 2010'!M40/'[1]Ages 2010'!$C$40</f>
        <v>0.82199321732357022</v>
      </c>
      <c r="N40" s="99">
        <f>'[1]Ages 2010'!N40/'[1]Ages 2010'!$C$40</f>
        <v>9.7160124474993462E-2</v>
      </c>
      <c r="O40" s="99">
        <f>'[1]Ages 2010'!O40/'[1]Ages 2010'!$C$40</f>
        <v>6.9134069452996523E-3</v>
      </c>
      <c r="P40" s="99">
        <f>'[1]Ages 2010'!P40/'[1]Ages 2010'!$C$40</f>
        <v>0</v>
      </c>
      <c r="Q40" s="99">
        <f>'[1]Ages 2010'!Q40/'[1]Ages 2010'!$C$40</f>
        <v>0</v>
      </c>
      <c r="R40" s="99">
        <f>'[1]Ages 2010'!R40/'[1]Ages 2010'!$C$40</f>
        <v>0</v>
      </c>
      <c r="S40" s="99">
        <f>'[1]Ages 2010'!S40/'[1]Ages 2010'!$C$40</f>
        <v>0</v>
      </c>
      <c r="T40" s="99">
        <f>'[1]Ages 2010'!T40/'[1]Ages 2010'!$C$40</f>
        <v>0</v>
      </c>
      <c r="U40" s="99">
        <f>'[1]Ages 2010'!U40/'[1]Ages 2010'!$C$40</f>
        <v>0</v>
      </c>
      <c r="V40" s="99">
        <f>'[1]Ages 2010'!V40/'[1]Ages 2010'!$C$40</f>
        <v>0</v>
      </c>
      <c r="W40" s="99">
        <f>'[1]Ages 2010'!W40/'[1]Ages 2010'!$C$40</f>
        <v>0</v>
      </c>
      <c r="X40" s="99">
        <f>'[1]Ages 2010'!X40/'[1]Ages 2010'!$C$40</f>
        <v>0</v>
      </c>
      <c r="Y40" s="99">
        <f>'[1]Ages 2010'!Y40/'[1]Ages 2010'!$C$40</f>
        <v>0</v>
      </c>
      <c r="Z40" s="99">
        <f>'[1]Ages 2010'!Z40/'[1]Ages 2010'!$C$40</f>
        <v>0</v>
      </c>
      <c r="AA40" s="99">
        <f>'[1]Ages 2010'!AA40/'[1]Ages 2010'!$C$40</f>
        <v>0</v>
      </c>
      <c r="AB40" s="99">
        <f>'[1]Ages 2010'!AB40/'[1]Ages 2010'!$C$40</f>
        <v>0</v>
      </c>
    </row>
    <row r="41" spans="2:28">
      <c r="B41" s="75">
        <v>39</v>
      </c>
      <c r="C41" s="100">
        <f t="shared" si="1"/>
        <v>1</v>
      </c>
      <c r="D41" s="99">
        <f>'[1]Ages 2010'!D41/'[1]Ages 2010'!$C$41</f>
        <v>0</v>
      </c>
      <c r="E41" s="99">
        <f>'[1]Ages 2010'!E41/'[1]Ages 2010'!$C$41</f>
        <v>0</v>
      </c>
      <c r="F41" s="99">
        <f>'[1]Ages 2010'!F41/'[1]Ages 2010'!$C$41</f>
        <v>0</v>
      </c>
      <c r="G41" s="99">
        <f>'[1]Ages 2010'!G41/'[1]Ages 2010'!$C$41</f>
        <v>0</v>
      </c>
      <c r="H41" s="99">
        <f>'[1]Ages 2010'!H41/'[1]Ages 2010'!$C$41</f>
        <v>0</v>
      </c>
      <c r="I41" s="99">
        <f>'[1]Ages 2010'!I41/'[1]Ages 2010'!$C$41</f>
        <v>0</v>
      </c>
      <c r="J41" s="99">
        <f>'[1]Ages 2010'!J41/'[1]Ages 2010'!$C$41</f>
        <v>0</v>
      </c>
      <c r="K41" s="99">
        <f>'[1]Ages 2010'!K41/'[1]Ages 2010'!$C$41</f>
        <v>0</v>
      </c>
      <c r="L41" s="99">
        <f>'[1]Ages 2010'!L41/'[1]Ages 2010'!$C$41</f>
        <v>9.1146860833055728E-3</v>
      </c>
      <c r="M41" s="99">
        <f>'[1]Ages 2010'!M41/'[1]Ages 2010'!$C$41</f>
        <v>0.56614290535477252</v>
      </c>
      <c r="N41" s="99">
        <f>'[1]Ages 2010'!N41/'[1]Ages 2010'!$C$41</f>
        <v>0.37462010663716994</v>
      </c>
      <c r="O41" s="99">
        <f>'[1]Ages 2010'!O41/'[1]Ages 2010'!$C$41</f>
        <v>5.0122301924751991E-2</v>
      </c>
      <c r="P41" s="99">
        <f>'[1]Ages 2010'!P41/'[1]Ages 2010'!$C$41</f>
        <v>0</v>
      </c>
      <c r="Q41" s="99">
        <f>'[1]Ages 2010'!Q41/'[1]Ages 2010'!$C$41</f>
        <v>0</v>
      </c>
      <c r="R41" s="99">
        <f>'[1]Ages 2010'!R41/'[1]Ages 2010'!$C$41</f>
        <v>0</v>
      </c>
      <c r="S41" s="99">
        <f>'[1]Ages 2010'!S41/'[1]Ages 2010'!$C$41</f>
        <v>0</v>
      </c>
      <c r="T41" s="99">
        <f>'[1]Ages 2010'!T41/'[1]Ages 2010'!$C$41</f>
        <v>0</v>
      </c>
      <c r="U41" s="99">
        <f>'[1]Ages 2010'!U41/'[1]Ages 2010'!$C$41</f>
        <v>0</v>
      </c>
      <c r="V41" s="99">
        <f>'[1]Ages 2010'!V41/'[1]Ages 2010'!$C$41</f>
        <v>0</v>
      </c>
      <c r="W41" s="99">
        <f>'[1]Ages 2010'!W41/'[1]Ages 2010'!$C$41</f>
        <v>0</v>
      </c>
      <c r="X41" s="99">
        <f>'[1]Ages 2010'!X41/'[1]Ages 2010'!$C$41</f>
        <v>0</v>
      </c>
      <c r="Y41" s="99">
        <f>'[1]Ages 2010'!Y41/'[1]Ages 2010'!$C$41</f>
        <v>0</v>
      </c>
      <c r="Z41" s="99">
        <f>'[1]Ages 2010'!Z41/'[1]Ages 2010'!$C$41</f>
        <v>0</v>
      </c>
      <c r="AA41" s="99">
        <f>'[1]Ages 2010'!AA41/'[1]Ages 2010'!$C$41</f>
        <v>0</v>
      </c>
      <c r="AB41" s="99">
        <f>'[1]Ages 2010'!AB41/'[1]Ages 2010'!$C$41</f>
        <v>0</v>
      </c>
    </row>
    <row r="42" spans="2:28">
      <c r="B42" s="101">
        <v>40</v>
      </c>
      <c r="C42" s="100">
        <f t="shared" si="1"/>
        <v>1</v>
      </c>
      <c r="D42" s="99">
        <f>'[1]Ages 2010'!D42/'[1]Ages 2010'!$C$42</f>
        <v>0</v>
      </c>
      <c r="E42" s="99">
        <f>'[1]Ages 2010'!E42/'[1]Ages 2010'!$C$42</f>
        <v>0</v>
      </c>
      <c r="F42" s="99">
        <f>'[1]Ages 2010'!F42/'[1]Ages 2010'!$C$42</f>
        <v>0</v>
      </c>
      <c r="G42" s="99">
        <f>'[1]Ages 2010'!G42/'[1]Ages 2010'!$C$42</f>
        <v>0</v>
      </c>
      <c r="H42" s="99">
        <f>'[1]Ages 2010'!H42/'[1]Ages 2010'!$C$42</f>
        <v>0</v>
      </c>
      <c r="I42" s="99">
        <f>'[1]Ages 2010'!I42/'[1]Ages 2010'!$C$42</f>
        <v>0</v>
      </c>
      <c r="J42" s="99">
        <f>'[1]Ages 2010'!J42/'[1]Ages 2010'!$C$42</f>
        <v>0</v>
      </c>
      <c r="K42" s="99">
        <f>'[1]Ages 2010'!K42/'[1]Ages 2010'!$C$42</f>
        <v>0</v>
      </c>
      <c r="L42" s="99">
        <f>'[1]Ages 2010'!L42/'[1]Ages 2010'!$C$42</f>
        <v>5.6791134684124772E-4</v>
      </c>
      <c r="M42" s="99">
        <f>'[1]Ages 2010'!M42/'[1]Ages 2010'!$C$42</f>
        <v>0.42788724807189538</v>
      </c>
      <c r="N42" s="99">
        <f>'[1]Ages 2010'!N42/'[1]Ages 2010'!$C$42</f>
        <v>0.52130587296455855</v>
      </c>
      <c r="O42" s="99">
        <f>'[1]Ages 2010'!O42/'[1]Ages 2010'!$C$42</f>
        <v>2.5119483808352397E-2</v>
      </c>
      <c r="P42" s="99">
        <f>'[1]Ages 2010'!P42/'[1]Ages 2010'!$C$42</f>
        <v>2.5119483808352397E-2</v>
      </c>
      <c r="Q42" s="99">
        <f>'[1]Ages 2010'!Q42/'[1]Ages 2010'!$C$42</f>
        <v>0</v>
      </c>
      <c r="R42" s="99">
        <f>'[1]Ages 2010'!R42/'[1]Ages 2010'!$C$42</f>
        <v>0</v>
      </c>
      <c r="S42" s="99">
        <f>'[1]Ages 2010'!S42/'[1]Ages 2010'!$C$42</f>
        <v>0</v>
      </c>
      <c r="T42" s="99">
        <f>'[1]Ages 2010'!T42/'[1]Ages 2010'!$C$42</f>
        <v>0</v>
      </c>
      <c r="U42" s="99">
        <f>'[1]Ages 2010'!U42/'[1]Ages 2010'!$C$42</f>
        <v>0</v>
      </c>
      <c r="V42" s="99">
        <f>'[1]Ages 2010'!V42/'[1]Ages 2010'!$C$42</f>
        <v>0</v>
      </c>
      <c r="W42" s="99">
        <f>'[1]Ages 2010'!W42/'[1]Ages 2010'!$C$42</f>
        <v>0</v>
      </c>
      <c r="X42" s="99">
        <f>'[1]Ages 2010'!X42/'[1]Ages 2010'!$C$42</f>
        <v>0</v>
      </c>
      <c r="Y42" s="99">
        <f>'[1]Ages 2010'!Y42/'[1]Ages 2010'!$C$42</f>
        <v>0</v>
      </c>
      <c r="Z42" s="99">
        <f>'[1]Ages 2010'!Z42/'[1]Ages 2010'!$C$42</f>
        <v>0</v>
      </c>
      <c r="AA42" s="99">
        <f>'[1]Ages 2010'!AA42/'[1]Ages 2010'!$C$42</f>
        <v>0</v>
      </c>
      <c r="AB42" s="99">
        <f>'[1]Ages 2010'!AB42/'[1]Ages 2010'!$C$42</f>
        <v>0</v>
      </c>
    </row>
    <row r="43" spans="2:28">
      <c r="B43" s="75">
        <v>41</v>
      </c>
      <c r="C43" s="100">
        <f t="shared" si="1"/>
        <v>1</v>
      </c>
      <c r="D43" s="99">
        <f>'[1]Ages 2010'!D43/'[1]Ages 2010'!$C$43</f>
        <v>0</v>
      </c>
      <c r="E43" s="99">
        <f>'[1]Ages 2010'!E43/'[1]Ages 2010'!$C$43</f>
        <v>0</v>
      </c>
      <c r="F43" s="99">
        <f>'[1]Ages 2010'!F43/'[1]Ages 2010'!$C$43</f>
        <v>0</v>
      </c>
      <c r="G43" s="99">
        <f>'[1]Ages 2010'!G43/'[1]Ages 2010'!$C$43</f>
        <v>0</v>
      </c>
      <c r="H43" s="99">
        <f>'[1]Ages 2010'!H43/'[1]Ages 2010'!$C$43</f>
        <v>0</v>
      </c>
      <c r="I43" s="99">
        <f>'[1]Ages 2010'!I43/'[1]Ages 2010'!$C$43</f>
        <v>0</v>
      </c>
      <c r="J43" s="99">
        <f>'[1]Ages 2010'!J43/'[1]Ages 2010'!$C$43</f>
        <v>0</v>
      </c>
      <c r="K43" s="99">
        <f>'[1]Ages 2010'!K43/'[1]Ages 2010'!$C$43</f>
        <v>0</v>
      </c>
      <c r="L43" s="99">
        <f>'[1]Ages 2010'!L43/'[1]Ages 2010'!$C$43</f>
        <v>0</v>
      </c>
      <c r="M43" s="99">
        <f>'[1]Ages 2010'!M43/'[1]Ages 2010'!$C$43</f>
        <v>0.22010979506749692</v>
      </c>
      <c r="N43" s="99">
        <f>'[1]Ages 2010'!N43/'[1]Ages 2010'!$C$43</f>
        <v>0.65672074291047289</v>
      </c>
      <c r="O43" s="99">
        <f>'[1]Ages 2010'!O43/'[1]Ages 2010'!$C$43</f>
        <v>0.12316946202203023</v>
      </c>
      <c r="P43" s="99">
        <f>'[1]Ages 2010'!P43/'[1]Ages 2010'!$C$43</f>
        <v>0</v>
      </c>
      <c r="Q43" s="99">
        <f>'[1]Ages 2010'!Q43/'[1]Ages 2010'!$C$43</f>
        <v>0</v>
      </c>
      <c r="R43" s="99">
        <f>'[1]Ages 2010'!R43/'[1]Ages 2010'!$C$43</f>
        <v>0</v>
      </c>
      <c r="S43" s="99">
        <f>'[1]Ages 2010'!S43/'[1]Ages 2010'!$C$43</f>
        <v>0</v>
      </c>
      <c r="T43" s="99">
        <f>'[1]Ages 2010'!T43/'[1]Ages 2010'!$C$43</f>
        <v>0</v>
      </c>
      <c r="U43" s="99">
        <f>'[1]Ages 2010'!U43/'[1]Ages 2010'!$C$43</f>
        <v>0</v>
      </c>
      <c r="V43" s="99">
        <f>'[1]Ages 2010'!V43/'[1]Ages 2010'!$C$43</f>
        <v>0</v>
      </c>
      <c r="W43" s="99">
        <f>'[1]Ages 2010'!W43/'[1]Ages 2010'!$C$43</f>
        <v>0</v>
      </c>
      <c r="X43" s="99">
        <f>'[1]Ages 2010'!X43/'[1]Ages 2010'!$C$43</f>
        <v>0</v>
      </c>
      <c r="Y43" s="99">
        <f>'[1]Ages 2010'!Y43/'[1]Ages 2010'!$C$43</f>
        <v>0</v>
      </c>
      <c r="Z43" s="99">
        <f>'[1]Ages 2010'!Z43/'[1]Ages 2010'!$C$43</f>
        <v>0</v>
      </c>
      <c r="AA43" s="99">
        <f>'[1]Ages 2010'!AA43/'[1]Ages 2010'!$C$43</f>
        <v>0</v>
      </c>
      <c r="AB43" s="99">
        <f>'[1]Ages 2010'!AB43/'[1]Ages 2010'!$C$43</f>
        <v>0</v>
      </c>
    </row>
    <row r="44" spans="2:28">
      <c r="B44" s="101">
        <v>42</v>
      </c>
      <c r="C44" s="100">
        <f t="shared" si="1"/>
        <v>1</v>
      </c>
      <c r="D44" s="99">
        <f>'[1]Ages 2010'!D44/'[1]Ages 2010'!$C$44</f>
        <v>0</v>
      </c>
      <c r="E44" s="99">
        <f>'[1]Ages 2010'!E44/'[1]Ages 2010'!$C$44</f>
        <v>0</v>
      </c>
      <c r="F44" s="99">
        <f>'[1]Ages 2010'!F44/'[1]Ages 2010'!$C$44</f>
        <v>0</v>
      </c>
      <c r="G44" s="99">
        <f>'[1]Ages 2010'!G44/'[1]Ages 2010'!$C$44</f>
        <v>0</v>
      </c>
      <c r="H44" s="99">
        <f>'[1]Ages 2010'!H44/'[1]Ages 2010'!$C$44</f>
        <v>0</v>
      </c>
      <c r="I44" s="99">
        <f>'[1]Ages 2010'!I44/'[1]Ages 2010'!$C$44</f>
        <v>0</v>
      </c>
      <c r="J44" s="99">
        <f>'[1]Ages 2010'!J44/'[1]Ages 2010'!$C$44</f>
        <v>0</v>
      </c>
      <c r="K44" s="99">
        <f>'[1]Ages 2010'!K44/'[1]Ages 2010'!$C$44</f>
        <v>0</v>
      </c>
      <c r="L44" s="99">
        <f>'[1]Ages 2010'!L44/'[1]Ages 2010'!$C$44</f>
        <v>0</v>
      </c>
      <c r="M44" s="99">
        <f>'[1]Ages 2010'!M44/'[1]Ages 2010'!$C$44</f>
        <v>8.5644854387650973E-2</v>
      </c>
      <c r="N44" s="99">
        <f>'[1]Ages 2010'!N44/'[1]Ages 2010'!$C$44</f>
        <v>0.86611040575804454</v>
      </c>
      <c r="O44" s="99">
        <f>'[1]Ages 2010'!O44/'[1]Ages 2010'!$C$44</f>
        <v>3.2163159902869658E-2</v>
      </c>
      <c r="P44" s="99">
        <f>'[1]Ages 2010'!P44/'[1]Ages 2010'!$C$44</f>
        <v>1.6081579951434829E-2</v>
      </c>
      <c r="Q44" s="99">
        <f>'[1]Ages 2010'!Q44/'[1]Ages 2010'!$C$44</f>
        <v>0</v>
      </c>
      <c r="R44" s="99">
        <f>'[1]Ages 2010'!R44/'[1]Ages 2010'!$C$44</f>
        <v>0</v>
      </c>
      <c r="S44" s="99">
        <f>'[1]Ages 2010'!S44/'[1]Ages 2010'!$C$44</f>
        <v>0</v>
      </c>
      <c r="T44" s="99">
        <f>'[1]Ages 2010'!T44/'[1]Ages 2010'!$C$44</f>
        <v>0</v>
      </c>
      <c r="U44" s="99">
        <f>'[1]Ages 2010'!U44/'[1]Ages 2010'!$C$44</f>
        <v>0</v>
      </c>
      <c r="V44" s="99">
        <f>'[1]Ages 2010'!V44/'[1]Ages 2010'!$C$44</f>
        <v>0</v>
      </c>
      <c r="W44" s="99">
        <f>'[1]Ages 2010'!W44/'[1]Ages 2010'!$C$44</f>
        <v>0</v>
      </c>
      <c r="X44" s="99">
        <f>'[1]Ages 2010'!X44/'[1]Ages 2010'!$C$44</f>
        <v>0</v>
      </c>
      <c r="Y44" s="99">
        <f>'[1]Ages 2010'!Y44/'[1]Ages 2010'!$C$44</f>
        <v>0</v>
      </c>
      <c r="Z44" s="99">
        <f>'[1]Ages 2010'!Z44/'[1]Ages 2010'!$C$44</f>
        <v>0</v>
      </c>
      <c r="AA44" s="99">
        <f>'[1]Ages 2010'!AA44/'[1]Ages 2010'!$C$44</f>
        <v>0</v>
      </c>
      <c r="AB44" s="99">
        <f>'[1]Ages 2010'!AB44/'[1]Ages 2010'!$C$44</f>
        <v>0</v>
      </c>
    </row>
    <row r="45" spans="2:28">
      <c r="B45" s="75">
        <v>43</v>
      </c>
      <c r="C45" s="100">
        <f t="shared" si="1"/>
        <v>1</v>
      </c>
      <c r="D45" s="99">
        <f>'[1]Ages 2010'!D45/'[1]Ages 2010'!$C$45</f>
        <v>0</v>
      </c>
      <c r="E45" s="99">
        <f>'[1]Ages 2010'!E45/'[1]Ages 2010'!$C$45</f>
        <v>0</v>
      </c>
      <c r="F45" s="99">
        <f>'[1]Ages 2010'!F45/'[1]Ages 2010'!$C$45</f>
        <v>0</v>
      </c>
      <c r="G45" s="99">
        <f>'[1]Ages 2010'!G45/'[1]Ages 2010'!$C$45</f>
        <v>0</v>
      </c>
      <c r="H45" s="99">
        <f>'[1]Ages 2010'!H45/'[1]Ages 2010'!$C$45</f>
        <v>0</v>
      </c>
      <c r="I45" s="99">
        <f>'[1]Ages 2010'!I45/'[1]Ages 2010'!$C$45</f>
        <v>0</v>
      </c>
      <c r="J45" s="99">
        <f>'[1]Ages 2010'!J45/'[1]Ages 2010'!$C$45</f>
        <v>0</v>
      </c>
      <c r="K45" s="99">
        <f>'[1]Ages 2010'!K45/'[1]Ages 2010'!$C$45</f>
        <v>0</v>
      </c>
      <c r="L45" s="99">
        <f>'[1]Ages 2010'!L45/'[1]Ages 2010'!$C$45</f>
        <v>0</v>
      </c>
      <c r="M45" s="99">
        <f>'[1]Ages 2010'!M45/'[1]Ages 2010'!$C$45</f>
        <v>0.11005065184696136</v>
      </c>
      <c r="N45" s="99">
        <f>'[1]Ages 2010'!N45/'[1]Ages 2010'!$C$45</f>
        <v>0.6057601626477529</v>
      </c>
      <c r="O45" s="99">
        <f>'[1]Ages 2010'!O45/'[1]Ages 2010'!$C$45</f>
        <v>0.23815078060251893</v>
      </c>
      <c r="P45" s="99">
        <f>'[1]Ages 2010'!P45/'[1]Ages 2010'!$C$45</f>
        <v>4.6038404902766852E-2</v>
      </c>
      <c r="Q45" s="99">
        <f>'[1]Ages 2010'!Q45/'[1]Ages 2010'!$C$45</f>
        <v>0</v>
      </c>
      <c r="R45" s="99">
        <f>'[1]Ages 2010'!R45/'[1]Ages 2010'!$C$45</f>
        <v>0</v>
      </c>
      <c r="S45" s="99">
        <f>'[1]Ages 2010'!S45/'[1]Ages 2010'!$C$45</f>
        <v>0</v>
      </c>
      <c r="T45" s="99">
        <f>'[1]Ages 2010'!T45/'[1]Ages 2010'!$C$45</f>
        <v>0</v>
      </c>
      <c r="U45" s="99">
        <f>'[1]Ages 2010'!U45/'[1]Ages 2010'!$C$45</f>
        <v>0</v>
      </c>
      <c r="V45" s="99">
        <f>'[1]Ages 2010'!V45/'[1]Ages 2010'!$C$45</f>
        <v>0</v>
      </c>
      <c r="W45" s="99">
        <f>'[1]Ages 2010'!W45/'[1]Ages 2010'!$C$45</f>
        <v>0</v>
      </c>
      <c r="X45" s="99">
        <f>'[1]Ages 2010'!X45/'[1]Ages 2010'!$C$45</f>
        <v>0</v>
      </c>
      <c r="Y45" s="99">
        <f>'[1]Ages 2010'!Y45/'[1]Ages 2010'!$C$45</f>
        <v>0</v>
      </c>
      <c r="Z45" s="99">
        <f>'[1]Ages 2010'!Z45/'[1]Ages 2010'!$C$45</f>
        <v>0</v>
      </c>
      <c r="AA45" s="99">
        <f>'[1]Ages 2010'!AA45/'[1]Ages 2010'!$C$45</f>
        <v>0</v>
      </c>
      <c r="AB45" s="99">
        <f>'[1]Ages 2010'!AB45/'[1]Ages 2010'!$C$45</f>
        <v>0</v>
      </c>
    </row>
    <row r="46" spans="2:28">
      <c r="B46" s="101">
        <v>44</v>
      </c>
      <c r="C46" s="100">
        <f t="shared" si="1"/>
        <v>1</v>
      </c>
      <c r="D46" s="99">
        <f>'[1]Ages 2010'!D46/'[1]Ages 2010'!$C$46</f>
        <v>0</v>
      </c>
      <c r="E46" s="99">
        <f>'[1]Ages 2010'!E46/'[1]Ages 2010'!$C$46</f>
        <v>0</v>
      </c>
      <c r="F46" s="99">
        <f>'[1]Ages 2010'!F46/'[1]Ages 2010'!$C$46</f>
        <v>0</v>
      </c>
      <c r="G46" s="99">
        <f>'[1]Ages 2010'!G46/'[1]Ages 2010'!$C$46</f>
        <v>0</v>
      </c>
      <c r="H46" s="99">
        <f>'[1]Ages 2010'!H46/'[1]Ages 2010'!$C$46</f>
        <v>0</v>
      </c>
      <c r="I46" s="99">
        <f>'[1]Ages 2010'!I46/'[1]Ages 2010'!$C$46</f>
        <v>0</v>
      </c>
      <c r="J46" s="99">
        <f>'[1]Ages 2010'!J46/'[1]Ages 2010'!$C$46</f>
        <v>0</v>
      </c>
      <c r="K46" s="99">
        <f>'[1]Ages 2010'!K46/'[1]Ages 2010'!$C$46</f>
        <v>0</v>
      </c>
      <c r="L46" s="99">
        <f>'[1]Ages 2010'!L46/'[1]Ages 2010'!$C$46</f>
        <v>0</v>
      </c>
      <c r="M46" s="99">
        <f>'[1]Ages 2010'!M46/'[1]Ages 2010'!$C$46</f>
        <v>0</v>
      </c>
      <c r="N46" s="99">
        <f>'[1]Ages 2010'!N46/'[1]Ages 2010'!$C$46</f>
        <v>0.53390012832263023</v>
      </c>
      <c r="O46" s="99">
        <f>'[1]Ages 2010'!O46/'[1]Ages 2010'!$C$46</f>
        <v>0.42031788095408124</v>
      </c>
      <c r="P46" s="99">
        <f>'[1]Ages 2010'!P46/'[1]Ages 2010'!$C$46</f>
        <v>4.5781990723288556E-2</v>
      </c>
      <c r="Q46" s="99">
        <f>'[1]Ages 2010'!Q46/'[1]Ages 2010'!$C$46</f>
        <v>0</v>
      </c>
      <c r="R46" s="99">
        <f>'[1]Ages 2010'!R46/'[1]Ages 2010'!$C$46</f>
        <v>0</v>
      </c>
      <c r="S46" s="99">
        <f>'[1]Ages 2010'!S46/'[1]Ages 2010'!$C$46</f>
        <v>0</v>
      </c>
      <c r="T46" s="99">
        <f>'[1]Ages 2010'!T46/'[1]Ages 2010'!$C$46</f>
        <v>0</v>
      </c>
      <c r="U46" s="99">
        <f>'[1]Ages 2010'!U46/'[1]Ages 2010'!$C$46</f>
        <v>0</v>
      </c>
      <c r="V46" s="99">
        <f>'[1]Ages 2010'!V46/'[1]Ages 2010'!$C$46</f>
        <v>0</v>
      </c>
      <c r="W46" s="99">
        <f>'[1]Ages 2010'!W46/'[1]Ages 2010'!$C$46</f>
        <v>0</v>
      </c>
      <c r="X46" s="99">
        <f>'[1]Ages 2010'!X46/'[1]Ages 2010'!$C$46</f>
        <v>0</v>
      </c>
      <c r="Y46" s="99">
        <f>'[1]Ages 2010'!Y46/'[1]Ages 2010'!$C$46</f>
        <v>0</v>
      </c>
      <c r="Z46" s="99">
        <f>'[1]Ages 2010'!Z46/'[1]Ages 2010'!$C$46</f>
        <v>0</v>
      </c>
      <c r="AA46" s="99">
        <f>'[1]Ages 2010'!AA46/'[1]Ages 2010'!$C$46</f>
        <v>0</v>
      </c>
      <c r="AB46" s="99">
        <f>'[1]Ages 2010'!AB46/'[1]Ages 2010'!$C$46</f>
        <v>0</v>
      </c>
    </row>
    <row r="47" spans="2:28">
      <c r="B47" s="75">
        <v>45</v>
      </c>
      <c r="C47" s="100">
        <f t="shared" si="1"/>
        <v>1</v>
      </c>
      <c r="D47" s="99">
        <f>'[1]Ages 2010'!D47/'[1]Ages 2010'!$C$47</f>
        <v>0</v>
      </c>
      <c r="E47" s="99">
        <f>'[1]Ages 2010'!E47/'[1]Ages 2010'!$C$47</f>
        <v>0</v>
      </c>
      <c r="F47" s="99">
        <f>'[1]Ages 2010'!F47/'[1]Ages 2010'!$C$47</f>
        <v>0</v>
      </c>
      <c r="G47" s="99">
        <f>'[1]Ages 2010'!G47/'[1]Ages 2010'!$C$47</f>
        <v>0</v>
      </c>
      <c r="H47" s="99">
        <f>'[1]Ages 2010'!H47/'[1]Ages 2010'!$C$47</f>
        <v>0</v>
      </c>
      <c r="I47" s="99">
        <f>'[1]Ages 2010'!I47/'[1]Ages 2010'!$C$47</f>
        <v>0</v>
      </c>
      <c r="J47" s="99">
        <f>'[1]Ages 2010'!J47/'[1]Ages 2010'!$C$47</f>
        <v>0</v>
      </c>
      <c r="K47" s="99">
        <f>'[1]Ages 2010'!K47/'[1]Ages 2010'!$C$47</f>
        <v>0</v>
      </c>
      <c r="L47" s="99">
        <f>'[1]Ages 2010'!L47/'[1]Ages 2010'!$C$47</f>
        <v>0</v>
      </c>
      <c r="M47" s="99">
        <f>'[1]Ages 2010'!M47/'[1]Ages 2010'!$C$47</f>
        <v>3.452215840736185E-2</v>
      </c>
      <c r="N47" s="99">
        <f>'[1]Ages 2010'!N47/'[1]Ages 2010'!$C$47</f>
        <v>0.22305777994309611</v>
      </c>
      <c r="O47" s="99">
        <f>'[1]Ages 2010'!O47/'[1]Ages 2010'!$C$47</f>
        <v>0.43439313539279728</v>
      </c>
      <c r="P47" s="99">
        <f>'[1]Ages 2010'!P47/'[1]Ages 2010'!$C$47</f>
        <v>0.21685867030695047</v>
      </c>
      <c r="Q47" s="99">
        <f>'[1]Ages 2010'!Q47/'[1]Ages 2010'!$C$47</f>
        <v>9.116825594979433E-2</v>
      </c>
      <c r="R47" s="99">
        <f>'[1]Ages 2010'!R47/'[1]Ages 2010'!$C$47</f>
        <v>0</v>
      </c>
      <c r="S47" s="99">
        <f>'[1]Ages 2010'!S47/'[1]Ages 2010'!$C$47</f>
        <v>0</v>
      </c>
      <c r="T47" s="99">
        <f>'[1]Ages 2010'!T47/'[1]Ages 2010'!$C$47</f>
        <v>0</v>
      </c>
      <c r="U47" s="99">
        <f>'[1]Ages 2010'!U47/'[1]Ages 2010'!$C$47</f>
        <v>0</v>
      </c>
      <c r="V47" s="99">
        <f>'[1]Ages 2010'!V47/'[1]Ages 2010'!$C$47</f>
        <v>0</v>
      </c>
      <c r="W47" s="99">
        <f>'[1]Ages 2010'!W47/'[1]Ages 2010'!$C$47</f>
        <v>0</v>
      </c>
      <c r="X47" s="99">
        <f>'[1]Ages 2010'!X47/'[1]Ages 2010'!$C$47</f>
        <v>0</v>
      </c>
      <c r="Y47" s="99">
        <f>'[1]Ages 2010'!Y47/'[1]Ages 2010'!$C$47</f>
        <v>0</v>
      </c>
      <c r="Z47" s="99">
        <f>'[1]Ages 2010'!Z47/'[1]Ages 2010'!$C$47</f>
        <v>0</v>
      </c>
      <c r="AA47" s="99">
        <f>'[1]Ages 2010'!AA47/'[1]Ages 2010'!$C$47</f>
        <v>0</v>
      </c>
      <c r="AB47" s="99">
        <f>'[1]Ages 2010'!AB47/'[1]Ages 2010'!$C$47</f>
        <v>0</v>
      </c>
    </row>
    <row r="48" spans="2:28">
      <c r="B48" s="101">
        <v>46</v>
      </c>
      <c r="C48" s="100">
        <f t="shared" si="1"/>
        <v>1</v>
      </c>
      <c r="D48" s="99">
        <f>'[1]Ages 2010'!D48/'[1]Ages 2010'!$C$48</f>
        <v>0</v>
      </c>
      <c r="E48" s="99">
        <f>'[1]Ages 2010'!E48/'[1]Ages 2010'!$C$48</f>
        <v>0</v>
      </c>
      <c r="F48" s="99">
        <f>'[1]Ages 2010'!F48/'[1]Ages 2010'!$C$48</f>
        <v>0</v>
      </c>
      <c r="G48" s="99">
        <f>'[1]Ages 2010'!G48/'[1]Ages 2010'!$C$48</f>
        <v>0</v>
      </c>
      <c r="H48" s="99">
        <f>'[1]Ages 2010'!H48/'[1]Ages 2010'!$C$48</f>
        <v>0</v>
      </c>
      <c r="I48" s="99">
        <f>'[1]Ages 2010'!I48/'[1]Ages 2010'!$C$48</f>
        <v>0</v>
      </c>
      <c r="J48" s="99">
        <f>'[1]Ages 2010'!J48/'[1]Ages 2010'!$C$48</f>
        <v>0</v>
      </c>
      <c r="K48" s="99">
        <f>'[1]Ages 2010'!K48/'[1]Ages 2010'!$C$48</f>
        <v>0</v>
      </c>
      <c r="L48" s="99">
        <f>'[1]Ages 2010'!L48/'[1]Ages 2010'!$C$48</f>
        <v>0</v>
      </c>
      <c r="M48" s="99">
        <f>'[1]Ages 2010'!M48/'[1]Ages 2010'!$C$48</f>
        <v>0</v>
      </c>
      <c r="N48" s="99">
        <f>'[1]Ages 2010'!N48/'[1]Ages 2010'!$C$48</f>
        <v>4.5370950734485258E-2</v>
      </c>
      <c r="O48" s="99">
        <f>'[1]Ages 2010'!O48/'[1]Ages 2010'!$C$48</f>
        <v>0.58600658246594817</v>
      </c>
      <c r="P48" s="99">
        <f>'[1]Ages 2010'!P48/'[1]Ages 2010'!$C$48</f>
        <v>0.27788056533059607</v>
      </c>
      <c r="Q48" s="99">
        <f>'[1]Ages 2010'!Q48/'[1]Ages 2010'!$C$48</f>
        <v>4.5370950734485258E-2</v>
      </c>
      <c r="R48" s="99">
        <f>'[1]Ages 2010'!R48/'[1]Ages 2010'!$C$48</f>
        <v>4.5370950734485258E-2</v>
      </c>
      <c r="S48" s="99">
        <f>'[1]Ages 2010'!S48/'[1]Ages 2010'!$C$48</f>
        <v>0</v>
      </c>
      <c r="T48" s="99">
        <f>'[1]Ages 2010'!T48/'[1]Ages 2010'!$C$48</f>
        <v>0</v>
      </c>
      <c r="U48" s="99">
        <f>'[1]Ages 2010'!U48/'[1]Ages 2010'!$C$48</f>
        <v>0</v>
      </c>
      <c r="V48" s="99">
        <f>'[1]Ages 2010'!V48/'[1]Ages 2010'!$C$48</f>
        <v>0</v>
      </c>
      <c r="W48" s="99">
        <f>'[1]Ages 2010'!W48/'[1]Ages 2010'!$C$48</f>
        <v>0</v>
      </c>
      <c r="X48" s="99">
        <f>'[1]Ages 2010'!X48/'[1]Ages 2010'!$C$48</f>
        <v>0</v>
      </c>
      <c r="Y48" s="99">
        <f>'[1]Ages 2010'!Y48/'[1]Ages 2010'!$C$48</f>
        <v>0</v>
      </c>
      <c r="Z48" s="99">
        <f>'[1]Ages 2010'!Z48/'[1]Ages 2010'!$C$48</f>
        <v>0</v>
      </c>
      <c r="AA48" s="99">
        <f>'[1]Ages 2010'!AA48/'[1]Ages 2010'!$C$48</f>
        <v>0</v>
      </c>
      <c r="AB48" s="99">
        <f>'[1]Ages 2010'!AB48/'[1]Ages 2010'!$C$48</f>
        <v>0</v>
      </c>
    </row>
    <row r="49" spans="2:28">
      <c r="B49" s="75">
        <v>47</v>
      </c>
      <c r="C49" s="100">
        <f t="shared" si="1"/>
        <v>0.99999999999999989</v>
      </c>
      <c r="D49" s="99">
        <f>'[1]Ages 2010'!D49/'[1]Ages 2010'!$C$49</f>
        <v>0</v>
      </c>
      <c r="E49" s="99">
        <f>'[1]Ages 2010'!E49/'[1]Ages 2010'!$C$49</f>
        <v>0</v>
      </c>
      <c r="F49" s="99">
        <f>'[1]Ages 2010'!F49/'[1]Ages 2010'!$C$49</f>
        <v>0</v>
      </c>
      <c r="G49" s="99">
        <f>'[1]Ages 2010'!G49/'[1]Ages 2010'!$C$49</f>
        <v>0</v>
      </c>
      <c r="H49" s="99">
        <f>'[1]Ages 2010'!H49/'[1]Ages 2010'!$C$49</f>
        <v>0</v>
      </c>
      <c r="I49" s="99">
        <f>'[1]Ages 2010'!I49/'[1]Ages 2010'!$C$49</f>
        <v>0</v>
      </c>
      <c r="J49" s="99">
        <f>'[1]Ages 2010'!J49/'[1]Ages 2010'!$C$49</f>
        <v>0</v>
      </c>
      <c r="K49" s="99">
        <f>'[1]Ages 2010'!K49/'[1]Ages 2010'!$C$49</f>
        <v>0</v>
      </c>
      <c r="L49" s="99">
        <f>'[1]Ages 2010'!L49/'[1]Ages 2010'!$C$49</f>
        <v>0</v>
      </c>
      <c r="M49" s="99">
        <f>'[1]Ages 2010'!M49/'[1]Ages 2010'!$C$49</f>
        <v>0</v>
      </c>
      <c r="N49" s="99">
        <f>'[1]Ages 2010'!N49/'[1]Ages 2010'!$C$49</f>
        <v>9.6039678079913732E-2</v>
      </c>
      <c r="O49" s="99">
        <f>'[1]Ages 2010'!O49/'[1]Ages 2010'!$C$49</f>
        <v>0.54018138017845652</v>
      </c>
      <c r="P49" s="99">
        <f>'[1]Ages 2010'!P49/'[1]Ages 2010'!$C$49</f>
        <v>0.27462313153660006</v>
      </c>
      <c r="Q49" s="99">
        <f>'[1]Ages 2010'!Q49/'[1]Ages 2010'!$C$49</f>
        <v>6.6866857653772135E-2</v>
      </c>
      <c r="R49" s="99">
        <f>'[1]Ages 2010'!R49/'[1]Ages 2010'!$C$49</f>
        <v>2.2288952551257377E-2</v>
      </c>
      <c r="S49" s="99">
        <f>'[1]Ages 2010'!S49/'[1]Ages 2010'!$C$49</f>
        <v>0</v>
      </c>
      <c r="T49" s="99">
        <f>'[1]Ages 2010'!T49/'[1]Ages 2010'!$C$49</f>
        <v>0</v>
      </c>
      <c r="U49" s="99">
        <f>'[1]Ages 2010'!U49/'[1]Ages 2010'!$C$49</f>
        <v>0</v>
      </c>
      <c r="V49" s="99">
        <f>'[1]Ages 2010'!V49/'[1]Ages 2010'!$C$49</f>
        <v>0</v>
      </c>
      <c r="W49" s="99">
        <f>'[1]Ages 2010'!W49/'[1]Ages 2010'!$C$49</f>
        <v>0</v>
      </c>
      <c r="X49" s="99">
        <f>'[1]Ages 2010'!X49/'[1]Ages 2010'!$C$49</f>
        <v>0</v>
      </c>
      <c r="Y49" s="99">
        <f>'[1]Ages 2010'!Y49/'[1]Ages 2010'!$C$49</f>
        <v>0</v>
      </c>
      <c r="Z49" s="99">
        <f>'[1]Ages 2010'!Z49/'[1]Ages 2010'!$C$49</f>
        <v>0</v>
      </c>
      <c r="AA49" s="99">
        <f>'[1]Ages 2010'!AA49/'[1]Ages 2010'!$C$49</f>
        <v>0</v>
      </c>
      <c r="AB49" s="99">
        <f>'[1]Ages 2010'!AB49/'[1]Ages 2010'!$C$49</f>
        <v>0</v>
      </c>
    </row>
    <row r="50" spans="2:28">
      <c r="B50" s="101">
        <v>48</v>
      </c>
      <c r="C50" s="100">
        <f t="shared" si="1"/>
        <v>1</v>
      </c>
      <c r="D50" s="99">
        <f>'[1]Ages 2010'!D50/'[1]Ages 2010'!$C$50</f>
        <v>0</v>
      </c>
      <c r="E50" s="99">
        <f>'[1]Ages 2010'!E50/'[1]Ages 2010'!$C$50</f>
        <v>0</v>
      </c>
      <c r="F50" s="99">
        <f>'[1]Ages 2010'!F50/'[1]Ages 2010'!$C$50</f>
        <v>0</v>
      </c>
      <c r="G50" s="99">
        <f>'[1]Ages 2010'!G50/'[1]Ages 2010'!$C$50</f>
        <v>0</v>
      </c>
      <c r="H50" s="99">
        <f>'[1]Ages 2010'!H50/'[1]Ages 2010'!$C$50</f>
        <v>0</v>
      </c>
      <c r="I50" s="99">
        <f>'[1]Ages 2010'!I50/'[1]Ages 2010'!$C$50</f>
        <v>0</v>
      </c>
      <c r="J50" s="99">
        <f>'[1]Ages 2010'!J50/'[1]Ages 2010'!$C$50</f>
        <v>0</v>
      </c>
      <c r="K50" s="99">
        <f>'[1]Ages 2010'!K50/'[1]Ages 2010'!$C$50</f>
        <v>0</v>
      </c>
      <c r="L50" s="99">
        <f>'[1]Ages 2010'!L50/'[1]Ages 2010'!$C$50</f>
        <v>0</v>
      </c>
      <c r="M50" s="99">
        <f>'[1]Ages 2010'!M50/'[1]Ages 2010'!$C$50</f>
        <v>0</v>
      </c>
      <c r="N50" s="99">
        <f>'[1]Ages 2010'!N50/'[1]Ages 2010'!$C$50</f>
        <v>0</v>
      </c>
      <c r="O50" s="99">
        <f>'[1]Ages 2010'!O50/'[1]Ages 2010'!$C$50</f>
        <v>0.14166872868011521</v>
      </c>
      <c r="P50" s="99">
        <f>'[1]Ages 2010'!P50/'[1]Ages 2010'!$C$50</f>
        <v>0.1937065782435087</v>
      </c>
      <c r="Q50" s="99">
        <f>'[1]Ages 2010'!Q50/'[1]Ages 2010'!$C$50</f>
        <v>0.47901050675501411</v>
      </c>
      <c r="R50" s="99">
        <f>'[1]Ages 2010'!R50/'[1]Ages 2010'!$C$50</f>
        <v>0.18561418632136195</v>
      </c>
      <c r="S50" s="99">
        <f>'[1]Ages 2010'!S50/'[1]Ages 2010'!$C$50</f>
        <v>0</v>
      </c>
      <c r="T50" s="99">
        <f>'[1]Ages 2010'!T50/'[1]Ages 2010'!$C$50</f>
        <v>0</v>
      </c>
      <c r="U50" s="99">
        <f>'[1]Ages 2010'!U50/'[1]Ages 2010'!$C$50</f>
        <v>0</v>
      </c>
      <c r="V50" s="99">
        <f>'[1]Ages 2010'!V50/'[1]Ages 2010'!$C$50</f>
        <v>0</v>
      </c>
      <c r="W50" s="99">
        <f>'[1]Ages 2010'!W50/'[1]Ages 2010'!$C$50</f>
        <v>0</v>
      </c>
      <c r="X50" s="99">
        <f>'[1]Ages 2010'!X50/'[1]Ages 2010'!$C$50</f>
        <v>0</v>
      </c>
      <c r="Y50" s="99">
        <f>'[1]Ages 2010'!Y50/'[1]Ages 2010'!$C$50</f>
        <v>0</v>
      </c>
      <c r="Z50" s="99">
        <f>'[1]Ages 2010'!Z50/'[1]Ages 2010'!$C$50</f>
        <v>0</v>
      </c>
      <c r="AA50" s="99">
        <f>'[1]Ages 2010'!AA50/'[1]Ages 2010'!$C$50</f>
        <v>0</v>
      </c>
      <c r="AB50" s="99">
        <f>'[1]Ages 2010'!AB50/'[1]Ages 2010'!$C$50</f>
        <v>0</v>
      </c>
    </row>
    <row r="51" spans="2:28">
      <c r="B51" s="75">
        <v>49</v>
      </c>
      <c r="C51" s="100">
        <f t="shared" si="1"/>
        <v>1</v>
      </c>
      <c r="D51" s="99">
        <f>'[1]Ages 2010'!D51/'[1]Ages 2010'!$C$51</f>
        <v>0</v>
      </c>
      <c r="E51" s="99">
        <f>'[1]Ages 2010'!E51/'[1]Ages 2010'!$C$51</f>
        <v>0</v>
      </c>
      <c r="F51" s="99">
        <f>'[1]Ages 2010'!F51/'[1]Ages 2010'!$C$51</f>
        <v>0</v>
      </c>
      <c r="G51" s="99">
        <f>'[1]Ages 2010'!G51/'[1]Ages 2010'!$C$51</f>
        <v>0</v>
      </c>
      <c r="H51" s="99">
        <f>'[1]Ages 2010'!H51/'[1]Ages 2010'!$C$51</f>
        <v>0</v>
      </c>
      <c r="I51" s="99">
        <f>'[1]Ages 2010'!I51/'[1]Ages 2010'!$C$51</f>
        <v>0</v>
      </c>
      <c r="J51" s="99">
        <f>'[1]Ages 2010'!J51/'[1]Ages 2010'!$C$51</f>
        <v>0</v>
      </c>
      <c r="K51" s="99">
        <f>'[1]Ages 2010'!K51/'[1]Ages 2010'!$C$51</f>
        <v>0</v>
      </c>
      <c r="L51" s="99">
        <f>'[1]Ages 2010'!L51/'[1]Ages 2010'!$C$51</f>
        <v>0</v>
      </c>
      <c r="M51" s="99">
        <f>'[1]Ages 2010'!M51/'[1]Ages 2010'!$C$51</f>
        <v>0</v>
      </c>
      <c r="N51" s="99">
        <f>'[1]Ages 2010'!N51/'[1]Ages 2010'!$C$51</f>
        <v>0</v>
      </c>
      <c r="O51" s="99">
        <f>'[1]Ages 2010'!O51/'[1]Ages 2010'!$C$51</f>
        <v>3.3849118719903717E-2</v>
      </c>
      <c r="P51" s="99">
        <f>'[1]Ages 2010'!P51/'[1]Ages 2010'!$C$51</f>
        <v>3.4213274035242179E-2</v>
      </c>
      <c r="Q51" s="99">
        <f>'[1]Ages 2010'!Q51/'[1]Ages 2010'!$C$51</f>
        <v>0.43345999757702153</v>
      </c>
      <c r="R51" s="99">
        <f>'[1]Ages 2010'!R51/'[1]Ages 2010'!$C$51</f>
        <v>0.36308113478821769</v>
      </c>
      <c r="S51" s="99">
        <f>'[1]Ages 2010'!S51/'[1]Ages 2010'!$C$51</f>
        <v>0.13539647487961487</v>
      </c>
      <c r="T51" s="99">
        <f>'[1]Ages 2010'!T51/'[1]Ages 2010'!$C$51</f>
        <v>0</v>
      </c>
      <c r="U51" s="99">
        <f>'[1]Ages 2010'!U51/'[1]Ages 2010'!$C$51</f>
        <v>0</v>
      </c>
      <c r="V51" s="99">
        <f>'[1]Ages 2010'!V51/'[1]Ages 2010'!$C$51</f>
        <v>0</v>
      </c>
      <c r="W51" s="99">
        <f>'[1]Ages 2010'!W51/'[1]Ages 2010'!$C$51</f>
        <v>0</v>
      </c>
      <c r="X51" s="99">
        <f>'[1]Ages 2010'!X51/'[1]Ages 2010'!$C$51</f>
        <v>0</v>
      </c>
      <c r="Y51" s="99">
        <f>'[1]Ages 2010'!Y51/'[1]Ages 2010'!$C$51</f>
        <v>0</v>
      </c>
      <c r="Z51" s="99">
        <f>'[1]Ages 2010'!Z51/'[1]Ages 2010'!$C$51</f>
        <v>0</v>
      </c>
      <c r="AA51" s="99">
        <f>'[1]Ages 2010'!AA51/'[1]Ages 2010'!$C$51</f>
        <v>0</v>
      </c>
      <c r="AB51" s="99">
        <f>'[1]Ages 2010'!AB51/'[1]Ages 2010'!$C$51</f>
        <v>0</v>
      </c>
    </row>
    <row r="52" spans="2:28">
      <c r="B52" s="101">
        <v>50</v>
      </c>
      <c r="C52" s="100">
        <f t="shared" si="1"/>
        <v>1</v>
      </c>
      <c r="D52" s="99">
        <f>'[1]Ages 2010'!D52/'[1]Ages 2010'!$C$52</f>
        <v>0</v>
      </c>
      <c r="E52" s="99">
        <f>'[1]Ages 2010'!E52/'[1]Ages 2010'!$C$52</f>
        <v>0</v>
      </c>
      <c r="F52" s="99">
        <f>'[1]Ages 2010'!F52/'[1]Ages 2010'!$C$52</f>
        <v>0</v>
      </c>
      <c r="G52" s="99">
        <f>'[1]Ages 2010'!G52/'[1]Ages 2010'!$C$52</f>
        <v>0</v>
      </c>
      <c r="H52" s="99">
        <f>'[1]Ages 2010'!H52/'[1]Ages 2010'!$C$52</f>
        <v>0</v>
      </c>
      <c r="I52" s="99">
        <f>'[1]Ages 2010'!I52/'[1]Ages 2010'!$C$52</f>
        <v>0</v>
      </c>
      <c r="J52" s="99">
        <f>'[1]Ages 2010'!J52/'[1]Ages 2010'!$C$52</f>
        <v>0</v>
      </c>
      <c r="K52" s="99">
        <f>'[1]Ages 2010'!K52/'[1]Ages 2010'!$C$52</f>
        <v>0</v>
      </c>
      <c r="L52" s="99">
        <f>'[1]Ages 2010'!L52/'[1]Ages 2010'!$C$52</f>
        <v>0</v>
      </c>
      <c r="M52" s="99">
        <f>'[1]Ages 2010'!M52/'[1]Ages 2010'!$C$52</f>
        <v>0</v>
      </c>
      <c r="N52" s="99">
        <f>'[1]Ages 2010'!N52/'[1]Ages 2010'!$C$52</f>
        <v>0</v>
      </c>
      <c r="O52" s="99">
        <f>'[1]Ages 2010'!O52/'[1]Ages 2010'!$C$52</f>
        <v>0</v>
      </c>
      <c r="P52" s="99">
        <f>'[1]Ages 2010'!P52/'[1]Ages 2010'!$C$52</f>
        <v>0</v>
      </c>
      <c r="Q52" s="99">
        <f>'[1]Ages 2010'!Q52/'[1]Ages 2010'!$C$52</f>
        <v>0.46546472564667218</v>
      </c>
      <c r="R52" s="99">
        <f>'[1]Ages 2010'!R52/'[1]Ages 2010'!$C$52</f>
        <v>0.49093409738487864</v>
      </c>
      <c r="S52" s="99">
        <f>'[1]Ages 2010'!S52/'[1]Ages 2010'!$C$52</f>
        <v>4.360117696844925E-2</v>
      </c>
      <c r="T52" s="99">
        <f>'[1]Ages 2010'!T52/'[1]Ages 2010'!$C$52</f>
        <v>0</v>
      </c>
      <c r="U52" s="99">
        <f>'[1]Ages 2010'!U52/'[1]Ages 2010'!$C$52</f>
        <v>0</v>
      </c>
      <c r="V52" s="99">
        <f>'[1]Ages 2010'!V52/'[1]Ages 2010'!$C$52</f>
        <v>0</v>
      </c>
      <c r="W52" s="99">
        <f>'[1]Ages 2010'!W52/'[1]Ages 2010'!$C$52</f>
        <v>0</v>
      </c>
      <c r="X52" s="99">
        <f>'[1]Ages 2010'!X52/'[1]Ages 2010'!$C$52</f>
        <v>0</v>
      </c>
      <c r="Y52" s="99">
        <f>'[1]Ages 2010'!Y52/'[1]Ages 2010'!$C$52</f>
        <v>0</v>
      </c>
      <c r="Z52" s="99">
        <f>'[1]Ages 2010'!Z52/'[1]Ages 2010'!$C$52</f>
        <v>0</v>
      </c>
      <c r="AA52" s="99">
        <f>'[1]Ages 2010'!AA52/'[1]Ages 2010'!$C$52</f>
        <v>0</v>
      </c>
      <c r="AB52" s="99">
        <f>'[1]Ages 2010'!AB52/'[1]Ages 2010'!$C$52</f>
        <v>0</v>
      </c>
    </row>
    <row r="53" spans="2:28">
      <c r="B53" s="75">
        <v>51</v>
      </c>
      <c r="C53" s="100">
        <f t="shared" si="1"/>
        <v>1</v>
      </c>
      <c r="D53" s="99">
        <f>'[1]Ages 2010'!D53/'[1]Ages 2010'!$C$53</f>
        <v>0</v>
      </c>
      <c r="E53" s="99">
        <f>'[1]Ages 2010'!E53/'[1]Ages 2010'!$C$53</f>
        <v>0</v>
      </c>
      <c r="F53" s="99">
        <f>'[1]Ages 2010'!F53/'[1]Ages 2010'!$C$53</f>
        <v>0</v>
      </c>
      <c r="G53" s="99">
        <f>'[1]Ages 2010'!G53/'[1]Ages 2010'!$C$53</f>
        <v>0</v>
      </c>
      <c r="H53" s="99">
        <f>'[1]Ages 2010'!H53/'[1]Ages 2010'!$C$53</f>
        <v>0</v>
      </c>
      <c r="I53" s="99">
        <f>'[1]Ages 2010'!I53/'[1]Ages 2010'!$C$53</f>
        <v>0</v>
      </c>
      <c r="J53" s="99">
        <f>'[1]Ages 2010'!J53/'[1]Ages 2010'!$C$53</f>
        <v>0</v>
      </c>
      <c r="K53" s="99">
        <f>'[1]Ages 2010'!K53/'[1]Ages 2010'!$C$53</f>
        <v>0</v>
      </c>
      <c r="L53" s="99">
        <f>'[1]Ages 2010'!L53/'[1]Ages 2010'!$C$53</f>
        <v>0</v>
      </c>
      <c r="M53" s="99">
        <f>'[1]Ages 2010'!M53/'[1]Ages 2010'!$C$53</f>
        <v>0</v>
      </c>
      <c r="N53" s="99">
        <f>'[1]Ages 2010'!N53/'[1]Ages 2010'!$C$53</f>
        <v>0</v>
      </c>
      <c r="O53" s="99">
        <f>'[1]Ages 2010'!O53/'[1]Ages 2010'!$C$53</f>
        <v>0</v>
      </c>
      <c r="P53" s="99">
        <f>'[1]Ages 2010'!P53/'[1]Ages 2010'!$C$53</f>
        <v>4.6042524140974428E-4</v>
      </c>
      <c r="Q53" s="99">
        <f>'[1]Ages 2010'!Q53/'[1]Ages 2010'!$C$53</f>
        <v>0.389284964185796</v>
      </c>
      <c r="R53" s="99">
        <f>'[1]Ages 2010'!R53/'[1]Ages 2010'!$C$53</f>
        <v>0.5363307325572797</v>
      </c>
      <c r="S53" s="99">
        <f>'[1]Ages 2010'!S53/'[1]Ages 2010'!$C$53</f>
        <v>7.3923878015514519E-2</v>
      </c>
      <c r="T53" s="99">
        <f>'[1]Ages 2010'!T53/'[1]Ages 2010'!$C$53</f>
        <v>0</v>
      </c>
      <c r="U53" s="99">
        <f>'[1]Ages 2010'!U53/'[1]Ages 2010'!$C$53</f>
        <v>0</v>
      </c>
      <c r="V53" s="99">
        <f>'[1]Ages 2010'!V53/'[1]Ages 2010'!$C$53</f>
        <v>0</v>
      </c>
      <c r="W53" s="99">
        <f>'[1]Ages 2010'!W53/'[1]Ages 2010'!$C$53</f>
        <v>0</v>
      </c>
      <c r="X53" s="99">
        <f>'[1]Ages 2010'!X53/'[1]Ages 2010'!$C$53</f>
        <v>0</v>
      </c>
      <c r="Y53" s="99">
        <f>'[1]Ages 2010'!Y53/'[1]Ages 2010'!$C$53</f>
        <v>0</v>
      </c>
      <c r="Z53" s="99">
        <f>'[1]Ages 2010'!Z53/'[1]Ages 2010'!$C$53</f>
        <v>0</v>
      </c>
      <c r="AA53" s="99">
        <f>'[1]Ages 2010'!AA53/'[1]Ages 2010'!$C$53</f>
        <v>0</v>
      </c>
      <c r="AB53" s="99">
        <f>'[1]Ages 2010'!AB53/'[1]Ages 2010'!$C$53</f>
        <v>0</v>
      </c>
    </row>
    <row r="54" spans="2:28">
      <c r="B54" s="101">
        <v>52</v>
      </c>
      <c r="C54" s="100">
        <f t="shared" si="1"/>
        <v>1</v>
      </c>
      <c r="D54" s="99">
        <f>'[1]Ages 2010'!D54/'[1]Ages 2010'!$C$54</f>
        <v>0</v>
      </c>
      <c r="E54" s="99">
        <f>'[1]Ages 2010'!E54/'[1]Ages 2010'!$C$54</f>
        <v>0</v>
      </c>
      <c r="F54" s="99">
        <f>'[1]Ages 2010'!F54/'[1]Ages 2010'!$C$54</f>
        <v>0</v>
      </c>
      <c r="G54" s="99">
        <f>'[1]Ages 2010'!G54/'[1]Ages 2010'!$C$54</f>
        <v>0</v>
      </c>
      <c r="H54" s="99">
        <f>'[1]Ages 2010'!H54/'[1]Ages 2010'!$C$54</f>
        <v>0</v>
      </c>
      <c r="I54" s="99">
        <f>'[1]Ages 2010'!I54/'[1]Ages 2010'!$C$54</f>
        <v>0</v>
      </c>
      <c r="J54" s="99">
        <f>'[1]Ages 2010'!J54/'[1]Ages 2010'!$C$54</f>
        <v>0</v>
      </c>
      <c r="K54" s="99">
        <f>'[1]Ages 2010'!K54/'[1]Ages 2010'!$C$54</f>
        <v>0</v>
      </c>
      <c r="L54" s="99">
        <f>'[1]Ages 2010'!L54/'[1]Ages 2010'!$C$54</f>
        <v>0</v>
      </c>
      <c r="M54" s="99">
        <f>'[1]Ages 2010'!M54/'[1]Ages 2010'!$C$54</f>
        <v>0</v>
      </c>
      <c r="N54" s="99">
        <f>'[1]Ages 2010'!N54/'[1]Ages 2010'!$C$54</f>
        <v>0</v>
      </c>
      <c r="O54" s="99">
        <f>'[1]Ages 2010'!O54/'[1]Ages 2010'!$C$54</f>
        <v>0</v>
      </c>
      <c r="P54" s="99">
        <f>'[1]Ages 2010'!P54/'[1]Ages 2010'!$C$54</f>
        <v>0</v>
      </c>
      <c r="Q54" s="99">
        <f>'[1]Ages 2010'!Q54/'[1]Ages 2010'!$C$54</f>
        <v>0.24636416523525345</v>
      </c>
      <c r="R54" s="99">
        <f>'[1]Ages 2010'!R54/'[1]Ages 2010'!$C$54</f>
        <v>0.43822272071892232</v>
      </c>
      <c r="S54" s="99">
        <f>'[1]Ages 2010'!S54/'[1]Ages 2010'!$C$54</f>
        <v>0.31541311404582423</v>
      </c>
      <c r="T54" s="99">
        <f>'[1]Ages 2010'!T54/'[1]Ages 2010'!$C$54</f>
        <v>0</v>
      </c>
      <c r="U54" s="99">
        <f>'[1]Ages 2010'!U54/'[1]Ages 2010'!$C$54</f>
        <v>0</v>
      </c>
      <c r="V54" s="99">
        <f>'[1]Ages 2010'!V54/'[1]Ages 2010'!$C$54</f>
        <v>0</v>
      </c>
      <c r="W54" s="99">
        <f>'[1]Ages 2010'!W54/'[1]Ages 2010'!$C$54</f>
        <v>0</v>
      </c>
      <c r="X54" s="99">
        <f>'[1]Ages 2010'!X54/'[1]Ages 2010'!$C$54</f>
        <v>0</v>
      </c>
      <c r="Y54" s="99">
        <f>'[1]Ages 2010'!Y54/'[1]Ages 2010'!$C$54</f>
        <v>0</v>
      </c>
      <c r="Z54" s="99">
        <f>'[1]Ages 2010'!Z54/'[1]Ages 2010'!$C$54</f>
        <v>0</v>
      </c>
      <c r="AA54" s="99">
        <f>'[1]Ages 2010'!AA54/'[1]Ages 2010'!$C$54</f>
        <v>0</v>
      </c>
      <c r="AB54" s="99">
        <f>'[1]Ages 2010'!AB54/'[1]Ages 2010'!$C$54</f>
        <v>0</v>
      </c>
    </row>
    <row r="55" spans="2:28">
      <c r="B55" s="75">
        <v>53</v>
      </c>
      <c r="C55" s="100">
        <f t="shared" si="1"/>
        <v>1</v>
      </c>
      <c r="D55" s="99">
        <f>'[1]Ages 2010'!D55/'[1]Ages 2010'!$C$55</f>
        <v>0</v>
      </c>
      <c r="E55" s="99">
        <f>'[1]Ages 2010'!E55/'[1]Ages 2010'!$C$55</f>
        <v>0</v>
      </c>
      <c r="F55" s="99">
        <f>'[1]Ages 2010'!F55/'[1]Ages 2010'!$C$55</f>
        <v>0</v>
      </c>
      <c r="G55" s="99">
        <f>'[1]Ages 2010'!G55/'[1]Ages 2010'!$C$55</f>
        <v>0</v>
      </c>
      <c r="H55" s="99">
        <f>'[1]Ages 2010'!H55/'[1]Ages 2010'!$C$55</f>
        <v>0</v>
      </c>
      <c r="I55" s="99">
        <f>'[1]Ages 2010'!I55/'[1]Ages 2010'!$C$55</f>
        <v>0</v>
      </c>
      <c r="J55" s="99">
        <f>'[1]Ages 2010'!J55/'[1]Ages 2010'!$C$55</f>
        <v>0</v>
      </c>
      <c r="K55" s="99">
        <f>'[1]Ages 2010'!K55/'[1]Ages 2010'!$C$55</f>
        <v>0</v>
      </c>
      <c r="L55" s="99">
        <f>'[1]Ages 2010'!L55/'[1]Ages 2010'!$C$55</f>
        <v>0</v>
      </c>
      <c r="M55" s="99">
        <f>'[1]Ages 2010'!M55/'[1]Ages 2010'!$C$55</f>
        <v>0</v>
      </c>
      <c r="N55" s="99">
        <f>'[1]Ages 2010'!N55/'[1]Ages 2010'!$C$55</f>
        <v>0</v>
      </c>
      <c r="O55" s="99">
        <f>'[1]Ages 2010'!O55/'[1]Ages 2010'!$C$55</f>
        <v>0</v>
      </c>
      <c r="P55" s="99">
        <f>'[1]Ages 2010'!P55/'[1]Ages 2010'!$C$55</f>
        <v>0</v>
      </c>
      <c r="Q55" s="99">
        <f>'[1]Ages 2010'!Q55/'[1]Ages 2010'!$C$55</f>
        <v>0.1415143974184474</v>
      </c>
      <c r="R55" s="99">
        <f>'[1]Ages 2010'!R55/'[1]Ages 2010'!$C$55</f>
        <v>0.4482753631947809</v>
      </c>
      <c r="S55" s="99">
        <f>'[1]Ages 2010'!S55/'[1]Ages 2010'!$C$55</f>
        <v>0.32758695520782866</v>
      </c>
      <c r="T55" s="99">
        <f>'[1]Ages 2010'!T55/'[1]Ages 2010'!$C$55</f>
        <v>8.2623284178943046E-2</v>
      </c>
      <c r="U55" s="99">
        <f>'[1]Ages 2010'!U55/'[1]Ages 2010'!$C$55</f>
        <v>0</v>
      </c>
      <c r="V55" s="99">
        <f>'[1]Ages 2010'!V55/'[1]Ages 2010'!$C$55</f>
        <v>0</v>
      </c>
      <c r="W55" s="99">
        <f>'[1]Ages 2010'!W55/'[1]Ages 2010'!$C$55</f>
        <v>0</v>
      </c>
      <c r="X55" s="99">
        <f>'[1]Ages 2010'!X55/'[1]Ages 2010'!$C$55</f>
        <v>0</v>
      </c>
      <c r="Y55" s="99">
        <f>'[1]Ages 2010'!Y55/'[1]Ages 2010'!$C$55</f>
        <v>0</v>
      </c>
      <c r="Z55" s="99">
        <f>'[1]Ages 2010'!Z55/'[1]Ages 2010'!$C$55</f>
        <v>0</v>
      </c>
      <c r="AA55" s="99">
        <f>'[1]Ages 2010'!AA55/'[1]Ages 2010'!$C$55</f>
        <v>0</v>
      </c>
      <c r="AB55" s="99">
        <f>'[1]Ages 2010'!AB55/'[1]Ages 2010'!$C$55</f>
        <v>0</v>
      </c>
    </row>
    <row r="56" spans="2:28">
      <c r="B56" s="101">
        <v>54</v>
      </c>
      <c r="C56" s="100">
        <f t="shared" si="1"/>
        <v>1</v>
      </c>
      <c r="D56" s="99">
        <f>'[1]Ages 2010'!D56/'[1]Ages 2010'!$C$56</f>
        <v>0</v>
      </c>
      <c r="E56" s="99">
        <f>'[1]Ages 2010'!E56/'[1]Ages 2010'!$C$56</f>
        <v>0</v>
      </c>
      <c r="F56" s="99">
        <f>'[1]Ages 2010'!F56/'[1]Ages 2010'!$C$56</f>
        <v>0</v>
      </c>
      <c r="G56" s="99">
        <f>'[1]Ages 2010'!G56/'[1]Ages 2010'!$C$56</f>
        <v>0</v>
      </c>
      <c r="H56" s="99">
        <f>'[1]Ages 2010'!H56/'[1]Ages 2010'!$C$56</f>
        <v>0</v>
      </c>
      <c r="I56" s="99">
        <f>'[1]Ages 2010'!I56/'[1]Ages 2010'!$C$56</f>
        <v>0</v>
      </c>
      <c r="J56" s="99">
        <f>'[1]Ages 2010'!J56/'[1]Ages 2010'!$C$56</f>
        <v>0</v>
      </c>
      <c r="K56" s="99">
        <f>'[1]Ages 2010'!K56/'[1]Ages 2010'!$C$56</f>
        <v>0</v>
      </c>
      <c r="L56" s="99">
        <f>'[1]Ages 2010'!L56/'[1]Ages 2010'!$C$56</f>
        <v>0</v>
      </c>
      <c r="M56" s="99">
        <f>'[1]Ages 2010'!M56/'[1]Ages 2010'!$C$56</f>
        <v>0</v>
      </c>
      <c r="N56" s="99">
        <f>'[1]Ages 2010'!N56/'[1]Ages 2010'!$C$56</f>
        <v>0</v>
      </c>
      <c r="O56" s="99">
        <f>'[1]Ages 2010'!O56/'[1]Ages 2010'!$C$56</f>
        <v>0</v>
      </c>
      <c r="P56" s="99">
        <f>'[1]Ages 2010'!P56/'[1]Ages 2010'!$C$56</f>
        <v>0</v>
      </c>
      <c r="Q56" s="99">
        <f>'[1]Ages 2010'!Q56/'[1]Ages 2010'!$C$56</f>
        <v>0</v>
      </c>
      <c r="R56" s="99">
        <f>'[1]Ages 2010'!R56/'[1]Ages 2010'!$C$56</f>
        <v>0.14067996944135738</v>
      </c>
      <c r="S56" s="99">
        <f>'[1]Ages 2010'!S56/'[1]Ages 2010'!$C$56</f>
        <v>0.50369089923736354</v>
      </c>
      <c r="T56" s="99">
        <f>'[1]Ages 2010'!T56/'[1]Ages 2010'!$C$56</f>
        <v>0.35562913132127899</v>
      </c>
      <c r="U56" s="99">
        <f>'[1]Ages 2010'!U56/'[1]Ages 2010'!$C$56</f>
        <v>0</v>
      </c>
      <c r="V56" s="99">
        <f>'[1]Ages 2010'!V56/'[1]Ages 2010'!$C$56</f>
        <v>0</v>
      </c>
      <c r="W56" s="99">
        <f>'[1]Ages 2010'!W56/'[1]Ages 2010'!$C$56</f>
        <v>0</v>
      </c>
      <c r="X56" s="99">
        <f>'[1]Ages 2010'!X56/'[1]Ages 2010'!$C$56</f>
        <v>0</v>
      </c>
      <c r="Y56" s="99">
        <f>'[1]Ages 2010'!Y56/'[1]Ages 2010'!$C$56</f>
        <v>0</v>
      </c>
      <c r="Z56" s="99">
        <f>'[1]Ages 2010'!Z56/'[1]Ages 2010'!$C$56</f>
        <v>0</v>
      </c>
      <c r="AA56" s="99">
        <f>'[1]Ages 2010'!AA56/'[1]Ages 2010'!$C$56</f>
        <v>0</v>
      </c>
      <c r="AB56" s="99">
        <f>'[1]Ages 2010'!AB56/'[1]Ages 2010'!$C$56</f>
        <v>0</v>
      </c>
    </row>
    <row r="57" spans="2:28">
      <c r="B57" s="75">
        <v>55</v>
      </c>
      <c r="C57" s="100">
        <f t="shared" si="1"/>
        <v>1</v>
      </c>
      <c r="D57" s="99">
        <f>'[1]Ages 2010'!D57/'[1]Ages 2010'!$C$57</f>
        <v>0</v>
      </c>
      <c r="E57" s="99">
        <f>'[1]Ages 2010'!E57/'[1]Ages 2010'!$C$57</f>
        <v>0</v>
      </c>
      <c r="F57" s="99">
        <f>'[1]Ages 2010'!F57/'[1]Ages 2010'!$C$57</f>
        <v>0</v>
      </c>
      <c r="G57" s="99">
        <f>'[1]Ages 2010'!G57/'[1]Ages 2010'!$C$57</f>
        <v>0</v>
      </c>
      <c r="H57" s="99">
        <f>'[1]Ages 2010'!H57/'[1]Ages 2010'!$C$57</f>
        <v>0</v>
      </c>
      <c r="I57" s="99">
        <f>'[1]Ages 2010'!I57/'[1]Ages 2010'!$C$57</f>
        <v>0</v>
      </c>
      <c r="J57" s="99">
        <f>'[1]Ages 2010'!J57/'[1]Ages 2010'!$C$57</f>
        <v>0</v>
      </c>
      <c r="K57" s="99">
        <f>'[1]Ages 2010'!K57/'[1]Ages 2010'!$C$57</f>
        <v>0</v>
      </c>
      <c r="L57" s="99">
        <f>'[1]Ages 2010'!L57/'[1]Ages 2010'!$C$57</f>
        <v>0</v>
      </c>
      <c r="M57" s="99">
        <f>'[1]Ages 2010'!M57/'[1]Ages 2010'!$C$57</f>
        <v>0</v>
      </c>
      <c r="N57" s="99">
        <f>'[1]Ages 2010'!N57/'[1]Ages 2010'!$C$57</f>
        <v>0</v>
      </c>
      <c r="O57" s="99">
        <f>'[1]Ages 2010'!O57/'[1]Ages 2010'!$C$57</f>
        <v>0</v>
      </c>
      <c r="P57" s="99">
        <f>'[1]Ages 2010'!P57/'[1]Ages 2010'!$C$57</f>
        <v>0</v>
      </c>
      <c r="Q57" s="99">
        <f>'[1]Ages 2010'!Q57/'[1]Ages 2010'!$C$57</f>
        <v>0</v>
      </c>
      <c r="R57" s="99">
        <f>'[1]Ages 2010'!R57/'[1]Ages 2010'!$C$57</f>
        <v>0.15450662347267335</v>
      </c>
      <c r="S57" s="99">
        <f>'[1]Ages 2010'!S57/'[1]Ages 2010'!$C$57</f>
        <v>0.16627208241954411</v>
      </c>
      <c r="T57" s="99">
        <f>'[1]Ages 2010'!T57/'[1]Ages 2010'!$C$57</f>
        <v>0.55581861172030389</v>
      </c>
      <c r="U57" s="99">
        <f>'[1]Ages 2010'!U57/'[1]Ages 2010'!$C$57</f>
        <v>0.12340268238747859</v>
      </c>
      <c r="V57" s="99">
        <f>'[1]Ages 2010'!V57/'[1]Ages 2010'!$C$57</f>
        <v>0</v>
      </c>
      <c r="W57" s="99">
        <f>'[1]Ages 2010'!W57/'[1]Ages 2010'!$C$57</f>
        <v>0</v>
      </c>
      <c r="X57" s="99">
        <f>'[1]Ages 2010'!X57/'[1]Ages 2010'!$C$57</f>
        <v>0</v>
      </c>
      <c r="Y57" s="99">
        <f>'[1]Ages 2010'!Y57/'[1]Ages 2010'!$C$57</f>
        <v>0</v>
      </c>
      <c r="Z57" s="99">
        <f>'[1]Ages 2010'!Z57/'[1]Ages 2010'!$C$57</f>
        <v>0</v>
      </c>
      <c r="AA57" s="99">
        <f>'[1]Ages 2010'!AA57/'[1]Ages 2010'!$C$57</f>
        <v>0</v>
      </c>
      <c r="AB57" s="99">
        <f>'[1]Ages 2010'!AB57/'[1]Ages 2010'!$C$57</f>
        <v>0</v>
      </c>
    </row>
    <row r="58" spans="2:28">
      <c r="B58" s="101">
        <v>56</v>
      </c>
      <c r="C58" s="100">
        <f t="shared" si="1"/>
        <v>1</v>
      </c>
      <c r="D58" s="99">
        <f>'[1]Ages 2010'!D58/'[1]Ages 2010'!$C$58</f>
        <v>0</v>
      </c>
      <c r="E58" s="99">
        <f>'[1]Ages 2010'!E58/'[1]Ages 2010'!$C$58</f>
        <v>0</v>
      </c>
      <c r="F58" s="99">
        <f>'[1]Ages 2010'!F58/'[1]Ages 2010'!$C$58</f>
        <v>0</v>
      </c>
      <c r="G58" s="99">
        <f>'[1]Ages 2010'!G58/'[1]Ages 2010'!$C$58</f>
        <v>0</v>
      </c>
      <c r="H58" s="99">
        <f>'[1]Ages 2010'!H58/'[1]Ages 2010'!$C$58</f>
        <v>0</v>
      </c>
      <c r="I58" s="99">
        <f>'[1]Ages 2010'!I58/'[1]Ages 2010'!$C$58</f>
        <v>0</v>
      </c>
      <c r="J58" s="99">
        <f>'[1]Ages 2010'!J58/'[1]Ages 2010'!$C$58</f>
        <v>0</v>
      </c>
      <c r="K58" s="99">
        <f>'[1]Ages 2010'!K58/'[1]Ages 2010'!$C$58</f>
        <v>0</v>
      </c>
      <c r="L58" s="99">
        <f>'[1]Ages 2010'!L58/'[1]Ages 2010'!$C$58</f>
        <v>0</v>
      </c>
      <c r="M58" s="99">
        <f>'[1]Ages 2010'!M58/'[1]Ages 2010'!$C$58</f>
        <v>0</v>
      </c>
      <c r="N58" s="99">
        <f>'[1]Ages 2010'!N58/'[1]Ages 2010'!$C$58</f>
        <v>0</v>
      </c>
      <c r="O58" s="99">
        <f>'[1]Ages 2010'!O58/'[1]Ages 2010'!$C$58</f>
        <v>0</v>
      </c>
      <c r="P58" s="99">
        <f>'[1]Ages 2010'!P58/'[1]Ages 2010'!$C$58</f>
        <v>0</v>
      </c>
      <c r="Q58" s="99">
        <f>'[1]Ages 2010'!Q58/'[1]Ages 2010'!$C$58</f>
        <v>0</v>
      </c>
      <c r="R58" s="99">
        <f>'[1]Ages 2010'!R58/'[1]Ages 2010'!$C$58</f>
        <v>0</v>
      </c>
      <c r="S58" s="99">
        <f>'[1]Ages 2010'!S58/'[1]Ages 2010'!$C$58</f>
        <v>0</v>
      </c>
      <c r="T58" s="99">
        <f>'[1]Ages 2010'!T58/'[1]Ages 2010'!$C$58</f>
        <v>0.45069159072814302</v>
      </c>
      <c r="U58" s="99">
        <f>'[1]Ages 2010'!U58/'[1]Ages 2010'!$C$58</f>
        <v>0.54930840927185709</v>
      </c>
      <c r="V58" s="99">
        <f>'[1]Ages 2010'!V58/'[1]Ages 2010'!$C$58</f>
        <v>0</v>
      </c>
      <c r="W58" s="99">
        <f>'[1]Ages 2010'!W58/'[1]Ages 2010'!$C$58</f>
        <v>0</v>
      </c>
      <c r="X58" s="99">
        <f>'[1]Ages 2010'!X58/'[1]Ages 2010'!$C$58</f>
        <v>0</v>
      </c>
      <c r="Y58" s="99">
        <f>'[1]Ages 2010'!Y58/'[1]Ages 2010'!$C$58</f>
        <v>0</v>
      </c>
      <c r="Z58" s="99">
        <f>'[1]Ages 2010'!Z58/'[1]Ages 2010'!$C$58</f>
        <v>0</v>
      </c>
      <c r="AA58" s="99">
        <f>'[1]Ages 2010'!AA58/'[1]Ages 2010'!$C$58</f>
        <v>0</v>
      </c>
      <c r="AB58" s="99">
        <f>'[1]Ages 2010'!AB58/'[1]Ages 2010'!$C$58</f>
        <v>0</v>
      </c>
    </row>
    <row r="59" spans="2:28">
      <c r="B59" s="75">
        <v>57</v>
      </c>
      <c r="C59" s="100">
        <f t="shared" si="1"/>
        <v>0.99999999999999989</v>
      </c>
      <c r="D59" s="99">
        <f>'[1]Ages 2010'!D59/'[1]Ages 2010'!$C$59</f>
        <v>0</v>
      </c>
      <c r="E59" s="99">
        <f>'[1]Ages 2010'!E59/'[1]Ages 2010'!$C$59</f>
        <v>0</v>
      </c>
      <c r="F59" s="99">
        <f>'[1]Ages 2010'!F59/'[1]Ages 2010'!$C$59</f>
        <v>0</v>
      </c>
      <c r="G59" s="99">
        <f>'[1]Ages 2010'!G59/'[1]Ages 2010'!$C$59</f>
        <v>0</v>
      </c>
      <c r="H59" s="99">
        <f>'[1]Ages 2010'!H59/'[1]Ages 2010'!$C$59</f>
        <v>0</v>
      </c>
      <c r="I59" s="99">
        <f>'[1]Ages 2010'!I59/'[1]Ages 2010'!$C$59</f>
        <v>0</v>
      </c>
      <c r="J59" s="99">
        <f>'[1]Ages 2010'!J59/'[1]Ages 2010'!$C$59</f>
        <v>0</v>
      </c>
      <c r="K59" s="99">
        <f>'[1]Ages 2010'!K59/'[1]Ages 2010'!$C$59</f>
        <v>0</v>
      </c>
      <c r="L59" s="99">
        <f>'[1]Ages 2010'!L59/'[1]Ages 2010'!$C$59</f>
        <v>0</v>
      </c>
      <c r="M59" s="99">
        <f>'[1]Ages 2010'!M59/'[1]Ages 2010'!$C$59</f>
        <v>0</v>
      </c>
      <c r="N59" s="99">
        <f>'[1]Ages 2010'!N59/'[1]Ages 2010'!$C$59</f>
        <v>0</v>
      </c>
      <c r="O59" s="99">
        <f>'[1]Ages 2010'!O59/'[1]Ages 2010'!$C$59</f>
        <v>0</v>
      </c>
      <c r="P59" s="99">
        <f>'[1]Ages 2010'!P59/'[1]Ages 2010'!$C$59</f>
        <v>0</v>
      </c>
      <c r="Q59" s="99">
        <f>'[1]Ages 2010'!Q59/'[1]Ages 2010'!$C$59</f>
        <v>0</v>
      </c>
      <c r="R59" s="99">
        <f>'[1]Ages 2010'!R59/'[1]Ages 2010'!$C$59</f>
        <v>0</v>
      </c>
      <c r="S59" s="99">
        <f>'[1]Ages 2010'!S59/'[1]Ages 2010'!$C$59</f>
        <v>0</v>
      </c>
      <c r="T59" s="99">
        <f>'[1]Ages 2010'!T59/'[1]Ages 2010'!$C$59</f>
        <v>0.48301152610295428</v>
      </c>
      <c r="U59" s="99">
        <f>'[1]Ages 2010'!U59/'[1]Ages 2010'!$C$59</f>
        <v>0.51698847389704561</v>
      </c>
      <c r="V59" s="99">
        <f>'[1]Ages 2010'!V59/'[1]Ages 2010'!$C$59</f>
        <v>0</v>
      </c>
      <c r="W59" s="99">
        <f>'[1]Ages 2010'!W59/'[1]Ages 2010'!$C$59</f>
        <v>0</v>
      </c>
      <c r="X59" s="99">
        <f>'[1]Ages 2010'!X59/'[1]Ages 2010'!$C$59</f>
        <v>0</v>
      </c>
      <c r="Y59" s="99">
        <f>'[1]Ages 2010'!Y59/'[1]Ages 2010'!$C$59</f>
        <v>0</v>
      </c>
      <c r="Z59" s="99">
        <f>'[1]Ages 2010'!Z59/'[1]Ages 2010'!$C$59</f>
        <v>0</v>
      </c>
      <c r="AA59" s="99">
        <f>'[1]Ages 2010'!AA59/'[1]Ages 2010'!$C$59</f>
        <v>0</v>
      </c>
      <c r="AB59" s="99">
        <f>'[1]Ages 2010'!AB59/'[1]Ages 2010'!$C$59</f>
        <v>0</v>
      </c>
    </row>
    <row r="60" spans="2:28">
      <c r="B60" s="101">
        <v>58</v>
      </c>
      <c r="C60" s="100">
        <f t="shared" si="1"/>
        <v>1.0000000000000002</v>
      </c>
      <c r="D60" s="99">
        <f>'[1]Ages 2010'!D60/'[1]Ages 2010'!$C$60</f>
        <v>0</v>
      </c>
      <c r="E60" s="99">
        <f>'[1]Ages 2010'!E60/'[1]Ages 2010'!$C$60</f>
        <v>0</v>
      </c>
      <c r="F60" s="99">
        <f>'[1]Ages 2010'!F60/'[1]Ages 2010'!$C$60</f>
        <v>0</v>
      </c>
      <c r="G60" s="99">
        <f>'[1]Ages 2010'!G60/'[1]Ages 2010'!$C$60</f>
        <v>0</v>
      </c>
      <c r="H60" s="99">
        <f>'[1]Ages 2010'!H60/'[1]Ages 2010'!$C$60</f>
        <v>0</v>
      </c>
      <c r="I60" s="99">
        <f>'[1]Ages 2010'!I60/'[1]Ages 2010'!$C$60</f>
        <v>0</v>
      </c>
      <c r="J60" s="99">
        <f>'[1]Ages 2010'!J60/'[1]Ages 2010'!$C$60</f>
        <v>0</v>
      </c>
      <c r="K60" s="99">
        <f>'[1]Ages 2010'!K60/'[1]Ages 2010'!$C$60</f>
        <v>0</v>
      </c>
      <c r="L60" s="99">
        <f>'[1]Ages 2010'!L60/'[1]Ages 2010'!$C$60</f>
        <v>0</v>
      </c>
      <c r="M60" s="99">
        <f>'[1]Ages 2010'!M60/'[1]Ages 2010'!$C$60</f>
        <v>0</v>
      </c>
      <c r="N60" s="99">
        <f>'[1]Ages 2010'!N60/'[1]Ages 2010'!$C$60</f>
        <v>0</v>
      </c>
      <c r="O60" s="99">
        <f>'[1]Ages 2010'!O60/'[1]Ages 2010'!$C$60</f>
        <v>0</v>
      </c>
      <c r="P60" s="99">
        <f>'[1]Ages 2010'!P60/'[1]Ages 2010'!$C$60</f>
        <v>0</v>
      </c>
      <c r="Q60" s="99">
        <f>'[1]Ages 2010'!Q60/'[1]Ages 2010'!$C$60</f>
        <v>0</v>
      </c>
      <c r="R60" s="99">
        <f>'[1]Ages 2010'!R60/'[1]Ages 2010'!$C$60</f>
        <v>0</v>
      </c>
      <c r="S60" s="99">
        <f>'[1]Ages 2010'!S60/'[1]Ages 2010'!$C$60</f>
        <v>0</v>
      </c>
      <c r="T60" s="99">
        <f>'[1]Ages 2010'!T60/'[1]Ages 2010'!$C$60</f>
        <v>0.15866779633554279</v>
      </c>
      <c r="U60" s="99">
        <f>'[1]Ages 2010'!U60/'[1]Ages 2010'!$C$60</f>
        <v>0.42848276841061417</v>
      </c>
      <c r="V60" s="99">
        <f>'[1]Ages 2010'!V60/'[1]Ages 2010'!$C$60</f>
        <v>0.41284943525384316</v>
      </c>
      <c r="W60" s="99">
        <f>'[1]Ages 2010'!W60/'[1]Ages 2010'!$C$60</f>
        <v>0</v>
      </c>
      <c r="X60" s="99">
        <f>'[1]Ages 2010'!X60/'[1]Ages 2010'!$C$60</f>
        <v>0</v>
      </c>
      <c r="Y60" s="99">
        <f>'[1]Ages 2010'!Y60/'[1]Ages 2010'!$C$60</f>
        <v>0</v>
      </c>
      <c r="Z60" s="99">
        <f>'[1]Ages 2010'!Z60/'[1]Ages 2010'!$C$60</f>
        <v>0</v>
      </c>
      <c r="AA60" s="99">
        <f>'[1]Ages 2010'!AA60/'[1]Ages 2010'!$C$60</f>
        <v>0</v>
      </c>
      <c r="AB60" s="99">
        <f>'[1]Ages 2010'!AB60/'[1]Ages 2010'!$C$60</f>
        <v>0</v>
      </c>
    </row>
    <row r="61" spans="2:28">
      <c r="B61" s="75">
        <v>59</v>
      </c>
      <c r="C61" s="100">
        <f t="shared" si="1"/>
        <v>1</v>
      </c>
      <c r="D61" s="99">
        <f>'[1]Ages 2010'!D61/'[1]Ages 2010'!$C$61</f>
        <v>0</v>
      </c>
      <c r="E61" s="99">
        <f>'[1]Ages 2010'!E61/'[1]Ages 2010'!$C$61</f>
        <v>0</v>
      </c>
      <c r="F61" s="99">
        <f>'[1]Ages 2010'!F61/'[1]Ages 2010'!$C$61</f>
        <v>0</v>
      </c>
      <c r="G61" s="99">
        <f>'[1]Ages 2010'!G61/'[1]Ages 2010'!$C$61</f>
        <v>0</v>
      </c>
      <c r="H61" s="99">
        <f>'[1]Ages 2010'!H61/'[1]Ages 2010'!$C$61</f>
        <v>0</v>
      </c>
      <c r="I61" s="99">
        <f>'[1]Ages 2010'!I61/'[1]Ages 2010'!$C$61</f>
        <v>0</v>
      </c>
      <c r="J61" s="99">
        <f>'[1]Ages 2010'!J61/'[1]Ages 2010'!$C$61</f>
        <v>0</v>
      </c>
      <c r="K61" s="99">
        <f>'[1]Ages 2010'!K61/'[1]Ages 2010'!$C$61</f>
        <v>0</v>
      </c>
      <c r="L61" s="99">
        <f>'[1]Ages 2010'!L61/'[1]Ages 2010'!$C$61</f>
        <v>0</v>
      </c>
      <c r="M61" s="99">
        <f>'[1]Ages 2010'!M61/'[1]Ages 2010'!$C$61</f>
        <v>0</v>
      </c>
      <c r="N61" s="99">
        <f>'[1]Ages 2010'!N61/'[1]Ages 2010'!$C$61</f>
        <v>0</v>
      </c>
      <c r="O61" s="99">
        <f>'[1]Ages 2010'!O61/'[1]Ages 2010'!$C$61</f>
        <v>0</v>
      </c>
      <c r="P61" s="99">
        <f>'[1]Ages 2010'!P61/'[1]Ages 2010'!$C$61</f>
        <v>0</v>
      </c>
      <c r="Q61" s="99">
        <f>'[1]Ages 2010'!Q61/'[1]Ages 2010'!$C$61</f>
        <v>0</v>
      </c>
      <c r="R61" s="99">
        <f>'[1]Ages 2010'!R61/'[1]Ages 2010'!$C$61</f>
        <v>0</v>
      </c>
      <c r="S61" s="99">
        <f>'[1]Ages 2010'!S61/'[1]Ages 2010'!$C$61</f>
        <v>0</v>
      </c>
      <c r="T61" s="99">
        <f>'[1]Ages 2010'!T61/'[1]Ages 2010'!$C$61</f>
        <v>0</v>
      </c>
      <c r="U61" s="99">
        <f>'[1]Ages 2010'!U61/'[1]Ages 2010'!$C$61</f>
        <v>8.8740424544953636E-2</v>
      </c>
      <c r="V61" s="99">
        <f>'[1]Ages 2010'!V61/'[1]Ages 2010'!$C$61</f>
        <v>0.64066057181466962</v>
      </c>
      <c r="W61" s="99">
        <f>'[1]Ages 2010'!W61/'[1]Ages 2010'!$C$61</f>
        <v>0.27059900364037665</v>
      </c>
      <c r="X61" s="99">
        <f>'[1]Ages 2010'!X61/'[1]Ages 2010'!$C$61</f>
        <v>0</v>
      </c>
      <c r="Y61" s="99">
        <f>'[1]Ages 2010'!Y61/'[1]Ages 2010'!$C$61</f>
        <v>0</v>
      </c>
      <c r="Z61" s="99">
        <f>'[1]Ages 2010'!Z61/'[1]Ages 2010'!$C$61</f>
        <v>0</v>
      </c>
      <c r="AA61" s="99">
        <f>'[1]Ages 2010'!AA61/'[1]Ages 2010'!$C$61</f>
        <v>0</v>
      </c>
      <c r="AB61" s="99">
        <f>'[1]Ages 2010'!AB61/'[1]Ages 2010'!$C$61</f>
        <v>0</v>
      </c>
    </row>
    <row r="62" spans="2:28">
      <c r="B62" s="101">
        <v>60</v>
      </c>
      <c r="C62" s="100">
        <f t="shared" si="1"/>
        <v>1</v>
      </c>
      <c r="D62" s="99">
        <f>'[1]Ages 2010'!D62/'[1]Ages 2010'!$C$62</f>
        <v>0</v>
      </c>
      <c r="E62" s="99">
        <f>'[1]Ages 2010'!E62/'[1]Ages 2010'!$C$62</f>
        <v>0</v>
      </c>
      <c r="F62" s="99">
        <f>'[1]Ages 2010'!F62/'[1]Ages 2010'!$C$62</f>
        <v>0</v>
      </c>
      <c r="G62" s="99">
        <f>'[1]Ages 2010'!G62/'[1]Ages 2010'!$C$62</f>
        <v>0</v>
      </c>
      <c r="H62" s="99">
        <f>'[1]Ages 2010'!H62/'[1]Ages 2010'!$C$62</f>
        <v>0</v>
      </c>
      <c r="I62" s="99">
        <f>'[1]Ages 2010'!I62/'[1]Ages 2010'!$C$62</f>
        <v>0</v>
      </c>
      <c r="J62" s="99">
        <f>'[1]Ages 2010'!J62/'[1]Ages 2010'!$C$62</f>
        <v>0</v>
      </c>
      <c r="K62" s="99">
        <f>'[1]Ages 2010'!K62/'[1]Ages 2010'!$C$62</f>
        <v>0</v>
      </c>
      <c r="L62" s="99">
        <f>'[1]Ages 2010'!L62/'[1]Ages 2010'!$C$62</f>
        <v>0</v>
      </c>
      <c r="M62" s="99">
        <f>'[1]Ages 2010'!M62/'[1]Ages 2010'!$C$62</f>
        <v>0</v>
      </c>
      <c r="N62" s="99">
        <f>'[1]Ages 2010'!N62/'[1]Ages 2010'!$C$62</f>
        <v>0</v>
      </c>
      <c r="O62" s="99">
        <f>'[1]Ages 2010'!O62/'[1]Ages 2010'!$C$62</f>
        <v>0</v>
      </c>
      <c r="P62" s="99">
        <f>'[1]Ages 2010'!P62/'[1]Ages 2010'!$C$62</f>
        <v>0</v>
      </c>
      <c r="Q62" s="99">
        <f>'[1]Ages 2010'!Q62/'[1]Ages 2010'!$C$62</f>
        <v>0</v>
      </c>
      <c r="R62" s="99">
        <f>'[1]Ages 2010'!R62/'[1]Ages 2010'!$C$62</f>
        <v>0</v>
      </c>
      <c r="S62" s="99">
        <f>'[1]Ages 2010'!S62/'[1]Ages 2010'!$C$62</f>
        <v>0</v>
      </c>
      <c r="T62" s="99">
        <f>'[1]Ages 2010'!T62/'[1]Ages 2010'!$C$62</f>
        <v>0</v>
      </c>
      <c r="U62" s="99">
        <f>'[1]Ages 2010'!U62/'[1]Ages 2010'!$C$62</f>
        <v>0</v>
      </c>
      <c r="V62" s="99">
        <f>'[1]Ages 2010'!V62/'[1]Ages 2010'!$C$62</f>
        <v>0.25792140598747698</v>
      </c>
      <c r="W62" s="99">
        <f>'[1]Ages 2010'!W62/'[1]Ages 2010'!$C$62</f>
        <v>0.74207859401252307</v>
      </c>
      <c r="X62" s="99">
        <f>'[1]Ages 2010'!X62/'[1]Ages 2010'!$C$62</f>
        <v>0</v>
      </c>
      <c r="Y62" s="99">
        <f>'[1]Ages 2010'!Y62/'[1]Ages 2010'!$C$62</f>
        <v>0</v>
      </c>
      <c r="Z62" s="99">
        <f>'[1]Ages 2010'!Z62/'[1]Ages 2010'!$C$62</f>
        <v>0</v>
      </c>
      <c r="AA62" s="99">
        <f>'[1]Ages 2010'!AA62/'[1]Ages 2010'!$C$62</f>
        <v>0</v>
      </c>
      <c r="AB62" s="99">
        <f>'[1]Ages 2010'!AB62/'[1]Ages 2010'!$C$62</f>
        <v>0</v>
      </c>
    </row>
    <row r="63" spans="2:28">
      <c r="B63" s="75">
        <v>61</v>
      </c>
      <c r="C63" s="100">
        <f t="shared" si="1"/>
        <v>1</v>
      </c>
      <c r="D63" s="99">
        <f>'[1]Ages 2010'!D63/'[1]Ages 2010'!$C$63</f>
        <v>0</v>
      </c>
      <c r="E63" s="99">
        <f>'[1]Ages 2010'!E63/'[1]Ages 2010'!$C$63</f>
        <v>0</v>
      </c>
      <c r="F63" s="99">
        <f>'[1]Ages 2010'!F63/'[1]Ages 2010'!$C$63</f>
        <v>0</v>
      </c>
      <c r="G63" s="99">
        <f>'[1]Ages 2010'!G63/'[1]Ages 2010'!$C$63</f>
        <v>0</v>
      </c>
      <c r="H63" s="99">
        <f>'[1]Ages 2010'!H63/'[1]Ages 2010'!$C$63</f>
        <v>0</v>
      </c>
      <c r="I63" s="99">
        <f>'[1]Ages 2010'!I63/'[1]Ages 2010'!$C$63</f>
        <v>0</v>
      </c>
      <c r="J63" s="99">
        <f>'[1]Ages 2010'!J63/'[1]Ages 2010'!$C$63</f>
        <v>0</v>
      </c>
      <c r="K63" s="99">
        <f>'[1]Ages 2010'!K63/'[1]Ages 2010'!$C$63</f>
        <v>0</v>
      </c>
      <c r="L63" s="99">
        <f>'[1]Ages 2010'!L63/'[1]Ages 2010'!$C$63</f>
        <v>0</v>
      </c>
      <c r="M63" s="99">
        <f>'[1]Ages 2010'!M63/'[1]Ages 2010'!$C$63</f>
        <v>0</v>
      </c>
      <c r="N63" s="99">
        <f>'[1]Ages 2010'!N63/'[1]Ages 2010'!$C$63</f>
        <v>0</v>
      </c>
      <c r="O63" s="99">
        <f>'[1]Ages 2010'!O63/'[1]Ages 2010'!$C$63</f>
        <v>0</v>
      </c>
      <c r="P63" s="99">
        <f>'[1]Ages 2010'!P63/'[1]Ages 2010'!$C$63</f>
        <v>0</v>
      </c>
      <c r="Q63" s="99">
        <f>'[1]Ages 2010'!Q63/'[1]Ages 2010'!$C$63</f>
        <v>0</v>
      </c>
      <c r="R63" s="99">
        <f>'[1]Ages 2010'!R63/'[1]Ages 2010'!$C$63</f>
        <v>0</v>
      </c>
      <c r="S63" s="99">
        <f>'[1]Ages 2010'!S63/'[1]Ages 2010'!$C$63</f>
        <v>0</v>
      </c>
      <c r="T63" s="99">
        <f>'[1]Ages 2010'!T63/'[1]Ages 2010'!$C$63</f>
        <v>0</v>
      </c>
      <c r="U63" s="99">
        <f>'[1]Ages 2010'!U63/'[1]Ages 2010'!$C$63</f>
        <v>0</v>
      </c>
      <c r="V63" s="99">
        <f>'[1]Ages 2010'!V63/'[1]Ages 2010'!$C$63</f>
        <v>0</v>
      </c>
      <c r="W63" s="99">
        <f>'[1]Ages 2010'!W63/'[1]Ages 2010'!$C$63</f>
        <v>0.35182097973839443</v>
      </c>
      <c r="X63" s="99">
        <f>'[1]Ages 2010'!X63/'[1]Ages 2010'!$C$63</f>
        <v>0.64817902026160557</v>
      </c>
      <c r="Y63" s="99">
        <f>'[1]Ages 2010'!Y63/'[1]Ages 2010'!$C$63</f>
        <v>0</v>
      </c>
      <c r="Z63" s="99">
        <f>'[1]Ages 2010'!Z63/'[1]Ages 2010'!$C$63</f>
        <v>0</v>
      </c>
      <c r="AA63" s="99">
        <f>'[1]Ages 2010'!AA63/'[1]Ages 2010'!$C$63</f>
        <v>0</v>
      </c>
      <c r="AB63" s="99">
        <f>'[1]Ages 2010'!AB63/'[1]Ages 2010'!$C$63</f>
        <v>0</v>
      </c>
    </row>
    <row r="64" spans="2:28">
      <c r="B64" s="101">
        <v>62</v>
      </c>
      <c r="C64" s="100">
        <f t="shared" si="1"/>
        <v>1</v>
      </c>
      <c r="D64" s="99">
        <f>'[1]Ages 2010'!D64/'[1]Ages 2010'!$C$64</f>
        <v>0</v>
      </c>
      <c r="E64" s="99">
        <f>'[1]Ages 2010'!E64/'[1]Ages 2010'!$C$64</f>
        <v>0</v>
      </c>
      <c r="F64" s="99">
        <f>'[1]Ages 2010'!F64/'[1]Ages 2010'!$C$64</f>
        <v>0</v>
      </c>
      <c r="G64" s="99">
        <f>'[1]Ages 2010'!G64/'[1]Ages 2010'!$C$64</f>
        <v>0</v>
      </c>
      <c r="H64" s="99">
        <f>'[1]Ages 2010'!H64/'[1]Ages 2010'!$C$64</f>
        <v>0</v>
      </c>
      <c r="I64" s="99">
        <f>'[1]Ages 2010'!I64/'[1]Ages 2010'!$C$64</f>
        <v>0</v>
      </c>
      <c r="J64" s="99">
        <f>'[1]Ages 2010'!J64/'[1]Ages 2010'!$C$64</f>
        <v>0</v>
      </c>
      <c r="K64" s="99">
        <f>'[1]Ages 2010'!K64/'[1]Ages 2010'!$C$64</f>
        <v>0</v>
      </c>
      <c r="L64" s="99">
        <f>'[1]Ages 2010'!L64/'[1]Ages 2010'!$C$64</f>
        <v>0</v>
      </c>
      <c r="M64" s="99">
        <f>'[1]Ages 2010'!M64/'[1]Ages 2010'!$C$64</f>
        <v>0</v>
      </c>
      <c r="N64" s="99">
        <f>'[1]Ages 2010'!N64/'[1]Ages 2010'!$C$64</f>
        <v>0</v>
      </c>
      <c r="O64" s="99">
        <f>'[1]Ages 2010'!O64/'[1]Ages 2010'!$C$64</f>
        <v>0</v>
      </c>
      <c r="P64" s="99">
        <f>'[1]Ages 2010'!P64/'[1]Ages 2010'!$C$64</f>
        <v>0</v>
      </c>
      <c r="Q64" s="99">
        <f>'[1]Ages 2010'!Q64/'[1]Ages 2010'!$C$64</f>
        <v>0</v>
      </c>
      <c r="R64" s="99">
        <f>'[1]Ages 2010'!R64/'[1]Ages 2010'!$C$64</f>
        <v>0</v>
      </c>
      <c r="S64" s="99">
        <f>'[1]Ages 2010'!S64/'[1]Ages 2010'!$C$64</f>
        <v>0</v>
      </c>
      <c r="T64" s="99">
        <f>'[1]Ages 2010'!T64/'[1]Ages 2010'!$C$64</f>
        <v>0</v>
      </c>
      <c r="U64" s="99">
        <f>'[1]Ages 2010'!U64/'[1]Ages 2010'!$C$64</f>
        <v>0</v>
      </c>
      <c r="V64" s="99">
        <f>'[1]Ages 2010'!V64/'[1]Ages 2010'!$C$64</f>
        <v>0</v>
      </c>
      <c r="W64" s="99">
        <f>'[1]Ages 2010'!W64/'[1]Ages 2010'!$C$64</f>
        <v>0</v>
      </c>
      <c r="X64" s="99">
        <f>'[1]Ages 2010'!X64/'[1]Ages 2010'!$C$64</f>
        <v>0</v>
      </c>
      <c r="Y64" s="99">
        <f>'[1]Ages 2010'!Y64/'[1]Ages 2010'!$C$64</f>
        <v>1</v>
      </c>
      <c r="Z64" s="99">
        <f>'[1]Ages 2010'!Z64/'[1]Ages 2010'!$C$64</f>
        <v>0</v>
      </c>
      <c r="AA64" s="99">
        <f>'[1]Ages 2010'!AA64/'[1]Ages 2010'!$C$64</f>
        <v>0</v>
      </c>
      <c r="AB64" s="99">
        <f>'[1]Ages 2010'!AB64/'[1]Ages 2010'!$C$64</f>
        <v>0</v>
      </c>
    </row>
    <row r="65" spans="2:33">
      <c r="B65" s="75">
        <v>63</v>
      </c>
      <c r="C65" s="100">
        <f t="shared" si="1"/>
        <v>1</v>
      </c>
      <c r="D65" s="99">
        <f>'[1]Ages 2010'!D65/'[1]Ages 2010'!$C$65</f>
        <v>0</v>
      </c>
      <c r="E65" s="99">
        <f>'[1]Ages 2010'!E65/'[1]Ages 2010'!$C$65</f>
        <v>0</v>
      </c>
      <c r="F65" s="99">
        <f>'[1]Ages 2010'!F65/'[1]Ages 2010'!$C$65</f>
        <v>0</v>
      </c>
      <c r="G65" s="99">
        <f>'[1]Ages 2010'!G65/'[1]Ages 2010'!$C$65</f>
        <v>0</v>
      </c>
      <c r="H65" s="99">
        <f>'[1]Ages 2010'!H65/'[1]Ages 2010'!$C$65</f>
        <v>0</v>
      </c>
      <c r="I65" s="99">
        <f>'[1]Ages 2010'!I65/'[1]Ages 2010'!$C$65</f>
        <v>0</v>
      </c>
      <c r="J65" s="99">
        <f>'[1]Ages 2010'!J65/'[1]Ages 2010'!$C$65</f>
        <v>0</v>
      </c>
      <c r="K65" s="99">
        <f>'[1]Ages 2010'!K65/'[1]Ages 2010'!$C$65</f>
        <v>0</v>
      </c>
      <c r="L65" s="99">
        <f>'[1]Ages 2010'!L65/'[1]Ages 2010'!$C$65</f>
        <v>0</v>
      </c>
      <c r="M65" s="99">
        <f>'[1]Ages 2010'!M65/'[1]Ages 2010'!$C$65</f>
        <v>0</v>
      </c>
      <c r="N65" s="99">
        <f>'[1]Ages 2010'!N65/'[1]Ages 2010'!$C$65</f>
        <v>0</v>
      </c>
      <c r="O65" s="99">
        <f>'[1]Ages 2010'!O65/'[1]Ages 2010'!$C$65</f>
        <v>0</v>
      </c>
      <c r="P65" s="99">
        <f>'[1]Ages 2010'!P65/'[1]Ages 2010'!$C$65</f>
        <v>0</v>
      </c>
      <c r="Q65" s="99">
        <f>'[1]Ages 2010'!Q65/'[1]Ages 2010'!$C$65</f>
        <v>0</v>
      </c>
      <c r="R65" s="99">
        <f>'[1]Ages 2010'!R65/'[1]Ages 2010'!$C$65</f>
        <v>0</v>
      </c>
      <c r="S65" s="99">
        <f>'[1]Ages 2010'!S65/'[1]Ages 2010'!$C$65</f>
        <v>0</v>
      </c>
      <c r="T65" s="99">
        <f>'[1]Ages 2010'!T65/'[1]Ages 2010'!$C$65</f>
        <v>0</v>
      </c>
      <c r="U65" s="99">
        <f>'[1]Ages 2010'!U65/'[1]Ages 2010'!$C$65</f>
        <v>0</v>
      </c>
      <c r="V65" s="99">
        <f>'[1]Ages 2010'!V65/'[1]Ages 2010'!$C$65</f>
        <v>0</v>
      </c>
      <c r="W65" s="99">
        <f>'[1]Ages 2010'!W65/'[1]Ages 2010'!$C$65</f>
        <v>1</v>
      </c>
      <c r="X65" s="99">
        <f>'[1]Ages 2010'!X65/'[1]Ages 2010'!$C$65</f>
        <v>0</v>
      </c>
      <c r="Y65" s="99">
        <f>'[1]Ages 2010'!Y65/'[1]Ages 2010'!$C$65</f>
        <v>0</v>
      </c>
      <c r="Z65" s="99">
        <f>'[1]Ages 2010'!Z65/'[1]Ages 2010'!$C$65</f>
        <v>0</v>
      </c>
      <c r="AA65" s="99">
        <f>'[1]Ages 2010'!AA65/'[1]Ages 2010'!$C$65</f>
        <v>0</v>
      </c>
      <c r="AB65" s="99">
        <f>'[1]Ages 2010'!AB65/'[1]Ages 2010'!$C$65</f>
        <v>0</v>
      </c>
    </row>
    <row r="66" spans="2:33">
      <c r="B66" s="101">
        <v>64</v>
      </c>
      <c r="C66" s="100">
        <f t="shared" si="1"/>
        <v>1</v>
      </c>
      <c r="D66" s="99">
        <f>'[1]Ages 2010'!D66/'[1]Ages 2010'!$C$66</f>
        <v>0</v>
      </c>
      <c r="E66" s="99">
        <f>'[1]Ages 2010'!E66/'[1]Ages 2010'!$C$66</f>
        <v>0</v>
      </c>
      <c r="F66" s="99">
        <f>'[1]Ages 2010'!F66/'[1]Ages 2010'!$C$66</f>
        <v>0</v>
      </c>
      <c r="G66" s="99">
        <f>'[1]Ages 2010'!G66/'[1]Ages 2010'!$C$66</f>
        <v>0</v>
      </c>
      <c r="H66" s="99">
        <f>'[1]Ages 2010'!H66/'[1]Ages 2010'!$C$66</f>
        <v>0</v>
      </c>
      <c r="I66" s="99">
        <f>'[1]Ages 2010'!I66/'[1]Ages 2010'!$C$66</f>
        <v>0</v>
      </c>
      <c r="J66" s="99">
        <f>'[1]Ages 2010'!J66/'[1]Ages 2010'!$C$66</f>
        <v>0</v>
      </c>
      <c r="K66" s="99">
        <f>'[1]Ages 2010'!K66/'[1]Ages 2010'!$C$66</f>
        <v>0</v>
      </c>
      <c r="L66" s="99">
        <f>'[1]Ages 2010'!L66/'[1]Ages 2010'!$C$66</f>
        <v>0</v>
      </c>
      <c r="M66" s="99">
        <f>'[1]Ages 2010'!M66/'[1]Ages 2010'!$C$66</f>
        <v>0</v>
      </c>
      <c r="N66" s="99">
        <f>'[1]Ages 2010'!N66/'[1]Ages 2010'!$C$66</f>
        <v>0</v>
      </c>
      <c r="O66" s="99">
        <f>'[1]Ages 2010'!O66/'[1]Ages 2010'!$C$66</f>
        <v>0</v>
      </c>
      <c r="P66" s="99">
        <f>'[1]Ages 2010'!P66/'[1]Ages 2010'!$C$66</f>
        <v>0</v>
      </c>
      <c r="Q66" s="99">
        <f>'[1]Ages 2010'!Q66/'[1]Ages 2010'!$C$66</f>
        <v>0</v>
      </c>
      <c r="R66" s="99">
        <f>'[1]Ages 2010'!R66/'[1]Ages 2010'!$C$66</f>
        <v>0</v>
      </c>
      <c r="S66" s="99">
        <f>'[1]Ages 2010'!S66/'[1]Ages 2010'!$C$66</f>
        <v>0</v>
      </c>
      <c r="T66" s="99">
        <f>'[1]Ages 2010'!T66/'[1]Ages 2010'!$C$66</f>
        <v>0</v>
      </c>
      <c r="U66" s="99">
        <f>'[1]Ages 2010'!U66/'[1]Ages 2010'!$C$66</f>
        <v>1</v>
      </c>
      <c r="V66" s="99">
        <f>'[1]Ages 2010'!V66/'[1]Ages 2010'!$C$66</f>
        <v>0</v>
      </c>
      <c r="W66" s="99">
        <f>'[1]Ages 2010'!W66/'[1]Ages 2010'!$C$66</f>
        <v>0</v>
      </c>
      <c r="X66" s="99">
        <f>'[1]Ages 2010'!X66/'[1]Ages 2010'!$C$66</f>
        <v>0</v>
      </c>
      <c r="Y66" s="99">
        <f>'[1]Ages 2010'!Y66/'[1]Ages 2010'!$C$66</f>
        <v>0</v>
      </c>
      <c r="Z66" s="99">
        <f>'[1]Ages 2010'!Z66/'[1]Ages 2010'!$C$66</f>
        <v>0</v>
      </c>
      <c r="AA66" s="99">
        <f>'[1]Ages 2010'!AA66/'[1]Ages 2010'!$C$66</f>
        <v>0</v>
      </c>
      <c r="AB66" s="99">
        <f>'[1]Ages 2010'!AB66/'[1]Ages 2010'!$C$66</f>
        <v>0</v>
      </c>
    </row>
    <row r="67" spans="2:33">
      <c r="B67" s="75">
        <v>65</v>
      </c>
      <c r="C67" s="100">
        <f t="shared" si="1"/>
        <v>0</v>
      </c>
      <c r="D67" s="99">
        <f>'[1]Ages 2010'!D67/'[1]Ages 2010'!$C$66</f>
        <v>0</v>
      </c>
      <c r="E67" s="99">
        <f>'[1]Ages 2010'!E67/'[1]Ages 2010'!$C$66</f>
        <v>0</v>
      </c>
      <c r="F67" s="99">
        <f>'[1]Ages 2010'!F67/'[1]Ages 2010'!$C$66</f>
        <v>0</v>
      </c>
      <c r="G67" s="99">
        <f>'[1]Ages 2010'!G67/'[1]Ages 2010'!$C$66</f>
        <v>0</v>
      </c>
      <c r="H67" s="99">
        <f>'[1]Ages 2010'!H67/'[1]Ages 2010'!$C$66</f>
        <v>0</v>
      </c>
      <c r="I67" s="99">
        <f>'[1]Ages 2010'!I67/'[1]Ages 2010'!$C$66</f>
        <v>0</v>
      </c>
      <c r="J67" s="99">
        <f>'[1]Ages 2010'!J67/'[1]Ages 2010'!$C$66</f>
        <v>0</v>
      </c>
      <c r="K67" s="99">
        <f>'[1]Ages 2010'!K67/'[1]Ages 2010'!$C$66</f>
        <v>0</v>
      </c>
      <c r="L67" s="99">
        <f>'[1]Ages 2010'!L67/'[1]Ages 2010'!$C$66</f>
        <v>0</v>
      </c>
      <c r="M67" s="99">
        <f>'[1]Ages 2010'!M67/'[1]Ages 2010'!$C$66</f>
        <v>0</v>
      </c>
      <c r="N67" s="99">
        <f>'[1]Ages 2010'!N67/'[1]Ages 2010'!$C$66</f>
        <v>0</v>
      </c>
      <c r="O67" s="99">
        <f>'[1]Ages 2010'!O67/'[1]Ages 2010'!$C$66</f>
        <v>0</v>
      </c>
      <c r="P67" s="99">
        <f>'[1]Ages 2010'!P67/'[1]Ages 2010'!$C$66</f>
        <v>0</v>
      </c>
      <c r="Q67" s="99">
        <f>'[1]Ages 2010'!Q67/'[1]Ages 2010'!$C$66</f>
        <v>0</v>
      </c>
      <c r="R67" s="99">
        <f>'[1]Ages 2010'!R67/'[1]Ages 2010'!$C$66</f>
        <v>0</v>
      </c>
      <c r="S67" s="99">
        <f>'[1]Ages 2010'!S67/'[1]Ages 2010'!$C$66</f>
        <v>0</v>
      </c>
      <c r="T67" s="99">
        <f>'[1]Ages 2010'!T67/'[1]Ages 2010'!$C$66</f>
        <v>0</v>
      </c>
      <c r="U67" s="99">
        <f>'[1]Ages 2010'!U67/'[1]Ages 2010'!$C$66</f>
        <v>0</v>
      </c>
      <c r="V67" s="99">
        <f>'[1]Ages 2010'!V67/'[1]Ages 2010'!$C$66</f>
        <v>0</v>
      </c>
      <c r="W67" s="99">
        <f>'[1]Ages 2010'!W67/'[1]Ages 2010'!$C$66</f>
        <v>0</v>
      </c>
      <c r="X67" s="99">
        <f>'[1]Ages 2010'!X67/'[1]Ages 2010'!$C$66</f>
        <v>0</v>
      </c>
      <c r="Y67" s="99">
        <f>'[1]Ages 2010'!Y67/'[1]Ages 2010'!$C$66</f>
        <v>0</v>
      </c>
      <c r="Z67" s="99">
        <f>'[1]Ages 2010'!Z67/'[1]Ages 2010'!$C$66</f>
        <v>0</v>
      </c>
      <c r="AA67" s="99">
        <f>'[1]Ages 2010'!AA67/'[1]Ages 2010'!$C$66</f>
        <v>0</v>
      </c>
      <c r="AB67" s="99">
        <f>'[1]Ages 2010'!AB67/'[1]Ages 2010'!$C$66</f>
        <v>0</v>
      </c>
    </row>
    <row r="68" spans="2:33">
      <c r="B68" s="101">
        <v>66</v>
      </c>
      <c r="C68" s="100">
        <f t="shared" si="1"/>
        <v>0</v>
      </c>
      <c r="D68" s="99">
        <f>'[1]Ages 2010'!D68/'[1]Ages 2010'!$C$66</f>
        <v>0</v>
      </c>
      <c r="E68" s="99">
        <f>'[1]Ages 2010'!E68/'[1]Ages 2010'!$C$66</f>
        <v>0</v>
      </c>
      <c r="F68" s="99">
        <f>'[1]Ages 2010'!F68/'[1]Ages 2010'!$C$66</f>
        <v>0</v>
      </c>
      <c r="G68" s="99">
        <f>'[1]Ages 2010'!G68/'[1]Ages 2010'!$C$66</f>
        <v>0</v>
      </c>
      <c r="H68" s="99">
        <f>'[1]Ages 2010'!H68/'[1]Ages 2010'!$C$66</f>
        <v>0</v>
      </c>
      <c r="I68" s="99">
        <f>'[1]Ages 2010'!I68/'[1]Ages 2010'!$C$66</f>
        <v>0</v>
      </c>
      <c r="J68" s="99">
        <f>'[1]Ages 2010'!J68/'[1]Ages 2010'!$C$66</f>
        <v>0</v>
      </c>
      <c r="K68" s="99">
        <f>'[1]Ages 2010'!K68/'[1]Ages 2010'!$C$66</f>
        <v>0</v>
      </c>
      <c r="L68" s="99">
        <f>'[1]Ages 2010'!L68/'[1]Ages 2010'!$C$66</f>
        <v>0</v>
      </c>
      <c r="M68" s="99">
        <f>'[1]Ages 2010'!M68/'[1]Ages 2010'!$C$66</f>
        <v>0</v>
      </c>
      <c r="N68" s="99">
        <f>'[1]Ages 2010'!N68/'[1]Ages 2010'!$C$66</f>
        <v>0</v>
      </c>
      <c r="O68" s="99">
        <f>'[1]Ages 2010'!O68/'[1]Ages 2010'!$C$66</f>
        <v>0</v>
      </c>
      <c r="P68" s="99">
        <f>'[1]Ages 2010'!P68/'[1]Ages 2010'!$C$66</f>
        <v>0</v>
      </c>
      <c r="Q68" s="99">
        <f>'[1]Ages 2010'!Q68/'[1]Ages 2010'!$C$66</f>
        <v>0</v>
      </c>
      <c r="R68" s="99">
        <f>'[1]Ages 2010'!R68/'[1]Ages 2010'!$C$66</f>
        <v>0</v>
      </c>
      <c r="S68" s="99">
        <f>'[1]Ages 2010'!S68/'[1]Ages 2010'!$C$66</f>
        <v>0</v>
      </c>
      <c r="T68" s="99">
        <f>'[1]Ages 2010'!T68/'[1]Ages 2010'!$C$66</f>
        <v>0</v>
      </c>
      <c r="U68" s="99">
        <f>'[1]Ages 2010'!U68/'[1]Ages 2010'!$C$66</f>
        <v>0</v>
      </c>
      <c r="V68" s="99">
        <f>'[1]Ages 2010'!V68/'[1]Ages 2010'!$C$66</f>
        <v>0</v>
      </c>
      <c r="W68" s="99">
        <f>'[1]Ages 2010'!W68/'[1]Ages 2010'!$C$66</f>
        <v>0</v>
      </c>
      <c r="X68" s="99">
        <f>'[1]Ages 2010'!X68/'[1]Ages 2010'!$C$66</f>
        <v>0</v>
      </c>
      <c r="Y68" s="99">
        <f>'[1]Ages 2010'!Y68/'[1]Ages 2010'!$C$66</f>
        <v>0</v>
      </c>
      <c r="Z68" s="99">
        <f>'[1]Ages 2010'!Z68/'[1]Ages 2010'!$C$66</f>
        <v>0</v>
      </c>
      <c r="AA68" s="99">
        <f>'[1]Ages 2010'!AA68/'[1]Ages 2010'!$C$66</f>
        <v>0</v>
      </c>
      <c r="AB68" s="99">
        <f>'[1]Ages 2010'!AB68/'[1]Ages 2010'!$C$66</f>
        <v>0</v>
      </c>
    </row>
    <row r="69" spans="2:33" ht="13" thickBot="1">
      <c r="B69" s="75"/>
      <c r="C69" s="74"/>
      <c r="D69" s="98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7"/>
      <c r="U69" s="96"/>
      <c r="V69" s="96"/>
      <c r="W69" s="96"/>
      <c r="X69" s="96"/>
      <c r="Y69" s="96"/>
      <c r="Z69" s="96"/>
      <c r="AA69" s="96"/>
      <c r="AB69" s="95"/>
    </row>
    <row r="70" spans="2:33">
      <c r="B70" s="94" t="s">
        <v>28</v>
      </c>
      <c r="C70" s="93"/>
      <c r="D70" s="54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</row>
    <row r="71" spans="2:33" s="79" customFormat="1">
      <c r="B71" s="85"/>
      <c r="C71" s="91"/>
      <c r="D71" s="54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89"/>
      <c r="AC71" s="80"/>
      <c r="AD71" s="80"/>
      <c r="AE71" s="80"/>
      <c r="AF71" s="80"/>
      <c r="AG71" s="80"/>
    </row>
    <row r="72" spans="2:33">
      <c r="B72" s="85"/>
      <c r="C72" s="88"/>
      <c r="D72" s="54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6"/>
    </row>
    <row r="73" spans="2:33" s="79" customFormat="1">
      <c r="B73" s="85"/>
      <c r="C73" s="84"/>
      <c r="D73" s="54"/>
      <c r="E73" s="82"/>
      <c r="F73" s="82"/>
      <c r="G73" s="82"/>
      <c r="H73" s="82"/>
      <c r="I73" s="82"/>
      <c r="J73" s="83"/>
      <c r="K73" s="8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1"/>
      <c r="AC73" s="80"/>
      <c r="AD73" s="80"/>
      <c r="AE73" s="80"/>
      <c r="AF73" s="80"/>
      <c r="AG73" s="80"/>
    </row>
    <row r="74" spans="2:33">
      <c r="B74" s="78"/>
      <c r="C74" s="77"/>
      <c r="D74" s="54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76"/>
    </row>
    <row r="75" spans="2:33">
      <c r="B75" s="75"/>
      <c r="C75" s="7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73"/>
    </row>
    <row r="76" spans="2:33" ht="13" thickBot="1">
      <c r="B76" s="72"/>
      <c r="C76" s="71"/>
      <c r="D76" s="54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69"/>
    </row>
    <row r="77" spans="2:33" s="52" customFormat="1">
      <c r="B77" s="55"/>
      <c r="D77" s="54"/>
    </row>
    <row r="78" spans="2:33" s="52" customFormat="1">
      <c r="B78" s="55"/>
      <c r="D78" s="54"/>
      <c r="J78" s="68"/>
    </row>
    <row r="79" spans="2:33" s="52" customFormat="1">
      <c r="B79" s="55"/>
      <c r="D79" s="54"/>
      <c r="J79" s="68"/>
    </row>
    <row r="80" spans="2:33" s="52" customFormat="1">
      <c r="B80" s="55"/>
      <c r="D80" s="54"/>
    </row>
    <row r="81" spans="2:32" s="52" customFormat="1">
      <c r="B81" s="55"/>
      <c r="D81" s="54"/>
    </row>
    <row r="82" spans="2:32" s="52" customFormat="1">
      <c r="B82" s="55"/>
      <c r="D82" s="54"/>
    </row>
    <row r="83" spans="2:32" s="52" customFormat="1">
      <c r="B83" s="55"/>
      <c r="D83" s="54"/>
    </row>
    <row r="84" spans="2:32" s="52" customFormat="1">
      <c r="B84" s="55"/>
      <c r="D84" s="54"/>
    </row>
    <row r="85" spans="2:32" s="52" customFormat="1" ht="17.25" customHeight="1">
      <c r="B85" s="63"/>
      <c r="C85" s="67"/>
      <c r="D85" s="54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</row>
    <row r="86" spans="2:32" s="52" customFormat="1" ht="17.25" customHeight="1">
      <c r="B86" s="55"/>
      <c r="C86" s="60"/>
      <c r="D86" s="5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57"/>
      <c r="AD86" s="56"/>
      <c r="AF86" s="59"/>
    </row>
    <row r="87" spans="2:32" s="52" customFormat="1" ht="17.25" customHeight="1">
      <c r="B87" s="55"/>
      <c r="C87" s="65"/>
      <c r="D87" s="5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57"/>
      <c r="AD87" s="56"/>
    </row>
    <row r="88" spans="2:32" s="52" customFormat="1">
      <c r="B88" s="55"/>
      <c r="D88" s="54"/>
      <c r="AC88" s="57"/>
      <c r="AD88" s="56"/>
    </row>
    <row r="89" spans="2:32" s="52" customFormat="1">
      <c r="B89" s="55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2:32" s="52" customFormat="1">
      <c r="B90" s="55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 spans="2:32" s="52" customFormat="1">
      <c r="B91" s="55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 spans="2:32" s="52" customFormat="1">
      <c r="B92" s="55"/>
      <c r="C92" s="54"/>
      <c r="D92" s="54"/>
    </row>
    <row r="93" spans="2:32" s="52" customFormat="1">
      <c r="B93" s="55"/>
      <c r="C93" s="54"/>
      <c r="D93" s="54"/>
    </row>
    <row r="94" spans="2:32" s="52" customFormat="1">
      <c r="B94" s="55"/>
      <c r="D94" s="54"/>
    </row>
    <row r="95" spans="2:32" s="52" customFormat="1">
      <c r="B95" s="55"/>
      <c r="D95" s="54"/>
    </row>
    <row r="96" spans="2:32" s="52" customFormat="1" ht="13">
      <c r="B96" s="63"/>
      <c r="C96" s="62"/>
      <c r="D96" s="54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</row>
    <row r="97" spans="2:32" s="52" customFormat="1">
      <c r="B97" s="55"/>
      <c r="C97" s="60"/>
      <c r="D97" s="54"/>
      <c r="AC97" s="57"/>
      <c r="AD97" s="56"/>
      <c r="AE97" s="58"/>
      <c r="AF97" s="59"/>
    </row>
    <row r="98" spans="2:32" s="52" customFormat="1">
      <c r="B98" s="55"/>
      <c r="C98" s="59"/>
      <c r="D98" s="54"/>
      <c r="AC98" s="57"/>
      <c r="AD98" s="56"/>
      <c r="AE98" s="58"/>
    </row>
    <row r="99" spans="2:32" s="52" customFormat="1">
      <c r="B99" s="55"/>
      <c r="C99" s="54"/>
      <c r="D99" s="54"/>
      <c r="AC99" s="57"/>
      <c r="AD99" s="56"/>
    </row>
    <row r="100" spans="2:32" s="52" customFormat="1">
      <c r="B100" s="55"/>
      <c r="C100" s="54"/>
      <c r="D100" s="54"/>
    </row>
    <row r="101" spans="2:32" s="52" customFormat="1">
      <c r="B101" s="55"/>
      <c r="D101" s="54"/>
    </row>
    <row r="102" spans="2:32" s="52" customFormat="1">
      <c r="B102" s="55"/>
      <c r="D102" s="54"/>
    </row>
    <row r="103" spans="2:32" s="52" customFormat="1">
      <c r="B103" s="55"/>
      <c r="D103" s="54"/>
    </row>
    <row r="104" spans="2:32" s="52" customFormat="1">
      <c r="B104" s="55"/>
      <c r="D104" s="54"/>
    </row>
    <row r="106" spans="2:32" ht="21.75" customHeight="1"/>
    <row r="107" spans="2:32" ht="21.75" customHeight="1"/>
    <row r="108" spans="2:32" ht="21.75" customHeight="1"/>
    <row r="109" spans="2:32">
      <c r="B109" s="51"/>
    </row>
    <row r="110" spans="2:32">
      <c r="B110" s="51"/>
    </row>
    <row r="111" spans="2:32">
      <c r="B111" s="51"/>
    </row>
  </sheetData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57"/>
  <sheetViews>
    <sheetView tabSelected="1" topLeftCell="A2" workbookViewId="0">
      <pane ySplit="510" topLeftCell="A4" activePane="bottomLeft"/>
      <selection activeCell="A2" sqref="A2"/>
      <selection pane="bottomLeft" activeCell="L58" sqref="L58"/>
    </sheetView>
  </sheetViews>
  <sheetFormatPr defaultRowHeight="12.5"/>
  <sheetData>
    <row r="2" spans="1:25">
      <c r="A2" s="120"/>
      <c r="B2" s="120">
        <v>2000</v>
      </c>
      <c r="C2" s="120">
        <v>2001</v>
      </c>
      <c r="D2" s="120">
        <v>2002</v>
      </c>
      <c r="E2" s="120">
        <v>2003</v>
      </c>
      <c r="F2" s="120">
        <v>2004</v>
      </c>
      <c r="G2" s="120">
        <v>2005</v>
      </c>
      <c r="H2" s="120">
        <v>2006</v>
      </c>
      <c r="I2" s="120">
        <v>2007</v>
      </c>
      <c r="J2" s="120">
        <v>2008</v>
      </c>
      <c r="K2" s="120">
        <v>2009</v>
      </c>
      <c r="L2" s="120">
        <v>2010</v>
      </c>
      <c r="N2" s="121">
        <v>1000</v>
      </c>
    </row>
    <row r="3" spans="1:25">
      <c r="A3" s="120">
        <v>10</v>
      </c>
      <c r="B3" s="120">
        <v>0</v>
      </c>
      <c r="C3" s="120">
        <v>0</v>
      </c>
      <c r="D3" s="120">
        <v>0</v>
      </c>
      <c r="E3" s="120">
        <v>0</v>
      </c>
      <c r="F3" s="120"/>
      <c r="G3" s="120"/>
      <c r="H3" s="120">
        <v>0</v>
      </c>
      <c r="I3" s="120">
        <v>0</v>
      </c>
      <c r="J3" s="120">
        <v>0</v>
      </c>
      <c r="K3" s="120">
        <v>0</v>
      </c>
      <c r="L3" s="120">
        <v>0</v>
      </c>
      <c r="N3" s="121">
        <v>2000</v>
      </c>
      <c r="O3">
        <f t="array" ref="O3:Y3">MMULT(TRANSPOSE(B10:B53),'2000'!U5:AE48)</f>
        <v>0.12982631706854206</v>
      </c>
      <c r="P3">
        <v>0.2565333475328595</v>
      </c>
      <c r="Q3">
        <v>0.36748108664277773</v>
      </c>
      <c r="R3">
        <v>0.34904975534883814</v>
      </c>
      <c r="S3">
        <v>0.27049974915653324</v>
      </c>
      <c r="T3">
        <v>0.18948879305097088</v>
      </c>
      <c r="U3">
        <v>0.12887893732626723</v>
      </c>
      <c r="V3">
        <v>9.9033670276067201E-2</v>
      </c>
      <c r="W3">
        <v>7.0860160373957246E-2</v>
      </c>
      <c r="X3">
        <v>4.4312113484677354E-2</v>
      </c>
      <c r="Y3">
        <v>2.8417632426955351E-2</v>
      </c>
    </row>
    <row r="4" spans="1:25">
      <c r="A4" s="120">
        <v>11</v>
      </c>
      <c r="B4" s="120">
        <v>0</v>
      </c>
      <c r="C4" s="120">
        <v>0</v>
      </c>
      <c r="D4" s="120">
        <v>0.26475676597163983</v>
      </c>
      <c r="E4" s="120">
        <v>0</v>
      </c>
      <c r="F4" s="120"/>
      <c r="G4" s="120"/>
      <c r="H4" s="120">
        <v>0</v>
      </c>
      <c r="I4" s="120">
        <v>0</v>
      </c>
      <c r="J4" s="120">
        <v>0</v>
      </c>
      <c r="K4" s="120">
        <v>0</v>
      </c>
      <c r="L4" s="120">
        <v>0</v>
      </c>
      <c r="N4" s="121">
        <v>2001</v>
      </c>
      <c r="O4">
        <f>[2]CHinaSlice!V97</f>
        <v>8.2758620689655157E-3</v>
      </c>
      <c r="P4">
        <f>[2]CHinaSlice!W97</f>
        <v>0.3497931034482758</v>
      </c>
      <c r="Q4">
        <f>[2]CHinaSlice!X97</f>
        <v>0.42565517241379314</v>
      </c>
      <c r="R4">
        <f>[2]CHinaSlice!Y97</f>
        <v>0.12937931034482758</v>
      </c>
      <c r="S4">
        <f>[2]CHinaSlice!Z97</f>
        <v>4.0275862068965516E-2</v>
      </c>
      <c r="T4">
        <f>[2]CHinaSlice!AA97</f>
        <v>2.0413793103448274E-2</v>
      </c>
      <c r="U4">
        <f>[2]CHinaSlice!AB97</f>
        <v>1.2689655172413791E-2</v>
      </c>
      <c r="V4">
        <f>[2]CHinaSlice!AC97</f>
        <v>7.1724137931034482E-3</v>
      </c>
      <c r="W4">
        <f>[2]CHinaSlice!AD97</f>
        <v>4.1379310344827579E-3</v>
      </c>
      <c r="X4">
        <f>[2]CHinaSlice!AE97</f>
        <v>5.517241379310344E-4</v>
      </c>
      <c r="Y4">
        <f>[2]CHinaSlice!AF97</f>
        <v>1.6551724137931032E-3</v>
      </c>
    </row>
    <row r="5" spans="1:25">
      <c r="A5" s="120">
        <v>12</v>
      </c>
      <c r="B5" s="120">
        <v>0</v>
      </c>
      <c r="C5" s="120">
        <v>0</v>
      </c>
      <c r="D5" s="120">
        <v>0.52951353194327966</v>
      </c>
      <c r="E5" s="120">
        <v>0</v>
      </c>
      <c r="F5" s="120"/>
      <c r="G5" s="120"/>
      <c r="H5" s="120">
        <v>0</v>
      </c>
      <c r="I5" s="120">
        <v>0</v>
      </c>
      <c r="J5" s="120">
        <v>0</v>
      </c>
      <c r="K5" s="120">
        <v>0</v>
      </c>
      <c r="L5" s="120">
        <v>0</v>
      </c>
      <c r="N5" s="121">
        <v>2002</v>
      </c>
      <c r="O5">
        <f t="array" ref="O5:Y5">MMULT(TRANSPOSE(D10:D53),'2002'!U5:AE48)</f>
        <v>26.343298214178169</v>
      </c>
      <c r="P5">
        <v>21.848273415439071</v>
      </c>
      <c r="Q5">
        <v>29.357772888154479</v>
      </c>
      <c r="R5">
        <v>28.03562346226888</v>
      </c>
      <c r="S5">
        <v>20.059344608879623</v>
      </c>
      <c r="T5">
        <v>8.2294264636948995</v>
      </c>
      <c r="U5">
        <v>1.8123907370161607</v>
      </c>
      <c r="V5">
        <v>0.61977152034270233</v>
      </c>
      <c r="W5">
        <v>0.28376494404139857</v>
      </c>
      <c r="X5">
        <v>0.18817423036000849</v>
      </c>
      <c r="Y5">
        <v>0.10830958607930721</v>
      </c>
    </row>
    <row r="6" spans="1:25">
      <c r="A6" s="120">
        <v>13</v>
      </c>
      <c r="B6" s="120">
        <v>0</v>
      </c>
      <c r="C6" s="120">
        <v>0</v>
      </c>
      <c r="D6" s="120">
        <v>1.5885405958298391</v>
      </c>
      <c r="E6" s="120">
        <v>0</v>
      </c>
      <c r="F6" s="120"/>
      <c r="G6" s="120"/>
      <c r="H6" s="120">
        <v>0</v>
      </c>
      <c r="I6" s="120">
        <v>0</v>
      </c>
      <c r="J6" s="120">
        <v>0</v>
      </c>
      <c r="K6" s="120">
        <v>0</v>
      </c>
      <c r="L6" s="120">
        <v>0</v>
      </c>
      <c r="N6" s="121">
        <v>2003</v>
      </c>
      <c r="O6">
        <f>[2]CHinaSlice!V99</f>
        <v>4.1237113402061841E-2</v>
      </c>
      <c r="P6">
        <f>[2]CHinaSlice!W99</f>
        <v>0.8487972508591064</v>
      </c>
      <c r="Q6">
        <f>[2]CHinaSlice!X99</f>
        <v>0.10652920962199311</v>
      </c>
      <c r="R6">
        <f>[2]CHinaSlice!Y99</f>
        <v>3.436426116838487E-3</v>
      </c>
      <c r="S6">
        <f>[2]CHinaSlice!Z99</f>
        <v>0</v>
      </c>
      <c r="T6">
        <f>[2]CHinaSlice!AA99</f>
        <v>0</v>
      </c>
      <c r="U6">
        <f>[2]CHinaSlice!AB99</f>
        <v>0</v>
      </c>
      <c r="V6">
        <f>[2]CHinaSlice!AC99</f>
        <v>0</v>
      </c>
      <c r="W6">
        <f>[2]CHinaSlice!AD99</f>
        <v>0</v>
      </c>
      <c r="X6">
        <f>[2]CHinaSlice!AE99</f>
        <v>0</v>
      </c>
      <c r="Y6">
        <f>[2]CHinaSlice!AF99</f>
        <v>0</v>
      </c>
    </row>
    <row r="7" spans="1:25">
      <c r="A7" s="120">
        <v>14</v>
      </c>
      <c r="B7" s="120">
        <v>0</v>
      </c>
      <c r="C7" s="120">
        <v>0</v>
      </c>
      <c r="D7" s="120">
        <v>1.5885405958298391</v>
      </c>
      <c r="E7" s="120">
        <v>0</v>
      </c>
      <c r="F7" s="120"/>
      <c r="G7" s="120"/>
      <c r="H7" s="120">
        <v>0</v>
      </c>
      <c r="I7" s="120">
        <v>0</v>
      </c>
      <c r="J7" s="120">
        <v>0</v>
      </c>
      <c r="K7" s="120">
        <v>0</v>
      </c>
      <c r="L7" s="120">
        <v>0</v>
      </c>
      <c r="N7" s="121">
        <v>2004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120">
        <v>15</v>
      </c>
      <c r="B8" s="120">
        <v>0</v>
      </c>
      <c r="C8" s="120">
        <v>0</v>
      </c>
      <c r="D8" s="120">
        <v>2.1180541277731186</v>
      </c>
      <c r="E8" s="120">
        <v>0</v>
      </c>
      <c r="F8" s="120"/>
      <c r="G8" s="120"/>
      <c r="H8" s="120">
        <v>0</v>
      </c>
      <c r="I8" s="120">
        <v>0</v>
      </c>
      <c r="J8" s="120">
        <v>0</v>
      </c>
      <c r="K8" s="120">
        <v>0</v>
      </c>
      <c r="L8" s="120">
        <v>0</v>
      </c>
      <c r="N8" s="121">
        <v>2005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120">
        <v>16</v>
      </c>
      <c r="B9" s="120">
        <v>0</v>
      </c>
      <c r="C9" s="120">
        <v>0</v>
      </c>
      <c r="D9" s="120">
        <v>1.3237838298581992</v>
      </c>
      <c r="E9" s="120">
        <v>1.5937128404192318</v>
      </c>
      <c r="F9" s="120"/>
      <c r="G9" s="120"/>
      <c r="H9" s="120">
        <v>0</v>
      </c>
      <c r="I9" s="120">
        <v>0</v>
      </c>
      <c r="J9" s="120">
        <v>0</v>
      </c>
      <c r="K9" s="120">
        <v>0</v>
      </c>
      <c r="L9" s="120">
        <v>0</v>
      </c>
      <c r="N9" s="121">
        <v>2006</v>
      </c>
      <c r="O9">
        <f t="array" ref="O9:Y9">MMULT(TRANSPOSE(H10:H53),'2006'!U5:AE48)</f>
        <v>0</v>
      </c>
      <c r="P9">
        <v>0</v>
      </c>
      <c r="Q9">
        <v>16.58375201378696</v>
      </c>
      <c r="R9">
        <v>36.825212159070901</v>
      </c>
      <c r="S9">
        <v>39.754522613971744</v>
      </c>
      <c r="T9">
        <v>31.59238969974362</v>
      </c>
      <c r="U9">
        <v>17.525041166819975</v>
      </c>
      <c r="V9">
        <v>9.1892296418646175</v>
      </c>
      <c r="W9">
        <v>2.2362181371280396</v>
      </c>
      <c r="X9">
        <v>1.0992269124724141</v>
      </c>
      <c r="Y9">
        <v>0.91897618700082617</v>
      </c>
    </row>
    <row r="10" spans="1:25">
      <c r="A10" s="120">
        <v>17</v>
      </c>
      <c r="B10" s="120">
        <v>0</v>
      </c>
      <c r="C10" s="120">
        <v>0</v>
      </c>
      <c r="D10" s="120">
        <v>0</v>
      </c>
      <c r="E10" s="120">
        <v>0</v>
      </c>
      <c r="F10" s="120"/>
      <c r="G10" s="120"/>
      <c r="H10" s="120">
        <v>0</v>
      </c>
      <c r="I10" s="120">
        <v>0</v>
      </c>
      <c r="J10" s="120">
        <v>0</v>
      </c>
      <c r="K10" s="120">
        <v>9.4537557520781662E-2</v>
      </c>
      <c r="L10" s="120">
        <v>0</v>
      </c>
      <c r="N10" s="121">
        <v>2007</v>
      </c>
      <c r="O10">
        <f t="array" ref="O10:Y10">MMULT(TRANSPOSE(I10:I53),'2007'!U5:AE48)</f>
        <v>0</v>
      </c>
      <c r="P10">
        <v>0</v>
      </c>
      <c r="Q10">
        <v>0</v>
      </c>
      <c r="R10">
        <v>2.222563155017736</v>
      </c>
      <c r="S10">
        <v>6.6100895609044166</v>
      </c>
      <c r="T10">
        <v>11.335766629279322</v>
      </c>
      <c r="U10">
        <v>14.295259893149357</v>
      </c>
      <c r="V10">
        <v>12.110348151140723</v>
      </c>
      <c r="W10">
        <v>6.270591441943143</v>
      </c>
      <c r="X10">
        <v>3.7983811046953013</v>
      </c>
      <c r="Y10">
        <v>2.0979735065285263</v>
      </c>
    </row>
    <row r="11" spans="1:25">
      <c r="A11" s="120">
        <v>18</v>
      </c>
      <c r="B11" s="120">
        <v>0</v>
      </c>
      <c r="C11" s="120">
        <v>0</v>
      </c>
      <c r="D11" s="120">
        <v>0</v>
      </c>
      <c r="E11" s="120">
        <v>0</v>
      </c>
      <c r="F11" s="120"/>
      <c r="G11" s="120"/>
      <c r="H11" s="120">
        <v>0</v>
      </c>
      <c r="I11" s="120">
        <v>0</v>
      </c>
      <c r="J11" s="120">
        <v>0</v>
      </c>
      <c r="K11" s="120">
        <v>4.7268778760390831E-2</v>
      </c>
      <c r="L11" s="120">
        <v>0</v>
      </c>
      <c r="N11" s="121">
        <v>2008</v>
      </c>
      <c r="O11">
        <f t="array" ref="O11:Y11">MMULT(TRANSPOSE(J10:J53),'2008'!U5:AE48)</f>
        <v>0</v>
      </c>
      <c r="P11">
        <v>0.1173167446226429</v>
      </c>
      <c r="Q11">
        <v>3.228187725627556</v>
      </c>
      <c r="R11">
        <v>7.5110385602034544</v>
      </c>
      <c r="S11">
        <v>14.913289773055652</v>
      </c>
      <c r="T11">
        <v>16.402929285850004</v>
      </c>
      <c r="U11">
        <v>13.38120874760687</v>
      </c>
      <c r="V11">
        <v>7.6032423538770004</v>
      </c>
      <c r="W11">
        <v>4.5983275694383412</v>
      </c>
      <c r="X11">
        <v>2.7702474593625119</v>
      </c>
      <c r="Y11">
        <v>2.4316561612693262</v>
      </c>
    </row>
    <row r="12" spans="1:25">
      <c r="A12" s="120">
        <v>19</v>
      </c>
      <c r="B12" s="120">
        <v>0</v>
      </c>
      <c r="C12" s="120">
        <v>0</v>
      </c>
      <c r="D12" s="120">
        <v>2.3828108937447587</v>
      </c>
      <c r="E12" s="120">
        <v>0</v>
      </c>
      <c r="F12" s="120"/>
      <c r="G12" s="120"/>
      <c r="H12" s="120">
        <v>0</v>
      </c>
      <c r="I12" s="120">
        <v>0</v>
      </c>
      <c r="J12" s="120">
        <v>0</v>
      </c>
      <c r="K12" s="120">
        <v>4.7268778760390831E-2</v>
      </c>
      <c r="L12" s="120">
        <v>0.74012909992335585</v>
      </c>
      <c r="N12" s="121">
        <v>2009</v>
      </c>
      <c r="O12">
        <f t="array" ref="O12:Y12">MMULT(TRANSPOSE(K10:K53),'2009'!U5:AE48)</f>
        <v>0.11817194690097708</v>
      </c>
      <c r="P12">
        <v>0.20524601303853915</v>
      </c>
      <c r="Q12">
        <v>0.2449652433871827</v>
      </c>
      <c r="R12">
        <v>1.20868017985829</v>
      </c>
      <c r="S12">
        <v>7.0233316462965725</v>
      </c>
      <c r="T12">
        <v>9.9355068748426216</v>
      </c>
      <c r="U12">
        <v>12.641297596765748</v>
      </c>
      <c r="V12">
        <v>9.7962831343998378</v>
      </c>
      <c r="W12">
        <v>5.8471312299116684</v>
      </c>
      <c r="X12">
        <v>2.8717278944366558</v>
      </c>
      <c r="Y12">
        <v>1.3612130748431472</v>
      </c>
    </row>
    <row r="13" spans="1:25">
      <c r="A13" s="120">
        <v>20</v>
      </c>
      <c r="B13" s="120">
        <v>0</v>
      </c>
      <c r="C13" s="120">
        <v>0</v>
      </c>
      <c r="D13" s="120">
        <v>5.559892085404436</v>
      </c>
      <c r="E13" s="120">
        <v>0</v>
      </c>
      <c r="F13" s="120"/>
      <c r="G13" s="120"/>
      <c r="H13" s="120">
        <v>0</v>
      </c>
      <c r="I13" s="120">
        <v>0</v>
      </c>
      <c r="J13" s="120">
        <v>0</v>
      </c>
      <c r="K13" s="120">
        <v>0.14180633628117251</v>
      </c>
      <c r="L13" s="120">
        <v>4.1235764138586974</v>
      </c>
      <c r="N13" s="121">
        <v>2010</v>
      </c>
      <c r="O13">
        <f t="array" ref="O13:Y13">MMULT(TRANSPOSE(L10:L53),'2010'!U5:AE48)</f>
        <v>6.8461941742910417</v>
      </c>
      <c r="P13">
        <v>5.1624424293973759</v>
      </c>
      <c r="Q13">
        <v>1.4141126066240421</v>
      </c>
      <c r="R13">
        <v>0.45185331981227295</v>
      </c>
      <c r="S13">
        <v>1.5417601057026085</v>
      </c>
      <c r="T13">
        <v>4.2013929104560148</v>
      </c>
      <c r="U13">
        <v>6.2644382425747303</v>
      </c>
      <c r="V13">
        <v>4.5457270127606852</v>
      </c>
      <c r="W13">
        <v>1.559117193231403</v>
      </c>
      <c r="X13">
        <v>0.81673784337136801</v>
      </c>
      <c r="Y13">
        <v>0.30209351017279834</v>
      </c>
    </row>
    <row r="14" spans="1:25">
      <c r="A14" s="120">
        <v>21</v>
      </c>
      <c r="B14" s="120">
        <v>0</v>
      </c>
      <c r="C14" s="120">
        <v>0</v>
      </c>
      <c r="D14" s="120">
        <v>6.8836759152626366</v>
      </c>
      <c r="E14" s="120">
        <v>0</v>
      </c>
      <c r="F14" s="120"/>
      <c r="G14" s="120"/>
      <c r="H14" s="120">
        <v>0</v>
      </c>
      <c r="I14" s="120">
        <v>0</v>
      </c>
      <c r="J14" s="120">
        <v>0</v>
      </c>
      <c r="K14" s="120">
        <v>4.7268778760390831E-2</v>
      </c>
      <c r="L14" s="120">
        <v>7.6127564563545169</v>
      </c>
    </row>
    <row r="15" spans="1:25">
      <c r="A15" s="120">
        <v>22</v>
      </c>
      <c r="B15" s="120">
        <v>0</v>
      </c>
      <c r="C15" s="120">
        <v>6.6554915660278657E-2</v>
      </c>
      <c r="D15" s="120">
        <v>4.7656217874895175</v>
      </c>
      <c r="E15" s="120">
        <v>3.1874256808384636</v>
      </c>
      <c r="F15" s="120"/>
      <c r="G15" s="120"/>
      <c r="H15" s="120">
        <v>0</v>
      </c>
      <c r="I15" s="120">
        <v>0</v>
      </c>
      <c r="J15" s="120">
        <v>0</v>
      </c>
      <c r="K15" s="120">
        <v>0</v>
      </c>
      <c r="L15" s="120">
        <v>8.2471528277173949</v>
      </c>
      <c r="N15">
        <f t="shared" ref="N15" si="0">N3</f>
        <v>2000</v>
      </c>
      <c r="O15">
        <f t="shared" ref="O15:Y15" si="1">(O3)*1000</f>
        <v>129.82631706854207</v>
      </c>
      <c r="P15">
        <f t="shared" si="1"/>
        <v>256.53334753285952</v>
      </c>
      <c r="Q15">
        <f t="shared" si="1"/>
        <v>367.48108664277771</v>
      </c>
      <c r="R15">
        <f t="shared" si="1"/>
        <v>349.04975534883812</v>
      </c>
      <c r="S15">
        <f t="shared" si="1"/>
        <v>270.49974915653326</v>
      </c>
      <c r="T15">
        <f t="shared" si="1"/>
        <v>189.48879305097088</v>
      </c>
      <c r="U15">
        <f t="shared" si="1"/>
        <v>128.87893732626725</v>
      </c>
      <c r="V15">
        <f t="shared" si="1"/>
        <v>99.033670276067198</v>
      </c>
      <c r="W15">
        <f t="shared" si="1"/>
        <v>70.860160373957243</v>
      </c>
      <c r="X15">
        <f t="shared" si="1"/>
        <v>44.312113484677354</v>
      </c>
      <c r="Y15">
        <f t="shared" si="1"/>
        <v>28.41763242695535</v>
      </c>
    </row>
    <row r="16" spans="1:25">
      <c r="A16" s="120">
        <v>23</v>
      </c>
      <c r="B16" s="120">
        <v>1.161339777200652E-2</v>
      </c>
      <c r="C16" s="120">
        <v>0.43260695179181125</v>
      </c>
      <c r="D16" s="120">
        <v>11.384540936780512</v>
      </c>
      <c r="E16" s="120">
        <v>15.937128404192318</v>
      </c>
      <c r="F16" s="120"/>
      <c r="G16" s="120"/>
      <c r="H16" s="120">
        <v>0</v>
      </c>
      <c r="I16" s="120">
        <v>0</v>
      </c>
      <c r="J16" s="120">
        <v>0</v>
      </c>
      <c r="K16" s="120">
        <v>0.28361267256234501</v>
      </c>
      <c r="L16" s="120">
        <v>7.7184891849149979</v>
      </c>
      <c r="N16">
        <f t="shared" ref="N16" si="2">N4</f>
        <v>2001</v>
      </c>
      <c r="O16">
        <f t="shared" ref="O16:Y16" si="3">(O4)*1000</f>
        <v>8.275862068965516</v>
      </c>
      <c r="P16">
        <f t="shared" si="3"/>
        <v>349.79310344827582</v>
      </c>
      <c r="Q16">
        <f t="shared" si="3"/>
        <v>425.65517241379314</v>
      </c>
      <c r="R16">
        <f t="shared" si="3"/>
        <v>129.37931034482759</v>
      </c>
      <c r="S16">
        <f t="shared" si="3"/>
        <v>40.275862068965516</v>
      </c>
      <c r="T16">
        <f t="shared" si="3"/>
        <v>20.413793103448274</v>
      </c>
      <c r="U16">
        <f t="shared" si="3"/>
        <v>12.68965517241379</v>
      </c>
      <c r="V16">
        <f t="shared" si="3"/>
        <v>7.1724137931034484</v>
      </c>
      <c r="W16">
        <f t="shared" si="3"/>
        <v>4.137931034482758</v>
      </c>
      <c r="X16">
        <f t="shared" si="3"/>
        <v>0.55172413793103436</v>
      </c>
      <c r="Y16">
        <f t="shared" si="3"/>
        <v>1.6551724137931032</v>
      </c>
    </row>
    <row r="17" spans="1:25">
      <c r="A17" s="120">
        <v>24</v>
      </c>
      <c r="B17" s="120">
        <v>7.7422651813376805E-2</v>
      </c>
      <c r="C17" s="120">
        <v>0.49916186745208996</v>
      </c>
      <c r="D17" s="120">
        <v>32.829838980483345</v>
      </c>
      <c r="E17" s="120">
        <v>55.779949414673112</v>
      </c>
      <c r="F17" s="120"/>
      <c r="G17" s="120"/>
      <c r="H17" s="120">
        <v>0</v>
      </c>
      <c r="I17" s="120">
        <v>0</v>
      </c>
      <c r="J17" s="120">
        <v>0</v>
      </c>
      <c r="K17" s="120">
        <v>0.33088145132273583</v>
      </c>
      <c r="L17" s="120">
        <v>4.7579727852215736</v>
      </c>
      <c r="N17">
        <f t="shared" ref="N17" si="4">N5</f>
        <v>2002</v>
      </c>
      <c r="O17">
        <f>(O5)*O321000</f>
        <v>0</v>
      </c>
      <c r="P17">
        <f t="shared" ref="P17:Y17" si="5">(P5)*1000</f>
        <v>21848.273415439071</v>
      </c>
      <c r="Q17">
        <f t="shared" si="5"/>
        <v>29357.772888154479</v>
      </c>
      <c r="R17">
        <f t="shared" si="5"/>
        <v>28035.623462268879</v>
      </c>
      <c r="S17">
        <f t="shared" si="5"/>
        <v>20059.344608879623</v>
      </c>
      <c r="T17">
        <f t="shared" si="5"/>
        <v>8229.4264636948992</v>
      </c>
      <c r="U17">
        <f t="shared" si="5"/>
        <v>1812.3907370161608</v>
      </c>
      <c r="V17">
        <f t="shared" si="5"/>
        <v>619.77152034270239</v>
      </c>
      <c r="W17">
        <f t="shared" si="5"/>
        <v>283.76494404139856</v>
      </c>
      <c r="X17">
        <f t="shared" si="5"/>
        <v>188.17423036000849</v>
      </c>
      <c r="Y17">
        <f t="shared" si="5"/>
        <v>108.30958607930721</v>
      </c>
    </row>
    <row r="18" spans="1:25">
      <c r="A18" s="120">
        <v>25</v>
      </c>
      <c r="B18" s="120">
        <v>0.15290973733141922</v>
      </c>
      <c r="C18" s="120">
        <v>0.83193644575348324</v>
      </c>
      <c r="D18" s="120">
        <v>41.566812257547454</v>
      </c>
      <c r="E18" s="120">
        <v>94.029057584734687</v>
      </c>
      <c r="F18" s="120"/>
      <c r="G18" s="120"/>
      <c r="H18" s="120">
        <v>0</v>
      </c>
      <c r="I18" s="120">
        <v>0</v>
      </c>
      <c r="J18" s="120">
        <v>0</v>
      </c>
      <c r="K18" s="120">
        <v>0.80356923892664422</v>
      </c>
      <c r="L18" s="120">
        <v>2.2203872997700675</v>
      </c>
      <c r="N18">
        <f t="shared" ref="N18" si="6">N6</f>
        <v>2003</v>
      </c>
      <c r="O18">
        <f t="shared" ref="O18:Y18" si="7">(O6)*1000</f>
        <v>41.237113402061844</v>
      </c>
      <c r="P18">
        <f t="shared" si="7"/>
        <v>848.79725085910638</v>
      </c>
      <c r="Q18">
        <f t="shared" si="7"/>
        <v>106.5292096219931</v>
      </c>
      <c r="R18">
        <f t="shared" si="7"/>
        <v>3.4364261168384869</v>
      </c>
      <c r="S18">
        <f t="shared" si="7"/>
        <v>0</v>
      </c>
      <c r="T18">
        <f t="shared" si="7"/>
        <v>0</v>
      </c>
      <c r="U18">
        <f t="shared" si="7"/>
        <v>0</v>
      </c>
      <c r="V18">
        <f t="shared" si="7"/>
        <v>0</v>
      </c>
      <c r="W18">
        <f t="shared" si="7"/>
        <v>0</v>
      </c>
      <c r="X18">
        <f t="shared" si="7"/>
        <v>0</v>
      </c>
      <c r="Y18">
        <f t="shared" si="7"/>
        <v>0</v>
      </c>
    </row>
    <row r="19" spans="1:25">
      <c r="A19" s="120">
        <v>26</v>
      </c>
      <c r="B19" s="120">
        <v>0.34065966797885799</v>
      </c>
      <c r="C19" s="120">
        <v>3.610604174570117</v>
      </c>
      <c r="D19" s="120">
        <v>69.895786216512917</v>
      </c>
      <c r="E19" s="120">
        <v>87.654206223057756</v>
      </c>
      <c r="F19" s="120"/>
      <c r="G19" s="120"/>
      <c r="H19" s="120">
        <v>0</v>
      </c>
      <c r="I19" s="120">
        <v>0</v>
      </c>
      <c r="J19" s="120">
        <v>0</v>
      </c>
      <c r="K19" s="120">
        <v>0.33088145132273583</v>
      </c>
      <c r="L19" s="120">
        <v>1.6917236569676708</v>
      </c>
      <c r="N19">
        <f t="shared" ref="N19" si="8">N7</f>
        <v>2004</v>
      </c>
      <c r="O19">
        <f t="shared" ref="O19:Y19" si="9">(O7)*1000</f>
        <v>0</v>
      </c>
      <c r="P19">
        <f t="shared" si="9"/>
        <v>0</v>
      </c>
      <c r="Q19">
        <f t="shared" si="9"/>
        <v>0</v>
      </c>
      <c r="R19">
        <f t="shared" si="9"/>
        <v>0</v>
      </c>
      <c r="S19">
        <f t="shared" si="9"/>
        <v>0</v>
      </c>
      <c r="T19">
        <f t="shared" si="9"/>
        <v>0</v>
      </c>
      <c r="U19">
        <f t="shared" si="9"/>
        <v>0</v>
      </c>
      <c r="V19">
        <f t="shared" si="9"/>
        <v>0</v>
      </c>
      <c r="W19">
        <f t="shared" si="9"/>
        <v>0</v>
      </c>
      <c r="X19">
        <f t="shared" si="9"/>
        <v>0</v>
      </c>
      <c r="Y19">
        <f t="shared" si="9"/>
        <v>0</v>
      </c>
    </row>
    <row r="20" spans="1:25">
      <c r="A20" s="120">
        <v>27</v>
      </c>
      <c r="B20" s="120">
        <v>0.64841470893703079</v>
      </c>
      <c r="C20" s="120">
        <v>7.9533124214033002</v>
      </c>
      <c r="D20" s="120">
        <v>43.949623151292215</v>
      </c>
      <c r="E20" s="120">
        <v>84.466780542219297</v>
      </c>
      <c r="F20" s="120"/>
      <c r="G20" s="120"/>
      <c r="H20" s="120">
        <v>0.31148238885998814</v>
      </c>
      <c r="I20" s="120">
        <v>0</v>
      </c>
      <c r="J20" s="120">
        <v>0</v>
      </c>
      <c r="K20" s="120">
        <v>9.4537557520781662E-2</v>
      </c>
      <c r="L20" s="120">
        <v>0.31719818568143826</v>
      </c>
      <c r="N20">
        <f t="shared" ref="N20" si="10">N8</f>
        <v>2005</v>
      </c>
      <c r="O20">
        <f t="shared" ref="O20:Y20" si="11">(O8)*1000</f>
        <v>0</v>
      </c>
      <c r="P20">
        <f t="shared" si="11"/>
        <v>0</v>
      </c>
      <c r="Q20">
        <f t="shared" si="11"/>
        <v>0</v>
      </c>
      <c r="R20">
        <f t="shared" si="11"/>
        <v>0</v>
      </c>
      <c r="S20">
        <f t="shared" si="11"/>
        <v>0</v>
      </c>
      <c r="T20">
        <f t="shared" si="11"/>
        <v>0</v>
      </c>
      <c r="U20">
        <f t="shared" si="11"/>
        <v>0</v>
      </c>
      <c r="V20">
        <f t="shared" si="11"/>
        <v>0</v>
      </c>
      <c r="W20">
        <f t="shared" si="11"/>
        <v>0</v>
      </c>
      <c r="X20">
        <f t="shared" si="11"/>
        <v>0</v>
      </c>
      <c r="Y20">
        <f t="shared" si="11"/>
        <v>0</v>
      </c>
    </row>
    <row r="21" spans="1:25">
      <c r="A21" s="120">
        <v>28</v>
      </c>
      <c r="B21" s="120">
        <v>0.60196111784900475</v>
      </c>
      <c r="C21" s="120">
        <v>8.2028933551293441</v>
      </c>
      <c r="D21" s="120">
        <v>36.271676938114659</v>
      </c>
      <c r="E21" s="120">
        <v>71.717077818865434</v>
      </c>
      <c r="F21" s="120"/>
      <c r="G21" s="120"/>
      <c r="H21" s="120">
        <v>1.2459295554399525</v>
      </c>
      <c r="I21" s="120">
        <v>0</v>
      </c>
      <c r="J21" s="120">
        <v>0.23463348924528582</v>
      </c>
      <c r="K21" s="120">
        <v>4.7268778760390831E-2</v>
      </c>
      <c r="L21" s="120">
        <v>0.52866364280239708</v>
      </c>
      <c r="N21">
        <f t="shared" ref="N21" si="12">N9</f>
        <v>2006</v>
      </c>
      <c r="O21">
        <f t="shared" ref="O21:Y21" si="13">(O9)*1000</f>
        <v>0</v>
      </c>
      <c r="P21">
        <f t="shared" si="13"/>
        <v>0</v>
      </c>
      <c r="Q21">
        <f t="shared" si="13"/>
        <v>16583.752013786958</v>
      </c>
      <c r="R21">
        <f t="shared" si="13"/>
        <v>36825.212159070899</v>
      </c>
      <c r="S21">
        <f t="shared" si="13"/>
        <v>39754.522613971742</v>
      </c>
      <c r="T21">
        <f t="shared" si="13"/>
        <v>31592.38969974362</v>
      </c>
      <c r="U21">
        <f t="shared" si="13"/>
        <v>17525.041166819974</v>
      </c>
      <c r="V21">
        <f t="shared" si="13"/>
        <v>9189.2296418646183</v>
      </c>
      <c r="W21">
        <f t="shared" si="13"/>
        <v>2236.2181371280394</v>
      </c>
      <c r="X21">
        <f t="shared" si="13"/>
        <v>1099.2269124724141</v>
      </c>
      <c r="Y21">
        <f t="shared" si="13"/>
        <v>918.97618700082614</v>
      </c>
    </row>
    <row r="22" spans="1:25">
      <c r="A22" s="120">
        <v>29</v>
      </c>
      <c r="B22" s="120">
        <v>0.40646892202022827</v>
      </c>
      <c r="C22" s="120">
        <v>7.9865898792334393</v>
      </c>
      <c r="D22" s="120">
        <v>26.210919831192346</v>
      </c>
      <c r="E22" s="120">
        <v>31.874256808384636</v>
      </c>
      <c r="F22" s="120"/>
      <c r="G22" s="120"/>
      <c r="H22" s="120">
        <v>14.172448693129461</v>
      </c>
      <c r="I22" s="120">
        <v>0</v>
      </c>
      <c r="J22" s="120">
        <v>1.8770679139622866</v>
      </c>
      <c r="K22" s="120">
        <v>0</v>
      </c>
      <c r="L22" s="120">
        <v>0.21146545712095885</v>
      </c>
      <c r="N22">
        <f t="shared" ref="N22" si="14">N10</f>
        <v>2007</v>
      </c>
      <c r="O22">
        <f t="shared" ref="O22:Y22" si="15">(O10)*1000</f>
        <v>0</v>
      </c>
      <c r="P22">
        <f t="shared" si="15"/>
        <v>0</v>
      </c>
      <c r="Q22">
        <f t="shared" si="15"/>
        <v>0</v>
      </c>
      <c r="R22">
        <f t="shared" si="15"/>
        <v>2222.5631550177359</v>
      </c>
      <c r="S22">
        <f t="shared" si="15"/>
        <v>6610.0895609044164</v>
      </c>
      <c r="T22">
        <f t="shared" si="15"/>
        <v>11335.766629279322</v>
      </c>
      <c r="U22">
        <f t="shared" si="15"/>
        <v>14295.259893149358</v>
      </c>
      <c r="V22">
        <f t="shared" si="15"/>
        <v>12110.348151140723</v>
      </c>
      <c r="W22">
        <f t="shared" si="15"/>
        <v>6270.5914419431429</v>
      </c>
      <c r="X22">
        <f t="shared" si="15"/>
        <v>3798.3811046953015</v>
      </c>
      <c r="Y22">
        <f t="shared" si="15"/>
        <v>2097.9735065285263</v>
      </c>
    </row>
    <row r="23" spans="1:25">
      <c r="A23" s="120">
        <v>30</v>
      </c>
      <c r="B23" s="120">
        <v>0.37743542759021192</v>
      </c>
      <c r="C23" s="120">
        <v>7.6371765720169762</v>
      </c>
      <c r="D23" s="120">
        <v>12.708324766638713</v>
      </c>
      <c r="E23" s="120">
        <v>11.155989882934623</v>
      </c>
      <c r="F23" s="120"/>
      <c r="G23" s="120"/>
      <c r="H23" s="120">
        <v>47.65680549557819</v>
      </c>
      <c r="I23" s="120">
        <v>0</v>
      </c>
      <c r="J23" s="120">
        <v>2.2290181478302151</v>
      </c>
      <c r="K23" s="120">
        <v>4.7268778760390831E-2</v>
      </c>
      <c r="L23" s="120">
        <v>0</v>
      </c>
      <c r="N23">
        <f t="shared" ref="N23" si="16">N11</f>
        <v>2008</v>
      </c>
      <c r="O23">
        <f t="shared" ref="O23:Y23" si="17">(O11)*1000</f>
        <v>0</v>
      </c>
      <c r="P23">
        <f t="shared" si="17"/>
        <v>117.3167446226429</v>
      </c>
      <c r="Q23">
        <f t="shared" si="17"/>
        <v>3228.1877256275561</v>
      </c>
      <c r="R23">
        <f t="shared" si="17"/>
        <v>7511.0385602034548</v>
      </c>
      <c r="S23">
        <f t="shared" si="17"/>
        <v>14913.289773055652</v>
      </c>
      <c r="T23">
        <f t="shared" si="17"/>
        <v>16402.929285850005</v>
      </c>
      <c r="U23">
        <f t="shared" si="17"/>
        <v>13381.20874760687</v>
      </c>
      <c r="V23">
        <f t="shared" si="17"/>
        <v>7603.2423538770008</v>
      </c>
      <c r="W23">
        <f t="shared" si="17"/>
        <v>4598.327569438341</v>
      </c>
      <c r="X23">
        <f t="shared" si="17"/>
        <v>2770.247459362512</v>
      </c>
      <c r="Y23">
        <f t="shared" si="17"/>
        <v>2431.6561612693263</v>
      </c>
    </row>
    <row r="24" spans="1:25">
      <c r="A24" s="120">
        <v>31</v>
      </c>
      <c r="B24" s="120">
        <v>0.27291484764215329</v>
      </c>
      <c r="C24" s="120">
        <v>5.740361475699034</v>
      </c>
      <c r="D24" s="120">
        <v>10.855027404837234</v>
      </c>
      <c r="E24" s="120">
        <v>1.5937128404192318</v>
      </c>
      <c r="F24" s="120"/>
      <c r="G24" s="120"/>
      <c r="H24" s="120">
        <v>76.001702881837119</v>
      </c>
      <c r="I24" s="120">
        <v>1.3379609042644081</v>
      </c>
      <c r="J24" s="120">
        <v>5.5138869972642173</v>
      </c>
      <c r="K24" s="120">
        <v>0</v>
      </c>
      <c r="L24" s="120">
        <v>0</v>
      </c>
      <c r="N24">
        <f t="shared" ref="N24" si="18">N12</f>
        <v>2009</v>
      </c>
      <c r="O24">
        <f t="shared" ref="O24:Y24" si="19">(O12)*1000</f>
        <v>118.17194690097709</v>
      </c>
      <c r="P24">
        <f t="shared" si="19"/>
        <v>205.24601303853916</v>
      </c>
      <c r="Q24">
        <f t="shared" si="19"/>
        <v>244.96524338718271</v>
      </c>
      <c r="R24">
        <f t="shared" si="19"/>
        <v>1208.6801798582901</v>
      </c>
      <c r="S24">
        <f t="shared" si="19"/>
        <v>7023.3316462965722</v>
      </c>
      <c r="T24">
        <f t="shared" si="19"/>
        <v>9935.506874842622</v>
      </c>
      <c r="U24">
        <f t="shared" si="19"/>
        <v>12641.297596765748</v>
      </c>
      <c r="V24">
        <f t="shared" si="19"/>
        <v>9796.2831343998387</v>
      </c>
      <c r="W24">
        <f t="shared" si="19"/>
        <v>5847.131229911668</v>
      </c>
      <c r="X24">
        <f t="shared" si="19"/>
        <v>2871.7278944366558</v>
      </c>
      <c r="Y24">
        <f t="shared" si="19"/>
        <v>1361.2130748431473</v>
      </c>
    </row>
    <row r="25" spans="1:25">
      <c r="A25" s="120">
        <v>32</v>
      </c>
      <c r="B25" s="120">
        <v>0.19936332841944529</v>
      </c>
      <c r="C25" s="120">
        <v>4.3094307890030432</v>
      </c>
      <c r="D25" s="120">
        <v>7.1484326812342758</v>
      </c>
      <c r="E25" s="120">
        <v>4.7811385212576951</v>
      </c>
      <c r="F25" s="120"/>
      <c r="G25" s="120"/>
      <c r="H25" s="120">
        <v>77.403373631707069</v>
      </c>
      <c r="I25" s="120">
        <v>6.6898045213220403</v>
      </c>
      <c r="J25" s="120">
        <v>15.133860056320936</v>
      </c>
      <c r="K25" s="120">
        <v>0</v>
      </c>
      <c r="L25" s="120">
        <v>0</v>
      </c>
      <c r="N25">
        <f t="shared" ref="N25" si="20">N13</f>
        <v>2010</v>
      </c>
      <c r="O25">
        <f t="shared" ref="O25:Y25" si="21">(O13)*1000</f>
        <v>6846.1941742910421</v>
      </c>
      <c r="P25">
        <f t="shared" si="21"/>
        <v>5162.4424293973761</v>
      </c>
      <c r="Q25">
        <f t="shared" si="21"/>
        <v>1414.1126066240422</v>
      </c>
      <c r="R25">
        <f t="shared" si="21"/>
        <v>451.85331981227296</v>
      </c>
      <c r="S25">
        <f t="shared" si="21"/>
        <v>1541.7601057026084</v>
      </c>
      <c r="T25">
        <f t="shared" si="21"/>
        <v>4201.3929104560148</v>
      </c>
      <c r="U25">
        <f t="shared" si="21"/>
        <v>6264.4382425747299</v>
      </c>
      <c r="V25">
        <f t="shared" si="21"/>
        <v>4545.7270127606853</v>
      </c>
      <c r="W25">
        <f t="shared" si="21"/>
        <v>1559.117193231403</v>
      </c>
      <c r="X25">
        <f t="shared" si="21"/>
        <v>816.73784337136806</v>
      </c>
      <c r="Y25">
        <f t="shared" si="21"/>
        <v>302.09351017279835</v>
      </c>
    </row>
    <row r="26" spans="1:25">
      <c r="A26" s="120">
        <v>33</v>
      </c>
      <c r="B26" s="120">
        <v>0.22065455766812392</v>
      </c>
      <c r="C26" s="120">
        <v>3.1114423071180273</v>
      </c>
      <c r="D26" s="120">
        <v>6.3541623833193563</v>
      </c>
      <c r="E26" s="120">
        <v>0</v>
      </c>
      <c r="F26" s="120"/>
      <c r="G26" s="120"/>
      <c r="H26" s="120">
        <v>58.714430300107772</v>
      </c>
      <c r="I26" s="120">
        <v>11.038177460181368</v>
      </c>
      <c r="J26" s="120">
        <v>20.999697287453081</v>
      </c>
      <c r="K26" s="120">
        <v>4.7268778760390831E-2</v>
      </c>
      <c r="L26" s="120">
        <v>0</v>
      </c>
    </row>
    <row r="27" spans="1:25">
      <c r="A27" s="120">
        <v>34</v>
      </c>
      <c r="B27" s="120">
        <v>0.14903860474075037</v>
      </c>
      <c r="C27" s="120">
        <v>1.9966474698083598</v>
      </c>
      <c r="D27" s="120">
        <v>1.853297361801479</v>
      </c>
      <c r="E27" s="120">
        <v>0</v>
      </c>
      <c r="F27" s="120"/>
      <c r="G27" s="120"/>
      <c r="H27" s="120">
        <v>35.353251135608659</v>
      </c>
      <c r="I27" s="120">
        <v>11.707157912313571</v>
      </c>
      <c r="J27" s="120">
        <v>19.943846585849297</v>
      </c>
      <c r="K27" s="120">
        <v>0.70903168140586259</v>
      </c>
      <c r="L27" s="120">
        <v>0</v>
      </c>
    </row>
    <row r="28" spans="1:25">
      <c r="A28" s="120">
        <v>35</v>
      </c>
      <c r="B28" s="120">
        <v>0.15097417103608479</v>
      </c>
      <c r="C28" s="120">
        <v>1.5806792469316182</v>
      </c>
      <c r="D28" s="120">
        <v>1.3237838298581992</v>
      </c>
      <c r="E28" s="120">
        <v>1.5937128404192318</v>
      </c>
      <c r="F28" s="120"/>
      <c r="G28" s="120"/>
      <c r="H28" s="120">
        <v>20.713578859189212</v>
      </c>
      <c r="I28" s="120">
        <v>14.048589494776285</v>
      </c>
      <c r="J28" s="120">
        <v>22.290181478302156</v>
      </c>
      <c r="K28" s="120">
        <v>8.8392616281930856</v>
      </c>
      <c r="L28" s="120">
        <v>0</v>
      </c>
    </row>
    <row r="29" spans="1:25">
      <c r="A29" s="120">
        <v>36</v>
      </c>
      <c r="B29" s="120">
        <v>9.0971615880717741E-2</v>
      </c>
      <c r="C29" s="120">
        <v>1.1147948373096674</v>
      </c>
      <c r="D29" s="120">
        <v>2.1180541277731186</v>
      </c>
      <c r="E29" s="120">
        <v>0</v>
      </c>
      <c r="F29" s="120"/>
      <c r="G29" s="120"/>
      <c r="H29" s="120">
        <v>18.533202137169297</v>
      </c>
      <c r="I29" s="120">
        <v>15.721040625106795</v>
      </c>
      <c r="J29" s="120">
        <v>19.943846585849297</v>
      </c>
      <c r="K29" s="120">
        <v>32.473651008388501</v>
      </c>
      <c r="L29" s="120">
        <v>1.3745254712862325</v>
      </c>
    </row>
    <row r="30" spans="1:25">
      <c r="A30" s="120">
        <v>37</v>
      </c>
      <c r="B30" s="120">
        <v>9.2907182176052164E-2</v>
      </c>
      <c r="C30" s="120">
        <v>0.69882661443292582</v>
      </c>
      <c r="D30" s="120">
        <v>2.1180541277731186</v>
      </c>
      <c r="E30" s="120">
        <v>0</v>
      </c>
      <c r="F30" s="120"/>
      <c r="G30" s="120"/>
      <c r="H30" s="120">
        <v>10.901883610099585</v>
      </c>
      <c r="I30" s="120">
        <v>23.748806050693243</v>
      </c>
      <c r="J30" s="120">
        <v>24.0499326476418</v>
      </c>
      <c r="K30" s="120">
        <v>32.615457344669679</v>
      </c>
      <c r="L30" s="120">
        <v>8.6700837419593118</v>
      </c>
    </row>
    <row r="31" spans="1:25">
      <c r="A31" s="120">
        <v>38</v>
      </c>
      <c r="B31" s="120">
        <v>0.12774737549207174</v>
      </c>
      <c r="C31" s="120">
        <v>0.61563296985757765</v>
      </c>
      <c r="D31" s="120">
        <v>0.52951353194327966</v>
      </c>
      <c r="E31" s="120">
        <v>0</v>
      </c>
      <c r="F31" s="120"/>
      <c r="G31" s="120"/>
      <c r="H31" s="120">
        <v>7.0083537493497339</v>
      </c>
      <c r="I31" s="120">
        <v>21.741864694296634</v>
      </c>
      <c r="J31" s="120">
        <v>24.284566136887083</v>
      </c>
      <c r="K31" s="120">
        <v>26.234172212016915</v>
      </c>
      <c r="L31" s="120">
        <v>14.696849269906638</v>
      </c>
    </row>
    <row r="32" spans="1:25">
      <c r="A32" s="120">
        <v>39</v>
      </c>
      <c r="B32" s="120">
        <v>0.13161850808274059</v>
      </c>
      <c r="C32" s="120">
        <v>0.68218788551785614</v>
      </c>
      <c r="D32" s="120">
        <v>0.79427029791491954</v>
      </c>
      <c r="E32" s="120">
        <v>0</v>
      </c>
      <c r="F32" s="120"/>
      <c r="G32" s="120"/>
      <c r="H32" s="120">
        <v>8.5657656936496753</v>
      </c>
      <c r="I32" s="120">
        <v>18.731452659701713</v>
      </c>
      <c r="J32" s="120">
        <v>14.312642843962434</v>
      </c>
      <c r="K32" s="120">
        <v>17.300373026303046</v>
      </c>
      <c r="L32" s="120">
        <v>12.79366015581801</v>
      </c>
    </row>
    <row r="33" spans="1:12">
      <c r="A33" s="120">
        <v>40</v>
      </c>
      <c r="B33" s="120">
        <v>0.13548964067340941</v>
      </c>
      <c r="C33" s="120">
        <v>0.43260695179181125</v>
      </c>
      <c r="D33" s="120">
        <v>1.3237838298581992</v>
      </c>
      <c r="E33" s="120">
        <v>0</v>
      </c>
      <c r="F33" s="120"/>
      <c r="G33" s="120"/>
      <c r="H33" s="120">
        <v>3.5820474718898638</v>
      </c>
      <c r="I33" s="120">
        <v>18.731452659701713</v>
      </c>
      <c r="J33" s="120">
        <v>8.2121721235850043</v>
      </c>
      <c r="K33" s="120">
        <v>13.235258052909433</v>
      </c>
      <c r="L33" s="120">
        <v>8.2471528277173949</v>
      </c>
    </row>
    <row r="34" spans="1:12">
      <c r="A34" s="120">
        <v>41</v>
      </c>
      <c r="B34" s="120">
        <v>0.12581180919673732</v>
      </c>
      <c r="C34" s="120">
        <v>0.4658844096219506</v>
      </c>
      <c r="D34" s="120">
        <v>1.5885405958298391</v>
      </c>
      <c r="E34" s="120">
        <v>0</v>
      </c>
      <c r="F34" s="120"/>
      <c r="G34" s="120"/>
      <c r="H34" s="120">
        <v>4.8279770273298164</v>
      </c>
      <c r="I34" s="120">
        <v>14.383079720842389</v>
      </c>
      <c r="J34" s="120">
        <v>9.2680228251887904</v>
      </c>
      <c r="K34" s="120">
        <v>10.682743999848329</v>
      </c>
      <c r="L34" s="120">
        <v>5.0751709709030122</v>
      </c>
    </row>
    <row r="35" spans="1:12">
      <c r="A35" s="120">
        <v>42</v>
      </c>
      <c r="B35" s="120">
        <v>0.11806954401539964</v>
      </c>
      <c r="C35" s="120">
        <v>0.39932949396167194</v>
      </c>
      <c r="D35" s="120">
        <v>0.79427029791491954</v>
      </c>
      <c r="E35" s="120">
        <v>0</v>
      </c>
      <c r="F35" s="120"/>
      <c r="G35" s="120"/>
      <c r="H35" s="120">
        <v>3.1148238885998816</v>
      </c>
      <c r="I35" s="120">
        <v>11.372667686247469</v>
      </c>
      <c r="J35" s="120">
        <v>9.8546065483020051</v>
      </c>
      <c r="K35" s="120">
        <v>8.2720362830683953</v>
      </c>
      <c r="L35" s="120">
        <v>5.0751709709030122</v>
      </c>
    </row>
    <row r="36" spans="1:12">
      <c r="A36" s="120">
        <v>43</v>
      </c>
      <c r="B36" s="120">
        <v>9.677831476672101E-2</v>
      </c>
      <c r="C36" s="120">
        <v>0.36605203613153259</v>
      </c>
      <c r="D36" s="120">
        <v>0.26475676597163983</v>
      </c>
      <c r="E36" s="120">
        <v>0</v>
      </c>
      <c r="F36" s="120"/>
      <c r="G36" s="120"/>
      <c r="H36" s="120">
        <v>3.7377886663198576</v>
      </c>
      <c r="I36" s="120">
        <v>10.034706781983061</v>
      </c>
      <c r="J36" s="120">
        <v>7.6255884004717895</v>
      </c>
      <c r="K36" s="120">
        <v>7.2793919291001883</v>
      </c>
      <c r="L36" s="120">
        <v>3.2777145853748619</v>
      </c>
    </row>
    <row r="37" spans="1:12">
      <c r="A37" s="120">
        <v>44</v>
      </c>
      <c r="B37" s="120">
        <v>9.4842748471386587E-2</v>
      </c>
      <c r="C37" s="120">
        <v>0.36605203613153259</v>
      </c>
      <c r="D37" s="120">
        <v>0.52951353194327966</v>
      </c>
      <c r="E37" s="120">
        <v>0</v>
      </c>
      <c r="F37" s="120"/>
      <c r="G37" s="120"/>
      <c r="H37" s="120">
        <v>1.2459295554399525</v>
      </c>
      <c r="I37" s="120">
        <v>9.7002165559169597</v>
      </c>
      <c r="J37" s="120">
        <v>4.8099865295283593</v>
      </c>
      <c r="K37" s="120">
        <v>5.1995656636429919</v>
      </c>
      <c r="L37" s="120">
        <v>2.8547836711329442</v>
      </c>
    </row>
    <row r="38" spans="1:12">
      <c r="A38" s="120">
        <v>45</v>
      </c>
      <c r="B38" s="120">
        <v>0.11226284512939637</v>
      </c>
      <c r="C38" s="120">
        <v>0.14974856023562699</v>
      </c>
      <c r="D38" s="120">
        <v>0.79427029791491954</v>
      </c>
      <c r="E38" s="120">
        <v>0</v>
      </c>
      <c r="F38" s="120"/>
      <c r="G38" s="120"/>
      <c r="H38" s="120">
        <v>1.0901883610099585</v>
      </c>
      <c r="I38" s="120">
        <v>8.0277654255864501</v>
      </c>
      <c r="J38" s="120">
        <v>5.2792535080189307</v>
      </c>
      <c r="K38" s="120">
        <v>4.5378027609975202</v>
      </c>
      <c r="L38" s="120">
        <v>3.9121109567377381</v>
      </c>
    </row>
    <row r="39" spans="1:12">
      <c r="A39" s="120">
        <v>46</v>
      </c>
      <c r="B39" s="120">
        <v>5.6131422564698184E-2</v>
      </c>
      <c r="C39" s="120">
        <v>0.24958093372604498</v>
      </c>
      <c r="D39" s="120">
        <v>0</v>
      </c>
      <c r="E39" s="120">
        <v>0</v>
      </c>
      <c r="F39" s="120"/>
      <c r="G39" s="120"/>
      <c r="H39" s="120">
        <v>1.5574119442999408</v>
      </c>
      <c r="I39" s="120">
        <v>5.0173533909915307</v>
      </c>
      <c r="J39" s="120">
        <v>5.1619367633962883</v>
      </c>
      <c r="K39" s="120">
        <v>3.261545734466968</v>
      </c>
      <c r="L39" s="120">
        <v>2.6433182140119857</v>
      </c>
    </row>
    <row r="40" spans="1:12">
      <c r="A40" s="120">
        <v>47</v>
      </c>
      <c r="B40" s="120">
        <v>5.6131422564698184E-2</v>
      </c>
      <c r="C40" s="120">
        <v>0.14974856023562699</v>
      </c>
      <c r="D40" s="120">
        <v>0.26475676597163983</v>
      </c>
      <c r="E40" s="120">
        <v>0</v>
      </c>
      <c r="F40" s="120"/>
      <c r="G40" s="120"/>
      <c r="H40" s="120">
        <v>0.15574119442999407</v>
      </c>
      <c r="I40" s="120">
        <v>5.0173533909915307</v>
      </c>
      <c r="J40" s="120">
        <v>4.6926697849057168</v>
      </c>
      <c r="K40" s="120">
        <v>2.2689013804987601</v>
      </c>
      <c r="L40" s="120">
        <v>2.1146545712095883</v>
      </c>
    </row>
    <row r="41" spans="1:12">
      <c r="A41" s="120">
        <v>48</v>
      </c>
      <c r="B41" s="120">
        <v>3.0969060725350724E-2</v>
      </c>
      <c r="C41" s="120">
        <v>0.13310983132055731</v>
      </c>
      <c r="D41" s="120">
        <v>0.26475676597163983</v>
      </c>
      <c r="E41" s="120">
        <v>0</v>
      </c>
      <c r="F41" s="120"/>
      <c r="G41" s="120"/>
      <c r="H41" s="120">
        <v>0.4672235832899822</v>
      </c>
      <c r="I41" s="120">
        <v>2.0069413563966125</v>
      </c>
      <c r="J41" s="120">
        <v>2.8156018709434298</v>
      </c>
      <c r="K41" s="120">
        <v>2.1270950442175875</v>
      </c>
      <c r="L41" s="120">
        <v>1.1630600141652736</v>
      </c>
    </row>
    <row r="42" spans="1:12">
      <c r="A42" s="120">
        <v>49</v>
      </c>
      <c r="B42" s="120">
        <v>3.4840193316019563E-2</v>
      </c>
      <c r="C42" s="120">
        <v>0.14974856023562699</v>
      </c>
      <c r="D42" s="120">
        <v>0</v>
      </c>
      <c r="E42" s="120">
        <v>0</v>
      </c>
      <c r="F42" s="120"/>
      <c r="G42" s="120"/>
      <c r="H42" s="120">
        <v>0.31148238885998814</v>
      </c>
      <c r="I42" s="120">
        <v>0.66898045213220403</v>
      </c>
      <c r="J42" s="120">
        <v>2.9329186155660731</v>
      </c>
      <c r="K42" s="120">
        <v>1.1344506902493801</v>
      </c>
      <c r="L42" s="120">
        <v>1.9031891140886292</v>
      </c>
    </row>
    <row r="43" spans="1:12">
      <c r="A43" s="120">
        <v>50</v>
      </c>
      <c r="B43" s="120">
        <v>3.2904627020685147E-2</v>
      </c>
      <c r="C43" s="120">
        <v>0.18302601806576629</v>
      </c>
      <c r="D43" s="120">
        <v>0</v>
      </c>
      <c r="E43" s="120">
        <v>0</v>
      </c>
      <c r="F43" s="120"/>
      <c r="G43" s="120"/>
      <c r="H43" s="120">
        <v>0.31148238885998814</v>
      </c>
      <c r="I43" s="120">
        <v>1.6724511303305101</v>
      </c>
      <c r="J43" s="120">
        <v>3.1675521048113588</v>
      </c>
      <c r="K43" s="120">
        <v>0.85083801768703504</v>
      </c>
      <c r="L43" s="120">
        <v>1.268792742725753</v>
      </c>
    </row>
    <row r="44" spans="1:12">
      <c r="A44" s="120">
        <v>51</v>
      </c>
      <c r="B44" s="120">
        <v>2.3226795544013041E-2</v>
      </c>
      <c r="C44" s="120">
        <v>6.6554915660278657E-2</v>
      </c>
      <c r="D44" s="120">
        <v>0</v>
      </c>
      <c r="E44" s="120">
        <v>0</v>
      </c>
      <c r="F44" s="120"/>
      <c r="G44" s="120"/>
      <c r="H44" s="120">
        <v>0</v>
      </c>
      <c r="I44" s="120">
        <v>2.0069413563966125</v>
      </c>
      <c r="J44" s="120">
        <v>0.46926697849057164</v>
      </c>
      <c r="K44" s="120">
        <v>1.181719469009771</v>
      </c>
      <c r="L44" s="120">
        <v>1.268792742725753</v>
      </c>
    </row>
    <row r="45" spans="1:12">
      <c r="A45" s="120">
        <v>52</v>
      </c>
      <c r="B45" s="120">
        <v>2.1291229248678625E-2</v>
      </c>
      <c r="C45" s="120">
        <v>1.6638728915069664E-2</v>
      </c>
      <c r="D45" s="120">
        <v>0</v>
      </c>
      <c r="E45" s="120">
        <v>0</v>
      </c>
      <c r="F45" s="120"/>
      <c r="G45" s="120"/>
      <c r="H45" s="120">
        <v>0.15574119442999407</v>
      </c>
      <c r="I45" s="120">
        <v>0</v>
      </c>
      <c r="J45" s="120">
        <v>1.8770679139622866</v>
      </c>
      <c r="K45" s="120">
        <v>0.56722534512469003</v>
      </c>
      <c r="L45" s="120">
        <v>0.74012909992335585</v>
      </c>
    </row>
    <row r="46" spans="1:12">
      <c r="A46" s="120">
        <v>53</v>
      </c>
      <c r="B46" s="120">
        <v>2.5162361839347468E-2</v>
      </c>
      <c r="C46" s="120">
        <v>1.6638728915069664E-2</v>
      </c>
      <c r="D46" s="120">
        <v>0</v>
      </c>
      <c r="E46" s="120">
        <v>0</v>
      </c>
      <c r="F46" s="120"/>
      <c r="G46" s="120"/>
      <c r="H46" s="120">
        <v>0</v>
      </c>
      <c r="I46" s="120">
        <v>0</v>
      </c>
      <c r="J46" s="120">
        <v>0</v>
      </c>
      <c r="K46" s="120">
        <v>0.18907511504156332</v>
      </c>
      <c r="L46" s="120">
        <v>0</v>
      </c>
    </row>
    <row r="47" spans="1:12">
      <c r="A47" s="120">
        <v>54</v>
      </c>
      <c r="B47" s="120">
        <v>1.5484530362675362E-2</v>
      </c>
      <c r="C47" s="120">
        <v>0</v>
      </c>
      <c r="D47" s="120">
        <v>0</v>
      </c>
      <c r="E47" s="120">
        <v>0</v>
      </c>
      <c r="F47" s="120"/>
      <c r="G47" s="120"/>
      <c r="H47" s="120">
        <v>0</v>
      </c>
      <c r="I47" s="120">
        <v>0</v>
      </c>
      <c r="J47" s="120">
        <v>0</v>
      </c>
      <c r="K47" s="120">
        <v>4.7268778760390831E-2</v>
      </c>
      <c r="L47" s="120">
        <v>0.10573272856047942</v>
      </c>
    </row>
    <row r="48" spans="1:12">
      <c r="A48" s="120">
        <v>55</v>
      </c>
      <c r="B48" s="120">
        <v>9.6778314766721007E-3</v>
      </c>
      <c r="C48" s="120">
        <v>1.6638728915069664E-2</v>
      </c>
      <c r="D48" s="120">
        <v>0</v>
      </c>
      <c r="E48" s="120">
        <v>0</v>
      </c>
      <c r="F48" s="120"/>
      <c r="G48" s="120"/>
      <c r="H48" s="120">
        <v>0</v>
      </c>
      <c r="I48" s="120">
        <v>0</v>
      </c>
      <c r="J48" s="120">
        <v>0</v>
      </c>
      <c r="K48" s="120">
        <v>4.7268778760390831E-2</v>
      </c>
      <c r="L48" s="120">
        <v>0.10573272856047942</v>
      </c>
    </row>
    <row r="49" spans="1:12">
      <c r="A49" s="120">
        <v>56</v>
      </c>
      <c r="B49" s="120">
        <v>1.5484530362675362E-2</v>
      </c>
      <c r="C49" s="120">
        <v>0</v>
      </c>
      <c r="D49" s="120">
        <v>0</v>
      </c>
      <c r="E49" s="120">
        <v>0</v>
      </c>
      <c r="F49" s="120"/>
      <c r="G49" s="120"/>
      <c r="H49" s="120">
        <v>0</v>
      </c>
      <c r="I49" s="120">
        <v>0</v>
      </c>
      <c r="J49" s="120">
        <v>0</v>
      </c>
      <c r="K49" s="120">
        <v>0</v>
      </c>
      <c r="L49" s="120">
        <v>0</v>
      </c>
    </row>
    <row r="50" spans="1:12">
      <c r="A50" s="120">
        <v>57</v>
      </c>
      <c r="B50" s="120">
        <v>9.6778314766721007E-3</v>
      </c>
      <c r="C50" s="120">
        <v>3.3277457830139329E-2</v>
      </c>
      <c r="D50" s="120">
        <v>0</v>
      </c>
      <c r="E50" s="120">
        <v>0</v>
      </c>
      <c r="F50" s="120"/>
      <c r="G50" s="120"/>
      <c r="H50" s="120">
        <v>0</v>
      </c>
      <c r="I50" s="120">
        <v>0</v>
      </c>
      <c r="J50" s="120">
        <v>0</v>
      </c>
      <c r="K50" s="120">
        <v>0</v>
      </c>
      <c r="L50" s="120">
        <v>0</v>
      </c>
    </row>
    <row r="51" spans="1:12">
      <c r="A51" s="120">
        <v>58</v>
      </c>
      <c r="B51" s="120">
        <v>5.8066988860032602E-3</v>
      </c>
      <c r="C51" s="120">
        <v>1.6638728915069664E-2</v>
      </c>
      <c r="D51" s="120">
        <v>0</v>
      </c>
      <c r="E51" s="120">
        <v>0</v>
      </c>
      <c r="F51" s="120"/>
      <c r="G51" s="120"/>
      <c r="H51" s="120">
        <v>0</v>
      </c>
      <c r="I51" s="120">
        <v>0</v>
      </c>
      <c r="J51" s="120">
        <v>0</v>
      </c>
      <c r="K51" s="120">
        <v>0</v>
      </c>
      <c r="L51" s="120">
        <v>0.10573272856047942</v>
      </c>
    </row>
    <row r="52" spans="1:12">
      <c r="A52" s="120">
        <v>59</v>
      </c>
      <c r="B52" s="120">
        <v>9.6778314766721007E-3</v>
      </c>
      <c r="C52" s="120">
        <v>1.6638728915069664E-2</v>
      </c>
      <c r="D52" s="120">
        <v>0</v>
      </c>
      <c r="E52" s="120">
        <v>0</v>
      </c>
      <c r="F52" s="120"/>
      <c r="G52" s="120"/>
      <c r="H52" s="120">
        <v>0</v>
      </c>
      <c r="I52" s="120">
        <v>0</v>
      </c>
      <c r="J52" s="120">
        <v>0</v>
      </c>
      <c r="K52" s="120">
        <v>0</v>
      </c>
      <c r="L52" s="120">
        <v>0</v>
      </c>
    </row>
    <row r="53" spans="1:12">
      <c r="A53" s="120">
        <v>60</v>
      </c>
      <c r="B53" s="120">
        <v>1.3548964067340942E-2</v>
      </c>
      <c r="C53" s="120">
        <v>1.6638728915069664E-2</v>
      </c>
      <c r="D53" s="120">
        <v>0</v>
      </c>
      <c r="E53" s="120">
        <v>0</v>
      </c>
      <c r="F53" s="120"/>
      <c r="G53" s="120"/>
      <c r="H53" s="120">
        <v>0</v>
      </c>
      <c r="I53" s="120">
        <v>0</v>
      </c>
      <c r="J53" s="120">
        <v>0</v>
      </c>
      <c r="K53" s="120">
        <v>0</v>
      </c>
      <c r="L53" s="120">
        <v>0</v>
      </c>
    </row>
    <row r="54" spans="1:12">
      <c r="A54" s="120">
        <v>61</v>
      </c>
      <c r="B54" s="120">
        <v>5.8066988860032602E-3</v>
      </c>
      <c r="C54" s="120">
        <v>0</v>
      </c>
      <c r="D54" s="120">
        <v>0</v>
      </c>
      <c r="E54" s="120">
        <v>0</v>
      </c>
      <c r="F54" s="120"/>
      <c r="G54" s="120"/>
      <c r="H54" s="120">
        <v>0</v>
      </c>
      <c r="I54" s="120">
        <v>0</v>
      </c>
      <c r="J54" s="120">
        <v>0</v>
      </c>
      <c r="K54" s="120">
        <v>0</v>
      </c>
      <c r="L54" s="120">
        <v>0</v>
      </c>
    </row>
    <row r="55" spans="1:12">
      <c r="A55" s="120">
        <v>62</v>
      </c>
      <c r="B55" s="120">
        <v>1.9355662953344202E-3</v>
      </c>
      <c r="C55" s="120">
        <v>0</v>
      </c>
      <c r="D55" s="120">
        <v>0</v>
      </c>
      <c r="E55" s="120">
        <v>0</v>
      </c>
      <c r="F55" s="120"/>
      <c r="G55" s="120"/>
      <c r="H55" s="120">
        <v>0</v>
      </c>
      <c r="I55" s="120">
        <v>0</v>
      </c>
      <c r="J55" s="120">
        <v>0</v>
      </c>
      <c r="K55" s="120">
        <v>0</v>
      </c>
      <c r="L55" s="120">
        <v>0</v>
      </c>
    </row>
    <row r="57" spans="1:12">
      <c r="B57">
        <f>SUM(B3:B55)</f>
        <v>5.1040883207968681</v>
      </c>
      <c r="C57">
        <f t="shared" ref="C57:L57" si="22">SUM(C3:C55)</f>
        <v>60.315392317127532</v>
      </c>
      <c r="D57">
        <f t="shared" si="22"/>
        <v>340.74195780550053</v>
      </c>
      <c r="E57">
        <f t="shared" si="22"/>
        <v>465.36414940241576</v>
      </c>
      <c r="F57">
        <f t="shared" si="22"/>
        <v>0</v>
      </c>
      <c r="G57">
        <f t="shared" si="22"/>
        <v>0</v>
      </c>
      <c r="H57">
        <f t="shared" si="22"/>
        <v>397.14004579648486</v>
      </c>
      <c r="I57">
        <f t="shared" si="22"/>
        <v>213.40476423017313</v>
      </c>
      <c r="J57">
        <f>SUM(J3:J55)</f>
        <v>236.97982413773869</v>
      </c>
      <c r="K57">
        <f t="shared" si="22"/>
        <v>181.41757288238003</v>
      </c>
      <c r="L57">
        <f>SUM(L3:L55)</f>
        <v>115.565872316604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E59"/>
  <sheetViews>
    <sheetView topLeftCell="A28" zoomScale="80" zoomScaleNormal="80" workbookViewId="0">
      <selection activeCell="N50" sqref="N50"/>
    </sheetView>
  </sheetViews>
  <sheetFormatPr defaultColWidth="9.08984375" defaultRowHeight="12.5"/>
  <cols>
    <col min="1" max="1" width="10.54296875" style="12" customWidth="1"/>
    <col min="2" max="15" width="6.08984375" style="13" customWidth="1"/>
    <col min="16" max="256" width="11.453125" style="12" customWidth="1"/>
    <col min="257" max="16384" width="9.08984375" style="12"/>
  </cols>
  <sheetData>
    <row r="2" spans="2:31">
      <c r="B2" s="122" t="s">
        <v>27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4" spans="2:31">
      <c r="B4" s="17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9</v>
      </c>
      <c r="J4" s="29" t="s">
        <v>10</v>
      </c>
      <c r="K4" s="29" t="s">
        <v>11</v>
      </c>
      <c r="L4" s="29" t="s">
        <v>12</v>
      </c>
      <c r="M4" s="29" t="s">
        <v>13</v>
      </c>
      <c r="N4" s="29" t="s">
        <v>14</v>
      </c>
      <c r="O4" s="26" t="s">
        <v>7</v>
      </c>
      <c r="U4" s="12">
        <v>2</v>
      </c>
      <c r="V4" s="12">
        <v>3</v>
      </c>
      <c r="W4" s="12">
        <v>4</v>
      </c>
      <c r="X4" s="12">
        <v>5</v>
      </c>
      <c r="Y4" s="12">
        <v>6</v>
      </c>
      <c r="Z4" s="12">
        <v>7</v>
      </c>
      <c r="AA4" s="12">
        <v>8</v>
      </c>
      <c r="AB4" s="12">
        <v>9</v>
      </c>
      <c r="AC4" s="12">
        <v>10</v>
      </c>
      <c r="AD4" s="12">
        <v>11</v>
      </c>
      <c r="AE4" s="12">
        <v>12</v>
      </c>
    </row>
    <row r="5" spans="2:31">
      <c r="B5" s="19">
        <f t="shared" ref="B5:B12" si="0">B6-1</f>
        <v>17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49"/>
      <c r="T5" s="12">
        <f t="shared" ref="T5:T48" si="1">B5</f>
        <v>17</v>
      </c>
      <c r="U5" s="12">
        <f>C5/C$49</f>
        <v>0</v>
      </c>
      <c r="V5" s="12">
        <f t="shared" ref="V5:V48" si="2">D5/D$49</f>
        <v>0</v>
      </c>
      <c r="W5" s="12">
        <f t="shared" ref="W5:W48" si="3">E5/E$49</f>
        <v>0</v>
      </c>
      <c r="X5" s="12">
        <f t="shared" ref="X5:X48" si="4">F5/F$49</f>
        <v>0</v>
      </c>
      <c r="Y5" s="12">
        <f t="shared" ref="Y5:Y48" si="5">G5/G$49</f>
        <v>0</v>
      </c>
      <c r="Z5" s="12">
        <f t="shared" ref="Z5:Z48" si="6">H5/H$49</f>
        <v>0</v>
      </c>
      <c r="AA5" s="12">
        <f t="shared" ref="AA5:AA48" si="7">I5/I$49</f>
        <v>0</v>
      </c>
      <c r="AB5" s="12">
        <f t="shared" ref="AB5:AB48" si="8">J5/J$49</f>
        <v>0</v>
      </c>
      <c r="AC5" s="12">
        <f t="shared" ref="AC5:AC48" si="9">K5/K$49</f>
        <v>0</v>
      </c>
      <c r="AD5" s="12">
        <f t="shared" ref="AD5:AD48" si="10">L5/L$49</f>
        <v>0</v>
      </c>
      <c r="AE5" s="12">
        <f t="shared" ref="AE5:AE48" si="11">M5/M$49</f>
        <v>0</v>
      </c>
    </row>
    <row r="6" spans="2:31">
      <c r="B6" s="19">
        <f t="shared" si="0"/>
        <v>18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49"/>
      <c r="T6" s="12">
        <f t="shared" si="1"/>
        <v>18</v>
      </c>
      <c r="U6" s="12">
        <f t="shared" ref="U6:U48" si="12">C6/C$49</f>
        <v>0</v>
      </c>
      <c r="V6" s="12">
        <f t="shared" si="2"/>
        <v>0</v>
      </c>
      <c r="W6" s="12">
        <f t="shared" si="3"/>
        <v>0</v>
      </c>
      <c r="X6" s="12">
        <f t="shared" si="4"/>
        <v>0</v>
      </c>
      <c r="Y6" s="12">
        <f t="shared" si="5"/>
        <v>0</v>
      </c>
      <c r="Z6" s="12">
        <f t="shared" si="6"/>
        <v>0</v>
      </c>
      <c r="AA6" s="12">
        <f t="shared" si="7"/>
        <v>0</v>
      </c>
      <c r="AB6" s="12">
        <f t="shared" si="8"/>
        <v>0</v>
      </c>
      <c r="AC6" s="12">
        <f t="shared" si="9"/>
        <v>0</v>
      </c>
      <c r="AD6" s="12">
        <f t="shared" si="10"/>
        <v>0</v>
      </c>
      <c r="AE6" s="12">
        <f t="shared" si="11"/>
        <v>0</v>
      </c>
    </row>
    <row r="7" spans="2:31">
      <c r="B7" s="19">
        <f t="shared" si="0"/>
        <v>19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49"/>
      <c r="T7" s="12">
        <f t="shared" si="1"/>
        <v>19</v>
      </c>
      <c r="U7" s="12">
        <f t="shared" si="12"/>
        <v>0</v>
      </c>
      <c r="V7" s="12">
        <f t="shared" si="2"/>
        <v>0</v>
      </c>
      <c r="W7" s="12">
        <f t="shared" si="3"/>
        <v>0</v>
      </c>
      <c r="X7" s="12">
        <f t="shared" si="4"/>
        <v>0</v>
      </c>
      <c r="Y7" s="12">
        <f t="shared" si="5"/>
        <v>0</v>
      </c>
      <c r="Z7" s="12">
        <f t="shared" si="6"/>
        <v>0</v>
      </c>
      <c r="AA7" s="12">
        <f t="shared" si="7"/>
        <v>0</v>
      </c>
      <c r="AB7" s="12">
        <f t="shared" si="8"/>
        <v>0</v>
      </c>
      <c r="AC7" s="12">
        <f t="shared" si="9"/>
        <v>0</v>
      </c>
      <c r="AD7" s="12">
        <f t="shared" si="10"/>
        <v>0</v>
      </c>
      <c r="AE7" s="12">
        <f t="shared" si="11"/>
        <v>0</v>
      </c>
    </row>
    <row r="8" spans="2:31">
      <c r="B8" s="19">
        <f t="shared" si="0"/>
        <v>20</v>
      </c>
      <c r="C8" s="20">
        <v>2</v>
      </c>
      <c r="D8" s="20">
        <v>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19">
        <f t="shared" ref="O8:O47" si="13">SUM(C8:N8)</f>
        <v>6</v>
      </c>
      <c r="T8" s="12">
        <f t="shared" si="1"/>
        <v>20</v>
      </c>
      <c r="U8" s="12">
        <f t="shared" si="12"/>
        <v>0.25</v>
      </c>
      <c r="V8" s="12">
        <f t="shared" si="2"/>
        <v>3.1746031746031744E-2</v>
      </c>
      <c r="W8" s="12">
        <f t="shared" si="3"/>
        <v>0</v>
      </c>
      <c r="X8" s="12">
        <f t="shared" si="4"/>
        <v>0</v>
      </c>
      <c r="Y8" s="12">
        <f t="shared" si="5"/>
        <v>0</v>
      </c>
      <c r="Z8" s="12">
        <f t="shared" si="6"/>
        <v>0</v>
      </c>
      <c r="AA8" s="12">
        <f t="shared" si="7"/>
        <v>0</v>
      </c>
      <c r="AB8" s="12">
        <f t="shared" si="8"/>
        <v>0</v>
      </c>
      <c r="AC8" s="12">
        <f t="shared" si="9"/>
        <v>0</v>
      </c>
      <c r="AD8" s="12">
        <f t="shared" si="10"/>
        <v>0</v>
      </c>
      <c r="AE8" s="12">
        <f t="shared" si="11"/>
        <v>0</v>
      </c>
    </row>
    <row r="9" spans="2:31">
      <c r="B9" s="19">
        <f t="shared" si="0"/>
        <v>21</v>
      </c>
      <c r="C9" s="20">
        <v>3</v>
      </c>
      <c r="D9" s="20">
        <v>10</v>
      </c>
      <c r="E9" s="20">
        <v>1</v>
      </c>
      <c r="F9" s="20"/>
      <c r="G9" s="20"/>
      <c r="H9" s="20"/>
      <c r="I9" s="20"/>
      <c r="J9" s="20"/>
      <c r="K9" s="20"/>
      <c r="L9" s="20"/>
      <c r="M9" s="20"/>
      <c r="N9" s="20"/>
      <c r="O9" s="19">
        <f t="shared" si="13"/>
        <v>14</v>
      </c>
      <c r="T9" s="12">
        <f t="shared" si="1"/>
        <v>21</v>
      </c>
      <c r="U9" s="12">
        <f t="shared" si="12"/>
        <v>0.375</v>
      </c>
      <c r="V9" s="12">
        <f t="shared" si="2"/>
        <v>7.9365079365079361E-2</v>
      </c>
      <c r="W9" s="12">
        <f t="shared" si="3"/>
        <v>4.7393364928909956E-3</v>
      </c>
      <c r="X9" s="12">
        <f t="shared" si="4"/>
        <v>0</v>
      </c>
      <c r="Y9" s="12">
        <f t="shared" si="5"/>
        <v>0</v>
      </c>
      <c r="Z9" s="12">
        <f t="shared" si="6"/>
        <v>0</v>
      </c>
      <c r="AA9" s="12">
        <f t="shared" si="7"/>
        <v>0</v>
      </c>
      <c r="AB9" s="12">
        <f t="shared" si="8"/>
        <v>0</v>
      </c>
      <c r="AC9" s="12">
        <f t="shared" si="9"/>
        <v>0</v>
      </c>
      <c r="AD9" s="12">
        <f t="shared" si="10"/>
        <v>0</v>
      </c>
      <c r="AE9" s="12">
        <f t="shared" si="11"/>
        <v>0</v>
      </c>
    </row>
    <row r="10" spans="2:31">
      <c r="B10" s="19">
        <f t="shared" si="0"/>
        <v>22</v>
      </c>
      <c r="C10" s="20">
        <v>1</v>
      </c>
      <c r="D10" s="20">
        <v>20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9">
        <f t="shared" si="13"/>
        <v>21</v>
      </c>
      <c r="T10" s="12">
        <f t="shared" si="1"/>
        <v>22</v>
      </c>
      <c r="U10" s="12">
        <f t="shared" si="12"/>
        <v>0.125</v>
      </c>
      <c r="V10" s="12">
        <f t="shared" si="2"/>
        <v>0.15873015873015872</v>
      </c>
      <c r="W10" s="12">
        <f t="shared" si="3"/>
        <v>0</v>
      </c>
      <c r="X10" s="12">
        <f t="shared" si="4"/>
        <v>0</v>
      </c>
      <c r="Y10" s="12">
        <f t="shared" si="5"/>
        <v>0</v>
      </c>
      <c r="Z10" s="12">
        <f t="shared" si="6"/>
        <v>0</v>
      </c>
      <c r="AA10" s="12">
        <f t="shared" si="7"/>
        <v>0</v>
      </c>
      <c r="AB10" s="12">
        <f t="shared" si="8"/>
        <v>0</v>
      </c>
      <c r="AC10" s="12">
        <f t="shared" si="9"/>
        <v>0</v>
      </c>
      <c r="AD10" s="12">
        <f t="shared" si="10"/>
        <v>0</v>
      </c>
      <c r="AE10" s="12">
        <f t="shared" si="11"/>
        <v>0</v>
      </c>
    </row>
    <row r="11" spans="2:31">
      <c r="B11" s="19">
        <f t="shared" si="0"/>
        <v>23</v>
      </c>
      <c r="C11" s="20">
        <v>2</v>
      </c>
      <c r="D11" s="20">
        <v>24</v>
      </c>
      <c r="E11" s="20">
        <v>6</v>
      </c>
      <c r="F11" s="20"/>
      <c r="G11" s="20"/>
      <c r="H11" s="20"/>
      <c r="I11" s="20"/>
      <c r="J11" s="20"/>
      <c r="K11" s="20"/>
      <c r="L11" s="20"/>
      <c r="M11" s="20"/>
      <c r="N11" s="20"/>
      <c r="O11" s="19">
        <f t="shared" si="13"/>
        <v>32</v>
      </c>
      <c r="T11" s="12">
        <f t="shared" si="1"/>
        <v>23</v>
      </c>
      <c r="U11" s="12">
        <f t="shared" si="12"/>
        <v>0.25</v>
      </c>
      <c r="V11" s="12">
        <f t="shared" si="2"/>
        <v>0.19047619047619047</v>
      </c>
      <c r="W11" s="12">
        <f t="shared" si="3"/>
        <v>2.843601895734597E-2</v>
      </c>
      <c r="X11" s="12">
        <f t="shared" si="4"/>
        <v>0</v>
      </c>
      <c r="Y11" s="12">
        <f t="shared" si="5"/>
        <v>0</v>
      </c>
      <c r="Z11" s="12">
        <f t="shared" si="6"/>
        <v>0</v>
      </c>
      <c r="AA11" s="12">
        <f t="shared" si="7"/>
        <v>0</v>
      </c>
      <c r="AB11" s="12">
        <f t="shared" si="8"/>
        <v>0</v>
      </c>
      <c r="AC11" s="12">
        <f t="shared" si="9"/>
        <v>0</v>
      </c>
      <c r="AD11" s="12">
        <f t="shared" si="10"/>
        <v>0</v>
      </c>
      <c r="AE11" s="12">
        <f t="shared" si="11"/>
        <v>0</v>
      </c>
    </row>
    <row r="12" spans="2:31">
      <c r="B12" s="19">
        <f t="shared" si="0"/>
        <v>24</v>
      </c>
      <c r="C12" s="20"/>
      <c r="D12" s="20">
        <v>30</v>
      </c>
      <c r="E12" s="20">
        <v>10</v>
      </c>
      <c r="F12" s="20">
        <v>2</v>
      </c>
      <c r="G12" s="20"/>
      <c r="H12" s="20"/>
      <c r="I12" s="20"/>
      <c r="J12" s="20"/>
      <c r="K12" s="20"/>
      <c r="L12" s="20"/>
      <c r="M12" s="20"/>
      <c r="N12" s="20"/>
      <c r="O12" s="19">
        <f t="shared" si="13"/>
        <v>42</v>
      </c>
      <c r="T12" s="12">
        <f t="shared" si="1"/>
        <v>24</v>
      </c>
      <c r="U12" s="12">
        <f t="shared" si="12"/>
        <v>0</v>
      </c>
      <c r="V12" s="12">
        <f t="shared" si="2"/>
        <v>0.23809523809523808</v>
      </c>
      <c r="W12" s="12">
        <f t="shared" si="3"/>
        <v>4.7393364928909949E-2</v>
      </c>
      <c r="X12" s="12">
        <f t="shared" si="4"/>
        <v>8.9686098654708519E-3</v>
      </c>
      <c r="Y12" s="12">
        <f t="shared" si="5"/>
        <v>0</v>
      </c>
      <c r="Z12" s="12">
        <f t="shared" si="6"/>
        <v>0</v>
      </c>
      <c r="AA12" s="12">
        <f t="shared" si="7"/>
        <v>0</v>
      </c>
      <c r="AB12" s="12">
        <f t="shared" si="8"/>
        <v>0</v>
      </c>
      <c r="AC12" s="12">
        <f t="shared" si="9"/>
        <v>0</v>
      </c>
      <c r="AD12" s="12">
        <f t="shared" si="10"/>
        <v>0</v>
      </c>
      <c r="AE12" s="12">
        <f t="shared" si="11"/>
        <v>0</v>
      </c>
    </row>
    <row r="13" spans="2:31">
      <c r="B13" s="19">
        <v>25</v>
      </c>
      <c r="C13" s="20"/>
      <c r="D13" s="20">
        <v>20</v>
      </c>
      <c r="E13" s="20">
        <v>32</v>
      </c>
      <c r="F13" s="20">
        <v>3</v>
      </c>
      <c r="G13" s="20"/>
      <c r="I13" s="20"/>
      <c r="J13" s="20"/>
      <c r="K13" s="20"/>
      <c r="L13" s="20"/>
      <c r="M13" s="20"/>
      <c r="N13" s="20"/>
      <c r="O13" s="19">
        <f t="shared" si="13"/>
        <v>55</v>
      </c>
      <c r="T13" s="12">
        <f t="shared" si="1"/>
        <v>25</v>
      </c>
      <c r="U13" s="12">
        <f t="shared" si="12"/>
        <v>0</v>
      </c>
      <c r="V13" s="12">
        <f t="shared" si="2"/>
        <v>0.15873015873015872</v>
      </c>
      <c r="W13" s="12">
        <f t="shared" si="3"/>
        <v>0.15165876777251186</v>
      </c>
      <c r="X13" s="12">
        <f t="shared" si="4"/>
        <v>1.3452914798206279E-2</v>
      </c>
      <c r="Y13" s="12">
        <f t="shared" si="5"/>
        <v>0</v>
      </c>
      <c r="Z13" s="12">
        <f t="shared" si="6"/>
        <v>0</v>
      </c>
      <c r="AA13" s="12">
        <f t="shared" si="7"/>
        <v>0</v>
      </c>
      <c r="AB13" s="12">
        <f t="shared" si="8"/>
        <v>0</v>
      </c>
      <c r="AC13" s="12">
        <f t="shared" si="9"/>
        <v>0</v>
      </c>
      <c r="AD13" s="12">
        <f t="shared" si="10"/>
        <v>0</v>
      </c>
      <c r="AE13" s="12">
        <f t="shared" si="11"/>
        <v>0</v>
      </c>
    </row>
    <row r="14" spans="2:31">
      <c r="B14" s="19">
        <v>26</v>
      </c>
      <c r="C14" s="20"/>
      <c r="D14" s="20">
        <v>11</v>
      </c>
      <c r="E14" s="20">
        <v>55</v>
      </c>
      <c r="F14" s="20">
        <v>9</v>
      </c>
      <c r="G14" s="20"/>
      <c r="I14" s="20"/>
      <c r="J14" s="20"/>
      <c r="K14" s="20"/>
      <c r="L14" s="20"/>
      <c r="M14" s="20"/>
      <c r="N14" s="20"/>
      <c r="O14" s="19">
        <f t="shared" si="13"/>
        <v>75</v>
      </c>
      <c r="T14" s="12">
        <f t="shared" si="1"/>
        <v>26</v>
      </c>
      <c r="U14" s="12">
        <f t="shared" si="12"/>
        <v>0</v>
      </c>
      <c r="V14" s="12">
        <f t="shared" si="2"/>
        <v>8.7301587301587297E-2</v>
      </c>
      <c r="W14" s="12">
        <f t="shared" si="3"/>
        <v>0.26066350710900477</v>
      </c>
      <c r="X14" s="12">
        <f t="shared" si="4"/>
        <v>4.0358744394618833E-2</v>
      </c>
      <c r="Y14" s="12">
        <f t="shared" si="5"/>
        <v>0</v>
      </c>
      <c r="Z14" s="12">
        <f t="shared" si="6"/>
        <v>0</v>
      </c>
      <c r="AA14" s="12">
        <f t="shared" si="7"/>
        <v>0</v>
      </c>
      <c r="AB14" s="12">
        <f t="shared" si="8"/>
        <v>0</v>
      </c>
      <c r="AC14" s="12">
        <f t="shared" si="9"/>
        <v>0</v>
      </c>
      <c r="AD14" s="12">
        <f t="shared" si="10"/>
        <v>0</v>
      </c>
      <c r="AE14" s="12">
        <f t="shared" si="11"/>
        <v>0</v>
      </c>
    </row>
    <row r="15" spans="2:31">
      <c r="B15" s="19">
        <v>27</v>
      </c>
      <c r="C15" s="20"/>
      <c r="D15" s="20">
        <v>6</v>
      </c>
      <c r="E15" s="20">
        <v>39</v>
      </c>
      <c r="F15" s="23">
        <v>17</v>
      </c>
      <c r="G15" s="20">
        <v>1</v>
      </c>
      <c r="H15" s="20"/>
      <c r="I15" s="20"/>
      <c r="J15" s="20"/>
      <c r="K15" s="20"/>
      <c r="L15" s="20"/>
      <c r="M15" s="20"/>
      <c r="N15" s="20"/>
      <c r="O15" s="19">
        <f t="shared" si="13"/>
        <v>63</v>
      </c>
      <c r="T15" s="12">
        <f t="shared" si="1"/>
        <v>27</v>
      </c>
      <c r="U15" s="12">
        <f t="shared" si="12"/>
        <v>0</v>
      </c>
      <c r="V15" s="12">
        <f t="shared" si="2"/>
        <v>4.7619047619047616E-2</v>
      </c>
      <c r="W15" s="12">
        <f t="shared" si="3"/>
        <v>0.18483412322274881</v>
      </c>
      <c r="X15" s="12">
        <f t="shared" si="4"/>
        <v>7.623318385650224E-2</v>
      </c>
      <c r="Y15" s="12">
        <f t="shared" si="5"/>
        <v>3.9840637450199202E-3</v>
      </c>
      <c r="Z15" s="12">
        <f t="shared" si="6"/>
        <v>0</v>
      </c>
      <c r="AA15" s="12">
        <f t="shared" si="7"/>
        <v>0</v>
      </c>
      <c r="AB15" s="12">
        <f t="shared" si="8"/>
        <v>0</v>
      </c>
      <c r="AC15" s="12">
        <f t="shared" si="9"/>
        <v>0</v>
      </c>
      <c r="AD15" s="12">
        <f t="shared" si="10"/>
        <v>0</v>
      </c>
      <c r="AE15" s="12">
        <f t="shared" si="11"/>
        <v>0</v>
      </c>
    </row>
    <row r="16" spans="2:31">
      <c r="B16" s="19">
        <v>28</v>
      </c>
      <c r="C16" s="20"/>
      <c r="D16" s="20"/>
      <c r="E16" s="20">
        <v>29</v>
      </c>
      <c r="F16" s="23">
        <v>39</v>
      </c>
      <c r="G16" s="20">
        <v>2</v>
      </c>
      <c r="H16" s="20"/>
      <c r="I16" s="20"/>
      <c r="J16" s="20"/>
      <c r="K16" s="20"/>
      <c r="L16" s="20"/>
      <c r="M16" s="20"/>
      <c r="N16" s="20"/>
      <c r="O16" s="19">
        <f t="shared" si="13"/>
        <v>70</v>
      </c>
      <c r="T16" s="12">
        <f t="shared" si="1"/>
        <v>28</v>
      </c>
      <c r="U16" s="12">
        <f t="shared" si="12"/>
        <v>0</v>
      </c>
      <c r="V16" s="12">
        <f t="shared" si="2"/>
        <v>0</v>
      </c>
      <c r="W16" s="12">
        <f t="shared" si="3"/>
        <v>0.13744075829383887</v>
      </c>
      <c r="X16" s="12">
        <f t="shared" si="4"/>
        <v>0.17488789237668162</v>
      </c>
      <c r="Y16" s="12">
        <f t="shared" si="5"/>
        <v>7.9681274900398405E-3</v>
      </c>
      <c r="Z16" s="12">
        <f t="shared" si="6"/>
        <v>0</v>
      </c>
      <c r="AA16" s="12">
        <f t="shared" si="7"/>
        <v>0</v>
      </c>
      <c r="AB16" s="12">
        <f t="shared" si="8"/>
        <v>0</v>
      </c>
      <c r="AC16" s="12">
        <f t="shared" si="9"/>
        <v>0</v>
      </c>
      <c r="AD16" s="12">
        <f t="shared" si="10"/>
        <v>0</v>
      </c>
      <c r="AE16" s="12">
        <f t="shared" si="11"/>
        <v>0</v>
      </c>
    </row>
    <row r="17" spans="2:31">
      <c r="B17" s="19">
        <v>29</v>
      </c>
      <c r="C17" s="20"/>
      <c r="D17" s="23"/>
      <c r="E17" s="23">
        <v>24</v>
      </c>
      <c r="F17" s="23">
        <v>34</v>
      </c>
      <c r="G17" s="23">
        <v>24</v>
      </c>
      <c r="H17" s="20">
        <v>1</v>
      </c>
      <c r="I17" s="23"/>
      <c r="J17" s="23"/>
      <c r="K17" s="23"/>
      <c r="L17" s="23"/>
      <c r="M17" s="23"/>
      <c r="N17" s="23"/>
      <c r="O17" s="19">
        <f t="shared" si="13"/>
        <v>83</v>
      </c>
      <c r="T17" s="12">
        <f t="shared" si="1"/>
        <v>29</v>
      </c>
      <c r="U17" s="12">
        <f t="shared" si="12"/>
        <v>0</v>
      </c>
      <c r="V17" s="12">
        <f t="shared" si="2"/>
        <v>0</v>
      </c>
      <c r="W17" s="12">
        <f t="shared" si="3"/>
        <v>0.11374407582938388</v>
      </c>
      <c r="X17" s="12">
        <f t="shared" si="4"/>
        <v>0.15246636771300448</v>
      </c>
      <c r="Y17" s="12">
        <f t="shared" si="5"/>
        <v>9.5617529880478086E-2</v>
      </c>
      <c r="Z17" s="12">
        <f t="shared" si="6"/>
        <v>3.3003300330033004E-3</v>
      </c>
      <c r="AA17" s="12">
        <f t="shared" si="7"/>
        <v>0</v>
      </c>
      <c r="AB17" s="12">
        <f t="shared" si="8"/>
        <v>0</v>
      </c>
      <c r="AC17" s="12">
        <f t="shared" si="9"/>
        <v>0</v>
      </c>
      <c r="AD17" s="12">
        <f t="shared" si="10"/>
        <v>0</v>
      </c>
      <c r="AE17" s="12">
        <f t="shared" si="11"/>
        <v>0</v>
      </c>
    </row>
    <row r="18" spans="2:31">
      <c r="B18" s="19">
        <v>30</v>
      </c>
      <c r="C18" s="20"/>
      <c r="D18" s="20">
        <v>1</v>
      </c>
      <c r="E18" s="23">
        <v>6</v>
      </c>
      <c r="F18" s="23">
        <v>39</v>
      </c>
      <c r="G18" s="23">
        <v>41</v>
      </c>
      <c r="H18" s="20">
        <v>15</v>
      </c>
      <c r="I18" s="23">
        <v>2</v>
      </c>
      <c r="J18" s="23"/>
      <c r="K18" s="23"/>
      <c r="L18" s="23"/>
      <c r="M18" s="23"/>
      <c r="N18" s="23"/>
      <c r="O18" s="19">
        <f t="shared" si="13"/>
        <v>104</v>
      </c>
      <c r="T18" s="12">
        <f t="shared" si="1"/>
        <v>30</v>
      </c>
      <c r="U18" s="12">
        <f t="shared" si="12"/>
        <v>0</v>
      </c>
      <c r="V18" s="12">
        <f t="shared" si="2"/>
        <v>7.9365079365079361E-3</v>
      </c>
      <c r="W18" s="12">
        <f t="shared" si="3"/>
        <v>2.843601895734597E-2</v>
      </c>
      <c r="X18" s="12">
        <f t="shared" si="4"/>
        <v>0.17488789237668162</v>
      </c>
      <c r="Y18" s="12">
        <f t="shared" si="5"/>
        <v>0.16334661354581673</v>
      </c>
      <c r="Z18" s="12">
        <f t="shared" si="6"/>
        <v>4.9504950495049507E-2</v>
      </c>
      <c r="AA18" s="12">
        <f t="shared" si="7"/>
        <v>5.6980056980056983E-3</v>
      </c>
      <c r="AB18" s="12">
        <f t="shared" si="8"/>
        <v>0</v>
      </c>
      <c r="AC18" s="12">
        <f t="shared" si="9"/>
        <v>0</v>
      </c>
      <c r="AD18" s="12">
        <f t="shared" si="10"/>
        <v>0</v>
      </c>
      <c r="AE18" s="12">
        <f t="shared" si="11"/>
        <v>0</v>
      </c>
    </row>
    <row r="19" spans="2:31">
      <c r="B19" s="19">
        <v>31</v>
      </c>
      <c r="C19" s="20"/>
      <c r="D19" s="20"/>
      <c r="E19" s="23">
        <v>1</v>
      </c>
      <c r="F19" s="20">
        <v>36</v>
      </c>
      <c r="G19" s="23">
        <v>37</v>
      </c>
      <c r="H19" s="23">
        <v>13</v>
      </c>
      <c r="I19" s="23"/>
      <c r="J19" s="23"/>
      <c r="K19" s="23"/>
      <c r="M19" s="23"/>
      <c r="N19" s="23"/>
      <c r="O19" s="19">
        <f t="shared" si="13"/>
        <v>87</v>
      </c>
      <c r="T19" s="12">
        <f t="shared" si="1"/>
        <v>31</v>
      </c>
      <c r="U19" s="12">
        <f t="shared" si="12"/>
        <v>0</v>
      </c>
      <c r="V19" s="12">
        <f t="shared" si="2"/>
        <v>0</v>
      </c>
      <c r="W19" s="12">
        <f t="shared" si="3"/>
        <v>4.7393364928909956E-3</v>
      </c>
      <c r="X19" s="12">
        <f t="shared" si="4"/>
        <v>0.16143497757847533</v>
      </c>
      <c r="Y19" s="12">
        <f t="shared" si="5"/>
        <v>0.14741035856573706</v>
      </c>
      <c r="Z19" s="12">
        <f t="shared" si="6"/>
        <v>4.2904290429042903E-2</v>
      </c>
      <c r="AA19" s="12">
        <f t="shared" si="7"/>
        <v>0</v>
      </c>
      <c r="AB19" s="12">
        <f t="shared" si="8"/>
        <v>0</v>
      </c>
      <c r="AC19" s="12">
        <f t="shared" si="9"/>
        <v>0</v>
      </c>
      <c r="AD19" s="12">
        <f t="shared" si="10"/>
        <v>0</v>
      </c>
      <c r="AE19" s="12">
        <f t="shared" si="11"/>
        <v>0</v>
      </c>
    </row>
    <row r="20" spans="2:31">
      <c r="B20" s="19">
        <v>32</v>
      </c>
      <c r="C20" s="20"/>
      <c r="D20" s="20"/>
      <c r="E20" s="23">
        <v>2</v>
      </c>
      <c r="F20" s="23">
        <v>16</v>
      </c>
      <c r="G20" s="23">
        <v>30</v>
      </c>
      <c r="H20" s="23">
        <v>21</v>
      </c>
      <c r="I20" s="23">
        <v>2</v>
      </c>
      <c r="J20" s="23"/>
      <c r="K20" s="23"/>
      <c r="L20" s="23"/>
      <c r="M20" s="23"/>
      <c r="N20" s="23"/>
      <c r="O20" s="19">
        <f t="shared" si="13"/>
        <v>71</v>
      </c>
      <c r="T20" s="12">
        <f t="shared" si="1"/>
        <v>32</v>
      </c>
      <c r="U20" s="12">
        <f t="shared" si="12"/>
        <v>0</v>
      </c>
      <c r="V20" s="12">
        <f t="shared" si="2"/>
        <v>0</v>
      </c>
      <c r="W20" s="12">
        <f t="shared" si="3"/>
        <v>9.4786729857819912E-3</v>
      </c>
      <c r="X20" s="12">
        <f t="shared" si="4"/>
        <v>7.1748878923766815E-2</v>
      </c>
      <c r="Y20" s="12">
        <f t="shared" si="5"/>
        <v>0.11952191235059761</v>
      </c>
      <c r="Z20" s="12">
        <f t="shared" si="6"/>
        <v>6.9306930693069313E-2</v>
      </c>
      <c r="AA20" s="12">
        <f t="shared" si="7"/>
        <v>5.6980056980056983E-3</v>
      </c>
      <c r="AB20" s="12">
        <f t="shared" si="8"/>
        <v>0</v>
      </c>
      <c r="AC20" s="12">
        <f t="shared" si="9"/>
        <v>0</v>
      </c>
      <c r="AD20" s="12">
        <f t="shared" si="10"/>
        <v>0</v>
      </c>
      <c r="AE20" s="12">
        <f t="shared" si="11"/>
        <v>0</v>
      </c>
    </row>
    <row r="21" spans="2:31">
      <c r="B21" s="19">
        <v>33</v>
      </c>
      <c r="C21" s="20"/>
      <c r="D21" s="20"/>
      <c r="E21" s="23">
        <v>2</v>
      </c>
      <c r="F21" s="23">
        <v>8</v>
      </c>
      <c r="G21" s="23">
        <v>27</v>
      </c>
      <c r="H21" s="23">
        <v>27</v>
      </c>
      <c r="I21" s="23">
        <v>2</v>
      </c>
      <c r="J21" s="23"/>
      <c r="K21" s="23"/>
      <c r="L21" s="23"/>
      <c r="M21" s="23"/>
      <c r="N21" s="23"/>
      <c r="O21" s="19">
        <f t="shared" si="13"/>
        <v>66</v>
      </c>
      <c r="T21" s="12">
        <f t="shared" si="1"/>
        <v>33</v>
      </c>
      <c r="U21" s="12">
        <f t="shared" si="12"/>
        <v>0</v>
      </c>
      <c r="V21" s="12">
        <f t="shared" si="2"/>
        <v>0</v>
      </c>
      <c r="W21" s="12">
        <f t="shared" si="3"/>
        <v>9.4786729857819912E-3</v>
      </c>
      <c r="X21" s="12">
        <f t="shared" si="4"/>
        <v>3.5874439461883408E-2</v>
      </c>
      <c r="Y21" s="12">
        <f t="shared" si="5"/>
        <v>0.10756972111553785</v>
      </c>
      <c r="Z21" s="12">
        <f t="shared" si="6"/>
        <v>8.9108910891089105E-2</v>
      </c>
      <c r="AA21" s="12">
        <f t="shared" si="7"/>
        <v>5.6980056980056983E-3</v>
      </c>
      <c r="AB21" s="12">
        <f t="shared" si="8"/>
        <v>0</v>
      </c>
      <c r="AC21" s="12">
        <f t="shared" si="9"/>
        <v>0</v>
      </c>
      <c r="AD21" s="12">
        <f t="shared" si="10"/>
        <v>0</v>
      </c>
      <c r="AE21" s="12">
        <f t="shared" si="11"/>
        <v>0</v>
      </c>
    </row>
    <row r="22" spans="2:31">
      <c r="B22" s="19">
        <v>34</v>
      </c>
      <c r="C22" s="20"/>
      <c r="D22" s="20"/>
      <c r="E22" s="20">
        <v>4</v>
      </c>
      <c r="F22" s="23">
        <v>6</v>
      </c>
      <c r="G22" s="23">
        <v>23</v>
      </c>
      <c r="H22" s="23">
        <v>27</v>
      </c>
      <c r="I22" s="23">
        <v>4</v>
      </c>
      <c r="J22" s="23"/>
      <c r="K22" s="23"/>
      <c r="L22" s="23"/>
      <c r="M22" s="23"/>
      <c r="N22" s="23"/>
      <c r="O22" s="19">
        <f t="shared" si="13"/>
        <v>64</v>
      </c>
      <c r="T22" s="12">
        <f t="shared" si="1"/>
        <v>34</v>
      </c>
      <c r="U22" s="12">
        <f t="shared" si="12"/>
        <v>0</v>
      </c>
      <c r="V22" s="12">
        <f t="shared" si="2"/>
        <v>0</v>
      </c>
      <c r="W22" s="12">
        <f t="shared" si="3"/>
        <v>1.8957345971563982E-2</v>
      </c>
      <c r="X22" s="12">
        <f t="shared" si="4"/>
        <v>2.6905829596412557E-2</v>
      </c>
      <c r="Y22" s="12">
        <f t="shared" si="5"/>
        <v>9.1633466135458169E-2</v>
      </c>
      <c r="Z22" s="12">
        <f t="shared" si="6"/>
        <v>8.9108910891089105E-2</v>
      </c>
      <c r="AA22" s="12">
        <f t="shared" si="7"/>
        <v>1.1396011396011397E-2</v>
      </c>
      <c r="AB22" s="12">
        <f t="shared" si="8"/>
        <v>0</v>
      </c>
      <c r="AC22" s="12">
        <f t="shared" si="9"/>
        <v>0</v>
      </c>
      <c r="AD22" s="12">
        <f t="shared" si="10"/>
        <v>0</v>
      </c>
      <c r="AE22" s="12">
        <f t="shared" si="11"/>
        <v>0</v>
      </c>
    </row>
    <row r="23" spans="2:31">
      <c r="B23" s="19">
        <v>35</v>
      </c>
      <c r="C23" s="20"/>
      <c r="D23" s="20"/>
      <c r="E23" s="20"/>
      <c r="F23" s="23">
        <v>8</v>
      </c>
      <c r="G23" s="23">
        <v>21</v>
      </c>
      <c r="H23" s="23">
        <v>34</v>
      </c>
      <c r="I23" s="23">
        <v>12</v>
      </c>
      <c r="J23" s="23"/>
      <c r="K23" s="23"/>
      <c r="L23" s="23"/>
      <c r="M23" s="23"/>
      <c r="N23" s="23"/>
      <c r="O23" s="19">
        <f t="shared" si="13"/>
        <v>75</v>
      </c>
      <c r="T23" s="12">
        <f t="shared" si="1"/>
        <v>35</v>
      </c>
      <c r="U23" s="12">
        <f t="shared" si="12"/>
        <v>0</v>
      </c>
      <c r="V23" s="12">
        <f t="shared" si="2"/>
        <v>0</v>
      </c>
      <c r="W23" s="12">
        <f t="shared" si="3"/>
        <v>0</v>
      </c>
      <c r="X23" s="12">
        <f t="shared" si="4"/>
        <v>3.5874439461883408E-2</v>
      </c>
      <c r="Y23" s="12">
        <f t="shared" si="5"/>
        <v>8.3665338645418322E-2</v>
      </c>
      <c r="Z23" s="12">
        <f t="shared" si="6"/>
        <v>0.11221122112211221</v>
      </c>
      <c r="AA23" s="12">
        <f t="shared" si="7"/>
        <v>3.4188034188034191E-2</v>
      </c>
      <c r="AB23" s="12">
        <f t="shared" si="8"/>
        <v>0</v>
      </c>
      <c r="AC23" s="12">
        <f t="shared" si="9"/>
        <v>0</v>
      </c>
      <c r="AD23" s="12">
        <f t="shared" si="10"/>
        <v>0</v>
      </c>
      <c r="AE23" s="12">
        <f t="shared" si="11"/>
        <v>0</v>
      </c>
    </row>
    <row r="24" spans="2:31">
      <c r="B24" s="19">
        <v>36</v>
      </c>
      <c r="C24" s="20"/>
      <c r="D24" s="20"/>
      <c r="E24" s="20"/>
      <c r="F24" s="23">
        <v>3</v>
      </c>
      <c r="G24" s="23">
        <v>13</v>
      </c>
      <c r="H24" s="23">
        <v>36</v>
      </c>
      <c r="I24" s="23">
        <v>27</v>
      </c>
      <c r="J24" s="23">
        <v>2</v>
      </c>
      <c r="K24" s="23"/>
      <c r="L24" s="23"/>
      <c r="M24" s="23"/>
      <c r="N24" s="23"/>
      <c r="O24" s="19">
        <f t="shared" si="13"/>
        <v>81</v>
      </c>
      <c r="T24" s="12">
        <f t="shared" si="1"/>
        <v>36</v>
      </c>
      <c r="U24" s="12">
        <f t="shared" si="12"/>
        <v>0</v>
      </c>
      <c r="V24" s="12">
        <f t="shared" si="2"/>
        <v>0</v>
      </c>
      <c r="W24" s="12">
        <f t="shared" si="3"/>
        <v>0</v>
      </c>
      <c r="X24" s="12">
        <f t="shared" si="4"/>
        <v>1.3452914798206279E-2</v>
      </c>
      <c r="Y24" s="12">
        <f t="shared" si="5"/>
        <v>5.1792828685258967E-2</v>
      </c>
      <c r="Z24" s="12">
        <f t="shared" si="6"/>
        <v>0.11881188118811881</v>
      </c>
      <c r="AA24" s="12">
        <f t="shared" si="7"/>
        <v>7.6923076923076927E-2</v>
      </c>
      <c r="AB24" s="12">
        <f t="shared" si="8"/>
        <v>7.3800738007380072E-3</v>
      </c>
      <c r="AC24" s="12">
        <f t="shared" si="9"/>
        <v>0</v>
      </c>
      <c r="AD24" s="12">
        <f t="shared" si="10"/>
        <v>0</v>
      </c>
      <c r="AE24" s="12">
        <f t="shared" si="11"/>
        <v>0</v>
      </c>
    </row>
    <row r="25" spans="2:31">
      <c r="B25" s="19">
        <v>37</v>
      </c>
      <c r="C25" s="20"/>
      <c r="D25" s="20"/>
      <c r="E25" s="20"/>
      <c r="F25" s="23">
        <v>2</v>
      </c>
      <c r="G25" s="23">
        <v>13</v>
      </c>
      <c r="H25" s="23">
        <v>32</v>
      </c>
      <c r="I25" s="23">
        <v>32</v>
      </c>
      <c r="J25" s="23">
        <v>7</v>
      </c>
      <c r="K25" s="23"/>
      <c r="L25" s="23"/>
      <c r="M25" s="23"/>
      <c r="N25" s="23"/>
      <c r="O25" s="19">
        <f t="shared" si="13"/>
        <v>86</v>
      </c>
      <c r="T25" s="12">
        <f t="shared" si="1"/>
        <v>37</v>
      </c>
      <c r="U25" s="12">
        <f t="shared" si="12"/>
        <v>0</v>
      </c>
      <c r="V25" s="12">
        <f t="shared" si="2"/>
        <v>0</v>
      </c>
      <c r="W25" s="12">
        <f t="shared" si="3"/>
        <v>0</v>
      </c>
      <c r="X25" s="12">
        <f t="shared" si="4"/>
        <v>8.9686098654708519E-3</v>
      </c>
      <c r="Y25" s="12">
        <f t="shared" si="5"/>
        <v>5.1792828685258967E-2</v>
      </c>
      <c r="Z25" s="12">
        <f t="shared" si="6"/>
        <v>0.10561056105610561</v>
      </c>
      <c r="AA25" s="12">
        <f t="shared" si="7"/>
        <v>9.1168091168091173E-2</v>
      </c>
      <c r="AB25" s="12">
        <f t="shared" si="8"/>
        <v>2.5830258302583026E-2</v>
      </c>
      <c r="AC25" s="12">
        <f t="shared" si="9"/>
        <v>0</v>
      </c>
      <c r="AD25" s="12">
        <f t="shared" si="10"/>
        <v>0</v>
      </c>
      <c r="AE25" s="12">
        <f t="shared" si="11"/>
        <v>0</v>
      </c>
    </row>
    <row r="26" spans="2:31">
      <c r="B26" s="19">
        <v>38</v>
      </c>
      <c r="C26" s="20"/>
      <c r="D26" s="20"/>
      <c r="E26" s="20"/>
      <c r="F26" s="20">
        <v>1</v>
      </c>
      <c r="G26" s="23">
        <v>11</v>
      </c>
      <c r="H26" s="23">
        <v>26</v>
      </c>
      <c r="I26" s="23">
        <v>32</v>
      </c>
      <c r="J26" s="23">
        <v>13</v>
      </c>
      <c r="K26" s="23"/>
      <c r="L26" s="23"/>
      <c r="M26" s="23"/>
      <c r="N26" s="23"/>
      <c r="O26" s="19">
        <f t="shared" si="13"/>
        <v>83</v>
      </c>
      <c r="T26" s="12">
        <f t="shared" si="1"/>
        <v>38</v>
      </c>
      <c r="U26" s="12">
        <f t="shared" si="12"/>
        <v>0</v>
      </c>
      <c r="V26" s="12">
        <f t="shared" si="2"/>
        <v>0</v>
      </c>
      <c r="W26" s="12">
        <f t="shared" si="3"/>
        <v>0</v>
      </c>
      <c r="X26" s="12">
        <f t="shared" si="4"/>
        <v>4.4843049327354259E-3</v>
      </c>
      <c r="Y26" s="12">
        <f t="shared" si="5"/>
        <v>4.3824701195219126E-2</v>
      </c>
      <c r="Z26" s="12">
        <f t="shared" si="6"/>
        <v>8.5808580858085806E-2</v>
      </c>
      <c r="AA26" s="12">
        <f t="shared" si="7"/>
        <v>9.1168091168091173E-2</v>
      </c>
      <c r="AB26" s="12">
        <f t="shared" si="8"/>
        <v>4.797047970479705E-2</v>
      </c>
      <c r="AC26" s="12">
        <f t="shared" si="9"/>
        <v>0</v>
      </c>
      <c r="AD26" s="12">
        <f t="shared" si="10"/>
        <v>0</v>
      </c>
      <c r="AE26" s="12">
        <f t="shared" si="11"/>
        <v>0</v>
      </c>
    </row>
    <row r="27" spans="2:31">
      <c r="B27" s="19">
        <v>39</v>
      </c>
      <c r="C27" s="20"/>
      <c r="D27" s="20"/>
      <c r="E27" s="20"/>
      <c r="F27" s="20"/>
      <c r="G27" s="23">
        <v>6</v>
      </c>
      <c r="H27" s="23">
        <v>19</v>
      </c>
      <c r="I27" s="23">
        <v>41</v>
      </c>
      <c r="J27" s="23">
        <v>17</v>
      </c>
      <c r="K27" s="23">
        <v>1</v>
      </c>
      <c r="L27" s="23"/>
      <c r="M27" s="23"/>
      <c r="N27" s="23"/>
      <c r="O27" s="19">
        <f t="shared" si="13"/>
        <v>84</v>
      </c>
      <c r="T27" s="12">
        <f t="shared" si="1"/>
        <v>39</v>
      </c>
      <c r="U27" s="12">
        <f t="shared" si="12"/>
        <v>0</v>
      </c>
      <c r="V27" s="12">
        <f t="shared" si="2"/>
        <v>0</v>
      </c>
      <c r="W27" s="12">
        <f t="shared" si="3"/>
        <v>0</v>
      </c>
      <c r="X27" s="12">
        <f t="shared" si="4"/>
        <v>0</v>
      </c>
      <c r="Y27" s="12">
        <f t="shared" si="5"/>
        <v>2.3904382470119521E-2</v>
      </c>
      <c r="Z27" s="12">
        <f t="shared" si="6"/>
        <v>6.2706270627062702E-2</v>
      </c>
      <c r="AA27" s="12">
        <f t="shared" si="7"/>
        <v>0.11680911680911681</v>
      </c>
      <c r="AB27" s="12">
        <f t="shared" si="8"/>
        <v>6.273062730627306E-2</v>
      </c>
      <c r="AC27" s="12">
        <f t="shared" si="9"/>
        <v>4.1666666666666666E-3</v>
      </c>
      <c r="AD27" s="12">
        <f t="shared" si="10"/>
        <v>0</v>
      </c>
      <c r="AE27" s="12">
        <f t="shared" si="11"/>
        <v>0</v>
      </c>
    </row>
    <row r="28" spans="2:31">
      <c r="B28" s="19">
        <v>40</v>
      </c>
      <c r="C28" s="20"/>
      <c r="D28" s="20"/>
      <c r="E28" s="20"/>
      <c r="F28" s="20"/>
      <c r="G28" s="20">
        <v>1</v>
      </c>
      <c r="H28" s="20">
        <v>23</v>
      </c>
      <c r="I28" s="20">
        <v>34</v>
      </c>
      <c r="J28" s="20">
        <v>20</v>
      </c>
      <c r="K28" s="20">
        <v>5</v>
      </c>
      <c r="M28" s="20"/>
      <c r="N28" s="20"/>
      <c r="O28" s="19">
        <f t="shared" si="13"/>
        <v>83</v>
      </c>
      <c r="T28" s="12">
        <f t="shared" si="1"/>
        <v>40</v>
      </c>
      <c r="U28" s="12">
        <f t="shared" si="12"/>
        <v>0</v>
      </c>
      <c r="V28" s="12">
        <f t="shared" si="2"/>
        <v>0</v>
      </c>
      <c r="W28" s="12">
        <f t="shared" si="3"/>
        <v>0</v>
      </c>
      <c r="X28" s="12">
        <f t="shared" si="4"/>
        <v>0</v>
      </c>
      <c r="Y28" s="12">
        <f t="shared" si="5"/>
        <v>3.9840637450199202E-3</v>
      </c>
      <c r="Z28" s="12">
        <f t="shared" si="6"/>
        <v>7.590759075907591E-2</v>
      </c>
      <c r="AA28" s="12">
        <f t="shared" si="7"/>
        <v>9.686609686609686E-2</v>
      </c>
      <c r="AB28" s="12">
        <f t="shared" si="8"/>
        <v>7.3800738007380073E-2</v>
      </c>
      <c r="AC28" s="12">
        <f t="shared" si="9"/>
        <v>2.0833333333333332E-2</v>
      </c>
      <c r="AD28" s="12">
        <f t="shared" si="10"/>
        <v>0</v>
      </c>
      <c r="AE28" s="12">
        <f t="shared" si="11"/>
        <v>0</v>
      </c>
    </row>
    <row r="29" spans="2:31">
      <c r="B29" s="19">
        <v>41</v>
      </c>
      <c r="C29" s="20"/>
      <c r="D29" s="20"/>
      <c r="E29" s="20"/>
      <c r="F29" s="20"/>
      <c r="G29" s="20"/>
      <c r="H29" s="20">
        <v>15</v>
      </c>
      <c r="I29" s="20">
        <v>40</v>
      </c>
      <c r="J29" s="20">
        <v>17</v>
      </c>
      <c r="K29" s="20">
        <v>4</v>
      </c>
      <c r="L29" s="20">
        <v>1</v>
      </c>
      <c r="M29" s="20"/>
      <c r="N29" s="20"/>
      <c r="O29" s="19">
        <f t="shared" si="13"/>
        <v>77</v>
      </c>
      <c r="T29" s="12">
        <f t="shared" si="1"/>
        <v>41</v>
      </c>
      <c r="U29" s="12">
        <f t="shared" si="12"/>
        <v>0</v>
      </c>
      <c r="V29" s="12">
        <f t="shared" si="2"/>
        <v>0</v>
      </c>
      <c r="W29" s="12">
        <f t="shared" si="3"/>
        <v>0</v>
      </c>
      <c r="X29" s="12">
        <f t="shared" si="4"/>
        <v>0</v>
      </c>
      <c r="Y29" s="12">
        <f t="shared" si="5"/>
        <v>0</v>
      </c>
      <c r="Z29" s="12">
        <f t="shared" si="6"/>
        <v>4.9504950495049507E-2</v>
      </c>
      <c r="AA29" s="12">
        <f t="shared" si="7"/>
        <v>0.11396011396011396</v>
      </c>
      <c r="AB29" s="12">
        <f t="shared" si="8"/>
        <v>6.273062730627306E-2</v>
      </c>
      <c r="AC29" s="12">
        <f t="shared" si="9"/>
        <v>1.6666666666666666E-2</v>
      </c>
      <c r="AD29" s="12">
        <f t="shared" si="10"/>
        <v>5.9880239520958087E-3</v>
      </c>
      <c r="AE29" s="12">
        <f t="shared" si="11"/>
        <v>0</v>
      </c>
    </row>
    <row r="30" spans="2:31">
      <c r="B30" s="19">
        <v>42</v>
      </c>
      <c r="C30" s="20"/>
      <c r="D30" s="20"/>
      <c r="E30" s="20"/>
      <c r="F30" s="20"/>
      <c r="G30" s="23"/>
      <c r="H30" s="23">
        <v>5</v>
      </c>
      <c r="I30" s="23">
        <v>24</v>
      </c>
      <c r="J30" s="23">
        <v>29</v>
      </c>
      <c r="K30" s="23">
        <v>7</v>
      </c>
      <c r="L30" s="20"/>
      <c r="M30" s="23"/>
      <c r="N30" s="23"/>
      <c r="O30" s="19">
        <f t="shared" si="13"/>
        <v>65</v>
      </c>
      <c r="T30" s="12">
        <f t="shared" si="1"/>
        <v>42</v>
      </c>
      <c r="U30" s="12">
        <f t="shared" si="12"/>
        <v>0</v>
      </c>
      <c r="V30" s="12">
        <f t="shared" si="2"/>
        <v>0</v>
      </c>
      <c r="W30" s="12">
        <f t="shared" si="3"/>
        <v>0</v>
      </c>
      <c r="X30" s="12">
        <f t="shared" si="4"/>
        <v>0</v>
      </c>
      <c r="Y30" s="12">
        <f t="shared" si="5"/>
        <v>0</v>
      </c>
      <c r="Z30" s="12">
        <f t="shared" si="6"/>
        <v>1.65016501650165E-2</v>
      </c>
      <c r="AA30" s="12">
        <f t="shared" si="7"/>
        <v>6.8376068376068383E-2</v>
      </c>
      <c r="AB30" s="12">
        <f t="shared" si="8"/>
        <v>0.1070110701107011</v>
      </c>
      <c r="AC30" s="12">
        <f t="shared" si="9"/>
        <v>2.9166666666666667E-2</v>
      </c>
      <c r="AD30" s="12">
        <f t="shared" si="10"/>
        <v>0</v>
      </c>
      <c r="AE30" s="12">
        <f t="shared" si="11"/>
        <v>0</v>
      </c>
    </row>
    <row r="31" spans="2:31">
      <c r="B31" s="19">
        <v>43</v>
      </c>
      <c r="C31" s="20"/>
      <c r="D31" s="20"/>
      <c r="E31" s="20"/>
      <c r="F31" s="20"/>
      <c r="G31" s="20">
        <v>1</v>
      </c>
      <c r="H31" s="20">
        <v>7</v>
      </c>
      <c r="I31" s="20">
        <v>30</v>
      </c>
      <c r="J31" s="20">
        <v>24</v>
      </c>
      <c r="K31" s="20">
        <v>9</v>
      </c>
      <c r="L31" s="20"/>
      <c r="M31" s="20"/>
      <c r="N31" s="20"/>
      <c r="O31" s="19">
        <f t="shared" si="13"/>
        <v>71</v>
      </c>
      <c r="T31" s="12">
        <f t="shared" si="1"/>
        <v>43</v>
      </c>
      <c r="U31" s="12">
        <f t="shared" si="12"/>
        <v>0</v>
      </c>
      <c r="V31" s="12">
        <f t="shared" si="2"/>
        <v>0</v>
      </c>
      <c r="W31" s="12">
        <f t="shared" si="3"/>
        <v>0</v>
      </c>
      <c r="X31" s="12">
        <f t="shared" si="4"/>
        <v>0</v>
      </c>
      <c r="Y31" s="12">
        <f t="shared" si="5"/>
        <v>3.9840637450199202E-3</v>
      </c>
      <c r="Z31" s="12">
        <f t="shared" si="6"/>
        <v>2.3102310231023101E-2</v>
      </c>
      <c r="AA31" s="12">
        <f t="shared" si="7"/>
        <v>8.5470085470085472E-2</v>
      </c>
      <c r="AB31" s="12">
        <f t="shared" si="8"/>
        <v>8.8560885608856083E-2</v>
      </c>
      <c r="AC31" s="12">
        <f t="shared" si="9"/>
        <v>3.7499999999999999E-2</v>
      </c>
      <c r="AD31" s="12">
        <f t="shared" si="10"/>
        <v>0</v>
      </c>
      <c r="AE31" s="12">
        <f t="shared" si="11"/>
        <v>0</v>
      </c>
    </row>
    <row r="32" spans="2:31">
      <c r="B32" s="19">
        <v>44</v>
      </c>
      <c r="C32" s="20"/>
      <c r="D32" s="20"/>
      <c r="E32" s="20"/>
      <c r="F32" s="20"/>
      <c r="G32" s="20"/>
      <c r="I32" s="20">
        <v>21</v>
      </c>
      <c r="J32" s="20">
        <v>17</v>
      </c>
      <c r="K32" s="20">
        <v>14</v>
      </c>
      <c r="L32" s="20">
        <v>3</v>
      </c>
      <c r="M32" s="20"/>
      <c r="N32" s="20"/>
      <c r="O32" s="19">
        <f t="shared" si="13"/>
        <v>55</v>
      </c>
      <c r="T32" s="12">
        <f t="shared" si="1"/>
        <v>44</v>
      </c>
      <c r="U32" s="12">
        <f t="shared" si="12"/>
        <v>0</v>
      </c>
      <c r="V32" s="12">
        <f t="shared" si="2"/>
        <v>0</v>
      </c>
      <c r="W32" s="12">
        <f t="shared" si="3"/>
        <v>0</v>
      </c>
      <c r="X32" s="12">
        <f t="shared" si="4"/>
        <v>0</v>
      </c>
      <c r="Y32" s="12">
        <f t="shared" si="5"/>
        <v>0</v>
      </c>
      <c r="Z32" s="12">
        <f t="shared" si="6"/>
        <v>0</v>
      </c>
      <c r="AA32" s="12">
        <f t="shared" si="7"/>
        <v>5.9829059829059832E-2</v>
      </c>
      <c r="AB32" s="12">
        <f t="shared" si="8"/>
        <v>6.273062730627306E-2</v>
      </c>
      <c r="AC32" s="12">
        <f t="shared" si="9"/>
        <v>5.8333333333333334E-2</v>
      </c>
      <c r="AD32" s="12">
        <f t="shared" si="10"/>
        <v>1.7964071856287425E-2</v>
      </c>
      <c r="AE32" s="12">
        <f t="shared" si="11"/>
        <v>0</v>
      </c>
    </row>
    <row r="33" spans="2:31">
      <c r="B33" s="19">
        <v>45</v>
      </c>
      <c r="C33" s="20"/>
      <c r="D33" s="20"/>
      <c r="E33" s="20"/>
      <c r="F33" s="20"/>
      <c r="G33" s="20"/>
      <c r="H33" s="20">
        <v>1</v>
      </c>
      <c r="I33" s="20">
        <v>16</v>
      </c>
      <c r="J33" s="20">
        <v>20</v>
      </c>
      <c r="K33" s="20">
        <v>9</v>
      </c>
      <c r="L33" s="20">
        <v>2</v>
      </c>
      <c r="M33" s="20">
        <v>2</v>
      </c>
      <c r="N33" s="20"/>
      <c r="O33" s="19">
        <f t="shared" si="13"/>
        <v>50</v>
      </c>
      <c r="T33" s="12">
        <f t="shared" si="1"/>
        <v>45</v>
      </c>
      <c r="U33" s="12">
        <f t="shared" si="12"/>
        <v>0</v>
      </c>
      <c r="V33" s="12">
        <f t="shared" si="2"/>
        <v>0</v>
      </c>
      <c r="W33" s="12">
        <f t="shared" si="3"/>
        <v>0</v>
      </c>
      <c r="X33" s="12">
        <f t="shared" si="4"/>
        <v>0</v>
      </c>
      <c r="Y33" s="12">
        <f t="shared" si="5"/>
        <v>0</v>
      </c>
      <c r="Z33" s="12">
        <f t="shared" si="6"/>
        <v>3.3003300330033004E-3</v>
      </c>
      <c r="AA33" s="12">
        <f t="shared" si="7"/>
        <v>4.5584045584045586E-2</v>
      </c>
      <c r="AB33" s="12">
        <f t="shared" si="8"/>
        <v>7.3800738007380073E-2</v>
      </c>
      <c r="AC33" s="12">
        <f t="shared" si="9"/>
        <v>3.7499999999999999E-2</v>
      </c>
      <c r="AD33" s="12">
        <f t="shared" si="10"/>
        <v>1.1976047904191617E-2</v>
      </c>
      <c r="AE33" s="12">
        <f t="shared" si="11"/>
        <v>2.8571428571428571E-2</v>
      </c>
    </row>
    <row r="34" spans="2:31">
      <c r="B34" s="19">
        <v>46</v>
      </c>
      <c r="C34" s="20"/>
      <c r="D34" s="20"/>
      <c r="E34" s="20"/>
      <c r="F34" s="20"/>
      <c r="G34" s="20"/>
      <c r="H34" s="20">
        <v>1</v>
      </c>
      <c r="I34" s="20">
        <v>14</v>
      </c>
      <c r="J34" s="20">
        <v>15</v>
      </c>
      <c r="K34" s="20">
        <v>15</v>
      </c>
      <c r="L34" s="13">
        <v>4</v>
      </c>
      <c r="M34" s="20"/>
      <c r="N34" s="20"/>
      <c r="O34" s="19">
        <f t="shared" si="13"/>
        <v>49</v>
      </c>
      <c r="T34" s="12">
        <f t="shared" si="1"/>
        <v>46</v>
      </c>
      <c r="U34" s="12">
        <f t="shared" si="12"/>
        <v>0</v>
      </c>
      <c r="V34" s="12">
        <f t="shared" si="2"/>
        <v>0</v>
      </c>
      <c r="W34" s="12">
        <f t="shared" si="3"/>
        <v>0</v>
      </c>
      <c r="X34" s="12">
        <f t="shared" si="4"/>
        <v>0</v>
      </c>
      <c r="Y34" s="12">
        <f t="shared" si="5"/>
        <v>0</v>
      </c>
      <c r="Z34" s="12">
        <f t="shared" si="6"/>
        <v>3.3003300330033004E-3</v>
      </c>
      <c r="AA34" s="12">
        <f t="shared" si="7"/>
        <v>3.9886039886039885E-2</v>
      </c>
      <c r="AB34" s="12">
        <f t="shared" si="8"/>
        <v>5.5350553505535055E-2</v>
      </c>
      <c r="AC34" s="12">
        <f t="shared" si="9"/>
        <v>6.25E-2</v>
      </c>
      <c r="AD34" s="12">
        <f t="shared" si="10"/>
        <v>2.3952095808383235E-2</v>
      </c>
      <c r="AE34" s="12">
        <f t="shared" si="11"/>
        <v>0</v>
      </c>
    </row>
    <row r="35" spans="2:31">
      <c r="B35" s="19">
        <v>47</v>
      </c>
      <c r="C35" s="20"/>
      <c r="D35" s="20"/>
      <c r="E35" s="20"/>
      <c r="F35" s="20"/>
      <c r="G35" s="20"/>
      <c r="H35" s="20"/>
      <c r="I35" s="20">
        <v>9</v>
      </c>
      <c r="J35" s="20">
        <v>15</v>
      </c>
      <c r="K35" s="20">
        <v>12</v>
      </c>
      <c r="L35" s="20">
        <v>13</v>
      </c>
      <c r="M35" s="13">
        <v>1</v>
      </c>
      <c r="N35" s="20"/>
      <c r="O35" s="19">
        <f t="shared" si="13"/>
        <v>50</v>
      </c>
      <c r="T35" s="12">
        <f t="shared" si="1"/>
        <v>47</v>
      </c>
      <c r="U35" s="12">
        <f t="shared" si="12"/>
        <v>0</v>
      </c>
      <c r="V35" s="12">
        <f t="shared" si="2"/>
        <v>0</v>
      </c>
      <c r="W35" s="12">
        <f t="shared" si="3"/>
        <v>0</v>
      </c>
      <c r="X35" s="12">
        <f t="shared" si="4"/>
        <v>0</v>
      </c>
      <c r="Y35" s="12">
        <f t="shared" si="5"/>
        <v>0</v>
      </c>
      <c r="Z35" s="12">
        <f t="shared" si="6"/>
        <v>0</v>
      </c>
      <c r="AA35" s="12">
        <f t="shared" si="7"/>
        <v>2.564102564102564E-2</v>
      </c>
      <c r="AB35" s="12">
        <f t="shared" si="8"/>
        <v>5.5350553505535055E-2</v>
      </c>
      <c r="AC35" s="12">
        <f t="shared" si="9"/>
        <v>0.05</v>
      </c>
      <c r="AD35" s="12">
        <f t="shared" si="10"/>
        <v>7.7844311377245512E-2</v>
      </c>
      <c r="AE35" s="12">
        <f t="shared" si="11"/>
        <v>1.4285714285714285E-2</v>
      </c>
    </row>
    <row r="36" spans="2:31">
      <c r="B36" s="19">
        <v>48</v>
      </c>
      <c r="C36" s="20"/>
      <c r="D36" s="20"/>
      <c r="E36" s="20"/>
      <c r="F36" s="20"/>
      <c r="G36" s="20"/>
      <c r="H36" s="20"/>
      <c r="I36" s="20">
        <v>3</v>
      </c>
      <c r="J36" s="20">
        <v>18</v>
      </c>
      <c r="K36" s="20">
        <v>20</v>
      </c>
      <c r="L36" s="20">
        <v>7</v>
      </c>
      <c r="M36" s="20"/>
      <c r="N36" s="20"/>
      <c r="O36" s="19">
        <f t="shared" si="13"/>
        <v>48</v>
      </c>
      <c r="T36" s="12">
        <f t="shared" si="1"/>
        <v>48</v>
      </c>
      <c r="U36" s="12">
        <f t="shared" si="12"/>
        <v>0</v>
      </c>
      <c r="V36" s="12">
        <f t="shared" si="2"/>
        <v>0</v>
      </c>
      <c r="W36" s="12">
        <f t="shared" si="3"/>
        <v>0</v>
      </c>
      <c r="X36" s="12">
        <f t="shared" si="4"/>
        <v>0</v>
      </c>
      <c r="Y36" s="12">
        <f t="shared" si="5"/>
        <v>0</v>
      </c>
      <c r="Z36" s="12">
        <f t="shared" si="6"/>
        <v>0</v>
      </c>
      <c r="AA36" s="12">
        <f t="shared" si="7"/>
        <v>8.5470085470085479E-3</v>
      </c>
      <c r="AB36" s="12">
        <f t="shared" si="8"/>
        <v>6.6420664206642069E-2</v>
      </c>
      <c r="AC36" s="12">
        <f t="shared" si="9"/>
        <v>8.3333333333333329E-2</v>
      </c>
      <c r="AD36" s="12">
        <f t="shared" si="10"/>
        <v>4.1916167664670656E-2</v>
      </c>
      <c r="AE36" s="12">
        <f t="shared" si="11"/>
        <v>0</v>
      </c>
    </row>
    <row r="37" spans="2:31">
      <c r="B37" s="19">
        <v>49</v>
      </c>
      <c r="C37" s="20"/>
      <c r="D37" s="20"/>
      <c r="E37" s="20"/>
      <c r="F37" s="20"/>
      <c r="G37" s="20"/>
      <c r="H37" s="20"/>
      <c r="I37" s="20">
        <v>2</v>
      </c>
      <c r="J37" s="20">
        <v>13</v>
      </c>
      <c r="K37" s="20">
        <v>12</v>
      </c>
      <c r="L37" s="20">
        <v>15</v>
      </c>
      <c r="M37" s="20"/>
      <c r="N37" s="20"/>
      <c r="O37" s="19">
        <f t="shared" si="13"/>
        <v>42</v>
      </c>
      <c r="T37" s="12">
        <f t="shared" si="1"/>
        <v>49</v>
      </c>
      <c r="U37" s="12">
        <f t="shared" si="12"/>
        <v>0</v>
      </c>
      <c r="V37" s="12">
        <f t="shared" si="2"/>
        <v>0</v>
      </c>
      <c r="W37" s="12">
        <f t="shared" si="3"/>
        <v>0</v>
      </c>
      <c r="X37" s="12">
        <f t="shared" si="4"/>
        <v>0</v>
      </c>
      <c r="Y37" s="12">
        <f t="shared" si="5"/>
        <v>0</v>
      </c>
      <c r="Z37" s="12">
        <f t="shared" si="6"/>
        <v>0</v>
      </c>
      <c r="AA37" s="12">
        <f t="shared" si="7"/>
        <v>5.6980056980056983E-3</v>
      </c>
      <c r="AB37" s="12">
        <f t="shared" si="8"/>
        <v>4.797047970479705E-2</v>
      </c>
      <c r="AC37" s="12">
        <f t="shared" si="9"/>
        <v>0.05</v>
      </c>
      <c r="AD37" s="12">
        <f t="shared" si="10"/>
        <v>8.9820359281437126E-2</v>
      </c>
      <c r="AE37" s="12">
        <f t="shared" si="11"/>
        <v>0</v>
      </c>
    </row>
    <row r="38" spans="2:31">
      <c r="B38" s="19">
        <v>50</v>
      </c>
      <c r="C38" s="20"/>
      <c r="D38" s="20"/>
      <c r="E38" s="20"/>
      <c r="F38" s="20"/>
      <c r="G38" s="20"/>
      <c r="H38" s="20"/>
      <c r="I38" s="20"/>
      <c r="J38" s="20">
        <v>15</v>
      </c>
      <c r="K38" s="20">
        <v>17</v>
      </c>
      <c r="L38" s="20">
        <v>9</v>
      </c>
      <c r="M38" s="20"/>
      <c r="N38" s="20"/>
      <c r="O38" s="19">
        <f t="shared" si="13"/>
        <v>41</v>
      </c>
      <c r="T38" s="12">
        <f t="shared" si="1"/>
        <v>50</v>
      </c>
      <c r="U38" s="12">
        <f t="shared" si="12"/>
        <v>0</v>
      </c>
      <c r="V38" s="12">
        <f t="shared" si="2"/>
        <v>0</v>
      </c>
      <c r="W38" s="12">
        <f t="shared" si="3"/>
        <v>0</v>
      </c>
      <c r="X38" s="12">
        <f t="shared" si="4"/>
        <v>0</v>
      </c>
      <c r="Y38" s="12">
        <f t="shared" si="5"/>
        <v>0</v>
      </c>
      <c r="Z38" s="12">
        <f t="shared" si="6"/>
        <v>0</v>
      </c>
      <c r="AA38" s="12">
        <f t="shared" si="7"/>
        <v>0</v>
      </c>
      <c r="AB38" s="12">
        <f t="shared" si="8"/>
        <v>5.5350553505535055E-2</v>
      </c>
      <c r="AC38" s="12">
        <f t="shared" si="9"/>
        <v>7.0833333333333331E-2</v>
      </c>
      <c r="AD38" s="12">
        <f t="shared" si="10"/>
        <v>5.3892215568862277E-2</v>
      </c>
      <c r="AE38" s="12">
        <f t="shared" si="11"/>
        <v>0</v>
      </c>
    </row>
    <row r="39" spans="2:31">
      <c r="B39" s="19">
        <v>51</v>
      </c>
      <c r="C39" s="20"/>
      <c r="D39" s="20"/>
      <c r="E39" s="20"/>
      <c r="F39" s="20"/>
      <c r="G39" s="20"/>
      <c r="H39" s="20"/>
      <c r="I39" s="20"/>
      <c r="J39" s="20">
        <v>13</v>
      </c>
      <c r="K39" s="20">
        <v>11</v>
      </c>
      <c r="L39" s="20">
        <v>11</v>
      </c>
      <c r="M39" s="20">
        <v>3</v>
      </c>
      <c r="N39" s="20"/>
      <c r="O39" s="19">
        <f t="shared" si="13"/>
        <v>38</v>
      </c>
      <c r="T39" s="12">
        <f t="shared" si="1"/>
        <v>51</v>
      </c>
      <c r="U39" s="12">
        <f t="shared" si="12"/>
        <v>0</v>
      </c>
      <c r="V39" s="12">
        <f t="shared" si="2"/>
        <v>0</v>
      </c>
      <c r="W39" s="12">
        <f t="shared" si="3"/>
        <v>0</v>
      </c>
      <c r="X39" s="12">
        <f t="shared" si="4"/>
        <v>0</v>
      </c>
      <c r="Y39" s="12">
        <f t="shared" si="5"/>
        <v>0</v>
      </c>
      <c r="Z39" s="12">
        <f t="shared" si="6"/>
        <v>0</v>
      </c>
      <c r="AA39" s="12">
        <f t="shared" si="7"/>
        <v>0</v>
      </c>
      <c r="AB39" s="12">
        <f t="shared" si="8"/>
        <v>4.797047970479705E-2</v>
      </c>
      <c r="AC39" s="12">
        <f t="shared" si="9"/>
        <v>4.583333333333333E-2</v>
      </c>
      <c r="AD39" s="12">
        <f t="shared" si="10"/>
        <v>6.5868263473053898E-2</v>
      </c>
      <c r="AE39" s="12">
        <f t="shared" si="11"/>
        <v>4.2857142857142858E-2</v>
      </c>
    </row>
    <row r="40" spans="2:31">
      <c r="B40" s="19">
        <v>52</v>
      </c>
      <c r="C40" s="20"/>
      <c r="D40" s="20"/>
      <c r="E40" s="20"/>
      <c r="F40" s="20"/>
      <c r="G40" s="20"/>
      <c r="H40" s="20"/>
      <c r="I40" s="20"/>
      <c r="J40" s="20">
        <v>4</v>
      </c>
      <c r="K40" s="20">
        <v>13</v>
      </c>
      <c r="L40" s="20">
        <v>14</v>
      </c>
      <c r="M40" s="20">
        <v>7</v>
      </c>
      <c r="N40" s="20"/>
      <c r="O40" s="19">
        <f t="shared" si="13"/>
        <v>38</v>
      </c>
      <c r="T40" s="12">
        <f t="shared" si="1"/>
        <v>52</v>
      </c>
      <c r="U40" s="12">
        <f t="shared" si="12"/>
        <v>0</v>
      </c>
      <c r="V40" s="12">
        <f t="shared" si="2"/>
        <v>0</v>
      </c>
      <c r="W40" s="12">
        <f t="shared" si="3"/>
        <v>0</v>
      </c>
      <c r="X40" s="12">
        <f t="shared" si="4"/>
        <v>0</v>
      </c>
      <c r="Y40" s="12">
        <f t="shared" si="5"/>
        <v>0</v>
      </c>
      <c r="Z40" s="12">
        <f t="shared" si="6"/>
        <v>0</v>
      </c>
      <c r="AA40" s="12">
        <f t="shared" si="7"/>
        <v>0</v>
      </c>
      <c r="AB40" s="12">
        <f t="shared" si="8"/>
        <v>1.4760147601476014E-2</v>
      </c>
      <c r="AC40" s="12">
        <f t="shared" si="9"/>
        <v>5.4166666666666669E-2</v>
      </c>
      <c r="AD40" s="12">
        <f t="shared" si="10"/>
        <v>8.3832335329341312E-2</v>
      </c>
      <c r="AE40" s="12">
        <f t="shared" si="11"/>
        <v>0.1</v>
      </c>
    </row>
    <row r="41" spans="2:31">
      <c r="B41" s="19">
        <v>53</v>
      </c>
      <c r="C41" s="20"/>
      <c r="D41" s="20"/>
      <c r="E41" s="20"/>
      <c r="F41" s="20"/>
      <c r="G41" s="20"/>
      <c r="H41" s="20"/>
      <c r="I41" s="20">
        <v>4</v>
      </c>
      <c r="J41" s="20">
        <v>7</v>
      </c>
      <c r="K41" s="20">
        <v>21</v>
      </c>
      <c r="L41" s="20">
        <v>8</v>
      </c>
      <c r="M41" s="20"/>
      <c r="N41" s="20"/>
      <c r="O41" s="19">
        <f t="shared" si="13"/>
        <v>40</v>
      </c>
      <c r="T41" s="12">
        <f t="shared" si="1"/>
        <v>53</v>
      </c>
      <c r="U41" s="12">
        <f t="shared" si="12"/>
        <v>0</v>
      </c>
      <c r="V41" s="12">
        <f t="shared" si="2"/>
        <v>0</v>
      </c>
      <c r="W41" s="12">
        <f t="shared" si="3"/>
        <v>0</v>
      </c>
      <c r="X41" s="12">
        <f t="shared" si="4"/>
        <v>0</v>
      </c>
      <c r="Y41" s="12">
        <f t="shared" si="5"/>
        <v>0</v>
      </c>
      <c r="Z41" s="12">
        <f t="shared" si="6"/>
        <v>0</v>
      </c>
      <c r="AA41" s="12">
        <f t="shared" si="7"/>
        <v>1.1396011396011397E-2</v>
      </c>
      <c r="AB41" s="12">
        <f t="shared" si="8"/>
        <v>2.5830258302583026E-2</v>
      </c>
      <c r="AC41" s="12">
        <f t="shared" si="9"/>
        <v>8.7499999999999994E-2</v>
      </c>
      <c r="AD41" s="12">
        <f t="shared" si="10"/>
        <v>4.790419161676647E-2</v>
      </c>
      <c r="AE41" s="12">
        <f t="shared" si="11"/>
        <v>0</v>
      </c>
    </row>
    <row r="42" spans="2:31">
      <c r="B42" s="19">
        <v>54</v>
      </c>
      <c r="C42" s="20"/>
      <c r="D42" s="20"/>
      <c r="E42" s="20"/>
      <c r="F42" s="20"/>
      <c r="G42" s="20"/>
      <c r="H42" s="20"/>
      <c r="I42" s="20"/>
      <c r="J42" s="20">
        <v>2</v>
      </c>
      <c r="K42" s="20">
        <v>12</v>
      </c>
      <c r="L42" s="20">
        <v>12</v>
      </c>
      <c r="M42" s="20">
        <v>6</v>
      </c>
      <c r="N42" s="20"/>
      <c r="O42" s="19">
        <f t="shared" si="13"/>
        <v>32</v>
      </c>
      <c r="T42" s="12">
        <f t="shared" si="1"/>
        <v>54</v>
      </c>
      <c r="U42" s="12">
        <f t="shared" si="12"/>
        <v>0</v>
      </c>
      <c r="V42" s="12">
        <f t="shared" si="2"/>
        <v>0</v>
      </c>
      <c r="W42" s="12">
        <f t="shared" si="3"/>
        <v>0</v>
      </c>
      <c r="X42" s="12">
        <f t="shared" si="4"/>
        <v>0</v>
      </c>
      <c r="Y42" s="12">
        <f t="shared" si="5"/>
        <v>0</v>
      </c>
      <c r="Z42" s="12">
        <f t="shared" si="6"/>
        <v>0</v>
      </c>
      <c r="AA42" s="12">
        <f t="shared" si="7"/>
        <v>0</v>
      </c>
      <c r="AB42" s="12">
        <f t="shared" si="8"/>
        <v>7.3800738007380072E-3</v>
      </c>
      <c r="AC42" s="12">
        <f t="shared" si="9"/>
        <v>0.05</v>
      </c>
      <c r="AD42" s="12">
        <f t="shared" si="10"/>
        <v>7.1856287425149698E-2</v>
      </c>
      <c r="AE42" s="12">
        <f t="shared" si="11"/>
        <v>8.5714285714285715E-2</v>
      </c>
    </row>
    <row r="43" spans="2:31">
      <c r="B43" s="19">
        <v>55</v>
      </c>
      <c r="C43" s="20"/>
      <c r="D43" s="20"/>
      <c r="E43" s="20"/>
      <c r="F43" s="20"/>
      <c r="G43" s="20"/>
      <c r="H43" s="20"/>
      <c r="I43" s="20"/>
      <c r="J43" s="20">
        <v>3</v>
      </c>
      <c r="K43" s="20">
        <v>11</v>
      </c>
      <c r="L43" s="20">
        <v>20</v>
      </c>
      <c r="M43" s="20">
        <v>3</v>
      </c>
      <c r="N43" s="20">
        <v>1</v>
      </c>
      <c r="O43" s="19">
        <f t="shared" si="13"/>
        <v>38</v>
      </c>
      <c r="T43" s="12">
        <f t="shared" si="1"/>
        <v>55</v>
      </c>
      <c r="U43" s="12">
        <f t="shared" si="12"/>
        <v>0</v>
      </c>
      <c r="V43" s="12">
        <f t="shared" si="2"/>
        <v>0</v>
      </c>
      <c r="W43" s="12">
        <f t="shared" si="3"/>
        <v>0</v>
      </c>
      <c r="X43" s="12">
        <f t="shared" si="4"/>
        <v>0</v>
      </c>
      <c r="Y43" s="12">
        <f t="shared" si="5"/>
        <v>0</v>
      </c>
      <c r="Z43" s="12">
        <f t="shared" si="6"/>
        <v>0</v>
      </c>
      <c r="AA43" s="12">
        <f t="shared" si="7"/>
        <v>0</v>
      </c>
      <c r="AB43" s="12">
        <f t="shared" si="8"/>
        <v>1.107011070110701E-2</v>
      </c>
      <c r="AC43" s="12">
        <f t="shared" si="9"/>
        <v>4.583333333333333E-2</v>
      </c>
      <c r="AD43" s="12">
        <f t="shared" si="10"/>
        <v>0.11976047904191617</v>
      </c>
      <c r="AE43" s="12">
        <f t="shared" si="11"/>
        <v>4.2857142857142858E-2</v>
      </c>
    </row>
    <row r="44" spans="2:31">
      <c r="B44" s="19">
        <v>56</v>
      </c>
      <c r="C44" s="20"/>
      <c r="D44" s="20"/>
      <c r="E44" s="20"/>
      <c r="F44" s="20"/>
      <c r="G44" s="20"/>
      <c r="H44" s="20"/>
      <c r="I44" s="20"/>
      <c r="J44" s="20"/>
      <c r="K44" s="20">
        <v>9</v>
      </c>
      <c r="L44" s="20">
        <v>15</v>
      </c>
      <c r="M44" s="20">
        <v>8</v>
      </c>
      <c r="N44" s="20">
        <v>1</v>
      </c>
      <c r="O44" s="19">
        <f t="shared" si="13"/>
        <v>33</v>
      </c>
      <c r="T44" s="12">
        <f t="shared" si="1"/>
        <v>56</v>
      </c>
      <c r="U44" s="12">
        <f t="shared" si="12"/>
        <v>0</v>
      </c>
      <c r="V44" s="12">
        <f t="shared" si="2"/>
        <v>0</v>
      </c>
      <c r="W44" s="12">
        <f t="shared" si="3"/>
        <v>0</v>
      </c>
      <c r="X44" s="12">
        <f t="shared" si="4"/>
        <v>0</v>
      </c>
      <c r="Y44" s="12">
        <f t="shared" si="5"/>
        <v>0</v>
      </c>
      <c r="Z44" s="12">
        <f t="shared" si="6"/>
        <v>0</v>
      </c>
      <c r="AA44" s="12">
        <f t="shared" si="7"/>
        <v>0</v>
      </c>
      <c r="AB44" s="12">
        <f t="shared" si="8"/>
        <v>0</v>
      </c>
      <c r="AC44" s="12">
        <f t="shared" si="9"/>
        <v>3.7499999999999999E-2</v>
      </c>
      <c r="AD44" s="12">
        <f t="shared" si="10"/>
        <v>8.9820359281437126E-2</v>
      </c>
      <c r="AE44" s="12">
        <f t="shared" si="11"/>
        <v>0.11428571428571428</v>
      </c>
    </row>
    <row r="45" spans="2:31">
      <c r="B45" s="19">
        <v>57</v>
      </c>
      <c r="C45" s="20"/>
      <c r="D45" s="20"/>
      <c r="E45" s="20"/>
      <c r="F45" s="20"/>
      <c r="G45" s="20"/>
      <c r="H45" s="20"/>
      <c r="I45" s="20"/>
      <c r="J45" s="20"/>
      <c r="K45" s="20">
        <v>16</v>
      </c>
      <c r="L45" s="20">
        <v>6</v>
      </c>
      <c r="M45" s="20">
        <v>4</v>
      </c>
      <c r="N45" s="20">
        <v>3</v>
      </c>
      <c r="O45" s="19">
        <f t="shared" si="13"/>
        <v>29</v>
      </c>
      <c r="T45" s="12">
        <f t="shared" si="1"/>
        <v>57</v>
      </c>
      <c r="U45" s="12">
        <f t="shared" si="12"/>
        <v>0</v>
      </c>
      <c r="V45" s="12">
        <f t="shared" si="2"/>
        <v>0</v>
      </c>
      <c r="W45" s="12">
        <f t="shared" si="3"/>
        <v>0</v>
      </c>
      <c r="X45" s="12">
        <f t="shared" si="4"/>
        <v>0</v>
      </c>
      <c r="Y45" s="12">
        <f t="shared" si="5"/>
        <v>0</v>
      </c>
      <c r="Z45" s="12">
        <f t="shared" si="6"/>
        <v>0</v>
      </c>
      <c r="AA45" s="12">
        <f t="shared" si="7"/>
        <v>0</v>
      </c>
      <c r="AB45" s="12">
        <f t="shared" si="8"/>
        <v>0</v>
      </c>
      <c r="AC45" s="12">
        <f t="shared" si="9"/>
        <v>6.6666666666666666E-2</v>
      </c>
      <c r="AD45" s="12">
        <f t="shared" si="10"/>
        <v>3.5928143712574849E-2</v>
      </c>
      <c r="AE45" s="12">
        <f t="shared" si="11"/>
        <v>5.7142857142857141E-2</v>
      </c>
    </row>
    <row r="46" spans="2:31">
      <c r="B46" s="19">
        <v>58</v>
      </c>
      <c r="C46" s="20"/>
      <c r="D46" s="20"/>
      <c r="E46" s="20"/>
      <c r="F46" s="20"/>
      <c r="G46" s="20"/>
      <c r="H46" s="20"/>
      <c r="I46" s="20"/>
      <c r="J46" s="20"/>
      <c r="K46" s="20">
        <v>9</v>
      </c>
      <c r="L46" s="20">
        <v>10</v>
      </c>
      <c r="M46" s="20">
        <v>12</v>
      </c>
      <c r="N46" s="13">
        <v>1</v>
      </c>
      <c r="O46" s="19">
        <f t="shared" si="13"/>
        <v>32</v>
      </c>
      <c r="T46" s="12">
        <f t="shared" si="1"/>
        <v>58</v>
      </c>
      <c r="U46" s="12">
        <f t="shared" si="12"/>
        <v>0</v>
      </c>
      <c r="V46" s="12">
        <f t="shared" si="2"/>
        <v>0</v>
      </c>
      <c r="W46" s="12">
        <f t="shared" si="3"/>
        <v>0</v>
      </c>
      <c r="X46" s="12">
        <f t="shared" si="4"/>
        <v>0</v>
      </c>
      <c r="Y46" s="12">
        <f t="shared" si="5"/>
        <v>0</v>
      </c>
      <c r="Z46" s="12">
        <f t="shared" si="6"/>
        <v>0</v>
      </c>
      <c r="AA46" s="12">
        <f t="shared" si="7"/>
        <v>0</v>
      </c>
      <c r="AB46" s="12">
        <f t="shared" si="8"/>
        <v>0</v>
      </c>
      <c r="AC46" s="12">
        <f t="shared" si="9"/>
        <v>3.7499999999999999E-2</v>
      </c>
      <c r="AD46" s="12">
        <f t="shared" si="10"/>
        <v>5.9880239520958084E-2</v>
      </c>
      <c r="AE46" s="12">
        <f t="shared" si="11"/>
        <v>0.17142857142857143</v>
      </c>
    </row>
    <row r="47" spans="2:31">
      <c r="B47" s="19">
        <v>59</v>
      </c>
      <c r="C47" s="20"/>
      <c r="D47" s="20"/>
      <c r="E47" s="20"/>
      <c r="F47" s="20"/>
      <c r="G47" s="20"/>
      <c r="H47" s="20"/>
      <c r="I47" s="20"/>
      <c r="J47" s="20"/>
      <c r="K47" s="20">
        <v>7</v>
      </c>
      <c r="L47" s="20">
        <v>5</v>
      </c>
      <c r="M47" s="20">
        <v>6</v>
      </c>
      <c r="N47" s="20">
        <v>7</v>
      </c>
      <c r="O47" s="19">
        <f t="shared" si="13"/>
        <v>25</v>
      </c>
      <c r="T47" s="12">
        <f t="shared" si="1"/>
        <v>59</v>
      </c>
      <c r="U47" s="12">
        <f t="shared" si="12"/>
        <v>0</v>
      </c>
      <c r="V47" s="12">
        <f t="shared" si="2"/>
        <v>0</v>
      </c>
      <c r="W47" s="12">
        <f t="shared" si="3"/>
        <v>0</v>
      </c>
      <c r="X47" s="12">
        <f t="shared" si="4"/>
        <v>0</v>
      </c>
      <c r="Y47" s="12">
        <f t="shared" si="5"/>
        <v>0</v>
      </c>
      <c r="Z47" s="12">
        <f t="shared" si="6"/>
        <v>0</v>
      </c>
      <c r="AA47" s="12">
        <f t="shared" si="7"/>
        <v>0</v>
      </c>
      <c r="AB47" s="12">
        <f t="shared" si="8"/>
        <v>0</v>
      </c>
      <c r="AC47" s="12">
        <f t="shared" si="9"/>
        <v>2.9166666666666667E-2</v>
      </c>
      <c r="AD47" s="12">
        <f t="shared" si="10"/>
        <v>2.9940119760479042E-2</v>
      </c>
      <c r="AE47" s="12">
        <f t="shared" si="11"/>
        <v>8.5714285714285715E-2</v>
      </c>
    </row>
    <row r="48" spans="2:31">
      <c r="B48" s="19">
        <v>60</v>
      </c>
      <c r="C48" s="20">
        <f>SUM(C50:C55)</f>
        <v>0</v>
      </c>
      <c r="D48" s="20">
        <f t="shared" ref="D48:O48" si="14">SUM(D50:D55)</f>
        <v>0</v>
      </c>
      <c r="E48" s="20">
        <f t="shared" si="14"/>
        <v>0</v>
      </c>
      <c r="F48" s="20">
        <f t="shared" si="14"/>
        <v>0</v>
      </c>
      <c r="G48" s="20">
        <f t="shared" si="14"/>
        <v>0</v>
      </c>
      <c r="H48" s="20">
        <f t="shared" si="14"/>
        <v>0</v>
      </c>
      <c r="I48" s="20">
        <f t="shared" si="14"/>
        <v>0</v>
      </c>
      <c r="J48" s="20">
        <f t="shared" si="14"/>
        <v>0</v>
      </c>
      <c r="K48" s="20">
        <f t="shared" si="14"/>
        <v>6</v>
      </c>
      <c r="L48" s="20">
        <f t="shared" si="14"/>
        <v>12</v>
      </c>
      <c r="M48" s="20">
        <f t="shared" si="14"/>
        <v>18</v>
      </c>
      <c r="N48" s="20">
        <f t="shared" si="14"/>
        <v>9</v>
      </c>
      <c r="O48" s="20">
        <f t="shared" si="14"/>
        <v>35</v>
      </c>
      <c r="T48" s="12">
        <f t="shared" si="1"/>
        <v>60</v>
      </c>
      <c r="U48" s="12">
        <f t="shared" si="12"/>
        <v>0</v>
      </c>
      <c r="V48" s="12">
        <f t="shared" si="2"/>
        <v>0</v>
      </c>
      <c r="W48" s="12">
        <f t="shared" si="3"/>
        <v>0</v>
      </c>
      <c r="X48" s="12">
        <f t="shared" si="4"/>
        <v>0</v>
      </c>
      <c r="Y48" s="12">
        <f t="shared" si="5"/>
        <v>0</v>
      </c>
      <c r="Z48" s="12">
        <f t="shared" si="6"/>
        <v>0</v>
      </c>
      <c r="AA48" s="12">
        <f t="shared" si="7"/>
        <v>0</v>
      </c>
      <c r="AB48" s="12">
        <f t="shared" si="8"/>
        <v>0</v>
      </c>
      <c r="AC48" s="12">
        <f t="shared" si="9"/>
        <v>2.5000000000000001E-2</v>
      </c>
      <c r="AD48" s="12">
        <f t="shared" si="10"/>
        <v>7.1856287425149698E-2</v>
      </c>
      <c r="AE48" s="12">
        <f t="shared" si="11"/>
        <v>0.25714285714285712</v>
      </c>
    </row>
    <row r="49" spans="2:17">
      <c r="B49" s="19"/>
      <c r="C49" s="20">
        <f>SUM(C5:C48)</f>
        <v>8</v>
      </c>
      <c r="D49" s="20">
        <f t="shared" ref="D49:O49" si="15">SUM(D5:D48)</f>
        <v>126</v>
      </c>
      <c r="E49" s="20">
        <f t="shared" si="15"/>
        <v>211</v>
      </c>
      <c r="F49" s="20">
        <f t="shared" si="15"/>
        <v>223</v>
      </c>
      <c r="G49" s="20">
        <f t="shared" si="15"/>
        <v>251</v>
      </c>
      <c r="H49" s="20">
        <f t="shared" si="15"/>
        <v>303</v>
      </c>
      <c r="I49" s="20">
        <f t="shared" si="15"/>
        <v>351</v>
      </c>
      <c r="J49" s="20">
        <f t="shared" si="15"/>
        <v>271</v>
      </c>
      <c r="K49" s="20">
        <f t="shared" si="15"/>
        <v>240</v>
      </c>
      <c r="L49" s="20">
        <f t="shared" si="15"/>
        <v>167</v>
      </c>
      <c r="M49" s="20">
        <f>SUM(M5:M48)</f>
        <v>70</v>
      </c>
      <c r="N49" s="20">
        <f t="shared" si="15"/>
        <v>22</v>
      </c>
      <c r="O49" s="20">
        <f t="shared" si="15"/>
        <v>2233</v>
      </c>
      <c r="P49" s="20"/>
      <c r="Q49" s="20"/>
    </row>
    <row r="50" spans="2:17">
      <c r="B50" s="19">
        <v>60</v>
      </c>
      <c r="C50" s="20"/>
      <c r="D50" s="20"/>
      <c r="E50" s="20"/>
      <c r="F50" s="20"/>
      <c r="G50" s="20"/>
      <c r="H50" s="20"/>
      <c r="I50" s="20"/>
      <c r="J50" s="20"/>
      <c r="K50" s="20">
        <v>2</v>
      </c>
      <c r="L50" s="20">
        <v>6</v>
      </c>
      <c r="M50" s="20">
        <v>5</v>
      </c>
      <c r="N50" s="20">
        <v>1</v>
      </c>
      <c r="O50" s="19">
        <f t="shared" ref="O50" si="16">SUM(C50:N50)</f>
        <v>14</v>
      </c>
    </row>
    <row r="51" spans="2:17">
      <c r="B51" s="19">
        <v>61</v>
      </c>
      <c r="C51" s="20"/>
      <c r="D51" s="20"/>
      <c r="E51" s="20"/>
      <c r="F51" s="20"/>
      <c r="G51" s="20"/>
      <c r="H51" s="20"/>
      <c r="I51" s="20"/>
      <c r="J51" s="20"/>
      <c r="K51" s="20">
        <v>2</v>
      </c>
      <c r="L51" s="20">
        <v>4</v>
      </c>
      <c r="M51" s="20">
        <v>4</v>
      </c>
      <c r="N51" s="20">
        <v>4</v>
      </c>
      <c r="O51" s="20">
        <v>4</v>
      </c>
    </row>
    <row r="52" spans="2:17">
      <c r="B52" s="19">
        <v>62</v>
      </c>
      <c r="C52" s="20"/>
      <c r="D52" s="20"/>
      <c r="E52" s="20"/>
      <c r="F52" s="20"/>
      <c r="G52" s="20"/>
      <c r="H52" s="20"/>
      <c r="I52" s="20"/>
      <c r="J52" s="20"/>
      <c r="K52" s="20">
        <v>1</v>
      </c>
      <c r="L52" s="20"/>
      <c r="M52" s="20">
        <v>6</v>
      </c>
      <c r="N52" s="20">
        <v>3</v>
      </c>
      <c r="O52" s="19">
        <f t="shared" ref="O52:O57" si="17">SUM(C52:N52)</f>
        <v>10</v>
      </c>
    </row>
    <row r="53" spans="2:17">
      <c r="B53" s="19">
        <v>63</v>
      </c>
      <c r="C53" s="20"/>
      <c r="D53" s="20"/>
      <c r="E53" s="20"/>
      <c r="F53" s="20"/>
      <c r="G53" s="20"/>
      <c r="H53" s="20"/>
      <c r="I53" s="20"/>
      <c r="J53" s="20"/>
      <c r="K53" s="20"/>
      <c r="L53" s="20">
        <v>2</v>
      </c>
      <c r="M53" s="20">
        <v>1</v>
      </c>
      <c r="N53" s="20"/>
      <c r="O53" s="19">
        <f t="shared" si="17"/>
        <v>3</v>
      </c>
    </row>
    <row r="54" spans="2:17">
      <c r="B54" s="19">
        <v>64</v>
      </c>
      <c r="C54" s="20"/>
      <c r="D54" s="20"/>
      <c r="E54" s="20"/>
      <c r="F54" s="20"/>
      <c r="G54" s="20"/>
      <c r="H54" s="20"/>
      <c r="I54" s="20"/>
      <c r="J54" s="20"/>
      <c r="K54" s="20">
        <v>1</v>
      </c>
      <c r="L54" s="20"/>
      <c r="M54" s="20">
        <v>1</v>
      </c>
      <c r="N54" s="20">
        <v>1</v>
      </c>
      <c r="O54" s="19">
        <f t="shared" si="17"/>
        <v>3</v>
      </c>
    </row>
    <row r="55" spans="2:17">
      <c r="B55" s="22">
        <v>65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>
        <v>1</v>
      </c>
      <c r="N55" s="48"/>
      <c r="O55" s="19">
        <f t="shared" si="17"/>
        <v>1</v>
      </c>
    </row>
    <row r="56" spans="2:17">
      <c r="B56" s="30" t="s">
        <v>7</v>
      </c>
      <c r="C56" s="17">
        <f t="shared" ref="C56" si="18">SUM(C10:C55)</f>
        <v>11</v>
      </c>
      <c r="D56" s="17">
        <f t="shared" ref="D56" si="19">SUM(D10:D55)</f>
        <v>238</v>
      </c>
      <c r="E56" s="17">
        <f t="shared" ref="E56" si="20">SUM(E10:E55)</f>
        <v>421</v>
      </c>
      <c r="F56" s="17">
        <f t="shared" ref="F56" si="21">SUM(F10:F55)</f>
        <v>446</v>
      </c>
      <c r="G56" s="17">
        <f t="shared" ref="G56" si="22">SUM(G10:G55)</f>
        <v>502</v>
      </c>
      <c r="H56" s="17">
        <f t="shared" ref="H56" si="23">SUM(H10:H55)</f>
        <v>606</v>
      </c>
      <c r="I56" s="17">
        <f t="shared" ref="I56" si="24">SUM(I10:I55)</f>
        <v>702</v>
      </c>
      <c r="J56" s="17">
        <f t="shared" ref="J56" si="25">SUM(J10:J55)</f>
        <v>542</v>
      </c>
      <c r="K56" s="17">
        <f t="shared" ref="K56" si="26">SUM(K10:K55)</f>
        <v>486</v>
      </c>
      <c r="L56" s="17">
        <f t="shared" ref="L56" si="27">SUM(L10:L55)</f>
        <v>346</v>
      </c>
      <c r="M56" s="17">
        <f>SUM(M10:M55)</f>
        <v>158</v>
      </c>
      <c r="N56" s="17">
        <f t="shared" ref="N56" si="28">SUM(N10:N55)</f>
        <v>53</v>
      </c>
      <c r="O56" s="17">
        <f t="shared" si="17"/>
        <v>4511</v>
      </c>
    </row>
    <row r="57" spans="2:17">
      <c r="B57" s="16" t="s">
        <v>8</v>
      </c>
      <c r="C57" s="15">
        <f t="shared" ref="C57" si="29">(C56/$O$54)*100</f>
        <v>366.66666666666663</v>
      </c>
      <c r="D57" s="15">
        <f t="shared" ref="D57" si="30">(D56/$O$54)*100</f>
        <v>7933.333333333333</v>
      </c>
      <c r="E57" s="15">
        <f t="shared" ref="E57" si="31">(E56/$O$54)*100</f>
        <v>14033.333333333334</v>
      </c>
      <c r="F57" s="15">
        <f t="shared" ref="F57" si="32">(F56/$O$54)*100</f>
        <v>14866.666666666666</v>
      </c>
      <c r="G57" s="15">
        <f t="shared" ref="G57" si="33">(G56/$O$54)*100</f>
        <v>16733.333333333336</v>
      </c>
      <c r="H57" s="15">
        <f t="shared" ref="H57" si="34">(H56/$O$54)*100</f>
        <v>20200</v>
      </c>
      <c r="I57" s="15">
        <f t="shared" ref="I57" si="35">(I56/$O$54)*100</f>
        <v>23400</v>
      </c>
      <c r="J57" s="15">
        <f t="shared" ref="J57" si="36">(J56/$O$54)*100</f>
        <v>18066.666666666664</v>
      </c>
      <c r="K57" s="15">
        <f t="shared" ref="K57" si="37">(K56/$O$54)*100</f>
        <v>16200</v>
      </c>
      <c r="L57" s="15">
        <f t="shared" ref="L57" si="38">(L56/$O$54)*100</f>
        <v>11533.333333333332</v>
      </c>
      <c r="M57" s="15">
        <f t="shared" ref="M57" si="39">(M56/$O$54)*100</f>
        <v>5266.6666666666661</v>
      </c>
      <c r="N57" s="15">
        <f t="shared" ref="N57" si="40">(N56/$O$54)*100</f>
        <v>1766.6666666666667</v>
      </c>
      <c r="O57" s="15">
        <f t="shared" si="17"/>
        <v>150366.66666666666</v>
      </c>
    </row>
    <row r="58" spans="2:17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7">
      <c r="B59" s="28"/>
      <c r="C59" s="14">
        <f t="shared" ref="C59:N59" si="41">SUMPRODUCT($B10:$B55,C10:C55)/SUM(C10:C55)</f>
        <v>6.1818181818181817</v>
      </c>
      <c r="D59" s="14">
        <f t="shared" si="41"/>
        <v>11.302521008403362</v>
      </c>
      <c r="E59" s="14">
        <f t="shared" si="41"/>
        <v>13.410926365795724</v>
      </c>
      <c r="F59" s="14">
        <f t="shared" si="41"/>
        <v>14.932735426008968</v>
      </c>
      <c r="G59" s="14">
        <f t="shared" si="41"/>
        <v>16.350597609561753</v>
      </c>
      <c r="H59" s="14">
        <f t="shared" si="41"/>
        <v>17.985148514851485</v>
      </c>
      <c r="I59" s="14">
        <f t="shared" si="41"/>
        <v>20.1994301994302</v>
      </c>
      <c r="J59" s="14">
        <f t="shared" si="41"/>
        <v>22.221402214022142</v>
      </c>
      <c r="K59" s="14">
        <f t="shared" si="41"/>
        <v>25.594650205761315</v>
      </c>
      <c r="L59" s="14">
        <f t="shared" si="41"/>
        <v>27.592485549132949</v>
      </c>
      <c r="M59" s="14">
        <f t="shared" si="41"/>
        <v>32.006329113924053</v>
      </c>
      <c r="N59" s="14">
        <f>SUMPRODUCT($B10:$B55,N10:N55)/SUM(N10:N55)</f>
        <v>34.849056603773583</v>
      </c>
      <c r="O59" s="28"/>
    </row>
  </sheetData>
  <mergeCells count="1">
    <mergeCell ref="B2:O2"/>
  </mergeCells>
  <pageMargins left="0.75" right="0.75" top="1" bottom="1" header="0" footer="0"/>
  <pageSetup paperSize="9" orientation="portrait" vertic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E52"/>
  <sheetViews>
    <sheetView topLeftCell="B1" zoomScale="80" zoomScaleNormal="80" workbookViewId="0">
      <selection activeCell="B4" sqref="B4:O48"/>
    </sheetView>
  </sheetViews>
  <sheetFormatPr defaultColWidth="9.08984375" defaultRowHeight="12.5"/>
  <cols>
    <col min="1" max="1" width="11.453125" style="12" customWidth="1"/>
    <col min="2" max="2" width="7.90625" style="13" customWidth="1"/>
    <col min="3" max="3" width="5.90625" style="13" customWidth="1"/>
    <col min="4" max="4" width="6.6328125" style="13" customWidth="1"/>
    <col min="5" max="5" width="5.36328125" style="13" customWidth="1"/>
    <col min="6" max="6" width="5.54296875" style="13" customWidth="1"/>
    <col min="7" max="7" width="5.6328125" style="13" customWidth="1"/>
    <col min="8" max="9" width="5.453125" style="13" customWidth="1"/>
    <col min="10" max="10" width="6" style="13" customWidth="1"/>
    <col min="11" max="11" width="5.453125" style="13" customWidth="1"/>
    <col min="12" max="15" width="5.36328125" style="13" customWidth="1"/>
    <col min="16" max="16" width="7.08984375" style="13" customWidth="1"/>
    <col min="17" max="256" width="11.453125" style="12" customWidth="1"/>
    <col min="257" max="16384" width="9.08984375" style="12"/>
  </cols>
  <sheetData>
    <row r="2" spans="2:31">
      <c r="B2" s="122" t="s">
        <v>26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4" spans="2:31">
      <c r="B4" s="17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9</v>
      </c>
      <c r="J4" s="29" t="s">
        <v>10</v>
      </c>
      <c r="K4" s="29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26" t="s">
        <v>7</v>
      </c>
      <c r="U4" s="12">
        <v>2</v>
      </c>
      <c r="V4" s="12">
        <v>3</v>
      </c>
      <c r="W4" s="12">
        <v>4</v>
      </c>
      <c r="X4" s="12">
        <v>5</v>
      </c>
      <c r="Y4" s="12">
        <v>6</v>
      </c>
      <c r="Z4" s="12">
        <v>7</v>
      </c>
      <c r="AA4" s="12">
        <v>8</v>
      </c>
      <c r="AB4" s="12">
        <v>9</v>
      </c>
      <c r="AC4" s="12">
        <v>10</v>
      </c>
      <c r="AD4" s="12">
        <v>11</v>
      </c>
      <c r="AE4" s="12">
        <v>12</v>
      </c>
    </row>
    <row r="5" spans="2:31">
      <c r="B5" s="19">
        <f t="shared" ref="B5:B12" si="0">B6-1</f>
        <v>17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49"/>
      <c r="T5" s="12">
        <f t="shared" ref="T5:T48" si="1">B5</f>
        <v>17</v>
      </c>
      <c r="U5" s="12">
        <f>C5/C$49</f>
        <v>0</v>
      </c>
      <c r="V5" s="12">
        <f t="shared" ref="V5:V48" si="2">D5/D$49</f>
        <v>0</v>
      </c>
      <c r="W5" s="12">
        <f t="shared" ref="W5:W48" si="3">E5/E$49</f>
        <v>0</v>
      </c>
      <c r="X5" s="12">
        <f t="shared" ref="X5:X48" si="4">F5/F$49</f>
        <v>0</v>
      </c>
      <c r="Y5" s="12">
        <f t="shared" ref="Y5:Y48" si="5">G5/G$49</f>
        <v>0</v>
      </c>
      <c r="Z5" s="12">
        <f t="shared" ref="Z5:Z48" si="6">H5/H$49</f>
        <v>0</v>
      </c>
      <c r="AA5" s="12">
        <f t="shared" ref="AA5:AA48" si="7">I5/I$49</f>
        <v>0</v>
      </c>
      <c r="AB5" s="12">
        <f t="shared" ref="AB5:AB48" si="8">J5/J$49</f>
        <v>0</v>
      </c>
      <c r="AC5" s="12">
        <f t="shared" ref="AC5:AC48" si="9">K5/K$49</f>
        <v>0</v>
      </c>
      <c r="AD5" s="12">
        <f t="shared" ref="AD5:AD48" si="10">L5/L$49</f>
        <v>0</v>
      </c>
      <c r="AE5" s="12">
        <f t="shared" ref="AE5:AE48" si="11">M5/M$49</f>
        <v>0</v>
      </c>
    </row>
    <row r="6" spans="2:31">
      <c r="B6" s="19">
        <f t="shared" si="0"/>
        <v>18</v>
      </c>
      <c r="C6" s="20">
        <v>1</v>
      </c>
      <c r="D6" s="20">
        <v>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19">
        <f t="shared" ref="P6:P50" si="12">SUM(C6:O6)</f>
        <v>2</v>
      </c>
      <c r="T6" s="12">
        <f t="shared" si="1"/>
        <v>18</v>
      </c>
      <c r="U6" s="12">
        <f t="shared" ref="U6:U48" si="13">C6/C$49</f>
        <v>6.25E-2</v>
      </c>
      <c r="V6" s="12">
        <f t="shared" si="2"/>
        <v>1.3157894736842105E-2</v>
      </c>
      <c r="W6" s="12">
        <f t="shared" si="3"/>
        <v>0</v>
      </c>
      <c r="X6" s="12">
        <f t="shared" si="4"/>
        <v>0</v>
      </c>
      <c r="Y6" s="12">
        <f t="shared" si="5"/>
        <v>0</v>
      </c>
      <c r="Z6" s="12">
        <f t="shared" si="6"/>
        <v>0</v>
      </c>
      <c r="AA6" s="12">
        <f t="shared" si="7"/>
        <v>0</v>
      </c>
      <c r="AB6" s="12">
        <f t="shared" si="8"/>
        <v>0</v>
      </c>
      <c r="AC6" s="12">
        <f t="shared" si="9"/>
        <v>0</v>
      </c>
      <c r="AD6" s="12">
        <f t="shared" si="10"/>
        <v>0</v>
      </c>
      <c r="AE6" s="12">
        <f t="shared" si="11"/>
        <v>0</v>
      </c>
    </row>
    <row r="7" spans="2:31">
      <c r="B7" s="19">
        <f t="shared" si="0"/>
        <v>19</v>
      </c>
      <c r="C7" s="20"/>
      <c r="D7" s="20">
        <v>2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9">
        <f t="shared" si="12"/>
        <v>2</v>
      </c>
      <c r="T7" s="12">
        <f t="shared" si="1"/>
        <v>19</v>
      </c>
      <c r="U7" s="12">
        <f t="shared" si="13"/>
        <v>0</v>
      </c>
      <c r="V7" s="12">
        <f t="shared" si="2"/>
        <v>2.6315789473684209E-2</v>
      </c>
      <c r="W7" s="12">
        <f t="shared" si="3"/>
        <v>0</v>
      </c>
      <c r="X7" s="12">
        <f t="shared" si="4"/>
        <v>0</v>
      </c>
      <c r="Y7" s="12">
        <f t="shared" si="5"/>
        <v>0</v>
      </c>
      <c r="Z7" s="12">
        <f t="shared" si="6"/>
        <v>0</v>
      </c>
      <c r="AA7" s="12">
        <f t="shared" si="7"/>
        <v>0</v>
      </c>
      <c r="AB7" s="12">
        <f t="shared" si="8"/>
        <v>0</v>
      </c>
      <c r="AC7" s="12">
        <f t="shared" si="9"/>
        <v>0</v>
      </c>
      <c r="AD7" s="12">
        <f t="shared" si="10"/>
        <v>0</v>
      </c>
      <c r="AE7" s="12">
        <f t="shared" si="11"/>
        <v>0</v>
      </c>
    </row>
    <row r="8" spans="2:31">
      <c r="B8" s="19">
        <f t="shared" si="0"/>
        <v>20</v>
      </c>
      <c r="C8" s="20">
        <v>4</v>
      </c>
      <c r="D8" s="20">
        <v>10</v>
      </c>
      <c r="E8" s="20">
        <v>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19">
        <f t="shared" si="12"/>
        <v>18</v>
      </c>
      <c r="T8" s="12">
        <f t="shared" si="1"/>
        <v>20</v>
      </c>
      <c r="U8" s="12">
        <f t="shared" si="13"/>
        <v>0.25</v>
      </c>
      <c r="V8" s="12">
        <f t="shared" si="2"/>
        <v>0.13157894736842105</v>
      </c>
      <c r="W8" s="12">
        <f t="shared" si="3"/>
        <v>2.5157232704402517E-2</v>
      </c>
      <c r="X8" s="12">
        <f t="shared" si="4"/>
        <v>0</v>
      </c>
      <c r="Y8" s="12">
        <f t="shared" si="5"/>
        <v>0</v>
      </c>
      <c r="Z8" s="12">
        <f t="shared" si="6"/>
        <v>0</v>
      </c>
      <c r="AA8" s="12">
        <f t="shared" si="7"/>
        <v>0</v>
      </c>
      <c r="AB8" s="12">
        <f t="shared" si="8"/>
        <v>0</v>
      </c>
      <c r="AC8" s="12">
        <f t="shared" si="9"/>
        <v>0</v>
      </c>
      <c r="AD8" s="12">
        <f t="shared" si="10"/>
        <v>0</v>
      </c>
      <c r="AE8" s="12">
        <f t="shared" si="11"/>
        <v>0</v>
      </c>
    </row>
    <row r="9" spans="2:31">
      <c r="B9" s="19">
        <f t="shared" si="0"/>
        <v>21</v>
      </c>
      <c r="C9" s="20">
        <v>3</v>
      </c>
      <c r="D9" s="20">
        <v>16</v>
      </c>
      <c r="E9" s="20">
        <v>17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19">
        <f t="shared" si="12"/>
        <v>36</v>
      </c>
      <c r="T9" s="12">
        <f t="shared" si="1"/>
        <v>21</v>
      </c>
      <c r="U9" s="12">
        <f t="shared" si="13"/>
        <v>0.1875</v>
      </c>
      <c r="V9" s="12">
        <f t="shared" si="2"/>
        <v>0.21052631578947367</v>
      </c>
      <c r="W9" s="12">
        <f t="shared" si="3"/>
        <v>0.1069182389937107</v>
      </c>
      <c r="X9" s="12">
        <f t="shared" si="4"/>
        <v>0</v>
      </c>
      <c r="Y9" s="12">
        <f t="shared" si="5"/>
        <v>0</v>
      </c>
      <c r="Z9" s="12">
        <f t="shared" si="6"/>
        <v>0</v>
      </c>
      <c r="AA9" s="12">
        <f t="shared" si="7"/>
        <v>0</v>
      </c>
      <c r="AB9" s="12">
        <f t="shared" si="8"/>
        <v>0</v>
      </c>
      <c r="AC9" s="12">
        <f t="shared" si="9"/>
        <v>0</v>
      </c>
      <c r="AD9" s="12">
        <f t="shared" si="10"/>
        <v>0</v>
      </c>
      <c r="AE9" s="12">
        <f t="shared" si="11"/>
        <v>0</v>
      </c>
    </row>
    <row r="10" spans="2:31">
      <c r="B10" s="19">
        <f t="shared" si="0"/>
        <v>22</v>
      </c>
      <c r="C10" s="20">
        <v>4</v>
      </c>
      <c r="D10" s="20">
        <v>11</v>
      </c>
      <c r="E10" s="20">
        <v>24</v>
      </c>
      <c r="F10" s="20">
        <v>2</v>
      </c>
      <c r="G10" s="20"/>
      <c r="H10" s="20"/>
      <c r="I10" s="20"/>
      <c r="J10" s="20"/>
      <c r="K10" s="20"/>
      <c r="L10" s="20"/>
      <c r="M10" s="20"/>
      <c r="N10" s="20"/>
      <c r="O10" s="20"/>
      <c r="P10" s="19">
        <f t="shared" si="12"/>
        <v>41</v>
      </c>
      <c r="T10" s="12">
        <f t="shared" si="1"/>
        <v>22</v>
      </c>
      <c r="U10" s="12">
        <f t="shared" si="13"/>
        <v>0.25</v>
      </c>
      <c r="V10" s="12">
        <f t="shared" si="2"/>
        <v>0.14473684210526316</v>
      </c>
      <c r="W10" s="12">
        <f t="shared" si="3"/>
        <v>0.15094339622641509</v>
      </c>
      <c r="X10" s="12">
        <f t="shared" si="4"/>
        <v>1.4814814814814815E-2</v>
      </c>
      <c r="Y10" s="12">
        <f t="shared" si="5"/>
        <v>0</v>
      </c>
      <c r="Z10" s="12">
        <f t="shared" si="6"/>
        <v>0</v>
      </c>
      <c r="AA10" s="12">
        <f t="shared" si="7"/>
        <v>0</v>
      </c>
      <c r="AB10" s="12">
        <f t="shared" si="8"/>
        <v>0</v>
      </c>
      <c r="AC10" s="12">
        <f t="shared" si="9"/>
        <v>0</v>
      </c>
      <c r="AD10" s="12">
        <f t="shared" si="10"/>
        <v>0</v>
      </c>
      <c r="AE10" s="12">
        <f t="shared" si="11"/>
        <v>0</v>
      </c>
    </row>
    <row r="11" spans="2:31">
      <c r="B11" s="19">
        <f t="shared" si="0"/>
        <v>23</v>
      </c>
      <c r="C11" s="20">
        <v>4</v>
      </c>
      <c r="D11" s="20">
        <v>13</v>
      </c>
      <c r="E11" s="20">
        <v>35</v>
      </c>
      <c r="F11" s="20">
        <v>4</v>
      </c>
      <c r="G11" s="20"/>
      <c r="H11" s="20"/>
      <c r="I11" s="20"/>
      <c r="J11" s="20"/>
      <c r="K11" s="20"/>
      <c r="L11" s="20"/>
      <c r="M11" s="20"/>
      <c r="N11" s="20"/>
      <c r="O11" s="20"/>
      <c r="P11" s="19">
        <f t="shared" si="12"/>
        <v>56</v>
      </c>
      <c r="T11" s="12">
        <f t="shared" si="1"/>
        <v>23</v>
      </c>
      <c r="U11" s="12">
        <f t="shared" si="13"/>
        <v>0.25</v>
      </c>
      <c r="V11" s="12">
        <f t="shared" si="2"/>
        <v>0.17105263157894737</v>
      </c>
      <c r="W11" s="12">
        <f t="shared" si="3"/>
        <v>0.22012578616352202</v>
      </c>
      <c r="X11" s="12">
        <f t="shared" si="4"/>
        <v>2.9629629629629631E-2</v>
      </c>
      <c r="Y11" s="12">
        <f t="shared" si="5"/>
        <v>0</v>
      </c>
      <c r="Z11" s="12">
        <f t="shared" si="6"/>
        <v>0</v>
      </c>
      <c r="AA11" s="12">
        <f t="shared" si="7"/>
        <v>0</v>
      </c>
      <c r="AB11" s="12">
        <f t="shared" si="8"/>
        <v>0</v>
      </c>
      <c r="AC11" s="12">
        <f t="shared" si="9"/>
        <v>0</v>
      </c>
      <c r="AD11" s="12">
        <f t="shared" si="10"/>
        <v>0</v>
      </c>
      <c r="AE11" s="12">
        <f t="shared" si="11"/>
        <v>0</v>
      </c>
    </row>
    <row r="12" spans="2:31">
      <c r="B12" s="19">
        <f t="shared" si="0"/>
        <v>24</v>
      </c>
      <c r="C12" s="20"/>
      <c r="D12" s="20">
        <v>7</v>
      </c>
      <c r="E12" s="20">
        <v>25</v>
      </c>
      <c r="F12" s="20">
        <v>6</v>
      </c>
      <c r="G12" s="20"/>
      <c r="H12" s="20"/>
      <c r="I12" s="20"/>
      <c r="J12" s="20"/>
      <c r="K12" s="20"/>
      <c r="L12" s="20"/>
      <c r="M12" s="20"/>
      <c r="N12" s="20"/>
      <c r="O12" s="20"/>
      <c r="P12" s="19">
        <f t="shared" si="12"/>
        <v>38</v>
      </c>
      <c r="T12" s="12">
        <f t="shared" si="1"/>
        <v>24</v>
      </c>
      <c r="U12" s="12">
        <f t="shared" si="13"/>
        <v>0</v>
      </c>
      <c r="V12" s="12">
        <f t="shared" si="2"/>
        <v>9.2105263157894732E-2</v>
      </c>
      <c r="W12" s="12">
        <f t="shared" si="3"/>
        <v>0.15723270440251572</v>
      </c>
      <c r="X12" s="12">
        <f t="shared" si="4"/>
        <v>4.4444444444444446E-2</v>
      </c>
      <c r="Y12" s="12">
        <f t="shared" si="5"/>
        <v>0</v>
      </c>
      <c r="Z12" s="12">
        <f t="shared" si="6"/>
        <v>0</v>
      </c>
      <c r="AA12" s="12">
        <f t="shared" si="7"/>
        <v>0</v>
      </c>
      <c r="AB12" s="12">
        <f t="shared" si="8"/>
        <v>0</v>
      </c>
      <c r="AC12" s="12">
        <f t="shared" si="9"/>
        <v>0</v>
      </c>
      <c r="AD12" s="12">
        <f t="shared" si="10"/>
        <v>0</v>
      </c>
      <c r="AE12" s="12">
        <f t="shared" si="11"/>
        <v>0</v>
      </c>
    </row>
    <row r="13" spans="2:31">
      <c r="B13" s="19">
        <v>25</v>
      </c>
      <c r="C13" s="20"/>
      <c r="D13" s="20">
        <v>6</v>
      </c>
      <c r="E13" s="20">
        <v>17</v>
      </c>
      <c r="F13" s="20">
        <v>11</v>
      </c>
      <c r="G13" s="20"/>
      <c r="I13" s="20"/>
      <c r="J13" s="20"/>
      <c r="K13" s="20"/>
      <c r="L13" s="20"/>
      <c r="M13" s="20"/>
      <c r="N13" s="20"/>
      <c r="O13" s="20"/>
      <c r="P13" s="19">
        <f t="shared" si="12"/>
        <v>34</v>
      </c>
      <c r="T13" s="12">
        <f t="shared" si="1"/>
        <v>25</v>
      </c>
      <c r="U13" s="12">
        <f t="shared" si="13"/>
        <v>0</v>
      </c>
      <c r="V13" s="12">
        <f t="shared" si="2"/>
        <v>7.8947368421052627E-2</v>
      </c>
      <c r="W13" s="12">
        <f t="shared" si="3"/>
        <v>0.1069182389937107</v>
      </c>
      <c r="X13" s="12">
        <f t="shared" si="4"/>
        <v>8.1481481481481488E-2</v>
      </c>
      <c r="Y13" s="12">
        <f t="shared" si="5"/>
        <v>0</v>
      </c>
      <c r="Z13" s="12">
        <f t="shared" si="6"/>
        <v>0</v>
      </c>
      <c r="AA13" s="12">
        <f t="shared" si="7"/>
        <v>0</v>
      </c>
      <c r="AB13" s="12">
        <f t="shared" si="8"/>
        <v>0</v>
      </c>
      <c r="AC13" s="12">
        <f t="shared" si="9"/>
        <v>0</v>
      </c>
      <c r="AD13" s="12">
        <f t="shared" si="10"/>
        <v>0</v>
      </c>
      <c r="AE13" s="12">
        <f t="shared" si="11"/>
        <v>0</v>
      </c>
    </row>
    <row r="14" spans="2:31">
      <c r="B14" s="19">
        <v>26</v>
      </c>
      <c r="C14" s="20"/>
      <c r="D14" s="20">
        <v>7</v>
      </c>
      <c r="E14" s="20">
        <v>13</v>
      </c>
      <c r="F14" s="20">
        <v>10</v>
      </c>
      <c r="G14" s="20"/>
      <c r="I14" s="20"/>
      <c r="J14" s="20"/>
      <c r="K14" s="20"/>
      <c r="L14" s="20"/>
      <c r="M14" s="20"/>
      <c r="N14" s="20"/>
      <c r="O14" s="20"/>
      <c r="P14" s="19">
        <f t="shared" si="12"/>
        <v>30</v>
      </c>
      <c r="T14" s="12">
        <f t="shared" si="1"/>
        <v>26</v>
      </c>
      <c r="U14" s="12">
        <f t="shared" si="13"/>
        <v>0</v>
      </c>
      <c r="V14" s="12">
        <f t="shared" si="2"/>
        <v>9.2105263157894732E-2</v>
      </c>
      <c r="W14" s="12">
        <f t="shared" si="3"/>
        <v>8.1761006289308172E-2</v>
      </c>
      <c r="X14" s="12">
        <f t="shared" si="4"/>
        <v>7.407407407407407E-2</v>
      </c>
      <c r="Y14" s="12">
        <f t="shared" si="5"/>
        <v>0</v>
      </c>
      <c r="Z14" s="12">
        <f t="shared" si="6"/>
        <v>0</v>
      </c>
      <c r="AA14" s="12">
        <f t="shared" si="7"/>
        <v>0</v>
      </c>
      <c r="AB14" s="12">
        <f t="shared" si="8"/>
        <v>0</v>
      </c>
      <c r="AC14" s="12">
        <f t="shared" si="9"/>
        <v>0</v>
      </c>
      <c r="AD14" s="12">
        <f t="shared" si="10"/>
        <v>0</v>
      </c>
      <c r="AE14" s="12">
        <f t="shared" si="11"/>
        <v>0</v>
      </c>
    </row>
    <row r="15" spans="2:31">
      <c r="B15" s="19">
        <v>27</v>
      </c>
      <c r="C15" s="20"/>
      <c r="D15" s="20">
        <v>1</v>
      </c>
      <c r="E15" s="20">
        <v>11</v>
      </c>
      <c r="F15" s="23">
        <v>12</v>
      </c>
      <c r="G15" s="20"/>
      <c r="H15" s="20"/>
      <c r="I15" s="20"/>
      <c r="J15" s="20"/>
      <c r="K15" s="20"/>
      <c r="L15" s="20"/>
      <c r="M15" s="20"/>
      <c r="N15" s="20"/>
      <c r="O15" s="20"/>
      <c r="P15" s="19">
        <f t="shared" si="12"/>
        <v>24</v>
      </c>
      <c r="T15" s="12">
        <f t="shared" si="1"/>
        <v>27</v>
      </c>
      <c r="U15" s="12">
        <f t="shared" si="13"/>
        <v>0</v>
      </c>
      <c r="V15" s="12">
        <f t="shared" si="2"/>
        <v>1.3157894736842105E-2</v>
      </c>
      <c r="W15" s="12">
        <f t="shared" si="3"/>
        <v>6.9182389937106917E-2</v>
      </c>
      <c r="X15" s="12">
        <f t="shared" si="4"/>
        <v>8.8888888888888892E-2</v>
      </c>
      <c r="Y15" s="12">
        <f t="shared" si="5"/>
        <v>0</v>
      </c>
      <c r="Z15" s="12">
        <f t="shared" si="6"/>
        <v>0</v>
      </c>
      <c r="AA15" s="12">
        <f t="shared" si="7"/>
        <v>0</v>
      </c>
      <c r="AB15" s="12">
        <f t="shared" si="8"/>
        <v>0</v>
      </c>
      <c r="AC15" s="12">
        <f t="shared" si="9"/>
        <v>0</v>
      </c>
      <c r="AD15" s="12">
        <f t="shared" si="10"/>
        <v>0</v>
      </c>
      <c r="AE15" s="12">
        <f t="shared" si="11"/>
        <v>0</v>
      </c>
    </row>
    <row r="16" spans="2:31">
      <c r="B16" s="19">
        <v>28</v>
      </c>
      <c r="C16" s="20"/>
      <c r="D16" s="20">
        <v>1</v>
      </c>
      <c r="E16" s="20">
        <v>5</v>
      </c>
      <c r="F16" s="23">
        <v>16</v>
      </c>
      <c r="G16" s="20">
        <v>14</v>
      </c>
      <c r="H16" s="20"/>
      <c r="I16" s="20"/>
      <c r="J16" s="20"/>
      <c r="K16" s="20"/>
      <c r="L16" s="20"/>
      <c r="M16" s="20"/>
      <c r="N16" s="20"/>
      <c r="O16" s="20"/>
      <c r="P16" s="19">
        <f t="shared" si="12"/>
        <v>36</v>
      </c>
      <c r="T16" s="12">
        <f t="shared" si="1"/>
        <v>28</v>
      </c>
      <c r="U16" s="12">
        <f t="shared" si="13"/>
        <v>0</v>
      </c>
      <c r="V16" s="12">
        <f t="shared" si="2"/>
        <v>1.3157894736842105E-2</v>
      </c>
      <c r="W16" s="12">
        <f t="shared" si="3"/>
        <v>3.1446540880503145E-2</v>
      </c>
      <c r="X16" s="12">
        <f t="shared" si="4"/>
        <v>0.11851851851851852</v>
      </c>
      <c r="Y16" s="12">
        <f t="shared" si="5"/>
        <v>7.4866310160427801E-2</v>
      </c>
      <c r="Z16" s="12">
        <f t="shared" si="6"/>
        <v>0</v>
      </c>
      <c r="AA16" s="12">
        <f t="shared" si="7"/>
        <v>0</v>
      </c>
      <c r="AB16" s="12">
        <f t="shared" si="8"/>
        <v>0</v>
      </c>
      <c r="AC16" s="12">
        <f t="shared" si="9"/>
        <v>0</v>
      </c>
      <c r="AD16" s="12">
        <f t="shared" si="10"/>
        <v>0</v>
      </c>
      <c r="AE16" s="12">
        <f t="shared" si="11"/>
        <v>0</v>
      </c>
    </row>
    <row r="17" spans="2:31">
      <c r="B17" s="19">
        <v>29</v>
      </c>
      <c r="C17" s="20"/>
      <c r="D17" s="23">
        <v>1</v>
      </c>
      <c r="E17" s="23">
        <v>2</v>
      </c>
      <c r="F17" s="23">
        <v>17</v>
      </c>
      <c r="G17" s="23">
        <v>17</v>
      </c>
      <c r="H17" s="20">
        <v>11</v>
      </c>
      <c r="I17" s="23">
        <v>1</v>
      </c>
      <c r="J17" s="23"/>
      <c r="K17" s="23"/>
      <c r="L17" s="23"/>
      <c r="M17" s="23"/>
      <c r="N17" s="23"/>
      <c r="O17" s="23"/>
      <c r="P17" s="19">
        <f t="shared" si="12"/>
        <v>49</v>
      </c>
      <c r="T17" s="12">
        <f t="shared" si="1"/>
        <v>29</v>
      </c>
      <c r="U17" s="12">
        <f t="shared" si="13"/>
        <v>0</v>
      </c>
      <c r="V17" s="12">
        <f t="shared" si="2"/>
        <v>1.3157894736842105E-2</v>
      </c>
      <c r="W17" s="12">
        <f t="shared" si="3"/>
        <v>1.2578616352201259E-2</v>
      </c>
      <c r="X17" s="12">
        <f t="shared" si="4"/>
        <v>0.12592592592592591</v>
      </c>
      <c r="Y17" s="12">
        <f t="shared" si="5"/>
        <v>9.0909090909090912E-2</v>
      </c>
      <c r="Z17" s="12">
        <f t="shared" si="6"/>
        <v>3.2448377581120944E-2</v>
      </c>
      <c r="AA17" s="12">
        <f t="shared" si="7"/>
        <v>2.9154518950437317E-3</v>
      </c>
      <c r="AB17" s="12">
        <f t="shared" si="8"/>
        <v>0</v>
      </c>
      <c r="AC17" s="12">
        <f t="shared" si="9"/>
        <v>0</v>
      </c>
      <c r="AD17" s="12">
        <f t="shared" si="10"/>
        <v>0</v>
      </c>
      <c r="AE17" s="12">
        <f t="shared" si="11"/>
        <v>0</v>
      </c>
    </row>
    <row r="18" spans="2:31">
      <c r="B18" s="19">
        <v>30</v>
      </c>
      <c r="C18" s="20"/>
      <c r="D18" s="20"/>
      <c r="E18" s="23">
        <v>2</v>
      </c>
      <c r="F18" s="23">
        <v>11</v>
      </c>
      <c r="G18" s="23">
        <v>27</v>
      </c>
      <c r="H18" s="20">
        <v>25</v>
      </c>
      <c r="I18" s="23">
        <v>1</v>
      </c>
      <c r="J18" s="23"/>
      <c r="K18" s="23"/>
      <c r="L18" s="23"/>
      <c r="M18" s="23"/>
      <c r="N18" s="23"/>
      <c r="O18" s="23"/>
      <c r="P18" s="19">
        <f t="shared" si="12"/>
        <v>66</v>
      </c>
      <c r="T18" s="12">
        <f t="shared" si="1"/>
        <v>30</v>
      </c>
      <c r="U18" s="12">
        <f t="shared" si="13"/>
        <v>0</v>
      </c>
      <c r="V18" s="12">
        <f t="shared" si="2"/>
        <v>0</v>
      </c>
      <c r="W18" s="12">
        <f t="shared" si="3"/>
        <v>1.2578616352201259E-2</v>
      </c>
      <c r="X18" s="12">
        <f t="shared" si="4"/>
        <v>8.1481481481481488E-2</v>
      </c>
      <c r="Y18" s="12">
        <f t="shared" si="5"/>
        <v>0.14438502673796791</v>
      </c>
      <c r="Z18" s="12">
        <f t="shared" si="6"/>
        <v>7.3746312684365781E-2</v>
      </c>
      <c r="AA18" s="12">
        <f t="shared" si="7"/>
        <v>2.9154518950437317E-3</v>
      </c>
      <c r="AB18" s="12">
        <f t="shared" si="8"/>
        <v>0</v>
      </c>
      <c r="AC18" s="12">
        <f t="shared" si="9"/>
        <v>0</v>
      </c>
      <c r="AD18" s="12">
        <f t="shared" si="10"/>
        <v>0</v>
      </c>
      <c r="AE18" s="12">
        <f t="shared" si="11"/>
        <v>0</v>
      </c>
    </row>
    <row r="19" spans="2:31">
      <c r="B19" s="19">
        <v>31</v>
      </c>
      <c r="C19" s="20"/>
      <c r="D19" s="20"/>
      <c r="E19" s="23">
        <v>2</v>
      </c>
      <c r="F19" s="20">
        <v>13</v>
      </c>
      <c r="G19" s="23">
        <v>21</v>
      </c>
      <c r="H19" s="23">
        <v>25</v>
      </c>
      <c r="I19" s="23">
        <v>8</v>
      </c>
      <c r="J19" s="23"/>
      <c r="K19" s="23"/>
      <c r="M19" s="23"/>
      <c r="N19" s="23"/>
      <c r="O19" s="23"/>
      <c r="P19" s="19">
        <f t="shared" si="12"/>
        <v>69</v>
      </c>
      <c r="T19" s="12">
        <f t="shared" si="1"/>
        <v>31</v>
      </c>
      <c r="U19" s="12">
        <f t="shared" si="13"/>
        <v>0</v>
      </c>
      <c r="V19" s="12">
        <f t="shared" si="2"/>
        <v>0</v>
      </c>
      <c r="W19" s="12">
        <f t="shared" si="3"/>
        <v>1.2578616352201259E-2</v>
      </c>
      <c r="X19" s="12">
        <f t="shared" si="4"/>
        <v>9.6296296296296297E-2</v>
      </c>
      <c r="Y19" s="12">
        <f t="shared" si="5"/>
        <v>0.11229946524064172</v>
      </c>
      <c r="Z19" s="12">
        <f t="shared" si="6"/>
        <v>7.3746312684365781E-2</v>
      </c>
      <c r="AA19" s="12">
        <f t="shared" si="7"/>
        <v>2.3323615160349854E-2</v>
      </c>
      <c r="AB19" s="12">
        <f t="shared" si="8"/>
        <v>0</v>
      </c>
      <c r="AC19" s="12">
        <f t="shared" si="9"/>
        <v>0</v>
      </c>
      <c r="AD19" s="12">
        <f t="shared" si="10"/>
        <v>0</v>
      </c>
      <c r="AE19" s="12">
        <f t="shared" si="11"/>
        <v>0</v>
      </c>
    </row>
    <row r="20" spans="2:31">
      <c r="B20" s="19">
        <v>32</v>
      </c>
      <c r="C20" s="20"/>
      <c r="D20" s="20"/>
      <c r="E20" s="23">
        <v>1</v>
      </c>
      <c r="F20" s="23">
        <v>13</v>
      </c>
      <c r="G20" s="23">
        <v>16</v>
      </c>
      <c r="H20" s="23">
        <v>29</v>
      </c>
      <c r="I20" s="23">
        <v>7</v>
      </c>
      <c r="J20" s="23"/>
      <c r="K20" s="23"/>
      <c r="L20" s="23"/>
      <c r="M20" s="23"/>
      <c r="N20" s="23"/>
      <c r="O20" s="23"/>
      <c r="P20" s="19">
        <f t="shared" si="12"/>
        <v>66</v>
      </c>
      <c r="T20" s="12">
        <f t="shared" si="1"/>
        <v>32</v>
      </c>
      <c r="U20" s="12">
        <f t="shared" si="13"/>
        <v>0</v>
      </c>
      <c r="V20" s="12">
        <f t="shared" si="2"/>
        <v>0</v>
      </c>
      <c r="W20" s="12">
        <f t="shared" si="3"/>
        <v>6.2893081761006293E-3</v>
      </c>
      <c r="X20" s="12">
        <f t="shared" si="4"/>
        <v>9.6296296296296297E-2</v>
      </c>
      <c r="Y20" s="12">
        <f t="shared" si="5"/>
        <v>8.5561497326203204E-2</v>
      </c>
      <c r="Z20" s="12">
        <f t="shared" si="6"/>
        <v>8.5545722713864306E-2</v>
      </c>
      <c r="AA20" s="12">
        <f t="shared" si="7"/>
        <v>2.0408163265306121E-2</v>
      </c>
      <c r="AB20" s="12">
        <f t="shared" si="8"/>
        <v>0</v>
      </c>
      <c r="AC20" s="12">
        <f t="shared" si="9"/>
        <v>0</v>
      </c>
      <c r="AD20" s="12">
        <f t="shared" si="10"/>
        <v>0</v>
      </c>
      <c r="AE20" s="12">
        <f t="shared" si="11"/>
        <v>0</v>
      </c>
    </row>
    <row r="21" spans="2:31">
      <c r="B21" s="19">
        <v>33</v>
      </c>
      <c r="C21" s="20"/>
      <c r="D21" s="20"/>
      <c r="E21" s="23">
        <v>1</v>
      </c>
      <c r="F21" s="23">
        <v>7</v>
      </c>
      <c r="G21" s="23">
        <v>17</v>
      </c>
      <c r="H21" s="23">
        <v>40</v>
      </c>
      <c r="I21" s="23">
        <v>17</v>
      </c>
      <c r="J21" s="23">
        <v>1</v>
      </c>
      <c r="K21" s="23"/>
      <c r="L21" s="23"/>
      <c r="M21" s="23"/>
      <c r="N21" s="23"/>
      <c r="O21" s="23"/>
      <c r="P21" s="19">
        <f t="shared" si="12"/>
        <v>83</v>
      </c>
      <c r="T21" s="12">
        <f t="shared" si="1"/>
        <v>33</v>
      </c>
      <c r="U21" s="12">
        <f t="shared" si="13"/>
        <v>0</v>
      </c>
      <c r="V21" s="12">
        <f t="shared" si="2"/>
        <v>0</v>
      </c>
      <c r="W21" s="12">
        <f t="shared" si="3"/>
        <v>6.2893081761006293E-3</v>
      </c>
      <c r="X21" s="12">
        <f t="shared" si="4"/>
        <v>5.185185185185185E-2</v>
      </c>
      <c r="Y21" s="12">
        <f t="shared" si="5"/>
        <v>9.0909090909090912E-2</v>
      </c>
      <c r="Z21" s="12">
        <f t="shared" si="6"/>
        <v>0.11799410029498525</v>
      </c>
      <c r="AA21" s="12">
        <f t="shared" si="7"/>
        <v>4.9562682215743441E-2</v>
      </c>
      <c r="AB21" s="12">
        <f t="shared" si="8"/>
        <v>2.8985507246376812E-3</v>
      </c>
      <c r="AC21" s="12">
        <f t="shared" si="9"/>
        <v>0</v>
      </c>
      <c r="AD21" s="12">
        <f t="shared" si="10"/>
        <v>0</v>
      </c>
      <c r="AE21" s="12">
        <f t="shared" si="11"/>
        <v>0</v>
      </c>
    </row>
    <row r="22" spans="2:31">
      <c r="B22" s="19">
        <v>34</v>
      </c>
      <c r="C22" s="20"/>
      <c r="D22" s="20"/>
      <c r="E22" s="20"/>
      <c r="F22" s="23">
        <v>5</v>
      </c>
      <c r="G22" s="23">
        <v>22</v>
      </c>
      <c r="H22" s="23">
        <v>37</v>
      </c>
      <c r="I22" s="23">
        <v>22</v>
      </c>
      <c r="J22" s="23">
        <v>3</v>
      </c>
      <c r="K22" s="23"/>
      <c r="L22" s="23"/>
      <c r="M22" s="23"/>
      <c r="N22" s="23"/>
      <c r="O22" s="23"/>
      <c r="P22" s="19">
        <f t="shared" si="12"/>
        <v>89</v>
      </c>
      <c r="T22" s="12">
        <f t="shared" si="1"/>
        <v>34</v>
      </c>
      <c r="U22" s="12">
        <f t="shared" si="13"/>
        <v>0</v>
      </c>
      <c r="V22" s="12">
        <f t="shared" si="2"/>
        <v>0</v>
      </c>
      <c r="W22" s="12">
        <f t="shared" si="3"/>
        <v>0</v>
      </c>
      <c r="X22" s="12">
        <f t="shared" si="4"/>
        <v>3.7037037037037035E-2</v>
      </c>
      <c r="Y22" s="12">
        <f t="shared" si="5"/>
        <v>0.11764705882352941</v>
      </c>
      <c r="Z22" s="12">
        <f t="shared" si="6"/>
        <v>0.10914454277286136</v>
      </c>
      <c r="AA22" s="12">
        <f t="shared" si="7"/>
        <v>6.4139941690962099E-2</v>
      </c>
      <c r="AB22" s="12">
        <f t="shared" si="8"/>
        <v>8.6956521739130436E-3</v>
      </c>
      <c r="AC22" s="12">
        <f t="shared" si="9"/>
        <v>0</v>
      </c>
      <c r="AD22" s="12">
        <f t="shared" si="10"/>
        <v>0</v>
      </c>
      <c r="AE22" s="12">
        <f t="shared" si="11"/>
        <v>0</v>
      </c>
    </row>
    <row r="23" spans="2:31">
      <c r="B23" s="19">
        <v>35</v>
      </c>
      <c r="C23" s="20"/>
      <c r="D23" s="20"/>
      <c r="E23" s="20"/>
      <c r="F23" s="23">
        <v>5</v>
      </c>
      <c r="G23" s="23">
        <v>16</v>
      </c>
      <c r="H23" s="23">
        <v>37</v>
      </c>
      <c r="I23" s="23">
        <v>20</v>
      </c>
      <c r="J23" s="23">
        <v>8</v>
      </c>
      <c r="K23" s="23">
        <v>3</v>
      </c>
      <c r="L23" s="23"/>
      <c r="M23" s="23"/>
      <c r="N23" s="23"/>
      <c r="O23" s="23"/>
      <c r="P23" s="19">
        <f t="shared" si="12"/>
        <v>89</v>
      </c>
      <c r="T23" s="12">
        <f t="shared" si="1"/>
        <v>35</v>
      </c>
      <c r="U23" s="12">
        <f t="shared" si="13"/>
        <v>0</v>
      </c>
      <c r="V23" s="12">
        <f t="shared" si="2"/>
        <v>0</v>
      </c>
      <c r="W23" s="12">
        <f t="shared" si="3"/>
        <v>0</v>
      </c>
      <c r="X23" s="12">
        <f t="shared" si="4"/>
        <v>3.7037037037037035E-2</v>
      </c>
      <c r="Y23" s="12">
        <f t="shared" si="5"/>
        <v>8.5561497326203204E-2</v>
      </c>
      <c r="Z23" s="12">
        <f t="shared" si="6"/>
        <v>0.10914454277286136</v>
      </c>
      <c r="AA23" s="12">
        <f t="shared" si="7"/>
        <v>5.8309037900874633E-2</v>
      </c>
      <c r="AB23" s="12">
        <f t="shared" si="8"/>
        <v>2.318840579710145E-2</v>
      </c>
      <c r="AC23" s="12">
        <f t="shared" si="9"/>
        <v>1.0600706713780919E-2</v>
      </c>
      <c r="AD23" s="12">
        <f t="shared" si="10"/>
        <v>0</v>
      </c>
      <c r="AE23" s="12">
        <f t="shared" si="11"/>
        <v>0</v>
      </c>
    </row>
    <row r="24" spans="2:31">
      <c r="B24" s="19">
        <v>36</v>
      </c>
      <c r="C24" s="20"/>
      <c r="D24" s="20"/>
      <c r="E24" s="20"/>
      <c r="F24" s="23">
        <v>3</v>
      </c>
      <c r="G24" s="23">
        <v>15</v>
      </c>
      <c r="H24" s="23">
        <v>22</v>
      </c>
      <c r="I24" s="23">
        <v>26</v>
      </c>
      <c r="J24" s="23">
        <v>18</v>
      </c>
      <c r="K24" s="23">
        <v>1</v>
      </c>
      <c r="L24" s="23"/>
      <c r="M24" s="23"/>
      <c r="N24" s="23"/>
      <c r="O24" s="23"/>
      <c r="P24" s="19">
        <f t="shared" si="12"/>
        <v>85</v>
      </c>
      <c r="T24" s="12">
        <f t="shared" si="1"/>
        <v>36</v>
      </c>
      <c r="U24" s="12">
        <f t="shared" si="13"/>
        <v>0</v>
      </c>
      <c r="V24" s="12">
        <f t="shared" si="2"/>
        <v>0</v>
      </c>
      <c r="W24" s="12">
        <f t="shared" si="3"/>
        <v>0</v>
      </c>
      <c r="X24" s="12">
        <f t="shared" si="4"/>
        <v>2.2222222222222223E-2</v>
      </c>
      <c r="Y24" s="12">
        <f t="shared" si="5"/>
        <v>8.0213903743315509E-2</v>
      </c>
      <c r="Z24" s="12">
        <f t="shared" si="6"/>
        <v>6.4896755162241887E-2</v>
      </c>
      <c r="AA24" s="12">
        <f t="shared" si="7"/>
        <v>7.5801749271137031E-2</v>
      </c>
      <c r="AB24" s="12">
        <f t="shared" si="8"/>
        <v>5.2173913043478258E-2</v>
      </c>
      <c r="AC24" s="12">
        <f t="shared" si="9"/>
        <v>3.5335689045936395E-3</v>
      </c>
      <c r="AD24" s="12">
        <f t="shared" si="10"/>
        <v>0</v>
      </c>
      <c r="AE24" s="12">
        <f t="shared" si="11"/>
        <v>0</v>
      </c>
    </row>
    <row r="25" spans="2:31">
      <c r="B25" s="19">
        <v>37</v>
      </c>
      <c r="C25" s="20"/>
      <c r="D25" s="20"/>
      <c r="E25" s="20"/>
      <c r="F25" s="23"/>
      <c r="G25" s="23">
        <v>14</v>
      </c>
      <c r="H25" s="23">
        <v>32</v>
      </c>
      <c r="I25" s="23">
        <v>27</v>
      </c>
      <c r="J25" s="23">
        <v>17</v>
      </c>
      <c r="K25" s="23">
        <v>6</v>
      </c>
      <c r="L25" s="23"/>
      <c r="M25" s="23"/>
      <c r="N25" s="23"/>
      <c r="O25" s="23"/>
      <c r="P25" s="19">
        <f t="shared" si="12"/>
        <v>96</v>
      </c>
      <c r="T25" s="12">
        <f t="shared" si="1"/>
        <v>37</v>
      </c>
      <c r="U25" s="12">
        <f t="shared" si="13"/>
        <v>0</v>
      </c>
      <c r="V25" s="12">
        <f t="shared" si="2"/>
        <v>0</v>
      </c>
      <c r="W25" s="12">
        <f t="shared" si="3"/>
        <v>0</v>
      </c>
      <c r="X25" s="12">
        <f t="shared" si="4"/>
        <v>0</v>
      </c>
      <c r="Y25" s="12">
        <f t="shared" si="5"/>
        <v>7.4866310160427801E-2</v>
      </c>
      <c r="Z25" s="12">
        <f t="shared" si="6"/>
        <v>9.4395280235988199E-2</v>
      </c>
      <c r="AA25" s="12">
        <f t="shared" si="7"/>
        <v>7.8717201166180764E-2</v>
      </c>
      <c r="AB25" s="12">
        <f t="shared" si="8"/>
        <v>4.9275362318840582E-2</v>
      </c>
      <c r="AC25" s="12">
        <f t="shared" si="9"/>
        <v>2.1201413427561839E-2</v>
      </c>
      <c r="AD25" s="12">
        <f t="shared" si="10"/>
        <v>0</v>
      </c>
      <c r="AE25" s="12">
        <f t="shared" si="11"/>
        <v>0</v>
      </c>
    </row>
    <row r="26" spans="2:31">
      <c r="B26" s="19">
        <v>38</v>
      </c>
      <c r="C26" s="20"/>
      <c r="D26" s="20"/>
      <c r="E26" s="20"/>
      <c r="F26" s="20"/>
      <c r="G26" s="23">
        <v>8</v>
      </c>
      <c r="H26" s="23">
        <v>24</v>
      </c>
      <c r="I26" s="23">
        <v>29</v>
      </c>
      <c r="J26" s="23">
        <v>10</v>
      </c>
      <c r="K26" s="23">
        <v>5</v>
      </c>
      <c r="L26" s="23"/>
      <c r="M26" s="23"/>
      <c r="N26" s="23"/>
      <c r="O26" s="23"/>
      <c r="P26" s="19">
        <f t="shared" si="12"/>
        <v>76</v>
      </c>
      <c r="T26" s="12">
        <f t="shared" si="1"/>
        <v>38</v>
      </c>
      <c r="U26" s="12">
        <f t="shared" si="13"/>
        <v>0</v>
      </c>
      <c r="V26" s="12">
        <f t="shared" si="2"/>
        <v>0</v>
      </c>
      <c r="W26" s="12">
        <f t="shared" si="3"/>
        <v>0</v>
      </c>
      <c r="X26" s="12">
        <f t="shared" si="4"/>
        <v>0</v>
      </c>
      <c r="Y26" s="12">
        <f t="shared" si="5"/>
        <v>4.2780748663101602E-2</v>
      </c>
      <c r="Z26" s="12">
        <f t="shared" si="6"/>
        <v>7.0796460176991149E-2</v>
      </c>
      <c r="AA26" s="12">
        <f t="shared" si="7"/>
        <v>8.4548104956268216E-2</v>
      </c>
      <c r="AB26" s="12">
        <f t="shared" si="8"/>
        <v>2.8985507246376812E-2</v>
      </c>
      <c r="AC26" s="12">
        <f t="shared" si="9"/>
        <v>1.7667844522968199E-2</v>
      </c>
      <c r="AD26" s="12">
        <f t="shared" si="10"/>
        <v>0</v>
      </c>
      <c r="AE26" s="12">
        <f t="shared" si="11"/>
        <v>0</v>
      </c>
    </row>
    <row r="27" spans="2:31">
      <c r="B27" s="19">
        <v>39</v>
      </c>
      <c r="C27" s="20"/>
      <c r="D27" s="20"/>
      <c r="E27" s="20"/>
      <c r="F27" s="20"/>
      <c r="G27" s="23"/>
      <c r="H27" s="23">
        <v>16</v>
      </c>
      <c r="I27" s="23">
        <v>32</v>
      </c>
      <c r="J27" s="23">
        <v>23</v>
      </c>
      <c r="K27" s="23">
        <v>11</v>
      </c>
      <c r="L27" s="23"/>
      <c r="M27" s="23"/>
      <c r="N27" s="23"/>
      <c r="O27" s="23"/>
      <c r="P27" s="19">
        <f t="shared" si="12"/>
        <v>82</v>
      </c>
      <c r="T27" s="12">
        <f t="shared" si="1"/>
        <v>39</v>
      </c>
      <c r="U27" s="12">
        <f t="shared" si="13"/>
        <v>0</v>
      </c>
      <c r="V27" s="12">
        <f t="shared" si="2"/>
        <v>0</v>
      </c>
      <c r="W27" s="12">
        <f t="shared" si="3"/>
        <v>0</v>
      </c>
      <c r="X27" s="12">
        <f t="shared" si="4"/>
        <v>0</v>
      </c>
      <c r="Y27" s="12">
        <f t="shared" si="5"/>
        <v>0</v>
      </c>
      <c r="Z27" s="12">
        <f t="shared" si="6"/>
        <v>4.71976401179941E-2</v>
      </c>
      <c r="AA27" s="12">
        <f t="shared" si="7"/>
        <v>9.3294460641399415E-2</v>
      </c>
      <c r="AB27" s="12">
        <f t="shared" si="8"/>
        <v>6.6666666666666666E-2</v>
      </c>
      <c r="AC27" s="12">
        <f t="shared" si="9"/>
        <v>3.8869257950530034E-2</v>
      </c>
      <c r="AD27" s="12">
        <f t="shared" si="10"/>
        <v>0</v>
      </c>
      <c r="AE27" s="12">
        <f t="shared" si="11"/>
        <v>0</v>
      </c>
    </row>
    <row r="28" spans="2:31">
      <c r="B28" s="19">
        <v>40</v>
      </c>
      <c r="C28" s="20"/>
      <c r="D28" s="20"/>
      <c r="E28" s="20"/>
      <c r="F28" s="20"/>
      <c r="G28" s="20"/>
      <c r="H28" s="20">
        <v>10</v>
      </c>
      <c r="I28" s="20">
        <v>30</v>
      </c>
      <c r="J28" s="20">
        <v>23</v>
      </c>
      <c r="K28" s="20">
        <v>12</v>
      </c>
      <c r="L28" s="13">
        <v>3</v>
      </c>
      <c r="M28" s="20"/>
      <c r="N28" s="20"/>
      <c r="O28" s="20"/>
      <c r="P28" s="19">
        <f t="shared" si="12"/>
        <v>78</v>
      </c>
      <c r="T28" s="12">
        <f t="shared" si="1"/>
        <v>40</v>
      </c>
      <c r="U28" s="12">
        <f t="shared" si="13"/>
        <v>0</v>
      </c>
      <c r="V28" s="12">
        <f t="shared" si="2"/>
        <v>0</v>
      </c>
      <c r="W28" s="12">
        <f t="shared" si="3"/>
        <v>0</v>
      </c>
      <c r="X28" s="12">
        <f t="shared" si="4"/>
        <v>0</v>
      </c>
      <c r="Y28" s="12">
        <f t="shared" si="5"/>
        <v>0</v>
      </c>
      <c r="Z28" s="12">
        <f t="shared" si="6"/>
        <v>2.9498525073746312E-2</v>
      </c>
      <c r="AA28" s="12">
        <f t="shared" si="7"/>
        <v>8.7463556851311949E-2</v>
      </c>
      <c r="AB28" s="12">
        <f t="shared" si="8"/>
        <v>6.6666666666666666E-2</v>
      </c>
      <c r="AC28" s="12">
        <f t="shared" si="9"/>
        <v>4.2402826855123678E-2</v>
      </c>
      <c r="AD28" s="12">
        <f t="shared" si="10"/>
        <v>1.8987341772151899E-2</v>
      </c>
      <c r="AE28" s="12">
        <f t="shared" si="11"/>
        <v>0</v>
      </c>
    </row>
    <row r="29" spans="2:31">
      <c r="B29" s="19">
        <v>41</v>
      </c>
      <c r="C29" s="20"/>
      <c r="D29" s="20"/>
      <c r="E29" s="20"/>
      <c r="F29" s="20"/>
      <c r="G29" s="20"/>
      <c r="H29" s="20">
        <v>7</v>
      </c>
      <c r="I29" s="20">
        <v>22</v>
      </c>
      <c r="J29" s="20">
        <v>23</v>
      </c>
      <c r="K29" s="20">
        <v>19</v>
      </c>
      <c r="L29" s="20">
        <v>2</v>
      </c>
      <c r="M29" s="20"/>
      <c r="N29" s="20"/>
      <c r="O29" s="20"/>
      <c r="P29" s="19">
        <f t="shared" si="12"/>
        <v>73</v>
      </c>
      <c r="T29" s="12">
        <f t="shared" si="1"/>
        <v>41</v>
      </c>
      <c r="U29" s="12">
        <f t="shared" si="13"/>
        <v>0</v>
      </c>
      <c r="V29" s="12">
        <f t="shared" si="2"/>
        <v>0</v>
      </c>
      <c r="W29" s="12">
        <f t="shared" si="3"/>
        <v>0</v>
      </c>
      <c r="X29" s="12">
        <f t="shared" si="4"/>
        <v>0</v>
      </c>
      <c r="Y29" s="12">
        <f t="shared" si="5"/>
        <v>0</v>
      </c>
      <c r="Z29" s="12">
        <f t="shared" si="6"/>
        <v>2.0648967551622419E-2</v>
      </c>
      <c r="AA29" s="12">
        <f t="shared" si="7"/>
        <v>6.4139941690962099E-2</v>
      </c>
      <c r="AB29" s="12">
        <f t="shared" si="8"/>
        <v>6.6666666666666666E-2</v>
      </c>
      <c r="AC29" s="12">
        <f t="shared" si="9"/>
        <v>6.7137809187279157E-2</v>
      </c>
      <c r="AD29" s="12">
        <f t="shared" si="10"/>
        <v>1.2658227848101266E-2</v>
      </c>
      <c r="AE29" s="12">
        <f t="shared" si="11"/>
        <v>0</v>
      </c>
    </row>
    <row r="30" spans="2:31">
      <c r="B30" s="19">
        <v>42</v>
      </c>
      <c r="C30" s="20"/>
      <c r="D30" s="20"/>
      <c r="E30" s="20"/>
      <c r="F30" s="20"/>
      <c r="G30" s="23"/>
      <c r="H30" s="23">
        <v>8</v>
      </c>
      <c r="I30" s="23">
        <v>17</v>
      </c>
      <c r="J30" s="23">
        <v>34</v>
      </c>
      <c r="K30" s="23">
        <v>14</v>
      </c>
      <c r="L30" s="20">
        <v>8</v>
      </c>
      <c r="M30" s="23"/>
      <c r="N30" s="23"/>
      <c r="O30" s="23"/>
      <c r="P30" s="19">
        <f t="shared" si="12"/>
        <v>81</v>
      </c>
      <c r="T30" s="12">
        <f t="shared" si="1"/>
        <v>42</v>
      </c>
      <c r="U30" s="12">
        <f t="shared" si="13"/>
        <v>0</v>
      </c>
      <c r="V30" s="12">
        <f t="shared" si="2"/>
        <v>0</v>
      </c>
      <c r="W30" s="12">
        <f t="shared" si="3"/>
        <v>0</v>
      </c>
      <c r="X30" s="12">
        <f t="shared" si="4"/>
        <v>0</v>
      </c>
      <c r="Y30" s="12">
        <f t="shared" si="5"/>
        <v>0</v>
      </c>
      <c r="Z30" s="12">
        <f t="shared" si="6"/>
        <v>2.359882005899705E-2</v>
      </c>
      <c r="AA30" s="12">
        <f t="shared" si="7"/>
        <v>4.9562682215743441E-2</v>
      </c>
      <c r="AB30" s="12">
        <f t="shared" si="8"/>
        <v>9.8550724637681164E-2</v>
      </c>
      <c r="AC30" s="12">
        <f t="shared" si="9"/>
        <v>4.9469964664310952E-2</v>
      </c>
      <c r="AD30" s="12">
        <f t="shared" si="10"/>
        <v>5.0632911392405063E-2</v>
      </c>
      <c r="AE30" s="12">
        <f t="shared" si="11"/>
        <v>0</v>
      </c>
    </row>
    <row r="31" spans="2:31">
      <c r="B31" s="19">
        <v>43</v>
      </c>
      <c r="C31" s="20"/>
      <c r="D31" s="20"/>
      <c r="E31" s="20"/>
      <c r="F31" s="20"/>
      <c r="G31" s="20"/>
      <c r="H31" s="20">
        <v>4</v>
      </c>
      <c r="I31" s="20">
        <v>15</v>
      </c>
      <c r="J31" s="20">
        <v>33</v>
      </c>
      <c r="K31" s="20">
        <v>15</v>
      </c>
      <c r="L31" s="20">
        <v>11</v>
      </c>
      <c r="M31" s="20"/>
      <c r="N31" s="20"/>
      <c r="O31" s="20"/>
      <c r="P31" s="19">
        <f t="shared" si="12"/>
        <v>78</v>
      </c>
      <c r="T31" s="12">
        <f t="shared" si="1"/>
        <v>43</v>
      </c>
      <c r="U31" s="12">
        <f t="shared" si="13"/>
        <v>0</v>
      </c>
      <c r="V31" s="12">
        <f t="shared" si="2"/>
        <v>0</v>
      </c>
      <c r="W31" s="12">
        <f t="shared" si="3"/>
        <v>0</v>
      </c>
      <c r="X31" s="12">
        <f t="shared" si="4"/>
        <v>0</v>
      </c>
      <c r="Y31" s="12">
        <f t="shared" si="5"/>
        <v>0</v>
      </c>
      <c r="Z31" s="12">
        <f t="shared" si="6"/>
        <v>1.1799410029498525E-2</v>
      </c>
      <c r="AA31" s="12">
        <f t="shared" si="7"/>
        <v>4.3731778425655975E-2</v>
      </c>
      <c r="AB31" s="12">
        <f t="shared" si="8"/>
        <v>9.5652173913043481E-2</v>
      </c>
      <c r="AC31" s="12">
        <f t="shared" si="9"/>
        <v>5.3003533568904596E-2</v>
      </c>
      <c r="AD31" s="12">
        <f t="shared" si="10"/>
        <v>6.9620253164556958E-2</v>
      </c>
      <c r="AE31" s="12">
        <f t="shared" si="11"/>
        <v>0</v>
      </c>
    </row>
    <row r="32" spans="2:31">
      <c r="B32" s="19">
        <v>44</v>
      </c>
      <c r="C32" s="20"/>
      <c r="D32" s="20"/>
      <c r="E32" s="20"/>
      <c r="F32" s="20"/>
      <c r="G32" s="20"/>
      <c r="H32" s="13">
        <v>3</v>
      </c>
      <c r="I32" s="20">
        <v>16</v>
      </c>
      <c r="J32" s="20">
        <v>22</v>
      </c>
      <c r="K32" s="20">
        <v>23</v>
      </c>
      <c r="L32" s="20">
        <v>9</v>
      </c>
      <c r="M32" s="20">
        <v>4</v>
      </c>
      <c r="N32" s="20"/>
      <c r="O32" s="20"/>
      <c r="P32" s="19">
        <f t="shared" si="12"/>
        <v>77</v>
      </c>
      <c r="T32" s="12">
        <f t="shared" si="1"/>
        <v>44</v>
      </c>
      <c r="U32" s="12">
        <f t="shared" si="13"/>
        <v>0</v>
      </c>
      <c r="V32" s="12">
        <f t="shared" si="2"/>
        <v>0</v>
      </c>
      <c r="W32" s="12">
        <f t="shared" si="3"/>
        <v>0</v>
      </c>
      <c r="X32" s="12">
        <f t="shared" si="4"/>
        <v>0</v>
      </c>
      <c r="Y32" s="12">
        <f t="shared" si="5"/>
        <v>0</v>
      </c>
      <c r="Z32" s="12">
        <f t="shared" si="6"/>
        <v>8.8495575221238937E-3</v>
      </c>
      <c r="AA32" s="12">
        <f t="shared" si="7"/>
        <v>4.6647230320699708E-2</v>
      </c>
      <c r="AB32" s="12">
        <f t="shared" si="8"/>
        <v>6.3768115942028983E-2</v>
      </c>
      <c r="AC32" s="12">
        <f t="shared" si="9"/>
        <v>8.1272084805653705E-2</v>
      </c>
      <c r="AD32" s="12">
        <f t="shared" si="10"/>
        <v>5.6962025316455694E-2</v>
      </c>
      <c r="AE32" s="12">
        <f t="shared" si="11"/>
        <v>5.4054054054054057E-2</v>
      </c>
    </row>
    <row r="33" spans="2:31">
      <c r="B33" s="19">
        <v>45</v>
      </c>
      <c r="C33" s="20"/>
      <c r="D33" s="20"/>
      <c r="E33" s="20"/>
      <c r="F33" s="20"/>
      <c r="G33" s="20"/>
      <c r="H33" s="20">
        <v>3</v>
      </c>
      <c r="I33" s="20">
        <v>10</v>
      </c>
      <c r="J33" s="20">
        <v>29</v>
      </c>
      <c r="K33" s="20">
        <v>33</v>
      </c>
      <c r="L33" s="20">
        <v>9</v>
      </c>
      <c r="M33" s="20">
        <v>1</v>
      </c>
      <c r="N33" s="20"/>
      <c r="O33" s="20"/>
      <c r="P33" s="19">
        <f t="shared" si="12"/>
        <v>85</v>
      </c>
      <c r="T33" s="12">
        <f t="shared" si="1"/>
        <v>45</v>
      </c>
      <c r="U33" s="12">
        <f t="shared" si="13"/>
        <v>0</v>
      </c>
      <c r="V33" s="12">
        <f t="shared" si="2"/>
        <v>0</v>
      </c>
      <c r="W33" s="12">
        <f t="shared" si="3"/>
        <v>0</v>
      </c>
      <c r="X33" s="12">
        <f t="shared" si="4"/>
        <v>0</v>
      </c>
      <c r="Y33" s="12">
        <f t="shared" si="5"/>
        <v>0</v>
      </c>
      <c r="Z33" s="12">
        <f t="shared" si="6"/>
        <v>8.8495575221238937E-3</v>
      </c>
      <c r="AA33" s="12">
        <f t="shared" si="7"/>
        <v>2.9154518950437316E-2</v>
      </c>
      <c r="AB33" s="12">
        <f t="shared" si="8"/>
        <v>8.4057971014492749E-2</v>
      </c>
      <c r="AC33" s="12">
        <f t="shared" si="9"/>
        <v>0.1166077738515901</v>
      </c>
      <c r="AD33" s="12">
        <f t="shared" si="10"/>
        <v>5.6962025316455694E-2</v>
      </c>
      <c r="AE33" s="12">
        <f t="shared" si="11"/>
        <v>1.3513513513513514E-2</v>
      </c>
    </row>
    <row r="34" spans="2:31">
      <c r="B34" s="19">
        <v>46</v>
      </c>
      <c r="C34" s="20"/>
      <c r="D34" s="20"/>
      <c r="E34" s="20"/>
      <c r="F34" s="20"/>
      <c r="G34" s="20"/>
      <c r="H34" s="20">
        <v>2</v>
      </c>
      <c r="I34" s="20">
        <v>13</v>
      </c>
      <c r="J34" s="20">
        <v>25</v>
      </c>
      <c r="K34" s="20">
        <v>20</v>
      </c>
      <c r="L34" s="13">
        <v>12</v>
      </c>
      <c r="M34" s="20">
        <v>7</v>
      </c>
      <c r="N34" s="20"/>
      <c r="O34" s="20"/>
      <c r="P34" s="19">
        <f t="shared" si="12"/>
        <v>79</v>
      </c>
      <c r="T34" s="12">
        <f t="shared" si="1"/>
        <v>46</v>
      </c>
      <c r="U34" s="12">
        <f t="shared" si="13"/>
        <v>0</v>
      </c>
      <c r="V34" s="12">
        <f t="shared" si="2"/>
        <v>0</v>
      </c>
      <c r="W34" s="12">
        <f t="shared" si="3"/>
        <v>0</v>
      </c>
      <c r="X34" s="12">
        <f t="shared" si="4"/>
        <v>0</v>
      </c>
      <c r="Y34" s="12">
        <f t="shared" si="5"/>
        <v>0</v>
      </c>
      <c r="Z34" s="12">
        <f t="shared" si="6"/>
        <v>5.8997050147492625E-3</v>
      </c>
      <c r="AA34" s="12">
        <f t="shared" si="7"/>
        <v>3.7900874635568516E-2</v>
      </c>
      <c r="AB34" s="12">
        <f t="shared" si="8"/>
        <v>7.2463768115942032E-2</v>
      </c>
      <c r="AC34" s="12">
        <f t="shared" si="9"/>
        <v>7.0671378091872794E-2</v>
      </c>
      <c r="AD34" s="12">
        <f t="shared" si="10"/>
        <v>7.5949367088607597E-2</v>
      </c>
      <c r="AE34" s="12">
        <f t="shared" si="11"/>
        <v>9.45945945945946E-2</v>
      </c>
    </row>
    <row r="35" spans="2:31">
      <c r="B35" s="19">
        <v>47</v>
      </c>
      <c r="C35" s="20"/>
      <c r="D35" s="20"/>
      <c r="E35" s="20"/>
      <c r="F35" s="20"/>
      <c r="G35" s="20"/>
      <c r="H35" s="20">
        <v>4</v>
      </c>
      <c r="I35" s="20">
        <v>11</v>
      </c>
      <c r="J35" s="20">
        <v>18</v>
      </c>
      <c r="K35" s="20">
        <v>26</v>
      </c>
      <c r="L35" s="20">
        <v>14</v>
      </c>
      <c r="M35" s="13">
        <v>2</v>
      </c>
      <c r="N35" s="20">
        <v>3</v>
      </c>
      <c r="O35" s="20"/>
      <c r="P35" s="19">
        <f t="shared" si="12"/>
        <v>78</v>
      </c>
      <c r="T35" s="12">
        <f t="shared" si="1"/>
        <v>47</v>
      </c>
      <c r="U35" s="12">
        <f t="shared" si="13"/>
        <v>0</v>
      </c>
      <c r="V35" s="12">
        <f t="shared" si="2"/>
        <v>0</v>
      </c>
      <c r="W35" s="12">
        <f t="shared" si="3"/>
        <v>0</v>
      </c>
      <c r="X35" s="12">
        <f t="shared" si="4"/>
        <v>0</v>
      </c>
      <c r="Y35" s="12">
        <f t="shared" si="5"/>
        <v>0</v>
      </c>
      <c r="Z35" s="12">
        <f t="shared" si="6"/>
        <v>1.1799410029498525E-2</v>
      </c>
      <c r="AA35" s="12">
        <f t="shared" si="7"/>
        <v>3.2069970845481049E-2</v>
      </c>
      <c r="AB35" s="12">
        <f t="shared" si="8"/>
        <v>5.2173913043478258E-2</v>
      </c>
      <c r="AC35" s="12">
        <f t="shared" si="9"/>
        <v>9.187279151943463E-2</v>
      </c>
      <c r="AD35" s="12">
        <f t="shared" si="10"/>
        <v>8.8607594936708861E-2</v>
      </c>
      <c r="AE35" s="12">
        <f t="shared" si="11"/>
        <v>2.7027027027027029E-2</v>
      </c>
    </row>
    <row r="36" spans="2:31">
      <c r="B36" s="19">
        <v>48</v>
      </c>
      <c r="C36" s="20"/>
      <c r="D36" s="20"/>
      <c r="E36" s="20"/>
      <c r="F36" s="20"/>
      <c r="G36" s="20"/>
      <c r="H36" s="20"/>
      <c r="I36" s="20">
        <v>5</v>
      </c>
      <c r="J36" s="20">
        <v>15</v>
      </c>
      <c r="K36" s="20">
        <v>16</v>
      </c>
      <c r="L36" s="20">
        <v>21</v>
      </c>
      <c r="M36" s="20">
        <v>5</v>
      </c>
      <c r="N36" s="20">
        <v>3</v>
      </c>
      <c r="O36" s="20"/>
      <c r="P36" s="19">
        <f t="shared" si="12"/>
        <v>65</v>
      </c>
      <c r="T36" s="12">
        <f t="shared" si="1"/>
        <v>48</v>
      </c>
      <c r="U36" s="12">
        <f t="shared" si="13"/>
        <v>0</v>
      </c>
      <c r="V36" s="12">
        <f t="shared" si="2"/>
        <v>0</v>
      </c>
      <c r="W36" s="12">
        <f t="shared" si="3"/>
        <v>0</v>
      </c>
      <c r="X36" s="12">
        <f t="shared" si="4"/>
        <v>0</v>
      </c>
      <c r="Y36" s="12">
        <f t="shared" si="5"/>
        <v>0</v>
      </c>
      <c r="Z36" s="12">
        <f t="shared" si="6"/>
        <v>0</v>
      </c>
      <c r="AA36" s="12">
        <f t="shared" si="7"/>
        <v>1.4577259475218658E-2</v>
      </c>
      <c r="AB36" s="12">
        <f t="shared" si="8"/>
        <v>4.3478260869565216E-2</v>
      </c>
      <c r="AC36" s="12">
        <f t="shared" si="9"/>
        <v>5.6537102473498232E-2</v>
      </c>
      <c r="AD36" s="12">
        <f t="shared" si="10"/>
        <v>0.13291139240506328</v>
      </c>
      <c r="AE36" s="12">
        <f t="shared" si="11"/>
        <v>6.7567567567567571E-2</v>
      </c>
    </row>
    <row r="37" spans="2:31">
      <c r="B37" s="19">
        <v>49</v>
      </c>
      <c r="C37" s="20"/>
      <c r="D37" s="20"/>
      <c r="E37" s="20"/>
      <c r="F37" s="20"/>
      <c r="G37" s="20"/>
      <c r="H37" s="20"/>
      <c r="I37" s="20">
        <v>7</v>
      </c>
      <c r="J37" s="20">
        <v>12</v>
      </c>
      <c r="K37" s="20">
        <v>22</v>
      </c>
      <c r="L37" s="20">
        <v>12</v>
      </c>
      <c r="M37" s="20">
        <v>12</v>
      </c>
      <c r="N37" s="20">
        <v>1</v>
      </c>
      <c r="O37" s="20"/>
      <c r="P37" s="19">
        <f t="shared" si="12"/>
        <v>66</v>
      </c>
      <c r="T37" s="12">
        <f t="shared" si="1"/>
        <v>49</v>
      </c>
      <c r="U37" s="12">
        <f t="shared" si="13"/>
        <v>0</v>
      </c>
      <c r="V37" s="12">
        <f t="shared" si="2"/>
        <v>0</v>
      </c>
      <c r="W37" s="12">
        <f t="shared" si="3"/>
        <v>0</v>
      </c>
      <c r="X37" s="12">
        <f t="shared" si="4"/>
        <v>0</v>
      </c>
      <c r="Y37" s="12">
        <f t="shared" si="5"/>
        <v>0</v>
      </c>
      <c r="Z37" s="12">
        <f t="shared" si="6"/>
        <v>0</v>
      </c>
      <c r="AA37" s="12">
        <f t="shared" si="7"/>
        <v>2.0408163265306121E-2</v>
      </c>
      <c r="AB37" s="12">
        <f t="shared" si="8"/>
        <v>3.4782608695652174E-2</v>
      </c>
      <c r="AC37" s="12">
        <f t="shared" si="9"/>
        <v>7.7738515901060068E-2</v>
      </c>
      <c r="AD37" s="12">
        <f t="shared" si="10"/>
        <v>7.5949367088607597E-2</v>
      </c>
      <c r="AE37" s="12">
        <f t="shared" si="11"/>
        <v>0.16216216216216217</v>
      </c>
    </row>
    <row r="38" spans="2:31">
      <c r="B38" s="19">
        <v>50</v>
      </c>
      <c r="C38" s="20"/>
      <c r="D38" s="20"/>
      <c r="E38" s="20"/>
      <c r="F38" s="20"/>
      <c r="G38" s="20"/>
      <c r="H38" s="20"/>
      <c r="I38" s="20">
        <v>2</v>
      </c>
      <c r="J38" s="20">
        <v>8</v>
      </c>
      <c r="K38" s="20">
        <v>20</v>
      </c>
      <c r="L38" s="20">
        <v>14</v>
      </c>
      <c r="M38" s="20">
        <v>11</v>
      </c>
      <c r="N38" s="20">
        <v>2</v>
      </c>
      <c r="O38" s="20"/>
      <c r="P38" s="19">
        <f t="shared" si="12"/>
        <v>57</v>
      </c>
      <c r="T38" s="12">
        <f t="shared" si="1"/>
        <v>50</v>
      </c>
      <c r="U38" s="12">
        <f t="shared" si="13"/>
        <v>0</v>
      </c>
      <c r="V38" s="12">
        <f t="shared" si="2"/>
        <v>0</v>
      </c>
      <c r="W38" s="12">
        <f t="shared" si="3"/>
        <v>0</v>
      </c>
      <c r="X38" s="12">
        <f t="shared" si="4"/>
        <v>0</v>
      </c>
      <c r="Y38" s="12">
        <f t="shared" si="5"/>
        <v>0</v>
      </c>
      <c r="Z38" s="12">
        <f t="shared" si="6"/>
        <v>0</v>
      </c>
      <c r="AA38" s="12">
        <f t="shared" si="7"/>
        <v>5.8309037900874635E-3</v>
      </c>
      <c r="AB38" s="12">
        <f t="shared" si="8"/>
        <v>2.318840579710145E-2</v>
      </c>
      <c r="AC38" s="12">
        <f t="shared" si="9"/>
        <v>7.0671378091872794E-2</v>
      </c>
      <c r="AD38" s="12">
        <f t="shared" si="10"/>
        <v>8.8607594936708861E-2</v>
      </c>
      <c r="AE38" s="12">
        <f t="shared" si="11"/>
        <v>0.14864864864864866</v>
      </c>
    </row>
    <row r="39" spans="2:31">
      <c r="B39" s="19">
        <v>51</v>
      </c>
      <c r="C39" s="20"/>
      <c r="D39" s="20"/>
      <c r="E39" s="20"/>
      <c r="F39" s="20"/>
      <c r="G39" s="20"/>
      <c r="H39" s="20"/>
      <c r="I39" s="20">
        <v>4</v>
      </c>
      <c r="J39" s="20">
        <v>10</v>
      </c>
      <c r="K39" s="20">
        <v>11</v>
      </c>
      <c r="L39" s="20">
        <v>7</v>
      </c>
      <c r="M39" s="20">
        <v>10</v>
      </c>
      <c r="N39" s="20">
        <v>2</v>
      </c>
      <c r="O39" s="20"/>
      <c r="P39" s="19">
        <f t="shared" si="12"/>
        <v>44</v>
      </c>
      <c r="T39" s="12">
        <f t="shared" si="1"/>
        <v>51</v>
      </c>
      <c r="U39" s="12">
        <f t="shared" si="13"/>
        <v>0</v>
      </c>
      <c r="V39" s="12">
        <f t="shared" si="2"/>
        <v>0</v>
      </c>
      <c r="W39" s="12">
        <f t="shared" si="3"/>
        <v>0</v>
      </c>
      <c r="X39" s="12">
        <f t="shared" si="4"/>
        <v>0</v>
      </c>
      <c r="Y39" s="12">
        <f t="shared" si="5"/>
        <v>0</v>
      </c>
      <c r="Z39" s="12">
        <f t="shared" si="6"/>
        <v>0</v>
      </c>
      <c r="AA39" s="12">
        <f t="shared" si="7"/>
        <v>1.1661807580174927E-2</v>
      </c>
      <c r="AB39" s="12">
        <f t="shared" si="8"/>
        <v>2.8985507246376812E-2</v>
      </c>
      <c r="AC39" s="12">
        <f t="shared" si="9"/>
        <v>3.8869257950530034E-2</v>
      </c>
      <c r="AD39" s="12">
        <f t="shared" si="10"/>
        <v>4.4303797468354431E-2</v>
      </c>
      <c r="AE39" s="12">
        <f t="shared" si="11"/>
        <v>0.13513513513513514</v>
      </c>
    </row>
    <row r="40" spans="2:31">
      <c r="B40" s="19">
        <v>52</v>
      </c>
      <c r="C40" s="20"/>
      <c r="D40" s="20"/>
      <c r="E40" s="20"/>
      <c r="F40" s="20"/>
      <c r="G40" s="20"/>
      <c r="H40" s="20"/>
      <c r="I40" s="20">
        <v>1</v>
      </c>
      <c r="J40" s="20">
        <v>4</v>
      </c>
      <c r="K40" s="20">
        <v>14</v>
      </c>
      <c r="L40" s="20">
        <v>14</v>
      </c>
      <c r="M40" s="20">
        <v>1</v>
      </c>
      <c r="N40" s="20">
        <v>3</v>
      </c>
      <c r="O40" s="20"/>
      <c r="P40" s="19">
        <f t="shared" si="12"/>
        <v>37</v>
      </c>
      <c r="T40" s="12">
        <f t="shared" si="1"/>
        <v>52</v>
      </c>
      <c r="U40" s="12">
        <f t="shared" si="13"/>
        <v>0</v>
      </c>
      <c r="V40" s="12">
        <f t="shared" si="2"/>
        <v>0</v>
      </c>
      <c r="W40" s="12">
        <f t="shared" si="3"/>
        <v>0</v>
      </c>
      <c r="X40" s="12">
        <f t="shared" si="4"/>
        <v>0</v>
      </c>
      <c r="Y40" s="12">
        <f t="shared" si="5"/>
        <v>0</v>
      </c>
      <c r="Z40" s="12">
        <f t="shared" si="6"/>
        <v>0</v>
      </c>
      <c r="AA40" s="12">
        <f t="shared" si="7"/>
        <v>2.9154518950437317E-3</v>
      </c>
      <c r="AB40" s="12">
        <f t="shared" si="8"/>
        <v>1.1594202898550725E-2</v>
      </c>
      <c r="AC40" s="12">
        <f t="shared" si="9"/>
        <v>4.9469964664310952E-2</v>
      </c>
      <c r="AD40" s="12">
        <f t="shared" si="10"/>
        <v>8.8607594936708861E-2</v>
      </c>
      <c r="AE40" s="12">
        <f t="shared" si="11"/>
        <v>1.3513513513513514E-2</v>
      </c>
    </row>
    <row r="41" spans="2:31">
      <c r="B41" s="19">
        <v>53</v>
      </c>
      <c r="C41" s="20"/>
      <c r="D41" s="20"/>
      <c r="E41" s="20"/>
      <c r="F41" s="20"/>
      <c r="G41" s="20"/>
      <c r="H41" s="20"/>
      <c r="I41" s="20"/>
      <c r="J41" s="20">
        <v>6</v>
      </c>
      <c r="K41" s="20">
        <v>6</v>
      </c>
      <c r="L41" s="20">
        <v>6</v>
      </c>
      <c r="M41" s="20">
        <v>9</v>
      </c>
      <c r="N41" s="20"/>
      <c r="O41" s="20"/>
      <c r="P41" s="19">
        <f t="shared" si="12"/>
        <v>27</v>
      </c>
      <c r="T41" s="12">
        <f t="shared" si="1"/>
        <v>53</v>
      </c>
      <c r="U41" s="12">
        <f t="shared" si="13"/>
        <v>0</v>
      </c>
      <c r="V41" s="12">
        <f t="shared" si="2"/>
        <v>0</v>
      </c>
      <c r="W41" s="12">
        <f t="shared" si="3"/>
        <v>0</v>
      </c>
      <c r="X41" s="12">
        <f t="shared" si="4"/>
        <v>0</v>
      </c>
      <c r="Y41" s="12">
        <f t="shared" si="5"/>
        <v>0</v>
      </c>
      <c r="Z41" s="12">
        <f t="shared" si="6"/>
        <v>0</v>
      </c>
      <c r="AA41" s="12">
        <f t="shared" si="7"/>
        <v>0</v>
      </c>
      <c r="AB41" s="12">
        <f t="shared" si="8"/>
        <v>1.7391304347826087E-2</v>
      </c>
      <c r="AC41" s="12">
        <f t="shared" si="9"/>
        <v>2.1201413427561839E-2</v>
      </c>
      <c r="AD41" s="12">
        <f t="shared" si="10"/>
        <v>3.7974683544303799E-2</v>
      </c>
      <c r="AE41" s="12">
        <f t="shared" si="11"/>
        <v>0.12162162162162163</v>
      </c>
    </row>
    <row r="42" spans="2:31">
      <c r="B42" s="19">
        <v>54</v>
      </c>
      <c r="C42" s="20"/>
      <c r="D42" s="20"/>
      <c r="E42" s="20"/>
      <c r="F42" s="20"/>
      <c r="G42" s="20"/>
      <c r="H42" s="20"/>
      <c r="I42" s="20"/>
      <c r="J42" s="20">
        <v>1</v>
      </c>
      <c r="K42" s="20">
        <v>2</v>
      </c>
      <c r="L42" s="20">
        <v>3</v>
      </c>
      <c r="M42" s="20">
        <v>5</v>
      </c>
      <c r="N42" s="20">
        <v>3</v>
      </c>
      <c r="O42" s="20"/>
      <c r="P42" s="19">
        <f t="shared" si="12"/>
        <v>14</v>
      </c>
      <c r="T42" s="12">
        <f t="shared" si="1"/>
        <v>54</v>
      </c>
      <c r="U42" s="12">
        <f t="shared" si="13"/>
        <v>0</v>
      </c>
      <c r="V42" s="12">
        <f t="shared" si="2"/>
        <v>0</v>
      </c>
      <c r="W42" s="12">
        <f t="shared" si="3"/>
        <v>0</v>
      </c>
      <c r="X42" s="12">
        <f t="shared" si="4"/>
        <v>0</v>
      </c>
      <c r="Y42" s="12">
        <f t="shared" si="5"/>
        <v>0</v>
      </c>
      <c r="Z42" s="12">
        <f t="shared" si="6"/>
        <v>0</v>
      </c>
      <c r="AA42" s="12">
        <f t="shared" si="7"/>
        <v>0</v>
      </c>
      <c r="AB42" s="12">
        <f t="shared" si="8"/>
        <v>2.8985507246376812E-3</v>
      </c>
      <c r="AC42" s="12">
        <f t="shared" si="9"/>
        <v>7.0671378091872791E-3</v>
      </c>
      <c r="AD42" s="12">
        <f t="shared" si="10"/>
        <v>1.8987341772151899E-2</v>
      </c>
      <c r="AE42" s="12">
        <f t="shared" si="11"/>
        <v>6.7567567567567571E-2</v>
      </c>
    </row>
    <row r="43" spans="2:31">
      <c r="B43" s="19">
        <v>55</v>
      </c>
      <c r="C43" s="20"/>
      <c r="D43" s="20"/>
      <c r="E43" s="20"/>
      <c r="F43" s="20"/>
      <c r="G43" s="20"/>
      <c r="H43" s="20"/>
      <c r="I43" s="20"/>
      <c r="J43" s="20">
        <v>1</v>
      </c>
      <c r="K43" s="20">
        <v>1</v>
      </c>
      <c r="L43" s="20">
        <v>4</v>
      </c>
      <c r="M43" s="20">
        <v>2</v>
      </c>
      <c r="N43" s="20">
        <v>2</v>
      </c>
      <c r="O43" s="20"/>
      <c r="P43" s="19">
        <f t="shared" si="12"/>
        <v>10</v>
      </c>
      <c r="T43" s="12">
        <f t="shared" si="1"/>
        <v>55</v>
      </c>
      <c r="U43" s="12">
        <f t="shared" si="13"/>
        <v>0</v>
      </c>
      <c r="V43" s="12">
        <f t="shared" si="2"/>
        <v>0</v>
      </c>
      <c r="W43" s="12">
        <f t="shared" si="3"/>
        <v>0</v>
      </c>
      <c r="X43" s="12">
        <f t="shared" si="4"/>
        <v>0</v>
      </c>
      <c r="Y43" s="12">
        <f t="shared" si="5"/>
        <v>0</v>
      </c>
      <c r="Z43" s="12">
        <f t="shared" si="6"/>
        <v>0</v>
      </c>
      <c r="AA43" s="12">
        <f t="shared" si="7"/>
        <v>0</v>
      </c>
      <c r="AB43" s="12">
        <f t="shared" si="8"/>
        <v>2.8985507246376812E-3</v>
      </c>
      <c r="AC43" s="12">
        <f t="shared" si="9"/>
        <v>3.5335689045936395E-3</v>
      </c>
      <c r="AD43" s="12">
        <f t="shared" si="10"/>
        <v>2.5316455696202531E-2</v>
      </c>
      <c r="AE43" s="12">
        <f t="shared" si="11"/>
        <v>2.7027027027027029E-2</v>
      </c>
    </row>
    <row r="44" spans="2:31">
      <c r="B44" s="19">
        <v>56</v>
      </c>
      <c r="C44" s="20"/>
      <c r="D44" s="20"/>
      <c r="E44" s="20"/>
      <c r="F44" s="20"/>
      <c r="G44" s="20"/>
      <c r="H44" s="20"/>
      <c r="I44" s="20"/>
      <c r="J44" s="20">
        <v>1</v>
      </c>
      <c r="K44" s="20">
        <v>2</v>
      </c>
      <c r="L44" s="20">
        <v>1</v>
      </c>
      <c r="M44" s="20">
        <v>1</v>
      </c>
      <c r="N44" s="20"/>
      <c r="O44" s="20"/>
      <c r="P44" s="19">
        <f t="shared" si="12"/>
        <v>5</v>
      </c>
      <c r="T44" s="12">
        <f t="shared" si="1"/>
        <v>56</v>
      </c>
      <c r="U44" s="12">
        <f t="shared" si="13"/>
        <v>0</v>
      </c>
      <c r="V44" s="12">
        <f t="shared" si="2"/>
        <v>0</v>
      </c>
      <c r="W44" s="12">
        <f t="shared" si="3"/>
        <v>0</v>
      </c>
      <c r="X44" s="12">
        <f t="shared" si="4"/>
        <v>0</v>
      </c>
      <c r="Y44" s="12">
        <f t="shared" si="5"/>
        <v>0</v>
      </c>
      <c r="Z44" s="12">
        <f t="shared" si="6"/>
        <v>0</v>
      </c>
      <c r="AA44" s="12">
        <f t="shared" si="7"/>
        <v>0</v>
      </c>
      <c r="AB44" s="12">
        <f t="shared" si="8"/>
        <v>2.8985507246376812E-3</v>
      </c>
      <c r="AC44" s="12">
        <f t="shared" si="9"/>
        <v>7.0671378091872791E-3</v>
      </c>
      <c r="AD44" s="12">
        <f t="shared" si="10"/>
        <v>6.3291139240506328E-3</v>
      </c>
      <c r="AE44" s="12">
        <f t="shared" si="11"/>
        <v>1.3513513513513514E-2</v>
      </c>
    </row>
    <row r="45" spans="2:31">
      <c r="B45" s="19">
        <v>57</v>
      </c>
      <c r="C45" s="20"/>
      <c r="D45" s="20"/>
      <c r="E45" s="20"/>
      <c r="F45" s="20"/>
      <c r="G45" s="20"/>
      <c r="H45" s="20"/>
      <c r="I45" s="20"/>
      <c r="J45" s="20"/>
      <c r="K45" s="20">
        <v>1</v>
      </c>
      <c r="L45" s="20">
        <v>4</v>
      </c>
      <c r="M45" s="20">
        <v>2</v>
      </c>
      <c r="N45" s="20">
        <v>2</v>
      </c>
      <c r="O45" s="20"/>
      <c r="P45" s="19">
        <f t="shared" si="12"/>
        <v>9</v>
      </c>
      <c r="T45" s="12">
        <f t="shared" si="1"/>
        <v>57</v>
      </c>
      <c r="U45" s="12">
        <f t="shared" si="13"/>
        <v>0</v>
      </c>
      <c r="V45" s="12">
        <f t="shared" si="2"/>
        <v>0</v>
      </c>
      <c r="W45" s="12">
        <f t="shared" si="3"/>
        <v>0</v>
      </c>
      <c r="X45" s="12">
        <f t="shared" si="4"/>
        <v>0</v>
      </c>
      <c r="Y45" s="12">
        <f t="shared" si="5"/>
        <v>0</v>
      </c>
      <c r="Z45" s="12">
        <f t="shared" si="6"/>
        <v>0</v>
      </c>
      <c r="AA45" s="12">
        <f t="shared" si="7"/>
        <v>0</v>
      </c>
      <c r="AB45" s="12">
        <f t="shared" si="8"/>
        <v>0</v>
      </c>
      <c r="AC45" s="12">
        <f t="shared" si="9"/>
        <v>3.5335689045936395E-3</v>
      </c>
      <c r="AD45" s="12">
        <f t="shared" si="10"/>
        <v>2.5316455696202531E-2</v>
      </c>
      <c r="AE45" s="12">
        <f t="shared" si="11"/>
        <v>2.7027027027027029E-2</v>
      </c>
    </row>
    <row r="46" spans="2:31">
      <c r="B46" s="19">
        <v>58</v>
      </c>
      <c r="C46" s="20"/>
      <c r="D46" s="20"/>
      <c r="E46" s="20"/>
      <c r="F46" s="20"/>
      <c r="G46" s="20"/>
      <c r="H46" s="20"/>
      <c r="I46" s="20"/>
      <c r="J46" s="20"/>
      <c r="K46" s="20"/>
      <c r="L46" s="20">
        <v>1</v>
      </c>
      <c r="M46" s="20">
        <v>1</v>
      </c>
      <c r="N46" s="13">
        <v>3</v>
      </c>
      <c r="O46" s="20"/>
      <c r="P46" s="19">
        <f t="shared" si="12"/>
        <v>5</v>
      </c>
      <c r="T46" s="12">
        <f t="shared" si="1"/>
        <v>58</v>
      </c>
      <c r="U46" s="12">
        <f t="shared" si="13"/>
        <v>0</v>
      </c>
      <c r="V46" s="12">
        <f t="shared" si="2"/>
        <v>0</v>
      </c>
      <c r="W46" s="12">
        <f t="shared" si="3"/>
        <v>0</v>
      </c>
      <c r="X46" s="12">
        <f t="shared" si="4"/>
        <v>0</v>
      </c>
      <c r="Y46" s="12">
        <f t="shared" si="5"/>
        <v>0</v>
      </c>
      <c r="Z46" s="12">
        <f t="shared" si="6"/>
        <v>0</v>
      </c>
      <c r="AA46" s="12">
        <f t="shared" si="7"/>
        <v>0</v>
      </c>
      <c r="AB46" s="12">
        <f t="shared" si="8"/>
        <v>0</v>
      </c>
      <c r="AC46" s="12">
        <f t="shared" si="9"/>
        <v>0</v>
      </c>
      <c r="AD46" s="12">
        <f t="shared" si="10"/>
        <v>6.3291139240506328E-3</v>
      </c>
      <c r="AE46" s="12">
        <f t="shared" si="11"/>
        <v>1.3513513513513514E-2</v>
      </c>
    </row>
    <row r="47" spans="2:31">
      <c r="B47" s="19">
        <v>59</v>
      </c>
      <c r="C47" s="20"/>
      <c r="D47" s="20"/>
      <c r="E47" s="20"/>
      <c r="F47" s="20"/>
      <c r="G47" s="20"/>
      <c r="H47" s="20"/>
      <c r="I47" s="20"/>
      <c r="J47" s="20"/>
      <c r="K47" s="20"/>
      <c r="L47" s="20">
        <v>1</v>
      </c>
      <c r="M47" s="20"/>
      <c r="N47" s="20">
        <v>1</v>
      </c>
      <c r="O47" s="20">
        <v>1</v>
      </c>
      <c r="P47" s="19">
        <f t="shared" si="12"/>
        <v>3</v>
      </c>
      <c r="T47" s="12">
        <f t="shared" si="1"/>
        <v>59</v>
      </c>
      <c r="U47" s="12">
        <f t="shared" si="13"/>
        <v>0</v>
      </c>
      <c r="V47" s="12">
        <f t="shared" si="2"/>
        <v>0</v>
      </c>
      <c r="W47" s="12">
        <f t="shared" si="3"/>
        <v>0</v>
      </c>
      <c r="X47" s="12">
        <f t="shared" si="4"/>
        <v>0</v>
      </c>
      <c r="Y47" s="12">
        <f t="shared" si="5"/>
        <v>0</v>
      </c>
      <c r="Z47" s="12">
        <f t="shared" si="6"/>
        <v>0</v>
      </c>
      <c r="AA47" s="12">
        <f t="shared" si="7"/>
        <v>0</v>
      </c>
      <c r="AB47" s="12">
        <f t="shared" si="8"/>
        <v>0</v>
      </c>
      <c r="AC47" s="12">
        <f t="shared" si="9"/>
        <v>0</v>
      </c>
      <c r="AD47" s="12">
        <f t="shared" si="10"/>
        <v>6.3291139240506328E-3</v>
      </c>
      <c r="AE47" s="12">
        <f t="shared" si="11"/>
        <v>0</v>
      </c>
    </row>
    <row r="48" spans="2:31">
      <c r="B48" s="19">
        <v>60</v>
      </c>
      <c r="C48" s="20"/>
      <c r="D48" s="20"/>
      <c r="E48" s="20"/>
      <c r="F48" s="20"/>
      <c r="G48" s="20"/>
      <c r="H48" s="20"/>
      <c r="I48" s="20"/>
      <c r="J48" s="20"/>
      <c r="K48" s="20"/>
      <c r="L48" s="20">
        <v>2</v>
      </c>
      <c r="M48" s="20">
        <v>1</v>
      </c>
      <c r="N48" s="20"/>
      <c r="O48" s="20"/>
      <c r="P48" s="19">
        <f t="shared" si="12"/>
        <v>3</v>
      </c>
      <c r="T48" s="12">
        <f t="shared" si="1"/>
        <v>60</v>
      </c>
      <c r="U48" s="12">
        <f t="shared" si="13"/>
        <v>0</v>
      </c>
      <c r="V48" s="12">
        <f t="shared" si="2"/>
        <v>0</v>
      </c>
      <c r="W48" s="12">
        <f t="shared" si="3"/>
        <v>0</v>
      </c>
      <c r="X48" s="12">
        <f t="shared" si="4"/>
        <v>0</v>
      </c>
      <c r="Y48" s="12">
        <f t="shared" si="5"/>
        <v>0</v>
      </c>
      <c r="Z48" s="12">
        <f t="shared" si="6"/>
        <v>0</v>
      </c>
      <c r="AA48" s="12">
        <f t="shared" si="7"/>
        <v>0</v>
      </c>
      <c r="AB48" s="12">
        <f t="shared" si="8"/>
        <v>0</v>
      </c>
      <c r="AC48" s="12">
        <f t="shared" si="9"/>
        <v>0</v>
      </c>
      <c r="AD48" s="12">
        <f t="shared" si="10"/>
        <v>1.2658227848101266E-2</v>
      </c>
      <c r="AE48" s="12">
        <f t="shared" si="11"/>
        <v>1.3513513513513514E-2</v>
      </c>
    </row>
    <row r="49" spans="2:17">
      <c r="B49" s="18" t="s">
        <v>7</v>
      </c>
      <c r="C49" s="17">
        <f t="shared" ref="C49:Q49" si="14">SUM(C6:C48)</f>
        <v>16</v>
      </c>
      <c r="D49" s="17">
        <f t="shared" si="14"/>
        <v>76</v>
      </c>
      <c r="E49" s="17">
        <f t="shared" si="14"/>
        <v>159</v>
      </c>
      <c r="F49" s="17">
        <f t="shared" si="14"/>
        <v>135</v>
      </c>
      <c r="G49" s="17">
        <f t="shared" si="14"/>
        <v>187</v>
      </c>
      <c r="H49" s="17">
        <f t="shared" si="14"/>
        <v>339</v>
      </c>
      <c r="I49" s="17">
        <f t="shared" si="14"/>
        <v>343</v>
      </c>
      <c r="J49" s="17">
        <f t="shared" si="14"/>
        <v>345</v>
      </c>
      <c r="K49" s="17">
        <f t="shared" si="14"/>
        <v>283</v>
      </c>
      <c r="L49" s="17">
        <f t="shared" si="14"/>
        <v>158</v>
      </c>
      <c r="M49" s="17">
        <f t="shared" si="14"/>
        <v>74</v>
      </c>
      <c r="N49" s="17">
        <f t="shared" si="14"/>
        <v>25</v>
      </c>
      <c r="O49" s="17">
        <f t="shared" si="14"/>
        <v>1</v>
      </c>
      <c r="P49" s="17">
        <f t="shared" si="14"/>
        <v>2141</v>
      </c>
      <c r="Q49" s="17">
        <f t="shared" si="14"/>
        <v>0</v>
      </c>
    </row>
    <row r="50" spans="2:17">
      <c r="B50" s="16" t="s">
        <v>8</v>
      </c>
      <c r="C50" s="15">
        <f t="shared" ref="C50:O50" si="15">(C49/$P$49)*100</f>
        <v>0.74731433909388134</v>
      </c>
      <c r="D50" s="15">
        <f t="shared" si="15"/>
        <v>3.5497431106959367</v>
      </c>
      <c r="E50" s="15">
        <f t="shared" si="15"/>
        <v>7.4264362447454459</v>
      </c>
      <c r="F50" s="15">
        <f t="shared" si="15"/>
        <v>6.3054647361046241</v>
      </c>
      <c r="G50" s="15">
        <f t="shared" si="15"/>
        <v>8.7342363381597377</v>
      </c>
      <c r="H50" s="15">
        <f t="shared" si="15"/>
        <v>15.83372255955161</v>
      </c>
      <c r="I50" s="15">
        <f t="shared" si="15"/>
        <v>16.020551144325083</v>
      </c>
      <c r="J50" s="15">
        <f t="shared" si="15"/>
        <v>16.113965436711815</v>
      </c>
      <c r="K50" s="15">
        <f t="shared" si="15"/>
        <v>13.218122372723027</v>
      </c>
      <c r="L50" s="15">
        <f t="shared" si="15"/>
        <v>7.3797290985520796</v>
      </c>
      <c r="M50" s="15">
        <f t="shared" si="15"/>
        <v>3.4563288183092009</v>
      </c>
      <c r="N50" s="15">
        <f t="shared" si="15"/>
        <v>1.1676786548341895</v>
      </c>
      <c r="O50" s="15">
        <f t="shared" si="15"/>
        <v>4.6707146193367584E-2</v>
      </c>
      <c r="P50" s="15">
        <f t="shared" si="12"/>
        <v>100</v>
      </c>
    </row>
    <row r="52" spans="2:17">
      <c r="C52" s="14">
        <f t="shared" ref="C52:O52" si="16">SUMPRODUCT($B6:$B48,C6:C48)/SUM(C6:C48)</f>
        <v>21.3125</v>
      </c>
      <c r="D52" s="14">
        <f t="shared" si="16"/>
        <v>22.592105263157894</v>
      </c>
      <c r="E52" s="14">
        <f t="shared" si="16"/>
        <v>23.9937106918239</v>
      </c>
      <c r="F52" s="14">
        <f t="shared" si="16"/>
        <v>28.985185185185184</v>
      </c>
      <c r="G52" s="14">
        <f t="shared" si="16"/>
        <v>32.561497326203209</v>
      </c>
      <c r="H52" s="14">
        <f t="shared" si="16"/>
        <v>35.100294985250734</v>
      </c>
      <c r="I52" s="14">
        <f t="shared" si="16"/>
        <v>39.341107871720119</v>
      </c>
      <c r="J52" s="14">
        <f t="shared" si="16"/>
        <v>43.063768115942032</v>
      </c>
      <c r="K52" s="14">
        <f t="shared" si="16"/>
        <v>45.57597173144876</v>
      </c>
      <c r="L52" s="14">
        <f t="shared" si="16"/>
        <v>48.253164556962027</v>
      </c>
      <c r="M52" s="14">
        <f t="shared" si="16"/>
        <v>50.297297297297298</v>
      </c>
      <c r="N52" s="14">
        <f t="shared" si="16"/>
        <v>52.44</v>
      </c>
      <c r="O52" s="14">
        <f t="shared" si="16"/>
        <v>59</v>
      </c>
    </row>
  </sheetData>
  <mergeCells count="1">
    <mergeCell ref="B2:P2"/>
  </mergeCells>
  <pageMargins left="0.75" right="0.75" top="1" bottom="1" header="0" footer="0"/>
  <pageSetup paperSize="9" orientation="portrait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E60"/>
  <sheetViews>
    <sheetView workbookViewId="0">
      <selection activeCell="B4" sqref="B4:P50"/>
    </sheetView>
  </sheetViews>
  <sheetFormatPr defaultColWidth="9.08984375" defaultRowHeight="12.5"/>
  <cols>
    <col min="1" max="1" width="11.453125" style="12" customWidth="1"/>
    <col min="2" max="2" width="7.90625" style="13" customWidth="1"/>
    <col min="3" max="3" width="5.90625" style="13" customWidth="1"/>
    <col min="4" max="4" width="6.6328125" style="13" customWidth="1"/>
    <col min="5" max="5" width="5.36328125" style="13" customWidth="1"/>
    <col min="6" max="6" width="5.54296875" style="13" customWidth="1"/>
    <col min="7" max="7" width="5.6328125" style="13" customWidth="1"/>
    <col min="8" max="9" width="5.453125" style="13" customWidth="1"/>
    <col min="10" max="10" width="6" style="13" customWidth="1"/>
    <col min="11" max="11" width="5.453125" style="13" customWidth="1"/>
    <col min="12" max="15" width="5.36328125" style="13" customWidth="1"/>
    <col min="16" max="16" width="5.6328125" style="13" customWidth="1"/>
    <col min="17" max="17" width="7.08984375" style="13" customWidth="1"/>
    <col min="18" max="256" width="11.453125" style="12" customWidth="1"/>
    <col min="257" max="16384" width="9.08984375" style="12"/>
  </cols>
  <sheetData>
    <row r="2" spans="2:31">
      <c r="B2" s="122" t="s">
        <v>25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4" spans="2:31">
      <c r="B4" s="17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9</v>
      </c>
      <c r="J4" s="29" t="s">
        <v>10</v>
      </c>
      <c r="K4" s="29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29" t="s">
        <v>16</v>
      </c>
      <c r="Q4" s="26" t="s">
        <v>7</v>
      </c>
      <c r="U4" s="12">
        <v>2</v>
      </c>
      <c r="V4" s="12">
        <v>3</v>
      </c>
      <c r="W4" s="12">
        <v>4</v>
      </c>
      <c r="X4" s="12">
        <v>5</v>
      </c>
      <c r="Y4" s="12">
        <v>6</v>
      </c>
      <c r="Z4" s="12">
        <v>7</v>
      </c>
      <c r="AA4" s="12">
        <v>8</v>
      </c>
      <c r="AB4" s="12">
        <v>9</v>
      </c>
      <c r="AC4" s="12">
        <v>10</v>
      </c>
      <c r="AD4" s="12">
        <v>11</v>
      </c>
      <c r="AE4" s="12">
        <v>12</v>
      </c>
    </row>
    <row r="5" spans="2:31">
      <c r="B5" s="19">
        <f t="shared" ref="B5:B12" si="0">B6-1</f>
        <v>17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49"/>
      <c r="T5" s="12">
        <f t="shared" ref="T5:T48" si="1">B5</f>
        <v>17</v>
      </c>
      <c r="U5" s="12">
        <f>C5/C$49</f>
        <v>0</v>
      </c>
      <c r="V5" s="12">
        <f t="shared" ref="V5:V48" si="2">D5/D$49</f>
        <v>0</v>
      </c>
      <c r="W5" s="12">
        <f t="shared" ref="W5:W48" si="3">E5/E$49</f>
        <v>0</v>
      </c>
      <c r="X5" s="12">
        <f t="shared" ref="X5:X48" si="4">F5/F$49</f>
        <v>0</v>
      </c>
      <c r="Y5" s="12">
        <f t="shared" ref="Y5:Y48" si="5">G5/G$49</f>
        <v>0</v>
      </c>
      <c r="Z5" s="12">
        <f t="shared" ref="Z5:Z48" si="6">H5/H$49</f>
        <v>0</v>
      </c>
      <c r="AA5" s="12">
        <f t="shared" ref="AA5:AA48" si="7">I5/I$49</f>
        <v>0</v>
      </c>
      <c r="AB5" s="12">
        <f t="shared" ref="AB5:AB48" si="8">J5/J$49</f>
        <v>0</v>
      </c>
      <c r="AC5" s="12">
        <f t="shared" ref="AC5:AC48" si="9">K5/K$49</f>
        <v>0</v>
      </c>
      <c r="AD5" s="12">
        <f t="shared" ref="AD5:AD48" si="10">L5/L$49</f>
        <v>0</v>
      </c>
      <c r="AE5" s="12">
        <f t="shared" ref="AE5:AE48" si="11">M5/M$49</f>
        <v>0</v>
      </c>
    </row>
    <row r="6" spans="2:31">
      <c r="B6" s="19">
        <f t="shared" si="0"/>
        <v>18</v>
      </c>
      <c r="C6" s="20"/>
      <c r="D6" s="20">
        <v>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9">
        <f t="shared" ref="Q6:Q37" si="12">SUM(C6:P6)</f>
        <v>1</v>
      </c>
      <c r="T6" s="12">
        <f t="shared" si="1"/>
        <v>18</v>
      </c>
      <c r="U6" s="12">
        <f t="shared" ref="U6:U48" si="13">C6/C$49</f>
        <v>0</v>
      </c>
      <c r="V6" s="12">
        <f t="shared" si="2"/>
        <v>1.8867924528301886E-2</v>
      </c>
      <c r="W6" s="12">
        <f t="shared" si="3"/>
        <v>0</v>
      </c>
      <c r="X6" s="12">
        <f t="shared" si="4"/>
        <v>0</v>
      </c>
      <c r="Y6" s="12">
        <f t="shared" si="5"/>
        <v>0</v>
      </c>
      <c r="Z6" s="12">
        <f t="shared" si="6"/>
        <v>0</v>
      </c>
      <c r="AA6" s="12">
        <f t="shared" si="7"/>
        <v>0</v>
      </c>
      <c r="AB6" s="12">
        <f t="shared" si="8"/>
        <v>0</v>
      </c>
      <c r="AC6" s="12">
        <f t="shared" si="9"/>
        <v>0</v>
      </c>
      <c r="AD6" s="12">
        <f t="shared" si="10"/>
        <v>0</v>
      </c>
      <c r="AE6" s="12">
        <f t="shared" si="11"/>
        <v>0</v>
      </c>
    </row>
    <row r="7" spans="2:31">
      <c r="B7" s="19">
        <f t="shared" si="0"/>
        <v>19</v>
      </c>
      <c r="C7" s="20"/>
      <c r="D7" s="20">
        <v>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9">
        <f t="shared" si="12"/>
        <v>1</v>
      </c>
      <c r="T7" s="12">
        <f t="shared" si="1"/>
        <v>19</v>
      </c>
      <c r="U7" s="12">
        <f t="shared" si="13"/>
        <v>0</v>
      </c>
      <c r="V7" s="12">
        <f t="shared" si="2"/>
        <v>1.8867924528301886E-2</v>
      </c>
      <c r="W7" s="12">
        <f t="shared" si="3"/>
        <v>0</v>
      </c>
      <c r="X7" s="12">
        <f t="shared" si="4"/>
        <v>0</v>
      </c>
      <c r="Y7" s="12">
        <f t="shared" si="5"/>
        <v>0</v>
      </c>
      <c r="Z7" s="12">
        <f t="shared" si="6"/>
        <v>0</v>
      </c>
      <c r="AA7" s="12">
        <f t="shared" si="7"/>
        <v>0</v>
      </c>
      <c r="AB7" s="12">
        <f t="shared" si="8"/>
        <v>0</v>
      </c>
      <c r="AC7" s="12">
        <f t="shared" si="9"/>
        <v>0</v>
      </c>
      <c r="AD7" s="12">
        <f t="shared" si="10"/>
        <v>0</v>
      </c>
      <c r="AE7" s="12">
        <f t="shared" si="11"/>
        <v>0</v>
      </c>
    </row>
    <row r="8" spans="2:31">
      <c r="B8" s="19">
        <f t="shared" si="0"/>
        <v>20</v>
      </c>
      <c r="C8" s="20">
        <v>3</v>
      </c>
      <c r="D8" s="20">
        <v>2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9">
        <f t="shared" si="12"/>
        <v>5</v>
      </c>
      <c r="T8" s="12">
        <f t="shared" si="1"/>
        <v>20</v>
      </c>
      <c r="U8" s="12">
        <f t="shared" si="13"/>
        <v>0.375</v>
      </c>
      <c r="V8" s="12">
        <f t="shared" si="2"/>
        <v>3.7735849056603772E-2</v>
      </c>
      <c r="W8" s="12">
        <f t="shared" si="3"/>
        <v>0</v>
      </c>
      <c r="X8" s="12">
        <f t="shared" si="4"/>
        <v>0</v>
      </c>
      <c r="Y8" s="12">
        <f t="shared" si="5"/>
        <v>0</v>
      </c>
      <c r="Z8" s="12">
        <f t="shared" si="6"/>
        <v>0</v>
      </c>
      <c r="AA8" s="12">
        <f t="shared" si="7"/>
        <v>0</v>
      </c>
      <c r="AB8" s="12">
        <f t="shared" si="8"/>
        <v>0</v>
      </c>
      <c r="AC8" s="12">
        <f t="shared" si="9"/>
        <v>0</v>
      </c>
      <c r="AD8" s="12">
        <f t="shared" si="10"/>
        <v>0</v>
      </c>
      <c r="AE8" s="12">
        <f t="shared" si="11"/>
        <v>0</v>
      </c>
    </row>
    <row r="9" spans="2:31">
      <c r="B9" s="19">
        <f t="shared" si="0"/>
        <v>21</v>
      </c>
      <c r="C9" s="20">
        <v>2</v>
      </c>
      <c r="D9" s="20">
        <v>10</v>
      </c>
      <c r="E9" s="20">
        <v>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9">
        <f t="shared" si="12"/>
        <v>15</v>
      </c>
      <c r="T9" s="12">
        <f t="shared" si="1"/>
        <v>21</v>
      </c>
      <c r="U9" s="12">
        <f t="shared" si="13"/>
        <v>0.25</v>
      </c>
      <c r="V9" s="12">
        <f t="shared" si="2"/>
        <v>0.18867924528301888</v>
      </c>
      <c r="W9" s="12">
        <f t="shared" si="3"/>
        <v>3.3707865168539325E-2</v>
      </c>
      <c r="X9" s="12">
        <f t="shared" si="4"/>
        <v>0</v>
      </c>
      <c r="Y9" s="12">
        <f t="shared" si="5"/>
        <v>0</v>
      </c>
      <c r="Z9" s="12">
        <f t="shared" si="6"/>
        <v>0</v>
      </c>
      <c r="AA9" s="12">
        <f t="shared" si="7"/>
        <v>0</v>
      </c>
      <c r="AB9" s="12">
        <f t="shared" si="8"/>
        <v>0</v>
      </c>
      <c r="AC9" s="12">
        <f t="shared" si="9"/>
        <v>0</v>
      </c>
      <c r="AD9" s="12">
        <f t="shared" si="10"/>
        <v>0</v>
      </c>
      <c r="AE9" s="12">
        <f t="shared" si="11"/>
        <v>0</v>
      </c>
    </row>
    <row r="10" spans="2:31">
      <c r="B10" s="19">
        <f t="shared" si="0"/>
        <v>22</v>
      </c>
      <c r="C10" s="20">
        <v>3</v>
      </c>
      <c r="D10" s="20">
        <v>17</v>
      </c>
      <c r="E10" s="20">
        <v>9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9">
        <f t="shared" si="12"/>
        <v>29</v>
      </c>
      <c r="T10" s="12">
        <f t="shared" si="1"/>
        <v>22</v>
      </c>
      <c r="U10" s="12">
        <f t="shared" si="13"/>
        <v>0.375</v>
      </c>
      <c r="V10" s="12">
        <f t="shared" si="2"/>
        <v>0.32075471698113206</v>
      </c>
      <c r="W10" s="12">
        <f t="shared" si="3"/>
        <v>0.10112359550561797</v>
      </c>
      <c r="X10" s="12">
        <f t="shared" si="4"/>
        <v>0</v>
      </c>
      <c r="Y10" s="12">
        <f t="shared" si="5"/>
        <v>0</v>
      </c>
      <c r="Z10" s="12">
        <f t="shared" si="6"/>
        <v>0</v>
      </c>
      <c r="AA10" s="12">
        <f t="shared" si="7"/>
        <v>0</v>
      </c>
      <c r="AB10" s="12">
        <f t="shared" si="8"/>
        <v>0</v>
      </c>
      <c r="AC10" s="12">
        <f t="shared" si="9"/>
        <v>0</v>
      </c>
      <c r="AD10" s="12">
        <f t="shared" si="10"/>
        <v>0</v>
      </c>
      <c r="AE10" s="12">
        <f t="shared" si="11"/>
        <v>0</v>
      </c>
    </row>
    <row r="11" spans="2:31">
      <c r="B11" s="19">
        <f t="shared" si="0"/>
        <v>23</v>
      </c>
      <c r="C11" s="20"/>
      <c r="D11" s="20">
        <v>8</v>
      </c>
      <c r="E11" s="20">
        <v>5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9">
        <f t="shared" si="12"/>
        <v>13</v>
      </c>
      <c r="T11" s="12">
        <f t="shared" si="1"/>
        <v>23</v>
      </c>
      <c r="U11" s="12">
        <f t="shared" si="13"/>
        <v>0</v>
      </c>
      <c r="V11" s="12">
        <f t="shared" si="2"/>
        <v>0.15094339622641509</v>
      </c>
      <c r="W11" s="12">
        <f t="shared" si="3"/>
        <v>5.6179775280898875E-2</v>
      </c>
      <c r="X11" s="12">
        <f t="shared" si="4"/>
        <v>0</v>
      </c>
      <c r="Y11" s="12">
        <f t="shared" si="5"/>
        <v>0</v>
      </c>
      <c r="Z11" s="12">
        <f t="shared" si="6"/>
        <v>0</v>
      </c>
      <c r="AA11" s="12">
        <f t="shared" si="7"/>
        <v>0</v>
      </c>
      <c r="AB11" s="12">
        <f t="shared" si="8"/>
        <v>0</v>
      </c>
      <c r="AC11" s="12">
        <f t="shared" si="9"/>
        <v>0</v>
      </c>
      <c r="AD11" s="12">
        <f t="shared" si="10"/>
        <v>0</v>
      </c>
      <c r="AE11" s="12">
        <f t="shared" si="11"/>
        <v>0</v>
      </c>
    </row>
    <row r="12" spans="2:31">
      <c r="B12" s="19">
        <f t="shared" si="0"/>
        <v>24</v>
      </c>
      <c r="C12" s="20"/>
      <c r="D12" s="20">
        <v>4</v>
      </c>
      <c r="E12" s="20">
        <v>3</v>
      </c>
      <c r="F12" s="20">
        <v>1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9">
        <f t="shared" si="12"/>
        <v>8</v>
      </c>
      <c r="T12" s="12">
        <f t="shared" si="1"/>
        <v>24</v>
      </c>
      <c r="U12" s="12">
        <f t="shared" si="13"/>
        <v>0</v>
      </c>
      <c r="V12" s="12">
        <f t="shared" si="2"/>
        <v>7.5471698113207544E-2</v>
      </c>
      <c r="W12" s="12">
        <f t="shared" si="3"/>
        <v>3.3707865168539325E-2</v>
      </c>
      <c r="X12" s="12">
        <f t="shared" si="4"/>
        <v>4.7169811320754715E-3</v>
      </c>
      <c r="Y12" s="12">
        <f t="shared" si="5"/>
        <v>0</v>
      </c>
      <c r="Z12" s="12">
        <f t="shared" si="6"/>
        <v>0</v>
      </c>
      <c r="AA12" s="12">
        <f t="shared" si="7"/>
        <v>0</v>
      </c>
      <c r="AB12" s="12">
        <f t="shared" si="8"/>
        <v>0</v>
      </c>
      <c r="AC12" s="12">
        <f t="shared" si="9"/>
        <v>0</v>
      </c>
      <c r="AD12" s="12">
        <f t="shared" si="10"/>
        <v>0</v>
      </c>
      <c r="AE12" s="12">
        <f t="shared" si="11"/>
        <v>0</v>
      </c>
    </row>
    <row r="13" spans="2:31">
      <c r="B13" s="19">
        <v>25</v>
      </c>
      <c r="C13" s="20"/>
      <c r="D13" s="20">
        <v>4</v>
      </c>
      <c r="E13" s="20">
        <v>3</v>
      </c>
      <c r="F13" s="20">
        <v>2</v>
      </c>
      <c r="G13" s="20"/>
      <c r="I13" s="20"/>
      <c r="J13" s="20"/>
      <c r="K13" s="20"/>
      <c r="L13" s="20"/>
      <c r="M13" s="20"/>
      <c r="N13" s="20"/>
      <c r="O13" s="20"/>
      <c r="P13" s="20"/>
      <c r="Q13" s="19">
        <f t="shared" si="12"/>
        <v>9</v>
      </c>
      <c r="T13" s="12">
        <f t="shared" si="1"/>
        <v>25</v>
      </c>
      <c r="U13" s="12">
        <f t="shared" si="13"/>
        <v>0</v>
      </c>
      <c r="V13" s="12">
        <f t="shared" si="2"/>
        <v>7.5471698113207544E-2</v>
      </c>
      <c r="W13" s="12">
        <f t="shared" si="3"/>
        <v>3.3707865168539325E-2</v>
      </c>
      <c r="X13" s="12">
        <f t="shared" si="4"/>
        <v>9.433962264150943E-3</v>
      </c>
      <c r="Y13" s="12">
        <f t="shared" si="5"/>
        <v>0</v>
      </c>
      <c r="Z13" s="12">
        <f t="shared" si="6"/>
        <v>0</v>
      </c>
      <c r="AA13" s="12">
        <f t="shared" si="7"/>
        <v>0</v>
      </c>
      <c r="AB13" s="12">
        <f t="shared" si="8"/>
        <v>0</v>
      </c>
      <c r="AC13" s="12">
        <f t="shared" si="9"/>
        <v>0</v>
      </c>
      <c r="AD13" s="12">
        <f t="shared" si="10"/>
        <v>0</v>
      </c>
      <c r="AE13" s="12">
        <f t="shared" si="11"/>
        <v>0</v>
      </c>
    </row>
    <row r="14" spans="2:31">
      <c r="B14" s="19">
        <v>26</v>
      </c>
      <c r="C14" s="20"/>
      <c r="D14" s="20">
        <v>1</v>
      </c>
      <c r="E14" s="20">
        <v>1</v>
      </c>
      <c r="F14" s="20">
        <v>6</v>
      </c>
      <c r="G14" s="20"/>
      <c r="I14" s="20"/>
      <c r="J14" s="20"/>
      <c r="K14" s="20"/>
      <c r="L14" s="20"/>
      <c r="M14" s="20"/>
      <c r="N14" s="20"/>
      <c r="O14" s="20"/>
      <c r="P14" s="20"/>
      <c r="Q14" s="19">
        <f t="shared" si="12"/>
        <v>8</v>
      </c>
      <c r="T14" s="12">
        <f t="shared" si="1"/>
        <v>26</v>
      </c>
      <c r="U14" s="12">
        <f t="shared" si="13"/>
        <v>0</v>
      </c>
      <c r="V14" s="12">
        <f t="shared" si="2"/>
        <v>1.8867924528301886E-2</v>
      </c>
      <c r="W14" s="12">
        <f t="shared" si="3"/>
        <v>1.1235955056179775E-2</v>
      </c>
      <c r="X14" s="12">
        <f t="shared" si="4"/>
        <v>2.8301886792452831E-2</v>
      </c>
      <c r="Y14" s="12">
        <f t="shared" si="5"/>
        <v>0</v>
      </c>
      <c r="Z14" s="12">
        <f t="shared" si="6"/>
        <v>0</v>
      </c>
      <c r="AA14" s="12">
        <f t="shared" si="7"/>
        <v>0</v>
      </c>
      <c r="AB14" s="12">
        <f t="shared" si="8"/>
        <v>0</v>
      </c>
      <c r="AC14" s="12">
        <f t="shared" si="9"/>
        <v>0</v>
      </c>
      <c r="AD14" s="12">
        <f t="shared" si="10"/>
        <v>0</v>
      </c>
      <c r="AE14" s="12">
        <f t="shared" si="11"/>
        <v>0</v>
      </c>
    </row>
    <row r="15" spans="2:31">
      <c r="B15" s="19">
        <v>27</v>
      </c>
      <c r="C15" s="20"/>
      <c r="D15" s="20">
        <v>1</v>
      </c>
      <c r="E15" s="20">
        <v>6</v>
      </c>
      <c r="F15" s="23">
        <v>18</v>
      </c>
      <c r="G15" s="20">
        <v>2</v>
      </c>
      <c r="H15" s="20"/>
      <c r="I15" s="20"/>
      <c r="J15" s="20"/>
      <c r="K15" s="20"/>
      <c r="L15" s="20"/>
      <c r="M15" s="20"/>
      <c r="N15" s="20"/>
      <c r="O15" s="20"/>
      <c r="P15" s="20"/>
      <c r="Q15" s="19">
        <f t="shared" si="12"/>
        <v>27</v>
      </c>
      <c r="T15" s="12">
        <f t="shared" si="1"/>
        <v>27</v>
      </c>
      <c r="U15" s="12">
        <f t="shared" si="13"/>
        <v>0</v>
      </c>
      <c r="V15" s="12">
        <f t="shared" si="2"/>
        <v>1.8867924528301886E-2</v>
      </c>
      <c r="W15" s="12">
        <f t="shared" si="3"/>
        <v>6.741573033707865E-2</v>
      </c>
      <c r="X15" s="12">
        <f t="shared" si="4"/>
        <v>8.4905660377358486E-2</v>
      </c>
      <c r="Y15" s="12">
        <f t="shared" si="5"/>
        <v>6.3091482649842269E-3</v>
      </c>
      <c r="Z15" s="12">
        <f t="shared" si="6"/>
        <v>0</v>
      </c>
      <c r="AA15" s="12">
        <f t="shared" si="7"/>
        <v>0</v>
      </c>
      <c r="AB15" s="12">
        <f t="shared" si="8"/>
        <v>0</v>
      </c>
      <c r="AC15" s="12">
        <f t="shared" si="9"/>
        <v>0</v>
      </c>
      <c r="AD15" s="12">
        <f t="shared" si="10"/>
        <v>0</v>
      </c>
      <c r="AE15" s="12">
        <f t="shared" si="11"/>
        <v>0</v>
      </c>
    </row>
    <row r="16" spans="2:31">
      <c r="B16" s="19">
        <v>28</v>
      </c>
      <c r="C16" s="20"/>
      <c r="D16" s="20">
        <v>1</v>
      </c>
      <c r="E16" s="20">
        <v>9</v>
      </c>
      <c r="F16" s="23">
        <v>21</v>
      </c>
      <c r="G16" s="20">
        <v>13</v>
      </c>
      <c r="H16" s="20">
        <v>4</v>
      </c>
      <c r="I16" s="20"/>
      <c r="J16" s="20"/>
      <c r="K16" s="20"/>
      <c r="L16" s="20"/>
      <c r="M16" s="20"/>
      <c r="N16" s="20"/>
      <c r="O16" s="20"/>
      <c r="P16" s="20"/>
      <c r="Q16" s="19">
        <f t="shared" si="12"/>
        <v>48</v>
      </c>
      <c r="T16" s="12">
        <f t="shared" si="1"/>
        <v>28</v>
      </c>
      <c r="U16" s="12">
        <f t="shared" si="13"/>
        <v>0</v>
      </c>
      <c r="V16" s="12">
        <f t="shared" si="2"/>
        <v>1.8867924528301886E-2</v>
      </c>
      <c r="W16" s="12">
        <f t="shared" si="3"/>
        <v>0.10112359550561797</v>
      </c>
      <c r="X16" s="12">
        <f t="shared" si="4"/>
        <v>9.9056603773584911E-2</v>
      </c>
      <c r="Y16" s="12">
        <f t="shared" si="5"/>
        <v>4.1009463722397478E-2</v>
      </c>
      <c r="Z16" s="12">
        <f t="shared" si="6"/>
        <v>1.0582010582010581E-2</v>
      </c>
      <c r="AA16" s="12">
        <f t="shared" si="7"/>
        <v>0</v>
      </c>
      <c r="AB16" s="12">
        <f t="shared" si="8"/>
        <v>0</v>
      </c>
      <c r="AC16" s="12">
        <f t="shared" si="9"/>
        <v>0</v>
      </c>
      <c r="AD16" s="12">
        <f t="shared" si="10"/>
        <v>0</v>
      </c>
      <c r="AE16" s="12">
        <f t="shared" si="11"/>
        <v>0</v>
      </c>
    </row>
    <row r="17" spans="2:31">
      <c r="B17" s="19">
        <v>29</v>
      </c>
      <c r="C17" s="20"/>
      <c r="D17" s="23">
        <v>2</v>
      </c>
      <c r="E17" s="23">
        <v>18</v>
      </c>
      <c r="F17" s="23">
        <v>37</v>
      </c>
      <c r="G17" s="23">
        <v>21</v>
      </c>
      <c r="H17" s="20">
        <v>10</v>
      </c>
      <c r="I17" s="23"/>
      <c r="J17" s="23"/>
      <c r="K17" s="23"/>
      <c r="L17" s="23"/>
      <c r="M17" s="23"/>
      <c r="N17" s="23"/>
      <c r="O17" s="23"/>
      <c r="P17" s="23"/>
      <c r="Q17" s="19">
        <f t="shared" si="12"/>
        <v>88</v>
      </c>
      <c r="T17" s="12">
        <f t="shared" si="1"/>
        <v>29</v>
      </c>
      <c r="U17" s="12">
        <f t="shared" si="13"/>
        <v>0</v>
      </c>
      <c r="V17" s="12">
        <f t="shared" si="2"/>
        <v>3.7735849056603772E-2</v>
      </c>
      <c r="W17" s="12">
        <f t="shared" si="3"/>
        <v>0.20224719101123595</v>
      </c>
      <c r="X17" s="12">
        <f t="shared" si="4"/>
        <v>0.17452830188679244</v>
      </c>
      <c r="Y17" s="12">
        <f t="shared" si="5"/>
        <v>6.6246056782334389E-2</v>
      </c>
      <c r="Z17" s="12">
        <f t="shared" si="6"/>
        <v>2.6455026455026454E-2</v>
      </c>
      <c r="AA17" s="12">
        <f t="shared" si="7"/>
        <v>0</v>
      </c>
      <c r="AB17" s="12">
        <f t="shared" si="8"/>
        <v>0</v>
      </c>
      <c r="AC17" s="12">
        <f t="shared" si="9"/>
        <v>0</v>
      </c>
      <c r="AD17" s="12">
        <f t="shared" si="10"/>
        <v>0</v>
      </c>
      <c r="AE17" s="12">
        <f t="shared" si="11"/>
        <v>0</v>
      </c>
    </row>
    <row r="18" spans="2:31">
      <c r="B18" s="19">
        <v>30</v>
      </c>
      <c r="C18" s="20"/>
      <c r="D18" s="20">
        <v>1</v>
      </c>
      <c r="E18" s="23">
        <v>15</v>
      </c>
      <c r="F18" s="23">
        <v>43</v>
      </c>
      <c r="G18" s="23">
        <v>19</v>
      </c>
      <c r="H18" s="23">
        <v>7</v>
      </c>
      <c r="I18" s="23">
        <v>2</v>
      </c>
      <c r="J18" s="23"/>
      <c r="K18" s="23"/>
      <c r="L18" s="23"/>
      <c r="M18" s="23"/>
      <c r="N18" s="23"/>
      <c r="O18" s="23"/>
      <c r="P18" s="23"/>
      <c r="Q18" s="19">
        <f t="shared" si="12"/>
        <v>87</v>
      </c>
      <c r="T18" s="12">
        <f t="shared" si="1"/>
        <v>30</v>
      </c>
      <c r="U18" s="12">
        <f t="shared" si="13"/>
        <v>0</v>
      </c>
      <c r="V18" s="12">
        <f t="shared" si="2"/>
        <v>1.8867924528301886E-2</v>
      </c>
      <c r="W18" s="12">
        <f t="shared" si="3"/>
        <v>0.16853932584269662</v>
      </c>
      <c r="X18" s="12">
        <f t="shared" si="4"/>
        <v>0.20283018867924529</v>
      </c>
      <c r="Y18" s="12">
        <f t="shared" si="5"/>
        <v>5.993690851735016E-2</v>
      </c>
      <c r="Z18" s="12">
        <f t="shared" si="6"/>
        <v>1.8518518518518517E-2</v>
      </c>
      <c r="AA18" s="12">
        <f t="shared" si="7"/>
        <v>5.763688760806916E-3</v>
      </c>
      <c r="AB18" s="12">
        <f t="shared" si="8"/>
        <v>0</v>
      </c>
      <c r="AC18" s="12">
        <f t="shared" si="9"/>
        <v>0</v>
      </c>
      <c r="AD18" s="12">
        <f t="shared" si="10"/>
        <v>0</v>
      </c>
      <c r="AE18" s="12">
        <f t="shared" si="11"/>
        <v>0</v>
      </c>
    </row>
    <row r="19" spans="2:31">
      <c r="B19" s="19">
        <v>31</v>
      </c>
      <c r="C19" s="20"/>
      <c r="D19" s="20"/>
      <c r="E19" s="23">
        <v>8</v>
      </c>
      <c r="F19" s="20">
        <v>13</v>
      </c>
      <c r="G19" s="23">
        <v>25</v>
      </c>
      <c r="H19" s="23">
        <v>10</v>
      </c>
      <c r="I19" s="23">
        <v>1</v>
      </c>
      <c r="J19" s="23"/>
      <c r="K19" s="23"/>
      <c r="M19" s="23"/>
      <c r="N19" s="23"/>
      <c r="O19" s="23"/>
      <c r="P19" s="23"/>
      <c r="Q19" s="19">
        <f t="shared" si="12"/>
        <v>57</v>
      </c>
      <c r="T19" s="12">
        <f t="shared" si="1"/>
        <v>31</v>
      </c>
      <c r="U19" s="12">
        <f t="shared" si="13"/>
        <v>0</v>
      </c>
      <c r="V19" s="12">
        <f t="shared" si="2"/>
        <v>0</v>
      </c>
      <c r="W19" s="12">
        <f t="shared" si="3"/>
        <v>8.98876404494382E-2</v>
      </c>
      <c r="X19" s="12">
        <f t="shared" si="4"/>
        <v>6.1320754716981132E-2</v>
      </c>
      <c r="Y19" s="12">
        <f t="shared" si="5"/>
        <v>7.8864353312302835E-2</v>
      </c>
      <c r="Z19" s="12">
        <f t="shared" si="6"/>
        <v>2.6455026455026454E-2</v>
      </c>
      <c r="AA19" s="12">
        <f t="shared" si="7"/>
        <v>2.881844380403458E-3</v>
      </c>
      <c r="AB19" s="12">
        <f t="shared" si="8"/>
        <v>0</v>
      </c>
      <c r="AC19" s="12">
        <f t="shared" si="9"/>
        <v>0</v>
      </c>
      <c r="AD19" s="12">
        <f t="shared" si="10"/>
        <v>0</v>
      </c>
      <c r="AE19" s="12">
        <f t="shared" si="11"/>
        <v>0</v>
      </c>
    </row>
    <row r="20" spans="2:31">
      <c r="B20" s="19">
        <v>32</v>
      </c>
      <c r="C20" s="20"/>
      <c r="D20" s="20"/>
      <c r="E20" s="23">
        <v>3</v>
      </c>
      <c r="F20" s="23">
        <v>19</v>
      </c>
      <c r="G20" s="23">
        <v>41</v>
      </c>
      <c r="H20" s="13">
        <v>19</v>
      </c>
      <c r="I20" s="23">
        <v>14</v>
      </c>
      <c r="J20" s="23">
        <v>2</v>
      </c>
      <c r="K20" s="23"/>
      <c r="L20" s="23"/>
      <c r="M20" s="23"/>
      <c r="N20" s="23"/>
      <c r="O20" s="23"/>
      <c r="P20" s="23"/>
      <c r="Q20" s="19">
        <f t="shared" si="12"/>
        <v>98</v>
      </c>
      <c r="T20" s="12">
        <f t="shared" si="1"/>
        <v>32</v>
      </c>
      <c r="U20" s="12">
        <f t="shared" si="13"/>
        <v>0</v>
      </c>
      <c r="V20" s="12">
        <f t="shared" si="2"/>
        <v>0</v>
      </c>
      <c r="W20" s="12">
        <f t="shared" si="3"/>
        <v>3.3707865168539325E-2</v>
      </c>
      <c r="X20" s="12">
        <f t="shared" si="4"/>
        <v>8.9622641509433956E-2</v>
      </c>
      <c r="Y20" s="12">
        <f t="shared" si="5"/>
        <v>0.12933753943217666</v>
      </c>
      <c r="Z20" s="12">
        <f t="shared" si="6"/>
        <v>5.0264550264550262E-2</v>
      </c>
      <c r="AA20" s="12">
        <f t="shared" si="7"/>
        <v>4.0345821325648415E-2</v>
      </c>
      <c r="AB20" s="12">
        <f t="shared" si="8"/>
        <v>6.3492063492063492E-3</v>
      </c>
      <c r="AC20" s="12">
        <f t="shared" si="9"/>
        <v>0</v>
      </c>
      <c r="AD20" s="12">
        <f t="shared" si="10"/>
        <v>0</v>
      </c>
      <c r="AE20" s="12">
        <f t="shared" si="11"/>
        <v>0</v>
      </c>
    </row>
    <row r="21" spans="2:31">
      <c r="B21" s="19">
        <v>33</v>
      </c>
      <c r="C21" s="20"/>
      <c r="D21" s="20"/>
      <c r="E21" s="23"/>
      <c r="F21" s="23">
        <v>12</v>
      </c>
      <c r="G21" s="23">
        <v>33</v>
      </c>
      <c r="H21" s="23">
        <v>30</v>
      </c>
      <c r="I21" s="23">
        <v>10</v>
      </c>
      <c r="J21" s="23">
        <v>2</v>
      </c>
      <c r="K21" s="23"/>
      <c r="L21" s="23"/>
      <c r="M21" s="23"/>
      <c r="N21" s="23"/>
      <c r="O21" s="23"/>
      <c r="P21" s="23"/>
      <c r="Q21" s="19">
        <f t="shared" si="12"/>
        <v>87</v>
      </c>
      <c r="T21" s="12">
        <f t="shared" si="1"/>
        <v>33</v>
      </c>
      <c r="U21" s="12">
        <f t="shared" si="13"/>
        <v>0</v>
      </c>
      <c r="V21" s="12">
        <f t="shared" si="2"/>
        <v>0</v>
      </c>
      <c r="W21" s="12">
        <f t="shared" si="3"/>
        <v>0</v>
      </c>
      <c r="X21" s="12">
        <f t="shared" si="4"/>
        <v>5.6603773584905662E-2</v>
      </c>
      <c r="Y21" s="12">
        <f t="shared" si="5"/>
        <v>0.10410094637223975</v>
      </c>
      <c r="Z21" s="12">
        <f t="shared" si="6"/>
        <v>7.9365079365079361E-2</v>
      </c>
      <c r="AA21" s="12">
        <f t="shared" si="7"/>
        <v>2.8818443804034581E-2</v>
      </c>
      <c r="AB21" s="12">
        <f t="shared" si="8"/>
        <v>6.3492063492063492E-3</v>
      </c>
      <c r="AC21" s="12">
        <f t="shared" si="9"/>
        <v>0</v>
      </c>
      <c r="AD21" s="12">
        <f t="shared" si="10"/>
        <v>0</v>
      </c>
      <c r="AE21" s="12">
        <f t="shared" si="11"/>
        <v>0</v>
      </c>
    </row>
    <row r="22" spans="2:31">
      <c r="B22" s="19">
        <v>34</v>
      </c>
      <c r="C22" s="20"/>
      <c r="D22" s="20"/>
      <c r="E22" s="20">
        <v>2</v>
      </c>
      <c r="F22" s="23">
        <v>11</v>
      </c>
      <c r="G22" s="23">
        <v>30</v>
      </c>
      <c r="H22" s="23">
        <v>27</v>
      </c>
      <c r="I22" s="23">
        <v>20</v>
      </c>
      <c r="J22" s="23">
        <v>2</v>
      </c>
      <c r="K22" s="23"/>
      <c r="L22" s="23"/>
      <c r="M22" s="23"/>
      <c r="N22" s="23"/>
      <c r="O22" s="23"/>
      <c r="P22" s="23"/>
      <c r="Q22" s="19">
        <f t="shared" si="12"/>
        <v>92</v>
      </c>
      <c r="T22" s="12">
        <f t="shared" si="1"/>
        <v>34</v>
      </c>
      <c r="U22" s="12">
        <f t="shared" si="13"/>
        <v>0</v>
      </c>
      <c r="V22" s="12">
        <f t="shared" si="2"/>
        <v>0</v>
      </c>
      <c r="W22" s="12">
        <f t="shared" si="3"/>
        <v>2.247191011235955E-2</v>
      </c>
      <c r="X22" s="12">
        <f t="shared" si="4"/>
        <v>5.1886792452830191E-2</v>
      </c>
      <c r="Y22" s="12">
        <f t="shared" si="5"/>
        <v>9.4637223974763401E-2</v>
      </c>
      <c r="Z22" s="12">
        <f t="shared" si="6"/>
        <v>7.1428571428571425E-2</v>
      </c>
      <c r="AA22" s="12">
        <f t="shared" si="7"/>
        <v>5.7636887608069162E-2</v>
      </c>
      <c r="AB22" s="12">
        <f t="shared" si="8"/>
        <v>6.3492063492063492E-3</v>
      </c>
      <c r="AC22" s="12">
        <f t="shared" si="9"/>
        <v>0</v>
      </c>
      <c r="AD22" s="12">
        <f t="shared" si="10"/>
        <v>0</v>
      </c>
      <c r="AE22" s="12">
        <f t="shared" si="11"/>
        <v>0</v>
      </c>
    </row>
    <row r="23" spans="2:31">
      <c r="B23" s="19">
        <v>35</v>
      </c>
      <c r="C23" s="20"/>
      <c r="D23" s="20"/>
      <c r="E23" s="20">
        <v>2</v>
      </c>
      <c r="F23" s="23">
        <v>8</v>
      </c>
      <c r="G23" s="23">
        <v>26</v>
      </c>
      <c r="H23" s="23">
        <v>45</v>
      </c>
      <c r="I23" s="23">
        <v>12</v>
      </c>
      <c r="J23" s="23">
        <v>6</v>
      </c>
      <c r="K23" s="23">
        <v>1</v>
      </c>
      <c r="L23" s="23"/>
      <c r="M23" s="23"/>
      <c r="N23" s="23"/>
      <c r="O23" s="23"/>
      <c r="P23" s="23"/>
      <c r="Q23" s="19">
        <f t="shared" si="12"/>
        <v>100</v>
      </c>
      <c r="T23" s="12">
        <f t="shared" si="1"/>
        <v>35</v>
      </c>
      <c r="U23" s="12">
        <f t="shared" si="13"/>
        <v>0</v>
      </c>
      <c r="V23" s="12">
        <f t="shared" si="2"/>
        <v>0</v>
      </c>
      <c r="W23" s="12">
        <f t="shared" si="3"/>
        <v>2.247191011235955E-2</v>
      </c>
      <c r="X23" s="12">
        <f t="shared" si="4"/>
        <v>3.7735849056603772E-2</v>
      </c>
      <c r="Y23" s="12">
        <f t="shared" si="5"/>
        <v>8.2018927444794956E-2</v>
      </c>
      <c r="Z23" s="12">
        <f t="shared" si="6"/>
        <v>0.11904761904761904</v>
      </c>
      <c r="AA23" s="12">
        <f t="shared" si="7"/>
        <v>3.4582132564841501E-2</v>
      </c>
      <c r="AB23" s="12">
        <f t="shared" si="8"/>
        <v>1.9047619047619049E-2</v>
      </c>
      <c r="AC23" s="12">
        <f t="shared" si="9"/>
        <v>4.1666666666666666E-3</v>
      </c>
      <c r="AD23" s="12">
        <f t="shared" si="10"/>
        <v>0</v>
      </c>
      <c r="AE23" s="12">
        <f t="shared" si="11"/>
        <v>0</v>
      </c>
    </row>
    <row r="24" spans="2:31">
      <c r="B24" s="19">
        <v>36</v>
      </c>
      <c r="C24" s="20"/>
      <c r="D24" s="20"/>
      <c r="E24" s="20">
        <v>1</v>
      </c>
      <c r="F24" s="23">
        <v>7</v>
      </c>
      <c r="G24" s="23">
        <v>27</v>
      </c>
      <c r="H24" s="23">
        <v>43</v>
      </c>
      <c r="I24" s="23">
        <v>18</v>
      </c>
      <c r="J24" s="23">
        <v>8</v>
      </c>
      <c r="K24" s="23">
        <v>6</v>
      </c>
      <c r="L24" s="23"/>
      <c r="M24" s="23"/>
      <c r="N24" s="23"/>
      <c r="O24" s="23"/>
      <c r="P24" s="23"/>
      <c r="Q24" s="19">
        <f t="shared" si="12"/>
        <v>110</v>
      </c>
      <c r="T24" s="12">
        <f t="shared" si="1"/>
        <v>36</v>
      </c>
      <c r="U24" s="12">
        <f t="shared" si="13"/>
        <v>0</v>
      </c>
      <c r="V24" s="12">
        <f t="shared" si="2"/>
        <v>0</v>
      </c>
      <c r="W24" s="12">
        <f t="shared" si="3"/>
        <v>1.1235955056179775E-2</v>
      </c>
      <c r="X24" s="12">
        <f t="shared" si="4"/>
        <v>3.3018867924528301E-2</v>
      </c>
      <c r="Y24" s="12">
        <f t="shared" si="5"/>
        <v>8.5173501577287064E-2</v>
      </c>
      <c r="Z24" s="12">
        <f t="shared" si="6"/>
        <v>0.11375661375661375</v>
      </c>
      <c r="AA24" s="12">
        <f t="shared" si="7"/>
        <v>5.1873198847262249E-2</v>
      </c>
      <c r="AB24" s="12">
        <f t="shared" si="8"/>
        <v>2.5396825396825397E-2</v>
      </c>
      <c r="AC24" s="12">
        <f t="shared" si="9"/>
        <v>2.5000000000000001E-2</v>
      </c>
      <c r="AD24" s="12">
        <f t="shared" si="10"/>
        <v>0</v>
      </c>
      <c r="AE24" s="12">
        <f t="shared" si="11"/>
        <v>0</v>
      </c>
    </row>
    <row r="25" spans="2:31">
      <c r="B25" s="19">
        <v>37</v>
      </c>
      <c r="C25" s="20"/>
      <c r="D25" s="20"/>
      <c r="E25" s="20">
        <v>1</v>
      </c>
      <c r="F25" s="23">
        <v>4</v>
      </c>
      <c r="G25" s="23">
        <v>27</v>
      </c>
      <c r="H25" s="23">
        <v>33</v>
      </c>
      <c r="I25" s="23">
        <v>31</v>
      </c>
      <c r="J25" s="23">
        <v>8</v>
      </c>
      <c r="K25" s="23"/>
      <c r="L25" s="23">
        <v>1</v>
      </c>
      <c r="M25" s="23"/>
      <c r="N25" s="23"/>
      <c r="O25" s="23"/>
      <c r="P25" s="23"/>
      <c r="Q25" s="19">
        <f t="shared" si="12"/>
        <v>105</v>
      </c>
      <c r="T25" s="12">
        <f t="shared" si="1"/>
        <v>37</v>
      </c>
      <c r="U25" s="12">
        <f t="shared" si="13"/>
        <v>0</v>
      </c>
      <c r="V25" s="12">
        <f t="shared" si="2"/>
        <v>0</v>
      </c>
      <c r="W25" s="12">
        <f t="shared" si="3"/>
        <v>1.1235955056179775E-2</v>
      </c>
      <c r="X25" s="12">
        <f t="shared" si="4"/>
        <v>1.8867924528301886E-2</v>
      </c>
      <c r="Y25" s="12">
        <f t="shared" si="5"/>
        <v>8.5173501577287064E-2</v>
      </c>
      <c r="Z25" s="12">
        <f t="shared" si="6"/>
        <v>8.7301587301587297E-2</v>
      </c>
      <c r="AA25" s="12">
        <f t="shared" si="7"/>
        <v>8.9337175792507204E-2</v>
      </c>
      <c r="AB25" s="12">
        <f t="shared" si="8"/>
        <v>2.5396825396825397E-2</v>
      </c>
      <c r="AC25" s="12">
        <f t="shared" si="9"/>
        <v>0</v>
      </c>
      <c r="AD25" s="12">
        <f t="shared" si="10"/>
        <v>5.1546391752577319E-3</v>
      </c>
      <c r="AE25" s="12">
        <f t="shared" si="11"/>
        <v>0</v>
      </c>
    </row>
    <row r="26" spans="2:31">
      <c r="B26" s="19">
        <v>38</v>
      </c>
      <c r="C26" s="20"/>
      <c r="D26" s="20"/>
      <c r="E26" s="20"/>
      <c r="F26" s="20">
        <v>5</v>
      </c>
      <c r="G26" s="23">
        <v>18</v>
      </c>
      <c r="H26" s="23">
        <v>34</v>
      </c>
      <c r="I26" s="23">
        <v>36</v>
      </c>
      <c r="J26" s="23">
        <v>14</v>
      </c>
      <c r="K26" s="23">
        <v>4</v>
      </c>
      <c r="L26" s="23"/>
      <c r="M26" s="23"/>
      <c r="N26" s="23"/>
      <c r="O26" s="23"/>
      <c r="P26" s="23"/>
      <c r="Q26" s="19">
        <f t="shared" si="12"/>
        <v>111</v>
      </c>
      <c r="T26" s="12">
        <f t="shared" si="1"/>
        <v>38</v>
      </c>
      <c r="U26" s="12">
        <f t="shared" si="13"/>
        <v>0</v>
      </c>
      <c r="V26" s="12">
        <f t="shared" si="2"/>
        <v>0</v>
      </c>
      <c r="W26" s="12">
        <f t="shared" si="3"/>
        <v>0</v>
      </c>
      <c r="X26" s="12">
        <f t="shared" si="4"/>
        <v>2.358490566037736E-2</v>
      </c>
      <c r="Y26" s="12">
        <f t="shared" si="5"/>
        <v>5.6782334384858045E-2</v>
      </c>
      <c r="Z26" s="12">
        <f t="shared" si="6"/>
        <v>8.9947089947089942E-2</v>
      </c>
      <c r="AA26" s="12">
        <f t="shared" si="7"/>
        <v>0.1037463976945245</v>
      </c>
      <c r="AB26" s="12">
        <f t="shared" si="8"/>
        <v>4.4444444444444446E-2</v>
      </c>
      <c r="AC26" s="12">
        <f t="shared" si="9"/>
        <v>1.6666666666666666E-2</v>
      </c>
      <c r="AD26" s="12">
        <f t="shared" si="10"/>
        <v>0</v>
      </c>
      <c r="AE26" s="12">
        <f t="shared" si="11"/>
        <v>0</v>
      </c>
    </row>
    <row r="27" spans="2:31">
      <c r="B27" s="19">
        <v>39</v>
      </c>
      <c r="C27" s="20"/>
      <c r="D27" s="20"/>
      <c r="E27" s="20"/>
      <c r="F27" s="20">
        <v>2</v>
      </c>
      <c r="G27" s="23">
        <v>15</v>
      </c>
      <c r="H27" s="23">
        <v>39</v>
      </c>
      <c r="I27" s="23">
        <v>30</v>
      </c>
      <c r="J27" s="23">
        <v>15</v>
      </c>
      <c r="K27" s="23">
        <v>6</v>
      </c>
      <c r="L27" s="23"/>
      <c r="M27" s="23"/>
      <c r="N27" s="23"/>
      <c r="O27" s="23"/>
      <c r="P27" s="23"/>
      <c r="Q27" s="19">
        <f t="shared" si="12"/>
        <v>107</v>
      </c>
      <c r="T27" s="12">
        <f t="shared" si="1"/>
        <v>39</v>
      </c>
      <c r="U27" s="12">
        <f t="shared" si="13"/>
        <v>0</v>
      </c>
      <c r="V27" s="12">
        <f t="shared" si="2"/>
        <v>0</v>
      </c>
      <c r="W27" s="12">
        <f t="shared" si="3"/>
        <v>0</v>
      </c>
      <c r="X27" s="12">
        <f t="shared" si="4"/>
        <v>9.433962264150943E-3</v>
      </c>
      <c r="Y27" s="12">
        <f t="shared" si="5"/>
        <v>4.7318611987381701E-2</v>
      </c>
      <c r="Z27" s="12">
        <f t="shared" si="6"/>
        <v>0.10317460317460317</v>
      </c>
      <c r="AA27" s="12">
        <f t="shared" si="7"/>
        <v>8.645533141210375E-2</v>
      </c>
      <c r="AB27" s="12">
        <f t="shared" si="8"/>
        <v>4.7619047619047616E-2</v>
      </c>
      <c r="AC27" s="12">
        <f t="shared" si="9"/>
        <v>2.5000000000000001E-2</v>
      </c>
      <c r="AD27" s="12">
        <f t="shared" si="10"/>
        <v>0</v>
      </c>
      <c r="AE27" s="12">
        <f t="shared" si="11"/>
        <v>0</v>
      </c>
    </row>
    <row r="28" spans="2:31">
      <c r="B28" s="19">
        <v>40</v>
      </c>
      <c r="C28" s="20"/>
      <c r="D28" s="20"/>
      <c r="E28" s="20"/>
      <c r="F28" s="20">
        <v>1</v>
      </c>
      <c r="G28" s="20">
        <v>12</v>
      </c>
      <c r="H28" s="20">
        <v>33</v>
      </c>
      <c r="I28" s="20">
        <v>31</v>
      </c>
      <c r="J28" s="20">
        <v>18</v>
      </c>
      <c r="K28" s="20">
        <v>7</v>
      </c>
      <c r="L28" s="13">
        <v>4</v>
      </c>
      <c r="M28" s="20">
        <v>1</v>
      </c>
      <c r="N28" s="20"/>
      <c r="O28" s="20"/>
      <c r="P28" s="20"/>
      <c r="Q28" s="19">
        <f t="shared" si="12"/>
        <v>107</v>
      </c>
      <c r="T28" s="12">
        <f t="shared" si="1"/>
        <v>40</v>
      </c>
      <c r="U28" s="12">
        <f t="shared" si="13"/>
        <v>0</v>
      </c>
      <c r="V28" s="12">
        <f t="shared" si="2"/>
        <v>0</v>
      </c>
      <c r="W28" s="12">
        <f t="shared" si="3"/>
        <v>0</v>
      </c>
      <c r="X28" s="12">
        <f t="shared" si="4"/>
        <v>4.7169811320754715E-3</v>
      </c>
      <c r="Y28" s="12">
        <f t="shared" si="5"/>
        <v>3.7854889589905363E-2</v>
      </c>
      <c r="Z28" s="12">
        <f t="shared" si="6"/>
        <v>8.7301587301587297E-2</v>
      </c>
      <c r="AA28" s="12">
        <f t="shared" si="7"/>
        <v>8.9337175792507204E-2</v>
      </c>
      <c r="AB28" s="12">
        <f t="shared" si="8"/>
        <v>5.7142857142857141E-2</v>
      </c>
      <c r="AC28" s="12">
        <f t="shared" si="9"/>
        <v>2.9166666666666667E-2</v>
      </c>
      <c r="AD28" s="12">
        <f t="shared" si="10"/>
        <v>2.0618556701030927E-2</v>
      </c>
      <c r="AE28" s="12">
        <f t="shared" si="11"/>
        <v>1.5151515151515152E-2</v>
      </c>
    </row>
    <row r="29" spans="2:31">
      <c r="B29" s="19">
        <v>41</v>
      </c>
      <c r="C29" s="20"/>
      <c r="D29" s="20"/>
      <c r="E29" s="20"/>
      <c r="F29" s="20">
        <v>1</v>
      </c>
      <c r="G29" s="20">
        <v>6</v>
      </c>
      <c r="H29" s="20">
        <v>20</v>
      </c>
      <c r="I29" s="20">
        <v>25</v>
      </c>
      <c r="J29" s="20">
        <v>19</v>
      </c>
      <c r="K29" s="20">
        <v>5</v>
      </c>
      <c r="L29" s="20">
        <v>4</v>
      </c>
      <c r="M29" s="20"/>
      <c r="N29" s="20"/>
      <c r="O29" s="20"/>
      <c r="P29" s="20"/>
      <c r="Q29" s="19">
        <f t="shared" si="12"/>
        <v>80</v>
      </c>
      <c r="T29" s="12">
        <f t="shared" si="1"/>
        <v>41</v>
      </c>
      <c r="U29" s="12">
        <f t="shared" si="13"/>
        <v>0</v>
      </c>
      <c r="V29" s="12">
        <f t="shared" si="2"/>
        <v>0</v>
      </c>
      <c r="W29" s="12">
        <f t="shared" si="3"/>
        <v>0</v>
      </c>
      <c r="X29" s="12">
        <f t="shared" si="4"/>
        <v>4.7169811320754715E-3</v>
      </c>
      <c r="Y29" s="12">
        <f t="shared" si="5"/>
        <v>1.8927444794952682E-2</v>
      </c>
      <c r="Z29" s="12">
        <f t="shared" si="6"/>
        <v>5.2910052910052907E-2</v>
      </c>
      <c r="AA29" s="12">
        <f t="shared" si="7"/>
        <v>7.2046109510086456E-2</v>
      </c>
      <c r="AB29" s="12">
        <f t="shared" si="8"/>
        <v>6.0317460317460318E-2</v>
      </c>
      <c r="AC29" s="12">
        <f t="shared" si="9"/>
        <v>2.0833333333333332E-2</v>
      </c>
      <c r="AD29" s="12">
        <f t="shared" si="10"/>
        <v>2.0618556701030927E-2</v>
      </c>
      <c r="AE29" s="12">
        <f t="shared" si="11"/>
        <v>0</v>
      </c>
    </row>
    <row r="30" spans="2:31">
      <c r="B30" s="19">
        <v>42</v>
      </c>
      <c r="C30" s="20"/>
      <c r="D30" s="20"/>
      <c r="E30" s="20"/>
      <c r="F30" s="20">
        <v>1</v>
      </c>
      <c r="G30" s="23">
        <v>2</v>
      </c>
      <c r="H30" s="23">
        <v>9</v>
      </c>
      <c r="I30" s="23">
        <v>21</v>
      </c>
      <c r="J30" s="23">
        <v>24</v>
      </c>
      <c r="K30" s="23">
        <v>4</v>
      </c>
      <c r="L30" s="20">
        <v>3</v>
      </c>
      <c r="M30" s="23">
        <v>3</v>
      </c>
      <c r="N30" s="23"/>
      <c r="O30" s="23"/>
      <c r="P30" s="23"/>
      <c r="Q30" s="19">
        <f t="shared" si="12"/>
        <v>67</v>
      </c>
      <c r="T30" s="12">
        <f t="shared" si="1"/>
        <v>42</v>
      </c>
      <c r="U30" s="12">
        <f t="shared" si="13"/>
        <v>0</v>
      </c>
      <c r="V30" s="12">
        <f t="shared" si="2"/>
        <v>0</v>
      </c>
      <c r="W30" s="12">
        <f t="shared" si="3"/>
        <v>0</v>
      </c>
      <c r="X30" s="12">
        <f t="shared" si="4"/>
        <v>4.7169811320754715E-3</v>
      </c>
      <c r="Y30" s="12">
        <f t="shared" si="5"/>
        <v>6.3091482649842269E-3</v>
      </c>
      <c r="Z30" s="12">
        <f t="shared" si="6"/>
        <v>2.3809523809523808E-2</v>
      </c>
      <c r="AA30" s="12">
        <f t="shared" si="7"/>
        <v>6.0518731988472622E-2</v>
      </c>
      <c r="AB30" s="12">
        <f t="shared" si="8"/>
        <v>7.6190476190476197E-2</v>
      </c>
      <c r="AC30" s="12">
        <f t="shared" si="9"/>
        <v>1.6666666666666666E-2</v>
      </c>
      <c r="AD30" s="12">
        <f t="shared" si="10"/>
        <v>1.5463917525773196E-2</v>
      </c>
      <c r="AE30" s="12">
        <f t="shared" si="11"/>
        <v>4.5454545454545456E-2</v>
      </c>
    </row>
    <row r="31" spans="2:31">
      <c r="B31" s="19">
        <v>43</v>
      </c>
      <c r="C31" s="20"/>
      <c r="D31" s="20"/>
      <c r="E31" s="20"/>
      <c r="F31" s="20"/>
      <c r="G31" s="20"/>
      <c r="H31" s="20">
        <v>2</v>
      </c>
      <c r="I31" s="20">
        <v>17</v>
      </c>
      <c r="J31" s="20">
        <v>20</v>
      </c>
      <c r="K31" s="20">
        <v>15</v>
      </c>
      <c r="L31" s="20">
        <v>8</v>
      </c>
      <c r="M31" s="20">
        <v>2</v>
      </c>
      <c r="N31" s="20"/>
      <c r="O31" s="20"/>
      <c r="P31" s="20"/>
      <c r="Q31" s="19">
        <f t="shared" si="12"/>
        <v>64</v>
      </c>
      <c r="T31" s="12">
        <f t="shared" si="1"/>
        <v>43</v>
      </c>
      <c r="U31" s="12">
        <f t="shared" si="13"/>
        <v>0</v>
      </c>
      <c r="V31" s="12">
        <f t="shared" si="2"/>
        <v>0</v>
      </c>
      <c r="W31" s="12">
        <f t="shared" si="3"/>
        <v>0</v>
      </c>
      <c r="X31" s="12">
        <f t="shared" si="4"/>
        <v>0</v>
      </c>
      <c r="Y31" s="12">
        <f t="shared" si="5"/>
        <v>0</v>
      </c>
      <c r="Z31" s="12">
        <f t="shared" si="6"/>
        <v>5.2910052910052907E-3</v>
      </c>
      <c r="AA31" s="12">
        <f t="shared" si="7"/>
        <v>4.8991354466858789E-2</v>
      </c>
      <c r="AB31" s="12">
        <f t="shared" si="8"/>
        <v>6.3492063492063489E-2</v>
      </c>
      <c r="AC31" s="12">
        <f t="shared" si="9"/>
        <v>6.25E-2</v>
      </c>
      <c r="AD31" s="12">
        <f t="shared" si="10"/>
        <v>4.1237113402061855E-2</v>
      </c>
      <c r="AE31" s="12">
        <f t="shared" si="11"/>
        <v>3.0303030303030304E-2</v>
      </c>
    </row>
    <row r="32" spans="2:31">
      <c r="B32" s="19">
        <v>44</v>
      </c>
      <c r="C32" s="20"/>
      <c r="D32" s="20"/>
      <c r="E32" s="20"/>
      <c r="F32" s="20"/>
      <c r="G32" s="20"/>
      <c r="H32" s="13">
        <v>4</v>
      </c>
      <c r="I32" s="20">
        <v>18</v>
      </c>
      <c r="J32" s="20">
        <v>16</v>
      </c>
      <c r="K32" s="20">
        <v>20</v>
      </c>
      <c r="L32" s="20">
        <v>4</v>
      </c>
      <c r="M32" s="20"/>
      <c r="N32" s="20"/>
      <c r="O32" s="20"/>
      <c r="P32" s="20"/>
      <c r="Q32" s="19">
        <f t="shared" si="12"/>
        <v>62</v>
      </c>
      <c r="T32" s="12">
        <f t="shared" si="1"/>
        <v>44</v>
      </c>
      <c r="U32" s="12">
        <f t="shared" si="13"/>
        <v>0</v>
      </c>
      <c r="V32" s="12">
        <f t="shared" si="2"/>
        <v>0</v>
      </c>
      <c r="W32" s="12">
        <f t="shared" si="3"/>
        <v>0</v>
      </c>
      <c r="X32" s="12">
        <f t="shared" si="4"/>
        <v>0</v>
      </c>
      <c r="Y32" s="12">
        <f t="shared" si="5"/>
        <v>0</v>
      </c>
      <c r="Z32" s="12">
        <f t="shared" si="6"/>
        <v>1.0582010582010581E-2</v>
      </c>
      <c r="AA32" s="12">
        <f t="shared" si="7"/>
        <v>5.1873198847262249E-2</v>
      </c>
      <c r="AB32" s="12">
        <f t="shared" si="8"/>
        <v>5.0793650793650794E-2</v>
      </c>
      <c r="AC32" s="12">
        <f t="shared" si="9"/>
        <v>8.3333333333333329E-2</v>
      </c>
      <c r="AD32" s="12">
        <f t="shared" si="10"/>
        <v>2.0618556701030927E-2</v>
      </c>
      <c r="AE32" s="12">
        <f t="shared" si="11"/>
        <v>0</v>
      </c>
    </row>
    <row r="33" spans="2:31">
      <c r="B33" s="19">
        <v>45</v>
      </c>
      <c r="C33" s="20"/>
      <c r="D33" s="20"/>
      <c r="E33" s="20"/>
      <c r="F33" s="20"/>
      <c r="G33" s="20"/>
      <c r="H33" s="20">
        <v>4</v>
      </c>
      <c r="I33" s="20">
        <v>14</v>
      </c>
      <c r="J33" s="20">
        <v>21</v>
      </c>
      <c r="K33" s="20">
        <v>20</v>
      </c>
      <c r="L33" s="20">
        <v>9</v>
      </c>
      <c r="M33" s="20">
        <v>3</v>
      </c>
      <c r="N33" s="20"/>
      <c r="O33" s="20"/>
      <c r="P33" s="20"/>
      <c r="Q33" s="19">
        <f t="shared" si="12"/>
        <v>71</v>
      </c>
      <c r="T33" s="12">
        <f t="shared" si="1"/>
        <v>45</v>
      </c>
      <c r="U33" s="12">
        <f t="shared" si="13"/>
        <v>0</v>
      </c>
      <c r="V33" s="12">
        <f t="shared" si="2"/>
        <v>0</v>
      </c>
      <c r="W33" s="12">
        <f t="shared" si="3"/>
        <v>0</v>
      </c>
      <c r="X33" s="12">
        <f t="shared" si="4"/>
        <v>0</v>
      </c>
      <c r="Y33" s="12">
        <f t="shared" si="5"/>
        <v>0</v>
      </c>
      <c r="Z33" s="12">
        <f t="shared" si="6"/>
        <v>1.0582010582010581E-2</v>
      </c>
      <c r="AA33" s="12">
        <f t="shared" si="7"/>
        <v>4.0345821325648415E-2</v>
      </c>
      <c r="AB33" s="12">
        <f t="shared" si="8"/>
        <v>6.6666666666666666E-2</v>
      </c>
      <c r="AC33" s="12">
        <f t="shared" si="9"/>
        <v>8.3333333333333329E-2</v>
      </c>
      <c r="AD33" s="12">
        <f t="shared" si="10"/>
        <v>4.6391752577319589E-2</v>
      </c>
      <c r="AE33" s="12">
        <f t="shared" si="11"/>
        <v>4.5454545454545456E-2</v>
      </c>
    </row>
    <row r="34" spans="2:31">
      <c r="B34" s="19">
        <v>46</v>
      </c>
      <c r="C34" s="20"/>
      <c r="D34" s="20"/>
      <c r="E34" s="20"/>
      <c r="F34" s="20"/>
      <c r="G34" s="20"/>
      <c r="H34" s="20">
        <v>2</v>
      </c>
      <c r="I34" s="20">
        <v>15</v>
      </c>
      <c r="J34" s="20">
        <v>17</v>
      </c>
      <c r="K34" s="20">
        <v>17</v>
      </c>
      <c r="L34" s="13">
        <v>12</v>
      </c>
      <c r="M34" s="20">
        <v>4</v>
      </c>
      <c r="N34" s="20"/>
      <c r="O34" s="20"/>
      <c r="P34" s="20"/>
      <c r="Q34" s="19">
        <f t="shared" si="12"/>
        <v>67</v>
      </c>
      <c r="T34" s="12">
        <f t="shared" si="1"/>
        <v>46</v>
      </c>
      <c r="U34" s="12">
        <f t="shared" si="13"/>
        <v>0</v>
      </c>
      <c r="V34" s="12">
        <f t="shared" si="2"/>
        <v>0</v>
      </c>
      <c r="W34" s="12">
        <f t="shared" si="3"/>
        <v>0</v>
      </c>
      <c r="X34" s="12">
        <f t="shared" si="4"/>
        <v>0</v>
      </c>
      <c r="Y34" s="12">
        <f t="shared" si="5"/>
        <v>0</v>
      </c>
      <c r="Z34" s="12">
        <f t="shared" si="6"/>
        <v>5.2910052910052907E-3</v>
      </c>
      <c r="AA34" s="12">
        <f t="shared" si="7"/>
        <v>4.3227665706051875E-2</v>
      </c>
      <c r="AB34" s="12">
        <f t="shared" si="8"/>
        <v>5.3968253968253971E-2</v>
      </c>
      <c r="AC34" s="12">
        <f t="shared" si="9"/>
        <v>7.0833333333333331E-2</v>
      </c>
      <c r="AD34" s="12">
        <f t="shared" si="10"/>
        <v>6.1855670103092786E-2</v>
      </c>
      <c r="AE34" s="12">
        <f t="shared" si="11"/>
        <v>6.0606060606060608E-2</v>
      </c>
    </row>
    <row r="35" spans="2:31">
      <c r="B35" s="19">
        <v>47</v>
      </c>
      <c r="C35" s="20"/>
      <c r="D35" s="20"/>
      <c r="E35" s="20"/>
      <c r="F35" s="20"/>
      <c r="G35" s="20"/>
      <c r="H35" s="20">
        <v>1</v>
      </c>
      <c r="I35" s="20">
        <v>10</v>
      </c>
      <c r="J35" s="20">
        <v>16</v>
      </c>
      <c r="K35" s="20">
        <v>12</v>
      </c>
      <c r="L35" s="20">
        <v>15</v>
      </c>
      <c r="M35" s="13">
        <v>4</v>
      </c>
      <c r="N35" s="20"/>
      <c r="O35" s="20"/>
      <c r="P35" s="20"/>
      <c r="Q35" s="19">
        <f t="shared" si="12"/>
        <v>58</v>
      </c>
      <c r="T35" s="12">
        <f t="shared" si="1"/>
        <v>47</v>
      </c>
      <c r="U35" s="12">
        <f t="shared" si="13"/>
        <v>0</v>
      </c>
      <c r="V35" s="12">
        <f t="shared" si="2"/>
        <v>0</v>
      </c>
      <c r="W35" s="12">
        <f t="shared" si="3"/>
        <v>0</v>
      </c>
      <c r="X35" s="12">
        <f t="shared" si="4"/>
        <v>0</v>
      </c>
      <c r="Y35" s="12">
        <f t="shared" si="5"/>
        <v>0</v>
      </c>
      <c r="Z35" s="12">
        <f t="shared" si="6"/>
        <v>2.6455026455026454E-3</v>
      </c>
      <c r="AA35" s="12">
        <f t="shared" si="7"/>
        <v>2.8818443804034581E-2</v>
      </c>
      <c r="AB35" s="12">
        <f t="shared" si="8"/>
        <v>5.0793650793650794E-2</v>
      </c>
      <c r="AC35" s="12">
        <f t="shared" si="9"/>
        <v>0.05</v>
      </c>
      <c r="AD35" s="12">
        <f t="shared" si="10"/>
        <v>7.7319587628865982E-2</v>
      </c>
      <c r="AE35" s="12">
        <f t="shared" si="11"/>
        <v>6.0606060606060608E-2</v>
      </c>
    </row>
    <row r="36" spans="2:31">
      <c r="B36" s="19">
        <v>48</v>
      </c>
      <c r="C36" s="20"/>
      <c r="D36" s="20"/>
      <c r="E36" s="20"/>
      <c r="F36" s="20"/>
      <c r="G36" s="20"/>
      <c r="H36" s="20"/>
      <c r="I36" s="20">
        <v>3</v>
      </c>
      <c r="J36" s="20">
        <v>18</v>
      </c>
      <c r="K36" s="20">
        <v>18</v>
      </c>
      <c r="L36" s="20">
        <v>12</v>
      </c>
      <c r="M36" s="20">
        <v>7</v>
      </c>
      <c r="N36" s="20"/>
      <c r="O36" s="20"/>
      <c r="P36" s="20"/>
      <c r="Q36" s="19">
        <f t="shared" si="12"/>
        <v>58</v>
      </c>
      <c r="T36" s="12">
        <f t="shared" si="1"/>
        <v>48</v>
      </c>
      <c r="U36" s="12">
        <f t="shared" si="13"/>
        <v>0</v>
      </c>
      <c r="V36" s="12">
        <f t="shared" si="2"/>
        <v>0</v>
      </c>
      <c r="W36" s="12">
        <f t="shared" si="3"/>
        <v>0</v>
      </c>
      <c r="X36" s="12">
        <f t="shared" si="4"/>
        <v>0</v>
      </c>
      <c r="Y36" s="12">
        <f t="shared" si="5"/>
        <v>0</v>
      </c>
      <c r="Z36" s="12">
        <f t="shared" si="6"/>
        <v>0</v>
      </c>
      <c r="AA36" s="12">
        <f t="shared" si="7"/>
        <v>8.6455331412103754E-3</v>
      </c>
      <c r="AB36" s="12">
        <f t="shared" si="8"/>
        <v>5.7142857142857141E-2</v>
      </c>
      <c r="AC36" s="12">
        <f t="shared" si="9"/>
        <v>7.4999999999999997E-2</v>
      </c>
      <c r="AD36" s="12">
        <f t="shared" si="10"/>
        <v>6.1855670103092786E-2</v>
      </c>
      <c r="AE36" s="12">
        <f t="shared" si="11"/>
        <v>0.10606060606060606</v>
      </c>
    </row>
    <row r="37" spans="2:31">
      <c r="B37" s="19">
        <v>49</v>
      </c>
      <c r="C37" s="20"/>
      <c r="D37" s="20"/>
      <c r="E37" s="20"/>
      <c r="F37" s="20"/>
      <c r="G37" s="20"/>
      <c r="H37" s="20"/>
      <c r="I37" s="20">
        <v>5</v>
      </c>
      <c r="J37" s="20">
        <v>19</v>
      </c>
      <c r="K37" s="20">
        <v>20</v>
      </c>
      <c r="L37" s="20">
        <v>10</v>
      </c>
      <c r="M37" s="20">
        <v>2</v>
      </c>
      <c r="N37" s="20">
        <v>2</v>
      </c>
      <c r="O37" s="20"/>
      <c r="P37" s="20"/>
      <c r="Q37" s="19">
        <f t="shared" si="12"/>
        <v>58</v>
      </c>
      <c r="T37" s="12">
        <f t="shared" si="1"/>
        <v>49</v>
      </c>
      <c r="U37" s="12">
        <f t="shared" si="13"/>
        <v>0</v>
      </c>
      <c r="V37" s="12">
        <f t="shared" si="2"/>
        <v>0</v>
      </c>
      <c r="W37" s="12">
        <f t="shared" si="3"/>
        <v>0</v>
      </c>
      <c r="X37" s="12">
        <f t="shared" si="4"/>
        <v>0</v>
      </c>
      <c r="Y37" s="12">
        <f t="shared" si="5"/>
        <v>0</v>
      </c>
      <c r="Z37" s="12">
        <f t="shared" si="6"/>
        <v>0</v>
      </c>
      <c r="AA37" s="12">
        <f t="shared" si="7"/>
        <v>1.4409221902017291E-2</v>
      </c>
      <c r="AB37" s="12">
        <f t="shared" si="8"/>
        <v>6.0317460317460318E-2</v>
      </c>
      <c r="AC37" s="12">
        <f t="shared" si="9"/>
        <v>8.3333333333333329E-2</v>
      </c>
      <c r="AD37" s="12">
        <f t="shared" si="10"/>
        <v>5.1546391752577317E-2</v>
      </c>
      <c r="AE37" s="12">
        <f t="shared" si="11"/>
        <v>3.0303030303030304E-2</v>
      </c>
    </row>
    <row r="38" spans="2:31">
      <c r="B38" s="19">
        <v>50</v>
      </c>
      <c r="C38" s="20"/>
      <c r="D38" s="20"/>
      <c r="E38" s="20"/>
      <c r="F38" s="20"/>
      <c r="G38" s="20"/>
      <c r="H38" s="20"/>
      <c r="I38" s="20"/>
      <c r="J38" s="20">
        <v>14</v>
      </c>
      <c r="K38" s="20">
        <v>11</v>
      </c>
      <c r="L38" s="20">
        <v>19</v>
      </c>
      <c r="M38" s="20">
        <v>5</v>
      </c>
      <c r="N38" s="20"/>
      <c r="O38" s="20"/>
      <c r="P38" s="20"/>
      <c r="Q38" s="19">
        <f t="shared" ref="Q38:Q48" si="14">SUM(C38:P38)</f>
        <v>49</v>
      </c>
      <c r="T38" s="12">
        <f t="shared" si="1"/>
        <v>50</v>
      </c>
      <c r="U38" s="12">
        <f t="shared" si="13"/>
        <v>0</v>
      </c>
      <c r="V38" s="12">
        <f t="shared" si="2"/>
        <v>0</v>
      </c>
      <c r="W38" s="12">
        <f t="shared" si="3"/>
        <v>0</v>
      </c>
      <c r="X38" s="12">
        <f t="shared" si="4"/>
        <v>0</v>
      </c>
      <c r="Y38" s="12">
        <f t="shared" si="5"/>
        <v>0</v>
      </c>
      <c r="Z38" s="12">
        <f t="shared" si="6"/>
        <v>0</v>
      </c>
      <c r="AA38" s="12">
        <f t="shared" si="7"/>
        <v>0</v>
      </c>
      <c r="AB38" s="12">
        <f t="shared" si="8"/>
        <v>4.4444444444444446E-2</v>
      </c>
      <c r="AC38" s="12">
        <f t="shared" si="9"/>
        <v>4.583333333333333E-2</v>
      </c>
      <c r="AD38" s="12">
        <f t="shared" si="10"/>
        <v>9.7938144329896906E-2</v>
      </c>
      <c r="AE38" s="12">
        <f t="shared" si="11"/>
        <v>7.575757575757576E-2</v>
      </c>
    </row>
    <row r="39" spans="2:31">
      <c r="B39" s="19">
        <v>51</v>
      </c>
      <c r="C39" s="20"/>
      <c r="D39" s="20"/>
      <c r="E39" s="20"/>
      <c r="F39" s="20"/>
      <c r="G39" s="20"/>
      <c r="H39" s="20"/>
      <c r="I39" s="20">
        <v>5</v>
      </c>
      <c r="J39" s="20">
        <v>8</v>
      </c>
      <c r="K39" s="20">
        <v>10</v>
      </c>
      <c r="L39" s="20">
        <v>21</v>
      </c>
      <c r="M39" s="20">
        <v>7</v>
      </c>
      <c r="N39" s="20">
        <v>1</v>
      </c>
      <c r="O39" s="20"/>
      <c r="P39" s="20"/>
      <c r="Q39" s="19">
        <f t="shared" si="14"/>
        <v>52</v>
      </c>
      <c r="T39" s="12">
        <f t="shared" si="1"/>
        <v>51</v>
      </c>
      <c r="U39" s="12">
        <f t="shared" si="13"/>
        <v>0</v>
      </c>
      <c r="V39" s="12">
        <f t="shared" si="2"/>
        <v>0</v>
      </c>
      <c r="W39" s="12">
        <f t="shared" si="3"/>
        <v>0</v>
      </c>
      <c r="X39" s="12">
        <f t="shared" si="4"/>
        <v>0</v>
      </c>
      <c r="Y39" s="12">
        <f t="shared" si="5"/>
        <v>0</v>
      </c>
      <c r="Z39" s="12">
        <f t="shared" si="6"/>
        <v>0</v>
      </c>
      <c r="AA39" s="12">
        <f t="shared" si="7"/>
        <v>1.4409221902017291E-2</v>
      </c>
      <c r="AB39" s="12">
        <f t="shared" si="8"/>
        <v>2.5396825396825397E-2</v>
      </c>
      <c r="AC39" s="12">
        <f t="shared" si="9"/>
        <v>4.1666666666666664E-2</v>
      </c>
      <c r="AD39" s="12">
        <f t="shared" si="10"/>
        <v>0.10824742268041238</v>
      </c>
      <c r="AE39" s="12">
        <f t="shared" si="11"/>
        <v>0.10606060606060606</v>
      </c>
    </row>
    <row r="40" spans="2:31">
      <c r="B40" s="19">
        <v>52</v>
      </c>
      <c r="C40" s="20"/>
      <c r="D40" s="20"/>
      <c r="E40" s="20"/>
      <c r="F40" s="20"/>
      <c r="G40" s="20"/>
      <c r="H40" s="20"/>
      <c r="I40" s="20">
        <v>2</v>
      </c>
      <c r="J40" s="20">
        <v>13</v>
      </c>
      <c r="K40" s="20">
        <v>14</v>
      </c>
      <c r="L40" s="20">
        <v>11</v>
      </c>
      <c r="M40" s="20">
        <v>4</v>
      </c>
      <c r="N40" s="20">
        <v>2</v>
      </c>
      <c r="O40" s="20"/>
      <c r="P40" s="20"/>
      <c r="Q40" s="19">
        <f t="shared" si="14"/>
        <v>46</v>
      </c>
      <c r="T40" s="12">
        <f t="shared" si="1"/>
        <v>52</v>
      </c>
      <c r="U40" s="12">
        <f t="shared" si="13"/>
        <v>0</v>
      </c>
      <c r="V40" s="12">
        <f t="shared" si="2"/>
        <v>0</v>
      </c>
      <c r="W40" s="12">
        <f t="shared" si="3"/>
        <v>0</v>
      </c>
      <c r="X40" s="12">
        <f t="shared" si="4"/>
        <v>0</v>
      </c>
      <c r="Y40" s="12">
        <f t="shared" si="5"/>
        <v>0</v>
      </c>
      <c r="Z40" s="12">
        <f t="shared" si="6"/>
        <v>0</v>
      </c>
      <c r="AA40" s="12">
        <f t="shared" si="7"/>
        <v>5.763688760806916E-3</v>
      </c>
      <c r="AB40" s="12">
        <f t="shared" si="8"/>
        <v>4.1269841269841269E-2</v>
      </c>
      <c r="AC40" s="12">
        <f t="shared" si="9"/>
        <v>5.8333333333333334E-2</v>
      </c>
      <c r="AD40" s="12">
        <f t="shared" si="10"/>
        <v>5.6701030927835051E-2</v>
      </c>
      <c r="AE40" s="12">
        <f t="shared" si="11"/>
        <v>6.0606060606060608E-2</v>
      </c>
    </row>
    <row r="41" spans="2:31">
      <c r="B41" s="19">
        <v>53</v>
      </c>
      <c r="C41" s="20"/>
      <c r="D41" s="20"/>
      <c r="E41" s="20"/>
      <c r="F41" s="20"/>
      <c r="G41" s="20"/>
      <c r="H41" s="20"/>
      <c r="I41" s="20">
        <v>1</v>
      </c>
      <c r="J41" s="20">
        <v>11</v>
      </c>
      <c r="K41" s="20">
        <v>9</v>
      </c>
      <c r="L41" s="20">
        <v>12</v>
      </c>
      <c r="M41" s="20">
        <v>5</v>
      </c>
      <c r="N41" s="20"/>
      <c r="O41" s="20"/>
      <c r="P41" s="20"/>
      <c r="Q41" s="19">
        <f t="shared" si="14"/>
        <v>38</v>
      </c>
      <c r="T41" s="12">
        <f t="shared" si="1"/>
        <v>53</v>
      </c>
      <c r="U41" s="12">
        <f t="shared" si="13"/>
        <v>0</v>
      </c>
      <c r="V41" s="12">
        <f t="shared" si="2"/>
        <v>0</v>
      </c>
      <c r="W41" s="12">
        <f t="shared" si="3"/>
        <v>0</v>
      </c>
      <c r="X41" s="12">
        <f t="shared" si="4"/>
        <v>0</v>
      </c>
      <c r="Y41" s="12">
        <f t="shared" si="5"/>
        <v>0</v>
      </c>
      <c r="Z41" s="12">
        <f t="shared" si="6"/>
        <v>0</v>
      </c>
      <c r="AA41" s="12">
        <f t="shared" si="7"/>
        <v>2.881844380403458E-3</v>
      </c>
      <c r="AB41" s="12">
        <f t="shared" si="8"/>
        <v>3.4920634920634921E-2</v>
      </c>
      <c r="AC41" s="12">
        <f t="shared" si="9"/>
        <v>3.7499999999999999E-2</v>
      </c>
      <c r="AD41" s="12">
        <f t="shared" si="10"/>
        <v>6.1855670103092786E-2</v>
      </c>
      <c r="AE41" s="12">
        <f t="shared" si="11"/>
        <v>7.575757575757576E-2</v>
      </c>
    </row>
    <row r="42" spans="2:31">
      <c r="B42" s="19">
        <v>54</v>
      </c>
      <c r="C42" s="20"/>
      <c r="D42" s="20"/>
      <c r="E42" s="20"/>
      <c r="F42" s="20"/>
      <c r="G42" s="20"/>
      <c r="H42" s="20"/>
      <c r="I42" s="20">
        <v>2</v>
      </c>
      <c r="J42" s="20">
        <v>9</v>
      </c>
      <c r="K42" s="20">
        <v>8</v>
      </c>
      <c r="L42" s="20">
        <v>14</v>
      </c>
      <c r="M42" s="20">
        <v>3</v>
      </c>
      <c r="N42" s="20">
        <v>2</v>
      </c>
      <c r="O42" s="20"/>
      <c r="P42" s="20"/>
      <c r="Q42" s="19">
        <f t="shared" si="14"/>
        <v>38</v>
      </c>
      <c r="T42" s="12">
        <f t="shared" si="1"/>
        <v>54</v>
      </c>
      <c r="U42" s="12">
        <f t="shared" si="13"/>
        <v>0</v>
      </c>
      <c r="V42" s="12">
        <f t="shared" si="2"/>
        <v>0</v>
      </c>
      <c r="W42" s="12">
        <f t="shared" si="3"/>
        <v>0</v>
      </c>
      <c r="X42" s="12">
        <f t="shared" si="4"/>
        <v>0</v>
      </c>
      <c r="Y42" s="12">
        <f t="shared" si="5"/>
        <v>0</v>
      </c>
      <c r="Z42" s="12">
        <f t="shared" si="6"/>
        <v>0</v>
      </c>
      <c r="AA42" s="12">
        <f t="shared" si="7"/>
        <v>5.763688760806916E-3</v>
      </c>
      <c r="AB42" s="12">
        <f t="shared" si="8"/>
        <v>2.8571428571428571E-2</v>
      </c>
      <c r="AC42" s="12">
        <f t="shared" si="9"/>
        <v>3.3333333333333333E-2</v>
      </c>
      <c r="AD42" s="12">
        <f t="shared" si="10"/>
        <v>7.2164948453608241E-2</v>
      </c>
      <c r="AE42" s="12">
        <f t="shared" si="11"/>
        <v>4.5454545454545456E-2</v>
      </c>
    </row>
    <row r="43" spans="2:31">
      <c r="B43" s="19">
        <v>55</v>
      </c>
      <c r="C43" s="20"/>
      <c r="D43" s="20"/>
      <c r="E43" s="20"/>
      <c r="F43" s="20"/>
      <c r="G43" s="20"/>
      <c r="H43" s="20"/>
      <c r="I43" s="20">
        <v>2</v>
      </c>
      <c r="J43" s="20">
        <v>4</v>
      </c>
      <c r="K43" s="20">
        <v>16</v>
      </c>
      <c r="L43" s="20">
        <v>12</v>
      </c>
      <c r="M43" s="20">
        <v>2</v>
      </c>
      <c r="N43" s="20">
        <v>4</v>
      </c>
      <c r="O43" s="20"/>
      <c r="P43" s="20"/>
      <c r="Q43" s="19">
        <f t="shared" si="14"/>
        <v>40</v>
      </c>
      <c r="T43" s="12">
        <f t="shared" si="1"/>
        <v>55</v>
      </c>
      <c r="U43" s="12">
        <f t="shared" si="13"/>
        <v>0</v>
      </c>
      <c r="V43" s="12">
        <f t="shared" si="2"/>
        <v>0</v>
      </c>
      <c r="W43" s="12">
        <f t="shared" si="3"/>
        <v>0</v>
      </c>
      <c r="X43" s="12">
        <f t="shared" si="4"/>
        <v>0</v>
      </c>
      <c r="Y43" s="12">
        <f t="shared" si="5"/>
        <v>0</v>
      </c>
      <c r="Z43" s="12">
        <f t="shared" si="6"/>
        <v>0</v>
      </c>
      <c r="AA43" s="12">
        <f t="shared" si="7"/>
        <v>5.763688760806916E-3</v>
      </c>
      <c r="AB43" s="12">
        <f t="shared" si="8"/>
        <v>1.2698412698412698E-2</v>
      </c>
      <c r="AC43" s="12">
        <f t="shared" si="9"/>
        <v>6.6666666666666666E-2</v>
      </c>
      <c r="AD43" s="12">
        <f t="shared" si="10"/>
        <v>6.1855670103092786E-2</v>
      </c>
      <c r="AE43" s="12">
        <f t="shared" si="11"/>
        <v>3.0303030303030304E-2</v>
      </c>
    </row>
    <row r="44" spans="2:31">
      <c r="B44" s="19">
        <v>56</v>
      </c>
      <c r="C44" s="20"/>
      <c r="D44" s="20"/>
      <c r="E44" s="20"/>
      <c r="F44" s="20"/>
      <c r="G44" s="20"/>
      <c r="H44" s="20">
        <v>1</v>
      </c>
      <c r="I44" s="20"/>
      <c r="J44" s="20">
        <v>5</v>
      </c>
      <c r="K44" s="20">
        <v>10</v>
      </c>
      <c r="L44" s="20">
        <v>8</v>
      </c>
      <c r="M44" s="20">
        <v>4</v>
      </c>
      <c r="N44" s="20"/>
      <c r="O44" s="20"/>
      <c r="P44" s="20"/>
      <c r="Q44" s="19">
        <f t="shared" si="14"/>
        <v>28</v>
      </c>
      <c r="T44" s="12">
        <f t="shared" si="1"/>
        <v>56</v>
      </c>
      <c r="U44" s="12">
        <f t="shared" si="13"/>
        <v>0</v>
      </c>
      <c r="V44" s="12">
        <f t="shared" si="2"/>
        <v>0</v>
      </c>
      <c r="W44" s="12">
        <f t="shared" si="3"/>
        <v>0</v>
      </c>
      <c r="X44" s="12">
        <f t="shared" si="4"/>
        <v>0</v>
      </c>
      <c r="Y44" s="12">
        <f t="shared" si="5"/>
        <v>0</v>
      </c>
      <c r="Z44" s="12">
        <f t="shared" si="6"/>
        <v>2.6455026455026454E-3</v>
      </c>
      <c r="AA44" s="12">
        <f t="shared" si="7"/>
        <v>0</v>
      </c>
      <c r="AB44" s="12">
        <f t="shared" si="8"/>
        <v>1.5873015873015872E-2</v>
      </c>
      <c r="AC44" s="12">
        <f t="shared" si="9"/>
        <v>4.1666666666666664E-2</v>
      </c>
      <c r="AD44" s="12">
        <f t="shared" si="10"/>
        <v>4.1237113402061855E-2</v>
      </c>
      <c r="AE44" s="12">
        <f t="shared" si="11"/>
        <v>6.0606060606060608E-2</v>
      </c>
    </row>
    <row r="45" spans="2:31">
      <c r="B45" s="19">
        <v>57</v>
      </c>
      <c r="C45" s="20"/>
      <c r="D45" s="20"/>
      <c r="E45" s="20"/>
      <c r="F45" s="20"/>
      <c r="G45" s="20"/>
      <c r="H45" s="20">
        <v>1</v>
      </c>
      <c r="I45" s="20">
        <v>2</v>
      </c>
      <c r="J45" s="20">
        <v>3</v>
      </c>
      <c r="K45" s="20">
        <v>4</v>
      </c>
      <c r="L45" s="20">
        <v>8</v>
      </c>
      <c r="M45" s="20">
        <v>6</v>
      </c>
      <c r="N45" s="20">
        <v>1</v>
      </c>
      <c r="O45" s="20"/>
      <c r="P45" s="20"/>
      <c r="Q45" s="19">
        <f t="shared" si="14"/>
        <v>25</v>
      </c>
      <c r="T45" s="12">
        <f t="shared" si="1"/>
        <v>57</v>
      </c>
      <c r="U45" s="12">
        <f t="shared" si="13"/>
        <v>0</v>
      </c>
      <c r="V45" s="12">
        <f t="shared" si="2"/>
        <v>0</v>
      </c>
      <c r="W45" s="12">
        <f t="shared" si="3"/>
        <v>0</v>
      </c>
      <c r="X45" s="12">
        <f t="shared" si="4"/>
        <v>0</v>
      </c>
      <c r="Y45" s="12">
        <f t="shared" si="5"/>
        <v>0</v>
      </c>
      <c r="Z45" s="12">
        <f t="shared" si="6"/>
        <v>2.6455026455026454E-3</v>
      </c>
      <c r="AA45" s="12">
        <f t="shared" si="7"/>
        <v>5.763688760806916E-3</v>
      </c>
      <c r="AB45" s="12">
        <f t="shared" si="8"/>
        <v>9.5238095238095247E-3</v>
      </c>
      <c r="AC45" s="12">
        <f t="shared" si="9"/>
        <v>1.6666666666666666E-2</v>
      </c>
      <c r="AD45" s="12">
        <f t="shared" si="10"/>
        <v>4.1237113402061855E-2</v>
      </c>
      <c r="AE45" s="12">
        <f t="shared" si="11"/>
        <v>9.0909090909090912E-2</v>
      </c>
    </row>
    <row r="46" spans="2:31">
      <c r="B46" s="19">
        <v>58</v>
      </c>
      <c r="C46" s="20"/>
      <c r="D46" s="20"/>
      <c r="E46" s="20"/>
      <c r="F46" s="20"/>
      <c r="G46" s="20"/>
      <c r="H46" s="20"/>
      <c r="I46" s="20"/>
      <c r="J46" s="20">
        <v>3</v>
      </c>
      <c r="K46" s="20">
        <v>3</v>
      </c>
      <c r="L46" s="20">
        <v>2</v>
      </c>
      <c r="N46" s="13">
        <v>1</v>
      </c>
      <c r="O46" s="20"/>
      <c r="P46" s="20"/>
      <c r="Q46" s="19">
        <f t="shared" si="14"/>
        <v>9</v>
      </c>
      <c r="T46" s="12">
        <f t="shared" si="1"/>
        <v>58</v>
      </c>
      <c r="U46" s="12">
        <f t="shared" si="13"/>
        <v>0</v>
      </c>
      <c r="V46" s="12">
        <f t="shared" si="2"/>
        <v>0</v>
      </c>
      <c r="W46" s="12">
        <f t="shared" si="3"/>
        <v>0</v>
      </c>
      <c r="X46" s="12">
        <f t="shared" si="4"/>
        <v>0</v>
      </c>
      <c r="Y46" s="12">
        <f t="shared" si="5"/>
        <v>0</v>
      </c>
      <c r="Z46" s="12">
        <f t="shared" si="6"/>
        <v>0</v>
      </c>
      <c r="AA46" s="12">
        <f t="shared" si="7"/>
        <v>0</v>
      </c>
      <c r="AB46" s="12">
        <f t="shared" si="8"/>
        <v>9.5238095238095247E-3</v>
      </c>
      <c r="AC46" s="12">
        <f t="shared" si="9"/>
        <v>1.2500000000000001E-2</v>
      </c>
      <c r="AD46" s="12">
        <f t="shared" si="10"/>
        <v>1.0309278350515464E-2</v>
      </c>
      <c r="AE46" s="12">
        <f t="shared" si="11"/>
        <v>0</v>
      </c>
    </row>
    <row r="47" spans="2:31">
      <c r="B47" s="19">
        <v>59</v>
      </c>
      <c r="C47" s="20"/>
      <c r="D47" s="20"/>
      <c r="E47" s="20"/>
      <c r="F47" s="20"/>
      <c r="G47" s="20"/>
      <c r="H47" s="20"/>
      <c r="I47" s="20"/>
      <c r="J47" s="20"/>
      <c r="K47" s="20"/>
      <c r="L47" s="20">
        <v>2</v>
      </c>
      <c r="M47" s="20">
        <v>2</v>
      </c>
      <c r="N47" s="20"/>
      <c r="O47" s="20"/>
      <c r="P47" s="20"/>
      <c r="Q47" s="19">
        <f t="shared" si="14"/>
        <v>4</v>
      </c>
      <c r="T47" s="12">
        <f t="shared" si="1"/>
        <v>59</v>
      </c>
      <c r="U47" s="12">
        <f t="shared" si="13"/>
        <v>0</v>
      </c>
      <c r="V47" s="12">
        <f t="shared" si="2"/>
        <v>0</v>
      </c>
      <c r="W47" s="12">
        <f t="shared" si="3"/>
        <v>0</v>
      </c>
      <c r="X47" s="12">
        <f t="shared" si="4"/>
        <v>0</v>
      </c>
      <c r="Y47" s="12">
        <f t="shared" si="5"/>
        <v>0</v>
      </c>
      <c r="Z47" s="12">
        <f t="shared" si="6"/>
        <v>0</v>
      </c>
      <c r="AA47" s="12">
        <f t="shared" si="7"/>
        <v>0</v>
      </c>
      <c r="AB47" s="12">
        <f t="shared" si="8"/>
        <v>0</v>
      </c>
      <c r="AC47" s="12">
        <f t="shared" si="9"/>
        <v>0</v>
      </c>
      <c r="AD47" s="12">
        <f t="shared" si="10"/>
        <v>1.0309278350515464E-2</v>
      </c>
      <c r="AE47" s="12">
        <f t="shared" si="11"/>
        <v>3.0303030303030304E-2</v>
      </c>
    </row>
    <row r="48" spans="2:31">
      <c r="B48" s="19">
        <v>60</v>
      </c>
      <c r="C48" s="20">
        <f>SUM(C50:C58)</f>
        <v>0</v>
      </c>
      <c r="D48" s="20">
        <f t="shared" ref="D48:P48" si="15">SUM(D50:D58)</f>
        <v>0</v>
      </c>
      <c r="E48" s="20">
        <f t="shared" si="15"/>
        <v>0</v>
      </c>
      <c r="F48" s="20">
        <f t="shared" si="15"/>
        <v>0</v>
      </c>
      <c r="G48" s="20">
        <f t="shared" si="15"/>
        <v>0</v>
      </c>
      <c r="H48" s="20">
        <f t="shared" si="15"/>
        <v>0</v>
      </c>
      <c r="I48" s="20">
        <f t="shared" si="15"/>
        <v>0</v>
      </c>
      <c r="J48" s="20">
        <f t="shared" si="15"/>
        <v>0</v>
      </c>
      <c r="K48" s="20">
        <f t="shared" si="15"/>
        <v>0</v>
      </c>
      <c r="L48" s="20">
        <f t="shared" si="15"/>
        <v>3</v>
      </c>
      <c r="M48" s="20">
        <f t="shared" si="15"/>
        <v>2</v>
      </c>
      <c r="N48" s="20">
        <f t="shared" si="15"/>
        <v>2</v>
      </c>
      <c r="O48" s="20">
        <f t="shared" si="15"/>
        <v>2</v>
      </c>
      <c r="P48" s="20">
        <f t="shared" si="15"/>
        <v>1</v>
      </c>
      <c r="Q48" s="19">
        <f t="shared" si="14"/>
        <v>10</v>
      </c>
      <c r="T48" s="12">
        <f t="shared" si="1"/>
        <v>60</v>
      </c>
      <c r="U48" s="12">
        <f t="shared" si="13"/>
        <v>0</v>
      </c>
      <c r="V48" s="12">
        <f t="shared" si="2"/>
        <v>0</v>
      </c>
      <c r="W48" s="12">
        <f t="shared" si="3"/>
        <v>0</v>
      </c>
      <c r="X48" s="12">
        <f t="shared" si="4"/>
        <v>0</v>
      </c>
      <c r="Y48" s="12">
        <f t="shared" si="5"/>
        <v>0</v>
      </c>
      <c r="Z48" s="12">
        <f t="shared" si="6"/>
        <v>0</v>
      </c>
      <c r="AA48" s="12">
        <f t="shared" si="7"/>
        <v>0</v>
      </c>
      <c r="AB48" s="12">
        <f t="shared" si="8"/>
        <v>0</v>
      </c>
      <c r="AC48" s="12">
        <f t="shared" si="9"/>
        <v>0</v>
      </c>
      <c r="AD48" s="12">
        <f t="shared" si="10"/>
        <v>1.5463917525773196E-2</v>
      </c>
      <c r="AE48" s="12">
        <f t="shared" si="11"/>
        <v>3.0303030303030304E-2</v>
      </c>
    </row>
    <row r="49" spans="2:17">
      <c r="B49" s="19"/>
      <c r="C49" s="20">
        <f>SUM(C5:C48)</f>
        <v>8</v>
      </c>
      <c r="D49" s="20">
        <f t="shared" ref="D49:Q49" si="16">SUM(D5:D48)</f>
        <v>53</v>
      </c>
      <c r="E49" s="20">
        <f t="shared" si="16"/>
        <v>89</v>
      </c>
      <c r="F49" s="20">
        <f t="shared" si="16"/>
        <v>212</v>
      </c>
      <c r="G49" s="20">
        <f t="shared" si="16"/>
        <v>317</v>
      </c>
      <c r="H49" s="20">
        <f t="shared" si="16"/>
        <v>378</v>
      </c>
      <c r="I49" s="20">
        <f t="shared" si="16"/>
        <v>347</v>
      </c>
      <c r="J49" s="20">
        <f t="shared" si="16"/>
        <v>315</v>
      </c>
      <c r="K49" s="20">
        <f t="shared" si="16"/>
        <v>240</v>
      </c>
      <c r="L49" s="20">
        <f t="shared" si="16"/>
        <v>194</v>
      </c>
      <c r="M49" s="20">
        <f t="shared" si="16"/>
        <v>66</v>
      </c>
      <c r="N49" s="20">
        <f t="shared" si="16"/>
        <v>15</v>
      </c>
      <c r="O49" s="20">
        <f t="shared" si="16"/>
        <v>2</v>
      </c>
      <c r="P49" s="20">
        <f t="shared" si="16"/>
        <v>1</v>
      </c>
      <c r="Q49" s="20">
        <f t="shared" si="16"/>
        <v>2237</v>
      </c>
    </row>
    <row r="50" spans="2:17">
      <c r="B50" s="19">
        <v>60</v>
      </c>
      <c r="C50" s="20"/>
      <c r="D50" s="20"/>
      <c r="E50" s="20"/>
      <c r="F50" s="20"/>
      <c r="G50" s="20"/>
      <c r="H50" s="20"/>
      <c r="I50" s="20"/>
      <c r="J50" s="20"/>
      <c r="K50" s="20"/>
      <c r="L50" s="20">
        <v>2</v>
      </c>
      <c r="M50" s="20">
        <v>1</v>
      </c>
      <c r="N50" s="20"/>
      <c r="O50" s="20"/>
      <c r="P50" s="20"/>
      <c r="Q50" s="19">
        <f t="shared" ref="Q50" si="17">SUM(C50:P50)</f>
        <v>3</v>
      </c>
    </row>
    <row r="51" spans="2:17">
      <c r="B51" s="19">
        <v>61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>
        <v>1</v>
      </c>
      <c r="N51" s="20">
        <v>1</v>
      </c>
      <c r="O51" s="20">
        <v>1</v>
      </c>
      <c r="P51" s="20">
        <v>1</v>
      </c>
      <c r="Q51" s="20">
        <v>1</v>
      </c>
    </row>
    <row r="52" spans="2:17">
      <c r="B52" s="21">
        <v>62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19">
        <f t="shared" ref="Q52:Q60" si="18">SUM(C52:P52)</f>
        <v>0</v>
      </c>
    </row>
    <row r="53" spans="2:17">
      <c r="B53" s="19">
        <v>63</v>
      </c>
      <c r="C53" s="20"/>
      <c r="D53" s="20"/>
      <c r="E53" s="20"/>
      <c r="F53" s="20"/>
      <c r="G53" s="20"/>
      <c r="H53" s="20"/>
      <c r="I53" s="20"/>
      <c r="J53" s="20"/>
      <c r="K53" s="20"/>
      <c r="L53" s="20">
        <v>1</v>
      </c>
      <c r="M53" s="20"/>
      <c r="N53" s="20"/>
      <c r="O53" s="20"/>
      <c r="P53" s="20"/>
      <c r="Q53" s="19">
        <f t="shared" si="18"/>
        <v>1</v>
      </c>
    </row>
    <row r="54" spans="2:17">
      <c r="B54" s="21">
        <v>64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19">
        <f t="shared" si="18"/>
        <v>0</v>
      </c>
    </row>
    <row r="55" spans="2:17">
      <c r="B55" s="19">
        <v>65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19">
        <f t="shared" si="18"/>
        <v>0</v>
      </c>
    </row>
    <row r="56" spans="2:17">
      <c r="B56" s="21">
        <v>66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>
        <v>1</v>
      </c>
      <c r="O56" s="20"/>
      <c r="P56" s="20"/>
      <c r="Q56" s="19">
        <f t="shared" si="18"/>
        <v>1</v>
      </c>
    </row>
    <row r="57" spans="2:17">
      <c r="B57" s="19">
        <v>67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19">
        <f t="shared" si="18"/>
        <v>0</v>
      </c>
    </row>
    <row r="58" spans="2:17">
      <c r="B58" s="21">
        <v>68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>
        <v>1</v>
      </c>
      <c r="P58" s="20"/>
      <c r="Q58" s="19">
        <f t="shared" si="18"/>
        <v>1</v>
      </c>
    </row>
    <row r="59" spans="2:17">
      <c r="B59" s="30" t="s">
        <v>7</v>
      </c>
      <c r="C59" s="17">
        <f t="shared" ref="C59" si="19">SUM(C8:C58)</f>
        <v>16</v>
      </c>
      <c r="D59" s="17">
        <f t="shared" ref="D59" si="20">SUM(D8:D58)</f>
        <v>104</v>
      </c>
      <c r="E59" s="17">
        <f t="shared" ref="E59" si="21">SUM(E8:E58)</f>
        <v>178</v>
      </c>
      <c r="F59" s="17">
        <f t="shared" ref="F59" si="22">SUM(F8:F58)</f>
        <v>424</v>
      </c>
      <c r="G59" s="17">
        <f t="shared" ref="G59" si="23">SUM(G8:G58)</f>
        <v>634</v>
      </c>
      <c r="H59" s="17">
        <f t="shared" ref="H59" si="24">SUM(H8:H58)</f>
        <v>756</v>
      </c>
      <c r="I59" s="17">
        <f t="shared" ref="I59" si="25">SUM(I8:I58)</f>
        <v>694</v>
      </c>
      <c r="J59" s="17">
        <f t="shared" ref="J59" si="26">SUM(J8:J58)</f>
        <v>630</v>
      </c>
      <c r="K59" s="17">
        <f t="shared" ref="K59" si="27">SUM(K8:K58)</f>
        <v>480</v>
      </c>
      <c r="L59" s="17">
        <f t="shared" ref="L59" si="28">SUM(L8:L58)</f>
        <v>391</v>
      </c>
      <c r="M59" s="17">
        <f t="shared" ref="M59" si="29">SUM(M8:M58)</f>
        <v>134</v>
      </c>
      <c r="N59" s="17">
        <f t="shared" ref="N59" si="30">SUM(N8:N58)</f>
        <v>32</v>
      </c>
      <c r="O59" s="17">
        <f t="shared" ref="O59" si="31">SUM(O8:O58)</f>
        <v>6</v>
      </c>
      <c r="P59" s="17">
        <f t="shared" ref="P59" si="32">SUM(P8:P58)</f>
        <v>3</v>
      </c>
      <c r="Q59" s="17">
        <f t="shared" si="18"/>
        <v>4482</v>
      </c>
    </row>
    <row r="60" spans="2:17">
      <c r="B60" s="16" t="s">
        <v>8</v>
      </c>
      <c r="C60" s="15" t="e">
        <f t="shared" ref="C60" si="33">(C59/$Q$57)*100</f>
        <v>#DIV/0!</v>
      </c>
      <c r="D60" s="15" t="e">
        <f t="shared" ref="D60" si="34">(D59/$Q$57)*100</f>
        <v>#DIV/0!</v>
      </c>
      <c r="E60" s="15" t="e">
        <f t="shared" ref="E60" si="35">(E59/$Q$57)*100</f>
        <v>#DIV/0!</v>
      </c>
      <c r="F60" s="15" t="e">
        <f t="shared" ref="F60" si="36">(F59/$Q$57)*100</f>
        <v>#DIV/0!</v>
      </c>
      <c r="G60" s="15" t="e">
        <f t="shared" ref="G60" si="37">(G59/$Q$57)*100</f>
        <v>#DIV/0!</v>
      </c>
      <c r="H60" s="15" t="e">
        <f t="shared" ref="H60" si="38">(H59/$Q$57)*100</f>
        <v>#DIV/0!</v>
      </c>
      <c r="I60" s="15" t="e">
        <f t="shared" ref="I60" si="39">(I59/$Q$57)*100</f>
        <v>#DIV/0!</v>
      </c>
      <c r="J60" s="15" t="e">
        <f t="shared" ref="J60" si="40">(J59/$Q$57)*100</f>
        <v>#DIV/0!</v>
      </c>
      <c r="K60" s="15" t="e">
        <f t="shared" ref="K60" si="41">(K59/$Q$57)*100</f>
        <v>#DIV/0!</v>
      </c>
      <c r="L60" s="15" t="e">
        <f t="shared" ref="L60" si="42">(L59/$Q$57)*100</f>
        <v>#DIV/0!</v>
      </c>
      <c r="M60" s="15" t="e">
        <f t="shared" ref="M60" si="43">(M59/$Q$57)*100</f>
        <v>#DIV/0!</v>
      </c>
      <c r="N60" s="15" t="e">
        <f t="shared" ref="N60" si="44">(N59/$Q$57)*100</f>
        <v>#DIV/0!</v>
      </c>
      <c r="O60" s="15" t="e">
        <f t="shared" ref="O60" si="45">(O59/$Q$57)*100</f>
        <v>#DIV/0!</v>
      </c>
      <c r="P60" s="15" t="e">
        <f t="shared" ref="P60" si="46">(P59/$Q$57)*100</f>
        <v>#DIV/0!</v>
      </c>
      <c r="Q60" s="15" t="e">
        <f t="shared" si="18"/>
        <v>#DIV/0!</v>
      </c>
    </row>
  </sheetData>
  <mergeCells count="1">
    <mergeCell ref="B2:Q2"/>
  </mergeCells>
  <pageMargins left="0.75" right="0.75" top="1" bottom="1" header="0" footer="0"/>
  <pageSetup paperSize="9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E58"/>
  <sheetViews>
    <sheetView topLeftCell="T1" workbookViewId="0">
      <selection activeCell="B4" sqref="B4:M50"/>
    </sheetView>
  </sheetViews>
  <sheetFormatPr defaultColWidth="9.08984375" defaultRowHeight="12.5"/>
  <cols>
    <col min="1" max="1" width="11.453125" style="12" customWidth="1"/>
    <col min="2" max="2" width="7.6328125" style="13" customWidth="1"/>
    <col min="3" max="3" width="5.90625" style="13" customWidth="1"/>
    <col min="4" max="4" width="5.6328125" style="13" customWidth="1"/>
    <col min="5" max="5" width="5.36328125" style="13" customWidth="1"/>
    <col min="6" max="6" width="5.54296875" style="13" customWidth="1"/>
    <col min="7" max="7" width="5.90625" style="13" customWidth="1"/>
    <col min="8" max="8" width="5.453125" style="13" customWidth="1"/>
    <col min="9" max="9" width="5.90625" style="13" customWidth="1"/>
    <col min="10" max="10" width="5.36328125" style="13" customWidth="1"/>
    <col min="11" max="12" width="5.90625" style="13" customWidth="1"/>
    <col min="13" max="13" width="6" style="13" customWidth="1"/>
    <col min="14" max="15" width="5.90625" style="13" customWidth="1"/>
    <col min="16" max="16" width="5.54296875" style="13" customWidth="1"/>
    <col min="17" max="17" width="7.08984375" style="13" customWidth="1"/>
    <col min="18" max="256" width="11.453125" style="12" customWidth="1"/>
    <col min="257" max="16384" width="9.08984375" style="12"/>
  </cols>
  <sheetData>
    <row r="2" spans="2:31">
      <c r="B2" s="122" t="s">
        <v>24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4" spans="2:31">
      <c r="B4" s="17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9</v>
      </c>
      <c r="J4" s="29" t="s">
        <v>10</v>
      </c>
      <c r="K4" s="29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29" t="s">
        <v>16</v>
      </c>
      <c r="Q4" s="26" t="s">
        <v>7</v>
      </c>
      <c r="U4" s="12">
        <v>2</v>
      </c>
      <c r="V4" s="12">
        <v>3</v>
      </c>
      <c r="W4" s="12">
        <v>4</v>
      </c>
      <c r="X4" s="12">
        <v>5</v>
      </c>
      <c r="Y4" s="12">
        <v>6</v>
      </c>
      <c r="Z4" s="12">
        <v>7</v>
      </c>
      <c r="AA4" s="12">
        <v>8</v>
      </c>
      <c r="AB4" s="12">
        <v>9</v>
      </c>
      <c r="AC4" s="12">
        <v>10</v>
      </c>
      <c r="AD4" s="12">
        <v>11</v>
      </c>
      <c r="AE4" s="12">
        <v>12</v>
      </c>
    </row>
    <row r="5" spans="2:31">
      <c r="B5" s="19">
        <f t="shared" ref="B5:B12" si="0">B6-1</f>
        <v>17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49"/>
      <c r="T5" s="12">
        <f t="shared" ref="T5:T48" si="1">B5</f>
        <v>17</v>
      </c>
      <c r="U5" s="12">
        <v>0</v>
      </c>
      <c r="V5" s="12">
        <f t="shared" ref="V5:V48" si="2">D5/D$49</f>
        <v>0</v>
      </c>
      <c r="W5" s="12">
        <f t="shared" ref="W5:W48" si="3">E5/E$49</f>
        <v>0</v>
      </c>
      <c r="X5" s="12">
        <f t="shared" ref="X5:X48" si="4">F5/F$49</f>
        <v>0</v>
      </c>
      <c r="Y5" s="12">
        <f t="shared" ref="Y5:Y48" si="5">G5/G$49</f>
        <v>0</v>
      </c>
      <c r="Z5" s="12">
        <f t="shared" ref="Z5:Z48" si="6">H5/H$49</f>
        <v>0</v>
      </c>
      <c r="AA5" s="12">
        <f t="shared" ref="AA5:AA48" si="7">I5/I$49</f>
        <v>0</v>
      </c>
      <c r="AB5" s="12">
        <f t="shared" ref="AB5:AB48" si="8">J5/J$49</f>
        <v>0</v>
      </c>
      <c r="AC5" s="12">
        <f t="shared" ref="AC5:AC48" si="9">K5/K$49</f>
        <v>0</v>
      </c>
      <c r="AD5" s="12">
        <f t="shared" ref="AD5:AD48" si="10">L5/L$49</f>
        <v>0</v>
      </c>
      <c r="AE5" s="12">
        <f t="shared" ref="AE5:AE48" si="11">M5/M$49</f>
        <v>0</v>
      </c>
    </row>
    <row r="6" spans="2:31">
      <c r="B6" s="19">
        <f t="shared" si="0"/>
        <v>18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49"/>
      <c r="T6" s="12">
        <f t="shared" si="1"/>
        <v>18</v>
      </c>
      <c r="U6" s="12">
        <v>0</v>
      </c>
      <c r="V6" s="12">
        <f t="shared" si="2"/>
        <v>0</v>
      </c>
      <c r="W6" s="12">
        <f t="shared" si="3"/>
        <v>0</v>
      </c>
      <c r="X6" s="12">
        <f t="shared" si="4"/>
        <v>0</v>
      </c>
      <c r="Y6" s="12">
        <f t="shared" si="5"/>
        <v>0</v>
      </c>
      <c r="Z6" s="12">
        <f t="shared" si="6"/>
        <v>0</v>
      </c>
      <c r="AA6" s="12">
        <f t="shared" si="7"/>
        <v>0</v>
      </c>
      <c r="AB6" s="12">
        <f t="shared" si="8"/>
        <v>0</v>
      </c>
      <c r="AC6" s="12">
        <f t="shared" si="9"/>
        <v>0</v>
      </c>
      <c r="AD6" s="12">
        <f t="shared" si="10"/>
        <v>0</v>
      </c>
      <c r="AE6" s="12">
        <f t="shared" si="11"/>
        <v>0</v>
      </c>
    </row>
    <row r="7" spans="2:31">
      <c r="B7" s="19">
        <f t="shared" si="0"/>
        <v>19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49"/>
      <c r="T7" s="12">
        <f t="shared" si="1"/>
        <v>19</v>
      </c>
      <c r="U7" s="12">
        <v>0</v>
      </c>
      <c r="V7" s="12">
        <f t="shared" si="2"/>
        <v>0</v>
      </c>
      <c r="W7" s="12">
        <f t="shared" si="3"/>
        <v>0</v>
      </c>
      <c r="X7" s="12">
        <f t="shared" si="4"/>
        <v>0</v>
      </c>
      <c r="Y7" s="12">
        <f t="shared" si="5"/>
        <v>0</v>
      </c>
      <c r="Z7" s="12">
        <f t="shared" si="6"/>
        <v>0</v>
      </c>
      <c r="AA7" s="12">
        <f t="shared" si="7"/>
        <v>0</v>
      </c>
      <c r="AB7" s="12">
        <f t="shared" si="8"/>
        <v>0</v>
      </c>
      <c r="AC7" s="12">
        <f t="shared" si="9"/>
        <v>0</v>
      </c>
      <c r="AD7" s="12">
        <f t="shared" si="10"/>
        <v>0</v>
      </c>
      <c r="AE7" s="12">
        <f t="shared" si="11"/>
        <v>0</v>
      </c>
    </row>
    <row r="8" spans="2:31">
      <c r="B8" s="19">
        <f t="shared" si="0"/>
        <v>20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49"/>
      <c r="T8" s="12">
        <f t="shared" si="1"/>
        <v>20</v>
      </c>
      <c r="U8" s="12">
        <v>0</v>
      </c>
      <c r="V8" s="12">
        <f t="shared" si="2"/>
        <v>0</v>
      </c>
      <c r="W8" s="12">
        <f t="shared" si="3"/>
        <v>0</v>
      </c>
      <c r="X8" s="12">
        <f t="shared" si="4"/>
        <v>0</v>
      </c>
      <c r="Y8" s="12">
        <f t="shared" si="5"/>
        <v>0</v>
      </c>
      <c r="Z8" s="12">
        <f t="shared" si="6"/>
        <v>0</v>
      </c>
      <c r="AA8" s="12">
        <f t="shared" si="7"/>
        <v>0</v>
      </c>
      <c r="AB8" s="12">
        <f t="shared" si="8"/>
        <v>0</v>
      </c>
      <c r="AC8" s="12">
        <f t="shared" si="9"/>
        <v>0</v>
      </c>
      <c r="AD8" s="12">
        <f t="shared" si="10"/>
        <v>0</v>
      </c>
      <c r="AE8" s="12">
        <f t="shared" si="11"/>
        <v>0</v>
      </c>
    </row>
    <row r="9" spans="2:31">
      <c r="B9" s="19">
        <f t="shared" si="0"/>
        <v>21</v>
      </c>
      <c r="C9" s="20"/>
      <c r="D9" s="20">
        <v>3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9">
        <f t="shared" ref="Q9:Q47" si="12">SUM(C9:P9)</f>
        <v>3</v>
      </c>
      <c r="T9" s="12">
        <f t="shared" si="1"/>
        <v>21</v>
      </c>
      <c r="U9" s="12">
        <v>0</v>
      </c>
      <c r="V9" s="12">
        <f t="shared" si="2"/>
        <v>0.42857142857142855</v>
      </c>
      <c r="W9" s="12">
        <f t="shared" si="3"/>
        <v>0</v>
      </c>
      <c r="X9" s="12">
        <f t="shared" si="4"/>
        <v>0</v>
      </c>
      <c r="Y9" s="12">
        <f t="shared" si="5"/>
        <v>0</v>
      </c>
      <c r="Z9" s="12">
        <f t="shared" si="6"/>
        <v>0</v>
      </c>
      <c r="AA9" s="12">
        <f t="shared" si="7"/>
        <v>0</v>
      </c>
      <c r="AB9" s="12">
        <f t="shared" si="8"/>
        <v>0</v>
      </c>
      <c r="AC9" s="12">
        <f t="shared" si="9"/>
        <v>0</v>
      </c>
      <c r="AD9" s="12">
        <f t="shared" si="10"/>
        <v>0</v>
      </c>
      <c r="AE9" s="12">
        <f t="shared" si="11"/>
        <v>0</v>
      </c>
    </row>
    <row r="10" spans="2:31">
      <c r="B10" s="19">
        <f t="shared" si="0"/>
        <v>22</v>
      </c>
      <c r="C10" s="20"/>
      <c r="D10" s="20">
        <v>4</v>
      </c>
      <c r="E10" s="20">
        <v>4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9">
        <f t="shared" si="12"/>
        <v>8</v>
      </c>
      <c r="T10" s="12">
        <f t="shared" si="1"/>
        <v>22</v>
      </c>
      <c r="U10" s="12">
        <v>0</v>
      </c>
      <c r="V10" s="12">
        <f t="shared" si="2"/>
        <v>0.5714285714285714</v>
      </c>
      <c r="W10" s="12">
        <f t="shared" si="3"/>
        <v>0.19047619047619047</v>
      </c>
      <c r="X10" s="12">
        <f t="shared" si="4"/>
        <v>0</v>
      </c>
      <c r="Y10" s="12">
        <f t="shared" si="5"/>
        <v>0</v>
      </c>
      <c r="Z10" s="12">
        <f t="shared" si="6"/>
        <v>0</v>
      </c>
      <c r="AA10" s="12">
        <f t="shared" si="7"/>
        <v>0</v>
      </c>
      <c r="AB10" s="12">
        <f t="shared" si="8"/>
        <v>0</v>
      </c>
      <c r="AC10" s="12">
        <f t="shared" si="9"/>
        <v>0</v>
      </c>
      <c r="AD10" s="12">
        <f t="shared" si="10"/>
        <v>0</v>
      </c>
      <c r="AE10" s="12">
        <f t="shared" si="11"/>
        <v>0</v>
      </c>
    </row>
    <row r="11" spans="2:31">
      <c r="B11" s="19">
        <f t="shared" si="0"/>
        <v>23</v>
      </c>
      <c r="C11" s="20"/>
      <c r="D11" s="20"/>
      <c r="E11" s="20">
        <v>2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9">
        <f t="shared" si="12"/>
        <v>2</v>
      </c>
      <c r="T11" s="12">
        <f t="shared" si="1"/>
        <v>23</v>
      </c>
      <c r="U11" s="12">
        <v>0</v>
      </c>
      <c r="V11" s="12">
        <f t="shared" si="2"/>
        <v>0</v>
      </c>
      <c r="W11" s="12">
        <f t="shared" si="3"/>
        <v>9.5238095238095233E-2</v>
      </c>
      <c r="X11" s="12">
        <f t="shared" si="4"/>
        <v>0</v>
      </c>
      <c r="Y11" s="12">
        <f t="shared" si="5"/>
        <v>0</v>
      </c>
      <c r="Z11" s="12">
        <f t="shared" si="6"/>
        <v>0</v>
      </c>
      <c r="AA11" s="12">
        <f t="shared" si="7"/>
        <v>0</v>
      </c>
      <c r="AB11" s="12">
        <f t="shared" si="8"/>
        <v>0</v>
      </c>
      <c r="AC11" s="12">
        <f t="shared" si="9"/>
        <v>0</v>
      </c>
      <c r="AD11" s="12">
        <f t="shared" si="10"/>
        <v>0</v>
      </c>
      <c r="AE11" s="12">
        <f t="shared" si="11"/>
        <v>0</v>
      </c>
    </row>
    <row r="12" spans="2:31">
      <c r="B12" s="19">
        <f t="shared" si="0"/>
        <v>24</v>
      </c>
      <c r="D12" s="20"/>
      <c r="E12" s="20">
        <v>6</v>
      </c>
      <c r="F12" s="20">
        <v>3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9">
        <f t="shared" si="12"/>
        <v>9</v>
      </c>
      <c r="T12" s="12">
        <f t="shared" si="1"/>
        <v>24</v>
      </c>
      <c r="U12" s="12">
        <v>0</v>
      </c>
      <c r="V12" s="12">
        <f t="shared" si="2"/>
        <v>0</v>
      </c>
      <c r="W12" s="12">
        <f t="shared" si="3"/>
        <v>0.2857142857142857</v>
      </c>
      <c r="X12" s="12">
        <f t="shared" si="4"/>
        <v>2.4793388429752067E-2</v>
      </c>
      <c r="Y12" s="12">
        <f t="shared" si="5"/>
        <v>0</v>
      </c>
      <c r="Z12" s="12">
        <f t="shared" si="6"/>
        <v>0</v>
      </c>
      <c r="AA12" s="12">
        <f t="shared" si="7"/>
        <v>0</v>
      </c>
      <c r="AB12" s="12">
        <f t="shared" si="8"/>
        <v>0</v>
      </c>
      <c r="AC12" s="12">
        <f t="shared" si="9"/>
        <v>0</v>
      </c>
      <c r="AD12" s="12">
        <f t="shared" si="10"/>
        <v>0</v>
      </c>
      <c r="AE12" s="12">
        <f t="shared" si="11"/>
        <v>0</v>
      </c>
    </row>
    <row r="13" spans="2:31">
      <c r="B13" s="19">
        <v>25</v>
      </c>
      <c r="C13" s="20"/>
      <c r="D13" s="20"/>
      <c r="E13" s="20">
        <v>6</v>
      </c>
      <c r="F13" s="20">
        <v>11</v>
      </c>
      <c r="G13" s="20">
        <v>3</v>
      </c>
      <c r="I13" s="20"/>
      <c r="J13" s="20"/>
      <c r="K13" s="20"/>
      <c r="L13" s="20"/>
      <c r="M13" s="20"/>
      <c r="N13" s="20"/>
      <c r="O13" s="20"/>
      <c r="P13" s="20"/>
      <c r="Q13" s="19">
        <f t="shared" si="12"/>
        <v>20</v>
      </c>
      <c r="T13" s="12">
        <f t="shared" si="1"/>
        <v>25</v>
      </c>
      <c r="U13" s="12">
        <v>0</v>
      </c>
      <c r="V13" s="12">
        <f t="shared" si="2"/>
        <v>0</v>
      </c>
      <c r="W13" s="12">
        <f t="shared" si="3"/>
        <v>0.2857142857142857</v>
      </c>
      <c r="X13" s="12">
        <f t="shared" si="4"/>
        <v>9.0909090909090912E-2</v>
      </c>
      <c r="Y13" s="12">
        <f t="shared" si="5"/>
        <v>1.4018691588785047E-2</v>
      </c>
      <c r="Z13" s="12">
        <f t="shared" si="6"/>
        <v>0</v>
      </c>
      <c r="AA13" s="12">
        <f t="shared" si="7"/>
        <v>0</v>
      </c>
      <c r="AB13" s="12">
        <f t="shared" si="8"/>
        <v>0</v>
      </c>
      <c r="AC13" s="12">
        <f t="shared" si="9"/>
        <v>0</v>
      </c>
      <c r="AD13" s="12">
        <f t="shared" si="10"/>
        <v>0</v>
      </c>
      <c r="AE13" s="12">
        <f t="shared" si="11"/>
        <v>0</v>
      </c>
    </row>
    <row r="14" spans="2:31">
      <c r="B14" s="19">
        <v>26</v>
      </c>
      <c r="C14" s="20"/>
      <c r="D14" s="20"/>
      <c r="E14" s="20">
        <v>3</v>
      </c>
      <c r="F14" s="20">
        <v>9</v>
      </c>
      <c r="G14" s="20">
        <v>6</v>
      </c>
      <c r="I14" s="20"/>
      <c r="J14" s="20"/>
      <c r="K14" s="20"/>
      <c r="L14" s="20"/>
      <c r="M14" s="20"/>
      <c r="N14" s="20"/>
      <c r="O14" s="20"/>
      <c r="P14" s="20"/>
      <c r="Q14" s="19">
        <f t="shared" si="12"/>
        <v>18</v>
      </c>
      <c r="T14" s="12">
        <f t="shared" si="1"/>
        <v>26</v>
      </c>
      <c r="U14" s="12">
        <v>0</v>
      </c>
      <c r="V14" s="12">
        <f t="shared" si="2"/>
        <v>0</v>
      </c>
      <c r="W14" s="12">
        <f t="shared" si="3"/>
        <v>0.14285714285714285</v>
      </c>
      <c r="X14" s="12">
        <f t="shared" si="4"/>
        <v>7.43801652892562E-2</v>
      </c>
      <c r="Y14" s="12">
        <f t="shared" si="5"/>
        <v>2.8037383177570093E-2</v>
      </c>
      <c r="Z14" s="12">
        <f t="shared" si="6"/>
        <v>0</v>
      </c>
      <c r="AA14" s="12">
        <f t="shared" si="7"/>
        <v>0</v>
      </c>
      <c r="AB14" s="12">
        <f t="shared" si="8"/>
        <v>0</v>
      </c>
      <c r="AC14" s="12">
        <f t="shared" si="9"/>
        <v>0</v>
      </c>
      <c r="AD14" s="12">
        <f t="shared" si="10"/>
        <v>0</v>
      </c>
      <c r="AE14" s="12">
        <f t="shared" si="11"/>
        <v>0</v>
      </c>
    </row>
    <row r="15" spans="2:31">
      <c r="B15" s="19">
        <v>27</v>
      </c>
      <c r="C15" s="20"/>
      <c r="D15" s="20"/>
      <c r="E15" s="20"/>
      <c r="F15" s="23">
        <v>9</v>
      </c>
      <c r="G15" s="20">
        <v>8</v>
      </c>
      <c r="H15" s="20"/>
      <c r="I15" s="20"/>
      <c r="J15" s="20"/>
      <c r="K15" s="20"/>
      <c r="L15" s="20"/>
      <c r="M15" s="20"/>
      <c r="N15" s="20"/>
      <c r="O15" s="20"/>
      <c r="P15" s="20"/>
      <c r="Q15" s="19">
        <f t="shared" si="12"/>
        <v>17</v>
      </c>
      <c r="T15" s="12">
        <f t="shared" si="1"/>
        <v>27</v>
      </c>
      <c r="U15" s="12">
        <v>0</v>
      </c>
      <c r="V15" s="12">
        <f t="shared" si="2"/>
        <v>0</v>
      </c>
      <c r="W15" s="12">
        <f t="shared" si="3"/>
        <v>0</v>
      </c>
      <c r="X15" s="12">
        <f t="shared" si="4"/>
        <v>7.43801652892562E-2</v>
      </c>
      <c r="Y15" s="12">
        <f t="shared" si="5"/>
        <v>3.7383177570093455E-2</v>
      </c>
      <c r="Z15" s="12">
        <f t="shared" si="6"/>
        <v>0</v>
      </c>
      <c r="AA15" s="12">
        <f t="shared" si="7"/>
        <v>0</v>
      </c>
      <c r="AB15" s="12">
        <f t="shared" si="8"/>
        <v>0</v>
      </c>
      <c r="AC15" s="12">
        <f t="shared" si="9"/>
        <v>0</v>
      </c>
      <c r="AD15" s="12">
        <f t="shared" si="10"/>
        <v>0</v>
      </c>
      <c r="AE15" s="12">
        <f t="shared" si="11"/>
        <v>0</v>
      </c>
    </row>
    <row r="16" spans="2:31">
      <c r="B16" s="19">
        <v>28</v>
      </c>
      <c r="C16" s="20"/>
      <c r="D16" s="20"/>
      <c r="E16" s="20"/>
      <c r="F16" s="23">
        <v>12</v>
      </c>
      <c r="G16" s="20">
        <v>13</v>
      </c>
      <c r="H16" s="20"/>
      <c r="I16" s="20"/>
      <c r="J16" s="20"/>
      <c r="K16" s="20"/>
      <c r="L16" s="20"/>
      <c r="M16" s="20"/>
      <c r="N16" s="20"/>
      <c r="O16" s="20"/>
      <c r="P16" s="20"/>
      <c r="Q16" s="19">
        <f t="shared" si="12"/>
        <v>25</v>
      </c>
      <c r="T16" s="12">
        <f t="shared" si="1"/>
        <v>28</v>
      </c>
      <c r="U16" s="12">
        <v>0</v>
      </c>
      <c r="V16" s="12">
        <f t="shared" si="2"/>
        <v>0</v>
      </c>
      <c r="W16" s="12">
        <f t="shared" si="3"/>
        <v>0</v>
      </c>
      <c r="X16" s="12">
        <f t="shared" si="4"/>
        <v>9.9173553719008267E-2</v>
      </c>
      <c r="Y16" s="12">
        <f t="shared" si="5"/>
        <v>6.0747663551401869E-2</v>
      </c>
      <c r="Z16" s="12">
        <f t="shared" si="6"/>
        <v>0</v>
      </c>
      <c r="AA16" s="12">
        <f t="shared" si="7"/>
        <v>0</v>
      </c>
      <c r="AB16" s="12">
        <f t="shared" si="8"/>
        <v>0</v>
      </c>
      <c r="AC16" s="12">
        <f t="shared" si="9"/>
        <v>0</v>
      </c>
      <c r="AD16" s="12">
        <f t="shared" si="10"/>
        <v>0</v>
      </c>
      <c r="AE16" s="12">
        <f t="shared" si="11"/>
        <v>0</v>
      </c>
    </row>
    <row r="17" spans="2:31">
      <c r="B17" s="19">
        <v>29</v>
      </c>
      <c r="C17" s="20"/>
      <c r="D17" s="23"/>
      <c r="E17" s="23"/>
      <c r="F17" s="23">
        <v>19</v>
      </c>
      <c r="G17" s="23">
        <v>21</v>
      </c>
      <c r="H17" s="20">
        <v>7</v>
      </c>
      <c r="I17" s="23"/>
      <c r="J17" s="23"/>
      <c r="K17" s="23"/>
      <c r="L17" s="23"/>
      <c r="M17" s="23"/>
      <c r="N17" s="23"/>
      <c r="O17" s="23"/>
      <c r="P17" s="23"/>
      <c r="Q17" s="19">
        <f t="shared" si="12"/>
        <v>47</v>
      </c>
      <c r="T17" s="12">
        <f t="shared" si="1"/>
        <v>29</v>
      </c>
      <c r="U17" s="12">
        <v>0</v>
      </c>
      <c r="V17" s="12">
        <f t="shared" si="2"/>
        <v>0</v>
      </c>
      <c r="W17" s="12">
        <f t="shared" si="3"/>
        <v>0</v>
      </c>
      <c r="X17" s="12">
        <f t="shared" si="4"/>
        <v>0.15702479338842976</v>
      </c>
      <c r="Y17" s="12">
        <f t="shared" si="5"/>
        <v>9.8130841121495324E-2</v>
      </c>
      <c r="Z17" s="12">
        <f t="shared" si="6"/>
        <v>2.491103202846975E-2</v>
      </c>
      <c r="AA17" s="12">
        <f t="shared" si="7"/>
        <v>0</v>
      </c>
      <c r="AB17" s="12">
        <f t="shared" si="8"/>
        <v>0</v>
      </c>
      <c r="AC17" s="12">
        <f t="shared" si="9"/>
        <v>0</v>
      </c>
      <c r="AD17" s="12">
        <f t="shared" si="10"/>
        <v>0</v>
      </c>
      <c r="AE17" s="12">
        <f t="shared" si="11"/>
        <v>0</v>
      </c>
    </row>
    <row r="18" spans="2:31">
      <c r="B18" s="19">
        <v>30</v>
      </c>
      <c r="C18" s="20"/>
      <c r="D18" s="20"/>
      <c r="E18" s="23"/>
      <c r="F18" s="23">
        <v>16</v>
      </c>
      <c r="G18" s="23">
        <v>25</v>
      </c>
      <c r="H18" s="20">
        <v>21</v>
      </c>
      <c r="I18" s="23"/>
      <c r="J18" s="23"/>
      <c r="K18" s="23"/>
      <c r="L18" s="23"/>
      <c r="M18" s="23"/>
      <c r="N18" s="23"/>
      <c r="O18" s="23"/>
      <c r="P18" s="23"/>
      <c r="Q18" s="19">
        <f t="shared" si="12"/>
        <v>62</v>
      </c>
      <c r="T18" s="12">
        <f t="shared" si="1"/>
        <v>30</v>
      </c>
      <c r="U18" s="12">
        <v>0</v>
      </c>
      <c r="V18" s="12">
        <f t="shared" si="2"/>
        <v>0</v>
      </c>
      <c r="W18" s="12">
        <f t="shared" si="3"/>
        <v>0</v>
      </c>
      <c r="X18" s="12">
        <f t="shared" si="4"/>
        <v>0.13223140495867769</v>
      </c>
      <c r="Y18" s="12">
        <f t="shared" si="5"/>
        <v>0.11682242990654206</v>
      </c>
      <c r="Z18" s="12">
        <f t="shared" si="6"/>
        <v>7.4733096085409248E-2</v>
      </c>
      <c r="AA18" s="12">
        <f t="shared" si="7"/>
        <v>0</v>
      </c>
      <c r="AB18" s="12">
        <f t="shared" si="8"/>
        <v>0</v>
      </c>
      <c r="AC18" s="12">
        <f t="shared" si="9"/>
        <v>0</v>
      </c>
      <c r="AD18" s="12">
        <f t="shared" si="10"/>
        <v>0</v>
      </c>
      <c r="AE18" s="12">
        <f t="shared" si="11"/>
        <v>0</v>
      </c>
    </row>
    <row r="19" spans="2:31">
      <c r="B19" s="19">
        <v>31</v>
      </c>
      <c r="C19" s="20"/>
      <c r="D19" s="20"/>
      <c r="E19" s="23"/>
      <c r="F19" s="20">
        <v>15</v>
      </c>
      <c r="G19" s="23">
        <v>27</v>
      </c>
      <c r="H19" s="23">
        <v>21</v>
      </c>
      <c r="I19" s="23"/>
      <c r="J19" s="23"/>
      <c r="K19" s="23"/>
      <c r="L19" s="23"/>
      <c r="M19" s="23"/>
      <c r="N19" s="23"/>
      <c r="O19" s="23"/>
      <c r="P19" s="23"/>
      <c r="Q19" s="19">
        <f t="shared" si="12"/>
        <v>63</v>
      </c>
      <c r="T19" s="12">
        <f t="shared" si="1"/>
        <v>31</v>
      </c>
      <c r="U19" s="12">
        <v>0</v>
      </c>
      <c r="V19" s="12">
        <f t="shared" si="2"/>
        <v>0</v>
      </c>
      <c r="W19" s="12">
        <f t="shared" si="3"/>
        <v>0</v>
      </c>
      <c r="X19" s="12">
        <f t="shared" si="4"/>
        <v>0.12396694214876033</v>
      </c>
      <c r="Y19" s="12">
        <f t="shared" si="5"/>
        <v>0.12616822429906541</v>
      </c>
      <c r="Z19" s="12">
        <f t="shared" si="6"/>
        <v>7.4733096085409248E-2</v>
      </c>
      <c r="AA19" s="12">
        <f t="shared" si="7"/>
        <v>0</v>
      </c>
      <c r="AB19" s="12">
        <f t="shared" si="8"/>
        <v>0</v>
      </c>
      <c r="AC19" s="12">
        <f t="shared" si="9"/>
        <v>0</v>
      </c>
      <c r="AD19" s="12">
        <f t="shared" si="10"/>
        <v>0</v>
      </c>
      <c r="AE19" s="12">
        <f t="shared" si="11"/>
        <v>0</v>
      </c>
    </row>
    <row r="20" spans="2:31">
      <c r="B20" s="19">
        <v>32</v>
      </c>
      <c r="C20" s="20"/>
      <c r="D20" s="20"/>
      <c r="E20" s="23"/>
      <c r="F20" s="23">
        <v>13</v>
      </c>
      <c r="G20" s="23">
        <v>23</v>
      </c>
      <c r="H20" s="23">
        <v>31</v>
      </c>
      <c r="I20" s="23">
        <v>9</v>
      </c>
      <c r="J20" s="23"/>
      <c r="K20" s="23"/>
      <c r="L20" s="23"/>
      <c r="M20" s="23"/>
      <c r="N20" s="23"/>
      <c r="O20" s="23"/>
      <c r="P20" s="23"/>
      <c r="Q20" s="19">
        <f t="shared" si="12"/>
        <v>76</v>
      </c>
      <c r="T20" s="12">
        <f t="shared" si="1"/>
        <v>32</v>
      </c>
      <c r="U20" s="12">
        <v>0</v>
      </c>
      <c r="V20" s="12">
        <f t="shared" si="2"/>
        <v>0</v>
      </c>
      <c r="W20" s="12">
        <f t="shared" si="3"/>
        <v>0</v>
      </c>
      <c r="X20" s="12">
        <f t="shared" si="4"/>
        <v>0.10743801652892562</v>
      </c>
      <c r="Y20" s="12">
        <f t="shared" si="5"/>
        <v>0.10747663551401869</v>
      </c>
      <c r="Z20" s="12">
        <f t="shared" si="6"/>
        <v>0.1103202846975089</v>
      </c>
      <c r="AA20" s="12">
        <f t="shared" si="7"/>
        <v>3.4749034749034749E-2</v>
      </c>
      <c r="AB20" s="12">
        <f t="shared" si="8"/>
        <v>0</v>
      </c>
      <c r="AC20" s="12">
        <f t="shared" si="9"/>
        <v>0</v>
      </c>
      <c r="AD20" s="12">
        <f t="shared" si="10"/>
        <v>0</v>
      </c>
      <c r="AE20" s="12">
        <f t="shared" si="11"/>
        <v>0</v>
      </c>
    </row>
    <row r="21" spans="2:31">
      <c r="B21" s="19">
        <v>33</v>
      </c>
      <c r="C21" s="20"/>
      <c r="D21" s="20"/>
      <c r="E21" s="23"/>
      <c r="F21" s="23">
        <v>10</v>
      </c>
      <c r="G21" s="23">
        <v>23</v>
      </c>
      <c r="H21" s="23">
        <v>32</v>
      </c>
      <c r="I21" s="23">
        <v>6</v>
      </c>
      <c r="J21" s="23"/>
      <c r="K21" s="23"/>
      <c r="L21" s="23"/>
      <c r="M21" s="23"/>
      <c r="N21" s="23"/>
      <c r="O21" s="23"/>
      <c r="P21" s="23"/>
      <c r="Q21" s="19">
        <f t="shared" si="12"/>
        <v>71</v>
      </c>
      <c r="T21" s="12">
        <f t="shared" si="1"/>
        <v>33</v>
      </c>
      <c r="U21" s="12">
        <v>0</v>
      </c>
      <c r="V21" s="12">
        <f t="shared" si="2"/>
        <v>0</v>
      </c>
      <c r="W21" s="12">
        <f t="shared" si="3"/>
        <v>0</v>
      </c>
      <c r="X21" s="12">
        <f t="shared" si="4"/>
        <v>8.2644628099173556E-2</v>
      </c>
      <c r="Y21" s="12">
        <f t="shared" si="5"/>
        <v>0.10747663551401869</v>
      </c>
      <c r="Z21" s="12">
        <f t="shared" si="6"/>
        <v>0.11387900355871886</v>
      </c>
      <c r="AA21" s="12">
        <f t="shared" si="7"/>
        <v>2.3166023166023165E-2</v>
      </c>
      <c r="AB21" s="12">
        <f t="shared" si="8"/>
        <v>0</v>
      </c>
      <c r="AC21" s="12">
        <f t="shared" si="9"/>
        <v>0</v>
      </c>
      <c r="AD21" s="12">
        <f t="shared" si="10"/>
        <v>0</v>
      </c>
      <c r="AE21" s="12">
        <f t="shared" si="11"/>
        <v>0</v>
      </c>
    </row>
    <row r="22" spans="2:31">
      <c r="B22" s="19">
        <v>34</v>
      </c>
      <c r="C22" s="20"/>
      <c r="D22" s="20"/>
      <c r="E22" s="20"/>
      <c r="F22" s="23">
        <v>2</v>
      </c>
      <c r="G22" s="23">
        <v>23</v>
      </c>
      <c r="H22" s="23">
        <v>32</v>
      </c>
      <c r="I22" s="23">
        <v>20</v>
      </c>
      <c r="J22" s="23">
        <v>8</v>
      </c>
      <c r="K22" s="23"/>
      <c r="L22" s="23"/>
      <c r="M22" s="23"/>
      <c r="N22" s="23"/>
      <c r="O22" s="23"/>
      <c r="P22" s="23"/>
      <c r="Q22" s="19">
        <f t="shared" si="12"/>
        <v>85</v>
      </c>
      <c r="T22" s="12">
        <f t="shared" si="1"/>
        <v>34</v>
      </c>
      <c r="U22" s="12">
        <v>0</v>
      </c>
      <c r="V22" s="12">
        <f t="shared" si="2"/>
        <v>0</v>
      </c>
      <c r="W22" s="12">
        <f t="shared" si="3"/>
        <v>0</v>
      </c>
      <c r="X22" s="12">
        <f t="shared" si="4"/>
        <v>1.6528925619834711E-2</v>
      </c>
      <c r="Y22" s="12">
        <f t="shared" si="5"/>
        <v>0.10747663551401869</v>
      </c>
      <c r="Z22" s="12">
        <f t="shared" si="6"/>
        <v>0.11387900355871886</v>
      </c>
      <c r="AA22" s="12">
        <f t="shared" si="7"/>
        <v>7.7220077220077218E-2</v>
      </c>
      <c r="AB22" s="12">
        <f t="shared" si="8"/>
        <v>2.6936026936026935E-2</v>
      </c>
      <c r="AC22" s="12">
        <f t="shared" si="9"/>
        <v>0</v>
      </c>
      <c r="AD22" s="12">
        <f t="shared" si="10"/>
        <v>0</v>
      </c>
      <c r="AE22" s="12">
        <f t="shared" si="11"/>
        <v>0</v>
      </c>
    </row>
    <row r="23" spans="2:31">
      <c r="B23" s="19">
        <v>35</v>
      </c>
      <c r="C23" s="20"/>
      <c r="D23" s="20"/>
      <c r="E23" s="20"/>
      <c r="F23" s="23">
        <v>2</v>
      </c>
      <c r="G23" s="23">
        <v>13</v>
      </c>
      <c r="H23" s="23">
        <v>25</v>
      </c>
      <c r="I23" s="23">
        <v>20</v>
      </c>
      <c r="J23" s="23">
        <v>7</v>
      </c>
      <c r="K23" s="23">
        <v>2</v>
      </c>
      <c r="L23" s="23"/>
      <c r="M23" s="23"/>
      <c r="N23" s="23"/>
      <c r="O23" s="23"/>
      <c r="P23" s="23"/>
      <c r="Q23" s="19">
        <f t="shared" si="12"/>
        <v>69</v>
      </c>
      <c r="T23" s="12">
        <f t="shared" si="1"/>
        <v>35</v>
      </c>
      <c r="U23" s="12">
        <v>0</v>
      </c>
      <c r="V23" s="12">
        <f t="shared" si="2"/>
        <v>0</v>
      </c>
      <c r="W23" s="12">
        <f t="shared" si="3"/>
        <v>0</v>
      </c>
      <c r="X23" s="12">
        <f t="shared" si="4"/>
        <v>1.6528925619834711E-2</v>
      </c>
      <c r="Y23" s="12">
        <f t="shared" si="5"/>
        <v>6.0747663551401869E-2</v>
      </c>
      <c r="Z23" s="12">
        <f t="shared" si="6"/>
        <v>8.8967971530249115E-2</v>
      </c>
      <c r="AA23" s="12">
        <f t="shared" si="7"/>
        <v>7.7220077220077218E-2</v>
      </c>
      <c r="AB23" s="12">
        <f t="shared" si="8"/>
        <v>2.3569023569023569E-2</v>
      </c>
      <c r="AC23" s="12">
        <f t="shared" si="9"/>
        <v>6.5789473684210523E-3</v>
      </c>
      <c r="AD23" s="12">
        <f t="shared" si="10"/>
        <v>0</v>
      </c>
      <c r="AE23" s="12">
        <f t="shared" si="11"/>
        <v>0</v>
      </c>
    </row>
    <row r="24" spans="2:31">
      <c r="B24" s="19">
        <v>36</v>
      </c>
      <c r="C24" s="20"/>
      <c r="D24" s="20"/>
      <c r="E24" s="20"/>
      <c r="F24" s="23"/>
      <c r="G24" s="23">
        <v>12</v>
      </c>
      <c r="H24" s="23">
        <v>16</v>
      </c>
      <c r="I24" s="23">
        <v>22</v>
      </c>
      <c r="J24" s="23">
        <v>19</v>
      </c>
      <c r="K24" s="23">
        <v>4</v>
      </c>
      <c r="L24" s="23"/>
      <c r="M24" s="23"/>
      <c r="N24" s="23"/>
      <c r="O24" s="23"/>
      <c r="P24" s="23"/>
      <c r="Q24" s="19">
        <f t="shared" si="12"/>
        <v>73</v>
      </c>
      <c r="T24" s="12">
        <f t="shared" si="1"/>
        <v>36</v>
      </c>
      <c r="U24" s="12">
        <v>0</v>
      </c>
      <c r="V24" s="12">
        <f t="shared" si="2"/>
        <v>0</v>
      </c>
      <c r="W24" s="12">
        <f t="shared" si="3"/>
        <v>0</v>
      </c>
      <c r="X24" s="12">
        <f t="shared" si="4"/>
        <v>0</v>
      </c>
      <c r="Y24" s="12">
        <f t="shared" si="5"/>
        <v>5.6074766355140186E-2</v>
      </c>
      <c r="Z24" s="12">
        <f t="shared" si="6"/>
        <v>5.6939501779359428E-2</v>
      </c>
      <c r="AA24" s="12">
        <f t="shared" si="7"/>
        <v>8.4942084942084939E-2</v>
      </c>
      <c r="AB24" s="12">
        <f t="shared" si="8"/>
        <v>6.3973063973063973E-2</v>
      </c>
      <c r="AC24" s="12">
        <f t="shared" si="9"/>
        <v>1.3157894736842105E-2</v>
      </c>
      <c r="AD24" s="12">
        <f t="shared" si="10"/>
        <v>0</v>
      </c>
      <c r="AE24" s="12">
        <f t="shared" si="11"/>
        <v>0</v>
      </c>
    </row>
    <row r="25" spans="2:31">
      <c r="B25" s="19">
        <v>37</v>
      </c>
      <c r="C25" s="20"/>
      <c r="D25" s="20"/>
      <c r="E25" s="20"/>
      <c r="F25" s="23"/>
      <c r="G25" s="23">
        <v>4</v>
      </c>
      <c r="H25" s="23">
        <v>19</v>
      </c>
      <c r="I25" s="23">
        <v>22</v>
      </c>
      <c r="J25" s="23">
        <v>18</v>
      </c>
      <c r="K25" s="23">
        <v>2</v>
      </c>
      <c r="L25" s="23"/>
      <c r="M25" s="23"/>
      <c r="N25" s="23"/>
      <c r="O25" s="23"/>
      <c r="P25" s="23"/>
      <c r="Q25" s="19">
        <f t="shared" si="12"/>
        <v>65</v>
      </c>
      <c r="T25" s="12">
        <f t="shared" si="1"/>
        <v>37</v>
      </c>
      <c r="U25" s="12">
        <v>0</v>
      </c>
      <c r="V25" s="12">
        <f t="shared" si="2"/>
        <v>0</v>
      </c>
      <c r="W25" s="12">
        <f t="shared" si="3"/>
        <v>0</v>
      </c>
      <c r="X25" s="12">
        <f t="shared" si="4"/>
        <v>0</v>
      </c>
      <c r="Y25" s="12">
        <f t="shared" si="5"/>
        <v>1.8691588785046728E-2</v>
      </c>
      <c r="Z25" s="12">
        <f t="shared" si="6"/>
        <v>6.7615658362989328E-2</v>
      </c>
      <c r="AA25" s="12">
        <f t="shared" si="7"/>
        <v>8.4942084942084939E-2</v>
      </c>
      <c r="AB25" s="12">
        <f t="shared" si="8"/>
        <v>6.0606060606060608E-2</v>
      </c>
      <c r="AC25" s="12">
        <f t="shared" si="9"/>
        <v>6.5789473684210523E-3</v>
      </c>
      <c r="AD25" s="12">
        <f t="shared" si="10"/>
        <v>0</v>
      </c>
      <c r="AE25" s="12">
        <f t="shared" si="11"/>
        <v>0</v>
      </c>
    </row>
    <row r="26" spans="2:31">
      <c r="B26" s="19">
        <v>38</v>
      </c>
      <c r="C26" s="20"/>
      <c r="D26" s="20"/>
      <c r="E26" s="20"/>
      <c r="F26" s="20"/>
      <c r="G26" s="23">
        <v>4</v>
      </c>
      <c r="H26" s="23">
        <v>14</v>
      </c>
      <c r="I26" s="23">
        <v>26</v>
      </c>
      <c r="J26" s="23">
        <v>22</v>
      </c>
      <c r="K26" s="23">
        <v>6</v>
      </c>
      <c r="L26" s="23"/>
      <c r="M26" s="23"/>
      <c r="N26" s="23"/>
      <c r="O26" s="23"/>
      <c r="P26" s="23"/>
      <c r="Q26" s="19">
        <f t="shared" si="12"/>
        <v>72</v>
      </c>
      <c r="T26" s="12">
        <f t="shared" si="1"/>
        <v>38</v>
      </c>
      <c r="U26" s="12">
        <v>0</v>
      </c>
      <c r="V26" s="12">
        <f t="shared" si="2"/>
        <v>0</v>
      </c>
      <c r="W26" s="12">
        <f t="shared" si="3"/>
        <v>0</v>
      </c>
      <c r="X26" s="12">
        <f t="shared" si="4"/>
        <v>0</v>
      </c>
      <c r="Y26" s="12">
        <f t="shared" si="5"/>
        <v>1.8691588785046728E-2</v>
      </c>
      <c r="Z26" s="12">
        <f t="shared" si="6"/>
        <v>4.9822064056939501E-2</v>
      </c>
      <c r="AA26" s="12">
        <f t="shared" si="7"/>
        <v>0.10038610038610038</v>
      </c>
      <c r="AB26" s="12">
        <f t="shared" si="8"/>
        <v>7.407407407407407E-2</v>
      </c>
      <c r="AC26" s="12">
        <f t="shared" si="9"/>
        <v>1.9736842105263157E-2</v>
      </c>
      <c r="AD26" s="12">
        <f t="shared" si="10"/>
        <v>0</v>
      </c>
      <c r="AE26" s="12">
        <f t="shared" si="11"/>
        <v>0</v>
      </c>
    </row>
    <row r="27" spans="2:31">
      <c r="B27" s="19">
        <v>39</v>
      </c>
      <c r="C27" s="20"/>
      <c r="D27" s="20"/>
      <c r="E27" s="20"/>
      <c r="F27" s="20"/>
      <c r="G27" s="23">
        <v>4</v>
      </c>
      <c r="H27" s="23">
        <v>13</v>
      </c>
      <c r="I27" s="23">
        <v>24</v>
      </c>
      <c r="J27" s="23">
        <v>21</v>
      </c>
      <c r="K27" s="23">
        <v>9</v>
      </c>
      <c r="L27" s="23"/>
      <c r="M27" s="23"/>
      <c r="N27" s="23"/>
      <c r="O27" s="23"/>
      <c r="P27" s="23"/>
      <c r="Q27" s="19">
        <f t="shared" si="12"/>
        <v>71</v>
      </c>
      <c r="T27" s="12">
        <f t="shared" si="1"/>
        <v>39</v>
      </c>
      <c r="U27" s="12">
        <v>0</v>
      </c>
      <c r="V27" s="12">
        <f t="shared" si="2"/>
        <v>0</v>
      </c>
      <c r="W27" s="12">
        <f t="shared" si="3"/>
        <v>0</v>
      </c>
      <c r="X27" s="12">
        <f t="shared" si="4"/>
        <v>0</v>
      </c>
      <c r="Y27" s="12">
        <f t="shared" si="5"/>
        <v>1.8691588785046728E-2</v>
      </c>
      <c r="Z27" s="12">
        <f t="shared" si="6"/>
        <v>4.6263345195729534E-2</v>
      </c>
      <c r="AA27" s="12">
        <f t="shared" si="7"/>
        <v>9.2664092664092659E-2</v>
      </c>
      <c r="AB27" s="12">
        <f t="shared" si="8"/>
        <v>7.0707070707070704E-2</v>
      </c>
      <c r="AC27" s="12">
        <f t="shared" si="9"/>
        <v>2.9605263157894735E-2</v>
      </c>
      <c r="AD27" s="12">
        <f t="shared" si="10"/>
        <v>0</v>
      </c>
      <c r="AE27" s="12">
        <f t="shared" si="11"/>
        <v>0</v>
      </c>
    </row>
    <row r="28" spans="2:31">
      <c r="B28" s="19">
        <v>40</v>
      </c>
      <c r="C28" s="20"/>
      <c r="D28" s="20"/>
      <c r="E28" s="20"/>
      <c r="F28" s="20"/>
      <c r="G28" s="20">
        <v>2</v>
      </c>
      <c r="H28" s="20">
        <v>8</v>
      </c>
      <c r="I28" s="20">
        <v>27</v>
      </c>
      <c r="J28" s="20">
        <v>27</v>
      </c>
      <c r="K28" s="20">
        <v>9</v>
      </c>
      <c r="L28" s="13">
        <v>3</v>
      </c>
      <c r="M28" s="20"/>
      <c r="N28" s="20"/>
      <c r="O28" s="20"/>
      <c r="P28" s="20"/>
      <c r="Q28" s="19">
        <f t="shared" si="12"/>
        <v>76</v>
      </c>
      <c r="T28" s="12">
        <f t="shared" si="1"/>
        <v>40</v>
      </c>
      <c r="U28" s="12">
        <v>0</v>
      </c>
      <c r="V28" s="12">
        <f t="shared" si="2"/>
        <v>0</v>
      </c>
      <c r="W28" s="12">
        <f t="shared" si="3"/>
        <v>0</v>
      </c>
      <c r="X28" s="12">
        <f t="shared" si="4"/>
        <v>0</v>
      </c>
      <c r="Y28" s="12">
        <f t="shared" si="5"/>
        <v>9.3457943925233638E-3</v>
      </c>
      <c r="Z28" s="12">
        <f t="shared" si="6"/>
        <v>2.8469750889679714E-2</v>
      </c>
      <c r="AA28" s="12">
        <f t="shared" si="7"/>
        <v>0.10424710424710425</v>
      </c>
      <c r="AB28" s="12">
        <f t="shared" si="8"/>
        <v>9.0909090909090912E-2</v>
      </c>
      <c r="AC28" s="12">
        <f t="shared" si="9"/>
        <v>2.9605263157894735E-2</v>
      </c>
      <c r="AD28" s="12">
        <f t="shared" si="10"/>
        <v>1.1857707509881422E-2</v>
      </c>
      <c r="AE28" s="12">
        <f t="shared" si="11"/>
        <v>0</v>
      </c>
    </row>
    <row r="29" spans="2:31">
      <c r="B29" s="19">
        <v>41</v>
      </c>
      <c r="C29" s="20"/>
      <c r="D29" s="20"/>
      <c r="E29" s="20"/>
      <c r="F29" s="20"/>
      <c r="G29" s="20">
        <v>1</v>
      </c>
      <c r="H29" s="20">
        <v>15</v>
      </c>
      <c r="I29" s="20">
        <v>15</v>
      </c>
      <c r="J29" s="20">
        <v>25</v>
      </c>
      <c r="K29" s="20">
        <v>11</v>
      </c>
      <c r="L29" s="20">
        <v>4</v>
      </c>
      <c r="M29" s="20"/>
      <c r="N29" s="20"/>
      <c r="O29" s="20"/>
      <c r="P29" s="20"/>
      <c r="Q29" s="19">
        <f t="shared" si="12"/>
        <v>71</v>
      </c>
      <c r="T29" s="12">
        <f t="shared" si="1"/>
        <v>41</v>
      </c>
      <c r="U29" s="12">
        <v>0</v>
      </c>
      <c r="V29" s="12">
        <f t="shared" si="2"/>
        <v>0</v>
      </c>
      <c r="W29" s="12">
        <f t="shared" si="3"/>
        <v>0</v>
      </c>
      <c r="X29" s="12">
        <f t="shared" si="4"/>
        <v>0</v>
      </c>
      <c r="Y29" s="12">
        <f t="shared" si="5"/>
        <v>4.6728971962616819E-3</v>
      </c>
      <c r="Z29" s="12">
        <f t="shared" si="6"/>
        <v>5.3380782918149468E-2</v>
      </c>
      <c r="AA29" s="12">
        <f t="shared" si="7"/>
        <v>5.7915057915057917E-2</v>
      </c>
      <c r="AB29" s="12">
        <f t="shared" si="8"/>
        <v>8.4175084175084181E-2</v>
      </c>
      <c r="AC29" s="12">
        <f t="shared" si="9"/>
        <v>3.6184210526315791E-2</v>
      </c>
      <c r="AD29" s="12">
        <f t="shared" si="10"/>
        <v>1.5810276679841896E-2</v>
      </c>
      <c r="AE29" s="12">
        <f t="shared" si="11"/>
        <v>0</v>
      </c>
    </row>
    <row r="30" spans="2:31">
      <c r="B30" s="19">
        <v>42</v>
      </c>
      <c r="C30" s="20"/>
      <c r="D30" s="20"/>
      <c r="E30" s="20"/>
      <c r="F30" s="20"/>
      <c r="G30" s="23">
        <v>1</v>
      </c>
      <c r="H30" s="23">
        <v>8</v>
      </c>
      <c r="I30" s="23">
        <v>12</v>
      </c>
      <c r="J30" s="23">
        <v>25</v>
      </c>
      <c r="K30" s="23">
        <v>17</v>
      </c>
      <c r="L30" s="20">
        <v>11</v>
      </c>
      <c r="M30" s="23">
        <v>1</v>
      </c>
      <c r="N30" s="23"/>
      <c r="O30" s="23"/>
      <c r="P30" s="23"/>
      <c r="Q30" s="19">
        <f t="shared" si="12"/>
        <v>75</v>
      </c>
      <c r="T30" s="12">
        <f t="shared" si="1"/>
        <v>42</v>
      </c>
      <c r="U30" s="12">
        <v>0</v>
      </c>
      <c r="V30" s="12">
        <f t="shared" si="2"/>
        <v>0</v>
      </c>
      <c r="W30" s="12">
        <f t="shared" si="3"/>
        <v>0</v>
      </c>
      <c r="X30" s="12">
        <f t="shared" si="4"/>
        <v>0</v>
      </c>
      <c r="Y30" s="12">
        <f t="shared" si="5"/>
        <v>4.6728971962616819E-3</v>
      </c>
      <c r="Z30" s="12">
        <f t="shared" si="6"/>
        <v>2.8469750889679714E-2</v>
      </c>
      <c r="AA30" s="12">
        <f t="shared" si="7"/>
        <v>4.633204633204633E-2</v>
      </c>
      <c r="AB30" s="12">
        <f t="shared" si="8"/>
        <v>8.4175084175084181E-2</v>
      </c>
      <c r="AC30" s="12">
        <f t="shared" si="9"/>
        <v>5.5921052631578948E-2</v>
      </c>
      <c r="AD30" s="12">
        <f t="shared" si="10"/>
        <v>4.3478260869565216E-2</v>
      </c>
      <c r="AE30" s="12">
        <f t="shared" si="11"/>
        <v>6.3291139240506328E-3</v>
      </c>
    </row>
    <row r="31" spans="2:31">
      <c r="B31" s="19">
        <v>43</v>
      </c>
      <c r="C31" s="20"/>
      <c r="D31" s="20"/>
      <c r="E31" s="20"/>
      <c r="F31" s="20"/>
      <c r="G31" s="20">
        <v>1</v>
      </c>
      <c r="H31" s="20">
        <v>10</v>
      </c>
      <c r="I31" s="20">
        <v>11</v>
      </c>
      <c r="J31" s="20">
        <v>11</v>
      </c>
      <c r="K31" s="20">
        <v>23</v>
      </c>
      <c r="L31" s="20">
        <v>14</v>
      </c>
      <c r="M31" s="20">
        <v>4</v>
      </c>
      <c r="N31" s="20"/>
      <c r="O31" s="20"/>
      <c r="P31" s="20"/>
      <c r="Q31" s="19">
        <f t="shared" si="12"/>
        <v>74</v>
      </c>
      <c r="T31" s="12">
        <f t="shared" si="1"/>
        <v>43</v>
      </c>
      <c r="U31" s="12">
        <v>0</v>
      </c>
      <c r="V31" s="12">
        <f t="shared" si="2"/>
        <v>0</v>
      </c>
      <c r="W31" s="12">
        <f t="shared" si="3"/>
        <v>0</v>
      </c>
      <c r="X31" s="12">
        <f t="shared" si="4"/>
        <v>0</v>
      </c>
      <c r="Y31" s="12">
        <f t="shared" si="5"/>
        <v>4.6728971962616819E-3</v>
      </c>
      <c r="Z31" s="12">
        <f t="shared" si="6"/>
        <v>3.5587188612099648E-2</v>
      </c>
      <c r="AA31" s="12">
        <f t="shared" si="7"/>
        <v>4.2471042471042469E-2</v>
      </c>
      <c r="AB31" s="12">
        <f t="shared" si="8"/>
        <v>3.7037037037037035E-2</v>
      </c>
      <c r="AC31" s="12">
        <f t="shared" si="9"/>
        <v>7.5657894736842105E-2</v>
      </c>
      <c r="AD31" s="12">
        <f t="shared" si="10"/>
        <v>5.533596837944664E-2</v>
      </c>
      <c r="AE31" s="12">
        <f t="shared" si="11"/>
        <v>2.5316455696202531E-2</v>
      </c>
    </row>
    <row r="32" spans="2:31">
      <c r="B32" s="19">
        <v>44</v>
      </c>
      <c r="C32" s="20"/>
      <c r="D32" s="20"/>
      <c r="E32" s="20"/>
      <c r="F32" s="20"/>
      <c r="G32" s="20"/>
      <c r="I32" s="20">
        <v>3</v>
      </c>
      <c r="J32" s="20">
        <v>24</v>
      </c>
      <c r="K32" s="20">
        <v>27</v>
      </c>
      <c r="L32" s="20">
        <v>17</v>
      </c>
      <c r="M32" s="20">
        <v>3</v>
      </c>
      <c r="N32" s="20"/>
      <c r="O32" s="20"/>
      <c r="P32" s="20"/>
      <c r="Q32" s="19">
        <f t="shared" si="12"/>
        <v>74</v>
      </c>
      <c r="T32" s="12">
        <f t="shared" si="1"/>
        <v>44</v>
      </c>
      <c r="U32" s="12">
        <v>0</v>
      </c>
      <c r="V32" s="12">
        <f t="shared" si="2"/>
        <v>0</v>
      </c>
      <c r="W32" s="12">
        <f t="shared" si="3"/>
        <v>0</v>
      </c>
      <c r="X32" s="12">
        <f t="shared" si="4"/>
        <v>0</v>
      </c>
      <c r="Y32" s="12">
        <f t="shared" si="5"/>
        <v>0</v>
      </c>
      <c r="Z32" s="12">
        <f t="shared" si="6"/>
        <v>0</v>
      </c>
      <c r="AA32" s="12">
        <f t="shared" si="7"/>
        <v>1.1583011583011582E-2</v>
      </c>
      <c r="AB32" s="12">
        <f t="shared" si="8"/>
        <v>8.0808080808080815E-2</v>
      </c>
      <c r="AC32" s="12">
        <f t="shared" si="9"/>
        <v>8.8815789473684209E-2</v>
      </c>
      <c r="AD32" s="12">
        <f t="shared" si="10"/>
        <v>6.7193675889328064E-2</v>
      </c>
      <c r="AE32" s="12">
        <f t="shared" si="11"/>
        <v>1.8987341772151899E-2</v>
      </c>
    </row>
    <row r="33" spans="2:31">
      <c r="B33" s="19">
        <v>45</v>
      </c>
      <c r="C33" s="20"/>
      <c r="D33" s="20"/>
      <c r="E33" s="20"/>
      <c r="F33" s="20"/>
      <c r="G33" s="20"/>
      <c r="H33" s="13">
        <v>7</v>
      </c>
      <c r="I33" s="20">
        <v>9</v>
      </c>
      <c r="J33" s="20">
        <v>15</v>
      </c>
      <c r="K33" s="20">
        <v>19</v>
      </c>
      <c r="L33" s="20">
        <v>14</v>
      </c>
      <c r="M33" s="20">
        <v>9</v>
      </c>
      <c r="N33" s="20"/>
      <c r="O33" s="20"/>
      <c r="P33" s="20"/>
      <c r="Q33" s="19">
        <f t="shared" si="12"/>
        <v>73</v>
      </c>
      <c r="T33" s="12">
        <f t="shared" si="1"/>
        <v>45</v>
      </c>
      <c r="U33" s="12">
        <v>0</v>
      </c>
      <c r="V33" s="12">
        <f t="shared" si="2"/>
        <v>0</v>
      </c>
      <c r="W33" s="12">
        <f t="shared" si="3"/>
        <v>0</v>
      </c>
      <c r="X33" s="12">
        <f t="shared" si="4"/>
        <v>0</v>
      </c>
      <c r="Y33" s="12">
        <f t="shared" si="5"/>
        <v>0</v>
      </c>
      <c r="Z33" s="12">
        <f t="shared" si="6"/>
        <v>2.491103202846975E-2</v>
      </c>
      <c r="AA33" s="12">
        <f t="shared" si="7"/>
        <v>3.4749034749034749E-2</v>
      </c>
      <c r="AB33" s="12">
        <f t="shared" si="8"/>
        <v>5.0505050505050504E-2</v>
      </c>
      <c r="AC33" s="12">
        <f t="shared" si="9"/>
        <v>6.25E-2</v>
      </c>
      <c r="AD33" s="12">
        <f t="shared" si="10"/>
        <v>5.533596837944664E-2</v>
      </c>
      <c r="AE33" s="12">
        <f t="shared" si="11"/>
        <v>5.6962025316455694E-2</v>
      </c>
    </row>
    <row r="34" spans="2:31">
      <c r="B34" s="19">
        <v>46</v>
      </c>
      <c r="C34" s="20"/>
      <c r="D34" s="20"/>
      <c r="E34" s="20"/>
      <c r="F34" s="20"/>
      <c r="G34" s="20"/>
      <c r="H34" s="20">
        <v>1</v>
      </c>
      <c r="I34" s="20">
        <v>14</v>
      </c>
      <c r="J34" s="20">
        <v>23</v>
      </c>
      <c r="K34" s="20">
        <v>17</v>
      </c>
      <c r="L34" s="13">
        <v>17</v>
      </c>
      <c r="M34" s="20">
        <v>7</v>
      </c>
      <c r="N34" s="20"/>
      <c r="O34" s="20"/>
      <c r="P34" s="20"/>
      <c r="Q34" s="19">
        <f t="shared" si="12"/>
        <v>79</v>
      </c>
      <c r="T34" s="12">
        <f t="shared" si="1"/>
        <v>46</v>
      </c>
      <c r="U34" s="12">
        <v>0</v>
      </c>
      <c r="V34" s="12">
        <f t="shared" si="2"/>
        <v>0</v>
      </c>
      <c r="W34" s="12">
        <f t="shared" si="3"/>
        <v>0</v>
      </c>
      <c r="X34" s="12">
        <f t="shared" si="4"/>
        <v>0</v>
      </c>
      <c r="Y34" s="12">
        <f t="shared" si="5"/>
        <v>0</v>
      </c>
      <c r="Z34" s="12">
        <f t="shared" si="6"/>
        <v>3.5587188612099642E-3</v>
      </c>
      <c r="AA34" s="12">
        <f t="shared" si="7"/>
        <v>5.4054054054054057E-2</v>
      </c>
      <c r="AB34" s="12">
        <f t="shared" si="8"/>
        <v>7.7441077441077436E-2</v>
      </c>
      <c r="AC34" s="12">
        <f t="shared" si="9"/>
        <v>5.5921052631578948E-2</v>
      </c>
      <c r="AD34" s="12">
        <f t="shared" si="10"/>
        <v>6.7193675889328064E-2</v>
      </c>
      <c r="AE34" s="12">
        <f t="shared" si="11"/>
        <v>4.4303797468354431E-2</v>
      </c>
    </row>
    <row r="35" spans="2:31">
      <c r="B35" s="19">
        <v>47</v>
      </c>
      <c r="C35" s="20"/>
      <c r="D35" s="20"/>
      <c r="E35" s="20"/>
      <c r="F35" s="20"/>
      <c r="G35" s="20"/>
      <c r="H35" s="20"/>
      <c r="I35" s="20">
        <v>5</v>
      </c>
      <c r="J35" s="20">
        <v>9</v>
      </c>
      <c r="K35" s="20">
        <v>18</v>
      </c>
      <c r="L35" s="20">
        <v>23</v>
      </c>
      <c r="M35" s="13">
        <v>14</v>
      </c>
      <c r="N35" s="20">
        <v>2</v>
      </c>
      <c r="O35" s="20"/>
      <c r="P35" s="20"/>
      <c r="Q35" s="19">
        <f t="shared" si="12"/>
        <v>71</v>
      </c>
      <c r="T35" s="12">
        <f t="shared" si="1"/>
        <v>47</v>
      </c>
      <c r="U35" s="12">
        <v>0</v>
      </c>
      <c r="V35" s="12">
        <f t="shared" si="2"/>
        <v>0</v>
      </c>
      <c r="W35" s="12">
        <f t="shared" si="3"/>
        <v>0</v>
      </c>
      <c r="X35" s="12">
        <f t="shared" si="4"/>
        <v>0</v>
      </c>
      <c r="Y35" s="12">
        <f t="shared" si="5"/>
        <v>0</v>
      </c>
      <c r="Z35" s="12">
        <f t="shared" si="6"/>
        <v>0</v>
      </c>
      <c r="AA35" s="12">
        <f t="shared" si="7"/>
        <v>1.9305019305019305E-2</v>
      </c>
      <c r="AB35" s="12">
        <f t="shared" si="8"/>
        <v>3.0303030303030304E-2</v>
      </c>
      <c r="AC35" s="12">
        <f t="shared" si="9"/>
        <v>5.921052631578947E-2</v>
      </c>
      <c r="AD35" s="12">
        <f t="shared" si="10"/>
        <v>9.0909090909090912E-2</v>
      </c>
      <c r="AE35" s="12">
        <f t="shared" si="11"/>
        <v>8.8607594936708861E-2</v>
      </c>
    </row>
    <row r="36" spans="2:31">
      <c r="B36" s="19">
        <v>48</v>
      </c>
      <c r="C36" s="20"/>
      <c r="D36" s="20"/>
      <c r="E36" s="20"/>
      <c r="F36" s="20"/>
      <c r="G36" s="20"/>
      <c r="H36" s="20">
        <v>1</v>
      </c>
      <c r="I36" s="20">
        <v>5</v>
      </c>
      <c r="J36" s="20">
        <v>6</v>
      </c>
      <c r="K36" s="20">
        <v>31</v>
      </c>
      <c r="L36" s="20">
        <v>13</v>
      </c>
      <c r="M36" s="20">
        <v>14</v>
      </c>
      <c r="N36" s="20">
        <v>5</v>
      </c>
      <c r="O36" s="20"/>
      <c r="P36" s="20"/>
      <c r="Q36" s="19">
        <f t="shared" si="12"/>
        <v>75</v>
      </c>
      <c r="T36" s="12">
        <f t="shared" si="1"/>
        <v>48</v>
      </c>
      <c r="U36" s="12">
        <v>0</v>
      </c>
      <c r="V36" s="12">
        <f t="shared" si="2"/>
        <v>0</v>
      </c>
      <c r="W36" s="12">
        <f t="shared" si="3"/>
        <v>0</v>
      </c>
      <c r="X36" s="12">
        <f t="shared" si="4"/>
        <v>0</v>
      </c>
      <c r="Y36" s="12">
        <f t="shared" si="5"/>
        <v>0</v>
      </c>
      <c r="Z36" s="12">
        <f t="shared" si="6"/>
        <v>3.5587188612099642E-3</v>
      </c>
      <c r="AA36" s="12">
        <f t="shared" si="7"/>
        <v>1.9305019305019305E-2</v>
      </c>
      <c r="AB36" s="12">
        <f t="shared" si="8"/>
        <v>2.0202020202020204E-2</v>
      </c>
      <c r="AC36" s="12">
        <f t="shared" si="9"/>
        <v>0.10197368421052631</v>
      </c>
      <c r="AD36" s="12">
        <f t="shared" si="10"/>
        <v>5.1383399209486168E-2</v>
      </c>
      <c r="AE36" s="12">
        <f t="shared" si="11"/>
        <v>8.8607594936708861E-2</v>
      </c>
    </row>
    <row r="37" spans="2:31">
      <c r="B37" s="19">
        <v>49</v>
      </c>
      <c r="C37" s="20"/>
      <c r="D37" s="20"/>
      <c r="E37" s="20"/>
      <c r="F37" s="20"/>
      <c r="G37" s="20"/>
      <c r="H37" s="20"/>
      <c r="I37" s="20">
        <v>4</v>
      </c>
      <c r="J37" s="20">
        <v>12</v>
      </c>
      <c r="K37" s="20">
        <v>18</v>
      </c>
      <c r="L37" s="20">
        <v>21</v>
      </c>
      <c r="M37" s="20">
        <v>10</v>
      </c>
      <c r="N37" s="20">
        <v>6</v>
      </c>
      <c r="O37" s="20"/>
      <c r="P37" s="20"/>
      <c r="Q37" s="19">
        <f t="shared" si="12"/>
        <v>71</v>
      </c>
      <c r="T37" s="12">
        <f t="shared" si="1"/>
        <v>49</v>
      </c>
      <c r="U37" s="12">
        <v>0</v>
      </c>
      <c r="V37" s="12">
        <f t="shared" si="2"/>
        <v>0</v>
      </c>
      <c r="W37" s="12">
        <f t="shared" si="3"/>
        <v>0</v>
      </c>
      <c r="X37" s="12">
        <f t="shared" si="4"/>
        <v>0</v>
      </c>
      <c r="Y37" s="12">
        <f t="shared" si="5"/>
        <v>0</v>
      </c>
      <c r="Z37" s="12">
        <f t="shared" si="6"/>
        <v>0</v>
      </c>
      <c r="AA37" s="12">
        <f t="shared" si="7"/>
        <v>1.5444015444015444E-2</v>
      </c>
      <c r="AB37" s="12">
        <f t="shared" si="8"/>
        <v>4.0404040404040407E-2</v>
      </c>
      <c r="AC37" s="12">
        <f t="shared" si="9"/>
        <v>5.921052631578947E-2</v>
      </c>
      <c r="AD37" s="12">
        <f t="shared" si="10"/>
        <v>8.3003952569169967E-2</v>
      </c>
      <c r="AE37" s="12">
        <f t="shared" si="11"/>
        <v>6.3291139240506333E-2</v>
      </c>
    </row>
    <row r="38" spans="2:31">
      <c r="B38" s="19">
        <v>50</v>
      </c>
      <c r="C38" s="20"/>
      <c r="D38" s="20"/>
      <c r="E38" s="20"/>
      <c r="F38" s="20"/>
      <c r="G38" s="20"/>
      <c r="H38" s="20"/>
      <c r="I38" s="20"/>
      <c r="J38" s="20">
        <v>3</v>
      </c>
      <c r="K38" s="20">
        <v>14</v>
      </c>
      <c r="L38" s="20">
        <v>14</v>
      </c>
      <c r="M38" s="20">
        <v>11</v>
      </c>
      <c r="N38" s="20">
        <v>9</v>
      </c>
      <c r="O38" s="20"/>
      <c r="P38" s="20"/>
      <c r="Q38" s="19">
        <f t="shared" si="12"/>
        <v>51</v>
      </c>
      <c r="T38" s="12">
        <f t="shared" si="1"/>
        <v>50</v>
      </c>
      <c r="U38" s="12">
        <v>0</v>
      </c>
      <c r="V38" s="12">
        <f t="shared" si="2"/>
        <v>0</v>
      </c>
      <c r="W38" s="12">
        <f t="shared" si="3"/>
        <v>0</v>
      </c>
      <c r="X38" s="12">
        <f t="shared" si="4"/>
        <v>0</v>
      </c>
      <c r="Y38" s="12">
        <f t="shared" si="5"/>
        <v>0</v>
      </c>
      <c r="Z38" s="12">
        <f t="shared" si="6"/>
        <v>0</v>
      </c>
      <c r="AA38" s="12">
        <f t="shared" si="7"/>
        <v>0</v>
      </c>
      <c r="AB38" s="12">
        <f t="shared" si="8"/>
        <v>1.0101010101010102E-2</v>
      </c>
      <c r="AC38" s="12">
        <f t="shared" si="9"/>
        <v>4.6052631578947366E-2</v>
      </c>
      <c r="AD38" s="12">
        <f t="shared" si="10"/>
        <v>5.533596837944664E-2</v>
      </c>
      <c r="AE38" s="12">
        <f t="shared" si="11"/>
        <v>6.9620253164556958E-2</v>
      </c>
    </row>
    <row r="39" spans="2:31">
      <c r="B39" s="19">
        <v>51</v>
      </c>
      <c r="C39" s="20"/>
      <c r="D39" s="20"/>
      <c r="E39" s="20"/>
      <c r="F39" s="20"/>
      <c r="G39" s="20"/>
      <c r="H39" s="20"/>
      <c r="I39" s="20"/>
      <c r="J39" s="20">
        <v>4</v>
      </c>
      <c r="K39" s="20">
        <v>15</v>
      </c>
      <c r="L39" s="20">
        <v>20</v>
      </c>
      <c r="M39" s="20">
        <v>10</v>
      </c>
      <c r="N39" s="20">
        <v>7</v>
      </c>
      <c r="O39" s="20"/>
      <c r="P39" s="20"/>
      <c r="Q39" s="19">
        <f t="shared" si="12"/>
        <v>56</v>
      </c>
      <c r="T39" s="12">
        <f t="shared" si="1"/>
        <v>51</v>
      </c>
      <c r="U39" s="12">
        <v>0</v>
      </c>
      <c r="V39" s="12">
        <f t="shared" si="2"/>
        <v>0</v>
      </c>
      <c r="W39" s="12">
        <f t="shared" si="3"/>
        <v>0</v>
      </c>
      <c r="X39" s="12">
        <f t="shared" si="4"/>
        <v>0</v>
      </c>
      <c r="Y39" s="12">
        <f t="shared" si="5"/>
        <v>0</v>
      </c>
      <c r="Z39" s="12">
        <f t="shared" si="6"/>
        <v>0</v>
      </c>
      <c r="AA39" s="12">
        <f t="shared" si="7"/>
        <v>0</v>
      </c>
      <c r="AB39" s="12">
        <f t="shared" si="8"/>
        <v>1.3468013468013467E-2</v>
      </c>
      <c r="AC39" s="12">
        <f t="shared" si="9"/>
        <v>4.9342105263157895E-2</v>
      </c>
      <c r="AD39" s="12">
        <f t="shared" si="10"/>
        <v>7.9051383399209488E-2</v>
      </c>
      <c r="AE39" s="12">
        <f t="shared" si="11"/>
        <v>6.3291139240506333E-2</v>
      </c>
    </row>
    <row r="40" spans="2:31">
      <c r="B40" s="19">
        <v>52</v>
      </c>
      <c r="C40" s="20"/>
      <c r="D40" s="20"/>
      <c r="E40" s="20"/>
      <c r="F40" s="20"/>
      <c r="G40" s="20"/>
      <c r="H40" s="20"/>
      <c r="I40" s="20">
        <v>3</v>
      </c>
      <c r="J40" s="20">
        <v>8</v>
      </c>
      <c r="K40" s="20">
        <v>17</v>
      </c>
      <c r="L40" s="20">
        <v>12</v>
      </c>
      <c r="M40" s="20">
        <v>10</v>
      </c>
      <c r="N40" s="20">
        <v>7</v>
      </c>
      <c r="O40" s="20"/>
      <c r="P40" s="20"/>
      <c r="Q40" s="19">
        <f t="shared" si="12"/>
        <v>57</v>
      </c>
      <c r="T40" s="12">
        <f t="shared" si="1"/>
        <v>52</v>
      </c>
      <c r="U40" s="12">
        <v>0</v>
      </c>
      <c r="V40" s="12">
        <f t="shared" si="2"/>
        <v>0</v>
      </c>
      <c r="W40" s="12">
        <f t="shared" si="3"/>
        <v>0</v>
      </c>
      <c r="X40" s="12">
        <f t="shared" si="4"/>
        <v>0</v>
      </c>
      <c r="Y40" s="12">
        <f t="shared" si="5"/>
        <v>0</v>
      </c>
      <c r="Z40" s="12">
        <f t="shared" si="6"/>
        <v>0</v>
      </c>
      <c r="AA40" s="12">
        <f t="shared" si="7"/>
        <v>1.1583011583011582E-2</v>
      </c>
      <c r="AB40" s="12">
        <f t="shared" si="8"/>
        <v>2.6936026936026935E-2</v>
      </c>
      <c r="AC40" s="12">
        <f t="shared" si="9"/>
        <v>5.5921052631578948E-2</v>
      </c>
      <c r="AD40" s="12">
        <f t="shared" si="10"/>
        <v>4.7430830039525688E-2</v>
      </c>
      <c r="AE40" s="12">
        <f t="shared" si="11"/>
        <v>6.3291139240506333E-2</v>
      </c>
    </row>
    <row r="41" spans="2:31">
      <c r="B41" s="19">
        <v>53</v>
      </c>
      <c r="C41" s="20"/>
      <c r="D41" s="20"/>
      <c r="E41" s="20"/>
      <c r="F41" s="20"/>
      <c r="G41" s="20"/>
      <c r="H41" s="20"/>
      <c r="I41" s="20">
        <v>2</v>
      </c>
      <c r="J41" s="20">
        <v>3</v>
      </c>
      <c r="K41" s="20">
        <v>11</v>
      </c>
      <c r="L41" s="20">
        <v>9</v>
      </c>
      <c r="M41" s="20">
        <v>14</v>
      </c>
      <c r="N41" s="20">
        <v>7</v>
      </c>
      <c r="O41" s="20"/>
      <c r="P41" s="20"/>
      <c r="Q41" s="19">
        <f t="shared" si="12"/>
        <v>46</v>
      </c>
      <c r="T41" s="12">
        <f t="shared" si="1"/>
        <v>53</v>
      </c>
      <c r="U41" s="12">
        <v>0</v>
      </c>
      <c r="V41" s="12">
        <f t="shared" si="2"/>
        <v>0</v>
      </c>
      <c r="W41" s="12">
        <f t="shared" si="3"/>
        <v>0</v>
      </c>
      <c r="X41" s="12">
        <f t="shared" si="4"/>
        <v>0</v>
      </c>
      <c r="Y41" s="12">
        <f t="shared" si="5"/>
        <v>0</v>
      </c>
      <c r="Z41" s="12">
        <f t="shared" si="6"/>
        <v>0</v>
      </c>
      <c r="AA41" s="12">
        <f t="shared" si="7"/>
        <v>7.7220077220077222E-3</v>
      </c>
      <c r="AB41" s="12">
        <f t="shared" si="8"/>
        <v>1.0101010101010102E-2</v>
      </c>
      <c r="AC41" s="12">
        <f t="shared" si="9"/>
        <v>3.6184210526315791E-2</v>
      </c>
      <c r="AD41" s="12">
        <f t="shared" si="10"/>
        <v>3.5573122529644272E-2</v>
      </c>
      <c r="AE41" s="12">
        <f t="shared" si="11"/>
        <v>8.8607594936708861E-2</v>
      </c>
    </row>
    <row r="42" spans="2:31">
      <c r="B42" s="19">
        <v>54</v>
      </c>
      <c r="C42" s="20"/>
      <c r="D42" s="20"/>
      <c r="E42" s="20"/>
      <c r="F42" s="20"/>
      <c r="G42" s="20"/>
      <c r="H42" s="20"/>
      <c r="I42" s="20"/>
      <c r="J42" s="20">
        <v>1</v>
      </c>
      <c r="K42" s="20">
        <v>11</v>
      </c>
      <c r="L42" s="20">
        <v>11</v>
      </c>
      <c r="M42" s="20">
        <v>7</v>
      </c>
      <c r="N42" s="20">
        <v>4</v>
      </c>
      <c r="O42" s="20">
        <v>2</v>
      </c>
      <c r="P42" s="20"/>
      <c r="Q42" s="19">
        <f t="shared" si="12"/>
        <v>36</v>
      </c>
      <c r="T42" s="12">
        <f t="shared" si="1"/>
        <v>54</v>
      </c>
      <c r="U42" s="12">
        <v>0</v>
      </c>
      <c r="V42" s="12">
        <f t="shared" si="2"/>
        <v>0</v>
      </c>
      <c r="W42" s="12">
        <f t="shared" si="3"/>
        <v>0</v>
      </c>
      <c r="X42" s="12">
        <f t="shared" si="4"/>
        <v>0</v>
      </c>
      <c r="Y42" s="12">
        <f t="shared" si="5"/>
        <v>0</v>
      </c>
      <c r="Z42" s="12">
        <f t="shared" si="6"/>
        <v>0</v>
      </c>
      <c r="AA42" s="12">
        <f t="shared" si="7"/>
        <v>0</v>
      </c>
      <c r="AB42" s="12">
        <f t="shared" si="8"/>
        <v>3.3670033670033669E-3</v>
      </c>
      <c r="AC42" s="12">
        <f t="shared" si="9"/>
        <v>3.6184210526315791E-2</v>
      </c>
      <c r="AD42" s="12">
        <f t="shared" si="10"/>
        <v>4.3478260869565216E-2</v>
      </c>
      <c r="AE42" s="12">
        <f t="shared" si="11"/>
        <v>4.4303797468354431E-2</v>
      </c>
    </row>
    <row r="43" spans="2:31">
      <c r="B43" s="19">
        <v>55</v>
      </c>
      <c r="C43" s="20"/>
      <c r="D43" s="20"/>
      <c r="E43" s="20"/>
      <c r="F43" s="20"/>
      <c r="G43" s="20"/>
      <c r="H43" s="20"/>
      <c r="I43" s="20"/>
      <c r="J43" s="20">
        <v>4</v>
      </c>
      <c r="K43" s="20">
        <v>7</v>
      </c>
      <c r="L43" s="20">
        <v>12</v>
      </c>
      <c r="M43" s="20">
        <v>8</v>
      </c>
      <c r="N43" s="20">
        <v>5</v>
      </c>
      <c r="O43" s="20">
        <v>4</v>
      </c>
      <c r="P43" s="20"/>
      <c r="Q43" s="19">
        <f t="shared" si="12"/>
        <v>40</v>
      </c>
      <c r="T43" s="12">
        <f t="shared" si="1"/>
        <v>55</v>
      </c>
      <c r="U43" s="12">
        <v>0</v>
      </c>
      <c r="V43" s="12">
        <f t="shared" si="2"/>
        <v>0</v>
      </c>
      <c r="W43" s="12">
        <f t="shared" si="3"/>
        <v>0</v>
      </c>
      <c r="X43" s="12">
        <f t="shared" si="4"/>
        <v>0</v>
      </c>
      <c r="Y43" s="12">
        <f t="shared" si="5"/>
        <v>0</v>
      </c>
      <c r="Z43" s="12">
        <f t="shared" si="6"/>
        <v>0</v>
      </c>
      <c r="AA43" s="12">
        <f t="shared" si="7"/>
        <v>0</v>
      </c>
      <c r="AB43" s="12">
        <f t="shared" si="8"/>
        <v>1.3468013468013467E-2</v>
      </c>
      <c r="AC43" s="12">
        <f t="shared" si="9"/>
        <v>2.3026315789473683E-2</v>
      </c>
      <c r="AD43" s="12">
        <f t="shared" si="10"/>
        <v>4.7430830039525688E-2</v>
      </c>
      <c r="AE43" s="12">
        <f t="shared" si="11"/>
        <v>5.0632911392405063E-2</v>
      </c>
    </row>
    <row r="44" spans="2:31">
      <c r="B44" s="19">
        <v>56</v>
      </c>
      <c r="C44" s="20"/>
      <c r="D44" s="20"/>
      <c r="E44" s="20"/>
      <c r="F44" s="20"/>
      <c r="G44" s="20"/>
      <c r="H44" s="20"/>
      <c r="I44" s="20"/>
      <c r="J44" s="20">
        <v>2</v>
      </c>
      <c r="K44" s="20">
        <v>8</v>
      </c>
      <c r="L44" s="20">
        <v>13</v>
      </c>
      <c r="M44" s="20">
        <v>10</v>
      </c>
      <c r="N44" s="20">
        <v>9</v>
      </c>
      <c r="O44" s="20"/>
      <c r="P44" s="20"/>
      <c r="Q44" s="19">
        <f t="shared" si="12"/>
        <v>42</v>
      </c>
      <c r="T44" s="12">
        <f t="shared" si="1"/>
        <v>56</v>
      </c>
      <c r="U44" s="12">
        <v>0</v>
      </c>
      <c r="V44" s="12">
        <f t="shared" si="2"/>
        <v>0</v>
      </c>
      <c r="W44" s="12">
        <f t="shared" si="3"/>
        <v>0</v>
      </c>
      <c r="X44" s="12">
        <f t="shared" si="4"/>
        <v>0</v>
      </c>
      <c r="Y44" s="12">
        <f t="shared" si="5"/>
        <v>0</v>
      </c>
      <c r="Z44" s="12">
        <f t="shared" si="6"/>
        <v>0</v>
      </c>
      <c r="AA44" s="12">
        <f t="shared" si="7"/>
        <v>0</v>
      </c>
      <c r="AB44" s="12">
        <f t="shared" si="8"/>
        <v>6.7340067340067337E-3</v>
      </c>
      <c r="AC44" s="12">
        <f t="shared" si="9"/>
        <v>2.6315789473684209E-2</v>
      </c>
      <c r="AD44" s="12">
        <f t="shared" si="10"/>
        <v>5.1383399209486168E-2</v>
      </c>
      <c r="AE44" s="12">
        <f t="shared" si="11"/>
        <v>6.3291139240506333E-2</v>
      </c>
    </row>
    <row r="45" spans="2:31">
      <c r="B45" s="19">
        <v>57</v>
      </c>
      <c r="C45" s="20"/>
      <c r="D45" s="20"/>
      <c r="E45" s="20"/>
      <c r="F45" s="20"/>
      <c r="G45" s="20"/>
      <c r="H45" s="20"/>
      <c r="I45" s="20"/>
      <c r="J45" s="20"/>
      <c r="K45" s="20">
        <v>3</v>
      </c>
      <c r="L45" s="20">
        <v>8</v>
      </c>
      <c r="M45" s="20">
        <v>9</v>
      </c>
      <c r="N45" s="20">
        <v>5</v>
      </c>
      <c r="O45" s="20">
        <v>2</v>
      </c>
      <c r="P45" s="20"/>
      <c r="Q45" s="19">
        <f t="shared" si="12"/>
        <v>27</v>
      </c>
      <c r="T45" s="12">
        <f t="shared" si="1"/>
        <v>57</v>
      </c>
      <c r="U45" s="12">
        <v>0</v>
      </c>
      <c r="V45" s="12">
        <f t="shared" si="2"/>
        <v>0</v>
      </c>
      <c r="W45" s="12">
        <f t="shared" si="3"/>
        <v>0</v>
      </c>
      <c r="X45" s="12">
        <f t="shared" si="4"/>
        <v>0</v>
      </c>
      <c r="Y45" s="12">
        <f t="shared" si="5"/>
        <v>0</v>
      </c>
      <c r="Z45" s="12">
        <f t="shared" si="6"/>
        <v>0</v>
      </c>
      <c r="AA45" s="12">
        <f t="shared" si="7"/>
        <v>0</v>
      </c>
      <c r="AB45" s="12">
        <f t="shared" si="8"/>
        <v>0</v>
      </c>
      <c r="AC45" s="12">
        <f t="shared" si="9"/>
        <v>9.8684210526315784E-3</v>
      </c>
      <c r="AD45" s="12">
        <f t="shared" si="10"/>
        <v>3.1620553359683792E-2</v>
      </c>
      <c r="AE45" s="12">
        <f t="shared" si="11"/>
        <v>5.6962025316455694E-2</v>
      </c>
    </row>
    <row r="46" spans="2:31">
      <c r="B46" s="19">
        <v>58</v>
      </c>
      <c r="C46" s="20"/>
      <c r="D46" s="20"/>
      <c r="E46" s="20"/>
      <c r="F46" s="20"/>
      <c r="G46" s="20"/>
      <c r="H46" s="20"/>
      <c r="I46" s="20"/>
      <c r="J46" s="20"/>
      <c r="K46" s="20">
        <v>2</v>
      </c>
      <c r="L46" s="20">
        <v>9</v>
      </c>
      <c r="M46" s="20">
        <v>5</v>
      </c>
      <c r="N46" s="13">
        <v>4</v>
      </c>
      <c r="O46" s="20">
        <v>2</v>
      </c>
      <c r="P46" s="20"/>
      <c r="Q46" s="19">
        <f t="shared" si="12"/>
        <v>22</v>
      </c>
      <c r="T46" s="12">
        <f t="shared" si="1"/>
        <v>58</v>
      </c>
      <c r="U46" s="12">
        <v>0</v>
      </c>
      <c r="V46" s="12">
        <f t="shared" si="2"/>
        <v>0</v>
      </c>
      <c r="W46" s="12">
        <f t="shared" si="3"/>
        <v>0</v>
      </c>
      <c r="X46" s="12">
        <f t="shared" si="4"/>
        <v>0</v>
      </c>
      <c r="Y46" s="12">
        <f t="shared" si="5"/>
        <v>0</v>
      </c>
      <c r="Z46" s="12">
        <f t="shared" si="6"/>
        <v>0</v>
      </c>
      <c r="AA46" s="12">
        <f t="shared" si="7"/>
        <v>0</v>
      </c>
      <c r="AB46" s="12">
        <f t="shared" si="8"/>
        <v>0</v>
      </c>
      <c r="AC46" s="12">
        <f t="shared" si="9"/>
        <v>6.5789473684210523E-3</v>
      </c>
      <c r="AD46" s="12">
        <f t="shared" si="10"/>
        <v>3.5573122529644272E-2</v>
      </c>
      <c r="AE46" s="12">
        <f t="shared" si="11"/>
        <v>3.1645569620253167E-2</v>
      </c>
    </row>
    <row r="47" spans="2:31">
      <c r="B47" s="19">
        <v>59</v>
      </c>
      <c r="C47" s="20"/>
      <c r="D47" s="20"/>
      <c r="E47" s="20"/>
      <c r="F47" s="20"/>
      <c r="G47" s="20"/>
      <c r="H47" s="20"/>
      <c r="I47" s="20"/>
      <c r="J47" s="20"/>
      <c r="K47" s="20">
        <v>1</v>
      </c>
      <c r="L47" s="20">
        <v>6</v>
      </c>
      <c r="M47" s="20">
        <v>5</v>
      </c>
      <c r="N47" s="20"/>
      <c r="O47" s="20"/>
      <c r="P47" s="20">
        <v>1</v>
      </c>
      <c r="Q47" s="19">
        <f t="shared" si="12"/>
        <v>13</v>
      </c>
      <c r="T47" s="12">
        <f t="shared" si="1"/>
        <v>59</v>
      </c>
      <c r="U47" s="12">
        <v>0</v>
      </c>
      <c r="V47" s="12">
        <f t="shared" si="2"/>
        <v>0</v>
      </c>
      <c r="W47" s="12">
        <f t="shared" si="3"/>
        <v>0</v>
      </c>
      <c r="X47" s="12">
        <f t="shared" si="4"/>
        <v>0</v>
      </c>
      <c r="Y47" s="12">
        <f t="shared" si="5"/>
        <v>0</v>
      </c>
      <c r="Z47" s="12">
        <f t="shared" si="6"/>
        <v>0</v>
      </c>
      <c r="AA47" s="12">
        <f t="shared" si="7"/>
        <v>0</v>
      </c>
      <c r="AB47" s="12">
        <f t="shared" si="8"/>
        <v>0</v>
      </c>
      <c r="AC47" s="12">
        <f t="shared" si="9"/>
        <v>3.2894736842105261E-3</v>
      </c>
      <c r="AD47" s="12">
        <f t="shared" si="10"/>
        <v>2.3715415019762844E-2</v>
      </c>
      <c r="AE47" s="12">
        <f t="shared" si="11"/>
        <v>3.1645569620253167E-2</v>
      </c>
    </row>
    <row r="48" spans="2:31">
      <c r="B48" s="19">
        <v>60</v>
      </c>
      <c r="C48" s="20">
        <f>SUM(C50:C54)</f>
        <v>0</v>
      </c>
      <c r="D48" s="20">
        <f t="shared" ref="D48:Q48" si="13">SUM(D50:D54)</f>
        <v>0</v>
      </c>
      <c r="E48" s="20">
        <f t="shared" si="13"/>
        <v>0</v>
      </c>
      <c r="F48" s="20">
        <f t="shared" si="13"/>
        <v>0</v>
      </c>
      <c r="G48" s="20">
        <f t="shared" si="13"/>
        <v>0</v>
      </c>
      <c r="H48" s="20">
        <f t="shared" si="13"/>
        <v>0</v>
      </c>
      <c r="I48" s="20">
        <f t="shared" si="13"/>
        <v>0</v>
      </c>
      <c r="J48" s="20">
        <f t="shared" si="13"/>
        <v>0</v>
      </c>
      <c r="K48" s="20">
        <f t="shared" si="13"/>
        <v>2</v>
      </c>
      <c r="L48" s="20">
        <f t="shared" si="13"/>
        <v>2</v>
      </c>
      <c r="M48" s="20">
        <f t="shared" si="13"/>
        <v>7</v>
      </c>
      <c r="N48" s="20">
        <f t="shared" si="13"/>
        <v>8</v>
      </c>
      <c r="O48" s="20">
        <f t="shared" si="13"/>
        <v>4</v>
      </c>
      <c r="P48" s="20">
        <f t="shared" si="13"/>
        <v>1</v>
      </c>
      <c r="Q48" s="20">
        <f t="shared" si="13"/>
        <v>21</v>
      </c>
      <c r="T48" s="12">
        <f t="shared" si="1"/>
        <v>60</v>
      </c>
      <c r="U48" s="12">
        <v>0</v>
      </c>
      <c r="V48" s="12">
        <f t="shared" si="2"/>
        <v>0</v>
      </c>
      <c r="W48" s="12">
        <f t="shared" si="3"/>
        <v>0</v>
      </c>
      <c r="X48" s="12">
        <f t="shared" si="4"/>
        <v>0</v>
      </c>
      <c r="Y48" s="12">
        <f t="shared" si="5"/>
        <v>0</v>
      </c>
      <c r="Z48" s="12">
        <f t="shared" si="6"/>
        <v>0</v>
      </c>
      <c r="AA48" s="12">
        <f t="shared" si="7"/>
        <v>0</v>
      </c>
      <c r="AB48" s="12">
        <f t="shared" si="8"/>
        <v>0</v>
      </c>
      <c r="AC48" s="12">
        <f t="shared" si="9"/>
        <v>6.5789473684210523E-3</v>
      </c>
      <c r="AD48" s="12">
        <f t="shared" si="10"/>
        <v>7.9051383399209481E-3</v>
      </c>
      <c r="AE48" s="12">
        <f t="shared" si="11"/>
        <v>4.4303797468354431E-2</v>
      </c>
    </row>
    <row r="49" spans="2:17">
      <c r="B49" s="19"/>
      <c r="C49" s="20">
        <f>SUM(C5:C48)</f>
        <v>0</v>
      </c>
      <c r="D49" s="20">
        <f t="shared" ref="D49:Q49" si="14">SUM(D5:D48)</f>
        <v>7</v>
      </c>
      <c r="E49" s="20">
        <f t="shared" si="14"/>
        <v>21</v>
      </c>
      <c r="F49" s="20">
        <f t="shared" si="14"/>
        <v>121</v>
      </c>
      <c r="G49" s="20">
        <f t="shared" si="14"/>
        <v>214</v>
      </c>
      <c r="H49" s="20">
        <f t="shared" si="14"/>
        <v>281</v>
      </c>
      <c r="I49" s="20">
        <f t="shared" si="14"/>
        <v>259</v>
      </c>
      <c r="J49" s="20">
        <f t="shared" si="14"/>
        <v>297</v>
      </c>
      <c r="K49" s="20">
        <f t="shared" si="14"/>
        <v>304</v>
      </c>
      <c r="L49" s="20">
        <f t="shared" si="14"/>
        <v>253</v>
      </c>
      <c r="M49" s="20">
        <f t="shared" si="14"/>
        <v>158</v>
      </c>
      <c r="N49" s="20">
        <f t="shared" si="14"/>
        <v>78</v>
      </c>
      <c r="O49" s="20">
        <f t="shared" si="14"/>
        <v>14</v>
      </c>
      <c r="P49" s="20">
        <f t="shared" si="14"/>
        <v>2</v>
      </c>
      <c r="Q49" s="20">
        <f t="shared" si="14"/>
        <v>2006</v>
      </c>
    </row>
    <row r="50" spans="2:17">
      <c r="B50" s="19">
        <v>60</v>
      </c>
      <c r="C50" s="20"/>
      <c r="D50" s="20"/>
      <c r="E50" s="20"/>
      <c r="F50" s="20"/>
      <c r="G50" s="20"/>
      <c r="H50" s="20"/>
      <c r="I50" s="20"/>
      <c r="J50" s="20"/>
      <c r="K50" s="20">
        <v>2</v>
      </c>
      <c r="L50" s="20">
        <v>2</v>
      </c>
      <c r="M50" s="20">
        <v>5</v>
      </c>
      <c r="N50" s="20">
        <v>3</v>
      </c>
      <c r="O50" s="20">
        <v>1</v>
      </c>
      <c r="P50" s="20"/>
      <c r="Q50" s="19">
        <f t="shared" ref="Q50" si="15">SUM(C50:P50)</f>
        <v>13</v>
      </c>
    </row>
    <row r="51" spans="2:17">
      <c r="B51" s="19">
        <v>61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>
        <v>1</v>
      </c>
      <c r="N51" s="20">
        <v>1</v>
      </c>
      <c r="O51" s="20">
        <v>1</v>
      </c>
      <c r="P51" s="20">
        <v>1</v>
      </c>
      <c r="Q51" s="20">
        <v>1</v>
      </c>
    </row>
    <row r="52" spans="2:17">
      <c r="B52" s="19">
        <v>62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>
        <v>1</v>
      </c>
      <c r="N52" s="20">
        <v>2</v>
      </c>
      <c r="O52" s="20">
        <v>2</v>
      </c>
      <c r="P52" s="20"/>
      <c r="Q52" s="19">
        <f t="shared" ref="Q52:Q54" si="16">SUM(C52:P52)</f>
        <v>5</v>
      </c>
    </row>
    <row r="53" spans="2:17">
      <c r="B53" s="19">
        <v>63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>
        <v>1</v>
      </c>
      <c r="O53" s="20"/>
      <c r="P53" s="20"/>
      <c r="Q53" s="19">
        <f t="shared" si="16"/>
        <v>1</v>
      </c>
    </row>
    <row r="54" spans="2:17">
      <c r="B54" s="19">
        <v>64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>
        <v>1</v>
      </c>
      <c r="O54" s="20"/>
      <c r="P54" s="20"/>
      <c r="Q54" s="19">
        <f t="shared" si="16"/>
        <v>1</v>
      </c>
    </row>
    <row r="55" spans="2:17">
      <c r="B55" s="17" t="s">
        <v>7</v>
      </c>
      <c r="C55" s="17">
        <f t="shared" ref="C55" si="17">SUM(C11:C54)</f>
        <v>0</v>
      </c>
      <c r="D55" s="17">
        <f t="shared" ref="D55" si="18">SUM(D11:D54)</f>
        <v>7</v>
      </c>
      <c r="E55" s="17">
        <f t="shared" ref="E55" si="19">SUM(E11:E54)</f>
        <v>38</v>
      </c>
      <c r="F55" s="17">
        <f t="shared" ref="F55" si="20">SUM(F11:F54)</f>
        <v>242</v>
      </c>
      <c r="G55" s="17">
        <f t="shared" ref="G55" si="21">SUM(G11:G54)</f>
        <v>428</v>
      </c>
      <c r="H55" s="17">
        <f t="shared" ref="H55" si="22">SUM(H11:H54)</f>
        <v>562</v>
      </c>
      <c r="I55" s="17">
        <f t="shared" ref="I55" si="23">SUM(I11:I54)</f>
        <v>518</v>
      </c>
      <c r="J55" s="17">
        <f t="shared" ref="J55" si="24">SUM(J11:J54)</f>
        <v>594</v>
      </c>
      <c r="K55" s="17">
        <f t="shared" ref="K55" si="25">SUM(K11:K54)</f>
        <v>610</v>
      </c>
      <c r="L55" s="17">
        <f t="shared" ref="L55" si="26">SUM(L11:L54)</f>
        <v>508</v>
      </c>
      <c r="M55" s="17">
        <f t="shared" ref="M55" si="27">SUM(M11:M54)</f>
        <v>323</v>
      </c>
      <c r="N55" s="17">
        <f t="shared" ref="N55" si="28">SUM(N11:N54)</f>
        <v>164</v>
      </c>
      <c r="O55" s="17">
        <f t="shared" ref="O55" si="29">SUM(O11:O54)</f>
        <v>32</v>
      </c>
      <c r="P55" s="17">
        <f t="shared" ref="P55" si="30">SUM(P11:P54)</f>
        <v>5</v>
      </c>
      <c r="Q55" s="17">
        <f>SUM(C55:N55)</f>
        <v>3994</v>
      </c>
    </row>
    <row r="56" spans="2:17">
      <c r="B56" s="16" t="s">
        <v>8</v>
      </c>
      <c r="C56" s="15">
        <f t="shared" ref="C56" si="31">(C55/$Q$53)*100</f>
        <v>0</v>
      </c>
      <c r="D56" s="15">
        <f t="shared" ref="D56" si="32">(D55/$Q$53)*100</f>
        <v>700</v>
      </c>
      <c r="E56" s="15">
        <f t="shared" ref="E56" si="33">(E55/$Q$53)*100</f>
        <v>3800</v>
      </c>
      <c r="F56" s="15">
        <f t="shared" ref="F56" si="34">(F55/$Q$53)*100</f>
        <v>24200</v>
      </c>
      <c r="G56" s="15">
        <f t="shared" ref="G56" si="35">(G55/$Q$53)*100</f>
        <v>42800</v>
      </c>
      <c r="H56" s="15">
        <f t="shared" ref="H56" si="36">(H55/$Q$53)*100</f>
        <v>56200</v>
      </c>
      <c r="I56" s="15">
        <f t="shared" ref="I56" si="37">(I55/$Q$53)*100</f>
        <v>51800</v>
      </c>
      <c r="J56" s="15">
        <f t="shared" ref="J56" si="38">(J55/$Q$53)*100</f>
        <v>59400</v>
      </c>
      <c r="K56" s="15">
        <f t="shared" ref="K56" si="39">(K55/$Q$53)*100</f>
        <v>61000</v>
      </c>
      <c r="L56" s="15">
        <f t="shared" ref="L56" si="40">(L55/$Q$53)*100</f>
        <v>50800</v>
      </c>
      <c r="M56" s="15">
        <f t="shared" ref="M56" si="41">(M55/$Q$53)*100</f>
        <v>32300</v>
      </c>
      <c r="N56" s="15">
        <f t="shared" ref="N56" si="42">(N55/$Q$53)*100</f>
        <v>16400</v>
      </c>
      <c r="O56" s="15">
        <f t="shared" ref="O56" si="43">(O55/$Q$53)*100</f>
        <v>3200</v>
      </c>
      <c r="P56" s="15">
        <f t="shared" ref="P56" si="44">(P55/$Q$53)*100</f>
        <v>500</v>
      </c>
      <c r="Q56" s="15">
        <f>SUM(C56:N56)</f>
        <v>399400</v>
      </c>
    </row>
    <row r="57" spans="2:17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spans="2:17">
      <c r="B58" s="28"/>
      <c r="C58" s="14"/>
      <c r="D58" s="14">
        <f t="shared" ref="D58:P58" si="45">SUMPRODUCT($B11:$B54,D11:D54)/SUM(D11:D54)</f>
        <v>0</v>
      </c>
      <c r="E58" s="14">
        <f t="shared" si="45"/>
        <v>11</v>
      </c>
      <c r="F58" s="14">
        <f t="shared" si="45"/>
        <v>14.62809917355372</v>
      </c>
      <c r="G58" s="14">
        <f t="shared" si="45"/>
        <v>15.964953271028037</v>
      </c>
      <c r="H58" s="14">
        <f t="shared" si="45"/>
        <v>17.656583629893237</v>
      </c>
      <c r="I58" s="14">
        <f t="shared" si="45"/>
        <v>19.656370656370655</v>
      </c>
      <c r="J58" s="14">
        <f t="shared" si="45"/>
        <v>21.132996632996633</v>
      </c>
      <c r="K58" s="14">
        <f t="shared" si="45"/>
        <v>23.552459016393442</v>
      </c>
      <c r="L58" s="14">
        <f t="shared" si="45"/>
        <v>24.836614173228348</v>
      </c>
      <c r="M58" s="14">
        <f t="shared" si="45"/>
        <v>26.421052631578949</v>
      </c>
      <c r="N58" s="14">
        <f t="shared" si="45"/>
        <v>28.378048780487806</v>
      </c>
      <c r="O58" s="14">
        <f t="shared" si="45"/>
        <v>32.59375</v>
      </c>
      <c r="P58" s="14">
        <f t="shared" si="45"/>
        <v>36</v>
      </c>
      <c r="Q58" s="28"/>
    </row>
  </sheetData>
  <mergeCells count="1">
    <mergeCell ref="B2:Q2"/>
  </mergeCells>
  <pageMargins left="0.75" right="0.75" top="1" bottom="1" header="0" footer="0"/>
  <pageSetup paperSize="9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E61"/>
  <sheetViews>
    <sheetView topLeftCell="T40" workbookViewId="0">
      <selection activeCell="B4" sqref="B4:M50"/>
    </sheetView>
  </sheetViews>
  <sheetFormatPr defaultRowHeight="12.5"/>
  <cols>
    <col min="1" max="1" width="11.453125" customWidth="1"/>
    <col min="2" max="2" width="11.453125" style="7" customWidth="1"/>
    <col min="3" max="3" width="5.90625" style="7" customWidth="1"/>
    <col min="4" max="4" width="5.6328125" style="7" customWidth="1"/>
    <col min="5" max="5" width="5.36328125" style="7" customWidth="1"/>
    <col min="6" max="6" width="5.54296875" style="7" customWidth="1"/>
    <col min="7" max="7" width="5.90625" style="7" customWidth="1"/>
    <col min="8" max="8" width="5.453125" style="7" customWidth="1"/>
    <col min="9" max="9" width="5.90625" style="7" customWidth="1"/>
    <col min="10" max="10" width="5.36328125" style="7" customWidth="1"/>
    <col min="11" max="12" width="5.90625" style="7" customWidth="1"/>
    <col min="13" max="13" width="6" style="7" customWidth="1"/>
    <col min="14" max="14" width="5.90625" style="7" customWidth="1"/>
    <col min="15" max="15" width="7.08984375" style="7" customWidth="1"/>
    <col min="16" max="256" width="11.453125" customWidth="1"/>
  </cols>
  <sheetData>
    <row r="2" spans="2:31">
      <c r="B2" s="123" t="s">
        <v>17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</row>
    <row r="4" spans="2:31">
      <c r="B4" s="4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9" t="s">
        <v>7</v>
      </c>
      <c r="U4">
        <v>2</v>
      </c>
      <c r="V4">
        <v>3</v>
      </c>
      <c r="W4">
        <v>4</v>
      </c>
      <c r="X4">
        <v>5</v>
      </c>
      <c r="Y4">
        <v>6</v>
      </c>
      <c r="Z4">
        <v>7</v>
      </c>
      <c r="AA4">
        <v>8</v>
      </c>
      <c r="AB4">
        <v>9</v>
      </c>
      <c r="AC4">
        <v>10</v>
      </c>
      <c r="AD4">
        <v>11</v>
      </c>
      <c r="AE4">
        <v>12</v>
      </c>
    </row>
    <row r="5" spans="2:31">
      <c r="B5" s="19">
        <f t="shared" ref="B5:B12" si="0">B6-1</f>
        <v>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50"/>
      <c r="T5">
        <f t="shared" ref="T5:T47" si="1">B5</f>
        <v>17</v>
      </c>
      <c r="U5">
        <v>0</v>
      </c>
      <c r="V5">
        <f t="shared" ref="V5:V47" si="2">D5/D$49</f>
        <v>0</v>
      </c>
      <c r="W5">
        <f t="shared" ref="W5:W47" si="3">E5/E$49</f>
        <v>0</v>
      </c>
      <c r="X5">
        <f t="shared" ref="X5:X47" si="4">F5/F$49</f>
        <v>0</v>
      </c>
      <c r="Y5">
        <f t="shared" ref="Y5:Y47" si="5">G5/G$49</f>
        <v>0</v>
      </c>
      <c r="Z5">
        <f t="shared" ref="Z5:Z47" si="6">H5/H$49</f>
        <v>0</v>
      </c>
      <c r="AA5">
        <f t="shared" ref="AA5:AA47" si="7">I5/I$49</f>
        <v>0</v>
      </c>
      <c r="AB5">
        <f t="shared" ref="AB5:AB47" si="8">J5/J$49</f>
        <v>0</v>
      </c>
      <c r="AC5">
        <f t="shared" ref="AC5:AC47" si="9">K5/K$49</f>
        <v>0</v>
      </c>
      <c r="AD5">
        <f t="shared" ref="AD5:AD47" si="10">L5/L$49</f>
        <v>0</v>
      </c>
      <c r="AE5">
        <f t="shared" ref="AE5:AE47" si="11">M5/M$49</f>
        <v>0</v>
      </c>
    </row>
    <row r="6" spans="2:31">
      <c r="B6" s="19">
        <f t="shared" si="0"/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50"/>
      <c r="T6">
        <f t="shared" si="1"/>
        <v>18</v>
      </c>
      <c r="U6">
        <v>0</v>
      </c>
      <c r="V6">
        <f t="shared" si="2"/>
        <v>0</v>
      </c>
      <c r="W6">
        <f t="shared" si="3"/>
        <v>0</v>
      </c>
      <c r="X6">
        <f t="shared" si="4"/>
        <v>0</v>
      </c>
      <c r="Y6">
        <f t="shared" si="5"/>
        <v>0</v>
      </c>
      <c r="Z6">
        <f t="shared" si="6"/>
        <v>0</v>
      </c>
      <c r="AA6">
        <f t="shared" si="7"/>
        <v>0</v>
      </c>
      <c r="AB6">
        <f t="shared" si="8"/>
        <v>0</v>
      </c>
      <c r="AC6">
        <f t="shared" si="9"/>
        <v>0</v>
      </c>
      <c r="AD6">
        <f t="shared" si="10"/>
        <v>0</v>
      </c>
      <c r="AE6">
        <f t="shared" si="11"/>
        <v>0</v>
      </c>
    </row>
    <row r="7" spans="2:31">
      <c r="B7" s="19">
        <f t="shared" si="0"/>
        <v>19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1">
        <f t="shared" ref="O7:O38" si="12">SUM(C7:N7)</f>
        <v>1</v>
      </c>
      <c r="T7">
        <f t="shared" si="1"/>
        <v>19</v>
      </c>
      <c r="U7">
        <v>0</v>
      </c>
      <c r="V7">
        <f t="shared" si="2"/>
        <v>1</v>
      </c>
      <c r="W7">
        <f t="shared" si="3"/>
        <v>0</v>
      </c>
      <c r="X7">
        <f t="shared" si="4"/>
        <v>0</v>
      </c>
      <c r="Y7">
        <f t="shared" si="5"/>
        <v>0</v>
      </c>
      <c r="Z7">
        <f t="shared" si="6"/>
        <v>0</v>
      </c>
      <c r="AA7">
        <f t="shared" si="7"/>
        <v>0</v>
      </c>
      <c r="AB7">
        <f t="shared" si="8"/>
        <v>0</v>
      </c>
      <c r="AC7">
        <f t="shared" si="9"/>
        <v>0</v>
      </c>
      <c r="AD7">
        <f t="shared" si="10"/>
        <v>0</v>
      </c>
      <c r="AE7">
        <f t="shared" si="11"/>
        <v>0</v>
      </c>
    </row>
    <row r="8" spans="2:31">
      <c r="B8" s="19">
        <f t="shared" si="0"/>
        <v>20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">
        <f t="shared" si="12"/>
        <v>0</v>
      </c>
      <c r="T8">
        <f t="shared" si="1"/>
        <v>20</v>
      </c>
      <c r="U8">
        <v>0</v>
      </c>
      <c r="V8">
        <f t="shared" si="2"/>
        <v>0</v>
      </c>
      <c r="W8">
        <f t="shared" si="3"/>
        <v>0</v>
      </c>
      <c r="X8">
        <f t="shared" si="4"/>
        <v>0</v>
      </c>
      <c r="Y8">
        <f t="shared" si="5"/>
        <v>0</v>
      </c>
      <c r="Z8">
        <f t="shared" si="6"/>
        <v>0</v>
      </c>
      <c r="AA8">
        <f t="shared" si="7"/>
        <v>0</v>
      </c>
      <c r="AB8">
        <f t="shared" si="8"/>
        <v>0</v>
      </c>
      <c r="AC8">
        <f t="shared" si="9"/>
        <v>0</v>
      </c>
      <c r="AD8">
        <f t="shared" si="10"/>
        <v>0</v>
      </c>
      <c r="AE8">
        <f t="shared" si="11"/>
        <v>0</v>
      </c>
    </row>
    <row r="9" spans="2:31">
      <c r="B9" s="19">
        <f t="shared" si="0"/>
        <v>21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">
        <f t="shared" si="12"/>
        <v>0</v>
      </c>
      <c r="T9">
        <f t="shared" si="1"/>
        <v>21</v>
      </c>
      <c r="U9">
        <v>0</v>
      </c>
      <c r="V9">
        <f t="shared" si="2"/>
        <v>0</v>
      </c>
      <c r="W9">
        <f t="shared" si="3"/>
        <v>0</v>
      </c>
      <c r="X9">
        <f t="shared" si="4"/>
        <v>0</v>
      </c>
      <c r="Y9">
        <f t="shared" si="5"/>
        <v>0</v>
      </c>
      <c r="Z9">
        <f t="shared" si="6"/>
        <v>0</v>
      </c>
      <c r="AA9">
        <f t="shared" si="7"/>
        <v>0</v>
      </c>
      <c r="AB9">
        <f t="shared" si="8"/>
        <v>0</v>
      </c>
      <c r="AC9">
        <f t="shared" si="9"/>
        <v>0</v>
      </c>
      <c r="AD9">
        <f t="shared" si="10"/>
        <v>0</v>
      </c>
      <c r="AE9">
        <f t="shared" si="11"/>
        <v>0</v>
      </c>
    </row>
    <row r="10" spans="2:31">
      <c r="B10" s="19">
        <f t="shared" si="0"/>
        <v>22</v>
      </c>
      <c r="C10" s="2"/>
      <c r="D10" s="2"/>
      <c r="E10" s="2">
        <v>1</v>
      </c>
      <c r="F10" s="2"/>
      <c r="G10" s="2"/>
      <c r="H10" s="2"/>
      <c r="I10" s="2"/>
      <c r="J10" s="2"/>
      <c r="K10" s="2"/>
      <c r="L10" s="2"/>
      <c r="M10" s="2"/>
      <c r="N10" s="2"/>
      <c r="O10" s="1">
        <f t="shared" si="12"/>
        <v>1</v>
      </c>
      <c r="T10">
        <f t="shared" si="1"/>
        <v>22</v>
      </c>
      <c r="U10">
        <v>0</v>
      </c>
      <c r="V10">
        <f t="shared" si="2"/>
        <v>0</v>
      </c>
      <c r="W10">
        <f t="shared" si="3"/>
        <v>3.4482758620689655E-2</v>
      </c>
      <c r="X10">
        <f t="shared" si="4"/>
        <v>0</v>
      </c>
      <c r="Y10">
        <f t="shared" si="5"/>
        <v>0</v>
      </c>
      <c r="Z10">
        <f t="shared" si="6"/>
        <v>0</v>
      </c>
      <c r="AA10">
        <f t="shared" si="7"/>
        <v>0</v>
      </c>
      <c r="AB10">
        <f t="shared" si="8"/>
        <v>0</v>
      </c>
      <c r="AC10">
        <f t="shared" si="9"/>
        <v>0</v>
      </c>
      <c r="AD10">
        <f t="shared" si="10"/>
        <v>0</v>
      </c>
      <c r="AE10">
        <f t="shared" si="11"/>
        <v>0</v>
      </c>
    </row>
    <row r="11" spans="2:31">
      <c r="B11" s="19">
        <f t="shared" si="0"/>
        <v>23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">
        <f t="shared" si="12"/>
        <v>0</v>
      </c>
      <c r="T11">
        <f t="shared" si="1"/>
        <v>23</v>
      </c>
      <c r="U11">
        <v>0</v>
      </c>
      <c r="V11">
        <f t="shared" si="2"/>
        <v>0</v>
      </c>
      <c r="W11">
        <f t="shared" si="3"/>
        <v>0</v>
      </c>
      <c r="X11">
        <f t="shared" si="4"/>
        <v>0</v>
      </c>
      <c r="Y11">
        <f t="shared" si="5"/>
        <v>0</v>
      </c>
      <c r="Z11">
        <f t="shared" si="6"/>
        <v>0</v>
      </c>
      <c r="AA11">
        <f t="shared" si="7"/>
        <v>0</v>
      </c>
      <c r="AB11">
        <f t="shared" si="8"/>
        <v>0</v>
      </c>
      <c r="AC11">
        <f t="shared" si="9"/>
        <v>0</v>
      </c>
      <c r="AD11">
        <f t="shared" si="10"/>
        <v>0</v>
      </c>
      <c r="AE11">
        <f t="shared" si="11"/>
        <v>0</v>
      </c>
    </row>
    <row r="12" spans="2:31">
      <c r="B12" s="19">
        <f t="shared" si="0"/>
        <v>24</v>
      </c>
      <c r="E12" s="2"/>
      <c r="G12" s="2"/>
      <c r="H12" s="2"/>
      <c r="I12" s="2"/>
      <c r="J12" s="2"/>
      <c r="K12" s="2"/>
      <c r="L12" s="2"/>
      <c r="M12" s="2"/>
      <c r="N12" s="2"/>
      <c r="O12" s="1">
        <f t="shared" si="12"/>
        <v>0</v>
      </c>
      <c r="T12">
        <f t="shared" si="1"/>
        <v>24</v>
      </c>
      <c r="U12">
        <v>0</v>
      </c>
      <c r="V12">
        <f t="shared" si="2"/>
        <v>0</v>
      </c>
      <c r="W12">
        <f t="shared" si="3"/>
        <v>0</v>
      </c>
      <c r="X12">
        <f t="shared" si="4"/>
        <v>0</v>
      </c>
      <c r="Y12">
        <f t="shared" si="5"/>
        <v>0</v>
      </c>
      <c r="Z12">
        <f t="shared" si="6"/>
        <v>0</v>
      </c>
      <c r="AA12">
        <f t="shared" si="7"/>
        <v>0</v>
      </c>
      <c r="AB12">
        <f t="shared" si="8"/>
        <v>0</v>
      </c>
      <c r="AC12">
        <f t="shared" si="9"/>
        <v>0</v>
      </c>
      <c r="AD12">
        <f t="shared" si="10"/>
        <v>0</v>
      </c>
      <c r="AE12">
        <f t="shared" si="11"/>
        <v>0</v>
      </c>
    </row>
    <row r="13" spans="2:31">
      <c r="B13" s="19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">
        <f t="shared" si="12"/>
        <v>0</v>
      </c>
      <c r="T13">
        <f t="shared" si="1"/>
        <v>25</v>
      </c>
      <c r="U13">
        <v>0</v>
      </c>
      <c r="V13">
        <f t="shared" si="2"/>
        <v>0</v>
      </c>
      <c r="W13">
        <f t="shared" si="3"/>
        <v>0</v>
      </c>
      <c r="X13">
        <f t="shared" si="4"/>
        <v>0</v>
      </c>
      <c r="Y13">
        <f t="shared" si="5"/>
        <v>0</v>
      </c>
      <c r="Z13">
        <f t="shared" si="6"/>
        <v>0</v>
      </c>
      <c r="AA13">
        <f t="shared" si="7"/>
        <v>0</v>
      </c>
      <c r="AB13">
        <f t="shared" si="8"/>
        <v>0</v>
      </c>
      <c r="AC13">
        <f t="shared" si="9"/>
        <v>0</v>
      </c>
      <c r="AD13">
        <f t="shared" si="10"/>
        <v>0</v>
      </c>
      <c r="AE13">
        <f t="shared" si="11"/>
        <v>0</v>
      </c>
    </row>
    <row r="14" spans="2:31">
      <c r="B14" s="19">
        <v>26</v>
      </c>
      <c r="C14" s="2"/>
      <c r="D14" s="2"/>
      <c r="E14" s="2"/>
      <c r="F14" s="2">
        <v>1</v>
      </c>
      <c r="G14" s="2"/>
      <c r="H14" s="2"/>
      <c r="I14" s="2"/>
      <c r="J14" s="2"/>
      <c r="K14" s="2"/>
      <c r="L14" s="2"/>
      <c r="M14" s="2"/>
      <c r="N14" s="2"/>
      <c r="O14" s="1">
        <f t="shared" si="12"/>
        <v>1</v>
      </c>
      <c r="T14">
        <f t="shared" si="1"/>
        <v>26</v>
      </c>
      <c r="U14">
        <v>0</v>
      </c>
      <c r="V14">
        <f t="shared" si="2"/>
        <v>0</v>
      </c>
      <c r="W14">
        <f t="shared" si="3"/>
        <v>0</v>
      </c>
      <c r="X14">
        <f t="shared" si="4"/>
        <v>8.8495575221238937E-3</v>
      </c>
      <c r="Y14">
        <f t="shared" si="5"/>
        <v>0</v>
      </c>
      <c r="Z14">
        <f t="shared" si="6"/>
        <v>0</v>
      </c>
      <c r="AA14">
        <f t="shared" si="7"/>
        <v>0</v>
      </c>
      <c r="AB14">
        <f t="shared" si="8"/>
        <v>0</v>
      </c>
      <c r="AC14">
        <f t="shared" si="9"/>
        <v>0</v>
      </c>
      <c r="AD14">
        <f t="shared" si="10"/>
        <v>0</v>
      </c>
      <c r="AE14">
        <f t="shared" si="11"/>
        <v>0</v>
      </c>
    </row>
    <row r="15" spans="2:31">
      <c r="B15" s="1">
        <v>27</v>
      </c>
      <c r="C15" s="2"/>
      <c r="D15" s="2"/>
      <c r="E15" s="2">
        <v>5</v>
      </c>
      <c r="F15" s="3"/>
      <c r="G15" s="2">
        <v>1</v>
      </c>
      <c r="H15" s="2"/>
      <c r="I15" s="2"/>
      <c r="J15" s="2"/>
      <c r="K15" s="2"/>
      <c r="L15" s="2"/>
      <c r="M15" s="2"/>
      <c r="N15" s="2"/>
      <c r="O15" s="1">
        <f t="shared" si="12"/>
        <v>6</v>
      </c>
      <c r="T15">
        <f t="shared" si="1"/>
        <v>27</v>
      </c>
      <c r="U15">
        <v>0</v>
      </c>
      <c r="V15">
        <f t="shared" si="2"/>
        <v>0</v>
      </c>
      <c r="W15">
        <f t="shared" si="3"/>
        <v>0.17241379310344829</v>
      </c>
      <c r="X15">
        <f t="shared" si="4"/>
        <v>0</v>
      </c>
      <c r="Y15">
        <f t="shared" si="5"/>
        <v>4.0650406504065045E-3</v>
      </c>
      <c r="Z15">
        <f t="shared" si="6"/>
        <v>0</v>
      </c>
      <c r="AA15">
        <f t="shared" si="7"/>
        <v>0</v>
      </c>
      <c r="AB15">
        <f t="shared" si="8"/>
        <v>0</v>
      </c>
      <c r="AC15">
        <f t="shared" si="9"/>
        <v>0</v>
      </c>
      <c r="AD15">
        <f t="shared" si="10"/>
        <v>0</v>
      </c>
      <c r="AE15">
        <f t="shared" si="11"/>
        <v>0</v>
      </c>
    </row>
    <row r="16" spans="2:31">
      <c r="B16" s="1">
        <v>28</v>
      </c>
      <c r="C16" s="2"/>
      <c r="D16" s="3"/>
      <c r="E16" s="3">
        <v>10</v>
      </c>
      <c r="F16" s="3">
        <v>25</v>
      </c>
      <c r="G16" s="2">
        <v>11</v>
      </c>
      <c r="H16" s="2">
        <v>5</v>
      </c>
      <c r="I16" s="3"/>
      <c r="J16" s="3"/>
      <c r="K16" s="3"/>
      <c r="L16" s="3"/>
      <c r="M16" s="3"/>
      <c r="N16" s="3"/>
      <c r="O16" s="1">
        <f t="shared" si="12"/>
        <v>51</v>
      </c>
      <c r="T16">
        <f t="shared" si="1"/>
        <v>28</v>
      </c>
      <c r="U16">
        <v>0</v>
      </c>
      <c r="V16">
        <f t="shared" si="2"/>
        <v>0</v>
      </c>
      <c r="W16">
        <f t="shared" si="3"/>
        <v>0.34482758620689657</v>
      </c>
      <c r="X16">
        <f t="shared" si="4"/>
        <v>0.22123893805309736</v>
      </c>
      <c r="Y16">
        <f t="shared" si="5"/>
        <v>4.4715447154471545E-2</v>
      </c>
      <c r="Z16">
        <f t="shared" si="6"/>
        <v>1.8518518518518517E-2</v>
      </c>
      <c r="AA16">
        <f t="shared" si="7"/>
        <v>0</v>
      </c>
      <c r="AB16">
        <f t="shared" si="8"/>
        <v>0</v>
      </c>
      <c r="AC16">
        <f t="shared" si="9"/>
        <v>0</v>
      </c>
      <c r="AD16">
        <f t="shared" si="10"/>
        <v>0</v>
      </c>
      <c r="AE16">
        <f t="shared" si="11"/>
        <v>0</v>
      </c>
    </row>
    <row r="17" spans="2:31">
      <c r="B17" s="1">
        <v>29</v>
      </c>
      <c r="C17" s="2"/>
      <c r="D17" s="2"/>
      <c r="E17" s="3">
        <v>5</v>
      </c>
      <c r="F17" s="3">
        <v>20</v>
      </c>
      <c r="G17" s="3">
        <v>34</v>
      </c>
      <c r="H17" s="2">
        <v>10</v>
      </c>
      <c r="I17" s="3"/>
      <c r="J17" s="3"/>
      <c r="K17" s="3"/>
      <c r="L17" s="3"/>
      <c r="M17" s="3"/>
      <c r="N17" s="3"/>
      <c r="O17" s="1">
        <f t="shared" si="12"/>
        <v>69</v>
      </c>
      <c r="T17">
        <f t="shared" si="1"/>
        <v>29</v>
      </c>
      <c r="U17">
        <v>0</v>
      </c>
      <c r="V17">
        <f t="shared" si="2"/>
        <v>0</v>
      </c>
      <c r="W17">
        <f t="shared" si="3"/>
        <v>0.17241379310344829</v>
      </c>
      <c r="X17">
        <f t="shared" si="4"/>
        <v>0.17699115044247787</v>
      </c>
      <c r="Y17">
        <f t="shared" si="5"/>
        <v>0.13821138211382114</v>
      </c>
      <c r="Z17">
        <f t="shared" si="6"/>
        <v>3.7037037037037035E-2</v>
      </c>
      <c r="AA17">
        <f t="shared" si="7"/>
        <v>0</v>
      </c>
      <c r="AB17">
        <f t="shared" si="8"/>
        <v>0</v>
      </c>
      <c r="AC17">
        <f t="shared" si="9"/>
        <v>0</v>
      </c>
      <c r="AD17">
        <f t="shared" si="10"/>
        <v>0</v>
      </c>
      <c r="AE17">
        <f t="shared" si="11"/>
        <v>0</v>
      </c>
    </row>
    <row r="18" spans="2:31">
      <c r="B18" s="1">
        <v>30</v>
      </c>
      <c r="C18" s="2"/>
      <c r="D18" s="2"/>
      <c r="E18" s="3">
        <v>3</v>
      </c>
      <c r="F18" s="3">
        <v>24</v>
      </c>
      <c r="G18" s="3">
        <v>49</v>
      </c>
      <c r="H18" s="2">
        <v>13</v>
      </c>
      <c r="I18" s="3">
        <v>2</v>
      </c>
      <c r="J18" s="3">
        <v>1</v>
      </c>
      <c r="K18" s="3"/>
      <c r="L18" s="3"/>
      <c r="M18" s="3"/>
      <c r="N18" s="3"/>
      <c r="O18" s="1">
        <f t="shared" si="12"/>
        <v>92</v>
      </c>
      <c r="T18">
        <f t="shared" si="1"/>
        <v>30</v>
      </c>
      <c r="U18">
        <v>0</v>
      </c>
      <c r="V18">
        <f t="shared" si="2"/>
        <v>0</v>
      </c>
      <c r="W18">
        <f t="shared" si="3"/>
        <v>0.10344827586206896</v>
      </c>
      <c r="X18">
        <f t="shared" si="4"/>
        <v>0.21238938053097345</v>
      </c>
      <c r="Y18">
        <f t="shared" si="5"/>
        <v>0.1991869918699187</v>
      </c>
      <c r="Z18">
        <f t="shared" si="6"/>
        <v>4.8148148148148148E-2</v>
      </c>
      <c r="AA18">
        <f t="shared" si="7"/>
        <v>7.1174377224199285E-3</v>
      </c>
      <c r="AB18">
        <f t="shared" si="8"/>
        <v>3.205128205128205E-3</v>
      </c>
      <c r="AC18">
        <f t="shared" si="9"/>
        <v>0</v>
      </c>
      <c r="AD18">
        <f t="shared" si="10"/>
        <v>0</v>
      </c>
      <c r="AE18">
        <f t="shared" si="11"/>
        <v>0</v>
      </c>
    </row>
    <row r="19" spans="2:31">
      <c r="B19" s="1">
        <v>31</v>
      </c>
      <c r="C19" s="2"/>
      <c r="D19" s="2"/>
      <c r="E19" s="3">
        <v>2</v>
      </c>
      <c r="F19" s="2">
        <v>18</v>
      </c>
      <c r="G19" s="3">
        <v>21</v>
      </c>
      <c r="H19" s="3">
        <v>23</v>
      </c>
      <c r="I19" s="3">
        <v>11</v>
      </c>
      <c r="J19" s="3">
        <v>3</v>
      </c>
      <c r="K19" s="3"/>
      <c r="L19" s="3"/>
      <c r="M19" s="3"/>
      <c r="N19" s="3"/>
      <c r="O19" s="1">
        <f t="shared" si="12"/>
        <v>78</v>
      </c>
      <c r="T19">
        <f t="shared" si="1"/>
        <v>31</v>
      </c>
      <c r="U19">
        <v>0</v>
      </c>
      <c r="V19">
        <f t="shared" si="2"/>
        <v>0</v>
      </c>
      <c r="W19">
        <f t="shared" si="3"/>
        <v>6.8965517241379309E-2</v>
      </c>
      <c r="X19">
        <f t="shared" si="4"/>
        <v>0.15929203539823009</v>
      </c>
      <c r="Y19">
        <f t="shared" si="5"/>
        <v>8.5365853658536592E-2</v>
      </c>
      <c r="Z19">
        <f t="shared" si="6"/>
        <v>8.5185185185185183E-2</v>
      </c>
      <c r="AA19">
        <f t="shared" si="7"/>
        <v>3.9145907473309607E-2</v>
      </c>
      <c r="AB19">
        <f t="shared" si="8"/>
        <v>9.6153846153846159E-3</v>
      </c>
      <c r="AC19">
        <f t="shared" si="9"/>
        <v>0</v>
      </c>
      <c r="AD19">
        <f t="shared" si="10"/>
        <v>0</v>
      </c>
      <c r="AE19">
        <f t="shared" si="11"/>
        <v>0</v>
      </c>
    </row>
    <row r="20" spans="2:31">
      <c r="B20" s="1">
        <v>32</v>
      </c>
      <c r="C20" s="2"/>
      <c r="D20" s="2"/>
      <c r="E20" s="3"/>
      <c r="F20" s="3">
        <v>10</v>
      </c>
      <c r="G20" s="3">
        <v>34</v>
      </c>
      <c r="H20" s="3">
        <v>24</v>
      </c>
      <c r="I20" s="3">
        <v>12</v>
      </c>
      <c r="J20" s="3">
        <v>4</v>
      </c>
      <c r="K20" s="3"/>
      <c r="L20" s="3"/>
      <c r="M20" s="3"/>
      <c r="N20" s="3"/>
      <c r="O20" s="1">
        <f t="shared" si="12"/>
        <v>84</v>
      </c>
      <c r="T20">
        <f t="shared" si="1"/>
        <v>32</v>
      </c>
      <c r="U20">
        <v>0</v>
      </c>
      <c r="V20">
        <f t="shared" si="2"/>
        <v>0</v>
      </c>
      <c r="W20">
        <f t="shared" si="3"/>
        <v>0</v>
      </c>
      <c r="X20">
        <f t="shared" si="4"/>
        <v>8.8495575221238937E-2</v>
      </c>
      <c r="Y20">
        <f t="shared" si="5"/>
        <v>0.13821138211382114</v>
      </c>
      <c r="Z20">
        <f t="shared" si="6"/>
        <v>8.8888888888888892E-2</v>
      </c>
      <c r="AA20">
        <f t="shared" si="7"/>
        <v>4.2704626334519574E-2</v>
      </c>
      <c r="AB20">
        <f t="shared" si="8"/>
        <v>1.282051282051282E-2</v>
      </c>
      <c r="AC20">
        <f t="shared" si="9"/>
        <v>0</v>
      </c>
      <c r="AD20">
        <f t="shared" si="10"/>
        <v>0</v>
      </c>
      <c r="AE20">
        <f t="shared" si="11"/>
        <v>0</v>
      </c>
    </row>
    <row r="21" spans="2:31">
      <c r="B21" s="1">
        <v>33</v>
      </c>
      <c r="C21" s="2"/>
      <c r="D21" s="2"/>
      <c r="E21" s="2">
        <v>1</v>
      </c>
      <c r="F21" s="3">
        <v>4</v>
      </c>
      <c r="G21" s="3">
        <v>23</v>
      </c>
      <c r="H21" s="3">
        <v>30</v>
      </c>
      <c r="I21" s="3">
        <v>12</v>
      </c>
      <c r="J21" s="3">
        <v>10</v>
      </c>
      <c r="K21" s="3"/>
      <c r="L21" s="3"/>
      <c r="M21" s="3"/>
      <c r="N21" s="3"/>
      <c r="O21" s="1">
        <f t="shared" si="12"/>
        <v>80</v>
      </c>
      <c r="T21">
        <f t="shared" si="1"/>
        <v>33</v>
      </c>
      <c r="U21">
        <v>0</v>
      </c>
      <c r="V21">
        <f t="shared" si="2"/>
        <v>0</v>
      </c>
      <c r="W21">
        <f t="shared" si="3"/>
        <v>3.4482758620689655E-2</v>
      </c>
      <c r="X21">
        <f t="shared" si="4"/>
        <v>3.5398230088495575E-2</v>
      </c>
      <c r="Y21">
        <f t="shared" si="5"/>
        <v>9.3495934959349589E-2</v>
      </c>
      <c r="Z21">
        <f t="shared" si="6"/>
        <v>0.1111111111111111</v>
      </c>
      <c r="AA21">
        <f t="shared" si="7"/>
        <v>4.2704626334519574E-2</v>
      </c>
      <c r="AB21">
        <f t="shared" si="8"/>
        <v>3.2051282051282048E-2</v>
      </c>
      <c r="AC21">
        <f t="shared" si="9"/>
        <v>0</v>
      </c>
      <c r="AD21">
        <f t="shared" si="10"/>
        <v>0</v>
      </c>
      <c r="AE21">
        <f t="shared" si="11"/>
        <v>0</v>
      </c>
    </row>
    <row r="22" spans="2:31">
      <c r="B22" s="1">
        <v>34</v>
      </c>
      <c r="C22" s="2"/>
      <c r="D22" s="2"/>
      <c r="E22" s="2">
        <v>1</v>
      </c>
      <c r="F22" s="3">
        <v>7</v>
      </c>
      <c r="G22" s="3">
        <v>18</v>
      </c>
      <c r="H22" s="3">
        <v>24</v>
      </c>
      <c r="I22" s="3">
        <v>17</v>
      </c>
      <c r="J22" s="3">
        <v>9</v>
      </c>
      <c r="K22" s="3">
        <v>2</v>
      </c>
      <c r="L22" s="3"/>
      <c r="M22" s="3"/>
      <c r="N22" s="3"/>
      <c r="O22" s="1">
        <f t="shared" si="12"/>
        <v>78</v>
      </c>
      <c r="T22">
        <f t="shared" si="1"/>
        <v>34</v>
      </c>
      <c r="U22">
        <v>0</v>
      </c>
      <c r="V22">
        <f t="shared" si="2"/>
        <v>0</v>
      </c>
      <c r="W22">
        <f t="shared" si="3"/>
        <v>3.4482758620689655E-2</v>
      </c>
      <c r="X22">
        <f t="shared" si="4"/>
        <v>6.1946902654867256E-2</v>
      </c>
      <c r="Y22">
        <f t="shared" si="5"/>
        <v>7.3170731707317069E-2</v>
      </c>
      <c r="Z22">
        <f t="shared" si="6"/>
        <v>8.8888888888888892E-2</v>
      </c>
      <c r="AA22">
        <f t="shared" si="7"/>
        <v>6.0498220640569395E-2</v>
      </c>
      <c r="AB22">
        <f t="shared" si="8"/>
        <v>2.8846153846153848E-2</v>
      </c>
      <c r="AC22">
        <f t="shared" si="9"/>
        <v>6.5789473684210523E-3</v>
      </c>
      <c r="AD22">
        <f t="shared" si="10"/>
        <v>0</v>
      </c>
      <c r="AE22">
        <f t="shared" si="11"/>
        <v>0</v>
      </c>
    </row>
    <row r="23" spans="2:31">
      <c r="B23" s="1">
        <v>35</v>
      </c>
      <c r="C23" s="2"/>
      <c r="D23" s="2"/>
      <c r="E23" s="2"/>
      <c r="F23" s="3">
        <v>2</v>
      </c>
      <c r="G23" s="3">
        <v>14</v>
      </c>
      <c r="H23" s="3">
        <v>25</v>
      </c>
      <c r="I23" s="3">
        <v>20</v>
      </c>
      <c r="J23" s="3">
        <v>11</v>
      </c>
      <c r="K23" s="3">
        <v>2</v>
      </c>
      <c r="L23" s="3"/>
      <c r="M23" s="3"/>
      <c r="N23" s="3"/>
      <c r="O23" s="1">
        <f t="shared" si="12"/>
        <v>74</v>
      </c>
      <c r="T23">
        <f t="shared" si="1"/>
        <v>35</v>
      </c>
      <c r="U23">
        <v>0</v>
      </c>
      <c r="V23">
        <f t="shared" si="2"/>
        <v>0</v>
      </c>
      <c r="W23">
        <f t="shared" si="3"/>
        <v>0</v>
      </c>
      <c r="X23">
        <f t="shared" si="4"/>
        <v>1.7699115044247787E-2</v>
      </c>
      <c r="Y23">
        <f t="shared" si="5"/>
        <v>5.6910569105691054E-2</v>
      </c>
      <c r="Z23">
        <f t="shared" si="6"/>
        <v>9.2592592592592587E-2</v>
      </c>
      <c r="AA23">
        <f t="shared" si="7"/>
        <v>7.1174377224199295E-2</v>
      </c>
      <c r="AB23">
        <f t="shared" si="8"/>
        <v>3.5256410256410256E-2</v>
      </c>
      <c r="AC23">
        <f t="shared" si="9"/>
        <v>6.5789473684210523E-3</v>
      </c>
      <c r="AD23">
        <f t="shared" si="10"/>
        <v>0</v>
      </c>
      <c r="AE23">
        <f t="shared" si="11"/>
        <v>0</v>
      </c>
    </row>
    <row r="24" spans="2:31">
      <c r="B24" s="1">
        <v>36</v>
      </c>
      <c r="C24" s="2"/>
      <c r="D24" s="2"/>
      <c r="E24" s="2"/>
      <c r="F24" s="3">
        <v>2</v>
      </c>
      <c r="G24" s="3">
        <v>14</v>
      </c>
      <c r="H24" s="3">
        <v>24</v>
      </c>
      <c r="I24" s="3">
        <v>21</v>
      </c>
      <c r="J24" s="3">
        <v>15</v>
      </c>
      <c r="K24" s="3">
        <v>3</v>
      </c>
      <c r="M24" s="3">
        <v>1</v>
      </c>
      <c r="N24" s="3"/>
      <c r="O24" s="1">
        <f t="shared" si="12"/>
        <v>80</v>
      </c>
      <c r="T24">
        <f t="shared" si="1"/>
        <v>36</v>
      </c>
      <c r="U24">
        <v>0</v>
      </c>
      <c r="V24">
        <f t="shared" si="2"/>
        <v>0</v>
      </c>
      <c r="W24">
        <f t="shared" si="3"/>
        <v>0</v>
      </c>
      <c r="X24">
        <f t="shared" si="4"/>
        <v>1.7699115044247787E-2</v>
      </c>
      <c r="Y24">
        <f t="shared" si="5"/>
        <v>5.6910569105691054E-2</v>
      </c>
      <c r="Z24">
        <f t="shared" si="6"/>
        <v>8.8888888888888892E-2</v>
      </c>
      <c r="AA24">
        <f t="shared" si="7"/>
        <v>7.4733096085409248E-2</v>
      </c>
      <c r="AB24">
        <f t="shared" si="8"/>
        <v>4.807692307692308E-2</v>
      </c>
      <c r="AC24">
        <f t="shared" si="9"/>
        <v>9.8684210526315784E-3</v>
      </c>
      <c r="AD24">
        <f t="shared" si="10"/>
        <v>0</v>
      </c>
      <c r="AE24">
        <f t="shared" si="11"/>
        <v>6.6225165562913907E-3</v>
      </c>
    </row>
    <row r="25" spans="2:31">
      <c r="B25" s="1">
        <v>37</v>
      </c>
      <c r="C25" s="2"/>
      <c r="D25" s="2"/>
      <c r="E25" s="2"/>
      <c r="F25" s="2"/>
      <c r="G25" s="3">
        <v>11</v>
      </c>
      <c r="H25" s="3">
        <v>22</v>
      </c>
      <c r="I25" s="3">
        <v>25</v>
      </c>
      <c r="J25" s="3">
        <v>19</v>
      </c>
      <c r="K25" s="3">
        <v>1</v>
      </c>
      <c r="L25" s="3">
        <v>1</v>
      </c>
      <c r="M25" s="3">
        <v>1</v>
      </c>
      <c r="N25" s="3"/>
      <c r="O25" s="1">
        <f t="shared" si="12"/>
        <v>80</v>
      </c>
      <c r="T25">
        <f t="shared" si="1"/>
        <v>37</v>
      </c>
      <c r="U25">
        <v>0</v>
      </c>
      <c r="V25">
        <f t="shared" si="2"/>
        <v>0</v>
      </c>
      <c r="W25">
        <f t="shared" si="3"/>
        <v>0</v>
      </c>
      <c r="X25">
        <f t="shared" si="4"/>
        <v>0</v>
      </c>
      <c r="Y25">
        <f t="shared" si="5"/>
        <v>4.4715447154471545E-2</v>
      </c>
      <c r="Z25">
        <f t="shared" si="6"/>
        <v>8.1481481481481488E-2</v>
      </c>
      <c r="AA25">
        <f t="shared" si="7"/>
        <v>8.8967971530249115E-2</v>
      </c>
      <c r="AB25">
        <f t="shared" si="8"/>
        <v>6.0897435897435896E-2</v>
      </c>
      <c r="AC25">
        <f t="shared" si="9"/>
        <v>3.2894736842105261E-3</v>
      </c>
      <c r="AD25">
        <f t="shared" si="10"/>
        <v>4.464285714285714E-3</v>
      </c>
      <c r="AE25">
        <f t="shared" si="11"/>
        <v>6.6225165562913907E-3</v>
      </c>
    </row>
    <row r="26" spans="2:31">
      <c r="B26" s="1">
        <v>38</v>
      </c>
      <c r="C26" s="2"/>
      <c r="D26" s="2"/>
      <c r="E26" s="2">
        <v>1</v>
      </c>
      <c r="F26" s="2"/>
      <c r="G26" s="3">
        <v>5</v>
      </c>
      <c r="H26" s="3">
        <v>14</v>
      </c>
      <c r="I26" s="3">
        <v>21</v>
      </c>
      <c r="J26" s="3">
        <v>27</v>
      </c>
      <c r="K26" s="3">
        <v>6</v>
      </c>
      <c r="L26" s="3">
        <v>3</v>
      </c>
      <c r="M26" s="3">
        <v>1</v>
      </c>
      <c r="N26" s="3"/>
      <c r="O26" s="1">
        <f t="shared" si="12"/>
        <v>78</v>
      </c>
      <c r="T26">
        <f t="shared" si="1"/>
        <v>38</v>
      </c>
      <c r="U26">
        <v>0</v>
      </c>
      <c r="V26">
        <f t="shared" si="2"/>
        <v>0</v>
      </c>
      <c r="W26">
        <f t="shared" si="3"/>
        <v>3.4482758620689655E-2</v>
      </c>
      <c r="X26">
        <f t="shared" si="4"/>
        <v>0</v>
      </c>
      <c r="Y26">
        <f t="shared" si="5"/>
        <v>2.032520325203252E-2</v>
      </c>
      <c r="Z26">
        <f t="shared" si="6"/>
        <v>5.185185185185185E-2</v>
      </c>
      <c r="AA26">
        <f t="shared" si="7"/>
        <v>7.4733096085409248E-2</v>
      </c>
      <c r="AB26">
        <f t="shared" si="8"/>
        <v>8.6538461538461536E-2</v>
      </c>
      <c r="AC26">
        <f t="shared" si="9"/>
        <v>1.9736842105263157E-2</v>
      </c>
      <c r="AD26">
        <f t="shared" si="10"/>
        <v>1.3392857142857142E-2</v>
      </c>
      <c r="AE26">
        <f t="shared" si="11"/>
        <v>6.6225165562913907E-3</v>
      </c>
    </row>
    <row r="27" spans="2:31">
      <c r="B27" s="1">
        <v>39</v>
      </c>
      <c r="C27" s="2"/>
      <c r="D27" s="2"/>
      <c r="E27" s="2"/>
      <c r="F27" s="2"/>
      <c r="G27" s="3"/>
      <c r="H27" s="3">
        <v>16</v>
      </c>
      <c r="I27" s="3">
        <v>36</v>
      </c>
      <c r="J27" s="3">
        <v>14</v>
      </c>
      <c r="K27" s="3">
        <v>8</v>
      </c>
      <c r="L27" s="3">
        <v>2</v>
      </c>
      <c r="M27" s="3">
        <v>2</v>
      </c>
      <c r="N27" s="3"/>
      <c r="O27" s="1">
        <f t="shared" si="12"/>
        <v>78</v>
      </c>
      <c r="T27">
        <f t="shared" si="1"/>
        <v>39</v>
      </c>
      <c r="U27">
        <v>0</v>
      </c>
      <c r="V27">
        <f t="shared" si="2"/>
        <v>0</v>
      </c>
      <c r="W27">
        <f t="shared" si="3"/>
        <v>0</v>
      </c>
      <c r="X27">
        <f t="shared" si="4"/>
        <v>0</v>
      </c>
      <c r="Y27">
        <f t="shared" si="5"/>
        <v>0</v>
      </c>
      <c r="Z27">
        <f t="shared" si="6"/>
        <v>5.9259259259259262E-2</v>
      </c>
      <c r="AA27">
        <f t="shared" si="7"/>
        <v>0.12811387900355872</v>
      </c>
      <c r="AB27">
        <f t="shared" si="8"/>
        <v>4.4871794871794872E-2</v>
      </c>
      <c r="AC27">
        <f t="shared" si="9"/>
        <v>2.6315789473684209E-2</v>
      </c>
      <c r="AD27">
        <f t="shared" si="10"/>
        <v>8.9285714285714281E-3</v>
      </c>
      <c r="AE27">
        <f t="shared" si="11"/>
        <v>1.3245033112582781E-2</v>
      </c>
    </row>
    <row r="28" spans="2:31">
      <c r="B28" s="1">
        <v>40</v>
      </c>
      <c r="C28" s="2"/>
      <c r="D28" s="2"/>
      <c r="E28" s="2"/>
      <c r="F28" s="2"/>
      <c r="G28" s="2">
        <v>6</v>
      </c>
      <c r="H28" s="2">
        <v>14</v>
      </c>
      <c r="I28" s="2">
        <v>17</v>
      </c>
      <c r="J28" s="2">
        <v>19</v>
      </c>
      <c r="K28" s="2">
        <v>12</v>
      </c>
      <c r="L28" s="7">
        <v>6</v>
      </c>
      <c r="M28" s="2">
        <v>1</v>
      </c>
      <c r="N28" s="2"/>
      <c r="O28" s="1">
        <f t="shared" si="12"/>
        <v>75</v>
      </c>
      <c r="T28">
        <f t="shared" si="1"/>
        <v>40</v>
      </c>
      <c r="U28">
        <v>0</v>
      </c>
      <c r="V28">
        <f t="shared" si="2"/>
        <v>0</v>
      </c>
      <c r="W28">
        <f t="shared" si="3"/>
        <v>0</v>
      </c>
      <c r="X28">
        <f t="shared" si="4"/>
        <v>0</v>
      </c>
      <c r="Y28">
        <f t="shared" si="5"/>
        <v>2.4390243902439025E-2</v>
      </c>
      <c r="Z28">
        <f t="shared" si="6"/>
        <v>5.185185185185185E-2</v>
      </c>
      <c r="AA28">
        <f t="shared" si="7"/>
        <v>6.0498220640569395E-2</v>
      </c>
      <c r="AB28">
        <f t="shared" si="8"/>
        <v>6.0897435897435896E-2</v>
      </c>
      <c r="AC28">
        <f t="shared" si="9"/>
        <v>3.9473684210526314E-2</v>
      </c>
      <c r="AD28">
        <f t="shared" si="10"/>
        <v>2.6785714285714284E-2</v>
      </c>
      <c r="AE28">
        <f t="shared" si="11"/>
        <v>6.6225165562913907E-3</v>
      </c>
    </row>
    <row r="29" spans="2:31">
      <c r="B29" s="1">
        <v>41</v>
      </c>
      <c r="C29" s="2"/>
      <c r="D29" s="2"/>
      <c r="E29" s="2"/>
      <c r="F29" s="2"/>
      <c r="G29" s="2"/>
      <c r="H29" s="2">
        <v>6</v>
      </c>
      <c r="I29" s="2">
        <v>15</v>
      </c>
      <c r="J29" s="2">
        <v>17</v>
      </c>
      <c r="K29" s="2">
        <v>21</v>
      </c>
      <c r="L29" s="2">
        <v>9</v>
      </c>
      <c r="M29" s="2">
        <v>3</v>
      </c>
      <c r="N29" s="2"/>
      <c r="O29" s="1">
        <f t="shared" si="12"/>
        <v>71</v>
      </c>
      <c r="T29">
        <f t="shared" si="1"/>
        <v>41</v>
      </c>
      <c r="U29">
        <v>0</v>
      </c>
      <c r="V29">
        <f t="shared" si="2"/>
        <v>0</v>
      </c>
      <c r="W29">
        <f t="shared" si="3"/>
        <v>0</v>
      </c>
      <c r="X29">
        <f t="shared" si="4"/>
        <v>0</v>
      </c>
      <c r="Y29">
        <f t="shared" si="5"/>
        <v>0</v>
      </c>
      <c r="Z29">
        <f t="shared" si="6"/>
        <v>2.2222222222222223E-2</v>
      </c>
      <c r="AA29">
        <f t="shared" si="7"/>
        <v>5.3380782918149468E-2</v>
      </c>
      <c r="AB29">
        <f t="shared" si="8"/>
        <v>5.4487179487179488E-2</v>
      </c>
      <c r="AC29">
        <f t="shared" si="9"/>
        <v>6.9078947368421059E-2</v>
      </c>
      <c r="AD29">
        <f t="shared" si="10"/>
        <v>4.0178571428571432E-2</v>
      </c>
      <c r="AE29">
        <f t="shared" si="11"/>
        <v>1.9867549668874173E-2</v>
      </c>
    </row>
    <row r="30" spans="2:31">
      <c r="B30" s="1">
        <v>42</v>
      </c>
      <c r="C30" s="2"/>
      <c r="D30" s="2"/>
      <c r="E30" s="2"/>
      <c r="F30" s="2"/>
      <c r="G30" s="3">
        <v>2</v>
      </c>
      <c r="H30" s="3">
        <v>5</v>
      </c>
      <c r="I30" s="3">
        <v>8</v>
      </c>
      <c r="J30" s="3">
        <v>18</v>
      </c>
      <c r="K30" s="3">
        <v>21</v>
      </c>
      <c r="L30" s="2">
        <v>11</v>
      </c>
      <c r="M30" s="3">
        <v>3</v>
      </c>
      <c r="N30" s="3">
        <v>1</v>
      </c>
      <c r="O30" s="1">
        <f t="shared" si="12"/>
        <v>69</v>
      </c>
      <c r="T30">
        <f t="shared" si="1"/>
        <v>42</v>
      </c>
      <c r="U30">
        <v>0</v>
      </c>
      <c r="V30">
        <f t="shared" si="2"/>
        <v>0</v>
      </c>
      <c r="W30">
        <f t="shared" si="3"/>
        <v>0</v>
      </c>
      <c r="X30">
        <f t="shared" si="4"/>
        <v>0</v>
      </c>
      <c r="Y30">
        <f t="shared" si="5"/>
        <v>8.130081300813009E-3</v>
      </c>
      <c r="Z30">
        <f t="shared" si="6"/>
        <v>1.8518518518518517E-2</v>
      </c>
      <c r="AA30">
        <f t="shared" si="7"/>
        <v>2.8469750889679714E-2</v>
      </c>
      <c r="AB30">
        <f t="shared" si="8"/>
        <v>5.7692307692307696E-2</v>
      </c>
      <c r="AC30">
        <f t="shared" si="9"/>
        <v>6.9078947368421059E-2</v>
      </c>
      <c r="AD30">
        <f t="shared" si="10"/>
        <v>4.9107142857142856E-2</v>
      </c>
      <c r="AE30">
        <f t="shared" si="11"/>
        <v>1.9867549668874173E-2</v>
      </c>
    </row>
    <row r="31" spans="2:31">
      <c r="B31" s="1">
        <v>43</v>
      </c>
      <c r="C31" s="2"/>
      <c r="D31" s="2"/>
      <c r="E31" s="2"/>
      <c r="F31" s="2"/>
      <c r="G31" s="2"/>
      <c r="H31" s="2">
        <v>2</v>
      </c>
      <c r="I31" s="2">
        <v>9</v>
      </c>
      <c r="J31" s="2">
        <v>19</v>
      </c>
      <c r="K31" s="2">
        <v>23</v>
      </c>
      <c r="L31" s="7">
        <v>9</v>
      </c>
      <c r="M31" s="2">
        <v>6</v>
      </c>
      <c r="N31" s="2">
        <v>1</v>
      </c>
      <c r="O31" s="1">
        <f t="shared" si="12"/>
        <v>69</v>
      </c>
      <c r="T31">
        <f t="shared" si="1"/>
        <v>43</v>
      </c>
      <c r="U31">
        <v>0</v>
      </c>
      <c r="V31">
        <f t="shared" si="2"/>
        <v>0</v>
      </c>
      <c r="W31">
        <f t="shared" si="3"/>
        <v>0</v>
      </c>
      <c r="X31">
        <f t="shared" si="4"/>
        <v>0</v>
      </c>
      <c r="Y31">
        <f t="shared" si="5"/>
        <v>0</v>
      </c>
      <c r="Z31">
        <f t="shared" si="6"/>
        <v>7.4074074074074077E-3</v>
      </c>
      <c r="AA31">
        <f t="shared" si="7"/>
        <v>3.2028469750889681E-2</v>
      </c>
      <c r="AB31">
        <f t="shared" si="8"/>
        <v>6.0897435897435896E-2</v>
      </c>
      <c r="AC31">
        <f t="shared" si="9"/>
        <v>7.5657894736842105E-2</v>
      </c>
      <c r="AD31">
        <f t="shared" si="10"/>
        <v>4.0178571428571432E-2</v>
      </c>
      <c r="AE31">
        <f t="shared" si="11"/>
        <v>3.9735099337748346E-2</v>
      </c>
    </row>
    <row r="32" spans="2:31">
      <c r="B32" s="1">
        <v>44</v>
      </c>
      <c r="C32" s="2"/>
      <c r="D32" s="2"/>
      <c r="E32" s="2"/>
      <c r="F32" s="2"/>
      <c r="G32" s="2">
        <v>1</v>
      </c>
      <c r="H32" s="7">
        <v>4</v>
      </c>
      <c r="I32" s="2">
        <v>5</v>
      </c>
      <c r="J32" s="2">
        <v>22</v>
      </c>
      <c r="K32" s="2">
        <v>19</v>
      </c>
      <c r="L32" s="2">
        <v>9</v>
      </c>
      <c r="M32" s="2">
        <v>7</v>
      </c>
      <c r="N32" s="2">
        <v>3</v>
      </c>
      <c r="O32" s="1">
        <f t="shared" si="12"/>
        <v>70</v>
      </c>
      <c r="T32">
        <f t="shared" si="1"/>
        <v>44</v>
      </c>
      <c r="U32">
        <v>0</v>
      </c>
      <c r="V32">
        <f t="shared" si="2"/>
        <v>0</v>
      </c>
      <c r="W32">
        <f t="shared" si="3"/>
        <v>0</v>
      </c>
      <c r="X32">
        <f t="shared" si="4"/>
        <v>0</v>
      </c>
      <c r="Y32">
        <f t="shared" si="5"/>
        <v>4.0650406504065045E-3</v>
      </c>
      <c r="Z32">
        <f t="shared" si="6"/>
        <v>1.4814814814814815E-2</v>
      </c>
      <c r="AA32">
        <f t="shared" si="7"/>
        <v>1.7793594306049824E-2</v>
      </c>
      <c r="AB32">
        <f t="shared" si="8"/>
        <v>7.0512820512820512E-2</v>
      </c>
      <c r="AC32">
        <f t="shared" si="9"/>
        <v>6.25E-2</v>
      </c>
      <c r="AD32">
        <f t="shared" si="10"/>
        <v>4.0178571428571432E-2</v>
      </c>
      <c r="AE32">
        <f t="shared" si="11"/>
        <v>4.6357615894039736E-2</v>
      </c>
    </row>
    <row r="33" spans="2:31">
      <c r="B33" s="1">
        <v>45</v>
      </c>
      <c r="C33" s="2"/>
      <c r="D33" s="2"/>
      <c r="E33" s="2"/>
      <c r="F33" s="2"/>
      <c r="G33" s="2"/>
      <c r="H33" s="2">
        <v>1</v>
      </c>
      <c r="I33" s="2">
        <v>7</v>
      </c>
      <c r="J33" s="2">
        <v>18</v>
      </c>
      <c r="K33" s="2">
        <v>17</v>
      </c>
      <c r="L33" s="2">
        <v>14</v>
      </c>
      <c r="M33" s="2">
        <v>3</v>
      </c>
      <c r="N33" s="2">
        <v>4</v>
      </c>
      <c r="O33" s="1">
        <f t="shared" si="12"/>
        <v>64</v>
      </c>
      <c r="T33">
        <f t="shared" si="1"/>
        <v>45</v>
      </c>
      <c r="U33">
        <v>0</v>
      </c>
      <c r="V33">
        <f t="shared" si="2"/>
        <v>0</v>
      </c>
      <c r="W33">
        <f t="shared" si="3"/>
        <v>0</v>
      </c>
      <c r="X33">
        <f t="shared" si="4"/>
        <v>0</v>
      </c>
      <c r="Y33">
        <f t="shared" si="5"/>
        <v>0</v>
      </c>
      <c r="Z33">
        <f t="shared" si="6"/>
        <v>3.7037037037037038E-3</v>
      </c>
      <c r="AA33">
        <f t="shared" si="7"/>
        <v>2.491103202846975E-2</v>
      </c>
      <c r="AB33">
        <f t="shared" si="8"/>
        <v>5.7692307692307696E-2</v>
      </c>
      <c r="AC33">
        <f t="shared" si="9"/>
        <v>5.5921052631578948E-2</v>
      </c>
      <c r="AD33">
        <f t="shared" si="10"/>
        <v>6.25E-2</v>
      </c>
      <c r="AE33">
        <f t="shared" si="11"/>
        <v>1.9867549668874173E-2</v>
      </c>
    </row>
    <row r="34" spans="2:31">
      <c r="B34" s="1">
        <v>46</v>
      </c>
      <c r="C34" s="2"/>
      <c r="D34" s="2"/>
      <c r="E34" s="2"/>
      <c r="F34" s="2"/>
      <c r="G34" s="2"/>
      <c r="H34" s="2"/>
      <c r="I34" s="2">
        <v>10</v>
      </c>
      <c r="J34" s="2">
        <v>11</v>
      </c>
      <c r="K34" s="2">
        <v>16</v>
      </c>
      <c r="L34" s="2">
        <v>9</v>
      </c>
      <c r="M34" s="2">
        <v>7</v>
      </c>
      <c r="N34" s="2">
        <v>10</v>
      </c>
      <c r="O34" s="1">
        <f t="shared" si="12"/>
        <v>63</v>
      </c>
      <c r="T34">
        <f t="shared" si="1"/>
        <v>46</v>
      </c>
      <c r="U34">
        <v>0</v>
      </c>
      <c r="V34">
        <f t="shared" si="2"/>
        <v>0</v>
      </c>
      <c r="W34">
        <f t="shared" si="3"/>
        <v>0</v>
      </c>
      <c r="X34">
        <f t="shared" si="4"/>
        <v>0</v>
      </c>
      <c r="Y34">
        <f t="shared" si="5"/>
        <v>0</v>
      </c>
      <c r="Z34">
        <f t="shared" si="6"/>
        <v>0</v>
      </c>
      <c r="AA34">
        <f t="shared" si="7"/>
        <v>3.5587188612099648E-2</v>
      </c>
      <c r="AB34">
        <f t="shared" si="8"/>
        <v>3.5256410256410256E-2</v>
      </c>
      <c r="AC34">
        <f t="shared" si="9"/>
        <v>5.2631578947368418E-2</v>
      </c>
      <c r="AD34">
        <f t="shared" si="10"/>
        <v>4.0178571428571432E-2</v>
      </c>
      <c r="AE34">
        <f t="shared" si="11"/>
        <v>4.6357615894039736E-2</v>
      </c>
    </row>
    <row r="35" spans="2:31">
      <c r="B35" s="1">
        <v>47</v>
      </c>
      <c r="C35" s="2"/>
      <c r="D35" s="2"/>
      <c r="E35" s="2"/>
      <c r="F35" s="2"/>
      <c r="G35" s="2">
        <v>1</v>
      </c>
      <c r="H35" s="2">
        <v>2</v>
      </c>
      <c r="I35" s="2">
        <v>3</v>
      </c>
      <c r="J35" s="2">
        <v>13</v>
      </c>
      <c r="K35" s="2">
        <v>20</v>
      </c>
      <c r="L35" s="2">
        <v>16</v>
      </c>
      <c r="M35" s="7">
        <v>7</v>
      </c>
      <c r="N35" s="2">
        <v>7</v>
      </c>
      <c r="O35" s="1">
        <f t="shared" si="12"/>
        <v>69</v>
      </c>
      <c r="T35">
        <f t="shared" si="1"/>
        <v>47</v>
      </c>
      <c r="U35">
        <v>0</v>
      </c>
      <c r="V35">
        <f t="shared" si="2"/>
        <v>0</v>
      </c>
      <c r="W35">
        <f t="shared" si="3"/>
        <v>0</v>
      </c>
      <c r="X35">
        <f t="shared" si="4"/>
        <v>0</v>
      </c>
      <c r="Y35">
        <f t="shared" si="5"/>
        <v>4.0650406504065045E-3</v>
      </c>
      <c r="Z35">
        <f t="shared" si="6"/>
        <v>7.4074074074074077E-3</v>
      </c>
      <c r="AA35">
        <f t="shared" si="7"/>
        <v>1.0676156583629894E-2</v>
      </c>
      <c r="AB35">
        <f t="shared" si="8"/>
        <v>4.1666666666666664E-2</v>
      </c>
      <c r="AC35">
        <f t="shared" si="9"/>
        <v>6.5789473684210523E-2</v>
      </c>
      <c r="AD35">
        <f t="shared" si="10"/>
        <v>7.1428571428571425E-2</v>
      </c>
      <c r="AE35">
        <f t="shared" si="11"/>
        <v>4.6357615894039736E-2</v>
      </c>
    </row>
    <row r="36" spans="2:31">
      <c r="B36" s="1">
        <v>48</v>
      </c>
      <c r="C36" s="2"/>
      <c r="D36" s="2"/>
      <c r="E36" s="2"/>
      <c r="F36" s="2"/>
      <c r="G36" s="2">
        <v>1</v>
      </c>
      <c r="H36" s="2"/>
      <c r="I36" s="2">
        <v>6</v>
      </c>
      <c r="J36" s="2">
        <v>7</v>
      </c>
      <c r="K36" s="2">
        <v>33</v>
      </c>
      <c r="L36" s="2">
        <v>15</v>
      </c>
      <c r="M36" s="2">
        <v>7</v>
      </c>
      <c r="N36" s="2">
        <v>4</v>
      </c>
      <c r="O36" s="1">
        <f t="shared" si="12"/>
        <v>73</v>
      </c>
      <c r="T36">
        <f t="shared" si="1"/>
        <v>48</v>
      </c>
      <c r="U36">
        <v>0</v>
      </c>
      <c r="V36">
        <f t="shared" si="2"/>
        <v>0</v>
      </c>
      <c r="W36">
        <f t="shared" si="3"/>
        <v>0</v>
      </c>
      <c r="X36">
        <f t="shared" si="4"/>
        <v>0</v>
      </c>
      <c r="Y36">
        <f t="shared" si="5"/>
        <v>4.0650406504065045E-3</v>
      </c>
      <c r="Z36">
        <f t="shared" si="6"/>
        <v>0</v>
      </c>
      <c r="AA36">
        <f t="shared" si="7"/>
        <v>2.1352313167259787E-2</v>
      </c>
      <c r="AB36">
        <f t="shared" si="8"/>
        <v>2.2435897435897436E-2</v>
      </c>
      <c r="AC36">
        <f t="shared" si="9"/>
        <v>0.10855263157894737</v>
      </c>
      <c r="AD36">
        <f t="shared" si="10"/>
        <v>6.6964285714285712E-2</v>
      </c>
      <c r="AE36">
        <f t="shared" si="11"/>
        <v>4.6357615894039736E-2</v>
      </c>
    </row>
    <row r="37" spans="2:31">
      <c r="B37" s="1">
        <v>49</v>
      </c>
      <c r="C37" s="2"/>
      <c r="D37" s="2"/>
      <c r="E37" s="2"/>
      <c r="F37" s="2"/>
      <c r="G37" s="2"/>
      <c r="H37" s="2">
        <v>1</v>
      </c>
      <c r="I37" s="2">
        <v>4</v>
      </c>
      <c r="J37" s="2">
        <v>10</v>
      </c>
      <c r="K37" s="2">
        <v>12</v>
      </c>
      <c r="L37" s="2">
        <v>23</v>
      </c>
      <c r="M37" s="2">
        <v>13</v>
      </c>
      <c r="N37" s="2">
        <v>1</v>
      </c>
      <c r="O37" s="1">
        <f t="shared" si="12"/>
        <v>64</v>
      </c>
      <c r="T37">
        <f t="shared" si="1"/>
        <v>49</v>
      </c>
      <c r="U37">
        <v>0</v>
      </c>
      <c r="V37">
        <f t="shared" si="2"/>
        <v>0</v>
      </c>
      <c r="W37">
        <f t="shared" si="3"/>
        <v>0</v>
      </c>
      <c r="X37">
        <f t="shared" si="4"/>
        <v>0</v>
      </c>
      <c r="Y37">
        <f t="shared" si="5"/>
        <v>0</v>
      </c>
      <c r="Z37">
        <f t="shared" si="6"/>
        <v>3.7037037037037038E-3</v>
      </c>
      <c r="AA37">
        <f t="shared" si="7"/>
        <v>1.4234875444839857E-2</v>
      </c>
      <c r="AB37">
        <f t="shared" si="8"/>
        <v>3.2051282051282048E-2</v>
      </c>
      <c r="AC37">
        <f t="shared" si="9"/>
        <v>3.9473684210526314E-2</v>
      </c>
      <c r="AD37">
        <f t="shared" si="10"/>
        <v>0.10267857142857142</v>
      </c>
      <c r="AE37">
        <f t="shared" si="11"/>
        <v>8.6092715231788075E-2</v>
      </c>
    </row>
    <row r="38" spans="2:31">
      <c r="B38" s="1">
        <v>50</v>
      </c>
      <c r="C38" s="2"/>
      <c r="D38" s="2"/>
      <c r="E38" s="2"/>
      <c r="F38" s="2"/>
      <c r="G38" s="2"/>
      <c r="H38" s="2"/>
      <c r="I38" s="2">
        <v>3</v>
      </c>
      <c r="J38" s="2">
        <v>10</v>
      </c>
      <c r="K38" s="2">
        <v>14</v>
      </c>
      <c r="L38" s="2">
        <v>17</v>
      </c>
      <c r="M38" s="2">
        <v>9</v>
      </c>
      <c r="N38" s="2">
        <v>9</v>
      </c>
      <c r="O38" s="1">
        <f t="shared" si="12"/>
        <v>62</v>
      </c>
      <c r="T38">
        <f t="shared" si="1"/>
        <v>50</v>
      </c>
      <c r="U38">
        <v>0</v>
      </c>
      <c r="V38">
        <f t="shared" si="2"/>
        <v>0</v>
      </c>
      <c r="W38">
        <f t="shared" si="3"/>
        <v>0</v>
      </c>
      <c r="X38">
        <f t="shared" si="4"/>
        <v>0</v>
      </c>
      <c r="Y38">
        <f t="shared" si="5"/>
        <v>0</v>
      </c>
      <c r="Z38">
        <f t="shared" si="6"/>
        <v>0</v>
      </c>
      <c r="AA38">
        <f t="shared" si="7"/>
        <v>1.0676156583629894E-2</v>
      </c>
      <c r="AB38">
        <f t="shared" si="8"/>
        <v>3.2051282051282048E-2</v>
      </c>
      <c r="AC38">
        <f t="shared" si="9"/>
        <v>4.6052631578947366E-2</v>
      </c>
      <c r="AD38">
        <f t="shared" si="10"/>
        <v>7.5892857142857137E-2</v>
      </c>
      <c r="AE38">
        <f t="shared" si="11"/>
        <v>5.9602649006622516E-2</v>
      </c>
    </row>
    <row r="39" spans="2:31">
      <c r="B39" s="1">
        <v>51</v>
      </c>
      <c r="C39" s="2"/>
      <c r="D39" s="2"/>
      <c r="E39" s="2"/>
      <c r="F39" s="2"/>
      <c r="G39" s="2"/>
      <c r="H39" s="2">
        <v>1</v>
      </c>
      <c r="I39" s="2">
        <v>1</v>
      </c>
      <c r="J39" s="2">
        <v>8</v>
      </c>
      <c r="K39" s="2">
        <v>20</v>
      </c>
      <c r="L39" s="2">
        <v>16</v>
      </c>
      <c r="M39" s="2">
        <v>12</v>
      </c>
      <c r="N39" s="2">
        <v>9</v>
      </c>
      <c r="O39" s="1">
        <f t="shared" ref="O39:O47" si="13">SUM(C39:N39)</f>
        <v>67</v>
      </c>
      <c r="T39">
        <f t="shared" si="1"/>
        <v>51</v>
      </c>
      <c r="U39">
        <v>0</v>
      </c>
      <c r="V39">
        <f t="shared" si="2"/>
        <v>0</v>
      </c>
      <c r="W39">
        <f t="shared" si="3"/>
        <v>0</v>
      </c>
      <c r="X39">
        <f t="shared" si="4"/>
        <v>0</v>
      </c>
      <c r="Y39">
        <f t="shared" si="5"/>
        <v>0</v>
      </c>
      <c r="Z39">
        <f t="shared" si="6"/>
        <v>3.7037037037037038E-3</v>
      </c>
      <c r="AA39">
        <f t="shared" si="7"/>
        <v>3.5587188612099642E-3</v>
      </c>
      <c r="AB39">
        <f t="shared" si="8"/>
        <v>2.564102564102564E-2</v>
      </c>
      <c r="AC39">
        <f t="shared" si="9"/>
        <v>6.5789473684210523E-2</v>
      </c>
      <c r="AD39">
        <f t="shared" si="10"/>
        <v>7.1428571428571425E-2</v>
      </c>
      <c r="AE39">
        <f t="shared" si="11"/>
        <v>7.9470198675496692E-2</v>
      </c>
    </row>
    <row r="40" spans="2:31">
      <c r="B40" s="1">
        <v>52</v>
      </c>
      <c r="C40" s="2"/>
      <c r="D40" s="2"/>
      <c r="E40" s="2"/>
      <c r="F40" s="2"/>
      <c r="G40" s="2"/>
      <c r="H40" s="2">
        <v>2</v>
      </c>
      <c r="I40" s="2">
        <v>3</v>
      </c>
      <c r="J40" s="2">
        <v>9</v>
      </c>
      <c r="K40" s="2">
        <v>7</v>
      </c>
      <c r="L40" s="2">
        <v>12</v>
      </c>
      <c r="M40" s="2">
        <v>8</v>
      </c>
      <c r="N40" s="2">
        <v>11</v>
      </c>
      <c r="O40" s="1">
        <f t="shared" si="13"/>
        <v>52</v>
      </c>
      <c r="T40">
        <f t="shared" si="1"/>
        <v>52</v>
      </c>
      <c r="U40">
        <v>0</v>
      </c>
      <c r="V40">
        <f t="shared" si="2"/>
        <v>0</v>
      </c>
      <c r="W40">
        <f t="shared" si="3"/>
        <v>0</v>
      </c>
      <c r="X40">
        <f t="shared" si="4"/>
        <v>0</v>
      </c>
      <c r="Y40">
        <f t="shared" si="5"/>
        <v>0</v>
      </c>
      <c r="Z40">
        <f t="shared" si="6"/>
        <v>7.4074074074074077E-3</v>
      </c>
      <c r="AA40">
        <f t="shared" si="7"/>
        <v>1.0676156583629894E-2</v>
      </c>
      <c r="AB40">
        <f t="shared" si="8"/>
        <v>2.8846153846153848E-2</v>
      </c>
      <c r="AC40">
        <f t="shared" si="9"/>
        <v>2.3026315789473683E-2</v>
      </c>
      <c r="AD40">
        <f t="shared" si="10"/>
        <v>5.3571428571428568E-2</v>
      </c>
      <c r="AE40">
        <f t="shared" si="11"/>
        <v>5.2980132450331126E-2</v>
      </c>
    </row>
    <row r="41" spans="2:31">
      <c r="B41" s="1">
        <v>53</v>
      </c>
      <c r="C41" s="2"/>
      <c r="D41" s="2"/>
      <c r="E41" s="2"/>
      <c r="F41" s="2"/>
      <c r="G41" s="2"/>
      <c r="H41" s="2"/>
      <c r="I41" s="2">
        <v>6</v>
      </c>
      <c r="J41" s="2">
        <v>4</v>
      </c>
      <c r="K41" s="2">
        <v>11</v>
      </c>
      <c r="L41" s="2">
        <v>9</v>
      </c>
      <c r="M41" s="2">
        <v>5</v>
      </c>
      <c r="N41" s="2">
        <v>10</v>
      </c>
      <c r="O41" s="1">
        <f t="shared" si="13"/>
        <v>45</v>
      </c>
      <c r="T41">
        <f t="shared" si="1"/>
        <v>53</v>
      </c>
      <c r="U41">
        <v>0</v>
      </c>
      <c r="V41">
        <f t="shared" si="2"/>
        <v>0</v>
      </c>
      <c r="W41">
        <f t="shared" si="3"/>
        <v>0</v>
      </c>
      <c r="X41">
        <f t="shared" si="4"/>
        <v>0</v>
      </c>
      <c r="Y41">
        <f t="shared" si="5"/>
        <v>0</v>
      </c>
      <c r="Z41">
        <f t="shared" si="6"/>
        <v>0</v>
      </c>
      <c r="AA41">
        <f t="shared" si="7"/>
        <v>2.1352313167259787E-2</v>
      </c>
      <c r="AB41">
        <f t="shared" si="8"/>
        <v>1.282051282051282E-2</v>
      </c>
      <c r="AC41">
        <f t="shared" si="9"/>
        <v>3.6184210526315791E-2</v>
      </c>
      <c r="AD41">
        <f t="shared" si="10"/>
        <v>4.0178571428571432E-2</v>
      </c>
      <c r="AE41">
        <f t="shared" si="11"/>
        <v>3.3112582781456956E-2</v>
      </c>
    </row>
    <row r="42" spans="2:31">
      <c r="B42" s="1">
        <v>54</v>
      </c>
      <c r="C42" s="2"/>
      <c r="D42" s="2"/>
      <c r="E42" s="2"/>
      <c r="F42" s="2"/>
      <c r="G42" s="2"/>
      <c r="H42" s="2"/>
      <c r="I42" s="2">
        <v>2</v>
      </c>
      <c r="J42" s="2">
        <v>5</v>
      </c>
      <c r="K42" s="2">
        <v>6</v>
      </c>
      <c r="L42" s="2">
        <v>13</v>
      </c>
      <c r="M42" s="2">
        <v>10</v>
      </c>
      <c r="N42" s="2">
        <v>8</v>
      </c>
      <c r="O42" s="1">
        <f t="shared" si="13"/>
        <v>44</v>
      </c>
      <c r="T42">
        <f t="shared" si="1"/>
        <v>54</v>
      </c>
      <c r="U42">
        <v>0</v>
      </c>
      <c r="V42">
        <f t="shared" si="2"/>
        <v>0</v>
      </c>
      <c r="W42">
        <f t="shared" si="3"/>
        <v>0</v>
      </c>
      <c r="X42">
        <f t="shared" si="4"/>
        <v>0</v>
      </c>
      <c r="Y42">
        <f t="shared" si="5"/>
        <v>0</v>
      </c>
      <c r="Z42">
        <f t="shared" si="6"/>
        <v>0</v>
      </c>
      <c r="AA42">
        <f t="shared" si="7"/>
        <v>7.1174377224199285E-3</v>
      </c>
      <c r="AB42">
        <f t="shared" si="8"/>
        <v>1.6025641025641024E-2</v>
      </c>
      <c r="AC42">
        <f t="shared" si="9"/>
        <v>1.9736842105263157E-2</v>
      </c>
      <c r="AD42">
        <f t="shared" si="10"/>
        <v>5.8035714285714288E-2</v>
      </c>
      <c r="AE42">
        <f t="shared" si="11"/>
        <v>6.6225165562913912E-2</v>
      </c>
    </row>
    <row r="43" spans="2:31">
      <c r="B43" s="1">
        <v>55</v>
      </c>
      <c r="C43" s="2"/>
      <c r="D43" s="2"/>
      <c r="E43" s="2"/>
      <c r="F43" s="2"/>
      <c r="G43" s="2"/>
      <c r="H43" s="2"/>
      <c r="I43" s="2">
        <v>1</v>
      </c>
      <c r="J43" s="2">
        <v>2</v>
      </c>
      <c r="K43" s="2">
        <v>6</v>
      </c>
      <c r="L43" s="2">
        <v>5</v>
      </c>
      <c r="M43" s="2">
        <v>11</v>
      </c>
      <c r="N43" s="2">
        <v>6</v>
      </c>
      <c r="O43" s="1">
        <f t="shared" si="13"/>
        <v>31</v>
      </c>
      <c r="T43">
        <f t="shared" si="1"/>
        <v>55</v>
      </c>
      <c r="U43">
        <v>0</v>
      </c>
      <c r="V43">
        <f t="shared" si="2"/>
        <v>0</v>
      </c>
      <c r="W43">
        <f t="shared" si="3"/>
        <v>0</v>
      </c>
      <c r="X43">
        <f t="shared" si="4"/>
        <v>0</v>
      </c>
      <c r="Y43">
        <f t="shared" si="5"/>
        <v>0</v>
      </c>
      <c r="Z43">
        <f t="shared" si="6"/>
        <v>0</v>
      </c>
      <c r="AA43">
        <f t="shared" si="7"/>
        <v>3.5587188612099642E-3</v>
      </c>
      <c r="AB43">
        <f t="shared" si="8"/>
        <v>6.41025641025641E-3</v>
      </c>
      <c r="AC43">
        <f t="shared" si="9"/>
        <v>1.9736842105263157E-2</v>
      </c>
      <c r="AD43">
        <f t="shared" si="10"/>
        <v>2.2321428571428572E-2</v>
      </c>
      <c r="AE43">
        <f t="shared" si="11"/>
        <v>7.2847682119205295E-2</v>
      </c>
    </row>
    <row r="44" spans="2:31">
      <c r="B44" s="1">
        <v>56</v>
      </c>
      <c r="C44" s="2"/>
      <c r="D44" s="2"/>
      <c r="E44" s="2"/>
      <c r="F44" s="2"/>
      <c r="G44" s="2"/>
      <c r="H44" s="2"/>
      <c r="I44" s="2">
        <v>1</v>
      </c>
      <c r="J44" s="7">
        <v>1</v>
      </c>
      <c r="K44" s="2">
        <v>4</v>
      </c>
      <c r="L44" s="2">
        <v>7</v>
      </c>
      <c r="M44" s="2">
        <v>7</v>
      </c>
      <c r="N44" s="2">
        <v>8</v>
      </c>
      <c r="O44" s="1">
        <f t="shared" si="13"/>
        <v>28</v>
      </c>
      <c r="T44">
        <f t="shared" si="1"/>
        <v>56</v>
      </c>
      <c r="U44">
        <v>0</v>
      </c>
      <c r="V44">
        <f t="shared" si="2"/>
        <v>0</v>
      </c>
      <c r="W44">
        <f t="shared" si="3"/>
        <v>0</v>
      </c>
      <c r="X44">
        <f t="shared" si="4"/>
        <v>0</v>
      </c>
      <c r="Y44">
        <f t="shared" si="5"/>
        <v>0</v>
      </c>
      <c r="Z44">
        <f t="shared" si="6"/>
        <v>0</v>
      </c>
      <c r="AA44">
        <f t="shared" si="7"/>
        <v>3.5587188612099642E-3</v>
      </c>
      <c r="AB44">
        <f t="shared" si="8"/>
        <v>3.205128205128205E-3</v>
      </c>
      <c r="AC44">
        <f t="shared" si="9"/>
        <v>1.3157894736842105E-2</v>
      </c>
      <c r="AD44">
        <f t="shared" si="10"/>
        <v>3.125E-2</v>
      </c>
      <c r="AE44">
        <f t="shared" si="11"/>
        <v>4.6357615894039736E-2</v>
      </c>
    </row>
    <row r="45" spans="2:31">
      <c r="B45" s="1">
        <v>57</v>
      </c>
      <c r="C45" s="2"/>
      <c r="D45" s="2"/>
      <c r="E45" s="2"/>
      <c r="F45" s="2"/>
      <c r="G45" s="2"/>
      <c r="H45" s="2">
        <v>1</v>
      </c>
      <c r="I45" s="2"/>
      <c r="J45" s="2">
        <v>2</v>
      </c>
      <c r="K45" s="2">
        <v>4</v>
      </c>
      <c r="L45" s="2">
        <v>5</v>
      </c>
      <c r="M45" s="2">
        <v>6</v>
      </c>
      <c r="N45" s="2">
        <v>3</v>
      </c>
      <c r="O45" s="1">
        <f t="shared" si="13"/>
        <v>21</v>
      </c>
      <c r="T45">
        <f t="shared" si="1"/>
        <v>57</v>
      </c>
      <c r="U45">
        <v>0</v>
      </c>
      <c r="V45">
        <f t="shared" si="2"/>
        <v>0</v>
      </c>
      <c r="W45">
        <f t="shared" si="3"/>
        <v>0</v>
      </c>
      <c r="X45">
        <f t="shared" si="4"/>
        <v>0</v>
      </c>
      <c r="Y45">
        <f t="shared" si="5"/>
        <v>0</v>
      </c>
      <c r="Z45">
        <f t="shared" si="6"/>
        <v>3.7037037037037038E-3</v>
      </c>
      <c r="AA45">
        <f t="shared" si="7"/>
        <v>0</v>
      </c>
      <c r="AB45">
        <f t="shared" si="8"/>
        <v>6.41025641025641E-3</v>
      </c>
      <c r="AC45">
        <f t="shared" si="9"/>
        <v>1.3157894736842105E-2</v>
      </c>
      <c r="AD45">
        <f t="shared" si="10"/>
        <v>2.2321428571428572E-2</v>
      </c>
      <c r="AE45">
        <f t="shared" si="11"/>
        <v>3.9735099337748346E-2</v>
      </c>
    </row>
    <row r="46" spans="2:31">
      <c r="B46" s="1">
        <v>58</v>
      </c>
      <c r="C46" s="2"/>
      <c r="D46" s="2"/>
      <c r="E46" s="2"/>
      <c r="F46" s="2"/>
      <c r="G46" s="2"/>
      <c r="H46" s="2"/>
      <c r="I46" s="2"/>
      <c r="J46" s="2">
        <v>3</v>
      </c>
      <c r="K46" s="2">
        <v>4</v>
      </c>
      <c r="L46" s="2">
        <v>3</v>
      </c>
      <c r="M46" s="2">
        <v>6</v>
      </c>
      <c r="N46" s="2">
        <v>2</v>
      </c>
      <c r="O46" s="1">
        <f t="shared" si="13"/>
        <v>18</v>
      </c>
      <c r="T46">
        <f t="shared" si="1"/>
        <v>58</v>
      </c>
      <c r="U46">
        <v>0</v>
      </c>
      <c r="V46">
        <f t="shared" si="2"/>
        <v>0</v>
      </c>
      <c r="W46">
        <f t="shared" si="3"/>
        <v>0</v>
      </c>
      <c r="X46">
        <f t="shared" si="4"/>
        <v>0</v>
      </c>
      <c r="Y46">
        <f t="shared" si="5"/>
        <v>0</v>
      </c>
      <c r="Z46">
        <f t="shared" si="6"/>
        <v>0</v>
      </c>
      <c r="AA46">
        <f t="shared" si="7"/>
        <v>0</v>
      </c>
      <c r="AB46">
        <f t="shared" si="8"/>
        <v>9.6153846153846159E-3</v>
      </c>
      <c r="AC46">
        <f t="shared" si="9"/>
        <v>1.3157894736842105E-2</v>
      </c>
      <c r="AD46">
        <f t="shared" si="10"/>
        <v>1.3392857142857142E-2</v>
      </c>
      <c r="AE46">
        <f t="shared" si="11"/>
        <v>3.9735099337748346E-2</v>
      </c>
    </row>
    <row r="47" spans="2:31">
      <c r="B47" s="1">
        <v>59</v>
      </c>
      <c r="C47" s="2"/>
      <c r="D47" s="2"/>
      <c r="E47" s="2"/>
      <c r="F47" s="2"/>
      <c r="G47" s="2"/>
      <c r="H47" s="2">
        <v>1</v>
      </c>
      <c r="I47" s="2"/>
      <c r="J47" s="2"/>
      <c r="K47" s="2">
        <v>3</v>
      </c>
      <c r="L47" s="2">
        <v>4</v>
      </c>
      <c r="M47" s="2">
        <v>4</v>
      </c>
      <c r="N47" s="2">
        <v>4</v>
      </c>
      <c r="O47" s="1">
        <f t="shared" si="13"/>
        <v>16</v>
      </c>
      <c r="T47">
        <f t="shared" si="1"/>
        <v>59</v>
      </c>
      <c r="U47">
        <v>0</v>
      </c>
      <c r="V47">
        <f t="shared" si="2"/>
        <v>0</v>
      </c>
      <c r="W47">
        <f t="shared" si="3"/>
        <v>0</v>
      </c>
      <c r="X47">
        <f t="shared" si="4"/>
        <v>0</v>
      </c>
      <c r="Y47">
        <f t="shared" si="5"/>
        <v>0</v>
      </c>
      <c r="Z47">
        <f t="shared" si="6"/>
        <v>3.7037037037037038E-3</v>
      </c>
      <c r="AA47">
        <f t="shared" si="7"/>
        <v>0</v>
      </c>
      <c r="AB47">
        <f t="shared" si="8"/>
        <v>0</v>
      </c>
      <c r="AC47">
        <f t="shared" si="9"/>
        <v>9.8684210526315784E-3</v>
      </c>
      <c r="AD47">
        <f t="shared" si="10"/>
        <v>1.7857142857142856E-2</v>
      </c>
      <c r="AE47">
        <f t="shared" si="11"/>
        <v>2.6490066225165563E-2</v>
      </c>
    </row>
    <row r="48" spans="2:31">
      <c r="B48" s="1">
        <v>60</v>
      </c>
      <c r="C48" s="7">
        <f>SUM(C50:C57)</f>
        <v>0</v>
      </c>
      <c r="D48" s="11">
        <f t="shared" ref="D48:O48" si="14">SUM(D50:D57)</f>
        <v>0</v>
      </c>
      <c r="E48" s="11">
        <f t="shared" si="14"/>
        <v>0</v>
      </c>
      <c r="F48" s="11">
        <f t="shared" si="14"/>
        <v>0</v>
      </c>
      <c r="G48" s="11">
        <f t="shared" si="14"/>
        <v>0</v>
      </c>
      <c r="H48" s="11">
        <f t="shared" si="14"/>
        <v>0</v>
      </c>
      <c r="I48" s="11">
        <f t="shared" si="14"/>
        <v>3</v>
      </c>
      <c r="J48" s="11">
        <f t="shared" si="14"/>
        <v>1</v>
      </c>
      <c r="K48" s="11">
        <f t="shared" si="14"/>
        <v>9</v>
      </c>
      <c r="L48" s="11">
        <f t="shared" si="14"/>
        <v>6</v>
      </c>
      <c r="M48" s="11">
        <f t="shared" si="14"/>
        <v>11</v>
      </c>
      <c r="N48" s="11">
        <f t="shared" si="14"/>
        <v>12</v>
      </c>
      <c r="O48" s="11">
        <f t="shared" si="14"/>
        <v>32</v>
      </c>
      <c r="T48">
        <f>B50</f>
        <v>60</v>
      </c>
      <c r="U48">
        <v>0</v>
      </c>
      <c r="V48">
        <f t="shared" ref="V48:AE48" si="15">D48/D$49</f>
        <v>0</v>
      </c>
      <c r="W48">
        <f t="shared" si="15"/>
        <v>0</v>
      </c>
      <c r="X48">
        <f t="shared" si="15"/>
        <v>0</v>
      </c>
      <c r="Y48">
        <f t="shared" si="15"/>
        <v>0</v>
      </c>
      <c r="Z48">
        <f t="shared" si="15"/>
        <v>0</v>
      </c>
      <c r="AA48">
        <f t="shared" si="15"/>
        <v>1.0676156583629894E-2</v>
      </c>
      <c r="AB48">
        <f t="shared" si="15"/>
        <v>3.205128205128205E-3</v>
      </c>
      <c r="AC48">
        <f t="shared" si="15"/>
        <v>2.9605263157894735E-2</v>
      </c>
      <c r="AD48">
        <f t="shared" si="15"/>
        <v>2.6785714285714284E-2</v>
      </c>
      <c r="AE48">
        <f t="shared" si="15"/>
        <v>7.2847682119205295E-2</v>
      </c>
    </row>
    <row r="49" spans="2:17">
      <c r="C49" s="7">
        <f>SUM(C5:C48)</f>
        <v>0</v>
      </c>
      <c r="D49" s="11">
        <f t="shared" ref="D49:O49" si="16">SUM(D5:D48)</f>
        <v>1</v>
      </c>
      <c r="E49" s="11">
        <f t="shared" si="16"/>
        <v>29</v>
      </c>
      <c r="F49" s="11">
        <f t="shared" si="16"/>
        <v>113</v>
      </c>
      <c r="G49" s="11">
        <f t="shared" si="16"/>
        <v>246</v>
      </c>
      <c r="H49" s="11">
        <f t="shared" si="16"/>
        <v>270</v>
      </c>
      <c r="I49" s="11">
        <f t="shared" si="16"/>
        <v>281</v>
      </c>
      <c r="J49" s="11">
        <f t="shared" si="16"/>
        <v>312</v>
      </c>
      <c r="K49" s="11">
        <f t="shared" si="16"/>
        <v>304</v>
      </c>
      <c r="L49" s="11">
        <f t="shared" si="16"/>
        <v>224</v>
      </c>
      <c r="M49" s="11">
        <f t="shared" si="16"/>
        <v>151</v>
      </c>
      <c r="N49" s="11">
        <f t="shared" si="16"/>
        <v>113</v>
      </c>
      <c r="O49" s="11">
        <f t="shared" si="16"/>
        <v>2034</v>
      </c>
      <c r="P49" s="2">
        <v>5</v>
      </c>
      <c r="Q49" s="2">
        <v>5</v>
      </c>
    </row>
    <row r="50" spans="2:17">
      <c r="B50" s="1">
        <v>60</v>
      </c>
      <c r="C50" s="2"/>
      <c r="D50" s="2"/>
      <c r="E50" s="2"/>
      <c r="F50" s="2"/>
      <c r="G50" s="2"/>
      <c r="H50" s="2"/>
      <c r="I50" s="2"/>
      <c r="J50" s="2"/>
      <c r="K50" s="2">
        <v>1</v>
      </c>
      <c r="L50" s="2">
        <v>3</v>
      </c>
      <c r="M50" s="2">
        <v>4</v>
      </c>
      <c r="N50" s="2">
        <v>1</v>
      </c>
      <c r="O50" s="1">
        <f>SUM(C50:N50)</f>
        <v>9</v>
      </c>
    </row>
    <row r="51" spans="2:17">
      <c r="B51" s="1">
        <v>61</v>
      </c>
      <c r="C51" s="2"/>
      <c r="D51" s="2"/>
      <c r="E51" s="2"/>
      <c r="F51" s="2"/>
      <c r="G51" s="2"/>
      <c r="H51" s="2"/>
      <c r="I51" s="2"/>
      <c r="J51" s="2"/>
      <c r="K51" s="2">
        <v>4</v>
      </c>
      <c r="L51" s="2">
        <v>1</v>
      </c>
      <c r="M51" s="2">
        <v>5</v>
      </c>
      <c r="N51" s="2">
        <v>5</v>
      </c>
      <c r="O51" s="2">
        <v>5</v>
      </c>
    </row>
    <row r="52" spans="2:17">
      <c r="B52" s="1">
        <v>62</v>
      </c>
      <c r="C52" s="2"/>
      <c r="D52" s="2"/>
      <c r="E52" s="2"/>
      <c r="F52" s="2"/>
      <c r="G52" s="2"/>
      <c r="H52" s="2"/>
      <c r="I52" s="2">
        <v>2</v>
      </c>
      <c r="J52" s="2">
        <v>1</v>
      </c>
      <c r="K52" s="2">
        <v>1</v>
      </c>
      <c r="L52" s="2">
        <v>1</v>
      </c>
      <c r="M52" s="2">
        <v>1</v>
      </c>
      <c r="N52" s="2">
        <v>3</v>
      </c>
      <c r="O52" s="1">
        <f t="shared" ref="O52:O59" si="17">SUM(C52:N52)</f>
        <v>9</v>
      </c>
    </row>
    <row r="53" spans="2:17">
      <c r="B53" s="1">
        <v>63</v>
      </c>
      <c r="C53" s="2"/>
      <c r="D53" s="2"/>
      <c r="E53" s="2"/>
      <c r="F53" s="2"/>
      <c r="G53" s="2"/>
      <c r="H53" s="2"/>
      <c r="I53" s="2"/>
      <c r="J53" s="2"/>
      <c r="K53" s="2">
        <v>1</v>
      </c>
      <c r="L53" s="2">
        <v>1</v>
      </c>
      <c r="M53" s="2"/>
      <c r="N53" s="2">
        <v>2</v>
      </c>
      <c r="O53" s="1">
        <f t="shared" si="17"/>
        <v>4</v>
      </c>
    </row>
    <row r="54" spans="2:17">
      <c r="B54" s="1">
        <v>64</v>
      </c>
      <c r="C54" s="2"/>
      <c r="D54" s="2"/>
      <c r="E54" s="2"/>
      <c r="F54" s="2"/>
      <c r="G54" s="2"/>
      <c r="H54" s="2"/>
      <c r="I54" s="2">
        <v>1</v>
      </c>
      <c r="J54" s="2"/>
      <c r="K54" s="2"/>
      <c r="L54" s="2"/>
      <c r="M54" s="2"/>
      <c r="N54" s="2"/>
      <c r="O54" s="1">
        <f t="shared" si="17"/>
        <v>1</v>
      </c>
    </row>
    <row r="55" spans="2:17">
      <c r="B55" s="1">
        <v>65</v>
      </c>
      <c r="C55" s="2"/>
      <c r="D55" s="2"/>
      <c r="E55" s="2"/>
      <c r="F55" s="2"/>
      <c r="G55" s="2"/>
      <c r="H55" s="2"/>
      <c r="I55" s="2"/>
      <c r="J55" s="2"/>
      <c r="K55" s="2">
        <v>1</v>
      </c>
      <c r="L55" s="2"/>
      <c r="M55" s="2"/>
      <c r="N55" s="2"/>
      <c r="O55" s="1">
        <f t="shared" si="17"/>
        <v>1</v>
      </c>
    </row>
    <row r="56" spans="2:17">
      <c r="B56" s="1">
        <v>66</v>
      </c>
      <c r="C56" s="2"/>
      <c r="D56" s="2"/>
      <c r="E56" s="2"/>
      <c r="F56" s="2"/>
      <c r="G56" s="2"/>
      <c r="H56" s="2"/>
      <c r="I56" s="2"/>
      <c r="J56" s="2"/>
      <c r="K56" s="2">
        <v>1</v>
      </c>
      <c r="L56" s="2"/>
      <c r="M56" s="2">
        <v>1</v>
      </c>
      <c r="N56" s="2"/>
      <c r="O56" s="1">
        <f t="shared" si="17"/>
        <v>2</v>
      </c>
    </row>
    <row r="57" spans="2:17">
      <c r="B57" s="1">
        <v>67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v>1</v>
      </c>
      <c r="O57" s="1">
        <f t="shared" si="17"/>
        <v>1</v>
      </c>
    </row>
    <row r="58" spans="2:17">
      <c r="B58" s="4" t="s">
        <v>7</v>
      </c>
      <c r="C58" s="4">
        <f t="shared" ref="C58:N58" si="18">SUM(C7:C57)</f>
        <v>0</v>
      </c>
      <c r="D58" s="4">
        <f t="shared" si="18"/>
        <v>2</v>
      </c>
      <c r="E58" s="4">
        <f t="shared" si="18"/>
        <v>58</v>
      </c>
      <c r="F58" s="4">
        <f t="shared" si="18"/>
        <v>226</v>
      </c>
      <c r="G58" s="4">
        <f t="shared" si="18"/>
        <v>492</v>
      </c>
      <c r="H58" s="4">
        <f t="shared" si="18"/>
        <v>540</v>
      </c>
      <c r="I58" s="4">
        <f t="shared" si="18"/>
        <v>565</v>
      </c>
      <c r="J58" s="4">
        <f t="shared" si="18"/>
        <v>625</v>
      </c>
      <c r="K58" s="4">
        <f t="shared" si="18"/>
        <v>617</v>
      </c>
      <c r="L58" s="4">
        <f t="shared" si="18"/>
        <v>454</v>
      </c>
      <c r="M58" s="4">
        <f t="shared" si="18"/>
        <v>313</v>
      </c>
      <c r="N58" s="4">
        <f t="shared" si="18"/>
        <v>238</v>
      </c>
      <c r="O58" s="4">
        <f t="shared" si="17"/>
        <v>4130</v>
      </c>
    </row>
    <row r="59" spans="2:17">
      <c r="B59" s="5" t="s">
        <v>8</v>
      </c>
      <c r="C59" s="6">
        <f t="shared" ref="C59:N59" si="19">(C58/$O$58)*100</f>
        <v>0</v>
      </c>
      <c r="D59" s="6">
        <f t="shared" si="19"/>
        <v>4.8426150121065374E-2</v>
      </c>
      <c r="E59" s="6">
        <f t="shared" si="19"/>
        <v>1.4043583535108959</v>
      </c>
      <c r="F59" s="6">
        <f t="shared" si="19"/>
        <v>5.4721549636803877</v>
      </c>
      <c r="G59" s="6">
        <f t="shared" si="19"/>
        <v>11.912832929782082</v>
      </c>
      <c r="H59" s="6">
        <f t="shared" si="19"/>
        <v>13.075060532687651</v>
      </c>
      <c r="I59" s="6">
        <f t="shared" si="19"/>
        <v>13.68038740920097</v>
      </c>
      <c r="J59" s="6">
        <f t="shared" si="19"/>
        <v>15.13317191283293</v>
      </c>
      <c r="K59" s="6">
        <f t="shared" si="19"/>
        <v>14.939467312348667</v>
      </c>
      <c r="L59" s="6">
        <f t="shared" si="19"/>
        <v>10.99273607748184</v>
      </c>
      <c r="M59" s="6">
        <f t="shared" si="19"/>
        <v>7.5786924939467317</v>
      </c>
      <c r="N59" s="6">
        <f t="shared" si="19"/>
        <v>5.7627118644067794</v>
      </c>
      <c r="O59" s="6">
        <f t="shared" si="17"/>
        <v>100</v>
      </c>
    </row>
    <row r="61" spans="2:17">
      <c r="C61" s="8"/>
      <c r="D61" s="8">
        <f t="shared" ref="D61:N61" si="20">SUMPRODUCT($B7:$B57,D7:D57)/SUM(D7:D57)</f>
        <v>9.5</v>
      </c>
      <c r="E61" s="8">
        <f t="shared" si="20"/>
        <v>14.46551724137931</v>
      </c>
      <c r="F61" s="8">
        <f t="shared" si="20"/>
        <v>15.11504424778761</v>
      </c>
      <c r="G61" s="8">
        <f t="shared" si="20"/>
        <v>16.168699186991869</v>
      </c>
      <c r="H61" s="8">
        <f t="shared" si="20"/>
        <v>17.69074074074074</v>
      </c>
      <c r="I61" s="8">
        <f t="shared" si="20"/>
        <v>19.897345132743364</v>
      </c>
      <c r="J61" s="8">
        <f t="shared" si="20"/>
        <v>21.235199999999999</v>
      </c>
      <c r="K61" s="8">
        <f t="shared" si="20"/>
        <v>23.931928687196109</v>
      </c>
      <c r="L61" s="8">
        <f t="shared" si="20"/>
        <v>24.852422907488986</v>
      </c>
      <c r="M61" s="8">
        <f t="shared" si="20"/>
        <v>26.651757188498401</v>
      </c>
      <c r="N61" s="8">
        <f t="shared" si="20"/>
        <v>27.8781512605042</v>
      </c>
    </row>
  </sheetData>
  <mergeCells count="1">
    <mergeCell ref="B2:O2"/>
  </mergeCells>
  <phoneticPr fontId="0" type="noConversion"/>
  <pageMargins left="0.75" right="0.75" top="1" bottom="1" header="0" footer="0"/>
  <headerFooter alignWithMargins="0"/>
  <ignoredErrors>
    <ignoredError sqref="O7:O47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32"/>
  <sheetViews>
    <sheetView workbookViewId="0">
      <selection activeCell="K66" sqref="K66"/>
    </sheetView>
  </sheetViews>
  <sheetFormatPr defaultColWidth="9.08984375" defaultRowHeight="12.5"/>
  <cols>
    <col min="1" max="1" width="11.453125" style="12" customWidth="1"/>
    <col min="2" max="14" width="7.6328125" style="12" customWidth="1"/>
    <col min="15" max="256" width="11.453125" style="12" customWidth="1"/>
    <col min="257" max="16384" width="9.08984375" style="12"/>
  </cols>
  <sheetData>
    <row r="1" spans="2:31" ht="21" customHeight="1"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3" spans="2:31">
      <c r="B3" s="17" t="s">
        <v>23</v>
      </c>
      <c r="C3" s="18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29" t="s">
        <v>9</v>
      </c>
      <c r="J3" s="29" t="s">
        <v>10</v>
      </c>
      <c r="K3" s="29" t="s">
        <v>11</v>
      </c>
      <c r="L3" s="27" t="s">
        <v>12</v>
      </c>
      <c r="M3" s="27" t="s">
        <v>13</v>
      </c>
      <c r="N3" s="26" t="s">
        <v>7</v>
      </c>
    </row>
    <row r="4" spans="2:31">
      <c r="B4" s="19">
        <f t="shared" ref="B4:B11" si="0">B5-1</f>
        <v>17</v>
      </c>
      <c r="C4" s="47"/>
      <c r="D4" s="34"/>
      <c r="E4" s="34"/>
      <c r="F4" s="34"/>
      <c r="G4" s="34"/>
      <c r="H4" s="34"/>
      <c r="I4" s="34"/>
      <c r="J4" s="34"/>
      <c r="K4" s="34"/>
      <c r="L4" s="46"/>
      <c r="M4" s="46"/>
      <c r="N4" s="42"/>
      <c r="T4" s="12">
        <f t="shared" ref="T4:T47" si="1">B4</f>
        <v>17</v>
      </c>
      <c r="U4" s="12" t="e">
        <f>C4/C$48</f>
        <v>#DIV/0!</v>
      </c>
      <c r="V4" s="12">
        <f t="shared" ref="V4:V47" si="2">D4/D$48</f>
        <v>0</v>
      </c>
      <c r="W4" s="12">
        <f t="shared" ref="W4:W47" si="3">E4/E$48</f>
        <v>0</v>
      </c>
      <c r="X4" s="12">
        <f t="shared" ref="X4:X47" si="4">F4/F$48</f>
        <v>0</v>
      </c>
      <c r="Y4" s="12">
        <f t="shared" ref="Y4:Y47" si="5">G4/G$48</f>
        <v>0</v>
      </c>
      <c r="Z4" s="12">
        <f t="shared" ref="Z4:Z47" si="6">H4/H$48</f>
        <v>0</v>
      </c>
      <c r="AA4" s="12">
        <f t="shared" ref="AA4:AA47" si="7">I4/I$48</f>
        <v>0</v>
      </c>
      <c r="AB4" s="12">
        <f t="shared" ref="AB4:AB47" si="8">J4/J$48</f>
        <v>0</v>
      </c>
      <c r="AC4" s="12">
        <f t="shared" ref="AC4:AC47" si="9">K4/K$48</f>
        <v>0</v>
      </c>
      <c r="AD4" s="12">
        <f t="shared" ref="AD4:AD47" si="10">L4/L$48</f>
        <v>0</v>
      </c>
      <c r="AE4" s="12" t="e">
        <f t="shared" ref="AE4:AE47" si="11">M4/M$48</f>
        <v>#DIV/0!</v>
      </c>
    </row>
    <row r="5" spans="2:31">
      <c r="B5" s="19">
        <f t="shared" si="0"/>
        <v>18</v>
      </c>
      <c r="C5" s="47"/>
      <c r="D5" s="34"/>
      <c r="E5" s="34"/>
      <c r="F5" s="34"/>
      <c r="G5" s="34"/>
      <c r="H5" s="34"/>
      <c r="I5" s="34"/>
      <c r="J5" s="34"/>
      <c r="K5" s="34"/>
      <c r="L5" s="46"/>
      <c r="M5" s="46"/>
      <c r="N5" s="42"/>
      <c r="T5" s="12">
        <f t="shared" si="1"/>
        <v>18</v>
      </c>
      <c r="U5" s="12" t="e">
        <f t="shared" ref="U5:U47" si="12">C5/C$48</f>
        <v>#DIV/0!</v>
      </c>
      <c r="V5" s="12">
        <f t="shared" si="2"/>
        <v>0</v>
      </c>
      <c r="W5" s="12">
        <f t="shared" si="3"/>
        <v>0</v>
      </c>
      <c r="X5" s="12">
        <f t="shared" si="4"/>
        <v>0</v>
      </c>
      <c r="Y5" s="12">
        <f t="shared" si="5"/>
        <v>0</v>
      </c>
      <c r="Z5" s="12">
        <f t="shared" si="6"/>
        <v>0</v>
      </c>
      <c r="AA5" s="12">
        <f t="shared" si="7"/>
        <v>0</v>
      </c>
      <c r="AB5" s="12">
        <f t="shared" si="8"/>
        <v>0</v>
      </c>
      <c r="AC5" s="12">
        <f t="shared" si="9"/>
        <v>0</v>
      </c>
      <c r="AD5" s="12">
        <f t="shared" si="10"/>
        <v>0</v>
      </c>
      <c r="AE5" s="12" t="e">
        <f t="shared" si="11"/>
        <v>#DIV/0!</v>
      </c>
    </row>
    <row r="6" spans="2:31">
      <c r="B6" s="19">
        <f t="shared" si="0"/>
        <v>19</v>
      </c>
      <c r="C6" s="47"/>
      <c r="D6" s="34"/>
      <c r="E6" s="34"/>
      <c r="F6" s="34"/>
      <c r="G6" s="34"/>
      <c r="H6" s="34"/>
      <c r="I6" s="34"/>
      <c r="J6" s="34"/>
      <c r="K6" s="34"/>
      <c r="L6" s="46"/>
      <c r="M6" s="46"/>
      <c r="N6" s="42"/>
      <c r="T6" s="12">
        <f t="shared" si="1"/>
        <v>19</v>
      </c>
      <c r="U6" s="12" t="e">
        <f t="shared" si="12"/>
        <v>#DIV/0!</v>
      </c>
      <c r="V6" s="12">
        <f t="shared" si="2"/>
        <v>0</v>
      </c>
      <c r="W6" s="12">
        <f t="shared" si="3"/>
        <v>0</v>
      </c>
      <c r="X6" s="12">
        <f t="shared" si="4"/>
        <v>0</v>
      </c>
      <c r="Y6" s="12">
        <f t="shared" si="5"/>
        <v>0</v>
      </c>
      <c r="Z6" s="12">
        <f t="shared" si="6"/>
        <v>0</v>
      </c>
      <c r="AA6" s="12">
        <f t="shared" si="7"/>
        <v>0</v>
      </c>
      <c r="AB6" s="12">
        <f t="shared" si="8"/>
        <v>0</v>
      </c>
      <c r="AC6" s="12">
        <f t="shared" si="9"/>
        <v>0</v>
      </c>
      <c r="AD6" s="12">
        <f t="shared" si="10"/>
        <v>0</v>
      </c>
      <c r="AE6" s="12" t="e">
        <f t="shared" si="11"/>
        <v>#DIV/0!</v>
      </c>
    </row>
    <row r="7" spans="2:31">
      <c r="B7" s="19">
        <f t="shared" si="0"/>
        <v>20</v>
      </c>
      <c r="C7" s="47"/>
      <c r="D7" s="34"/>
      <c r="E7" s="34"/>
      <c r="F7" s="34"/>
      <c r="G7" s="34"/>
      <c r="H7" s="34"/>
      <c r="I7" s="34"/>
      <c r="J7" s="34"/>
      <c r="K7" s="34"/>
      <c r="L7" s="46"/>
      <c r="M7" s="46"/>
      <c r="N7" s="42"/>
      <c r="T7" s="12">
        <f t="shared" si="1"/>
        <v>20</v>
      </c>
      <c r="U7" s="12" t="e">
        <f t="shared" si="12"/>
        <v>#DIV/0!</v>
      </c>
      <c r="V7" s="12">
        <f t="shared" si="2"/>
        <v>0</v>
      </c>
      <c r="W7" s="12">
        <f t="shared" si="3"/>
        <v>0</v>
      </c>
      <c r="X7" s="12">
        <f t="shared" si="4"/>
        <v>0</v>
      </c>
      <c r="Y7" s="12">
        <f t="shared" si="5"/>
        <v>0</v>
      </c>
      <c r="Z7" s="12">
        <f t="shared" si="6"/>
        <v>0</v>
      </c>
      <c r="AA7" s="12">
        <f t="shared" si="7"/>
        <v>0</v>
      </c>
      <c r="AB7" s="12">
        <f t="shared" si="8"/>
        <v>0</v>
      </c>
      <c r="AC7" s="12">
        <f t="shared" si="9"/>
        <v>0</v>
      </c>
      <c r="AD7" s="12">
        <f t="shared" si="10"/>
        <v>0</v>
      </c>
      <c r="AE7" s="12" t="e">
        <f t="shared" si="11"/>
        <v>#DIV/0!</v>
      </c>
    </row>
    <row r="8" spans="2:31">
      <c r="B8" s="19">
        <f t="shared" si="0"/>
        <v>21</v>
      </c>
      <c r="C8" s="47"/>
      <c r="D8" s="34"/>
      <c r="E8" s="34"/>
      <c r="F8" s="34"/>
      <c r="G8" s="34"/>
      <c r="H8" s="34"/>
      <c r="I8" s="34"/>
      <c r="J8" s="34"/>
      <c r="K8" s="34"/>
      <c r="L8" s="46"/>
      <c r="M8" s="46"/>
      <c r="N8" s="42"/>
      <c r="T8" s="12">
        <f t="shared" si="1"/>
        <v>21</v>
      </c>
      <c r="U8" s="12" t="e">
        <f t="shared" si="12"/>
        <v>#DIV/0!</v>
      </c>
      <c r="V8" s="12">
        <f t="shared" si="2"/>
        <v>0</v>
      </c>
      <c r="W8" s="12">
        <f t="shared" si="3"/>
        <v>0</v>
      </c>
      <c r="X8" s="12">
        <f t="shared" si="4"/>
        <v>0</v>
      </c>
      <c r="Y8" s="12">
        <f t="shared" si="5"/>
        <v>0</v>
      </c>
      <c r="Z8" s="12">
        <f t="shared" si="6"/>
        <v>0</v>
      </c>
      <c r="AA8" s="12">
        <f t="shared" si="7"/>
        <v>0</v>
      </c>
      <c r="AB8" s="12">
        <f t="shared" si="8"/>
        <v>0</v>
      </c>
      <c r="AC8" s="12">
        <f t="shared" si="9"/>
        <v>0</v>
      </c>
      <c r="AD8" s="12">
        <f t="shared" si="10"/>
        <v>0</v>
      </c>
      <c r="AE8" s="12" t="e">
        <f t="shared" si="11"/>
        <v>#DIV/0!</v>
      </c>
    </row>
    <row r="9" spans="2:31">
      <c r="B9" s="19">
        <f t="shared" si="0"/>
        <v>22</v>
      </c>
      <c r="C9" s="47"/>
      <c r="D9" s="34"/>
      <c r="E9" s="34"/>
      <c r="F9" s="34"/>
      <c r="G9" s="34"/>
      <c r="H9" s="34"/>
      <c r="I9" s="34"/>
      <c r="J9" s="34"/>
      <c r="K9" s="34"/>
      <c r="L9" s="46"/>
      <c r="M9" s="46"/>
      <c r="N9" s="42"/>
      <c r="T9" s="12">
        <f t="shared" si="1"/>
        <v>22</v>
      </c>
      <c r="U9" s="12" t="e">
        <f t="shared" si="12"/>
        <v>#DIV/0!</v>
      </c>
      <c r="V9" s="12">
        <f t="shared" si="2"/>
        <v>0</v>
      </c>
      <c r="W9" s="12">
        <f t="shared" si="3"/>
        <v>0</v>
      </c>
      <c r="X9" s="12">
        <f t="shared" si="4"/>
        <v>0</v>
      </c>
      <c r="Y9" s="12">
        <f t="shared" si="5"/>
        <v>0</v>
      </c>
      <c r="Z9" s="12">
        <f t="shared" si="6"/>
        <v>0</v>
      </c>
      <c r="AA9" s="12">
        <f t="shared" si="7"/>
        <v>0</v>
      </c>
      <c r="AB9" s="12">
        <f t="shared" si="8"/>
        <v>0</v>
      </c>
      <c r="AC9" s="12">
        <f t="shared" si="9"/>
        <v>0</v>
      </c>
      <c r="AD9" s="12">
        <f t="shared" si="10"/>
        <v>0</v>
      </c>
      <c r="AE9" s="12" t="e">
        <f t="shared" si="11"/>
        <v>#DIV/0!</v>
      </c>
    </row>
    <row r="10" spans="2:31">
      <c r="B10" s="19">
        <f t="shared" si="0"/>
        <v>23</v>
      </c>
      <c r="C10" s="47"/>
      <c r="D10" s="34"/>
      <c r="E10" s="34"/>
      <c r="F10" s="34"/>
      <c r="G10" s="34"/>
      <c r="H10" s="34"/>
      <c r="I10" s="34"/>
      <c r="J10" s="34"/>
      <c r="K10" s="34"/>
      <c r="L10" s="46"/>
      <c r="M10" s="46"/>
      <c r="N10" s="42"/>
      <c r="T10" s="12">
        <f t="shared" si="1"/>
        <v>23</v>
      </c>
      <c r="U10" s="12" t="e">
        <f t="shared" si="12"/>
        <v>#DIV/0!</v>
      </c>
      <c r="V10" s="12">
        <f t="shared" si="2"/>
        <v>0</v>
      </c>
      <c r="W10" s="12">
        <f t="shared" si="3"/>
        <v>0</v>
      </c>
      <c r="X10" s="12">
        <f t="shared" si="4"/>
        <v>0</v>
      </c>
      <c r="Y10" s="12">
        <f t="shared" si="5"/>
        <v>0</v>
      </c>
      <c r="Z10" s="12">
        <f t="shared" si="6"/>
        <v>0</v>
      </c>
      <c r="AA10" s="12">
        <f t="shared" si="7"/>
        <v>0</v>
      </c>
      <c r="AB10" s="12">
        <f t="shared" si="8"/>
        <v>0</v>
      </c>
      <c r="AC10" s="12">
        <f t="shared" si="9"/>
        <v>0</v>
      </c>
      <c r="AD10" s="12">
        <f t="shared" si="10"/>
        <v>0</v>
      </c>
      <c r="AE10" s="12" t="e">
        <f t="shared" si="11"/>
        <v>#DIV/0!</v>
      </c>
    </row>
    <row r="11" spans="2:31">
      <c r="B11" s="19">
        <f t="shared" si="0"/>
        <v>24</v>
      </c>
      <c r="C11" s="47"/>
      <c r="D11" s="34"/>
      <c r="E11" s="34"/>
      <c r="F11" s="34"/>
      <c r="G11" s="34"/>
      <c r="H11" s="34"/>
      <c r="I11" s="34"/>
      <c r="J11" s="34"/>
      <c r="K11" s="34"/>
      <c r="L11" s="46"/>
      <c r="M11" s="46"/>
      <c r="N11" s="42"/>
      <c r="T11" s="12">
        <f t="shared" si="1"/>
        <v>24</v>
      </c>
      <c r="U11" s="12" t="e">
        <f t="shared" si="12"/>
        <v>#DIV/0!</v>
      </c>
      <c r="V11" s="12">
        <f t="shared" si="2"/>
        <v>0</v>
      </c>
      <c r="W11" s="12">
        <f t="shared" si="3"/>
        <v>0</v>
      </c>
      <c r="X11" s="12">
        <f t="shared" si="4"/>
        <v>0</v>
      </c>
      <c r="Y11" s="12">
        <f t="shared" si="5"/>
        <v>0</v>
      </c>
      <c r="Z11" s="12">
        <f t="shared" si="6"/>
        <v>0</v>
      </c>
      <c r="AA11" s="12">
        <f t="shared" si="7"/>
        <v>0</v>
      </c>
      <c r="AB11" s="12">
        <f t="shared" si="8"/>
        <v>0</v>
      </c>
      <c r="AC11" s="12">
        <f t="shared" si="9"/>
        <v>0</v>
      </c>
      <c r="AD11" s="12">
        <f t="shared" si="10"/>
        <v>0</v>
      </c>
      <c r="AE11" s="12" t="e">
        <f t="shared" si="11"/>
        <v>#DIV/0!</v>
      </c>
    </row>
    <row r="12" spans="2:31">
      <c r="B12" s="19">
        <v>25</v>
      </c>
      <c r="C12" s="47"/>
      <c r="D12" s="34"/>
      <c r="E12" s="34">
        <v>1</v>
      </c>
      <c r="F12" s="34"/>
      <c r="G12" s="34"/>
      <c r="H12" s="34"/>
      <c r="I12" s="34"/>
      <c r="J12" s="34"/>
      <c r="K12" s="34"/>
      <c r="L12" s="46"/>
      <c r="M12" s="46"/>
      <c r="N12" s="42">
        <f t="shared" ref="N12:N38" si="13">SUM(C12:L12)</f>
        <v>1</v>
      </c>
      <c r="T12" s="12">
        <f t="shared" si="1"/>
        <v>25</v>
      </c>
      <c r="U12" s="12" t="e">
        <f t="shared" si="12"/>
        <v>#DIV/0!</v>
      </c>
      <c r="V12" s="12">
        <f t="shared" si="2"/>
        <v>0</v>
      </c>
      <c r="W12" s="12">
        <f t="shared" si="3"/>
        <v>1.1111111111111112E-2</v>
      </c>
      <c r="X12" s="12">
        <f t="shared" si="4"/>
        <v>0</v>
      </c>
      <c r="Y12" s="12">
        <f t="shared" si="5"/>
        <v>0</v>
      </c>
      <c r="Z12" s="12">
        <f t="shared" si="6"/>
        <v>0</v>
      </c>
      <c r="AA12" s="12">
        <f t="shared" si="7"/>
        <v>0</v>
      </c>
      <c r="AB12" s="12">
        <f t="shared" si="8"/>
        <v>0</v>
      </c>
      <c r="AC12" s="12">
        <f t="shared" si="9"/>
        <v>0</v>
      </c>
      <c r="AD12" s="12">
        <f t="shared" si="10"/>
        <v>0</v>
      </c>
      <c r="AE12" s="12" t="e">
        <f t="shared" si="11"/>
        <v>#DIV/0!</v>
      </c>
    </row>
    <row r="13" spans="2:31">
      <c r="B13" s="19">
        <v>26</v>
      </c>
      <c r="C13" s="47"/>
      <c r="D13" s="34">
        <v>2</v>
      </c>
      <c r="E13" s="34">
        <v>6</v>
      </c>
      <c r="F13" s="34">
        <v>3</v>
      </c>
      <c r="G13" s="34"/>
      <c r="H13" s="34"/>
      <c r="I13" s="34"/>
      <c r="J13" s="34"/>
      <c r="K13" s="34"/>
      <c r="L13" s="46"/>
      <c r="M13" s="46"/>
      <c r="N13" s="42">
        <f t="shared" si="13"/>
        <v>11</v>
      </c>
      <c r="T13" s="12">
        <f t="shared" si="1"/>
        <v>26</v>
      </c>
      <c r="U13" s="12" t="e">
        <f t="shared" si="12"/>
        <v>#DIV/0!</v>
      </c>
      <c r="V13" s="12">
        <f t="shared" si="2"/>
        <v>0.22222222222222221</v>
      </c>
      <c r="W13" s="12">
        <f t="shared" si="3"/>
        <v>6.6666666666666666E-2</v>
      </c>
      <c r="X13" s="12">
        <f t="shared" si="4"/>
        <v>2.0689655172413793E-2</v>
      </c>
      <c r="Y13" s="12">
        <f t="shared" si="5"/>
        <v>0</v>
      </c>
      <c r="Z13" s="12">
        <f t="shared" si="6"/>
        <v>0</v>
      </c>
      <c r="AA13" s="12">
        <f t="shared" si="7"/>
        <v>0</v>
      </c>
      <c r="AB13" s="12">
        <f t="shared" si="8"/>
        <v>0</v>
      </c>
      <c r="AC13" s="12">
        <f t="shared" si="9"/>
        <v>0</v>
      </c>
      <c r="AD13" s="12">
        <f t="shared" si="10"/>
        <v>0</v>
      </c>
      <c r="AE13" s="12" t="e">
        <f t="shared" si="11"/>
        <v>#DIV/0!</v>
      </c>
    </row>
    <row r="14" spans="2:31">
      <c r="B14" s="19">
        <v>27</v>
      </c>
      <c r="C14" s="47"/>
      <c r="D14" s="34">
        <v>5</v>
      </c>
      <c r="E14" s="34">
        <v>12</v>
      </c>
      <c r="F14" s="34">
        <v>4</v>
      </c>
      <c r="G14" s="34"/>
      <c r="H14" s="34"/>
      <c r="I14" s="34"/>
      <c r="J14" s="34"/>
      <c r="K14" s="34"/>
      <c r="L14" s="46"/>
      <c r="M14" s="46"/>
      <c r="N14" s="42">
        <f t="shared" si="13"/>
        <v>21</v>
      </c>
      <c r="T14" s="12">
        <f t="shared" si="1"/>
        <v>27</v>
      </c>
      <c r="U14" s="12" t="e">
        <f t="shared" si="12"/>
        <v>#DIV/0!</v>
      </c>
      <c r="V14" s="12">
        <f t="shared" si="2"/>
        <v>0.55555555555555558</v>
      </c>
      <c r="W14" s="12">
        <f t="shared" si="3"/>
        <v>0.13333333333333333</v>
      </c>
      <c r="X14" s="12">
        <f t="shared" si="4"/>
        <v>2.7586206896551724E-2</v>
      </c>
      <c r="Y14" s="12">
        <f t="shared" si="5"/>
        <v>0</v>
      </c>
      <c r="Z14" s="12">
        <f t="shared" si="6"/>
        <v>0</v>
      </c>
      <c r="AA14" s="12">
        <f t="shared" si="7"/>
        <v>0</v>
      </c>
      <c r="AB14" s="12">
        <f t="shared" si="8"/>
        <v>0</v>
      </c>
      <c r="AC14" s="12">
        <f t="shared" si="9"/>
        <v>0</v>
      </c>
      <c r="AD14" s="12">
        <f t="shared" si="10"/>
        <v>0</v>
      </c>
      <c r="AE14" s="12" t="e">
        <f t="shared" si="11"/>
        <v>#DIV/0!</v>
      </c>
    </row>
    <row r="15" spans="2:31">
      <c r="B15" s="19">
        <v>28</v>
      </c>
      <c r="C15" s="47"/>
      <c r="D15" s="34">
        <v>2</v>
      </c>
      <c r="E15" s="34">
        <v>23</v>
      </c>
      <c r="F15" s="34">
        <v>12</v>
      </c>
      <c r="G15" s="34"/>
      <c r="H15" s="34"/>
      <c r="I15" s="34"/>
      <c r="J15" s="34"/>
      <c r="K15" s="34"/>
      <c r="L15" s="46"/>
      <c r="M15" s="46"/>
      <c r="N15" s="42">
        <f t="shared" si="13"/>
        <v>37</v>
      </c>
      <c r="T15" s="12">
        <f t="shared" si="1"/>
        <v>28</v>
      </c>
      <c r="U15" s="12" t="e">
        <f t="shared" si="12"/>
        <v>#DIV/0!</v>
      </c>
      <c r="V15" s="12">
        <f t="shared" si="2"/>
        <v>0.22222222222222221</v>
      </c>
      <c r="W15" s="12">
        <f t="shared" si="3"/>
        <v>0.25555555555555554</v>
      </c>
      <c r="X15" s="12">
        <f t="shared" si="4"/>
        <v>8.2758620689655171E-2</v>
      </c>
      <c r="Y15" s="12">
        <f t="shared" si="5"/>
        <v>0</v>
      </c>
      <c r="Z15" s="12">
        <f t="shared" si="6"/>
        <v>0</v>
      </c>
      <c r="AA15" s="12">
        <f t="shared" si="7"/>
        <v>0</v>
      </c>
      <c r="AB15" s="12">
        <f t="shared" si="8"/>
        <v>0</v>
      </c>
      <c r="AC15" s="12">
        <f t="shared" si="9"/>
        <v>0</v>
      </c>
      <c r="AD15" s="12">
        <f t="shared" si="10"/>
        <v>0</v>
      </c>
      <c r="AE15" s="12" t="e">
        <f t="shared" si="11"/>
        <v>#DIV/0!</v>
      </c>
    </row>
    <row r="16" spans="2:31">
      <c r="B16" s="19">
        <v>29</v>
      </c>
      <c r="C16" s="47"/>
      <c r="D16" s="34"/>
      <c r="E16" s="33">
        <v>25</v>
      </c>
      <c r="F16" s="33">
        <v>21</v>
      </c>
      <c r="G16" s="34"/>
      <c r="H16" s="34"/>
      <c r="I16" s="34"/>
      <c r="J16" s="34"/>
      <c r="K16" s="34"/>
      <c r="L16" s="46"/>
      <c r="M16" s="46"/>
      <c r="N16" s="42">
        <f t="shared" si="13"/>
        <v>46</v>
      </c>
      <c r="T16" s="12">
        <f t="shared" si="1"/>
        <v>29</v>
      </c>
      <c r="U16" s="12" t="e">
        <f t="shared" si="12"/>
        <v>#DIV/0!</v>
      </c>
      <c r="V16" s="12">
        <f t="shared" si="2"/>
        <v>0</v>
      </c>
      <c r="W16" s="12">
        <f t="shared" si="3"/>
        <v>0.27777777777777779</v>
      </c>
      <c r="X16" s="12">
        <f t="shared" si="4"/>
        <v>0.14482758620689656</v>
      </c>
      <c r="Y16" s="12">
        <f t="shared" si="5"/>
        <v>0</v>
      </c>
      <c r="Z16" s="12">
        <f t="shared" si="6"/>
        <v>0</v>
      </c>
      <c r="AA16" s="12">
        <f t="shared" si="7"/>
        <v>0</v>
      </c>
      <c r="AB16" s="12">
        <f t="shared" si="8"/>
        <v>0</v>
      </c>
      <c r="AC16" s="12">
        <f t="shared" si="9"/>
        <v>0</v>
      </c>
      <c r="AD16" s="12">
        <f t="shared" si="10"/>
        <v>0</v>
      </c>
      <c r="AE16" s="12" t="e">
        <f t="shared" si="11"/>
        <v>#DIV/0!</v>
      </c>
    </row>
    <row r="17" spans="2:31">
      <c r="B17" s="19">
        <v>30</v>
      </c>
      <c r="C17" s="47"/>
      <c r="D17" s="34"/>
      <c r="E17" s="33">
        <v>17</v>
      </c>
      <c r="F17" s="33">
        <v>44</v>
      </c>
      <c r="G17" s="33">
        <v>4</v>
      </c>
      <c r="H17" s="34"/>
      <c r="I17" s="34"/>
      <c r="J17" s="34"/>
      <c r="K17" s="34"/>
      <c r="L17" s="46"/>
      <c r="M17" s="46"/>
      <c r="N17" s="42">
        <f t="shared" si="13"/>
        <v>65</v>
      </c>
      <c r="T17" s="12">
        <f t="shared" si="1"/>
        <v>30</v>
      </c>
      <c r="U17" s="12" t="e">
        <f t="shared" si="12"/>
        <v>#DIV/0!</v>
      </c>
      <c r="V17" s="12">
        <f t="shared" si="2"/>
        <v>0</v>
      </c>
      <c r="W17" s="12">
        <f t="shared" si="3"/>
        <v>0.18888888888888888</v>
      </c>
      <c r="X17" s="12">
        <f t="shared" si="4"/>
        <v>0.30344827586206896</v>
      </c>
      <c r="Y17" s="12">
        <f t="shared" si="5"/>
        <v>3.7383177570093455E-2</v>
      </c>
      <c r="Z17" s="12">
        <f t="shared" si="6"/>
        <v>0</v>
      </c>
      <c r="AA17" s="12">
        <f t="shared" si="7"/>
        <v>0</v>
      </c>
      <c r="AB17" s="12">
        <f t="shared" si="8"/>
        <v>0</v>
      </c>
      <c r="AC17" s="12">
        <f t="shared" si="9"/>
        <v>0</v>
      </c>
      <c r="AD17" s="12">
        <f t="shared" si="10"/>
        <v>0</v>
      </c>
      <c r="AE17" s="12" t="e">
        <f t="shared" si="11"/>
        <v>#DIV/0!</v>
      </c>
    </row>
    <row r="18" spans="2:31">
      <c r="B18" s="19">
        <v>31</v>
      </c>
      <c r="C18" s="47"/>
      <c r="D18" s="34"/>
      <c r="E18" s="33">
        <v>6</v>
      </c>
      <c r="F18" s="33">
        <v>36</v>
      </c>
      <c r="G18" s="33">
        <v>17</v>
      </c>
      <c r="H18" s="34"/>
      <c r="I18" s="34"/>
      <c r="J18" s="34"/>
      <c r="K18" s="34"/>
      <c r="L18" s="46"/>
      <c r="M18" s="46"/>
      <c r="N18" s="42">
        <f t="shared" si="13"/>
        <v>59</v>
      </c>
      <c r="T18" s="12">
        <f t="shared" si="1"/>
        <v>31</v>
      </c>
      <c r="U18" s="12" t="e">
        <f t="shared" si="12"/>
        <v>#DIV/0!</v>
      </c>
      <c r="V18" s="12">
        <f t="shared" si="2"/>
        <v>0</v>
      </c>
      <c r="W18" s="12">
        <f t="shared" si="3"/>
        <v>6.6666666666666666E-2</v>
      </c>
      <c r="X18" s="12">
        <f t="shared" si="4"/>
        <v>0.24827586206896551</v>
      </c>
      <c r="Y18" s="12">
        <f t="shared" si="5"/>
        <v>0.15887850467289719</v>
      </c>
      <c r="Z18" s="12">
        <f t="shared" si="6"/>
        <v>0</v>
      </c>
      <c r="AA18" s="12">
        <f t="shared" si="7"/>
        <v>0</v>
      </c>
      <c r="AB18" s="12">
        <f t="shared" si="8"/>
        <v>0</v>
      </c>
      <c r="AC18" s="12">
        <f t="shared" si="9"/>
        <v>0</v>
      </c>
      <c r="AD18" s="12">
        <f t="shared" si="10"/>
        <v>0</v>
      </c>
      <c r="AE18" s="12" t="e">
        <f t="shared" si="11"/>
        <v>#DIV/0!</v>
      </c>
    </row>
    <row r="19" spans="2:31">
      <c r="B19" s="19">
        <v>32</v>
      </c>
      <c r="C19" s="47"/>
      <c r="D19" s="34"/>
      <c r="E19" s="34"/>
      <c r="F19" s="33">
        <v>15</v>
      </c>
      <c r="G19" s="34">
        <v>24</v>
      </c>
      <c r="H19" s="34">
        <v>4</v>
      </c>
      <c r="I19" s="34"/>
      <c r="J19" s="34"/>
      <c r="K19" s="34"/>
      <c r="L19" s="46"/>
      <c r="M19" s="46"/>
      <c r="N19" s="42">
        <f t="shared" si="13"/>
        <v>43</v>
      </c>
      <c r="T19" s="12">
        <f t="shared" si="1"/>
        <v>32</v>
      </c>
      <c r="U19" s="12" t="e">
        <f t="shared" si="12"/>
        <v>#DIV/0!</v>
      </c>
      <c r="V19" s="12">
        <f t="shared" si="2"/>
        <v>0</v>
      </c>
      <c r="W19" s="12">
        <f t="shared" si="3"/>
        <v>0</v>
      </c>
      <c r="X19" s="12">
        <f t="shared" si="4"/>
        <v>0.10344827586206896</v>
      </c>
      <c r="Y19" s="12">
        <f t="shared" si="5"/>
        <v>0.22429906542056074</v>
      </c>
      <c r="Z19" s="12">
        <f t="shared" si="6"/>
        <v>4.6511627906976744E-2</v>
      </c>
      <c r="AA19" s="12">
        <f t="shared" si="7"/>
        <v>0</v>
      </c>
      <c r="AB19" s="12">
        <f t="shared" si="8"/>
        <v>0</v>
      </c>
      <c r="AC19" s="12">
        <f t="shared" si="9"/>
        <v>0</v>
      </c>
      <c r="AD19" s="12">
        <f t="shared" si="10"/>
        <v>0</v>
      </c>
      <c r="AE19" s="12" t="e">
        <f t="shared" si="11"/>
        <v>#DIV/0!</v>
      </c>
    </row>
    <row r="20" spans="2:31">
      <c r="B20" s="19">
        <v>33</v>
      </c>
      <c r="C20" s="47"/>
      <c r="D20" s="34"/>
      <c r="E20" s="34"/>
      <c r="F20" s="33">
        <v>9</v>
      </c>
      <c r="G20" s="33">
        <v>26</v>
      </c>
      <c r="H20" s="34">
        <v>9</v>
      </c>
      <c r="I20" s="34"/>
      <c r="J20" s="34"/>
      <c r="K20" s="34"/>
      <c r="L20" s="46"/>
      <c r="M20" s="46"/>
      <c r="N20" s="42">
        <f t="shared" si="13"/>
        <v>44</v>
      </c>
      <c r="T20" s="12">
        <f t="shared" si="1"/>
        <v>33</v>
      </c>
      <c r="U20" s="12" t="e">
        <f t="shared" si="12"/>
        <v>#DIV/0!</v>
      </c>
      <c r="V20" s="12">
        <f t="shared" si="2"/>
        <v>0</v>
      </c>
      <c r="W20" s="12">
        <f t="shared" si="3"/>
        <v>0</v>
      </c>
      <c r="X20" s="12">
        <f t="shared" si="4"/>
        <v>6.2068965517241378E-2</v>
      </c>
      <c r="Y20" s="12">
        <f t="shared" si="5"/>
        <v>0.24299065420560748</v>
      </c>
      <c r="Z20" s="12">
        <f t="shared" si="6"/>
        <v>0.10465116279069768</v>
      </c>
      <c r="AA20" s="12">
        <f t="shared" si="7"/>
        <v>0</v>
      </c>
      <c r="AB20" s="12">
        <f t="shared" si="8"/>
        <v>0</v>
      </c>
      <c r="AC20" s="12">
        <f t="shared" si="9"/>
        <v>0</v>
      </c>
      <c r="AD20" s="12">
        <f t="shared" si="10"/>
        <v>0</v>
      </c>
      <c r="AE20" s="12" t="e">
        <f t="shared" si="11"/>
        <v>#DIV/0!</v>
      </c>
    </row>
    <row r="21" spans="2:31">
      <c r="B21" s="19">
        <v>34</v>
      </c>
      <c r="C21" s="47"/>
      <c r="D21" s="34"/>
      <c r="E21" s="34"/>
      <c r="F21" s="34"/>
      <c r="G21" s="33">
        <v>13</v>
      </c>
      <c r="H21" s="34">
        <v>16</v>
      </c>
      <c r="I21" s="34">
        <v>2</v>
      </c>
      <c r="J21" s="34"/>
      <c r="K21" s="34"/>
      <c r="L21" s="46"/>
      <c r="M21" s="46"/>
      <c r="N21" s="42">
        <f t="shared" si="13"/>
        <v>31</v>
      </c>
      <c r="T21" s="12">
        <f t="shared" si="1"/>
        <v>34</v>
      </c>
      <c r="U21" s="12" t="e">
        <f t="shared" si="12"/>
        <v>#DIV/0!</v>
      </c>
      <c r="V21" s="12">
        <f t="shared" si="2"/>
        <v>0</v>
      </c>
      <c r="W21" s="12">
        <f t="shared" si="3"/>
        <v>0</v>
      </c>
      <c r="X21" s="12">
        <f t="shared" si="4"/>
        <v>0</v>
      </c>
      <c r="Y21" s="12">
        <f t="shared" si="5"/>
        <v>0.12149532710280374</v>
      </c>
      <c r="Z21" s="12">
        <f t="shared" si="6"/>
        <v>0.18604651162790697</v>
      </c>
      <c r="AA21" s="12">
        <f t="shared" si="7"/>
        <v>3.0769230769230771E-2</v>
      </c>
      <c r="AB21" s="12">
        <f t="shared" si="8"/>
        <v>0</v>
      </c>
      <c r="AC21" s="12">
        <f t="shared" si="9"/>
        <v>0</v>
      </c>
      <c r="AD21" s="12">
        <f t="shared" si="10"/>
        <v>0</v>
      </c>
      <c r="AE21" s="12" t="e">
        <f t="shared" si="11"/>
        <v>#DIV/0!</v>
      </c>
    </row>
    <row r="22" spans="2:31">
      <c r="B22" s="19">
        <v>35</v>
      </c>
      <c r="C22" s="47"/>
      <c r="D22" s="34"/>
      <c r="E22" s="34"/>
      <c r="F22" s="34"/>
      <c r="G22" s="33">
        <v>12</v>
      </c>
      <c r="H22" s="33">
        <v>11</v>
      </c>
      <c r="I22" s="34">
        <v>3</v>
      </c>
      <c r="J22" s="33">
        <v>1</v>
      </c>
      <c r="K22" s="34"/>
      <c r="L22" s="46"/>
      <c r="M22" s="46"/>
      <c r="N22" s="42">
        <f t="shared" si="13"/>
        <v>27</v>
      </c>
      <c r="T22" s="12">
        <f t="shared" si="1"/>
        <v>35</v>
      </c>
      <c r="U22" s="12" t="e">
        <f t="shared" si="12"/>
        <v>#DIV/0!</v>
      </c>
      <c r="V22" s="12">
        <f t="shared" si="2"/>
        <v>0</v>
      </c>
      <c r="W22" s="12">
        <f t="shared" si="3"/>
        <v>0</v>
      </c>
      <c r="X22" s="12">
        <f t="shared" si="4"/>
        <v>0</v>
      </c>
      <c r="Y22" s="12">
        <f t="shared" si="5"/>
        <v>0.11214953271028037</v>
      </c>
      <c r="Z22" s="12">
        <f t="shared" si="6"/>
        <v>0.12790697674418605</v>
      </c>
      <c r="AA22" s="12">
        <f t="shared" si="7"/>
        <v>4.6153846153846156E-2</v>
      </c>
      <c r="AB22" s="12">
        <f t="shared" si="8"/>
        <v>7.6923076923076927E-2</v>
      </c>
      <c r="AC22" s="12">
        <f t="shared" si="9"/>
        <v>0</v>
      </c>
      <c r="AD22" s="12">
        <f t="shared" si="10"/>
        <v>0</v>
      </c>
      <c r="AE22" s="12" t="e">
        <f t="shared" si="11"/>
        <v>#DIV/0!</v>
      </c>
    </row>
    <row r="23" spans="2:31">
      <c r="B23" s="19">
        <v>36</v>
      </c>
      <c r="C23" s="47"/>
      <c r="D23" s="34"/>
      <c r="E23" s="34"/>
      <c r="F23" s="34">
        <v>1</v>
      </c>
      <c r="G23" s="33">
        <v>2</v>
      </c>
      <c r="H23" s="33">
        <v>5</v>
      </c>
      <c r="I23" s="33">
        <v>1</v>
      </c>
      <c r="J23" s="33">
        <v>1</v>
      </c>
      <c r="K23" s="34"/>
      <c r="L23" s="46"/>
      <c r="M23" s="46"/>
      <c r="N23" s="42">
        <f t="shared" si="13"/>
        <v>10</v>
      </c>
      <c r="T23" s="12">
        <f t="shared" si="1"/>
        <v>36</v>
      </c>
      <c r="U23" s="12" t="e">
        <f t="shared" si="12"/>
        <v>#DIV/0!</v>
      </c>
      <c r="V23" s="12">
        <f t="shared" si="2"/>
        <v>0</v>
      </c>
      <c r="W23" s="12">
        <f t="shared" si="3"/>
        <v>0</v>
      </c>
      <c r="X23" s="12">
        <f t="shared" si="4"/>
        <v>6.8965517241379309E-3</v>
      </c>
      <c r="Y23" s="12">
        <f t="shared" si="5"/>
        <v>1.8691588785046728E-2</v>
      </c>
      <c r="Z23" s="12">
        <f t="shared" si="6"/>
        <v>5.8139534883720929E-2</v>
      </c>
      <c r="AA23" s="12">
        <f t="shared" si="7"/>
        <v>1.5384615384615385E-2</v>
      </c>
      <c r="AB23" s="12">
        <f t="shared" si="8"/>
        <v>7.6923076923076927E-2</v>
      </c>
      <c r="AC23" s="12">
        <f t="shared" si="9"/>
        <v>0</v>
      </c>
      <c r="AD23" s="12">
        <f t="shared" si="10"/>
        <v>0</v>
      </c>
      <c r="AE23" s="12" t="e">
        <f t="shared" si="11"/>
        <v>#DIV/0!</v>
      </c>
    </row>
    <row r="24" spans="2:31">
      <c r="B24" s="19">
        <v>37</v>
      </c>
      <c r="C24" s="47"/>
      <c r="D24" s="34"/>
      <c r="E24" s="34"/>
      <c r="F24" s="34"/>
      <c r="G24" s="33">
        <v>6</v>
      </c>
      <c r="H24" s="33">
        <v>8</v>
      </c>
      <c r="I24" s="33">
        <v>6</v>
      </c>
      <c r="J24" s="34"/>
      <c r="K24" s="34"/>
      <c r="L24" s="46"/>
      <c r="M24" s="46"/>
      <c r="N24" s="42">
        <f t="shared" si="13"/>
        <v>20</v>
      </c>
      <c r="T24" s="12">
        <f t="shared" si="1"/>
        <v>37</v>
      </c>
      <c r="U24" s="12" t="e">
        <f t="shared" si="12"/>
        <v>#DIV/0!</v>
      </c>
      <c r="V24" s="12">
        <f t="shared" si="2"/>
        <v>0</v>
      </c>
      <c r="W24" s="12">
        <f t="shared" si="3"/>
        <v>0</v>
      </c>
      <c r="X24" s="12">
        <f t="shared" si="4"/>
        <v>0</v>
      </c>
      <c r="Y24" s="12">
        <f t="shared" si="5"/>
        <v>5.6074766355140186E-2</v>
      </c>
      <c r="Z24" s="12">
        <f t="shared" si="6"/>
        <v>9.3023255813953487E-2</v>
      </c>
      <c r="AA24" s="12">
        <f t="shared" si="7"/>
        <v>9.2307692307692313E-2</v>
      </c>
      <c r="AB24" s="12">
        <f t="shared" si="8"/>
        <v>0</v>
      </c>
      <c r="AC24" s="12">
        <f t="shared" si="9"/>
        <v>0</v>
      </c>
      <c r="AD24" s="12">
        <f t="shared" si="10"/>
        <v>0</v>
      </c>
      <c r="AE24" s="12" t="e">
        <f t="shared" si="11"/>
        <v>#DIV/0!</v>
      </c>
    </row>
    <row r="25" spans="2:31">
      <c r="B25" s="19">
        <v>38</v>
      </c>
      <c r="C25" s="47"/>
      <c r="D25" s="34"/>
      <c r="E25" s="34"/>
      <c r="F25" s="34"/>
      <c r="G25" s="34"/>
      <c r="H25" s="33">
        <v>11</v>
      </c>
      <c r="I25" s="33">
        <v>9</v>
      </c>
      <c r="J25" s="34">
        <v>2</v>
      </c>
      <c r="K25" s="33">
        <v>1</v>
      </c>
      <c r="L25" s="46"/>
      <c r="M25" s="46"/>
      <c r="N25" s="42">
        <f t="shared" si="13"/>
        <v>23</v>
      </c>
      <c r="T25" s="12">
        <f t="shared" si="1"/>
        <v>38</v>
      </c>
      <c r="U25" s="12" t="e">
        <f t="shared" si="12"/>
        <v>#DIV/0!</v>
      </c>
      <c r="V25" s="12">
        <f t="shared" si="2"/>
        <v>0</v>
      </c>
      <c r="W25" s="12">
        <f t="shared" si="3"/>
        <v>0</v>
      </c>
      <c r="X25" s="12">
        <f t="shared" si="4"/>
        <v>0</v>
      </c>
      <c r="Y25" s="12">
        <f t="shared" si="5"/>
        <v>0</v>
      </c>
      <c r="Z25" s="12">
        <f t="shared" si="6"/>
        <v>0.12790697674418605</v>
      </c>
      <c r="AA25" s="12">
        <f t="shared" si="7"/>
        <v>0.13846153846153847</v>
      </c>
      <c r="AB25" s="12">
        <f t="shared" si="8"/>
        <v>0.15384615384615385</v>
      </c>
      <c r="AC25" s="12">
        <f t="shared" si="9"/>
        <v>0.5</v>
      </c>
      <c r="AD25" s="12">
        <f t="shared" si="10"/>
        <v>0</v>
      </c>
      <c r="AE25" s="12" t="e">
        <f t="shared" si="11"/>
        <v>#DIV/0!</v>
      </c>
    </row>
    <row r="26" spans="2:31">
      <c r="B26" s="19">
        <v>39</v>
      </c>
      <c r="C26" s="47"/>
      <c r="D26" s="34"/>
      <c r="E26" s="34"/>
      <c r="F26" s="34"/>
      <c r="G26" s="33">
        <v>2</v>
      </c>
      <c r="H26" s="33">
        <v>4</v>
      </c>
      <c r="I26" s="33">
        <v>7</v>
      </c>
      <c r="J26" s="33">
        <v>1</v>
      </c>
      <c r="K26" s="34"/>
      <c r="L26" s="46"/>
      <c r="M26" s="46"/>
      <c r="N26" s="42">
        <f t="shared" si="13"/>
        <v>14</v>
      </c>
      <c r="T26" s="12">
        <f t="shared" si="1"/>
        <v>39</v>
      </c>
      <c r="U26" s="12" t="e">
        <f t="shared" si="12"/>
        <v>#DIV/0!</v>
      </c>
      <c r="V26" s="12">
        <f t="shared" si="2"/>
        <v>0</v>
      </c>
      <c r="W26" s="12">
        <f t="shared" si="3"/>
        <v>0</v>
      </c>
      <c r="X26" s="12">
        <f t="shared" si="4"/>
        <v>0</v>
      </c>
      <c r="Y26" s="12">
        <f t="shared" si="5"/>
        <v>1.8691588785046728E-2</v>
      </c>
      <c r="Z26" s="12">
        <f t="shared" si="6"/>
        <v>4.6511627906976744E-2</v>
      </c>
      <c r="AA26" s="12">
        <f t="shared" si="7"/>
        <v>0.1076923076923077</v>
      </c>
      <c r="AB26" s="12">
        <f t="shared" si="8"/>
        <v>7.6923076923076927E-2</v>
      </c>
      <c r="AC26" s="12">
        <f t="shared" si="9"/>
        <v>0</v>
      </c>
      <c r="AD26" s="12">
        <f t="shared" si="10"/>
        <v>0</v>
      </c>
      <c r="AE26" s="12" t="e">
        <f t="shared" si="11"/>
        <v>#DIV/0!</v>
      </c>
    </row>
    <row r="27" spans="2:31">
      <c r="B27" s="19">
        <v>40</v>
      </c>
      <c r="C27" s="47"/>
      <c r="D27" s="34"/>
      <c r="E27" s="34"/>
      <c r="F27" s="34"/>
      <c r="G27" s="33">
        <v>1</v>
      </c>
      <c r="H27" s="33">
        <v>5</v>
      </c>
      <c r="I27" s="33">
        <v>11</v>
      </c>
      <c r="J27" s="34"/>
      <c r="K27" s="34"/>
      <c r="L27" s="46"/>
      <c r="M27" s="46"/>
      <c r="N27" s="42">
        <f t="shared" si="13"/>
        <v>17</v>
      </c>
      <c r="T27" s="12">
        <f t="shared" si="1"/>
        <v>40</v>
      </c>
      <c r="U27" s="12" t="e">
        <f t="shared" si="12"/>
        <v>#DIV/0!</v>
      </c>
      <c r="V27" s="12">
        <f t="shared" si="2"/>
        <v>0</v>
      </c>
      <c r="W27" s="12">
        <f t="shared" si="3"/>
        <v>0</v>
      </c>
      <c r="X27" s="12">
        <f t="shared" si="4"/>
        <v>0</v>
      </c>
      <c r="Y27" s="12">
        <f t="shared" si="5"/>
        <v>9.3457943925233638E-3</v>
      </c>
      <c r="Z27" s="12">
        <f t="shared" si="6"/>
        <v>5.8139534883720929E-2</v>
      </c>
      <c r="AA27" s="12">
        <f t="shared" si="7"/>
        <v>0.16923076923076924</v>
      </c>
      <c r="AB27" s="12">
        <f t="shared" si="8"/>
        <v>0</v>
      </c>
      <c r="AC27" s="12">
        <f t="shared" si="9"/>
        <v>0</v>
      </c>
      <c r="AD27" s="12">
        <f t="shared" si="10"/>
        <v>0</v>
      </c>
      <c r="AE27" s="12" t="e">
        <f t="shared" si="11"/>
        <v>#DIV/0!</v>
      </c>
    </row>
    <row r="28" spans="2:31">
      <c r="B28" s="19">
        <v>41</v>
      </c>
      <c r="C28" s="47"/>
      <c r="D28" s="34"/>
      <c r="E28" s="34"/>
      <c r="F28" s="34"/>
      <c r="G28" s="34"/>
      <c r="H28" s="33">
        <v>3</v>
      </c>
      <c r="I28" s="33">
        <v>2</v>
      </c>
      <c r="J28" s="34"/>
      <c r="K28" s="34"/>
      <c r="L28" s="46"/>
      <c r="M28" s="46"/>
      <c r="N28" s="42">
        <f t="shared" si="13"/>
        <v>5</v>
      </c>
      <c r="T28" s="12">
        <f t="shared" si="1"/>
        <v>41</v>
      </c>
      <c r="U28" s="12" t="e">
        <f t="shared" si="12"/>
        <v>#DIV/0!</v>
      </c>
      <c r="V28" s="12">
        <f t="shared" si="2"/>
        <v>0</v>
      </c>
      <c r="W28" s="12">
        <f t="shared" si="3"/>
        <v>0</v>
      </c>
      <c r="X28" s="12">
        <f t="shared" si="4"/>
        <v>0</v>
      </c>
      <c r="Y28" s="12">
        <f t="shared" si="5"/>
        <v>0</v>
      </c>
      <c r="Z28" s="12">
        <f t="shared" si="6"/>
        <v>3.4883720930232558E-2</v>
      </c>
      <c r="AA28" s="12">
        <f t="shared" si="7"/>
        <v>3.0769230769230771E-2</v>
      </c>
      <c r="AB28" s="12">
        <f t="shared" si="8"/>
        <v>0</v>
      </c>
      <c r="AC28" s="12">
        <f t="shared" si="9"/>
        <v>0</v>
      </c>
      <c r="AD28" s="12">
        <f t="shared" si="10"/>
        <v>0</v>
      </c>
      <c r="AE28" s="12" t="e">
        <f t="shared" si="11"/>
        <v>#DIV/0!</v>
      </c>
    </row>
    <row r="29" spans="2:31">
      <c r="B29" s="19">
        <v>42</v>
      </c>
      <c r="C29" s="47"/>
      <c r="D29" s="34"/>
      <c r="E29" s="34"/>
      <c r="F29" s="34"/>
      <c r="G29" s="34"/>
      <c r="H29" s="33">
        <v>5</v>
      </c>
      <c r="I29" s="33">
        <v>5</v>
      </c>
      <c r="J29" s="34">
        <v>3</v>
      </c>
      <c r="K29" s="34"/>
      <c r="L29" s="46"/>
      <c r="M29" s="46"/>
      <c r="N29" s="42">
        <f t="shared" si="13"/>
        <v>13</v>
      </c>
      <c r="T29" s="12">
        <f t="shared" si="1"/>
        <v>42</v>
      </c>
      <c r="U29" s="12" t="e">
        <f t="shared" si="12"/>
        <v>#DIV/0!</v>
      </c>
      <c r="V29" s="12">
        <f t="shared" si="2"/>
        <v>0</v>
      </c>
      <c r="W29" s="12">
        <f t="shared" si="3"/>
        <v>0</v>
      </c>
      <c r="X29" s="12">
        <f t="shared" si="4"/>
        <v>0</v>
      </c>
      <c r="Y29" s="12">
        <f t="shared" si="5"/>
        <v>0</v>
      </c>
      <c r="Z29" s="12">
        <f t="shared" si="6"/>
        <v>5.8139534883720929E-2</v>
      </c>
      <c r="AA29" s="12">
        <f t="shared" si="7"/>
        <v>7.6923076923076927E-2</v>
      </c>
      <c r="AB29" s="12">
        <f t="shared" si="8"/>
        <v>0.23076923076923078</v>
      </c>
      <c r="AC29" s="12">
        <f t="shared" si="9"/>
        <v>0</v>
      </c>
      <c r="AD29" s="12">
        <f t="shared" si="10"/>
        <v>0</v>
      </c>
      <c r="AE29" s="12" t="e">
        <f t="shared" si="11"/>
        <v>#DIV/0!</v>
      </c>
    </row>
    <row r="30" spans="2:31">
      <c r="B30" s="19">
        <v>43</v>
      </c>
      <c r="C30" s="47"/>
      <c r="D30" s="34"/>
      <c r="E30" s="34"/>
      <c r="F30" s="34"/>
      <c r="G30" s="34"/>
      <c r="H30" s="33">
        <v>3</v>
      </c>
      <c r="I30" s="33">
        <v>8</v>
      </c>
      <c r="J30" s="33">
        <v>2</v>
      </c>
      <c r="K30" s="34"/>
      <c r="L30" s="46"/>
      <c r="M30" s="46"/>
      <c r="N30" s="42">
        <f t="shared" si="13"/>
        <v>13</v>
      </c>
      <c r="T30" s="12">
        <f t="shared" si="1"/>
        <v>43</v>
      </c>
      <c r="U30" s="12" t="e">
        <f t="shared" si="12"/>
        <v>#DIV/0!</v>
      </c>
      <c r="V30" s="12">
        <f t="shared" si="2"/>
        <v>0</v>
      </c>
      <c r="W30" s="12">
        <f t="shared" si="3"/>
        <v>0</v>
      </c>
      <c r="X30" s="12">
        <f t="shared" si="4"/>
        <v>0</v>
      </c>
      <c r="Y30" s="12">
        <f t="shared" si="5"/>
        <v>0</v>
      </c>
      <c r="Z30" s="12">
        <f t="shared" si="6"/>
        <v>3.4883720930232558E-2</v>
      </c>
      <c r="AA30" s="12">
        <f t="shared" si="7"/>
        <v>0.12307692307692308</v>
      </c>
      <c r="AB30" s="12">
        <f t="shared" si="8"/>
        <v>0.15384615384615385</v>
      </c>
      <c r="AC30" s="12">
        <f t="shared" si="9"/>
        <v>0</v>
      </c>
      <c r="AD30" s="12">
        <f t="shared" si="10"/>
        <v>0</v>
      </c>
      <c r="AE30" s="12" t="e">
        <f t="shared" si="11"/>
        <v>#DIV/0!</v>
      </c>
    </row>
    <row r="31" spans="2:31">
      <c r="B31" s="19">
        <v>44</v>
      </c>
      <c r="C31" s="47"/>
      <c r="D31" s="34"/>
      <c r="E31" s="34"/>
      <c r="F31" s="34"/>
      <c r="G31" s="34"/>
      <c r="H31" s="34"/>
      <c r="I31" s="33">
        <v>6</v>
      </c>
      <c r="J31" s="33">
        <v>1</v>
      </c>
      <c r="K31" s="34"/>
      <c r="L31" s="46"/>
      <c r="M31" s="46"/>
      <c r="N31" s="42">
        <f t="shared" si="13"/>
        <v>7</v>
      </c>
      <c r="T31" s="12">
        <f t="shared" si="1"/>
        <v>44</v>
      </c>
      <c r="U31" s="12" t="e">
        <f t="shared" si="12"/>
        <v>#DIV/0!</v>
      </c>
      <c r="V31" s="12">
        <f t="shared" si="2"/>
        <v>0</v>
      </c>
      <c r="W31" s="12">
        <f t="shared" si="3"/>
        <v>0</v>
      </c>
      <c r="X31" s="12">
        <f t="shared" si="4"/>
        <v>0</v>
      </c>
      <c r="Y31" s="12">
        <f t="shared" si="5"/>
        <v>0</v>
      </c>
      <c r="Z31" s="12">
        <f t="shared" si="6"/>
        <v>0</v>
      </c>
      <c r="AA31" s="12">
        <f t="shared" si="7"/>
        <v>9.2307692307692313E-2</v>
      </c>
      <c r="AB31" s="12">
        <f t="shared" si="8"/>
        <v>7.6923076923076927E-2</v>
      </c>
      <c r="AC31" s="12">
        <f t="shared" si="9"/>
        <v>0</v>
      </c>
      <c r="AD31" s="12">
        <f t="shared" si="10"/>
        <v>0</v>
      </c>
      <c r="AE31" s="12" t="e">
        <f t="shared" si="11"/>
        <v>#DIV/0!</v>
      </c>
    </row>
    <row r="32" spans="2:31">
      <c r="B32" s="19">
        <v>45</v>
      </c>
      <c r="C32" s="47"/>
      <c r="D32" s="34"/>
      <c r="E32" s="34"/>
      <c r="F32" s="34"/>
      <c r="G32" s="34"/>
      <c r="H32" s="33">
        <v>1</v>
      </c>
      <c r="I32" s="33">
        <v>3</v>
      </c>
      <c r="J32" s="34"/>
      <c r="K32" s="34"/>
      <c r="L32" s="46"/>
      <c r="M32" s="46"/>
      <c r="N32" s="42">
        <f t="shared" si="13"/>
        <v>4</v>
      </c>
      <c r="T32" s="12">
        <f t="shared" si="1"/>
        <v>45</v>
      </c>
      <c r="U32" s="12" t="e">
        <f t="shared" si="12"/>
        <v>#DIV/0!</v>
      </c>
      <c r="V32" s="12">
        <f t="shared" si="2"/>
        <v>0</v>
      </c>
      <c r="W32" s="12">
        <f t="shared" si="3"/>
        <v>0</v>
      </c>
      <c r="X32" s="12">
        <f t="shared" si="4"/>
        <v>0</v>
      </c>
      <c r="Y32" s="12">
        <f t="shared" si="5"/>
        <v>0</v>
      </c>
      <c r="Z32" s="12">
        <f t="shared" si="6"/>
        <v>1.1627906976744186E-2</v>
      </c>
      <c r="AA32" s="12">
        <f t="shared" si="7"/>
        <v>4.6153846153846156E-2</v>
      </c>
      <c r="AB32" s="12">
        <f t="shared" si="8"/>
        <v>0</v>
      </c>
      <c r="AC32" s="12">
        <f t="shared" si="9"/>
        <v>0</v>
      </c>
      <c r="AD32" s="12">
        <f t="shared" si="10"/>
        <v>0</v>
      </c>
      <c r="AE32" s="12" t="e">
        <f t="shared" si="11"/>
        <v>#DIV/0!</v>
      </c>
    </row>
    <row r="33" spans="2:31">
      <c r="B33" s="19">
        <v>46</v>
      </c>
      <c r="C33" s="47"/>
      <c r="D33" s="34"/>
      <c r="E33" s="34"/>
      <c r="F33" s="34"/>
      <c r="G33" s="34"/>
      <c r="H33" s="33">
        <v>1</v>
      </c>
      <c r="I33" s="33">
        <v>1</v>
      </c>
      <c r="J33" s="33">
        <v>1</v>
      </c>
      <c r="K33" s="34"/>
      <c r="L33" s="46"/>
      <c r="M33" s="46"/>
      <c r="N33" s="42">
        <f t="shared" si="13"/>
        <v>3</v>
      </c>
      <c r="T33" s="12">
        <f t="shared" si="1"/>
        <v>46</v>
      </c>
      <c r="U33" s="12" t="e">
        <f t="shared" si="12"/>
        <v>#DIV/0!</v>
      </c>
      <c r="V33" s="12">
        <f t="shared" si="2"/>
        <v>0</v>
      </c>
      <c r="W33" s="12">
        <f t="shared" si="3"/>
        <v>0</v>
      </c>
      <c r="X33" s="12">
        <f t="shared" si="4"/>
        <v>0</v>
      </c>
      <c r="Y33" s="12">
        <f t="shared" si="5"/>
        <v>0</v>
      </c>
      <c r="Z33" s="12">
        <f t="shared" si="6"/>
        <v>1.1627906976744186E-2</v>
      </c>
      <c r="AA33" s="12">
        <f t="shared" si="7"/>
        <v>1.5384615384615385E-2</v>
      </c>
      <c r="AB33" s="12">
        <f t="shared" si="8"/>
        <v>7.6923076923076927E-2</v>
      </c>
      <c r="AC33" s="12">
        <f t="shared" si="9"/>
        <v>0</v>
      </c>
      <c r="AD33" s="12">
        <f t="shared" si="10"/>
        <v>0</v>
      </c>
      <c r="AE33" s="12" t="e">
        <f t="shared" si="11"/>
        <v>#DIV/0!</v>
      </c>
    </row>
    <row r="34" spans="2:31">
      <c r="B34" s="19">
        <v>47</v>
      </c>
      <c r="C34" s="47"/>
      <c r="D34" s="34"/>
      <c r="E34" s="34"/>
      <c r="F34" s="34"/>
      <c r="G34" s="34"/>
      <c r="H34" s="34"/>
      <c r="I34" s="34"/>
      <c r="J34" s="33">
        <v>1</v>
      </c>
      <c r="K34" s="34"/>
      <c r="L34" s="46"/>
      <c r="M34" s="46"/>
      <c r="N34" s="42">
        <f t="shared" si="13"/>
        <v>1</v>
      </c>
      <c r="T34" s="12">
        <f t="shared" si="1"/>
        <v>47</v>
      </c>
      <c r="U34" s="12" t="e">
        <f t="shared" si="12"/>
        <v>#DIV/0!</v>
      </c>
      <c r="V34" s="12">
        <f t="shared" si="2"/>
        <v>0</v>
      </c>
      <c r="W34" s="12">
        <f t="shared" si="3"/>
        <v>0</v>
      </c>
      <c r="X34" s="12">
        <f t="shared" si="4"/>
        <v>0</v>
      </c>
      <c r="Y34" s="12">
        <f t="shared" si="5"/>
        <v>0</v>
      </c>
      <c r="Z34" s="12">
        <f t="shared" si="6"/>
        <v>0</v>
      </c>
      <c r="AA34" s="12">
        <f t="shared" si="7"/>
        <v>0</v>
      </c>
      <c r="AB34" s="12">
        <f t="shared" si="8"/>
        <v>7.6923076923076927E-2</v>
      </c>
      <c r="AC34" s="12">
        <f t="shared" si="9"/>
        <v>0</v>
      </c>
      <c r="AD34" s="12">
        <f t="shared" si="10"/>
        <v>0</v>
      </c>
      <c r="AE34" s="12" t="e">
        <f t="shared" si="11"/>
        <v>#DIV/0!</v>
      </c>
    </row>
    <row r="35" spans="2:31">
      <c r="B35" s="19">
        <v>48</v>
      </c>
      <c r="C35" s="47"/>
      <c r="D35" s="34"/>
      <c r="E35" s="34"/>
      <c r="F35" s="34"/>
      <c r="G35" s="34"/>
      <c r="H35" s="34"/>
      <c r="I35" s="33">
        <v>1</v>
      </c>
      <c r="J35" s="34"/>
      <c r="K35" s="34">
        <v>1</v>
      </c>
      <c r="L35" s="46"/>
      <c r="M35" s="46"/>
      <c r="N35" s="42">
        <f t="shared" si="13"/>
        <v>2</v>
      </c>
      <c r="T35" s="12">
        <f t="shared" si="1"/>
        <v>48</v>
      </c>
      <c r="U35" s="12" t="e">
        <f t="shared" si="12"/>
        <v>#DIV/0!</v>
      </c>
      <c r="V35" s="12">
        <f t="shared" si="2"/>
        <v>0</v>
      </c>
      <c r="W35" s="12">
        <f t="shared" si="3"/>
        <v>0</v>
      </c>
      <c r="X35" s="12">
        <f t="shared" si="4"/>
        <v>0</v>
      </c>
      <c r="Y35" s="12">
        <f t="shared" si="5"/>
        <v>0</v>
      </c>
      <c r="Z35" s="12">
        <f t="shared" si="6"/>
        <v>0</v>
      </c>
      <c r="AA35" s="12">
        <f t="shared" si="7"/>
        <v>1.5384615384615385E-2</v>
      </c>
      <c r="AB35" s="12">
        <f t="shared" si="8"/>
        <v>0</v>
      </c>
      <c r="AC35" s="12">
        <f t="shared" si="9"/>
        <v>0.5</v>
      </c>
      <c r="AD35" s="12">
        <f t="shared" si="10"/>
        <v>0</v>
      </c>
      <c r="AE35" s="12" t="e">
        <f t="shared" si="11"/>
        <v>#DIV/0!</v>
      </c>
    </row>
    <row r="36" spans="2:31">
      <c r="B36" s="19">
        <v>49</v>
      </c>
      <c r="C36" s="47"/>
      <c r="D36" s="34"/>
      <c r="E36" s="34"/>
      <c r="F36" s="34"/>
      <c r="G36" s="34"/>
      <c r="H36" s="34"/>
      <c r="I36" s="34"/>
      <c r="J36" s="34"/>
      <c r="K36" s="34"/>
      <c r="L36" s="46"/>
      <c r="M36" s="46"/>
      <c r="N36" s="42">
        <f t="shared" si="13"/>
        <v>0</v>
      </c>
      <c r="T36" s="12">
        <f t="shared" si="1"/>
        <v>49</v>
      </c>
      <c r="U36" s="12" t="e">
        <f t="shared" si="12"/>
        <v>#DIV/0!</v>
      </c>
      <c r="V36" s="12">
        <f t="shared" si="2"/>
        <v>0</v>
      </c>
      <c r="W36" s="12">
        <f t="shared" si="3"/>
        <v>0</v>
      </c>
      <c r="X36" s="12">
        <f t="shared" si="4"/>
        <v>0</v>
      </c>
      <c r="Y36" s="12">
        <f t="shared" si="5"/>
        <v>0</v>
      </c>
      <c r="Z36" s="12">
        <f t="shared" si="6"/>
        <v>0</v>
      </c>
      <c r="AA36" s="12">
        <f t="shared" si="7"/>
        <v>0</v>
      </c>
      <c r="AB36" s="12">
        <f t="shared" si="8"/>
        <v>0</v>
      </c>
      <c r="AC36" s="12">
        <f t="shared" si="9"/>
        <v>0</v>
      </c>
      <c r="AD36" s="12">
        <f t="shared" si="10"/>
        <v>0</v>
      </c>
      <c r="AE36" s="12" t="e">
        <f t="shared" si="11"/>
        <v>#DIV/0!</v>
      </c>
    </row>
    <row r="37" spans="2:31">
      <c r="B37" s="19">
        <v>50</v>
      </c>
      <c r="C37" s="47"/>
      <c r="D37" s="34"/>
      <c r="E37" s="34"/>
      <c r="F37" s="34"/>
      <c r="G37" s="34"/>
      <c r="H37" s="34"/>
      <c r="I37" s="34"/>
      <c r="J37" s="34"/>
      <c r="K37" s="34"/>
      <c r="L37" s="46"/>
      <c r="M37" s="46"/>
      <c r="N37" s="42">
        <f t="shared" si="13"/>
        <v>0</v>
      </c>
      <c r="T37" s="12">
        <f t="shared" si="1"/>
        <v>50</v>
      </c>
      <c r="U37" s="12" t="e">
        <f t="shared" si="12"/>
        <v>#DIV/0!</v>
      </c>
      <c r="V37" s="12">
        <f t="shared" si="2"/>
        <v>0</v>
      </c>
      <c r="W37" s="12">
        <f t="shared" si="3"/>
        <v>0</v>
      </c>
      <c r="X37" s="12">
        <f t="shared" si="4"/>
        <v>0</v>
      </c>
      <c r="Y37" s="12">
        <f t="shared" si="5"/>
        <v>0</v>
      </c>
      <c r="Z37" s="12">
        <f t="shared" si="6"/>
        <v>0</v>
      </c>
      <c r="AA37" s="12">
        <f t="shared" si="7"/>
        <v>0</v>
      </c>
      <c r="AB37" s="12">
        <f t="shared" si="8"/>
        <v>0</v>
      </c>
      <c r="AC37" s="12">
        <f t="shared" si="9"/>
        <v>0</v>
      </c>
      <c r="AD37" s="12">
        <f t="shared" si="10"/>
        <v>0</v>
      </c>
      <c r="AE37" s="12" t="e">
        <f t="shared" si="11"/>
        <v>#DIV/0!</v>
      </c>
    </row>
    <row r="38" spans="2:31">
      <c r="B38" s="22">
        <v>51</v>
      </c>
      <c r="C38" s="45"/>
      <c r="D38" s="44"/>
      <c r="E38" s="44"/>
      <c r="F38" s="44"/>
      <c r="G38" s="44"/>
      <c r="H38" s="44"/>
      <c r="I38" s="44"/>
      <c r="J38" s="44"/>
      <c r="K38" s="44"/>
      <c r="L38" s="43">
        <v>1</v>
      </c>
      <c r="M38" s="46"/>
      <c r="N38" s="42">
        <f t="shared" si="13"/>
        <v>1</v>
      </c>
      <c r="T38" s="12">
        <f t="shared" si="1"/>
        <v>51</v>
      </c>
      <c r="U38" s="12" t="e">
        <f t="shared" si="12"/>
        <v>#DIV/0!</v>
      </c>
      <c r="V38" s="12">
        <f t="shared" si="2"/>
        <v>0</v>
      </c>
      <c r="W38" s="12">
        <f t="shared" si="3"/>
        <v>0</v>
      </c>
      <c r="X38" s="12">
        <f t="shared" si="4"/>
        <v>0</v>
      </c>
      <c r="Y38" s="12">
        <f t="shared" si="5"/>
        <v>0</v>
      </c>
      <c r="Z38" s="12">
        <f t="shared" si="6"/>
        <v>0</v>
      </c>
      <c r="AA38" s="12">
        <f t="shared" si="7"/>
        <v>0</v>
      </c>
      <c r="AB38" s="12">
        <f t="shared" si="8"/>
        <v>0</v>
      </c>
      <c r="AC38" s="12">
        <f t="shared" si="9"/>
        <v>0</v>
      </c>
      <c r="AD38" s="12">
        <f t="shared" si="10"/>
        <v>1</v>
      </c>
      <c r="AE38" s="12" t="e">
        <f t="shared" si="11"/>
        <v>#DIV/0!</v>
      </c>
    </row>
    <row r="39" spans="2:31">
      <c r="B39" s="22">
        <v>52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0">
        <f>SUM(N12:N38)</f>
        <v>518</v>
      </c>
      <c r="T39" s="12">
        <f t="shared" si="1"/>
        <v>52</v>
      </c>
      <c r="U39" s="12" t="e">
        <f t="shared" si="12"/>
        <v>#DIV/0!</v>
      </c>
      <c r="V39" s="12">
        <f t="shared" si="2"/>
        <v>0</v>
      </c>
      <c r="W39" s="12">
        <f t="shared" si="3"/>
        <v>0</v>
      </c>
      <c r="X39" s="12">
        <f t="shared" si="4"/>
        <v>0</v>
      </c>
      <c r="Y39" s="12">
        <f t="shared" si="5"/>
        <v>0</v>
      </c>
      <c r="Z39" s="12">
        <f t="shared" si="6"/>
        <v>0</v>
      </c>
      <c r="AA39" s="12">
        <f t="shared" si="7"/>
        <v>0</v>
      </c>
      <c r="AB39" s="12">
        <f t="shared" si="8"/>
        <v>0</v>
      </c>
      <c r="AC39" s="12">
        <f t="shared" si="9"/>
        <v>0</v>
      </c>
      <c r="AD39" s="12">
        <f t="shared" si="10"/>
        <v>0</v>
      </c>
      <c r="AE39" s="12" t="e">
        <f t="shared" si="11"/>
        <v>#DIV/0!</v>
      </c>
    </row>
    <row r="40" spans="2:31">
      <c r="B40" s="22">
        <v>53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9">
        <f>SUM(C40:L40)</f>
        <v>0</v>
      </c>
      <c r="T40" s="12">
        <f t="shared" si="1"/>
        <v>53</v>
      </c>
      <c r="U40" s="12" t="e">
        <f t="shared" si="12"/>
        <v>#DIV/0!</v>
      </c>
      <c r="V40" s="12">
        <f t="shared" si="2"/>
        <v>0</v>
      </c>
      <c r="W40" s="12">
        <f t="shared" si="3"/>
        <v>0</v>
      </c>
      <c r="X40" s="12">
        <f t="shared" si="4"/>
        <v>0</v>
      </c>
      <c r="Y40" s="12">
        <f t="shared" si="5"/>
        <v>0</v>
      </c>
      <c r="Z40" s="12">
        <f t="shared" si="6"/>
        <v>0</v>
      </c>
      <c r="AA40" s="12">
        <f t="shared" si="7"/>
        <v>0</v>
      </c>
      <c r="AB40" s="12">
        <f t="shared" si="8"/>
        <v>0</v>
      </c>
      <c r="AC40" s="12">
        <f t="shared" si="9"/>
        <v>0</v>
      </c>
      <c r="AD40" s="12">
        <f t="shared" si="10"/>
        <v>0</v>
      </c>
      <c r="AE40" s="12" t="e">
        <f t="shared" si="11"/>
        <v>#DIV/0!</v>
      </c>
    </row>
    <row r="41" spans="2:31">
      <c r="B41" s="22">
        <v>54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T41" s="12">
        <f t="shared" si="1"/>
        <v>54</v>
      </c>
      <c r="U41" s="12" t="e">
        <f t="shared" si="12"/>
        <v>#DIV/0!</v>
      </c>
      <c r="V41" s="12">
        <f t="shared" si="2"/>
        <v>0</v>
      </c>
      <c r="W41" s="12">
        <f t="shared" si="3"/>
        <v>0</v>
      </c>
      <c r="X41" s="12">
        <f t="shared" si="4"/>
        <v>0</v>
      </c>
      <c r="Y41" s="12">
        <f t="shared" si="5"/>
        <v>0</v>
      </c>
      <c r="Z41" s="12">
        <f t="shared" si="6"/>
        <v>0</v>
      </c>
      <c r="AA41" s="12">
        <f t="shared" si="7"/>
        <v>0</v>
      </c>
      <c r="AB41" s="12">
        <f t="shared" si="8"/>
        <v>0</v>
      </c>
      <c r="AC41" s="12">
        <f t="shared" si="9"/>
        <v>0</v>
      </c>
      <c r="AD41" s="12">
        <f t="shared" si="10"/>
        <v>0</v>
      </c>
      <c r="AE41" s="12" t="e">
        <f t="shared" si="11"/>
        <v>#DIV/0!</v>
      </c>
    </row>
    <row r="42" spans="2:31">
      <c r="B42" s="22">
        <v>55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2"/>
      <c r="P42" s="32"/>
      <c r="T42" s="12">
        <f t="shared" si="1"/>
        <v>55</v>
      </c>
      <c r="U42" s="12" t="e">
        <f t="shared" si="12"/>
        <v>#DIV/0!</v>
      </c>
      <c r="V42" s="12">
        <f t="shared" si="2"/>
        <v>0</v>
      </c>
      <c r="W42" s="12">
        <f t="shared" si="3"/>
        <v>0</v>
      </c>
      <c r="X42" s="12">
        <f t="shared" si="4"/>
        <v>0</v>
      </c>
      <c r="Y42" s="12">
        <f t="shared" si="5"/>
        <v>0</v>
      </c>
      <c r="Z42" s="12">
        <f t="shared" si="6"/>
        <v>0</v>
      </c>
      <c r="AA42" s="12">
        <f t="shared" si="7"/>
        <v>0</v>
      </c>
      <c r="AB42" s="12">
        <f t="shared" si="8"/>
        <v>0</v>
      </c>
      <c r="AC42" s="12">
        <f t="shared" si="9"/>
        <v>0</v>
      </c>
      <c r="AD42" s="12">
        <f t="shared" si="10"/>
        <v>0</v>
      </c>
      <c r="AE42" s="12" t="e">
        <f t="shared" si="11"/>
        <v>#DIV/0!</v>
      </c>
    </row>
    <row r="43" spans="2:31" ht="14">
      <c r="B43" s="22">
        <v>56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2"/>
      <c r="P43" s="32"/>
      <c r="T43" s="12">
        <f t="shared" si="1"/>
        <v>56</v>
      </c>
      <c r="U43" s="12" t="e">
        <f t="shared" si="12"/>
        <v>#DIV/0!</v>
      </c>
      <c r="V43" s="12">
        <f t="shared" si="2"/>
        <v>0</v>
      </c>
      <c r="W43" s="12">
        <f t="shared" si="3"/>
        <v>0</v>
      </c>
      <c r="X43" s="12">
        <f t="shared" si="4"/>
        <v>0</v>
      </c>
      <c r="Y43" s="12">
        <f t="shared" si="5"/>
        <v>0</v>
      </c>
      <c r="Z43" s="12">
        <f t="shared" si="6"/>
        <v>0</v>
      </c>
      <c r="AA43" s="12">
        <f t="shared" si="7"/>
        <v>0</v>
      </c>
      <c r="AB43" s="12">
        <f t="shared" si="8"/>
        <v>0</v>
      </c>
      <c r="AC43" s="12">
        <f t="shared" si="9"/>
        <v>0</v>
      </c>
      <c r="AD43" s="12">
        <f t="shared" si="10"/>
        <v>0</v>
      </c>
      <c r="AE43" s="12" t="e">
        <f t="shared" si="11"/>
        <v>#DIV/0!</v>
      </c>
    </row>
    <row r="44" spans="2:31">
      <c r="B44" s="22">
        <v>57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T44" s="12">
        <f t="shared" si="1"/>
        <v>57</v>
      </c>
      <c r="U44" s="12" t="e">
        <f t="shared" si="12"/>
        <v>#DIV/0!</v>
      </c>
      <c r="V44" s="12">
        <f t="shared" si="2"/>
        <v>0</v>
      </c>
      <c r="W44" s="12">
        <f t="shared" si="3"/>
        <v>0</v>
      </c>
      <c r="X44" s="12">
        <f t="shared" si="4"/>
        <v>0</v>
      </c>
      <c r="Y44" s="12">
        <f t="shared" si="5"/>
        <v>0</v>
      </c>
      <c r="Z44" s="12">
        <f t="shared" si="6"/>
        <v>0</v>
      </c>
      <c r="AA44" s="12">
        <f t="shared" si="7"/>
        <v>0</v>
      </c>
      <c r="AB44" s="12">
        <f t="shared" si="8"/>
        <v>0</v>
      </c>
      <c r="AC44" s="12">
        <f t="shared" si="9"/>
        <v>0</v>
      </c>
      <c r="AD44" s="12">
        <f t="shared" si="10"/>
        <v>0</v>
      </c>
      <c r="AE44" s="12" t="e">
        <f t="shared" si="11"/>
        <v>#DIV/0!</v>
      </c>
    </row>
    <row r="45" spans="2:31">
      <c r="B45" s="22">
        <v>58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T45" s="12">
        <f t="shared" si="1"/>
        <v>58</v>
      </c>
      <c r="U45" s="12" t="e">
        <f t="shared" si="12"/>
        <v>#DIV/0!</v>
      </c>
      <c r="V45" s="12">
        <f t="shared" si="2"/>
        <v>0</v>
      </c>
      <c r="W45" s="12">
        <f t="shared" si="3"/>
        <v>0</v>
      </c>
      <c r="X45" s="12">
        <f t="shared" si="4"/>
        <v>0</v>
      </c>
      <c r="Y45" s="12">
        <f t="shared" si="5"/>
        <v>0</v>
      </c>
      <c r="Z45" s="12">
        <f t="shared" si="6"/>
        <v>0</v>
      </c>
      <c r="AA45" s="12">
        <f t="shared" si="7"/>
        <v>0</v>
      </c>
      <c r="AB45" s="12">
        <f t="shared" si="8"/>
        <v>0</v>
      </c>
      <c r="AC45" s="12">
        <f t="shared" si="9"/>
        <v>0</v>
      </c>
      <c r="AD45" s="12">
        <f t="shared" si="10"/>
        <v>0</v>
      </c>
      <c r="AE45" s="12" t="e">
        <f t="shared" si="11"/>
        <v>#DIV/0!</v>
      </c>
    </row>
    <row r="46" spans="2:31">
      <c r="B46" s="22">
        <v>59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T46" s="12">
        <f t="shared" si="1"/>
        <v>59</v>
      </c>
      <c r="U46" s="12" t="e">
        <f t="shared" si="12"/>
        <v>#DIV/0!</v>
      </c>
      <c r="V46" s="12">
        <f t="shared" si="2"/>
        <v>0</v>
      </c>
      <c r="W46" s="12">
        <f t="shared" si="3"/>
        <v>0</v>
      </c>
      <c r="X46" s="12">
        <f t="shared" si="4"/>
        <v>0</v>
      </c>
      <c r="Y46" s="12">
        <f t="shared" si="5"/>
        <v>0</v>
      </c>
      <c r="Z46" s="12">
        <f t="shared" si="6"/>
        <v>0</v>
      </c>
      <c r="AA46" s="12">
        <f t="shared" si="7"/>
        <v>0</v>
      </c>
      <c r="AB46" s="12">
        <f t="shared" si="8"/>
        <v>0</v>
      </c>
      <c r="AC46" s="12">
        <f t="shared" si="9"/>
        <v>0</v>
      </c>
      <c r="AD46" s="12">
        <f t="shared" si="10"/>
        <v>0</v>
      </c>
      <c r="AE46" s="12" t="e">
        <f t="shared" si="11"/>
        <v>#DIV/0!</v>
      </c>
    </row>
    <row r="47" spans="2:31">
      <c r="B47" s="22">
        <v>60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T47" s="12">
        <f t="shared" si="1"/>
        <v>60</v>
      </c>
      <c r="U47" s="12" t="e">
        <f t="shared" si="12"/>
        <v>#DIV/0!</v>
      </c>
      <c r="V47" s="12">
        <f t="shared" si="2"/>
        <v>0</v>
      </c>
      <c r="W47" s="12">
        <f t="shared" si="3"/>
        <v>0</v>
      </c>
      <c r="X47" s="12">
        <f t="shared" si="4"/>
        <v>0</v>
      </c>
      <c r="Y47" s="12">
        <f t="shared" si="5"/>
        <v>0</v>
      </c>
      <c r="Z47" s="12">
        <f t="shared" si="6"/>
        <v>0</v>
      </c>
      <c r="AA47" s="12">
        <f t="shared" si="7"/>
        <v>0</v>
      </c>
      <c r="AB47" s="12">
        <f t="shared" si="8"/>
        <v>0</v>
      </c>
      <c r="AC47" s="12">
        <f t="shared" si="9"/>
        <v>0</v>
      </c>
      <c r="AD47" s="12">
        <f t="shared" si="10"/>
        <v>0</v>
      </c>
      <c r="AE47" s="12" t="e">
        <f t="shared" si="11"/>
        <v>#DIV/0!</v>
      </c>
    </row>
    <row r="48" spans="2:31">
      <c r="B48" s="17" t="s">
        <v>7</v>
      </c>
      <c r="C48" s="41">
        <f>SUM(C4:C47)</f>
        <v>0</v>
      </c>
      <c r="D48" s="41">
        <f t="shared" ref="D48:N48" si="14">SUM(D4:D47)</f>
        <v>9</v>
      </c>
      <c r="E48" s="41">
        <f t="shared" si="14"/>
        <v>90</v>
      </c>
      <c r="F48" s="41">
        <f t="shared" si="14"/>
        <v>145</v>
      </c>
      <c r="G48" s="41">
        <f t="shared" si="14"/>
        <v>107</v>
      </c>
      <c r="H48" s="41">
        <f t="shared" si="14"/>
        <v>86</v>
      </c>
      <c r="I48" s="41">
        <f t="shared" si="14"/>
        <v>65</v>
      </c>
      <c r="J48" s="41">
        <f t="shared" si="14"/>
        <v>13</v>
      </c>
      <c r="K48" s="41">
        <f t="shared" si="14"/>
        <v>2</v>
      </c>
      <c r="L48" s="41">
        <f t="shared" si="14"/>
        <v>1</v>
      </c>
      <c r="M48" s="41">
        <f t="shared" si="14"/>
        <v>0</v>
      </c>
      <c r="N48" s="41">
        <f t="shared" si="14"/>
        <v>1036</v>
      </c>
      <c r="O48" s="32"/>
      <c r="P48" s="32"/>
    </row>
    <row r="49" spans="1:17">
      <c r="A49" s="34"/>
      <c r="B49" s="1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0"/>
      <c r="O49" s="23"/>
      <c r="P49" s="23"/>
      <c r="Q49" s="23"/>
    </row>
    <row r="50" spans="1:17">
      <c r="A50" s="34"/>
      <c r="C50" s="38">
        <f t="shared" ref="C50" si="15">(C49/$N$39)*100</f>
        <v>0</v>
      </c>
      <c r="D50" s="38">
        <f t="shared" ref="D50" si="16">(D49/$N$39)*100</f>
        <v>0</v>
      </c>
      <c r="E50" s="38">
        <f t="shared" ref="E50" si="17">(E49/$N$39)*100</f>
        <v>0</v>
      </c>
      <c r="F50" s="38">
        <f t="shared" ref="F50" si="18">(F49/$N$39)*100</f>
        <v>0</v>
      </c>
      <c r="G50" s="38">
        <f t="shared" ref="G50" si="19">(G49/$N$39)*100</f>
        <v>0</v>
      </c>
      <c r="H50" s="38">
        <f t="shared" ref="H50" si="20">(H49/$N$39)*100</f>
        <v>0</v>
      </c>
      <c r="I50" s="38">
        <f t="shared" ref="I50" si="21">(I49/$N$39)*100</f>
        <v>0</v>
      </c>
      <c r="J50" s="38">
        <f t="shared" ref="J50" si="22">(J49/$N$39)*100</f>
        <v>0</v>
      </c>
      <c r="K50" s="38">
        <f t="shared" ref="K50" si="23">(K49/$N$39)*100</f>
        <v>0</v>
      </c>
      <c r="L50" s="38">
        <f t="shared" ref="L50" si="24">(L49/$N$39)*100</f>
        <v>0</v>
      </c>
      <c r="M50" s="38"/>
      <c r="N50" s="39">
        <f>SUM(C50:L50)</f>
        <v>0</v>
      </c>
      <c r="O50" s="32"/>
      <c r="P50" s="32"/>
    </row>
    <row r="51" spans="1:17">
      <c r="A51" s="34"/>
      <c r="B51" s="23"/>
      <c r="C51" s="33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3"/>
      <c r="O51" s="32"/>
      <c r="P51" s="32"/>
    </row>
    <row r="52" spans="1:17">
      <c r="A52" s="34"/>
      <c r="B52" s="23"/>
      <c r="C52" s="33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3"/>
      <c r="O52" s="32"/>
      <c r="P52" s="32"/>
    </row>
    <row r="53" spans="1:17">
      <c r="A53" s="34"/>
      <c r="B53" s="23"/>
      <c r="C53" s="33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3"/>
      <c r="O53" s="32"/>
      <c r="P53" s="32"/>
    </row>
    <row r="54" spans="1:17">
      <c r="A54" s="34"/>
      <c r="B54" s="23"/>
      <c r="C54" s="33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3"/>
      <c r="O54" s="32"/>
      <c r="P54" s="32"/>
    </row>
    <row r="55" spans="1:17">
      <c r="A55" s="34"/>
      <c r="B55" s="23"/>
      <c r="C55" s="33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3"/>
      <c r="O55" s="32"/>
      <c r="P55" s="32"/>
    </row>
    <row r="56" spans="1:17">
      <c r="A56" s="34"/>
      <c r="B56" s="23"/>
      <c r="C56" s="33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3"/>
      <c r="O56" s="32"/>
      <c r="P56" s="32"/>
    </row>
    <row r="57" spans="1:17">
      <c r="A57" s="34"/>
      <c r="B57" s="23"/>
      <c r="C57" s="33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3"/>
      <c r="O57" s="32"/>
      <c r="P57" s="32"/>
    </row>
    <row r="58" spans="1:17">
      <c r="A58" s="34"/>
      <c r="B58" s="23"/>
      <c r="C58" s="33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3"/>
      <c r="O58" s="32"/>
      <c r="P58" s="32"/>
    </row>
    <row r="59" spans="1:17">
      <c r="A59" s="34"/>
      <c r="B59" s="23"/>
      <c r="C59" s="33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3"/>
      <c r="O59" s="32"/>
      <c r="P59" s="32"/>
    </row>
    <row r="60" spans="1:17">
      <c r="A60" s="34"/>
      <c r="B60" s="23"/>
      <c r="C60" s="33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3"/>
      <c r="O60" s="32"/>
      <c r="P60" s="32"/>
    </row>
    <row r="61" spans="1:17">
      <c r="A61" s="34"/>
      <c r="B61" s="23"/>
      <c r="C61" s="33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3"/>
      <c r="O61" s="32"/>
      <c r="P61" s="32"/>
    </row>
    <row r="62" spans="1:17">
      <c r="A62" s="34"/>
      <c r="B62" s="23"/>
      <c r="C62" s="33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3"/>
      <c r="O62" s="32"/>
      <c r="P62" s="32"/>
    </row>
    <row r="63" spans="1:17">
      <c r="A63" s="34"/>
      <c r="B63" s="23"/>
      <c r="C63" s="33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3"/>
      <c r="O63" s="32"/>
      <c r="P63" s="32"/>
    </row>
    <row r="64" spans="1:17">
      <c r="A64" s="34"/>
      <c r="B64" s="23"/>
      <c r="C64" s="33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3"/>
      <c r="O64" s="32"/>
      <c r="P64" s="32"/>
    </row>
    <row r="65" spans="1:16">
      <c r="A65" s="34"/>
      <c r="B65" s="23"/>
      <c r="C65" s="33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3"/>
      <c r="O65" s="32"/>
      <c r="P65" s="32"/>
    </row>
    <row r="66" spans="1:16">
      <c r="A66" s="34"/>
      <c r="B66" s="23"/>
      <c r="C66" s="33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3"/>
      <c r="O66" s="32"/>
      <c r="P66" s="32"/>
    </row>
    <row r="67" spans="1:16">
      <c r="A67" s="34"/>
      <c r="B67" s="23"/>
      <c r="C67" s="33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3"/>
      <c r="O67" s="32"/>
      <c r="P67" s="32"/>
    </row>
    <row r="68" spans="1:16">
      <c r="A68" s="34"/>
      <c r="B68" s="23"/>
      <c r="C68" s="33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3"/>
      <c r="O68" s="32"/>
      <c r="P68" s="32"/>
    </row>
    <row r="69" spans="1:16">
      <c r="A69" s="34"/>
      <c r="B69" s="23"/>
      <c r="C69" s="33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3"/>
      <c r="O69" s="32"/>
      <c r="P69" s="32"/>
    </row>
    <row r="70" spans="1:16">
      <c r="A70" s="34"/>
      <c r="B70" s="23"/>
      <c r="C70" s="33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3"/>
      <c r="O70" s="32"/>
      <c r="P70" s="32"/>
    </row>
    <row r="71" spans="1:16">
      <c r="A71" s="34"/>
      <c r="B71" s="23"/>
      <c r="C71" s="33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3"/>
      <c r="O71" s="32"/>
      <c r="P71" s="32"/>
    </row>
    <row r="72" spans="1:16">
      <c r="A72" s="34"/>
      <c r="B72" s="23"/>
      <c r="C72" s="33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3"/>
      <c r="O72" s="32"/>
      <c r="P72" s="32"/>
    </row>
    <row r="73" spans="1:16">
      <c r="A73" s="34"/>
      <c r="B73" s="23"/>
      <c r="C73" s="33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3"/>
      <c r="O73" s="32"/>
      <c r="P73" s="32"/>
    </row>
    <row r="74" spans="1:16">
      <c r="A74" s="34"/>
      <c r="B74" s="23"/>
      <c r="C74" s="33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3"/>
      <c r="O74" s="32"/>
      <c r="P74" s="32"/>
    </row>
    <row r="75" spans="1:16">
      <c r="A75" s="34"/>
      <c r="B75" s="23"/>
      <c r="C75" s="33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3"/>
      <c r="O75" s="32"/>
      <c r="P75" s="32"/>
    </row>
    <row r="76" spans="1:16">
      <c r="A76" s="34"/>
      <c r="B76" s="23"/>
      <c r="C76" s="33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3"/>
      <c r="O76" s="32"/>
      <c r="P76" s="32"/>
    </row>
    <row r="77" spans="1:16">
      <c r="A77" s="34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2"/>
      <c r="P77" s="32"/>
    </row>
    <row r="78" spans="1:16">
      <c r="A78" s="34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2"/>
      <c r="P78" s="32"/>
    </row>
    <row r="79" spans="1:16">
      <c r="A79" s="34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2"/>
      <c r="P79" s="32"/>
    </row>
    <row r="80" spans="1:16">
      <c r="A80" s="34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2"/>
      <c r="P80" s="32"/>
    </row>
    <row r="81" spans="1:16">
      <c r="A81" s="34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2"/>
      <c r="P81" s="32"/>
    </row>
    <row r="82" spans="1:16">
      <c r="A82" s="34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2"/>
      <c r="P82" s="32"/>
    </row>
    <row r="83" spans="1:16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</row>
    <row r="84" spans="1:16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</row>
    <row r="85" spans="1:16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</row>
    <row r="86" spans="1:16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</row>
    <row r="87" spans="1:16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</row>
    <row r="88" spans="1:16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</row>
    <row r="89" spans="1:16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</row>
    <row r="90" spans="1:16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</row>
    <row r="91" spans="1:16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</row>
    <row r="92" spans="1:16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</row>
    <row r="93" spans="1:16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</row>
    <row r="94" spans="1:16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</row>
    <row r="95" spans="1:16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</row>
    <row r="96" spans="1:16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</row>
    <row r="97" spans="2:16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</row>
    <row r="98" spans="2:16"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</row>
    <row r="99" spans="2:16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</row>
    <row r="100" spans="2:16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</row>
    <row r="101" spans="2:16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</row>
    <row r="102" spans="2:16"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</row>
    <row r="103" spans="2:16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</row>
    <row r="104" spans="2:16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</row>
    <row r="105" spans="2:16"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</row>
    <row r="106" spans="2:16"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</row>
    <row r="107" spans="2:16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</row>
    <row r="108" spans="2:16"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</row>
    <row r="109" spans="2:16"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</row>
    <row r="110" spans="2:16"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</row>
    <row r="111" spans="2:16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</row>
    <row r="112" spans="2:16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</row>
    <row r="113" spans="2:16"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</row>
    <row r="114" spans="2:16"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</row>
    <row r="115" spans="2:16"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</row>
    <row r="116" spans="2:16"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2:16"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</row>
    <row r="118" spans="2:16"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</row>
    <row r="119" spans="2:16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</row>
    <row r="120" spans="2:16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</row>
    <row r="121" spans="2:16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</row>
    <row r="122" spans="2:16"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</row>
    <row r="123" spans="2:16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</row>
    <row r="124" spans="2:16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</row>
    <row r="125" spans="2:16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</row>
    <row r="126" spans="2:16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 spans="2:16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</row>
    <row r="128" spans="2:16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  <row r="129" spans="2:16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</row>
    <row r="130" spans="2:16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</row>
    <row r="131" spans="2:16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</row>
    <row r="132" spans="2:16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</row>
  </sheetData>
  <mergeCells count="1">
    <mergeCell ref="B1:N1"/>
  </mergeCells>
  <pageMargins left="0.75" right="0.75" top="1" bottom="1" header="0" footer="0"/>
  <pageSetup orientation="portrait" horizontalDpi="4294967293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E52"/>
  <sheetViews>
    <sheetView topLeftCell="K20" workbookViewId="0">
      <selection activeCell="AB49" sqref="AB49"/>
    </sheetView>
  </sheetViews>
  <sheetFormatPr defaultColWidth="9.08984375" defaultRowHeight="12.5"/>
  <cols>
    <col min="1" max="1" width="11.453125" style="12" customWidth="1"/>
    <col min="2" max="2" width="11.453125" style="13" customWidth="1"/>
    <col min="3" max="3" width="5.90625" style="13" customWidth="1"/>
    <col min="4" max="4" width="5.6328125" style="13" customWidth="1"/>
    <col min="5" max="5" width="5.36328125" style="13" customWidth="1"/>
    <col min="6" max="6" width="5.54296875" style="13" customWidth="1"/>
    <col min="7" max="7" width="5.90625" style="13" customWidth="1"/>
    <col min="8" max="8" width="5.453125" style="13" customWidth="1"/>
    <col min="9" max="9" width="5.90625" style="13" customWidth="1"/>
    <col min="10" max="10" width="5.36328125" style="13" customWidth="1"/>
    <col min="11" max="12" width="5.90625" style="13" customWidth="1"/>
    <col min="13" max="13" width="6" style="13" customWidth="1"/>
    <col min="14" max="14" width="7.08984375" style="13" customWidth="1"/>
    <col min="15" max="256" width="11.453125" style="12" customWidth="1"/>
    <col min="257" max="16384" width="9.08984375" style="12"/>
  </cols>
  <sheetData>
    <row r="2" spans="2:31">
      <c r="B2" s="122" t="s">
        <v>18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4" spans="2:31">
      <c r="B4" s="25" t="s">
        <v>0</v>
      </c>
      <c r="C4" s="24" t="s">
        <v>1</v>
      </c>
      <c r="D4" s="24" t="s">
        <v>2</v>
      </c>
      <c r="E4" s="24" t="s">
        <v>3</v>
      </c>
      <c r="F4" s="24" t="s">
        <v>4</v>
      </c>
      <c r="G4" s="24" t="s">
        <v>5</v>
      </c>
      <c r="H4" s="24" t="s">
        <v>6</v>
      </c>
      <c r="I4" s="24" t="s">
        <v>9</v>
      </c>
      <c r="J4" s="24" t="s">
        <v>10</v>
      </c>
      <c r="K4" s="24" t="s">
        <v>11</v>
      </c>
      <c r="L4" s="24" t="s">
        <v>12</v>
      </c>
      <c r="M4" s="24" t="s">
        <v>13</v>
      </c>
      <c r="N4" s="26" t="s">
        <v>7</v>
      </c>
      <c r="U4" s="12">
        <v>2</v>
      </c>
      <c r="V4" s="12">
        <v>3</v>
      </c>
      <c r="W4" s="12">
        <v>4</v>
      </c>
      <c r="X4" s="12">
        <v>5</v>
      </c>
      <c r="Y4" s="12">
        <v>6</v>
      </c>
      <c r="Z4" s="12">
        <v>7</v>
      </c>
      <c r="AA4" s="12">
        <v>8</v>
      </c>
      <c r="AB4" s="12">
        <v>9</v>
      </c>
      <c r="AC4" s="12">
        <v>10</v>
      </c>
      <c r="AD4" s="12">
        <v>11</v>
      </c>
      <c r="AE4" s="12">
        <v>12</v>
      </c>
    </row>
    <row r="5" spans="2:31">
      <c r="B5" s="19">
        <f t="shared" ref="B5:B12" si="0">B6-1</f>
        <v>17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49"/>
      <c r="T5" s="12">
        <f t="shared" ref="T5:T48" si="1">B5</f>
        <v>17</v>
      </c>
      <c r="U5" s="12">
        <f>C5/C$49</f>
        <v>0</v>
      </c>
      <c r="V5" s="12">
        <f t="shared" ref="V5:V48" si="2">D5/D$49</f>
        <v>0</v>
      </c>
      <c r="W5" s="12">
        <f t="shared" ref="W5:W48" si="3">E5/E$49</f>
        <v>0</v>
      </c>
      <c r="X5" s="12">
        <f t="shared" ref="X5:X48" si="4">F5/F$49</f>
        <v>0</v>
      </c>
      <c r="Y5" s="12">
        <f t="shared" ref="Y5:Y48" si="5">G5/G$49</f>
        <v>0</v>
      </c>
      <c r="Z5" s="12">
        <f t="shared" ref="Z5:Z48" si="6">H5/H$49</f>
        <v>0</v>
      </c>
      <c r="AA5" s="12">
        <f t="shared" ref="AA5:AA48" si="7">I5/I$49</f>
        <v>0</v>
      </c>
      <c r="AB5" s="12">
        <f t="shared" ref="AB5:AB48" si="8">J5/J$49</f>
        <v>0</v>
      </c>
      <c r="AC5" s="12">
        <f t="shared" ref="AC5:AC48" si="9">K5/K$49</f>
        <v>0</v>
      </c>
      <c r="AD5" s="12">
        <f t="shared" ref="AD5:AD48" si="10">L5/L$49</f>
        <v>0</v>
      </c>
      <c r="AE5" s="12">
        <f t="shared" ref="AE5:AE48" si="11">M5/M$49</f>
        <v>0</v>
      </c>
    </row>
    <row r="6" spans="2:31">
      <c r="B6" s="19">
        <f t="shared" si="0"/>
        <v>18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49"/>
      <c r="T6" s="12">
        <f t="shared" si="1"/>
        <v>18</v>
      </c>
      <c r="U6" s="12">
        <f t="shared" ref="U6:U48" si="12">C6/C$49</f>
        <v>0</v>
      </c>
      <c r="V6" s="12">
        <f t="shared" si="2"/>
        <v>0</v>
      </c>
      <c r="W6" s="12">
        <f t="shared" si="3"/>
        <v>0</v>
      </c>
      <c r="X6" s="12">
        <f t="shared" si="4"/>
        <v>0</v>
      </c>
      <c r="Y6" s="12">
        <f t="shared" si="5"/>
        <v>0</v>
      </c>
      <c r="Z6" s="12">
        <f t="shared" si="6"/>
        <v>0</v>
      </c>
      <c r="AA6" s="12">
        <f t="shared" si="7"/>
        <v>0</v>
      </c>
      <c r="AB6" s="12">
        <f t="shared" si="8"/>
        <v>0</v>
      </c>
      <c r="AC6" s="12">
        <f t="shared" si="9"/>
        <v>0</v>
      </c>
      <c r="AD6" s="12">
        <f t="shared" si="10"/>
        <v>0</v>
      </c>
      <c r="AE6" s="12">
        <f t="shared" si="11"/>
        <v>0</v>
      </c>
    </row>
    <row r="7" spans="2:31">
      <c r="B7" s="19">
        <f t="shared" si="0"/>
        <v>19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49"/>
      <c r="T7" s="12">
        <f t="shared" si="1"/>
        <v>19</v>
      </c>
      <c r="U7" s="12">
        <f t="shared" si="12"/>
        <v>0</v>
      </c>
      <c r="V7" s="12">
        <f t="shared" si="2"/>
        <v>0</v>
      </c>
      <c r="W7" s="12">
        <f t="shared" si="3"/>
        <v>0</v>
      </c>
      <c r="X7" s="12">
        <f t="shared" si="4"/>
        <v>0</v>
      </c>
      <c r="Y7" s="12">
        <f t="shared" si="5"/>
        <v>0</v>
      </c>
      <c r="Z7" s="12">
        <f t="shared" si="6"/>
        <v>0</v>
      </c>
      <c r="AA7" s="12">
        <f t="shared" si="7"/>
        <v>0</v>
      </c>
      <c r="AB7" s="12">
        <f t="shared" si="8"/>
        <v>0</v>
      </c>
      <c r="AC7" s="12">
        <f t="shared" si="9"/>
        <v>0</v>
      </c>
      <c r="AD7" s="12">
        <f t="shared" si="10"/>
        <v>0</v>
      </c>
      <c r="AE7" s="12">
        <f t="shared" si="11"/>
        <v>0</v>
      </c>
    </row>
    <row r="8" spans="2:31">
      <c r="B8" s="19">
        <f t="shared" si="0"/>
        <v>20</v>
      </c>
      <c r="C8" s="24"/>
      <c r="D8" s="24">
        <v>1</v>
      </c>
      <c r="E8" s="24"/>
      <c r="F8" s="24"/>
      <c r="G8" s="24"/>
      <c r="H8" s="24"/>
      <c r="I8" s="24"/>
      <c r="J8" s="24"/>
      <c r="K8" s="24"/>
      <c r="L8" s="24"/>
      <c r="M8" s="24"/>
      <c r="N8" s="19">
        <f t="shared" ref="N8:N50" si="13">SUM(C8:M8)</f>
        <v>1</v>
      </c>
      <c r="T8" s="12">
        <f t="shared" si="1"/>
        <v>20</v>
      </c>
      <c r="U8" s="12">
        <f t="shared" si="12"/>
        <v>0</v>
      </c>
      <c r="V8" s="12">
        <f t="shared" si="2"/>
        <v>1.8518518518518517E-2</v>
      </c>
      <c r="W8" s="12">
        <f t="shared" si="3"/>
        <v>0</v>
      </c>
      <c r="X8" s="12">
        <f t="shared" si="4"/>
        <v>0</v>
      </c>
      <c r="Y8" s="12">
        <f t="shared" si="5"/>
        <v>0</v>
      </c>
      <c r="Z8" s="12">
        <f t="shared" si="6"/>
        <v>0</v>
      </c>
      <c r="AA8" s="12">
        <f t="shared" si="7"/>
        <v>0</v>
      </c>
      <c r="AB8" s="12">
        <f t="shared" si="8"/>
        <v>0</v>
      </c>
      <c r="AC8" s="12">
        <f t="shared" si="9"/>
        <v>0</v>
      </c>
      <c r="AD8" s="12">
        <f t="shared" si="10"/>
        <v>0</v>
      </c>
      <c r="AE8" s="12">
        <f t="shared" si="11"/>
        <v>0</v>
      </c>
    </row>
    <row r="9" spans="2:31">
      <c r="B9" s="19">
        <f t="shared" si="0"/>
        <v>21</v>
      </c>
      <c r="C9" s="20"/>
      <c r="D9" s="20">
        <v>11</v>
      </c>
      <c r="E9" s="20"/>
      <c r="F9" s="20"/>
      <c r="G9" s="20"/>
      <c r="H9" s="20"/>
      <c r="I9" s="20"/>
      <c r="J9" s="20"/>
      <c r="K9" s="20"/>
      <c r="L9" s="20"/>
      <c r="M9" s="20"/>
      <c r="N9" s="19">
        <f t="shared" si="13"/>
        <v>11</v>
      </c>
      <c r="T9" s="12">
        <f t="shared" si="1"/>
        <v>21</v>
      </c>
      <c r="U9" s="12">
        <f t="shared" si="12"/>
        <v>0</v>
      </c>
      <c r="V9" s="12">
        <f t="shared" si="2"/>
        <v>0.20370370370370369</v>
      </c>
      <c r="W9" s="12">
        <f t="shared" si="3"/>
        <v>0</v>
      </c>
      <c r="X9" s="12">
        <f t="shared" si="4"/>
        <v>0</v>
      </c>
      <c r="Y9" s="12">
        <f t="shared" si="5"/>
        <v>0</v>
      </c>
      <c r="Z9" s="12">
        <f t="shared" si="6"/>
        <v>0</v>
      </c>
      <c r="AA9" s="12">
        <f t="shared" si="7"/>
        <v>0</v>
      </c>
      <c r="AB9" s="12">
        <f t="shared" si="8"/>
        <v>0</v>
      </c>
      <c r="AC9" s="12">
        <f t="shared" si="9"/>
        <v>0</v>
      </c>
      <c r="AD9" s="12">
        <f t="shared" si="10"/>
        <v>0</v>
      </c>
      <c r="AE9" s="12">
        <f t="shared" si="11"/>
        <v>0</v>
      </c>
    </row>
    <row r="10" spans="2:31">
      <c r="B10" s="19">
        <f t="shared" si="0"/>
        <v>22</v>
      </c>
      <c r="C10" s="20"/>
      <c r="D10" s="20">
        <v>11</v>
      </c>
      <c r="E10" s="20">
        <v>15</v>
      </c>
      <c r="F10" s="20"/>
      <c r="G10" s="20"/>
      <c r="H10" s="20"/>
      <c r="I10" s="20"/>
      <c r="J10" s="20"/>
      <c r="K10" s="20"/>
      <c r="L10" s="20"/>
      <c r="M10" s="20"/>
      <c r="N10" s="19">
        <f t="shared" si="13"/>
        <v>26</v>
      </c>
      <c r="T10" s="12">
        <f t="shared" si="1"/>
        <v>22</v>
      </c>
      <c r="U10" s="12">
        <f t="shared" si="12"/>
        <v>0</v>
      </c>
      <c r="V10" s="12">
        <f t="shared" si="2"/>
        <v>0.20370370370370369</v>
      </c>
      <c r="W10" s="12">
        <f t="shared" si="3"/>
        <v>0.10067114093959731</v>
      </c>
      <c r="X10" s="12">
        <f t="shared" si="4"/>
        <v>0</v>
      </c>
      <c r="Y10" s="12">
        <f t="shared" si="5"/>
        <v>0</v>
      </c>
      <c r="Z10" s="12">
        <f t="shared" si="6"/>
        <v>0</v>
      </c>
      <c r="AA10" s="12">
        <f t="shared" si="7"/>
        <v>0</v>
      </c>
      <c r="AB10" s="12">
        <f t="shared" si="8"/>
        <v>0</v>
      </c>
      <c r="AC10" s="12">
        <f t="shared" si="9"/>
        <v>0</v>
      </c>
      <c r="AD10" s="12">
        <f t="shared" si="10"/>
        <v>0</v>
      </c>
      <c r="AE10" s="12">
        <f t="shared" si="11"/>
        <v>0</v>
      </c>
    </row>
    <row r="11" spans="2:31">
      <c r="B11" s="19">
        <f t="shared" si="0"/>
        <v>23</v>
      </c>
      <c r="C11" s="20">
        <v>1</v>
      </c>
      <c r="D11" s="20">
        <v>7</v>
      </c>
      <c r="E11" s="20">
        <v>18</v>
      </c>
      <c r="F11" s="20">
        <v>3</v>
      </c>
      <c r="G11" s="20"/>
      <c r="H11" s="20"/>
      <c r="I11" s="20"/>
      <c r="J11" s="20"/>
      <c r="K11" s="20"/>
      <c r="L11" s="20"/>
      <c r="M11" s="20"/>
      <c r="N11" s="19">
        <f t="shared" si="13"/>
        <v>29</v>
      </c>
      <c r="T11" s="12">
        <f t="shared" si="1"/>
        <v>23</v>
      </c>
      <c r="U11" s="12">
        <f t="shared" si="12"/>
        <v>1</v>
      </c>
      <c r="V11" s="12">
        <f t="shared" si="2"/>
        <v>0.12962962962962962</v>
      </c>
      <c r="W11" s="12">
        <f t="shared" si="3"/>
        <v>0.12080536912751678</v>
      </c>
      <c r="X11" s="12">
        <f t="shared" si="4"/>
        <v>1.2987012987012988E-2</v>
      </c>
      <c r="Y11" s="12">
        <f t="shared" si="5"/>
        <v>0</v>
      </c>
      <c r="Z11" s="12">
        <f t="shared" si="6"/>
        <v>0</v>
      </c>
      <c r="AA11" s="12">
        <f t="shared" si="7"/>
        <v>0</v>
      </c>
      <c r="AB11" s="12">
        <f t="shared" si="8"/>
        <v>0</v>
      </c>
      <c r="AC11" s="12">
        <f t="shared" si="9"/>
        <v>0</v>
      </c>
      <c r="AD11" s="12">
        <f t="shared" si="10"/>
        <v>0</v>
      </c>
      <c r="AE11" s="12">
        <f t="shared" si="11"/>
        <v>0</v>
      </c>
    </row>
    <row r="12" spans="2:31">
      <c r="B12" s="19">
        <f t="shared" si="0"/>
        <v>24</v>
      </c>
      <c r="D12" s="13">
        <v>7</v>
      </c>
      <c r="E12" s="13">
        <v>22</v>
      </c>
      <c r="F12" s="13">
        <v>3</v>
      </c>
      <c r="G12" s="20"/>
      <c r="H12" s="20"/>
      <c r="I12" s="20"/>
      <c r="J12" s="20"/>
      <c r="K12" s="20"/>
      <c r="L12" s="20"/>
      <c r="M12" s="20"/>
      <c r="N12" s="19">
        <f t="shared" si="13"/>
        <v>32</v>
      </c>
      <c r="T12" s="12">
        <f t="shared" si="1"/>
        <v>24</v>
      </c>
      <c r="U12" s="12">
        <f t="shared" si="12"/>
        <v>0</v>
      </c>
      <c r="V12" s="12">
        <f t="shared" si="2"/>
        <v>0.12962962962962962</v>
      </c>
      <c r="W12" s="12">
        <f t="shared" si="3"/>
        <v>0.1476510067114094</v>
      </c>
      <c r="X12" s="12">
        <f t="shared" si="4"/>
        <v>1.2987012987012988E-2</v>
      </c>
      <c r="Y12" s="12">
        <f t="shared" si="5"/>
        <v>0</v>
      </c>
      <c r="Z12" s="12">
        <f t="shared" si="6"/>
        <v>0</v>
      </c>
      <c r="AA12" s="12">
        <f t="shared" si="7"/>
        <v>0</v>
      </c>
      <c r="AB12" s="12">
        <f t="shared" si="8"/>
        <v>0</v>
      </c>
      <c r="AC12" s="12">
        <f t="shared" si="9"/>
        <v>0</v>
      </c>
      <c r="AD12" s="12">
        <f t="shared" si="10"/>
        <v>0</v>
      </c>
      <c r="AE12" s="12">
        <f t="shared" si="11"/>
        <v>0</v>
      </c>
    </row>
    <row r="13" spans="2:31">
      <c r="B13" s="19">
        <v>25</v>
      </c>
      <c r="C13" s="20"/>
      <c r="D13" s="20">
        <v>6</v>
      </c>
      <c r="E13" s="20">
        <v>22</v>
      </c>
      <c r="F13" s="20">
        <v>16</v>
      </c>
      <c r="G13" s="20">
        <v>7</v>
      </c>
      <c r="H13" s="20">
        <v>3</v>
      </c>
      <c r="I13" s="20"/>
      <c r="J13" s="20"/>
      <c r="K13" s="20"/>
      <c r="L13" s="20"/>
      <c r="M13" s="20"/>
      <c r="N13" s="19">
        <f t="shared" si="13"/>
        <v>54</v>
      </c>
      <c r="T13" s="12">
        <f t="shared" si="1"/>
        <v>25</v>
      </c>
      <c r="U13" s="12">
        <f t="shared" si="12"/>
        <v>0</v>
      </c>
      <c r="V13" s="12">
        <f t="shared" si="2"/>
        <v>0.1111111111111111</v>
      </c>
      <c r="W13" s="12">
        <f t="shared" si="3"/>
        <v>0.1476510067114094</v>
      </c>
      <c r="X13" s="12">
        <f t="shared" si="4"/>
        <v>6.9264069264069264E-2</v>
      </c>
      <c r="Y13" s="12">
        <f t="shared" si="5"/>
        <v>2.0710059171597635E-2</v>
      </c>
      <c r="Z13" s="12">
        <f t="shared" si="6"/>
        <v>1.0830324909747292E-2</v>
      </c>
      <c r="AA13" s="12">
        <f t="shared" si="7"/>
        <v>0</v>
      </c>
      <c r="AB13" s="12">
        <f t="shared" si="8"/>
        <v>0</v>
      </c>
      <c r="AC13" s="12">
        <f t="shared" si="9"/>
        <v>0</v>
      </c>
      <c r="AD13" s="12">
        <f t="shared" si="10"/>
        <v>0</v>
      </c>
      <c r="AE13" s="12">
        <f t="shared" si="11"/>
        <v>0</v>
      </c>
    </row>
    <row r="14" spans="2:31">
      <c r="B14" s="19">
        <v>26</v>
      </c>
      <c r="C14" s="20"/>
      <c r="D14" s="20">
        <v>8</v>
      </c>
      <c r="E14" s="20">
        <v>23</v>
      </c>
      <c r="F14" s="23">
        <v>37</v>
      </c>
      <c r="G14" s="20">
        <v>18</v>
      </c>
      <c r="H14" s="20">
        <v>3</v>
      </c>
      <c r="I14" s="20"/>
      <c r="J14" s="20"/>
      <c r="K14" s="20"/>
      <c r="L14" s="20"/>
      <c r="M14" s="20"/>
      <c r="N14" s="19">
        <f t="shared" si="13"/>
        <v>89</v>
      </c>
      <c r="T14" s="12">
        <f t="shared" si="1"/>
        <v>26</v>
      </c>
      <c r="U14" s="12">
        <f t="shared" si="12"/>
        <v>0</v>
      </c>
      <c r="V14" s="12">
        <f t="shared" si="2"/>
        <v>0.14814814814814814</v>
      </c>
      <c r="W14" s="12">
        <f t="shared" si="3"/>
        <v>0.15436241610738255</v>
      </c>
      <c r="X14" s="12">
        <f t="shared" si="4"/>
        <v>0.16017316017316016</v>
      </c>
      <c r="Y14" s="12">
        <f t="shared" si="5"/>
        <v>5.3254437869822487E-2</v>
      </c>
      <c r="Z14" s="12">
        <f t="shared" si="6"/>
        <v>1.0830324909747292E-2</v>
      </c>
      <c r="AA14" s="12">
        <f t="shared" si="7"/>
        <v>0</v>
      </c>
      <c r="AB14" s="12">
        <f t="shared" si="8"/>
        <v>0</v>
      </c>
      <c r="AC14" s="12">
        <f t="shared" si="9"/>
        <v>0</v>
      </c>
      <c r="AD14" s="12">
        <f t="shared" si="10"/>
        <v>0</v>
      </c>
      <c r="AE14" s="12">
        <f t="shared" si="11"/>
        <v>0</v>
      </c>
    </row>
    <row r="15" spans="2:31">
      <c r="B15" s="19">
        <v>27</v>
      </c>
      <c r="C15" s="20"/>
      <c r="D15" s="20">
        <v>2</v>
      </c>
      <c r="E15" s="20">
        <v>14</v>
      </c>
      <c r="F15" s="23">
        <v>29</v>
      </c>
      <c r="G15" s="20">
        <v>34</v>
      </c>
      <c r="H15" s="20">
        <v>9</v>
      </c>
      <c r="I15" s="20">
        <v>1</v>
      </c>
      <c r="J15" s="20"/>
      <c r="K15" s="20"/>
      <c r="L15" s="20"/>
      <c r="M15" s="20"/>
      <c r="N15" s="19">
        <f t="shared" si="13"/>
        <v>89</v>
      </c>
      <c r="T15" s="12">
        <f t="shared" si="1"/>
        <v>27</v>
      </c>
      <c r="U15" s="12">
        <f t="shared" si="12"/>
        <v>0</v>
      </c>
      <c r="V15" s="12">
        <f t="shared" si="2"/>
        <v>3.7037037037037035E-2</v>
      </c>
      <c r="W15" s="12">
        <f t="shared" si="3"/>
        <v>9.3959731543624164E-2</v>
      </c>
      <c r="X15" s="12">
        <f t="shared" si="4"/>
        <v>0.12554112554112554</v>
      </c>
      <c r="Y15" s="12">
        <f t="shared" si="5"/>
        <v>0.10059171597633136</v>
      </c>
      <c r="Z15" s="12">
        <f t="shared" si="6"/>
        <v>3.2490974729241874E-2</v>
      </c>
      <c r="AA15" s="12">
        <f t="shared" si="7"/>
        <v>4.6296296296296294E-3</v>
      </c>
      <c r="AB15" s="12">
        <f t="shared" si="8"/>
        <v>0</v>
      </c>
      <c r="AC15" s="12">
        <f t="shared" si="9"/>
        <v>0</v>
      </c>
      <c r="AD15" s="12">
        <f t="shared" si="10"/>
        <v>0</v>
      </c>
      <c r="AE15" s="12">
        <f t="shared" si="11"/>
        <v>0</v>
      </c>
    </row>
    <row r="16" spans="2:31">
      <c r="B16" s="19">
        <v>28</v>
      </c>
      <c r="C16" s="20"/>
      <c r="D16" s="23">
        <v>1</v>
      </c>
      <c r="E16" s="23">
        <v>10</v>
      </c>
      <c r="F16" s="23">
        <v>33</v>
      </c>
      <c r="G16" s="23">
        <v>31</v>
      </c>
      <c r="H16" s="23">
        <v>11</v>
      </c>
      <c r="I16" s="23">
        <v>4</v>
      </c>
      <c r="J16" s="23"/>
      <c r="K16" s="23"/>
      <c r="L16" s="23"/>
      <c r="M16" s="23"/>
      <c r="N16" s="19">
        <f t="shared" si="13"/>
        <v>90</v>
      </c>
      <c r="T16" s="12">
        <f t="shared" si="1"/>
        <v>28</v>
      </c>
      <c r="U16" s="12">
        <f t="shared" si="12"/>
        <v>0</v>
      </c>
      <c r="V16" s="12">
        <f t="shared" si="2"/>
        <v>1.8518518518518517E-2</v>
      </c>
      <c r="W16" s="12">
        <f t="shared" si="3"/>
        <v>6.7114093959731544E-2</v>
      </c>
      <c r="X16" s="12">
        <f t="shared" si="4"/>
        <v>0.14285714285714285</v>
      </c>
      <c r="Y16" s="12">
        <f t="shared" si="5"/>
        <v>9.1715976331360943E-2</v>
      </c>
      <c r="Z16" s="12">
        <f t="shared" si="6"/>
        <v>3.9711191335740074E-2</v>
      </c>
      <c r="AA16" s="12">
        <f t="shared" si="7"/>
        <v>1.8518518518518517E-2</v>
      </c>
      <c r="AB16" s="12">
        <f t="shared" si="8"/>
        <v>0</v>
      </c>
      <c r="AC16" s="12">
        <f t="shared" si="9"/>
        <v>0</v>
      </c>
      <c r="AD16" s="12">
        <f t="shared" si="10"/>
        <v>0</v>
      </c>
      <c r="AE16" s="12">
        <f t="shared" si="11"/>
        <v>0</v>
      </c>
    </row>
    <row r="17" spans="2:31">
      <c r="B17" s="19">
        <v>29</v>
      </c>
      <c r="C17" s="20"/>
      <c r="D17" s="20"/>
      <c r="E17" s="23">
        <v>8</v>
      </c>
      <c r="F17" s="23">
        <v>23</v>
      </c>
      <c r="G17" s="23">
        <v>40</v>
      </c>
      <c r="H17" s="23">
        <v>18</v>
      </c>
      <c r="I17" s="23">
        <v>4</v>
      </c>
      <c r="J17" s="23"/>
      <c r="K17" s="23"/>
      <c r="L17" s="23"/>
      <c r="M17" s="23"/>
      <c r="N17" s="19">
        <f t="shared" si="13"/>
        <v>93</v>
      </c>
      <c r="T17" s="12">
        <f t="shared" si="1"/>
        <v>29</v>
      </c>
      <c r="U17" s="12">
        <f t="shared" si="12"/>
        <v>0</v>
      </c>
      <c r="V17" s="12">
        <f t="shared" si="2"/>
        <v>0</v>
      </c>
      <c r="W17" s="12">
        <f t="shared" si="3"/>
        <v>5.3691275167785234E-2</v>
      </c>
      <c r="X17" s="12">
        <f t="shared" si="4"/>
        <v>9.9567099567099568E-2</v>
      </c>
      <c r="Y17" s="12">
        <f t="shared" si="5"/>
        <v>0.11834319526627218</v>
      </c>
      <c r="Z17" s="12">
        <f t="shared" si="6"/>
        <v>6.4981949458483748E-2</v>
      </c>
      <c r="AA17" s="12">
        <f t="shared" si="7"/>
        <v>1.8518518518518517E-2</v>
      </c>
      <c r="AB17" s="12">
        <f t="shared" si="8"/>
        <v>0</v>
      </c>
      <c r="AC17" s="12">
        <f t="shared" si="9"/>
        <v>0</v>
      </c>
      <c r="AD17" s="12">
        <f t="shared" si="10"/>
        <v>0</v>
      </c>
      <c r="AE17" s="12">
        <f t="shared" si="11"/>
        <v>0</v>
      </c>
    </row>
    <row r="18" spans="2:31">
      <c r="B18" s="19">
        <v>30</v>
      </c>
      <c r="C18" s="20"/>
      <c r="D18" s="20"/>
      <c r="E18" s="23">
        <v>7</v>
      </c>
      <c r="F18" s="20">
        <v>22</v>
      </c>
      <c r="G18" s="23">
        <v>32</v>
      </c>
      <c r="H18" s="23">
        <v>25</v>
      </c>
      <c r="I18" s="23">
        <v>9</v>
      </c>
      <c r="J18" s="23">
        <v>2</v>
      </c>
      <c r="K18" s="23"/>
      <c r="L18" s="23"/>
      <c r="M18" s="23"/>
      <c r="N18" s="19">
        <f t="shared" si="13"/>
        <v>97</v>
      </c>
      <c r="T18" s="12">
        <f t="shared" si="1"/>
        <v>30</v>
      </c>
      <c r="U18" s="12">
        <f t="shared" si="12"/>
        <v>0</v>
      </c>
      <c r="V18" s="12">
        <f t="shared" si="2"/>
        <v>0</v>
      </c>
      <c r="W18" s="12">
        <f t="shared" si="3"/>
        <v>4.6979865771812082E-2</v>
      </c>
      <c r="X18" s="12">
        <f t="shared" si="4"/>
        <v>9.5238095238095233E-2</v>
      </c>
      <c r="Y18" s="12">
        <f t="shared" si="5"/>
        <v>9.4674556213017749E-2</v>
      </c>
      <c r="Z18" s="12">
        <f t="shared" si="6"/>
        <v>9.0252707581227443E-2</v>
      </c>
      <c r="AA18" s="12">
        <f t="shared" si="7"/>
        <v>4.1666666666666664E-2</v>
      </c>
      <c r="AB18" s="12">
        <f t="shared" si="8"/>
        <v>9.5238095238095247E-3</v>
      </c>
      <c r="AC18" s="12">
        <f t="shared" si="9"/>
        <v>0</v>
      </c>
      <c r="AD18" s="12">
        <f t="shared" si="10"/>
        <v>0</v>
      </c>
      <c r="AE18" s="12">
        <f t="shared" si="11"/>
        <v>0</v>
      </c>
    </row>
    <row r="19" spans="2:31">
      <c r="B19" s="19">
        <v>31</v>
      </c>
      <c r="C19" s="20"/>
      <c r="D19" s="20"/>
      <c r="E19" s="23">
        <v>5</v>
      </c>
      <c r="F19" s="23">
        <v>23</v>
      </c>
      <c r="G19" s="23">
        <v>33</v>
      </c>
      <c r="H19" s="23">
        <v>23</v>
      </c>
      <c r="I19" s="23">
        <v>10</v>
      </c>
      <c r="J19" s="23">
        <v>1</v>
      </c>
      <c r="K19" s="23"/>
      <c r="L19" s="23"/>
      <c r="M19" s="23"/>
      <c r="N19" s="19">
        <f t="shared" si="13"/>
        <v>95</v>
      </c>
      <c r="T19" s="12">
        <f t="shared" si="1"/>
        <v>31</v>
      </c>
      <c r="U19" s="12">
        <f t="shared" si="12"/>
        <v>0</v>
      </c>
      <c r="V19" s="12">
        <f t="shared" si="2"/>
        <v>0</v>
      </c>
      <c r="W19" s="12">
        <f t="shared" si="3"/>
        <v>3.3557046979865772E-2</v>
      </c>
      <c r="X19" s="12">
        <f t="shared" si="4"/>
        <v>9.9567099567099568E-2</v>
      </c>
      <c r="Y19" s="12">
        <f t="shared" si="5"/>
        <v>9.7633136094674555E-2</v>
      </c>
      <c r="Z19" s="12">
        <f t="shared" si="6"/>
        <v>8.3032490974729242E-2</v>
      </c>
      <c r="AA19" s="12">
        <f t="shared" si="7"/>
        <v>4.6296296296296294E-2</v>
      </c>
      <c r="AB19" s="12">
        <f t="shared" si="8"/>
        <v>4.7619047619047623E-3</v>
      </c>
      <c r="AC19" s="12">
        <f t="shared" si="9"/>
        <v>0</v>
      </c>
      <c r="AD19" s="12">
        <f t="shared" si="10"/>
        <v>0</v>
      </c>
      <c r="AE19" s="12">
        <f t="shared" si="11"/>
        <v>0</v>
      </c>
    </row>
    <row r="20" spans="2:31">
      <c r="B20" s="19">
        <v>32</v>
      </c>
      <c r="C20" s="20"/>
      <c r="D20" s="20"/>
      <c r="E20" s="23">
        <v>1</v>
      </c>
      <c r="F20" s="23">
        <v>18</v>
      </c>
      <c r="G20" s="23">
        <v>46</v>
      </c>
      <c r="H20" s="23">
        <v>32</v>
      </c>
      <c r="I20" s="23">
        <v>6</v>
      </c>
      <c r="J20" s="23">
        <v>1</v>
      </c>
      <c r="K20" s="23"/>
      <c r="L20" s="23"/>
      <c r="M20" s="23"/>
      <c r="N20" s="19">
        <f t="shared" si="13"/>
        <v>104</v>
      </c>
      <c r="T20" s="12">
        <f t="shared" si="1"/>
        <v>32</v>
      </c>
      <c r="U20" s="12">
        <f t="shared" si="12"/>
        <v>0</v>
      </c>
      <c r="V20" s="12">
        <f t="shared" si="2"/>
        <v>0</v>
      </c>
      <c r="W20" s="12">
        <f t="shared" si="3"/>
        <v>6.7114093959731542E-3</v>
      </c>
      <c r="X20" s="12">
        <f t="shared" si="4"/>
        <v>7.792207792207792E-2</v>
      </c>
      <c r="Y20" s="12">
        <f t="shared" si="5"/>
        <v>0.13609467455621302</v>
      </c>
      <c r="Z20" s="12">
        <f t="shared" si="6"/>
        <v>0.11552346570397112</v>
      </c>
      <c r="AA20" s="12">
        <f t="shared" si="7"/>
        <v>2.7777777777777776E-2</v>
      </c>
      <c r="AB20" s="12">
        <f t="shared" si="8"/>
        <v>4.7619047619047623E-3</v>
      </c>
      <c r="AC20" s="12">
        <f t="shared" si="9"/>
        <v>0</v>
      </c>
      <c r="AD20" s="12">
        <f t="shared" si="10"/>
        <v>0</v>
      </c>
      <c r="AE20" s="12">
        <f t="shared" si="11"/>
        <v>0</v>
      </c>
    </row>
    <row r="21" spans="2:31">
      <c r="B21" s="19">
        <v>33</v>
      </c>
      <c r="C21" s="20"/>
      <c r="D21" s="20"/>
      <c r="E21" s="20">
        <v>4</v>
      </c>
      <c r="F21" s="23">
        <v>15</v>
      </c>
      <c r="G21" s="23">
        <v>33</v>
      </c>
      <c r="H21" s="23">
        <v>27</v>
      </c>
      <c r="I21" s="23">
        <v>9</v>
      </c>
      <c r="J21" s="23">
        <v>2</v>
      </c>
      <c r="K21" s="23"/>
      <c r="L21" s="23"/>
      <c r="M21" s="23"/>
      <c r="N21" s="19">
        <f t="shared" si="13"/>
        <v>90</v>
      </c>
      <c r="T21" s="12">
        <f t="shared" si="1"/>
        <v>33</v>
      </c>
      <c r="U21" s="12">
        <f t="shared" si="12"/>
        <v>0</v>
      </c>
      <c r="V21" s="12">
        <f t="shared" si="2"/>
        <v>0</v>
      </c>
      <c r="W21" s="12">
        <f t="shared" si="3"/>
        <v>2.6845637583892617E-2</v>
      </c>
      <c r="X21" s="12">
        <f t="shared" si="4"/>
        <v>6.4935064935064929E-2</v>
      </c>
      <c r="Y21" s="12">
        <f t="shared" si="5"/>
        <v>9.7633136094674555E-2</v>
      </c>
      <c r="Z21" s="12">
        <f t="shared" si="6"/>
        <v>9.7472924187725629E-2</v>
      </c>
      <c r="AA21" s="12">
        <f t="shared" si="7"/>
        <v>4.1666666666666664E-2</v>
      </c>
      <c r="AB21" s="12">
        <f t="shared" si="8"/>
        <v>9.5238095238095247E-3</v>
      </c>
      <c r="AC21" s="12">
        <f t="shared" si="9"/>
        <v>0</v>
      </c>
      <c r="AD21" s="12">
        <f t="shared" si="10"/>
        <v>0</v>
      </c>
      <c r="AE21" s="12">
        <f t="shared" si="11"/>
        <v>0</v>
      </c>
    </row>
    <row r="22" spans="2:31">
      <c r="B22" s="19">
        <v>34</v>
      </c>
      <c r="C22" s="20"/>
      <c r="D22" s="20"/>
      <c r="F22" s="20">
        <v>7</v>
      </c>
      <c r="G22" s="23">
        <v>18</v>
      </c>
      <c r="H22" s="23">
        <v>24</v>
      </c>
      <c r="I22" s="23">
        <v>10</v>
      </c>
      <c r="J22" s="23">
        <v>7</v>
      </c>
      <c r="K22" s="23">
        <v>1</v>
      </c>
      <c r="L22" s="23"/>
      <c r="M22" s="23"/>
      <c r="N22" s="19">
        <f t="shared" si="13"/>
        <v>67</v>
      </c>
      <c r="T22" s="12">
        <f t="shared" si="1"/>
        <v>34</v>
      </c>
      <c r="U22" s="12">
        <f t="shared" si="12"/>
        <v>0</v>
      </c>
      <c r="V22" s="12">
        <f t="shared" si="2"/>
        <v>0</v>
      </c>
      <c r="W22" s="12">
        <f t="shared" si="3"/>
        <v>0</v>
      </c>
      <c r="X22" s="12">
        <f t="shared" si="4"/>
        <v>3.0303030303030304E-2</v>
      </c>
      <c r="Y22" s="12">
        <f t="shared" si="5"/>
        <v>5.3254437869822487E-2</v>
      </c>
      <c r="Z22" s="12">
        <f t="shared" si="6"/>
        <v>8.6642599277978335E-2</v>
      </c>
      <c r="AA22" s="12">
        <f t="shared" si="7"/>
        <v>4.6296296296296294E-2</v>
      </c>
      <c r="AB22" s="12">
        <f t="shared" si="8"/>
        <v>3.3333333333333333E-2</v>
      </c>
      <c r="AC22" s="12">
        <f t="shared" si="9"/>
        <v>7.2992700729927005E-3</v>
      </c>
      <c r="AD22" s="12">
        <f t="shared" si="10"/>
        <v>0</v>
      </c>
      <c r="AE22" s="12">
        <f t="shared" si="11"/>
        <v>0</v>
      </c>
    </row>
    <row r="23" spans="2:31">
      <c r="B23" s="19">
        <v>35</v>
      </c>
      <c r="C23" s="20"/>
      <c r="D23" s="20"/>
      <c r="F23" s="20">
        <v>2</v>
      </c>
      <c r="G23" s="23">
        <v>15</v>
      </c>
      <c r="H23" s="23">
        <v>20</v>
      </c>
      <c r="I23" s="23">
        <v>14</v>
      </c>
      <c r="J23" s="23">
        <v>7</v>
      </c>
      <c r="K23" s="23">
        <v>1</v>
      </c>
      <c r="L23" s="23"/>
      <c r="M23" s="23"/>
      <c r="N23" s="19">
        <f t="shared" si="13"/>
        <v>59</v>
      </c>
      <c r="T23" s="12">
        <f t="shared" si="1"/>
        <v>35</v>
      </c>
      <c r="U23" s="12">
        <f t="shared" si="12"/>
        <v>0</v>
      </c>
      <c r="V23" s="12">
        <f t="shared" si="2"/>
        <v>0</v>
      </c>
      <c r="W23" s="12">
        <f t="shared" si="3"/>
        <v>0</v>
      </c>
      <c r="X23" s="12">
        <f t="shared" si="4"/>
        <v>8.658008658008658E-3</v>
      </c>
      <c r="Y23" s="12">
        <f t="shared" si="5"/>
        <v>4.4378698224852069E-2</v>
      </c>
      <c r="Z23" s="12">
        <f t="shared" si="6"/>
        <v>7.2202166064981949E-2</v>
      </c>
      <c r="AA23" s="12">
        <f t="shared" si="7"/>
        <v>6.4814814814814811E-2</v>
      </c>
      <c r="AB23" s="12">
        <f t="shared" si="8"/>
        <v>3.3333333333333333E-2</v>
      </c>
      <c r="AC23" s="12">
        <f t="shared" si="9"/>
        <v>7.2992700729927005E-3</v>
      </c>
      <c r="AD23" s="12">
        <f t="shared" si="10"/>
        <v>0</v>
      </c>
      <c r="AE23" s="12">
        <f t="shared" si="11"/>
        <v>0</v>
      </c>
    </row>
    <row r="24" spans="2:31">
      <c r="B24" s="19">
        <v>36</v>
      </c>
      <c r="C24" s="20"/>
      <c r="D24" s="20"/>
      <c r="G24" s="20">
        <v>14</v>
      </c>
      <c r="H24" s="23">
        <v>22</v>
      </c>
      <c r="I24" s="23">
        <v>11</v>
      </c>
      <c r="J24" s="23">
        <v>2</v>
      </c>
      <c r="K24" s="23"/>
      <c r="L24" s="23"/>
      <c r="M24" s="23"/>
      <c r="N24" s="19">
        <f t="shared" si="13"/>
        <v>49</v>
      </c>
      <c r="T24" s="12">
        <f t="shared" si="1"/>
        <v>36</v>
      </c>
      <c r="U24" s="12">
        <f t="shared" si="12"/>
        <v>0</v>
      </c>
      <c r="V24" s="12">
        <f t="shared" si="2"/>
        <v>0</v>
      </c>
      <c r="W24" s="12">
        <f t="shared" si="3"/>
        <v>0</v>
      </c>
      <c r="X24" s="12">
        <f t="shared" si="4"/>
        <v>0</v>
      </c>
      <c r="Y24" s="12">
        <f t="shared" si="5"/>
        <v>4.142011834319527E-2</v>
      </c>
      <c r="Z24" s="12">
        <f t="shared" si="6"/>
        <v>7.9422382671480149E-2</v>
      </c>
      <c r="AA24" s="12">
        <f t="shared" si="7"/>
        <v>5.0925925925925923E-2</v>
      </c>
      <c r="AB24" s="12">
        <f t="shared" si="8"/>
        <v>9.5238095238095247E-3</v>
      </c>
      <c r="AC24" s="12">
        <f t="shared" si="9"/>
        <v>0</v>
      </c>
      <c r="AD24" s="12">
        <f t="shared" si="10"/>
        <v>0</v>
      </c>
      <c r="AE24" s="12">
        <f t="shared" si="11"/>
        <v>0</v>
      </c>
    </row>
    <row r="25" spans="2:31">
      <c r="B25" s="19">
        <v>37</v>
      </c>
      <c r="C25" s="20"/>
      <c r="D25" s="20"/>
      <c r="E25" s="20"/>
      <c r="F25" s="20"/>
      <c r="G25" s="23">
        <v>1</v>
      </c>
      <c r="H25" s="23">
        <v>11</v>
      </c>
      <c r="I25" s="23">
        <v>13</v>
      </c>
      <c r="J25" s="23">
        <v>19</v>
      </c>
      <c r="K25" s="23">
        <v>6</v>
      </c>
      <c r="L25" s="23">
        <v>2</v>
      </c>
      <c r="M25" s="23"/>
      <c r="N25" s="19">
        <f t="shared" si="13"/>
        <v>52</v>
      </c>
      <c r="T25" s="12">
        <f t="shared" si="1"/>
        <v>37</v>
      </c>
      <c r="U25" s="12">
        <f t="shared" si="12"/>
        <v>0</v>
      </c>
      <c r="V25" s="12">
        <f t="shared" si="2"/>
        <v>0</v>
      </c>
      <c r="W25" s="12">
        <f t="shared" si="3"/>
        <v>0</v>
      </c>
      <c r="X25" s="12">
        <f t="shared" si="4"/>
        <v>0</v>
      </c>
      <c r="Y25" s="12">
        <f t="shared" si="5"/>
        <v>2.9585798816568047E-3</v>
      </c>
      <c r="Z25" s="12">
        <f t="shared" si="6"/>
        <v>3.9711191335740074E-2</v>
      </c>
      <c r="AA25" s="12">
        <f t="shared" si="7"/>
        <v>6.0185185185185182E-2</v>
      </c>
      <c r="AB25" s="12">
        <f t="shared" si="8"/>
        <v>9.0476190476190474E-2</v>
      </c>
      <c r="AC25" s="12">
        <f t="shared" si="9"/>
        <v>4.3795620437956206E-2</v>
      </c>
      <c r="AD25" s="12">
        <f t="shared" si="10"/>
        <v>1.6666666666666666E-2</v>
      </c>
      <c r="AE25" s="12">
        <f t="shared" si="11"/>
        <v>0</v>
      </c>
    </row>
    <row r="26" spans="2:31">
      <c r="B26" s="19">
        <v>38</v>
      </c>
      <c r="C26" s="20"/>
      <c r="D26" s="20"/>
      <c r="E26" s="20"/>
      <c r="F26" s="20"/>
      <c r="G26" s="23">
        <v>9</v>
      </c>
      <c r="H26" s="23">
        <v>12</v>
      </c>
      <c r="I26" s="23">
        <v>11</v>
      </c>
      <c r="J26" s="23">
        <v>12</v>
      </c>
      <c r="K26" s="23">
        <v>4</v>
      </c>
      <c r="L26" s="23"/>
      <c r="M26" s="23"/>
      <c r="N26" s="19">
        <f t="shared" si="13"/>
        <v>48</v>
      </c>
      <c r="T26" s="12">
        <f t="shared" si="1"/>
        <v>38</v>
      </c>
      <c r="U26" s="12">
        <f t="shared" si="12"/>
        <v>0</v>
      </c>
      <c r="V26" s="12">
        <f t="shared" si="2"/>
        <v>0</v>
      </c>
      <c r="W26" s="12">
        <f t="shared" si="3"/>
        <v>0</v>
      </c>
      <c r="X26" s="12">
        <f t="shared" si="4"/>
        <v>0</v>
      </c>
      <c r="Y26" s="12">
        <f t="shared" si="5"/>
        <v>2.6627218934911243E-2</v>
      </c>
      <c r="Z26" s="12">
        <f t="shared" si="6"/>
        <v>4.3321299638989168E-2</v>
      </c>
      <c r="AA26" s="12">
        <f t="shared" si="7"/>
        <v>5.0925925925925923E-2</v>
      </c>
      <c r="AB26" s="12">
        <f t="shared" si="8"/>
        <v>5.7142857142857141E-2</v>
      </c>
      <c r="AC26" s="12">
        <f t="shared" si="9"/>
        <v>2.9197080291970802E-2</v>
      </c>
      <c r="AD26" s="12">
        <f t="shared" si="10"/>
        <v>0</v>
      </c>
      <c r="AE26" s="12">
        <f t="shared" si="11"/>
        <v>0</v>
      </c>
    </row>
    <row r="27" spans="2:31">
      <c r="B27" s="19">
        <v>39</v>
      </c>
      <c r="C27" s="20"/>
      <c r="D27" s="20"/>
      <c r="E27" s="20"/>
      <c r="F27" s="20"/>
      <c r="G27" s="20">
        <v>2</v>
      </c>
      <c r="H27" s="20">
        <v>9</v>
      </c>
      <c r="I27" s="20">
        <v>15</v>
      </c>
      <c r="J27" s="20">
        <v>8</v>
      </c>
      <c r="K27" s="20">
        <v>5</v>
      </c>
      <c r="L27" s="20">
        <v>1</v>
      </c>
      <c r="M27" s="20"/>
      <c r="N27" s="19">
        <f t="shared" si="13"/>
        <v>40</v>
      </c>
      <c r="T27" s="12">
        <f t="shared" si="1"/>
        <v>39</v>
      </c>
      <c r="U27" s="12">
        <f t="shared" si="12"/>
        <v>0</v>
      </c>
      <c r="V27" s="12">
        <f t="shared" si="2"/>
        <v>0</v>
      </c>
      <c r="W27" s="12">
        <f t="shared" si="3"/>
        <v>0</v>
      </c>
      <c r="X27" s="12">
        <f t="shared" si="4"/>
        <v>0</v>
      </c>
      <c r="Y27" s="12">
        <f t="shared" si="5"/>
        <v>5.9171597633136093E-3</v>
      </c>
      <c r="Z27" s="12">
        <f t="shared" si="6"/>
        <v>3.2490974729241874E-2</v>
      </c>
      <c r="AA27" s="12">
        <f t="shared" si="7"/>
        <v>6.9444444444444448E-2</v>
      </c>
      <c r="AB27" s="12">
        <f t="shared" si="8"/>
        <v>3.8095238095238099E-2</v>
      </c>
      <c r="AC27" s="12">
        <f t="shared" si="9"/>
        <v>3.6496350364963501E-2</v>
      </c>
      <c r="AD27" s="12">
        <f t="shared" si="10"/>
        <v>8.3333333333333332E-3</v>
      </c>
      <c r="AE27" s="12">
        <f t="shared" si="11"/>
        <v>0</v>
      </c>
    </row>
    <row r="28" spans="2:31">
      <c r="B28" s="19">
        <v>40</v>
      </c>
      <c r="C28" s="20"/>
      <c r="D28" s="20"/>
      <c r="E28" s="20"/>
      <c r="F28" s="20"/>
      <c r="G28" s="20">
        <v>5</v>
      </c>
      <c r="H28" s="20">
        <v>8</v>
      </c>
      <c r="I28" s="20">
        <v>19</v>
      </c>
      <c r="J28" s="20">
        <v>9</v>
      </c>
      <c r="K28" s="20">
        <v>1</v>
      </c>
      <c r="L28" s="20"/>
      <c r="M28" s="20">
        <v>1</v>
      </c>
      <c r="N28" s="19">
        <f t="shared" si="13"/>
        <v>43</v>
      </c>
      <c r="T28" s="12">
        <f t="shared" si="1"/>
        <v>40</v>
      </c>
      <c r="U28" s="12">
        <f t="shared" si="12"/>
        <v>0</v>
      </c>
      <c r="V28" s="12">
        <f t="shared" si="2"/>
        <v>0</v>
      </c>
      <c r="W28" s="12">
        <f t="shared" si="3"/>
        <v>0</v>
      </c>
      <c r="X28" s="12">
        <f t="shared" si="4"/>
        <v>0</v>
      </c>
      <c r="Y28" s="12">
        <f t="shared" si="5"/>
        <v>1.4792899408284023E-2</v>
      </c>
      <c r="Z28" s="12">
        <f t="shared" si="6"/>
        <v>2.8880866425992781E-2</v>
      </c>
      <c r="AA28" s="12">
        <f t="shared" si="7"/>
        <v>8.7962962962962965E-2</v>
      </c>
      <c r="AB28" s="12">
        <f t="shared" si="8"/>
        <v>4.2857142857142858E-2</v>
      </c>
      <c r="AC28" s="12">
        <f t="shared" si="9"/>
        <v>7.2992700729927005E-3</v>
      </c>
      <c r="AD28" s="12">
        <f t="shared" si="10"/>
        <v>0</v>
      </c>
      <c r="AE28" s="12">
        <f t="shared" si="11"/>
        <v>1.1764705882352941E-2</v>
      </c>
    </row>
    <row r="29" spans="2:31">
      <c r="B29" s="19">
        <v>41</v>
      </c>
      <c r="C29" s="20"/>
      <c r="D29" s="20"/>
      <c r="E29" s="20"/>
      <c r="F29" s="20"/>
      <c r="G29" s="23"/>
      <c r="H29" s="23">
        <v>5</v>
      </c>
      <c r="I29" s="23">
        <v>11</v>
      </c>
      <c r="J29" s="23">
        <v>18</v>
      </c>
      <c r="K29" s="23">
        <v>4</v>
      </c>
      <c r="L29" s="23"/>
      <c r="M29" s="23"/>
      <c r="N29" s="19">
        <f t="shared" si="13"/>
        <v>38</v>
      </c>
      <c r="T29" s="12">
        <f t="shared" si="1"/>
        <v>41</v>
      </c>
      <c r="U29" s="12">
        <f t="shared" si="12"/>
        <v>0</v>
      </c>
      <c r="V29" s="12">
        <f t="shared" si="2"/>
        <v>0</v>
      </c>
      <c r="W29" s="12">
        <f t="shared" si="3"/>
        <v>0</v>
      </c>
      <c r="X29" s="12">
        <f t="shared" si="4"/>
        <v>0</v>
      </c>
      <c r="Y29" s="12">
        <f t="shared" si="5"/>
        <v>0</v>
      </c>
      <c r="Z29" s="12">
        <f t="shared" si="6"/>
        <v>1.8050541516245487E-2</v>
      </c>
      <c r="AA29" s="12">
        <f t="shared" si="7"/>
        <v>5.0925925925925923E-2</v>
      </c>
      <c r="AB29" s="12">
        <f t="shared" si="8"/>
        <v>8.5714285714285715E-2</v>
      </c>
      <c r="AC29" s="12">
        <f t="shared" si="9"/>
        <v>2.9197080291970802E-2</v>
      </c>
      <c r="AD29" s="12">
        <f t="shared" si="10"/>
        <v>0</v>
      </c>
      <c r="AE29" s="12">
        <f t="shared" si="11"/>
        <v>0</v>
      </c>
    </row>
    <row r="30" spans="2:31">
      <c r="B30" s="19">
        <v>42</v>
      </c>
      <c r="C30" s="20"/>
      <c r="D30" s="20"/>
      <c r="E30" s="20"/>
      <c r="F30" s="20"/>
      <c r="G30" s="20"/>
      <c r="H30" s="20">
        <v>8</v>
      </c>
      <c r="I30" s="20">
        <v>16</v>
      </c>
      <c r="J30" s="20">
        <v>17</v>
      </c>
      <c r="K30" s="20">
        <v>1</v>
      </c>
      <c r="L30" s="20">
        <v>2</v>
      </c>
      <c r="M30" s="20"/>
      <c r="N30" s="19">
        <f t="shared" si="13"/>
        <v>44</v>
      </c>
      <c r="T30" s="12">
        <f t="shared" si="1"/>
        <v>42</v>
      </c>
      <c r="U30" s="12">
        <f t="shared" si="12"/>
        <v>0</v>
      </c>
      <c r="V30" s="12">
        <f t="shared" si="2"/>
        <v>0</v>
      </c>
      <c r="W30" s="12">
        <f t="shared" si="3"/>
        <v>0</v>
      </c>
      <c r="X30" s="12">
        <f t="shared" si="4"/>
        <v>0</v>
      </c>
      <c r="Y30" s="12">
        <f t="shared" si="5"/>
        <v>0</v>
      </c>
      <c r="Z30" s="12">
        <f t="shared" si="6"/>
        <v>2.8880866425992781E-2</v>
      </c>
      <c r="AA30" s="12">
        <f t="shared" si="7"/>
        <v>7.407407407407407E-2</v>
      </c>
      <c r="AB30" s="12">
        <f t="shared" si="8"/>
        <v>8.0952380952380956E-2</v>
      </c>
      <c r="AC30" s="12">
        <f t="shared" si="9"/>
        <v>7.2992700729927005E-3</v>
      </c>
      <c r="AD30" s="12">
        <f t="shared" si="10"/>
        <v>1.6666666666666666E-2</v>
      </c>
      <c r="AE30" s="12">
        <f t="shared" si="11"/>
        <v>0</v>
      </c>
    </row>
    <row r="31" spans="2:31">
      <c r="B31" s="19">
        <v>43</v>
      </c>
      <c r="C31" s="20"/>
      <c r="D31" s="20"/>
      <c r="E31" s="20"/>
      <c r="F31" s="20"/>
      <c r="G31" s="20"/>
      <c r="H31" s="20">
        <v>2</v>
      </c>
      <c r="I31" s="20">
        <v>10</v>
      </c>
      <c r="J31" s="20">
        <v>14</v>
      </c>
      <c r="K31" s="20">
        <v>8</v>
      </c>
      <c r="L31" s="20">
        <v>2</v>
      </c>
      <c r="M31" s="20"/>
      <c r="N31" s="19">
        <f t="shared" si="13"/>
        <v>36</v>
      </c>
      <c r="T31" s="12">
        <f t="shared" si="1"/>
        <v>43</v>
      </c>
      <c r="U31" s="12">
        <f t="shared" si="12"/>
        <v>0</v>
      </c>
      <c r="V31" s="12">
        <f t="shared" si="2"/>
        <v>0</v>
      </c>
      <c r="W31" s="12">
        <f t="shared" si="3"/>
        <v>0</v>
      </c>
      <c r="X31" s="12">
        <f t="shared" si="4"/>
        <v>0</v>
      </c>
      <c r="Y31" s="12">
        <f t="shared" si="5"/>
        <v>0</v>
      </c>
      <c r="Z31" s="12">
        <f t="shared" si="6"/>
        <v>7.2202166064981952E-3</v>
      </c>
      <c r="AA31" s="12">
        <f t="shared" si="7"/>
        <v>4.6296296296296294E-2</v>
      </c>
      <c r="AB31" s="12">
        <f t="shared" si="8"/>
        <v>6.6666666666666666E-2</v>
      </c>
      <c r="AC31" s="12">
        <f t="shared" si="9"/>
        <v>5.8394160583941604E-2</v>
      </c>
      <c r="AD31" s="12">
        <f t="shared" si="10"/>
        <v>1.6666666666666666E-2</v>
      </c>
      <c r="AE31" s="12">
        <f t="shared" si="11"/>
        <v>0</v>
      </c>
    </row>
    <row r="32" spans="2:31">
      <c r="B32" s="19">
        <v>44</v>
      </c>
      <c r="C32" s="20"/>
      <c r="D32" s="20"/>
      <c r="E32" s="20"/>
      <c r="F32" s="20"/>
      <c r="G32" s="20"/>
      <c r="H32" s="20"/>
      <c r="I32" s="20">
        <v>10</v>
      </c>
      <c r="J32" s="20">
        <v>11</v>
      </c>
      <c r="K32" s="20">
        <v>6</v>
      </c>
      <c r="L32" s="20">
        <v>6</v>
      </c>
      <c r="M32" s="20"/>
      <c r="N32" s="19">
        <f t="shared" si="13"/>
        <v>33</v>
      </c>
      <c r="T32" s="12">
        <f t="shared" si="1"/>
        <v>44</v>
      </c>
      <c r="U32" s="12">
        <f t="shared" si="12"/>
        <v>0</v>
      </c>
      <c r="V32" s="12">
        <f t="shared" si="2"/>
        <v>0</v>
      </c>
      <c r="W32" s="12">
        <f t="shared" si="3"/>
        <v>0</v>
      </c>
      <c r="X32" s="12">
        <f t="shared" si="4"/>
        <v>0</v>
      </c>
      <c r="Y32" s="12">
        <f t="shared" si="5"/>
        <v>0</v>
      </c>
      <c r="Z32" s="12">
        <f t="shared" si="6"/>
        <v>0</v>
      </c>
      <c r="AA32" s="12">
        <f t="shared" si="7"/>
        <v>4.6296296296296294E-2</v>
      </c>
      <c r="AB32" s="12">
        <f t="shared" si="8"/>
        <v>5.2380952380952382E-2</v>
      </c>
      <c r="AC32" s="12">
        <f t="shared" si="9"/>
        <v>4.3795620437956206E-2</v>
      </c>
      <c r="AD32" s="12">
        <f t="shared" si="10"/>
        <v>0.05</v>
      </c>
      <c r="AE32" s="12">
        <f t="shared" si="11"/>
        <v>0</v>
      </c>
    </row>
    <row r="33" spans="2:31">
      <c r="B33" s="19">
        <v>45</v>
      </c>
      <c r="C33" s="20"/>
      <c r="D33" s="20"/>
      <c r="E33" s="20"/>
      <c r="F33" s="20"/>
      <c r="G33" s="20"/>
      <c r="H33" s="20"/>
      <c r="I33" s="20">
        <v>2</v>
      </c>
      <c r="J33" s="20">
        <v>12</v>
      </c>
      <c r="K33" s="20">
        <v>12</v>
      </c>
      <c r="L33" s="20">
        <v>15</v>
      </c>
      <c r="M33" s="20">
        <v>8</v>
      </c>
      <c r="N33" s="19">
        <f t="shared" si="13"/>
        <v>49</v>
      </c>
      <c r="T33" s="12">
        <f t="shared" si="1"/>
        <v>45</v>
      </c>
      <c r="U33" s="12">
        <f t="shared" si="12"/>
        <v>0</v>
      </c>
      <c r="V33" s="12">
        <f t="shared" si="2"/>
        <v>0</v>
      </c>
      <c r="W33" s="12">
        <f t="shared" si="3"/>
        <v>0</v>
      </c>
      <c r="X33" s="12">
        <f t="shared" si="4"/>
        <v>0</v>
      </c>
      <c r="Y33" s="12">
        <f t="shared" si="5"/>
        <v>0</v>
      </c>
      <c r="Z33" s="12">
        <f t="shared" si="6"/>
        <v>0</v>
      </c>
      <c r="AA33" s="12">
        <f t="shared" si="7"/>
        <v>9.2592592592592587E-3</v>
      </c>
      <c r="AB33" s="12">
        <f t="shared" si="8"/>
        <v>5.7142857142857141E-2</v>
      </c>
      <c r="AC33" s="12">
        <f t="shared" si="9"/>
        <v>8.7591240875912413E-2</v>
      </c>
      <c r="AD33" s="12">
        <f t="shared" si="10"/>
        <v>0.125</v>
      </c>
      <c r="AE33" s="12">
        <f t="shared" si="11"/>
        <v>9.4117647058823528E-2</v>
      </c>
    </row>
    <row r="34" spans="2:31">
      <c r="B34" s="19">
        <v>46</v>
      </c>
      <c r="C34" s="20"/>
      <c r="D34" s="20"/>
      <c r="E34" s="20"/>
      <c r="F34" s="20"/>
      <c r="G34" s="20"/>
      <c r="H34" s="20">
        <v>3</v>
      </c>
      <c r="I34" s="20">
        <v>7</v>
      </c>
      <c r="J34" s="20">
        <v>10</v>
      </c>
      <c r="K34" s="20">
        <v>13</v>
      </c>
      <c r="L34" s="20">
        <v>8</v>
      </c>
      <c r="M34" s="20"/>
      <c r="N34" s="19">
        <f t="shared" si="13"/>
        <v>41</v>
      </c>
      <c r="T34" s="12">
        <f t="shared" si="1"/>
        <v>46</v>
      </c>
      <c r="U34" s="12">
        <f t="shared" si="12"/>
        <v>0</v>
      </c>
      <c r="V34" s="12">
        <f t="shared" si="2"/>
        <v>0</v>
      </c>
      <c r="W34" s="12">
        <f t="shared" si="3"/>
        <v>0</v>
      </c>
      <c r="X34" s="12">
        <f t="shared" si="4"/>
        <v>0</v>
      </c>
      <c r="Y34" s="12">
        <f t="shared" si="5"/>
        <v>0</v>
      </c>
      <c r="Z34" s="12">
        <f t="shared" si="6"/>
        <v>1.0830324909747292E-2</v>
      </c>
      <c r="AA34" s="12">
        <f t="shared" si="7"/>
        <v>3.2407407407407406E-2</v>
      </c>
      <c r="AB34" s="12">
        <f t="shared" si="8"/>
        <v>4.7619047619047616E-2</v>
      </c>
      <c r="AC34" s="12">
        <f t="shared" si="9"/>
        <v>9.4890510948905105E-2</v>
      </c>
      <c r="AD34" s="12">
        <f t="shared" si="10"/>
        <v>6.6666666666666666E-2</v>
      </c>
      <c r="AE34" s="12">
        <f t="shared" si="11"/>
        <v>0</v>
      </c>
    </row>
    <row r="35" spans="2:31">
      <c r="B35" s="19">
        <v>47</v>
      </c>
      <c r="C35" s="20"/>
      <c r="D35" s="20"/>
      <c r="E35" s="20"/>
      <c r="F35" s="20"/>
      <c r="G35" s="20"/>
      <c r="H35" s="20">
        <v>1</v>
      </c>
      <c r="I35" s="20">
        <v>5</v>
      </c>
      <c r="J35" s="20">
        <v>15</v>
      </c>
      <c r="K35" s="20">
        <v>18</v>
      </c>
      <c r="L35" s="20">
        <v>9</v>
      </c>
      <c r="M35" s="20">
        <v>1</v>
      </c>
      <c r="N35" s="19">
        <f t="shared" si="13"/>
        <v>49</v>
      </c>
      <c r="T35" s="12">
        <f t="shared" si="1"/>
        <v>47</v>
      </c>
      <c r="U35" s="12">
        <f t="shared" si="12"/>
        <v>0</v>
      </c>
      <c r="V35" s="12">
        <f t="shared" si="2"/>
        <v>0</v>
      </c>
      <c r="W35" s="12">
        <f t="shared" si="3"/>
        <v>0</v>
      </c>
      <c r="X35" s="12">
        <f t="shared" si="4"/>
        <v>0</v>
      </c>
      <c r="Y35" s="12">
        <f t="shared" si="5"/>
        <v>0</v>
      </c>
      <c r="Z35" s="12">
        <f t="shared" si="6"/>
        <v>3.6101083032490976E-3</v>
      </c>
      <c r="AA35" s="12">
        <f t="shared" si="7"/>
        <v>2.3148148148148147E-2</v>
      </c>
      <c r="AB35" s="12">
        <f t="shared" si="8"/>
        <v>7.1428571428571425E-2</v>
      </c>
      <c r="AC35" s="12">
        <f t="shared" si="9"/>
        <v>0.13138686131386862</v>
      </c>
      <c r="AD35" s="12">
        <f t="shared" si="10"/>
        <v>7.4999999999999997E-2</v>
      </c>
      <c r="AE35" s="12">
        <f t="shared" si="11"/>
        <v>1.1764705882352941E-2</v>
      </c>
    </row>
    <row r="36" spans="2:31">
      <c r="B36" s="19">
        <v>48</v>
      </c>
      <c r="C36" s="20"/>
      <c r="D36" s="20"/>
      <c r="E36" s="20"/>
      <c r="F36" s="20"/>
      <c r="G36" s="20"/>
      <c r="H36" s="20">
        <v>1</v>
      </c>
      <c r="I36" s="20">
        <v>5</v>
      </c>
      <c r="J36" s="20">
        <v>17</v>
      </c>
      <c r="K36" s="20">
        <v>8</v>
      </c>
      <c r="L36" s="20">
        <v>5</v>
      </c>
      <c r="M36" s="20"/>
      <c r="N36" s="19">
        <f t="shared" si="13"/>
        <v>36</v>
      </c>
      <c r="T36" s="12">
        <f t="shared" si="1"/>
        <v>48</v>
      </c>
      <c r="U36" s="12">
        <f t="shared" si="12"/>
        <v>0</v>
      </c>
      <c r="V36" s="12">
        <f t="shared" si="2"/>
        <v>0</v>
      </c>
      <c r="W36" s="12">
        <f t="shared" si="3"/>
        <v>0</v>
      </c>
      <c r="X36" s="12">
        <f t="shared" si="4"/>
        <v>0</v>
      </c>
      <c r="Y36" s="12">
        <f t="shared" si="5"/>
        <v>0</v>
      </c>
      <c r="Z36" s="12">
        <f t="shared" si="6"/>
        <v>3.6101083032490976E-3</v>
      </c>
      <c r="AA36" s="12">
        <f t="shared" si="7"/>
        <v>2.3148148148148147E-2</v>
      </c>
      <c r="AB36" s="12">
        <f t="shared" si="8"/>
        <v>8.0952380952380956E-2</v>
      </c>
      <c r="AC36" s="12">
        <f t="shared" si="9"/>
        <v>5.8394160583941604E-2</v>
      </c>
      <c r="AD36" s="12">
        <f t="shared" si="10"/>
        <v>4.1666666666666664E-2</v>
      </c>
      <c r="AE36" s="12">
        <f t="shared" si="11"/>
        <v>0</v>
      </c>
    </row>
    <row r="37" spans="2:31">
      <c r="B37" s="19">
        <v>49</v>
      </c>
      <c r="C37" s="20"/>
      <c r="D37" s="20"/>
      <c r="E37" s="20"/>
      <c r="F37" s="20"/>
      <c r="G37" s="20"/>
      <c r="H37" s="20"/>
      <c r="I37" s="20">
        <v>9</v>
      </c>
      <c r="J37" s="20">
        <v>13</v>
      </c>
      <c r="K37" s="20">
        <v>10</v>
      </c>
      <c r="L37" s="20">
        <v>8</v>
      </c>
      <c r="M37" s="20">
        <v>3</v>
      </c>
      <c r="N37" s="19">
        <f t="shared" si="13"/>
        <v>43</v>
      </c>
      <c r="T37" s="12">
        <f t="shared" si="1"/>
        <v>49</v>
      </c>
      <c r="U37" s="12">
        <f t="shared" si="12"/>
        <v>0</v>
      </c>
      <c r="V37" s="12">
        <f t="shared" si="2"/>
        <v>0</v>
      </c>
      <c r="W37" s="12">
        <f t="shared" si="3"/>
        <v>0</v>
      </c>
      <c r="X37" s="12">
        <f t="shared" si="4"/>
        <v>0</v>
      </c>
      <c r="Y37" s="12">
        <f t="shared" si="5"/>
        <v>0</v>
      </c>
      <c r="Z37" s="12">
        <f t="shared" si="6"/>
        <v>0</v>
      </c>
      <c r="AA37" s="12">
        <f t="shared" si="7"/>
        <v>4.1666666666666664E-2</v>
      </c>
      <c r="AB37" s="12">
        <f t="shared" si="8"/>
        <v>6.1904761904761907E-2</v>
      </c>
      <c r="AC37" s="12">
        <f t="shared" si="9"/>
        <v>7.2992700729927001E-2</v>
      </c>
      <c r="AD37" s="12">
        <f t="shared" si="10"/>
        <v>6.6666666666666666E-2</v>
      </c>
      <c r="AE37" s="12">
        <f t="shared" si="11"/>
        <v>3.5294117647058823E-2</v>
      </c>
    </row>
    <row r="38" spans="2:31">
      <c r="B38" s="19">
        <v>50</v>
      </c>
      <c r="C38" s="20"/>
      <c r="D38" s="20"/>
      <c r="E38" s="20"/>
      <c r="F38" s="20"/>
      <c r="G38" s="20"/>
      <c r="H38" s="20"/>
      <c r="I38" s="20">
        <v>3</v>
      </c>
      <c r="J38" s="20">
        <v>7</v>
      </c>
      <c r="K38" s="20">
        <v>7</v>
      </c>
      <c r="L38" s="20">
        <v>13</v>
      </c>
      <c r="M38" s="20">
        <v>8</v>
      </c>
      <c r="N38" s="19">
        <f t="shared" si="13"/>
        <v>38</v>
      </c>
      <c r="T38" s="12">
        <f t="shared" si="1"/>
        <v>50</v>
      </c>
      <c r="U38" s="12">
        <f t="shared" si="12"/>
        <v>0</v>
      </c>
      <c r="V38" s="12">
        <f t="shared" si="2"/>
        <v>0</v>
      </c>
      <c r="W38" s="12">
        <f t="shared" si="3"/>
        <v>0</v>
      </c>
      <c r="X38" s="12">
        <f t="shared" si="4"/>
        <v>0</v>
      </c>
      <c r="Y38" s="12">
        <f t="shared" si="5"/>
        <v>0</v>
      </c>
      <c r="Z38" s="12">
        <f t="shared" si="6"/>
        <v>0</v>
      </c>
      <c r="AA38" s="12">
        <f t="shared" si="7"/>
        <v>1.3888888888888888E-2</v>
      </c>
      <c r="AB38" s="12">
        <f t="shared" si="8"/>
        <v>3.3333333333333333E-2</v>
      </c>
      <c r="AC38" s="12">
        <f t="shared" si="9"/>
        <v>5.1094890510948905E-2</v>
      </c>
      <c r="AD38" s="12">
        <f t="shared" si="10"/>
        <v>0.10833333333333334</v>
      </c>
      <c r="AE38" s="12">
        <f t="shared" si="11"/>
        <v>9.4117647058823528E-2</v>
      </c>
    </row>
    <row r="39" spans="2:31">
      <c r="B39" s="19">
        <v>51</v>
      </c>
      <c r="C39" s="20"/>
      <c r="D39" s="20"/>
      <c r="E39" s="20"/>
      <c r="F39" s="20"/>
      <c r="G39" s="20"/>
      <c r="H39" s="20"/>
      <c r="I39" s="20">
        <v>2</v>
      </c>
      <c r="J39" s="20">
        <v>2</v>
      </c>
      <c r="K39" s="20">
        <v>6</v>
      </c>
      <c r="L39" s="20">
        <v>13</v>
      </c>
      <c r="M39" s="20">
        <v>10</v>
      </c>
      <c r="N39" s="19">
        <f t="shared" si="13"/>
        <v>33</v>
      </c>
      <c r="T39" s="12">
        <f t="shared" si="1"/>
        <v>51</v>
      </c>
      <c r="U39" s="12">
        <f t="shared" si="12"/>
        <v>0</v>
      </c>
      <c r="V39" s="12">
        <f t="shared" si="2"/>
        <v>0</v>
      </c>
      <c r="W39" s="12">
        <f t="shared" si="3"/>
        <v>0</v>
      </c>
      <c r="X39" s="12">
        <f t="shared" si="4"/>
        <v>0</v>
      </c>
      <c r="Y39" s="12">
        <f t="shared" si="5"/>
        <v>0</v>
      </c>
      <c r="Z39" s="12">
        <f t="shared" si="6"/>
        <v>0</v>
      </c>
      <c r="AA39" s="12">
        <f t="shared" si="7"/>
        <v>9.2592592592592587E-3</v>
      </c>
      <c r="AB39" s="12">
        <f t="shared" si="8"/>
        <v>9.5238095238095247E-3</v>
      </c>
      <c r="AC39" s="12">
        <f t="shared" si="9"/>
        <v>4.3795620437956206E-2</v>
      </c>
      <c r="AD39" s="12">
        <f t="shared" si="10"/>
        <v>0.10833333333333334</v>
      </c>
      <c r="AE39" s="12">
        <f t="shared" si="11"/>
        <v>0.11764705882352941</v>
      </c>
    </row>
    <row r="40" spans="2:31">
      <c r="B40" s="19">
        <v>52</v>
      </c>
      <c r="C40" s="20"/>
      <c r="D40" s="20"/>
      <c r="E40" s="20"/>
      <c r="F40" s="20"/>
      <c r="G40" s="20"/>
      <c r="H40" s="20"/>
      <c r="I40" s="20"/>
      <c r="J40" s="20">
        <v>3</v>
      </c>
      <c r="K40" s="20">
        <v>9</v>
      </c>
      <c r="L40" s="20">
        <v>6</v>
      </c>
      <c r="M40" s="20">
        <v>12</v>
      </c>
      <c r="N40" s="19">
        <f t="shared" si="13"/>
        <v>30</v>
      </c>
      <c r="T40" s="12">
        <f t="shared" si="1"/>
        <v>52</v>
      </c>
      <c r="U40" s="12">
        <f t="shared" si="12"/>
        <v>0</v>
      </c>
      <c r="V40" s="12">
        <f t="shared" si="2"/>
        <v>0</v>
      </c>
      <c r="W40" s="12">
        <f t="shared" si="3"/>
        <v>0</v>
      </c>
      <c r="X40" s="12">
        <f t="shared" si="4"/>
        <v>0</v>
      </c>
      <c r="Y40" s="12">
        <f t="shared" si="5"/>
        <v>0</v>
      </c>
      <c r="Z40" s="12">
        <f t="shared" si="6"/>
        <v>0</v>
      </c>
      <c r="AA40" s="12">
        <f t="shared" si="7"/>
        <v>0</v>
      </c>
      <c r="AB40" s="12">
        <f t="shared" si="8"/>
        <v>1.4285714285714285E-2</v>
      </c>
      <c r="AC40" s="12">
        <f t="shared" si="9"/>
        <v>6.569343065693431E-2</v>
      </c>
      <c r="AD40" s="12">
        <f t="shared" si="10"/>
        <v>0.05</v>
      </c>
      <c r="AE40" s="12">
        <f t="shared" si="11"/>
        <v>0.14117647058823529</v>
      </c>
    </row>
    <row r="41" spans="2:31">
      <c r="B41" s="19">
        <v>53</v>
      </c>
      <c r="C41" s="20"/>
      <c r="D41" s="20"/>
      <c r="E41" s="20"/>
      <c r="F41" s="20"/>
      <c r="G41" s="20"/>
      <c r="H41" s="20"/>
      <c r="I41" s="20"/>
      <c r="J41" s="13">
        <v>1</v>
      </c>
      <c r="K41" s="20">
        <v>7</v>
      </c>
      <c r="L41" s="20">
        <v>11</v>
      </c>
      <c r="M41" s="20">
        <v>11</v>
      </c>
      <c r="N41" s="19">
        <f t="shared" si="13"/>
        <v>30</v>
      </c>
      <c r="T41" s="12">
        <f t="shared" si="1"/>
        <v>53</v>
      </c>
      <c r="U41" s="12">
        <f t="shared" si="12"/>
        <v>0</v>
      </c>
      <c r="V41" s="12">
        <f t="shared" si="2"/>
        <v>0</v>
      </c>
      <c r="W41" s="12">
        <f t="shared" si="3"/>
        <v>0</v>
      </c>
      <c r="X41" s="12">
        <f t="shared" si="4"/>
        <v>0</v>
      </c>
      <c r="Y41" s="12">
        <f t="shared" si="5"/>
        <v>0</v>
      </c>
      <c r="Z41" s="12">
        <f t="shared" si="6"/>
        <v>0</v>
      </c>
      <c r="AA41" s="12">
        <f t="shared" si="7"/>
        <v>0</v>
      </c>
      <c r="AB41" s="12">
        <f t="shared" si="8"/>
        <v>4.7619047619047623E-3</v>
      </c>
      <c r="AC41" s="12">
        <f t="shared" si="9"/>
        <v>5.1094890510948905E-2</v>
      </c>
      <c r="AD41" s="12">
        <f t="shared" si="10"/>
        <v>9.166666666666666E-2</v>
      </c>
      <c r="AE41" s="12">
        <f t="shared" si="11"/>
        <v>0.12941176470588237</v>
      </c>
    </row>
    <row r="42" spans="2:31">
      <c r="B42" s="19">
        <v>54</v>
      </c>
      <c r="C42" s="20"/>
      <c r="D42" s="20"/>
      <c r="E42" s="20"/>
      <c r="F42" s="20"/>
      <c r="G42" s="20"/>
      <c r="H42" s="20"/>
      <c r="I42" s="20"/>
      <c r="J42" s="20"/>
      <c r="K42" s="20">
        <v>3</v>
      </c>
      <c r="L42" s="20">
        <v>8</v>
      </c>
      <c r="M42" s="20">
        <v>12</v>
      </c>
      <c r="N42" s="19">
        <f t="shared" si="13"/>
        <v>23</v>
      </c>
      <c r="T42" s="12">
        <f t="shared" si="1"/>
        <v>54</v>
      </c>
      <c r="U42" s="12">
        <f t="shared" si="12"/>
        <v>0</v>
      </c>
      <c r="V42" s="12">
        <f t="shared" si="2"/>
        <v>0</v>
      </c>
      <c r="W42" s="12">
        <f t="shared" si="3"/>
        <v>0</v>
      </c>
      <c r="X42" s="12">
        <f t="shared" si="4"/>
        <v>0</v>
      </c>
      <c r="Y42" s="12">
        <f t="shared" si="5"/>
        <v>0</v>
      </c>
      <c r="Z42" s="12">
        <f t="shared" si="6"/>
        <v>0</v>
      </c>
      <c r="AA42" s="12">
        <f t="shared" si="7"/>
        <v>0</v>
      </c>
      <c r="AB42" s="12">
        <f t="shared" si="8"/>
        <v>0</v>
      </c>
      <c r="AC42" s="12">
        <f t="shared" si="9"/>
        <v>2.1897810218978103E-2</v>
      </c>
      <c r="AD42" s="12">
        <f t="shared" si="10"/>
        <v>6.6666666666666666E-2</v>
      </c>
      <c r="AE42" s="12">
        <f t="shared" si="11"/>
        <v>0.14117647058823529</v>
      </c>
    </row>
    <row r="43" spans="2:31">
      <c r="B43" s="19">
        <v>55</v>
      </c>
      <c r="C43" s="20"/>
      <c r="D43" s="20"/>
      <c r="E43" s="20"/>
      <c r="F43" s="20"/>
      <c r="G43" s="20"/>
      <c r="H43" s="20"/>
      <c r="I43" s="20"/>
      <c r="J43" s="20"/>
      <c r="K43" s="13">
        <v>3</v>
      </c>
      <c r="L43" s="13">
        <v>8</v>
      </c>
      <c r="M43" s="13">
        <v>8</v>
      </c>
      <c r="N43" s="19">
        <f t="shared" si="13"/>
        <v>19</v>
      </c>
      <c r="T43" s="12">
        <f t="shared" si="1"/>
        <v>55</v>
      </c>
      <c r="U43" s="12">
        <f t="shared" si="12"/>
        <v>0</v>
      </c>
      <c r="V43" s="12">
        <f t="shared" si="2"/>
        <v>0</v>
      </c>
      <c r="W43" s="12">
        <f t="shared" si="3"/>
        <v>0</v>
      </c>
      <c r="X43" s="12">
        <f t="shared" si="4"/>
        <v>0</v>
      </c>
      <c r="Y43" s="12">
        <f t="shared" si="5"/>
        <v>0</v>
      </c>
      <c r="Z43" s="12">
        <f t="shared" si="6"/>
        <v>0</v>
      </c>
      <c r="AA43" s="12">
        <f t="shared" si="7"/>
        <v>0</v>
      </c>
      <c r="AB43" s="12">
        <f t="shared" si="8"/>
        <v>0</v>
      </c>
      <c r="AC43" s="12">
        <f t="shared" si="9"/>
        <v>2.1897810218978103E-2</v>
      </c>
      <c r="AD43" s="12">
        <f t="shared" si="10"/>
        <v>6.6666666666666666E-2</v>
      </c>
      <c r="AE43" s="12">
        <f t="shared" si="11"/>
        <v>9.4117647058823528E-2</v>
      </c>
    </row>
    <row r="44" spans="2:31">
      <c r="B44" s="19">
        <v>56</v>
      </c>
      <c r="C44" s="20"/>
      <c r="D44" s="20"/>
      <c r="E44" s="20"/>
      <c r="F44" s="20"/>
      <c r="G44" s="20"/>
      <c r="H44" s="20"/>
      <c r="I44" s="20"/>
      <c r="J44" s="20"/>
      <c r="K44" s="20">
        <v>2</v>
      </c>
      <c r="L44" s="20">
        <v>3</v>
      </c>
      <c r="M44" s="20">
        <v>4</v>
      </c>
      <c r="N44" s="19">
        <f t="shared" si="13"/>
        <v>9</v>
      </c>
      <c r="T44" s="12">
        <f t="shared" si="1"/>
        <v>56</v>
      </c>
      <c r="U44" s="12">
        <f t="shared" si="12"/>
        <v>0</v>
      </c>
      <c r="V44" s="12">
        <f t="shared" si="2"/>
        <v>0</v>
      </c>
      <c r="W44" s="12">
        <f t="shared" si="3"/>
        <v>0</v>
      </c>
      <c r="X44" s="12">
        <f t="shared" si="4"/>
        <v>0</v>
      </c>
      <c r="Y44" s="12">
        <f t="shared" si="5"/>
        <v>0</v>
      </c>
      <c r="Z44" s="12">
        <f t="shared" si="6"/>
        <v>0</v>
      </c>
      <c r="AA44" s="12">
        <f t="shared" si="7"/>
        <v>0</v>
      </c>
      <c r="AB44" s="12">
        <f t="shared" si="8"/>
        <v>0</v>
      </c>
      <c r="AC44" s="12">
        <f t="shared" si="9"/>
        <v>1.4598540145985401E-2</v>
      </c>
      <c r="AD44" s="12">
        <f t="shared" si="10"/>
        <v>2.5000000000000001E-2</v>
      </c>
      <c r="AE44" s="12">
        <f t="shared" si="11"/>
        <v>4.7058823529411764E-2</v>
      </c>
    </row>
    <row r="45" spans="2:31">
      <c r="B45" s="19">
        <v>57</v>
      </c>
      <c r="C45" s="20"/>
      <c r="D45" s="20"/>
      <c r="E45" s="20"/>
      <c r="F45" s="20"/>
      <c r="G45" s="20"/>
      <c r="H45" s="20"/>
      <c r="I45" s="20"/>
      <c r="J45" s="20"/>
      <c r="K45" s="20">
        <v>1</v>
      </c>
      <c r="L45" s="20"/>
      <c r="M45" s="20">
        <v>5</v>
      </c>
      <c r="N45" s="19">
        <f t="shared" si="13"/>
        <v>6</v>
      </c>
      <c r="T45" s="12">
        <f t="shared" si="1"/>
        <v>57</v>
      </c>
      <c r="U45" s="12">
        <f t="shared" si="12"/>
        <v>0</v>
      </c>
      <c r="V45" s="12">
        <f t="shared" si="2"/>
        <v>0</v>
      </c>
      <c r="W45" s="12">
        <f t="shared" si="3"/>
        <v>0</v>
      </c>
      <c r="X45" s="12">
        <f t="shared" si="4"/>
        <v>0</v>
      </c>
      <c r="Y45" s="12">
        <f t="shared" si="5"/>
        <v>0</v>
      </c>
      <c r="Z45" s="12">
        <f t="shared" si="6"/>
        <v>0</v>
      </c>
      <c r="AA45" s="12">
        <f t="shared" si="7"/>
        <v>0</v>
      </c>
      <c r="AB45" s="12">
        <f t="shared" si="8"/>
        <v>0</v>
      </c>
      <c r="AC45" s="12">
        <f t="shared" si="9"/>
        <v>7.2992700729927005E-3</v>
      </c>
      <c r="AD45" s="12">
        <f t="shared" si="10"/>
        <v>0</v>
      </c>
      <c r="AE45" s="12">
        <f t="shared" si="11"/>
        <v>5.8823529411764705E-2</v>
      </c>
    </row>
    <row r="46" spans="2:31">
      <c r="B46" s="19">
        <v>58</v>
      </c>
      <c r="C46" s="20"/>
      <c r="D46" s="20"/>
      <c r="E46" s="20"/>
      <c r="F46" s="20"/>
      <c r="G46" s="20"/>
      <c r="H46" s="20"/>
      <c r="I46" s="20"/>
      <c r="J46" s="20"/>
      <c r="K46" s="13">
        <v>1</v>
      </c>
      <c r="M46" s="13">
        <v>1</v>
      </c>
      <c r="N46" s="19">
        <f t="shared" si="13"/>
        <v>2</v>
      </c>
      <c r="T46" s="12">
        <f t="shared" si="1"/>
        <v>58</v>
      </c>
      <c r="U46" s="12">
        <f t="shared" si="12"/>
        <v>0</v>
      </c>
      <c r="V46" s="12">
        <f t="shared" si="2"/>
        <v>0</v>
      </c>
      <c r="W46" s="12">
        <f t="shared" si="3"/>
        <v>0</v>
      </c>
      <c r="X46" s="12">
        <f t="shared" si="4"/>
        <v>0</v>
      </c>
      <c r="Y46" s="12">
        <f t="shared" si="5"/>
        <v>0</v>
      </c>
      <c r="Z46" s="12">
        <f t="shared" si="6"/>
        <v>0</v>
      </c>
      <c r="AA46" s="12">
        <f t="shared" si="7"/>
        <v>0</v>
      </c>
      <c r="AB46" s="12">
        <f t="shared" si="8"/>
        <v>0</v>
      </c>
      <c r="AC46" s="12">
        <f t="shared" si="9"/>
        <v>7.2992700729927005E-3</v>
      </c>
      <c r="AD46" s="12">
        <f t="shared" si="10"/>
        <v>0</v>
      </c>
      <c r="AE46" s="12">
        <f t="shared" si="11"/>
        <v>1.1764705882352941E-2</v>
      </c>
    </row>
    <row r="47" spans="2:31">
      <c r="B47" s="19">
        <v>59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19">
        <f t="shared" si="13"/>
        <v>0</v>
      </c>
      <c r="T47" s="12">
        <f t="shared" si="1"/>
        <v>59</v>
      </c>
      <c r="U47" s="12">
        <f t="shared" si="12"/>
        <v>0</v>
      </c>
      <c r="V47" s="12">
        <f t="shared" si="2"/>
        <v>0</v>
      </c>
      <c r="W47" s="12">
        <f t="shared" si="3"/>
        <v>0</v>
      </c>
      <c r="X47" s="12">
        <f t="shared" si="4"/>
        <v>0</v>
      </c>
      <c r="Y47" s="12">
        <f t="shared" si="5"/>
        <v>0</v>
      </c>
      <c r="Z47" s="12">
        <f t="shared" si="6"/>
        <v>0</v>
      </c>
      <c r="AA47" s="12">
        <f t="shared" si="7"/>
        <v>0</v>
      </c>
      <c r="AB47" s="12">
        <f t="shared" si="8"/>
        <v>0</v>
      </c>
      <c r="AC47" s="12">
        <f t="shared" si="9"/>
        <v>0</v>
      </c>
      <c r="AD47" s="12">
        <f t="shared" si="10"/>
        <v>0</v>
      </c>
      <c r="AE47" s="12">
        <f t="shared" si="11"/>
        <v>0</v>
      </c>
    </row>
    <row r="48" spans="2:31">
      <c r="B48" s="22">
        <v>60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>
        <v>1</v>
      </c>
      <c r="N48" s="19">
        <f t="shared" si="13"/>
        <v>1</v>
      </c>
      <c r="T48" s="12">
        <f t="shared" si="1"/>
        <v>60</v>
      </c>
      <c r="U48" s="12">
        <f t="shared" si="12"/>
        <v>0</v>
      </c>
      <c r="V48" s="12">
        <f t="shared" si="2"/>
        <v>0</v>
      </c>
      <c r="W48" s="12">
        <f t="shared" si="3"/>
        <v>0</v>
      </c>
      <c r="X48" s="12">
        <f t="shared" si="4"/>
        <v>0</v>
      </c>
      <c r="Y48" s="12">
        <f t="shared" si="5"/>
        <v>0</v>
      </c>
      <c r="Z48" s="12">
        <f t="shared" si="6"/>
        <v>0</v>
      </c>
      <c r="AA48" s="12">
        <f t="shared" si="7"/>
        <v>0</v>
      </c>
      <c r="AB48" s="12">
        <f t="shared" si="8"/>
        <v>0</v>
      </c>
      <c r="AC48" s="12">
        <f t="shared" si="9"/>
        <v>0</v>
      </c>
      <c r="AD48" s="12">
        <f t="shared" si="10"/>
        <v>0</v>
      </c>
      <c r="AE48" s="12">
        <f t="shared" si="11"/>
        <v>1.1764705882352941E-2</v>
      </c>
    </row>
    <row r="49" spans="2:17">
      <c r="B49" s="18" t="s">
        <v>7</v>
      </c>
      <c r="C49" s="17">
        <f t="shared" ref="C49:Q49" si="14">SUM(C8:C48)</f>
        <v>1</v>
      </c>
      <c r="D49" s="17">
        <f t="shared" si="14"/>
        <v>54</v>
      </c>
      <c r="E49" s="17">
        <f t="shared" si="14"/>
        <v>149</v>
      </c>
      <c r="F49" s="17">
        <f t="shared" si="14"/>
        <v>231</v>
      </c>
      <c r="G49" s="17">
        <f t="shared" si="14"/>
        <v>338</v>
      </c>
      <c r="H49" s="17">
        <f t="shared" si="14"/>
        <v>277</v>
      </c>
      <c r="I49" s="17">
        <f t="shared" si="14"/>
        <v>216</v>
      </c>
      <c r="J49" s="17">
        <f t="shared" si="14"/>
        <v>210</v>
      </c>
      <c r="K49" s="17">
        <f t="shared" si="14"/>
        <v>137</v>
      </c>
      <c r="L49" s="17">
        <f t="shared" si="14"/>
        <v>120</v>
      </c>
      <c r="M49" s="17">
        <f t="shared" si="14"/>
        <v>85</v>
      </c>
      <c r="N49" s="17">
        <f t="shared" si="14"/>
        <v>1818</v>
      </c>
      <c r="O49" s="17">
        <f t="shared" si="14"/>
        <v>0</v>
      </c>
      <c r="P49" s="17">
        <f t="shared" si="14"/>
        <v>0</v>
      </c>
      <c r="Q49" s="17">
        <f t="shared" si="14"/>
        <v>0</v>
      </c>
    </row>
    <row r="50" spans="2:17">
      <c r="B50" s="16" t="s">
        <v>8</v>
      </c>
      <c r="C50" s="15">
        <f t="shared" ref="C50:M50" si="15">(C49/$N$49)*100</f>
        <v>5.5005500550055E-2</v>
      </c>
      <c r="D50" s="15">
        <f t="shared" si="15"/>
        <v>2.9702970297029703</v>
      </c>
      <c r="E50" s="15">
        <f t="shared" si="15"/>
        <v>8.1958195819581956</v>
      </c>
      <c r="F50" s="15">
        <f t="shared" si="15"/>
        <v>12.706270627062707</v>
      </c>
      <c r="G50" s="15">
        <f t="shared" si="15"/>
        <v>18.59185918591859</v>
      </c>
      <c r="H50" s="15">
        <f t="shared" si="15"/>
        <v>15.236523652365236</v>
      </c>
      <c r="I50" s="15">
        <f t="shared" si="15"/>
        <v>11.881188118811881</v>
      </c>
      <c r="J50" s="15">
        <f t="shared" si="15"/>
        <v>11.55115511551155</v>
      </c>
      <c r="K50" s="15">
        <f t="shared" si="15"/>
        <v>7.5357535753575355</v>
      </c>
      <c r="L50" s="15">
        <f t="shared" si="15"/>
        <v>6.6006600660065997</v>
      </c>
      <c r="M50" s="15">
        <f t="shared" si="15"/>
        <v>4.6754675467546756</v>
      </c>
      <c r="N50" s="15">
        <f t="shared" si="13"/>
        <v>99.999999999999986</v>
      </c>
    </row>
    <row r="52" spans="2:17">
      <c r="C52" s="14">
        <f t="shared" ref="C52:M52" si="16">SUMPRODUCT($B8:$B48,C8:C48)/SUM(C8:C48)</f>
        <v>23</v>
      </c>
      <c r="D52" s="14">
        <f t="shared" si="16"/>
        <v>23.37037037037037</v>
      </c>
      <c r="E52" s="14">
        <f t="shared" si="16"/>
        <v>25.765100671140939</v>
      </c>
      <c r="F52" s="14">
        <f t="shared" si="16"/>
        <v>28.696969696969695</v>
      </c>
      <c r="G52" s="14">
        <f t="shared" si="16"/>
        <v>30.860946745562131</v>
      </c>
      <c r="H52" s="14">
        <f t="shared" si="16"/>
        <v>33.595667870036102</v>
      </c>
      <c r="I52" s="14">
        <f t="shared" si="16"/>
        <v>38.736111111111114</v>
      </c>
      <c r="J52" s="14">
        <f t="shared" si="16"/>
        <v>42.533333333333331</v>
      </c>
      <c r="K52" s="14">
        <f t="shared" si="16"/>
        <v>46.708029197080293</v>
      </c>
      <c r="L52" s="14">
        <f t="shared" si="16"/>
        <v>49.108333333333334</v>
      </c>
      <c r="M52" s="14">
        <f t="shared" si="16"/>
        <v>52.070588235294117</v>
      </c>
    </row>
  </sheetData>
  <mergeCells count="1">
    <mergeCell ref="B2:N2"/>
  </mergeCells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E52"/>
  <sheetViews>
    <sheetView workbookViewId="0">
      <selection activeCell="A5" sqref="A5"/>
    </sheetView>
  </sheetViews>
  <sheetFormatPr defaultColWidth="9.08984375" defaultRowHeight="12.5"/>
  <cols>
    <col min="1" max="1" width="11.453125" style="12" customWidth="1"/>
    <col min="2" max="2" width="7.90625" style="13" customWidth="1"/>
    <col min="3" max="3" width="5.90625" style="13" customWidth="1"/>
    <col min="4" max="4" width="6.6328125" style="13" customWidth="1"/>
    <col min="5" max="5" width="5.36328125" style="13" customWidth="1"/>
    <col min="6" max="6" width="5.54296875" style="13" customWidth="1"/>
    <col min="7" max="7" width="5.6328125" style="13" customWidth="1"/>
    <col min="8" max="9" width="5.453125" style="13" customWidth="1"/>
    <col min="10" max="10" width="6" style="13" customWidth="1"/>
    <col min="11" max="11" width="5.453125" style="13" customWidth="1"/>
    <col min="12" max="16" width="5.36328125" style="13" customWidth="1"/>
    <col min="17" max="17" width="5.6328125" style="13" customWidth="1"/>
    <col min="18" max="18" width="7.08984375" style="13" customWidth="1"/>
    <col min="19" max="256" width="11.453125" style="12" customWidth="1"/>
    <col min="257" max="16384" width="9.08984375" style="12"/>
  </cols>
  <sheetData>
    <row r="2" spans="2:31">
      <c r="B2" s="122" t="s">
        <v>19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</row>
    <row r="4" spans="2:31">
      <c r="B4" s="17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9</v>
      </c>
      <c r="J4" s="29" t="s">
        <v>10</v>
      </c>
      <c r="K4" s="29" t="s">
        <v>11</v>
      </c>
      <c r="L4" s="29" t="s">
        <v>12</v>
      </c>
      <c r="M4" s="29" t="s">
        <v>13</v>
      </c>
      <c r="N4" s="29"/>
      <c r="O4" s="29" t="s">
        <v>14</v>
      </c>
      <c r="P4" s="29" t="s">
        <v>15</v>
      </c>
      <c r="Q4" s="29" t="s">
        <v>16</v>
      </c>
      <c r="R4" s="26" t="s">
        <v>7</v>
      </c>
      <c r="U4" s="12">
        <v>2</v>
      </c>
      <c r="V4" s="12">
        <v>3</v>
      </c>
      <c r="W4" s="12">
        <v>4</v>
      </c>
      <c r="X4" s="12">
        <v>5</v>
      </c>
      <c r="Y4" s="12">
        <v>6</v>
      </c>
      <c r="Z4" s="12">
        <v>7</v>
      </c>
      <c r="AA4" s="12">
        <v>8</v>
      </c>
      <c r="AB4" s="12">
        <v>9</v>
      </c>
      <c r="AC4" s="12">
        <v>10</v>
      </c>
      <c r="AD4" s="12">
        <v>11</v>
      </c>
      <c r="AE4" s="12">
        <v>12</v>
      </c>
    </row>
    <row r="5" spans="2:31">
      <c r="B5" s="19">
        <v>17</v>
      </c>
      <c r="C5" s="20"/>
      <c r="D5" s="20">
        <v>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9">
        <f t="shared" ref="R5:R36" si="0">SUM(C5:Q5)</f>
        <v>1</v>
      </c>
      <c r="T5" s="12">
        <f t="shared" ref="T5:T48" si="1">B5</f>
        <v>17</v>
      </c>
      <c r="U5" s="12">
        <f>C5/C$49</f>
        <v>0</v>
      </c>
      <c r="V5" s="12">
        <f t="shared" ref="V5:V48" si="2">D5/D$49</f>
        <v>7.3529411764705881E-3</v>
      </c>
      <c r="W5" s="12">
        <f t="shared" ref="W5:W48" si="3">E5/E$49</f>
        <v>0</v>
      </c>
      <c r="X5" s="12">
        <f t="shared" ref="X5:X48" si="4">F5/F$49</f>
        <v>0</v>
      </c>
      <c r="Y5" s="12">
        <f t="shared" ref="Y5:Y48" si="5">G5/G$49</f>
        <v>0</v>
      </c>
      <c r="Z5" s="12">
        <f t="shared" ref="Z5:Z48" si="6">H5/H$49</f>
        <v>0</v>
      </c>
      <c r="AA5" s="12">
        <f t="shared" ref="AA5:AA48" si="7">I5/I$49</f>
        <v>0</v>
      </c>
      <c r="AB5" s="12">
        <f t="shared" ref="AB5:AB48" si="8">J5/J$49</f>
        <v>0</v>
      </c>
      <c r="AC5" s="12">
        <f t="shared" ref="AC5:AC48" si="9">K5/K$49</f>
        <v>0</v>
      </c>
      <c r="AD5" s="12">
        <f t="shared" ref="AD5:AD48" si="10">L5/L$49</f>
        <v>0</v>
      </c>
      <c r="AE5" s="12">
        <f t="shared" ref="AE5:AE48" si="11">M5/M$49</f>
        <v>0</v>
      </c>
    </row>
    <row r="6" spans="2:31">
      <c r="B6" s="19">
        <v>18</v>
      </c>
      <c r="C6" s="20"/>
      <c r="D6" s="20">
        <v>2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9">
        <f t="shared" si="0"/>
        <v>2</v>
      </c>
      <c r="T6" s="12">
        <f t="shared" si="1"/>
        <v>18</v>
      </c>
      <c r="U6" s="12">
        <f t="shared" ref="U6:U48" si="12">C6/C$49</f>
        <v>0</v>
      </c>
      <c r="V6" s="12">
        <f t="shared" si="2"/>
        <v>1.4705882352941176E-2</v>
      </c>
      <c r="W6" s="12">
        <f t="shared" si="3"/>
        <v>0</v>
      </c>
      <c r="X6" s="12">
        <f t="shared" si="4"/>
        <v>0</v>
      </c>
      <c r="Y6" s="12">
        <f t="shared" si="5"/>
        <v>0</v>
      </c>
      <c r="Z6" s="12">
        <f t="shared" si="6"/>
        <v>0</v>
      </c>
      <c r="AA6" s="12">
        <f t="shared" si="7"/>
        <v>0</v>
      </c>
      <c r="AB6" s="12">
        <f t="shared" si="8"/>
        <v>0</v>
      </c>
      <c r="AC6" s="12">
        <f t="shared" si="9"/>
        <v>0</v>
      </c>
      <c r="AD6" s="12">
        <f t="shared" si="10"/>
        <v>0</v>
      </c>
      <c r="AE6" s="12">
        <f t="shared" si="11"/>
        <v>0</v>
      </c>
    </row>
    <row r="7" spans="2:31">
      <c r="B7" s="19">
        <v>19</v>
      </c>
      <c r="C7" s="20"/>
      <c r="D7" s="20">
        <v>11</v>
      </c>
      <c r="E7" s="20">
        <v>8</v>
      </c>
      <c r="F7" s="20">
        <v>1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9">
        <f t="shared" si="0"/>
        <v>20</v>
      </c>
      <c r="T7" s="12">
        <f t="shared" si="1"/>
        <v>19</v>
      </c>
      <c r="U7" s="12">
        <f t="shared" si="12"/>
        <v>0</v>
      </c>
      <c r="V7" s="12">
        <f t="shared" si="2"/>
        <v>8.0882352941176475E-2</v>
      </c>
      <c r="W7" s="12">
        <f t="shared" si="3"/>
        <v>3.1496062992125984E-2</v>
      </c>
      <c r="X7" s="12">
        <f t="shared" si="4"/>
        <v>4.0000000000000001E-3</v>
      </c>
      <c r="Y7" s="12">
        <f t="shared" si="5"/>
        <v>0</v>
      </c>
      <c r="Z7" s="12">
        <f t="shared" si="6"/>
        <v>0</v>
      </c>
      <c r="AA7" s="12">
        <f t="shared" si="7"/>
        <v>0</v>
      </c>
      <c r="AB7" s="12">
        <f t="shared" si="8"/>
        <v>0</v>
      </c>
      <c r="AC7" s="12">
        <f t="shared" si="9"/>
        <v>0</v>
      </c>
      <c r="AD7" s="12">
        <f t="shared" si="10"/>
        <v>0</v>
      </c>
      <c r="AE7" s="12">
        <f t="shared" si="11"/>
        <v>0</v>
      </c>
    </row>
    <row r="8" spans="2:31">
      <c r="B8" s="19">
        <v>20</v>
      </c>
      <c r="C8" s="20"/>
      <c r="D8" s="20">
        <v>20</v>
      </c>
      <c r="E8" s="20">
        <v>18</v>
      </c>
      <c r="F8" s="20">
        <v>1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9">
        <f t="shared" si="0"/>
        <v>39</v>
      </c>
      <c r="T8" s="12">
        <f t="shared" si="1"/>
        <v>20</v>
      </c>
      <c r="U8" s="12">
        <f t="shared" si="12"/>
        <v>0</v>
      </c>
      <c r="V8" s="12">
        <f t="shared" si="2"/>
        <v>0.14705882352941177</v>
      </c>
      <c r="W8" s="12">
        <f t="shared" si="3"/>
        <v>7.0866141732283464E-2</v>
      </c>
      <c r="X8" s="12">
        <f t="shared" si="4"/>
        <v>4.0000000000000001E-3</v>
      </c>
      <c r="Y8" s="12">
        <f t="shared" si="5"/>
        <v>0</v>
      </c>
      <c r="Z8" s="12">
        <f t="shared" si="6"/>
        <v>0</v>
      </c>
      <c r="AA8" s="12">
        <f t="shared" si="7"/>
        <v>0</v>
      </c>
      <c r="AB8" s="12">
        <f t="shared" si="8"/>
        <v>0</v>
      </c>
      <c r="AC8" s="12">
        <f t="shared" si="9"/>
        <v>0</v>
      </c>
      <c r="AD8" s="12">
        <f t="shared" si="10"/>
        <v>0</v>
      </c>
      <c r="AE8" s="12">
        <f t="shared" si="11"/>
        <v>0</v>
      </c>
    </row>
    <row r="9" spans="2:31">
      <c r="B9" s="19">
        <v>21</v>
      </c>
      <c r="C9" s="20">
        <v>1</v>
      </c>
      <c r="D9" s="20">
        <v>19</v>
      </c>
      <c r="E9" s="20">
        <v>18</v>
      </c>
      <c r="F9" s="20">
        <v>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19">
        <f t="shared" si="0"/>
        <v>40</v>
      </c>
      <c r="T9" s="12">
        <f t="shared" si="1"/>
        <v>21</v>
      </c>
      <c r="U9" s="12">
        <f t="shared" si="12"/>
        <v>0.25</v>
      </c>
      <c r="V9" s="12">
        <f t="shared" si="2"/>
        <v>0.13970588235294118</v>
      </c>
      <c r="W9" s="12">
        <f t="shared" si="3"/>
        <v>7.0866141732283464E-2</v>
      </c>
      <c r="X9" s="12">
        <f t="shared" si="4"/>
        <v>8.0000000000000002E-3</v>
      </c>
      <c r="Y9" s="12">
        <f t="shared" si="5"/>
        <v>0</v>
      </c>
      <c r="Z9" s="12">
        <f t="shared" si="6"/>
        <v>0</v>
      </c>
      <c r="AA9" s="12">
        <f t="shared" si="7"/>
        <v>0</v>
      </c>
      <c r="AB9" s="12">
        <f t="shared" si="8"/>
        <v>0</v>
      </c>
      <c r="AC9" s="12">
        <f t="shared" si="9"/>
        <v>0</v>
      </c>
      <c r="AD9" s="12">
        <f t="shared" si="10"/>
        <v>0</v>
      </c>
      <c r="AE9" s="12">
        <f t="shared" si="11"/>
        <v>0</v>
      </c>
    </row>
    <row r="10" spans="2:31">
      <c r="B10" s="19">
        <v>22</v>
      </c>
      <c r="C10" s="20"/>
      <c r="D10" s="20">
        <v>12</v>
      </c>
      <c r="E10" s="20">
        <v>13</v>
      </c>
      <c r="F10" s="20">
        <v>2</v>
      </c>
      <c r="G10" s="13">
        <v>1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9">
        <f t="shared" si="0"/>
        <v>28</v>
      </c>
      <c r="T10" s="12">
        <f t="shared" si="1"/>
        <v>22</v>
      </c>
      <c r="U10" s="12">
        <f t="shared" si="12"/>
        <v>0</v>
      </c>
      <c r="V10" s="12">
        <f t="shared" si="2"/>
        <v>8.8235294117647065E-2</v>
      </c>
      <c r="W10" s="12">
        <f t="shared" si="3"/>
        <v>5.1181102362204724E-2</v>
      </c>
      <c r="X10" s="12">
        <f t="shared" si="4"/>
        <v>8.0000000000000002E-3</v>
      </c>
      <c r="Y10" s="12">
        <f t="shared" si="5"/>
        <v>4.048582995951417E-3</v>
      </c>
      <c r="Z10" s="12">
        <f t="shared" si="6"/>
        <v>0</v>
      </c>
      <c r="AA10" s="12">
        <f t="shared" si="7"/>
        <v>0</v>
      </c>
      <c r="AB10" s="12">
        <f t="shared" si="8"/>
        <v>0</v>
      </c>
      <c r="AC10" s="12">
        <f t="shared" si="9"/>
        <v>0</v>
      </c>
      <c r="AD10" s="12">
        <f t="shared" si="10"/>
        <v>0</v>
      </c>
      <c r="AE10" s="12">
        <f t="shared" si="11"/>
        <v>0</v>
      </c>
    </row>
    <row r="11" spans="2:31">
      <c r="B11" s="19">
        <v>23</v>
      </c>
      <c r="C11" s="20"/>
      <c r="D11" s="20">
        <v>22</v>
      </c>
      <c r="E11" s="20">
        <v>22</v>
      </c>
      <c r="F11" s="20">
        <v>14</v>
      </c>
      <c r="G11" s="13">
        <v>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9">
        <f t="shared" si="0"/>
        <v>60</v>
      </c>
      <c r="T11" s="12">
        <f t="shared" si="1"/>
        <v>23</v>
      </c>
      <c r="U11" s="12">
        <f t="shared" si="12"/>
        <v>0</v>
      </c>
      <c r="V11" s="12">
        <f t="shared" si="2"/>
        <v>0.16176470588235295</v>
      </c>
      <c r="W11" s="12">
        <f t="shared" si="3"/>
        <v>8.6614173228346455E-2</v>
      </c>
      <c r="X11" s="12">
        <f t="shared" si="4"/>
        <v>5.6000000000000001E-2</v>
      </c>
      <c r="Y11" s="12">
        <f t="shared" si="5"/>
        <v>8.0971659919028341E-3</v>
      </c>
      <c r="Z11" s="12">
        <f t="shared" si="6"/>
        <v>0</v>
      </c>
      <c r="AA11" s="12">
        <f t="shared" si="7"/>
        <v>0</v>
      </c>
      <c r="AB11" s="12">
        <f t="shared" si="8"/>
        <v>0</v>
      </c>
      <c r="AC11" s="12">
        <f t="shared" si="9"/>
        <v>0</v>
      </c>
      <c r="AD11" s="12">
        <f t="shared" si="10"/>
        <v>0</v>
      </c>
      <c r="AE11" s="12">
        <f t="shared" si="11"/>
        <v>0</v>
      </c>
    </row>
    <row r="12" spans="2:31">
      <c r="B12" s="19">
        <v>24</v>
      </c>
      <c r="C12" s="20">
        <v>3</v>
      </c>
      <c r="D12" s="20">
        <v>14</v>
      </c>
      <c r="E12" s="20">
        <v>40</v>
      </c>
      <c r="F12" s="20">
        <v>10</v>
      </c>
      <c r="G12" s="20">
        <v>4</v>
      </c>
      <c r="H12" s="20">
        <v>1</v>
      </c>
      <c r="I12" s="20"/>
      <c r="J12" s="20"/>
      <c r="K12" s="20"/>
      <c r="L12" s="20"/>
      <c r="M12" s="20"/>
      <c r="N12" s="20"/>
      <c r="O12" s="20"/>
      <c r="P12" s="20"/>
      <c r="Q12" s="20"/>
      <c r="R12" s="19">
        <f t="shared" si="0"/>
        <v>72</v>
      </c>
      <c r="T12" s="12">
        <f t="shared" si="1"/>
        <v>24</v>
      </c>
      <c r="U12" s="12">
        <f t="shared" si="12"/>
        <v>0.75</v>
      </c>
      <c r="V12" s="12">
        <f t="shared" si="2"/>
        <v>0.10294117647058823</v>
      </c>
      <c r="W12" s="12">
        <f t="shared" si="3"/>
        <v>0.15748031496062992</v>
      </c>
      <c r="X12" s="12">
        <f t="shared" si="4"/>
        <v>0.04</v>
      </c>
      <c r="Y12" s="12">
        <f t="shared" si="5"/>
        <v>1.6194331983805668E-2</v>
      </c>
      <c r="Z12" s="12">
        <f t="shared" si="6"/>
        <v>4.3668122270742356E-3</v>
      </c>
      <c r="AA12" s="12">
        <f t="shared" si="7"/>
        <v>0</v>
      </c>
      <c r="AB12" s="12">
        <f t="shared" si="8"/>
        <v>0</v>
      </c>
      <c r="AC12" s="12">
        <f t="shared" si="9"/>
        <v>0</v>
      </c>
      <c r="AD12" s="12">
        <f t="shared" si="10"/>
        <v>0</v>
      </c>
      <c r="AE12" s="12">
        <f t="shared" si="11"/>
        <v>0</v>
      </c>
    </row>
    <row r="13" spans="2:31">
      <c r="B13" s="19">
        <v>25</v>
      </c>
      <c r="C13" s="20"/>
      <c r="D13" s="20">
        <v>15</v>
      </c>
      <c r="E13" s="20">
        <v>36</v>
      </c>
      <c r="F13" s="20">
        <v>19</v>
      </c>
      <c r="G13" s="20">
        <v>10</v>
      </c>
      <c r="H13" s="20">
        <v>2</v>
      </c>
      <c r="I13" s="20"/>
      <c r="J13" s="20"/>
      <c r="K13" s="20"/>
      <c r="L13" s="20"/>
      <c r="M13" s="20"/>
      <c r="N13" s="20"/>
      <c r="O13" s="20"/>
      <c r="P13" s="20"/>
      <c r="Q13" s="20"/>
      <c r="R13" s="19">
        <f t="shared" si="0"/>
        <v>82</v>
      </c>
      <c r="T13" s="12">
        <f t="shared" si="1"/>
        <v>25</v>
      </c>
      <c r="U13" s="12">
        <f t="shared" si="12"/>
        <v>0</v>
      </c>
      <c r="V13" s="12">
        <f t="shared" si="2"/>
        <v>0.11029411764705882</v>
      </c>
      <c r="W13" s="12">
        <f t="shared" si="3"/>
        <v>0.14173228346456693</v>
      </c>
      <c r="X13" s="12">
        <f t="shared" si="4"/>
        <v>7.5999999999999998E-2</v>
      </c>
      <c r="Y13" s="12">
        <f t="shared" si="5"/>
        <v>4.048582995951417E-2</v>
      </c>
      <c r="Z13" s="12">
        <f t="shared" si="6"/>
        <v>8.7336244541484712E-3</v>
      </c>
      <c r="AA13" s="12">
        <f t="shared" si="7"/>
        <v>0</v>
      </c>
      <c r="AB13" s="12">
        <f t="shared" si="8"/>
        <v>0</v>
      </c>
      <c r="AC13" s="12">
        <f t="shared" si="9"/>
        <v>0</v>
      </c>
      <c r="AD13" s="12">
        <f t="shared" si="10"/>
        <v>0</v>
      </c>
      <c r="AE13" s="12">
        <f t="shared" si="11"/>
        <v>0</v>
      </c>
    </row>
    <row r="14" spans="2:31">
      <c r="B14" s="19">
        <v>26</v>
      </c>
      <c r="C14" s="20"/>
      <c r="D14" s="20">
        <v>17</v>
      </c>
      <c r="E14" s="20">
        <v>29</v>
      </c>
      <c r="F14" s="20">
        <v>21</v>
      </c>
      <c r="G14" s="20">
        <v>13</v>
      </c>
      <c r="H14" s="13">
        <v>3</v>
      </c>
      <c r="I14" s="20"/>
      <c r="J14" s="20"/>
      <c r="K14" s="20"/>
      <c r="L14" s="20"/>
      <c r="M14" s="20"/>
      <c r="N14" s="20"/>
      <c r="O14" s="20"/>
      <c r="P14" s="20"/>
      <c r="Q14" s="20"/>
      <c r="R14" s="19">
        <f t="shared" si="0"/>
        <v>83</v>
      </c>
      <c r="T14" s="12">
        <f t="shared" si="1"/>
        <v>26</v>
      </c>
      <c r="U14" s="12">
        <f t="shared" si="12"/>
        <v>0</v>
      </c>
      <c r="V14" s="12">
        <f t="shared" si="2"/>
        <v>0.125</v>
      </c>
      <c r="W14" s="12">
        <f t="shared" si="3"/>
        <v>0.1141732283464567</v>
      </c>
      <c r="X14" s="12">
        <f t="shared" si="4"/>
        <v>8.4000000000000005E-2</v>
      </c>
      <c r="Y14" s="12">
        <f t="shared" si="5"/>
        <v>5.2631578947368418E-2</v>
      </c>
      <c r="Z14" s="12">
        <f t="shared" si="6"/>
        <v>1.3100436681222707E-2</v>
      </c>
      <c r="AA14" s="12">
        <f t="shared" si="7"/>
        <v>0</v>
      </c>
      <c r="AB14" s="12">
        <f t="shared" si="8"/>
        <v>0</v>
      </c>
      <c r="AC14" s="12">
        <f t="shared" si="9"/>
        <v>0</v>
      </c>
      <c r="AD14" s="12">
        <f t="shared" si="10"/>
        <v>0</v>
      </c>
      <c r="AE14" s="12">
        <f t="shared" si="11"/>
        <v>0</v>
      </c>
    </row>
    <row r="15" spans="2:31">
      <c r="B15" s="19">
        <v>27</v>
      </c>
      <c r="C15" s="20"/>
      <c r="D15" s="20">
        <v>2</v>
      </c>
      <c r="E15" s="20">
        <v>19</v>
      </c>
      <c r="F15" s="23">
        <v>38</v>
      </c>
      <c r="G15" s="20">
        <v>18</v>
      </c>
      <c r="H15" s="20">
        <v>6</v>
      </c>
      <c r="I15" s="20">
        <v>1</v>
      </c>
      <c r="J15" s="20"/>
      <c r="K15" s="20"/>
      <c r="L15" s="20"/>
      <c r="M15" s="20"/>
      <c r="N15" s="20"/>
      <c r="O15" s="20"/>
      <c r="P15" s="20"/>
      <c r="Q15" s="20"/>
      <c r="R15" s="19">
        <f t="shared" si="0"/>
        <v>84</v>
      </c>
      <c r="T15" s="12">
        <f t="shared" si="1"/>
        <v>27</v>
      </c>
      <c r="U15" s="12">
        <f t="shared" si="12"/>
        <v>0</v>
      </c>
      <c r="V15" s="12">
        <f t="shared" si="2"/>
        <v>1.4705882352941176E-2</v>
      </c>
      <c r="W15" s="12">
        <f t="shared" si="3"/>
        <v>7.4803149606299218E-2</v>
      </c>
      <c r="X15" s="12">
        <f t="shared" si="4"/>
        <v>0.152</v>
      </c>
      <c r="Y15" s="12">
        <f t="shared" si="5"/>
        <v>7.28744939271255E-2</v>
      </c>
      <c r="Z15" s="12">
        <f t="shared" si="6"/>
        <v>2.6200873362445413E-2</v>
      </c>
      <c r="AA15" s="12">
        <f t="shared" si="7"/>
        <v>4.2918454935622317E-3</v>
      </c>
      <c r="AB15" s="12">
        <f t="shared" si="8"/>
        <v>0</v>
      </c>
      <c r="AC15" s="12">
        <f t="shared" si="9"/>
        <v>0</v>
      </c>
      <c r="AD15" s="12">
        <f t="shared" si="10"/>
        <v>0</v>
      </c>
      <c r="AE15" s="12">
        <f t="shared" si="11"/>
        <v>0</v>
      </c>
    </row>
    <row r="16" spans="2:31">
      <c r="B16" s="19">
        <v>28</v>
      </c>
      <c r="C16" s="20"/>
      <c r="D16" s="20">
        <v>1</v>
      </c>
      <c r="E16" s="20">
        <v>18</v>
      </c>
      <c r="F16" s="23">
        <v>33</v>
      </c>
      <c r="G16" s="20">
        <v>26</v>
      </c>
      <c r="H16" s="20">
        <v>4</v>
      </c>
      <c r="J16" s="20"/>
      <c r="K16" s="20"/>
      <c r="L16" s="20"/>
      <c r="M16" s="20"/>
      <c r="N16" s="20"/>
      <c r="O16" s="20"/>
      <c r="P16" s="20"/>
      <c r="Q16" s="20"/>
      <c r="R16" s="19">
        <f t="shared" si="0"/>
        <v>82</v>
      </c>
      <c r="T16" s="12">
        <f t="shared" si="1"/>
        <v>28</v>
      </c>
      <c r="U16" s="12">
        <f t="shared" si="12"/>
        <v>0</v>
      </c>
      <c r="V16" s="12">
        <f t="shared" si="2"/>
        <v>7.3529411764705881E-3</v>
      </c>
      <c r="W16" s="12">
        <f t="shared" si="3"/>
        <v>7.0866141732283464E-2</v>
      </c>
      <c r="X16" s="12">
        <f t="shared" si="4"/>
        <v>0.13200000000000001</v>
      </c>
      <c r="Y16" s="12">
        <f t="shared" si="5"/>
        <v>0.10526315789473684</v>
      </c>
      <c r="Z16" s="12">
        <f t="shared" si="6"/>
        <v>1.7467248908296942E-2</v>
      </c>
      <c r="AA16" s="12">
        <f t="shared" si="7"/>
        <v>0</v>
      </c>
      <c r="AB16" s="12">
        <f t="shared" si="8"/>
        <v>0</v>
      </c>
      <c r="AC16" s="12">
        <f t="shared" si="9"/>
        <v>0</v>
      </c>
      <c r="AD16" s="12">
        <f t="shared" si="10"/>
        <v>0</v>
      </c>
      <c r="AE16" s="12">
        <f t="shared" si="11"/>
        <v>0</v>
      </c>
    </row>
    <row r="17" spans="2:31">
      <c r="B17" s="19">
        <v>29</v>
      </c>
      <c r="C17" s="20"/>
      <c r="D17" s="23"/>
      <c r="E17" s="23">
        <v>15</v>
      </c>
      <c r="F17" s="23">
        <v>28</v>
      </c>
      <c r="G17" s="23">
        <v>29</v>
      </c>
      <c r="H17" s="20">
        <v>12</v>
      </c>
      <c r="I17" s="13">
        <v>2</v>
      </c>
      <c r="J17" s="23"/>
      <c r="K17" s="23"/>
      <c r="L17" s="23"/>
      <c r="M17" s="23"/>
      <c r="N17" s="23"/>
      <c r="O17" s="23"/>
      <c r="P17" s="23"/>
      <c r="Q17" s="23"/>
      <c r="R17" s="19">
        <f t="shared" si="0"/>
        <v>86</v>
      </c>
      <c r="T17" s="12">
        <f t="shared" si="1"/>
        <v>29</v>
      </c>
      <c r="U17" s="12">
        <f t="shared" si="12"/>
        <v>0</v>
      </c>
      <c r="V17" s="12">
        <f t="shared" si="2"/>
        <v>0</v>
      </c>
      <c r="W17" s="12">
        <f t="shared" si="3"/>
        <v>5.905511811023622E-2</v>
      </c>
      <c r="X17" s="12">
        <f t="shared" si="4"/>
        <v>0.112</v>
      </c>
      <c r="Y17" s="12">
        <f t="shared" si="5"/>
        <v>0.11740890688259109</v>
      </c>
      <c r="Z17" s="12">
        <f t="shared" si="6"/>
        <v>5.2401746724890827E-2</v>
      </c>
      <c r="AA17" s="12">
        <f t="shared" si="7"/>
        <v>8.5836909871244635E-3</v>
      </c>
      <c r="AB17" s="12">
        <f t="shared" si="8"/>
        <v>0</v>
      </c>
      <c r="AC17" s="12">
        <f t="shared" si="9"/>
        <v>0</v>
      </c>
      <c r="AD17" s="12">
        <f t="shared" si="10"/>
        <v>0</v>
      </c>
      <c r="AE17" s="12">
        <f t="shared" si="11"/>
        <v>0</v>
      </c>
    </row>
    <row r="18" spans="2:31">
      <c r="B18" s="19">
        <v>30</v>
      </c>
      <c r="C18" s="20"/>
      <c r="D18" s="20"/>
      <c r="E18" s="23">
        <v>7</v>
      </c>
      <c r="F18" s="13">
        <v>22</v>
      </c>
      <c r="G18" s="23">
        <v>32</v>
      </c>
      <c r="H18" s="20">
        <v>13</v>
      </c>
      <c r="I18" s="13">
        <v>2</v>
      </c>
      <c r="J18" s="23">
        <v>1</v>
      </c>
      <c r="K18" s="23"/>
      <c r="L18" s="23"/>
      <c r="M18" s="23"/>
      <c r="N18" s="23"/>
      <c r="O18" s="23"/>
      <c r="P18" s="23"/>
      <c r="Q18" s="23"/>
      <c r="R18" s="19">
        <f t="shared" si="0"/>
        <v>77</v>
      </c>
      <c r="T18" s="12">
        <f t="shared" si="1"/>
        <v>30</v>
      </c>
      <c r="U18" s="12">
        <f t="shared" si="12"/>
        <v>0</v>
      </c>
      <c r="V18" s="12">
        <f t="shared" si="2"/>
        <v>0</v>
      </c>
      <c r="W18" s="12">
        <f t="shared" si="3"/>
        <v>2.7559055118110236E-2</v>
      </c>
      <c r="X18" s="12">
        <f t="shared" si="4"/>
        <v>8.7999999999999995E-2</v>
      </c>
      <c r="Y18" s="12">
        <f t="shared" si="5"/>
        <v>0.12955465587044535</v>
      </c>
      <c r="Z18" s="12">
        <f t="shared" si="6"/>
        <v>5.6768558951965066E-2</v>
      </c>
      <c r="AA18" s="12">
        <f t="shared" si="7"/>
        <v>8.5836909871244635E-3</v>
      </c>
      <c r="AB18" s="12">
        <f t="shared" si="8"/>
        <v>4.5454545454545452E-3</v>
      </c>
      <c r="AC18" s="12">
        <f t="shared" si="9"/>
        <v>0</v>
      </c>
      <c r="AD18" s="12">
        <f t="shared" si="10"/>
        <v>0</v>
      </c>
      <c r="AE18" s="12">
        <f t="shared" si="11"/>
        <v>0</v>
      </c>
    </row>
    <row r="19" spans="2:31">
      <c r="B19" s="19">
        <v>31</v>
      </c>
      <c r="C19" s="20"/>
      <c r="D19" s="20"/>
      <c r="E19" s="23">
        <v>6</v>
      </c>
      <c r="F19" s="20">
        <v>16</v>
      </c>
      <c r="G19" s="23">
        <v>23</v>
      </c>
      <c r="H19" s="23">
        <v>19</v>
      </c>
      <c r="I19" s="20">
        <v>7</v>
      </c>
      <c r="J19" s="23">
        <v>2</v>
      </c>
      <c r="K19" s="23"/>
      <c r="L19" s="23"/>
      <c r="M19" s="23"/>
      <c r="N19" s="23"/>
      <c r="O19" s="23"/>
      <c r="P19" s="23"/>
      <c r="Q19" s="23"/>
      <c r="R19" s="19">
        <f t="shared" si="0"/>
        <v>73</v>
      </c>
      <c r="T19" s="12">
        <f t="shared" si="1"/>
        <v>31</v>
      </c>
      <c r="U19" s="12">
        <f t="shared" si="12"/>
        <v>0</v>
      </c>
      <c r="V19" s="12">
        <f t="shared" si="2"/>
        <v>0</v>
      </c>
      <c r="W19" s="12">
        <f t="shared" si="3"/>
        <v>2.3622047244094488E-2</v>
      </c>
      <c r="X19" s="12">
        <f t="shared" si="4"/>
        <v>6.4000000000000001E-2</v>
      </c>
      <c r="Y19" s="12">
        <f t="shared" si="5"/>
        <v>9.3117408906882596E-2</v>
      </c>
      <c r="Z19" s="12">
        <f t="shared" si="6"/>
        <v>8.296943231441048E-2</v>
      </c>
      <c r="AA19" s="12">
        <f t="shared" si="7"/>
        <v>3.0042918454935622E-2</v>
      </c>
      <c r="AB19" s="12">
        <f t="shared" si="8"/>
        <v>9.0909090909090905E-3</v>
      </c>
      <c r="AC19" s="12">
        <f t="shared" si="9"/>
        <v>0</v>
      </c>
      <c r="AD19" s="12">
        <f t="shared" si="10"/>
        <v>0</v>
      </c>
      <c r="AE19" s="12">
        <f t="shared" si="11"/>
        <v>0</v>
      </c>
    </row>
    <row r="20" spans="2:31">
      <c r="B20" s="19">
        <v>32</v>
      </c>
      <c r="C20" s="20"/>
      <c r="D20" s="20"/>
      <c r="E20" s="23">
        <v>3</v>
      </c>
      <c r="F20" s="23">
        <v>12</v>
      </c>
      <c r="G20" s="23">
        <v>21</v>
      </c>
      <c r="H20" s="23">
        <v>22</v>
      </c>
      <c r="I20" s="23">
        <v>4</v>
      </c>
      <c r="K20" s="23"/>
      <c r="L20" s="23"/>
      <c r="M20" s="23"/>
      <c r="N20" s="23"/>
      <c r="O20" s="23"/>
      <c r="P20" s="23"/>
      <c r="Q20" s="23"/>
      <c r="R20" s="19">
        <f t="shared" si="0"/>
        <v>62</v>
      </c>
      <c r="T20" s="12">
        <f t="shared" si="1"/>
        <v>32</v>
      </c>
      <c r="U20" s="12">
        <f t="shared" si="12"/>
        <v>0</v>
      </c>
      <c r="V20" s="12">
        <f t="shared" si="2"/>
        <v>0</v>
      </c>
      <c r="W20" s="12">
        <f t="shared" si="3"/>
        <v>1.1811023622047244E-2</v>
      </c>
      <c r="X20" s="12">
        <f t="shared" si="4"/>
        <v>4.8000000000000001E-2</v>
      </c>
      <c r="Y20" s="12">
        <f t="shared" si="5"/>
        <v>8.5020242914979755E-2</v>
      </c>
      <c r="Z20" s="12">
        <f t="shared" si="6"/>
        <v>9.606986899563319E-2</v>
      </c>
      <c r="AA20" s="12">
        <f t="shared" si="7"/>
        <v>1.7167381974248927E-2</v>
      </c>
      <c r="AB20" s="12">
        <f t="shared" si="8"/>
        <v>0</v>
      </c>
      <c r="AC20" s="12">
        <f t="shared" si="9"/>
        <v>0</v>
      </c>
      <c r="AD20" s="12">
        <f t="shared" si="10"/>
        <v>0</v>
      </c>
      <c r="AE20" s="12">
        <f t="shared" si="11"/>
        <v>0</v>
      </c>
    </row>
    <row r="21" spans="2:31">
      <c r="B21" s="19">
        <v>33</v>
      </c>
      <c r="C21" s="20"/>
      <c r="D21" s="20"/>
      <c r="E21" s="23">
        <v>1</v>
      </c>
      <c r="F21" s="23">
        <v>10</v>
      </c>
      <c r="G21" s="23">
        <v>15</v>
      </c>
      <c r="H21" s="23">
        <v>24</v>
      </c>
      <c r="I21" s="23">
        <v>4</v>
      </c>
      <c r="J21" s="23">
        <v>1</v>
      </c>
      <c r="K21" s="23"/>
      <c r="L21" s="23"/>
      <c r="M21" s="23"/>
      <c r="N21" s="23"/>
      <c r="O21" s="23"/>
      <c r="P21" s="23"/>
      <c r="Q21" s="23"/>
      <c r="R21" s="19">
        <f t="shared" si="0"/>
        <v>55</v>
      </c>
      <c r="T21" s="12">
        <f t="shared" si="1"/>
        <v>33</v>
      </c>
      <c r="U21" s="12">
        <f t="shared" si="12"/>
        <v>0</v>
      </c>
      <c r="V21" s="12">
        <f t="shared" si="2"/>
        <v>0</v>
      </c>
      <c r="W21" s="12">
        <f t="shared" si="3"/>
        <v>3.937007874015748E-3</v>
      </c>
      <c r="X21" s="12">
        <f t="shared" si="4"/>
        <v>0.04</v>
      </c>
      <c r="Y21" s="12">
        <f t="shared" si="5"/>
        <v>6.0728744939271252E-2</v>
      </c>
      <c r="Z21" s="12">
        <f t="shared" si="6"/>
        <v>0.10480349344978165</v>
      </c>
      <c r="AA21" s="12">
        <f t="shared" si="7"/>
        <v>1.7167381974248927E-2</v>
      </c>
      <c r="AB21" s="12">
        <f t="shared" si="8"/>
        <v>4.5454545454545452E-3</v>
      </c>
      <c r="AC21" s="12">
        <f t="shared" si="9"/>
        <v>0</v>
      </c>
      <c r="AD21" s="12">
        <f t="shared" si="10"/>
        <v>0</v>
      </c>
      <c r="AE21" s="12">
        <f t="shared" si="11"/>
        <v>0</v>
      </c>
    </row>
    <row r="22" spans="2:31">
      <c r="B22" s="19">
        <v>34</v>
      </c>
      <c r="C22" s="20"/>
      <c r="D22" s="20"/>
      <c r="E22" s="20">
        <v>1</v>
      </c>
      <c r="F22" s="23">
        <v>5</v>
      </c>
      <c r="G22" s="23">
        <v>7</v>
      </c>
      <c r="H22" s="23">
        <v>19</v>
      </c>
      <c r="I22" s="23">
        <v>7</v>
      </c>
      <c r="J22" s="23">
        <v>2</v>
      </c>
      <c r="K22" s="23"/>
      <c r="L22" s="23"/>
      <c r="M22" s="23"/>
      <c r="N22" s="23"/>
      <c r="O22" s="23"/>
      <c r="P22" s="23"/>
      <c r="Q22" s="23"/>
      <c r="R22" s="19">
        <f t="shared" si="0"/>
        <v>41</v>
      </c>
      <c r="T22" s="12">
        <f t="shared" si="1"/>
        <v>34</v>
      </c>
      <c r="U22" s="12">
        <f t="shared" si="12"/>
        <v>0</v>
      </c>
      <c r="V22" s="12">
        <f t="shared" si="2"/>
        <v>0</v>
      </c>
      <c r="W22" s="12">
        <f t="shared" si="3"/>
        <v>3.937007874015748E-3</v>
      </c>
      <c r="X22" s="12">
        <f t="shared" si="4"/>
        <v>0.02</v>
      </c>
      <c r="Y22" s="12">
        <f t="shared" si="5"/>
        <v>2.8340080971659919E-2</v>
      </c>
      <c r="Z22" s="12">
        <f t="shared" si="6"/>
        <v>8.296943231441048E-2</v>
      </c>
      <c r="AA22" s="12">
        <f t="shared" si="7"/>
        <v>3.0042918454935622E-2</v>
      </c>
      <c r="AB22" s="12">
        <f t="shared" si="8"/>
        <v>9.0909090909090905E-3</v>
      </c>
      <c r="AC22" s="12">
        <f t="shared" si="9"/>
        <v>0</v>
      </c>
      <c r="AD22" s="12">
        <f t="shared" si="10"/>
        <v>0</v>
      </c>
      <c r="AE22" s="12">
        <f t="shared" si="11"/>
        <v>0</v>
      </c>
    </row>
    <row r="23" spans="2:31">
      <c r="B23" s="19">
        <v>35</v>
      </c>
      <c r="C23" s="20"/>
      <c r="D23" s="20"/>
      <c r="E23" s="20"/>
      <c r="F23" s="23">
        <v>7</v>
      </c>
      <c r="G23" s="23">
        <v>16</v>
      </c>
      <c r="H23" s="23">
        <v>14</v>
      </c>
      <c r="I23" s="23">
        <v>12</v>
      </c>
      <c r="J23" s="23">
        <v>2</v>
      </c>
      <c r="K23" s="23">
        <v>1</v>
      </c>
      <c r="M23" s="23"/>
      <c r="N23" s="23"/>
      <c r="O23" s="23"/>
      <c r="P23" s="23"/>
      <c r="Q23" s="23"/>
      <c r="R23" s="19">
        <f t="shared" si="0"/>
        <v>52</v>
      </c>
      <c r="T23" s="12">
        <f t="shared" si="1"/>
        <v>35</v>
      </c>
      <c r="U23" s="12">
        <f t="shared" si="12"/>
        <v>0</v>
      </c>
      <c r="V23" s="12">
        <f t="shared" si="2"/>
        <v>0</v>
      </c>
      <c r="W23" s="12">
        <f t="shared" si="3"/>
        <v>0</v>
      </c>
      <c r="X23" s="12">
        <f t="shared" si="4"/>
        <v>2.8000000000000001E-2</v>
      </c>
      <c r="Y23" s="12">
        <f t="shared" si="5"/>
        <v>6.4777327935222673E-2</v>
      </c>
      <c r="Z23" s="12">
        <f t="shared" si="6"/>
        <v>6.1135371179039298E-2</v>
      </c>
      <c r="AA23" s="12">
        <f t="shared" si="7"/>
        <v>5.1502145922746781E-2</v>
      </c>
      <c r="AB23" s="12">
        <f t="shared" si="8"/>
        <v>9.0909090909090905E-3</v>
      </c>
      <c r="AC23" s="12">
        <f t="shared" si="9"/>
        <v>5.1282051282051282E-3</v>
      </c>
      <c r="AD23" s="12">
        <f t="shared" si="10"/>
        <v>0</v>
      </c>
      <c r="AE23" s="12">
        <f t="shared" si="11"/>
        <v>0</v>
      </c>
    </row>
    <row r="24" spans="2:31">
      <c r="B24" s="19">
        <v>36</v>
      </c>
      <c r="C24" s="20"/>
      <c r="D24" s="20"/>
      <c r="E24" s="20"/>
      <c r="F24" s="23">
        <v>1</v>
      </c>
      <c r="G24" s="23">
        <v>11</v>
      </c>
      <c r="H24" s="23">
        <v>14</v>
      </c>
      <c r="I24" s="23">
        <v>5</v>
      </c>
      <c r="J24" s="23">
        <v>4</v>
      </c>
      <c r="K24" s="23">
        <v>1</v>
      </c>
      <c r="M24" s="23"/>
      <c r="N24" s="23"/>
      <c r="O24" s="23"/>
      <c r="P24" s="23"/>
      <c r="Q24" s="23"/>
      <c r="R24" s="19">
        <f t="shared" si="0"/>
        <v>36</v>
      </c>
      <c r="T24" s="12">
        <f t="shared" si="1"/>
        <v>36</v>
      </c>
      <c r="U24" s="12">
        <f t="shared" si="12"/>
        <v>0</v>
      </c>
      <c r="V24" s="12">
        <f t="shared" si="2"/>
        <v>0</v>
      </c>
      <c r="W24" s="12">
        <f t="shared" si="3"/>
        <v>0</v>
      </c>
      <c r="X24" s="12">
        <f t="shared" si="4"/>
        <v>4.0000000000000001E-3</v>
      </c>
      <c r="Y24" s="12">
        <f t="shared" si="5"/>
        <v>4.4534412955465584E-2</v>
      </c>
      <c r="Z24" s="12">
        <f t="shared" si="6"/>
        <v>6.1135371179039298E-2</v>
      </c>
      <c r="AA24" s="12">
        <f t="shared" si="7"/>
        <v>2.1459227467811159E-2</v>
      </c>
      <c r="AB24" s="12">
        <f t="shared" si="8"/>
        <v>1.8181818181818181E-2</v>
      </c>
      <c r="AC24" s="12">
        <f t="shared" si="9"/>
        <v>5.1282051282051282E-3</v>
      </c>
      <c r="AD24" s="12">
        <f t="shared" si="10"/>
        <v>0</v>
      </c>
      <c r="AE24" s="12">
        <f t="shared" si="11"/>
        <v>0</v>
      </c>
    </row>
    <row r="25" spans="2:31">
      <c r="B25" s="19">
        <v>37</v>
      </c>
      <c r="C25" s="20"/>
      <c r="D25" s="20"/>
      <c r="E25" s="20"/>
      <c r="F25" s="23">
        <v>1</v>
      </c>
      <c r="G25" s="23">
        <v>2</v>
      </c>
      <c r="H25" s="23">
        <v>10</v>
      </c>
      <c r="I25" s="23">
        <v>13</v>
      </c>
      <c r="J25" s="23">
        <v>3</v>
      </c>
      <c r="K25" s="23">
        <v>1</v>
      </c>
      <c r="L25" s="13">
        <v>1</v>
      </c>
      <c r="M25" s="23"/>
      <c r="N25" s="23"/>
      <c r="O25" s="23"/>
      <c r="P25" s="23"/>
      <c r="Q25" s="23"/>
      <c r="R25" s="19">
        <f t="shared" si="0"/>
        <v>31</v>
      </c>
      <c r="T25" s="12">
        <f t="shared" si="1"/>
        <v>37</v>
      </c>
      <c r="U25" s="12">
        <f t="shared" si="12"/>
        <v>0</v>
      </c>
      <c r="V25" s="12">
        <f t="shared" si="2"/>
        <v>0</v>
      </c>
      <c r="W25" s="12">
        <f t="shared" si="3"/>
        <v>0</v>
      </c>
      <c r="X25" s="12">
        <f t="shared" si="4"/>
        <v>4.0000000000000001E-3</v>
      </c>
      <c r="Y25" s="12">
        <f t="shared" si="5"/>
        <v>8.0971659919028341E-3</v>
      </c>
      <c r="Z25" s="12">
        <f t="shared" si="6"/>
        <v>4.3668122270742356E-2</v>
      </c>
      <c r="AA25" s="12">
        <f t="shared" si="7"/>
        <v>5.5793991416309016E-2</v>
      </c>
      <c r="AB25" s="12">
        <f t="shared" si="8"/>
        <v>1.3636363636363636E-2</v>
      </c>
      <c r="AC25" s="12">
        <f t="shared" si="9"/>
        <v>5.1282051282051282E-3</v>
      </c>
      <c r="AD25" s="12">
        <f t="shared" si="10"/>
        <v>8.2644628099173556E-3</v>
      </c>
      <c r="AE25" s="12">
        <f t="shared" si="11"/>
        <v>0</v>
      </c>
    </row>
    <row r="26" spans="2:31">
      <c r="B26" s="19">
        <v>38</v>
      </c>
      <c r="C26" s="20"/>
      <c r="D26" s="20"/>
      <c r="E26" s="20"/>
      <c r="F26" s="20">
        <v>2</v>
      </c>
      <c r="G26" s="23">
        <v>6</v>
      </c>
      <c r="H26" s="23">
        <v>10</v>
      </c>
      <c r="I26" s="23">
        <v>9</v>
      </c>
      <c r="J26" s="23">
        <v>5</v>
      </c>
      <c r="K26" s="23">
        <v>3</v>
      </c>
      <c r="L26" s="23">
        <v>2</v>
      </c>
      <c r="M26" s="23"/>
      <c r="N26" s="23"/>
      <c r="O26" s="23"/>
      <c r="P26" s="23"/>
      <c r="Q26" s="23"/>
      <c r="R26" s="19">
        <f t="shared" si="0"/>
        <v>37</v>
      </c>
      <c r="T26" s="12">
        <f t="shared" si="1"/>
        <v>38</v>
      </c>
      <c r="U26" s="12">
        <f t="shared" si="12"/>
        <v>0</v>
      </c>
      <c r="V26" s="12">
        <f t="shared" si="2"/>
        <v>0</v>
      </c>
      <c r="W26" s="12">
        <f t="shared" si="3"/>
        <v>0</v>
      </c>
      <c r="X26" s="12">
        <f t="shared" si="4"/>
        <v>8.0000000000000002E-3</v>
      </c>
      <c r="Y26" s="12">
        <f t="shared" si="5"/>
        <v>2.4291497975708502E-2</v>
      </c>
      <c r="Z26" s="12">
        <f t="shared" si="6"/>
        <v>4.3668122270742356E-2</v>
      </c>
      <c r="AA26" s="12">
        <f t="shared" si="7"/>
        <v>3.8626609442060089E-2</v>
      </c>
      <c r="AB26" s="12">
        <f t="shared" si="8"/>
        <v>2.2727272727272728E-2</v>
      </c>
      <c r="AC26" s="12">
        <f t="shared" si="9"/>
        <v>1.5384615384615385E-2</v>
      </c>
      <c r="AD26" s="12">
        <f t="shared" si="10"/>
        <v>1.6528925619834711E-2</v>
      </c>
      <c r="AE26" s="12">
        <f t="shared" si="11"/>
        <v>0</v>
      </c>
    </row>
    <row r="27" spans="2:31">
      <c r="B27" s="19">
        <v>39</v>
      </c>
      <c r="C27" s="20"/>
      <c r="D27" s="20"/>
      <c r="E27" s="20"/>
      <c r="F27" s="20"/>
      <c r="G27" s="23">
        <v>4</v>
      </c>
      <c r="H27" s="23">
        <v>8</v>
      </c>
      <c r="I27" s="23">
        <v>13</v>
      </c>
      <c r="J27" s="23">
        <v>5</v>
      </c>
      <c r="K27" s="23">
        <v>3</v>
      </c>
      <c r="L27" s="23">
        <v>1</v>
      </c>
      <c r="M27" s="23"/>
      <c r="N27" s="23"/>
      <c r="O27" s="23"/>
      <c r="P27" s="23"/>
      <c r="Q27" s="23"/>
      <c r="R27" s="19">
        <f t="shared" si="0"/>
        <v>34</v>
      </c>
      <c r="T27" s="12">
        <f t="shared" si="1"/>
        <v>39</v>
      </c>
      <c r="U27" s="12">
        <f t="shared" si="12"/>
        <v>0</v>
      </c>
      <c r="V27" s="12">
        <f t="shared" si="2"/>
        <v>0</v>
      </c>
      <c r="W27" s="12">
        <f t="shared" si="3"/>
        <v>0</v>
      </c>
      <c r="X27" s="12">
        <f t="shared" si="4"/>
        <v>0</v>
      </c>
      <c r="Y27" s="12">
        <f t="shared" si="5"/>
        <v>1.6194331983805668E-2</v>
      </c>
      <c r="Z27" s="12">
        <f t="shared" si="6"/>
        <v>3.4934497816593885E-2</v>
      </c>
      <c r="AA27" s="12">
        <f t="shared" si="7"/>
        <v>5.5793991416309016E-2</v>
      </c>
      <c r="AB27" s="12">
        <f t="shared" si="8"/>
        <v>2.2727272727272728E-2</v>
      </c>
      <c r="AC27" s="12">
        <f t="shared" si="9"/>
        <v>1.5384615384615385E-2</v>
      </c>
      <c r="AD27" s="12">
        <f t="shared" si="10"/>
        <v>8.2644628099173556E-3</v>
      </c>
      <c r="AE27" s="12">
        <f t="shared" si="11"/>
        <v>0</v>
      </c>
    </row>
    <row r="28" spans="2:31">
      <c r="B28" s="19">
        <v>40</v>
      </c>
      <c r="C28" s="20"/>
      <c r="D28" s="20"/>
      <c r="E28" s="20"/>
      <c r="F28" s="20">
        <v>3</v>
      </c>
      <c r="G28" s="20">
        <v>2</v>
      </c>
      <c r="H28" s="20">
        <v>7</v>
      </c>
      <c r="I28" s="20">
        <v>13</v>
      </c>
      <c r="J28" s="20">
        <v>4</v>
      </c>
      <c r="K28" s="20">
        <v>4</v>
      </c>
      <c r="M28" s="20"/>
      <c r="N28" s="20"/>
      <c r="O28" s="20"/>
      <c r="P28" s="20"/>
      <c r="Q28" s="20"/>
      <c r="R28" s="19">
        <f t="shared" si="0"/>
        <v>33</v>
      </c>
      <c r="T28" s="12">
        <f t="shared" si="1"/>
        <v>40</v>
      </c>
      <c r="U28" s="12">
        <f t="shared" si="12"/>
        <v>0</v>
      </c>
      <c r="V28" s="12">
        <f t="shared" si="2"/>
        <v>0</v>
      </c>
      <c r="W28" s="12">
        <f t="shared" si="3"/>
        <v>0</v>
      </c>
      <c r="X28" s="12">
        <f t="shared" si="4"/>
        <v>1.2E-2</v>
      </c>
      <c r="Y28" s="12">
        <f t="shared" si="5"/>
        <v>8.0971659919028341E-3</v>
      </c>
      <c r="Z28" s="12">
        <f t="shared" si="6"/>
        <v>3.0567685589519649E-2</v>
      </c>
      <c r="AA28" s="12">
        <f t="shared" si="7"/>
        <v>5.5793991416309016E-2</v>
      </c>
      <c r="AB28" s="12">
        <f t="shared" si="8"/>
        <v>1.8181818181818181E-2</v>
      </c>
      <c r="AC28" s="12">
        <f t="shared" si="9"/>
        <v>2.0512820512820513E-2</v>
      </c>
      <c r="AD28" s="12">
        <f t="shared" si="10"/>
        <v>0</v>
      </c>
      <c r="AE28" s="12">
        <f t="shared" si="11"/>
        <v>0</v>
      </c>
    </row>
    <row r="29" spans="2:31">
      <c r="B29" s="19">
        <v>41</v>
      </c>
      <c r="C29" s="20"/>
      <c r="D29" s="20"/>
      <c r="E29" s="20"/>
      <c r="F29" s="20"/>
      <c r="G29" s="20">
        <v>2</v>
      </c>
      <c r="H29" s="20">
        <v>10</v>
      </c>
      <c r="I29" s="20">
        <v>14</v>
      </c>
      <c r="J29" s="20">
        <v>8</v>
      </c>
      <c r="K29" s="20">
        <v>5</v>
      </c>
      <c r="L29" s="20">
        <v>1</v>
      </c>
      <c r="M29" s="20">
        <v>1</v>
      </c>
      <c r="N29" s="20"/>
      <c r="O29" s="20"/>
      <c r="P29" s="20"/>
      <c r="Q29" s="20"/>
      <c r="R29" s="19">
        <f t="shared" si="0"/>
        <v>41</v>
      </c>
      <c r="T29" s="12">
        <f t="shared" si="1"/>
        <v>41</v>
      </c>
      <c r="U29" s="12">
        <f t="shared" si="12"/>
        <v>0</v>
      </c>
      <c r="V29" s="12">
        <f t="shared" si="2"/>
        <v>0</v>
      </c>
      <c r="W29" s="12">
        <f t="shared" si="3"/>
        <v>0</v>
      </c>
      <c r="X29" s="12">
        <f t="shared" si="4"/>
        <v>0</v>
      </c>
      <c r="Y29" s="12">
        <f t="shared" si="5"/>
        <v>8.0971659919028341E-3</v>
      </c>
      <c r="Z29" s="12">
        <f t="shared" si="6"/>
        <v>4.3668122270742356E-2</v>
      </c>
      <c r="AA29" s="12">
        <f t="shared" si="7"/>
        <v>6.0085836909871244E-2</v>
      </c>
      <c r="AB29" s="12">
        <f t="shared" si="8"/>
        <v>3.6363636363636362E-2</v>
      </c>
      <c r="AC29" s="12">
        <f t="shared" si="9"/>
        <v>2.564102564102564E-2</v>
      </c>
      <c r="AD29" s="12">
        <f t="shared" si="10"/>
        <v>8.2644628099173556E-3</v>
      </c>
      <c r="AE29" s="12">
        <f t="shared" si="11"/>
        <v>1.5151515151515152E-2</v>
      </c>
    </row>
    <row r="30" spans="2:31">
      <c r="B30" s="19">
        <v>42</v>
      </c>
      <c r="C30" s="20"/>
      <c r="D30" s="20"/>
      <c r="E30" s="20"/>
      <c r="F30" s="20">
        <v>1</v>
      </c>
      <c r="G30" s="13">
        <v>1</v>
      </c>
      <c r="H30" s="23">
        <v>5</v>
      </c>
      <c r="I30" s="23">
        <v>26</v>
      </c>
      <c r="J30" s="23">
        <v>7</v>
      </c>
      <c r="K30" s="23">
        <v>7</v>
      </c>
      <c r="L30" s="20">
        <v>2</v>
      </c>
      <c r="M30" s="23">
        <v>1</v>
      </c>
      <c r="N30" s="23"/>
      <c r="O30" s="23"/>
      <c r="P30" s="23"/>
      <c r="Q30" s="23"/>
      <c r="R30" s="19">
        <f t="shared" si="0"/>
        <v>50</v>
      </c>
      <c r="T30" s="12">
        <f t="shared" si="1"/>
        <v>42</v>
      </c>
      <c r="U30" s="12">
        <f t="shared" si="12"/>
        <v>0</v>
      </c>
      <c r="V30" s="12">
        <f t="shared" si="2"/>
        <v>0</v>
      </c>
      <c r="W30" s="12">
        <f t="shared" si="3"/>
        <v>0</v>
      </c>
      <c r="X30" s="12">
        <f t="shared" si="4"/>
        <v>4.0000000000000001E-3</v>
      </c>
      <c r="Y30" s="12">
        <f t="shared" si="5"/>
        <v>4.048582995951417E-3</v>
      </c>
      <c r="Z30" s="12">
        <f t="shared" si="6"/>
        <v>2.1834061135371178E-2</v>
      </c>
      <c r="AA30" s="12">
        <f t="shared" si="7"/>
        <v>0.11158798283261803</v>
      </c>
      <c r="AB30" s="12">
        <f t="shared" si="8"/>
        <v>3.1818181818181815E-2</v>
      </c>
      <c r="AC30" s="12">
        <f t="shared" si="9"/>
        <v>3.5897435897435895E-2</v>
      </c>
      <c r="AD30" s="12">
        <f t="shared" si="10"/>
        <v>1.6528925619834711E-2</v>
      </c>
      <c r="AE30" s="12">
        <f t="shared" si="11"/>
        <v>1.5151515151515152E-2</v>
      </c>
    </row>
    <row r="31" spans="2:31">
      <c r="B31" s="19">
        <v>43</v>
      </c>
      <c r="C31" s="20"/>
      <c r="D31" s="20"/>
      <c r="E31" s="20"/>
      <c r="F31" s="20">
        <v>1</v>
      </c>
      <c r="G31" s="23">
        <v>1</v>
      </c>
      <c r="H31" s="20">
        <v>11</v>
      </c>
      <c r="I31" s="20">
        <v>15</v>
      </c>
      <c r="J31" s="20">
        <v>18</v>
      </c>
      <c r="K31" s="20">
        <v>15</v>
      </c>
      <c r="L31" s="23">
        <v>4</v>
      </c>
      <c r="M31" s="20">
        <v>2</v>
      </c>
      <c r="N31" s="20"/>
      <c r="O31" s="20"/>
      <c r="P31" s="20"/>
      <c r="Q31" s="20"/>
      <c r="R31" s="19">
        <f t="shared" si="0"/>
        <v>67</v>
      </c>
      <c r="T31" s="12">
        <f t="shared" si="1"/>
        <v>43</v>
      </c>
      <c r="U31" s="12">
        <f t="shared" si="12"/>
        <v>0</v>
      </c>
      <c r="V31" s="12">
        <f t="shared" si="2"/>
        <v>0</v>
      </c>
      <c r="W31" s="12">
        <f t="shared" si="3"/>
        <v>0</v>
      </c>
      <c r="X31" s="12">
        <f t="shared" si="4"/>
        <v>4.0000000000000001E-3</v>
      </c>
      <c r="Y31" s="12">
        <f t="shared" si="5"/>
        <v>4.048582995951417E-3</v>
      </c>
      <c r="Z31" s="12">
        <f t="shared" si="6"/>
        <v>4.8034934497816595E-2</v>
      </c>
      <c r="AA31" s="12">
        <f t="shared" si="7"/>
        <v>6.4377682403433473E-2</v>
      </c>
      <c r="AB31" s="12">
        <f t="shared" si="8"/>
        <v>8.1818181818181818E-2</v>
      </c>
      <c r="AC31" s="12">
        <f t="shared" si="9"/>
        <v>7.6923076923076927E-2</v>
      </c>
      <c r="AD31" s="12">
        <f t="shared" si="10"/>
        <v>3.3057851239669422E-2</v>
      </c>
      <c r="AE31" s="12">
        <f t="shared" si="11"/>
        <v>3.0303030303030304E-2</v>
      </c>
    </row>
    <row r="32" spans="2:31">
      <c r="B32" s="19">
        <v>44</v>
      </c>
      <c r="C32" s="20"/>
      <c r="D32" s="20"/>
      <c r="E32" s="20"/>
      <c r="F32" s="20"/>
      <c r="G32" s="20">
        <v>1</v>
      </c>
      <c r="H32" s="13">
        <v>4</v>
      </c>
      <c r="I32" s="20">
        <v>14</v>
      </c>
      <c r="J32" s="20">
        <v>21</v>
      </c>
      <c r="K32" s="20">
        <v>11</v>
      </c>
      <c r="L32" s="23">
        <v>4</v>
      </c>
      <c r="M32" s="20">
        <v>2</v>
      </c>
      <c r="N32" s="20"/>
      <c r="O32" s="20"/>
      <c r="P32" s="20"/>
      <c r="Q32" s="20"/>
      <c r="R32" s="19">
        <f t="shared" si="0"/>
        <v>57</v>
      </c>
      <c r="T32" s="12">
        <f t="shared" si="1"/>
        <v>44</v>
      </c>
      <c r="U32" s="12">
        <f t="shared" si="12"/>
        <v>0</v>
      </c>
      <c r="V32" s="12">
        <f t="shared" si="2"/>
        <v>0</v>
      </c>
      <c r="W32" s="12">
        <f t="shared" si="3"/>
        <v>0</v>
      </c>
      <c r="X32" s="12">
        <f t="shared" si="4"/>
        <v>0</v>
      </c>
      <c r="Y32" s="12">
        <f t="shared" si="5"/>
        <v>4.048582995951417E-3</v>
      </c>
      <c r="Z32" s="12">
        <f t="shared" si="6"/>
        <v>1.7467248908296942E-2</v>
      </c>
      <c r="AA32" s="12">
        <f t="shared" si="7"/>
        <v>6.0085836909871244E-2</v>
      </c>
      <c r="AB32" s="12">
        <f t="shared" si="8"/>
        <v>9.5454545454545459E-2</v>
      </c>
      <c r="AC32" s="12">
        <f t="shared" si="9"/>
        <v>5.6410256410256411E-2</v>
      </c>
      <c r="AD32" s="12">
        <f t="shared" si="10"/>
        <v>3.3057851239669422E-2</v>
      </c>
      <c r="AE32" s="12">
        <f t="shared" si="11"/>
        <v>3.0303030303030304E-2</v>
      </c>
    </row>
    <row r="33" spans="2:31">
      <c r="B33" s="19">
        <v>45</v>
      </c>
      <c r="C33" s="20"/>
      <c r="D33" s="20"/>
      <c r="E33" s="20"/>
      <c r="F33" s="20"/>
      <c r="G33" s="20"/>
      <c r="H33" s="20">
        <v>4</v>
      </c>
      <c r="I33" s="20">
        <v>16</v>
      </c>
      <c r="J33" s="20">
        <v>21</v>
      </c>
      <c r="K33" s="20">
        <v>10</v>
      </c>
      <c r="L33" s="23">
        <v>11</v>
      </c>
      <c r="M33" s="20">
        <v>2</v>
      </c>
      <c r="N33" s="20"/>
      <c r="O33" s="20">
        <v>2</v>
      </c>
      <c r="P33" s="20"/>
      <c r="Q33" s="20"/>
      <c r="R33" s="19">
        <f t="shared" si="0"/>
        <v>66</v>
      </c>
      <c r="T33" s="12">
        <f t="shared" si="1"/>
        <v>45</v>
      </c>
      <c r="U33" s="12">
        <f t="shared" si="12"/>
        <v>0</v>
      </c>
      <c r="V33" s="12">
        <f t="shared" si="2"/>
        <v>0</v>
      </c>
      <c r="W33" s="12">
        <f t="shared" si="3"/>
        <v>0</v>
      </c>
      <c r="X33" s="12">
        <f t="shared" si="4"/>
        <v>0</v>
      </c>
      <c r="Y33" s="12">
        <f t="shared" si="5"/>
        <v>0</v>
      </c>
      <c r="Z33" s="12">
        <f t="shared" si="6"/>
        <v>1.7467248908296942E-2</v>
      </c>
      <c r="AA33" s="12">
        <f t="shared" si="7"/>
        <v>6.8669527896995708E-2</v>
      </c>
      <c r="AB33" s="12">
        <f t="shared" si="8"/>
        <v>9.5454545454545459E-2</v>
      </c>
      <c r="AC33" s="12">
        <f t="shared" si="9"/>
        <v>5.128205128205128E-2</v>
      </c>
      <c r="AD33" s="12">
        <f t="shared" si="10"/>
        <v>9.0909090909090912E-2</v>
      </c>
      <c r="AE33" s="12">
        <f t="shared" si="11"/>
        <v>3.0303030303030304E-2</v>
      </c>
    </row>
    <row r="34" spans="2:31">
      <c r="B34" s="19">
        <v>46</v>
      </c>
      <c r="C34" s="20"/>
      <c r="D34" s="20"/>
      <c r="E34" s="20"/>
      <c r="F34" s="20"/>
      <c r="G34" s="20"/>
      <c r="H34" s="20">
        <v>1</v>
      </c>
      <c r="I34" s="20">
        <v>14</v>
      </c>
      <c r="J34" s="20">
        <v>13</v>
      </c>
      <c r="K34" s="20">
        <v>19</v>
      </c>
      <c r="L34" s="13">
        <v>3</v>
      </c>
      <c r="M34" s="20">
        <v>5</v>
      </c>
      <c r="N34" s="20"/>
      <c r="O34" s="20"/>
      <c r="P34" s="20">
        <v>1</v>
      </c>
      <c r="Q34" s="20"/>
      <c r="R34" s="19">
        <f t="shared" si="0"/>
        <v>56</v>
      </c>
      <c r="T34" s="12">
        <f t="shared" si="1"/>
        <v>46</v>
      </c>
      <c r="U34" s="12">
        <f t="shared" si="12"/>
        <v>0</v>
      </c>
      <c r="V34" s="12">
        <f t="shared" si="2"/>
        <v>0</v>
      </c>
      <c r="W34" s="12">
        <f t="shared" si="3"/>
        <v>0</v>
      </c>
      <c r="X34" s="12">
        <f t="shared" si="4"/>
        <v>0</v>
      </c>
      <c r="Y34" s="12">
        <f t="shared" si="5"/>
        <v>0</v>
      </c>
      <c r="Z34" s="12">
        <f t="shared" si="6"/>
        <v>4.3668122270742356E-3</v>
      </c>
      <c r="AA34" s="12">
        <f t="shared" si="7"/>
        <v>6.0085836909871244E-2</v>
      </c>
      <c r="AB34" s="12">
        <f t="shared" si="8"/>
        <v>5.909090909090909E-2</v>
      </c>
      <c r="AC34" s="12">
        <f t="shared" si="9"/>
        <v>9.7435897435897437E-2</v>
      </c>
      <c r="AD34" s="12">
        <f t="shared" si="10"/>
        <v>2.4793388429752067E-2</v>
      </c>
      <c r="AE34" s="12">
        <f t="shared" si="11"/>
        <v>7.575757575757576E-2</v>
      </c>
    </row>
    <row r="35" spans="2:31">
      <c r="B35" s="19">
        <v>47</v>
      </c>
      <c r="C35" s="20"/>
      <c r="D35" s="20"/>
      <c r="E35" s="20"/>
      <c r="F35" s="20"/>
      <c r="G35" s="20"/>
      <c r="H35" s="20"/>
      <c r="I35" s="20">
        <v>13</v>
      </c>
      <c r="J35" s="20">
        <v>24</v>
      </c>
      <c r="K35" s="20">
        <v>19</v>
      </c>
      <c r="L35" s="20">
        <v>7</v>
      </c>
      <c r="M35" s="13">
        <v>2</v>
      </c>
      <c r="O35" s="20">
        <v>3</v>
      </c>
      <c r="P35" s="20"/>
      <c r="Q35" s="20"/>
      <c r="R35" s="19">
        <f t="shared" si="0"/>
        <v>68</v>
      </c>
      <c r="T35" s="12">
        <f t="shared" si="1"/>
        <v>47</v>
      </c>
      <c r="U35" s="12">
        <f t="shared" si="12"/>
        <v>0</v>
      </c>
      <c r="V35" s="12">
        <f t="shared" si="2"/>
        <v>0</v>
      </c>
      <c r="W35" s="12">
        <f t="shared" si="3"/>
        <v>0</v>
      </c>
      <c r="X35" s="12">
        <f t="shared" si="4"/>
        <v>0</v>
      </c>
      <c r="Y35" s="12">
        <f t="shared" si="5"/>
        <v>0</v>
      </c>
      <c r="Z35" s="12">
        <f t="shared" si="6"/>
        <v>0</v>
      </c>
      <c r="AA35" s="12">
        <f t="shared" si="7"/>
        <v>5.5793991416309016E-2</v>
      </c>
      <c r="AB35" s="12">
        <f t="shared" si="8"/>
        <v>0.10909090909090909</v>
      </c>
      <c r="AC35" s="12">
        <f t="shared" si="9"/>
        <v>9.7435897435897437E-2</v>
      </c>
      <c r="AD35" s="12">
        <f t="shared" si="10"/>
        <v>5.7851239669421489E-2</v>
      </c>
      <c r="AE35" s="12">
        <f t="shared" si="11"/>
        <v>3.0303030303030304E-2</v>
      </c>
    </row>
    <row r="36" spans="2:31">
      <c r="B36" s="19">
        <v>48</v>
      </c>
      <c r="C36" s="20"/>
      <c r="D36" s="20"/>
      <c r="E36" s="20"/>
      <c r="F36" s="20"/>
      <c r="G36" s="20"/>
      <c r="H36" s="20">
        <v>3</v>
      </c>
      <c r="I36" s="20">
        <v>3</v>
      </c>
      <c r="J36" s="20">
        <v>20</v>
      </c>
      <c r="K36" s="20">
        <v>16</v>
      </c>
      <c r="L36" s="20">
        <v>7</v>
      </c>
      <c r="M36" s="20">
        <v>4</v>
      </c>
      <c r="N36" s="20"/>
      <c r="O36" s="20"/>
      <c r="P36" s="20">
        <v>1</v>
      </c>
      <c r="Q36" s="20"/>
      <c r="R36" s="19">
        <f t="shared" si="0"/>
        <v>54</v>
      </c>
      <c r="T36" s="12">
        <f t="shared" si="1"/>
        <v>48</v>
      </c>
      <c r="U36" s="12">
        <f t="shared" si="12"/>
        <v>0</v>
      </c>
      <c r="V36" s="12">
        <f t="shared" si="2"/>
        <v>0</v>
      </c>
      <c r="W36" s="12">
        <f t="shared" si="3"/>
        <v>0</v>
      </c>
      <c r="X36" s="12">
        <f t="shared" si="4"/>
        <v>0</v>
      </c>
      <c r="Y36" s="12">
        <f t="shared" si="5"/>
        <v>0</v>
      </c>
      <c r="Z36" s="12">
        <f t="shared" si="6"/>
        <v>1.3100436681222707E-2</v>
      </c>
      <c r="AA36" s="12">
        <f t="shared" si="7"/>
        <v>1.2875536480686695E-2</v>
      </c>
      <c r="AB36" s="12">
        <f t="shared" si="8"/>
        <v>9.0909090909090912E-2</v>
      </c>
      <c r="AC36" s="12">
        <f t="shared" si="9"/>
        <v>8.2051282051282051E-2</v>
      </c>
      <c r="AD36" s="12">
        <f t="shared" si="10"/>
        <v>5.7851239669421489E-2</v>
      </c>
      <c r="AE36" s="12">
        <f t="shared" si="11"/>
        <v>6.0606060606060608E-2</v>
      </c>
    </row>
    <row r="37" spans="2:31">
      <c r="B37" s="19">
        <v>49</v>
      </c>
      <c r="C37" s="20"/>
      <c r="D37" s="20"/>
      <c r="E37" s="20"/>
      <c r="F37" s="20"/>
      <c r="G37" s="20"/>
      <c r="H37" s="20"/>
      <c r="I37" s="20">
        <v>7</v>
      </c>
      <c r="J37" s="20">
        <v>22</v>
      </c>
      <c r="K37" s="20">
        <v>4</v>
      </c>
      <c r="L37" s="20">
        <v>11</v>
      </c>
      <c r="M37" s="20">
        <v>2</v>
      </c>
      <c r="N37" s="20"/>
      <c r="O37" s="20"/>
      <c r="P37" s="20"/>
      <c r="Q37" s="20"/>
      <c r="R37" s="19">
        <f t="shared" ref="R37:R50" si="13">SUM(C37:Q37)</f>
        <v>46</v>
      </c>
      <c r="T37" s="12">
        <f t="shared" si="1"/>
        <v>49</v>
      </c>
      <c r="U37" s="12">
        <f t="shared" si="12"/>
        <v>0</v>
      </c>
      <c r="V37" s="12">
        <f t="shared" si="2"/>
        <v>0</v>
      </c>
      <c r="W37" s="12">
        <f t="shared" si="3"/>
        <v>0</v>
      </c>
      <c r="X37" s="12">
        <f t="shared" si="4"/>
        <v>0</v>
      </c>
      <c r="Y37" s="12">
        <f t="shared" si="5"/>
        <v>0</v>
      </c>
      <c r="Z37" s="12">
        <f t="shared" si="6"/>
        <v>0</v>
      </c>
      <c r="AA37" s="12">
        <f t="shared" si="7"/>
        <v>3.0042918454935622E-2</v>
      </c>
      <c r="AB37" s="12">
        <f t="shared" si="8"/>
        <v>0.1</v>
      </c>
      <c r="AC37" s="12">
        <f t="shared" si="9"/>
        <v>2.0512820512820513E-2</v>
      </c>
      <c r="AD37" s="12">
        <f t="shared" si="10"/>
        <v>9.0909090909090912E-2</v>
      </c>
      <c r="AE37" s="12">
        <f t="shared" si="11"/>
        <v>3.0303030303030304E-2</v>
      </c>
    </row>
    <row r="38" spans="2:31">
      <c r="B38" s="19">
        <v>50</v>
      </c>
      <c r="C38" s="20"/>
      <c r="D38" s="20"/>
      <c r="E38" s="20"/>
      <c r="F38" s="20"/>
      <c r="G38" s="20"/>
      <c r="H38" s="20">
        <v>1</v>
      </c>
      <c r="I38" s="20">
        <v>4</v>
      </c>
      <c r="J38" s="20">
        <v>5</v>
      </c>
      <c r="K38" s="20">
        <v>17</v>
      </c>
      <c r="L38" s="20">
        <v>9</v>
      </c>
      <c r="M38" s="20">
        <v>3</v>
      </c>
      <c r="N38" s="20"/>
      <c r="O38" s="20">
        <v>2</v>
      </c>
      <c r="P38" s="20"/>
      <c r="Q38" s="20"/>
      <c r="R38" s="19">
        <f t="shared" si="13"/>
        <v>41</v>
      </c>
      <c r="T38" s="12">
        <f t="shared" si="1"/>
        <v>50</v>
      </c>
      <c r="U38" s="12">
        <f t="shared" si="12"/>
        <v>0</v>
      </c>
      <c r="V38" s="12">
        <f t="shared" si="2"/>
        <v>0</v>
      </c>
      <c r="W38" s="12">
        <f t="shared" si="3"/>
        <v>0</v>
      </c>
      <c r="X38" s="12">
        <f t="shared" si="4"/>
        <v>0</v>
      </c>
      <c r="Y38" s="12">
        <f t="shared" si="5"/>
        <v>0</v>
      </c>
      <c r="Z38" s="12">
        <f t="shared" si="6"/>
        <v>4.3668122270742356E-3</v>
      </c>
      <c r="AA38" s="12">
        <f t="shared" si="7"/>
        <v>1.7167381974248927E-2</v>
      </c>
      <c r="AB38" s="12">
        <f t="shared" si="8"/>
        <v>2.2727272727272728E-2</v>
      </c>
      <c r="AC38" s="12">
        <f t="shared" si="9"/>
        <v>8.7179487179487175E-2</v>
      </c>
      <c r="AD38" s="12">
        <f t="shared" si="10"/>
        <v>7.43801652892562E-2</v>
      </c>
      <c r="AE38" s="12">
        <f t="shared" si="11"/>
        <v>4.5454545454545456E-2</v>
      </c>
    </row>
    <row r="39" spans="2:31">
      <c r="B39" s="19">
        <v>51</v>
      </c>
      <c r="C39" s="20"/>
      <c r="D39" s="20"/>
      <c r="E39" s="20"/>
      <c r="F39" s="20"/>
      <c r="G39" s="20"/>
      <c r="H39" s="20"/>
      <c r="I39" s="20">
        <v>5</v>
      </c>
      <c r="J39" s="20">
        <v>10</v>
      </c>
      <c r="K39" s="20">
        <v>8</v>
      </c>
      <c r="L39" s="20">
        <v>5</v>
      </c>
      <c r="M39" s="20">
        <v>8</v>
      </c>
      <c r="N39" s="20"/>
      <c r="O39" s="20">
        <v>3</v>
      </c>
      <c r="P39" s="20">
        <v>1</v>
      </c>
      <c r="Q39" s="20"/>
      <c r="R39" s="19">
        <f t="shared" si="13"/>
        <v>40</v>
      </c>
      <c r="T39" s="12">
        <f t="shared" si="1"/>
        <v>51</v>
      </c>
      <c r="U39" s="12">
        <f t="shared" si="12"/>
        <v>0</v>
      </c>
      <c r="V39" s="12">
        <f t="shared" si="2"/>
        <v>0</v>
      </c>
      <c r="W39" s="12">
        <f t="shared" si="3"/>
        <v>0</v>
      </c>
      <c r="X39" s="12">
        <f t="shared" si="4"/>
        <v>0</v>
      </c>
      <c r="Y39" s="12">
        <f t="shared" si="5"/>
        <v>0</v>
      </c>
      <c r="Z39" s="12">
        <f t="shared" si="6"/>
        <v>0</v>
      </c>
      <c r="AA39" s="12">
        <f t="shared" si="7"/>
        <v>2.1459227467811159E-2</v>
      </c>
      <c r="AB39" s="12">
        <f t="shared" si="8"/>
        <v>4.5454545454545456E-2</v>
      </c>
      <c r="AC39" s="12">
        <f t="shared" si="9"/>
        <v>4.1025641025641026E-2</v>
      </c>
      <c r="AD39" s="12">
        <f t="shared" si="10"/>
        <v>4.1322314049586778E-2</v>
      </c>
      <c r="AE39" s="12">
        <f t="shared" si="11"/>
        <v>0.12121212121212122</v>
      </c>
    </row>
    <row r="40" spans="2:31">
      <c r="B40" s="19">
        <v>52</v>
      </c>
      <c r="C40" s="20"/>
      <c r="D40" s="20"/>
      <c r="E40" s="20"/>
      <c r="F40" s="20"/>
      <c r="G40" s="20"/>
      <c r="H40" s="20"/>
      <c r="I40" s="20">
        <v>2</v>
      </c>
      <c r="J40" s="20">
        <v>5</v>
      </c>
      <c r="K40" s="20">
        <v>9</v>
      </c>
      <c r="L40" s="20">
        <v>13</v>
      </c>
      <c r="M40" s="20">
        <v>4</v>
      </c>
      <c r="N40" s="20"/>
      <c r="O40" s="20">
        <v>3</v>
      </c>
      <c r="P40" s="20"/>
      <c r="Q40" s="20"/>
      <c r="R40" s="19">
        <f t="shared" si="13"/>
        <v>36</v>
      </c>
      <c r="T40" s="12">
        <f t="shared" si="1"/>
        <v>52</v>
      </c>
      <c r="U40" s="12">
        <f t="shared" si="12"/>
        <v>0</v>
      </c>
      <c r="V40" s="12">
        <f t="shared" si="2"/>
        <v>0</v>
      </c>
      <c r="W40" s="12">
        <f t="shared" si="3"/>
        <v>0</v>
      </c>
      <c r="X40" s="12">
        <f t="shared" si="4"/>
        <v>0</v>
      </c>
      <c r="Y40" s="12">
        <f t="shared" si="5"/>
        <v>0</v>
      </c>
      <c r="Z40" s="12">
        <f t="shared" si="6"/>
        <v>0</v>
      </c>
      <c r="AA40" s="12">
        <f t="shared" si="7"/>
        <v>8.5836909871244635E-3</v>
      </c>
      <c r="AB40" s="12">
        <f t="shared" si="8"/>
        <v>2.2727272727272728E-2</v>
      </c>
      <c r="AC40" s="12">
        <f t="shared" si="9"/>
        <v>4.6153846153846156E-2</v>
      </c>
      <c r="AD40" s="12">
        <f t="shared" si="10"/>
        <v>0.10743801652892562</v>
      </c>
      <c r="AE40" s="12">
        <f t="shared" si="11"/>
        <v>6.0606060606060608E-2</v>
      </c>
    </row>
    <row r="41" spans="2:31">
      <c r="B41" s="19">
        <v>53</v>
      </c>
      <c r="C41" s="20"/>
      <c r="D41" s="20"/>
      <c r="E41" s="20"/>
      <c r="F41" s="20"/>
      <c r="G41" s="20"/>
      <c r="H41" s="20">
        <v>1</v>
      </c>
      <c r="I41" s="20">
        <v>2</v>
      </c>
      <c r="J41" s="20">
        <v>6</v>
      </c>
      <c r="K41" s="20">
        <v>15</v>
      </c>
      <c r="L41" s="20">
        <v>10</v>
      </c>
      <c r="M41" s="20">
        <v>4</v>
      </c>
      <c r="N41" s="20"/>
      <c r="O41" s="20">
        <v>3</v>
      </c>
      <c r="P41" s="20"/>
      <c r="Q41" s="20"/>
      <c r="R41" s="19">
        <f t="shared" si="13"/>
        <v>41</v>
      </c>
      <c r="T41" s="12">
        <f t="shared" si="1"/>
        <v>53</v>
      </c>
      <c r="U41" s="12">
        <f t="shared" si="12"/>
        <v>0</v>
      </c>
      <c r="V41" s="12">
        <f t="shared" si="2"/>
        <v>0</v>
      </c>
      <c r="W41" s="12">
        <f t="shared" si="3"/>
        <v>0</v>
      </c>
      <c r="X41" s="12">
        <f t="shared" si="4"/>
        <v>0</v>
      </c>
      <c r="Y41" s="12">
        <f t="shared" si="5"/>
        <v>0</v>
      </c>
      <c r="Z41" s="12">
        <f t="shared" si="6"/>
        <v>4.3668122270742356E-3</v>
      </c>
      <c r="AA41" s="12">
        <f t="shared" si="7"/>
        <v>8.5836909871244635E-3</v>
      </c>
      <c r="AB41" s="12">
        <f t="shared" si="8"/>
        <v>2.7272727272727271E-2</v>
      </c>
      <c r="AC41" s="12">
        <f t="shared" si="9"/>
        <v>7.6923076923076927E-2</v>
      </c>
      <c r="AD41" s="12">
        <f t="shared" si="10"/>
        <v>8.2644628099173556E-2</v>
      </c>
      <c r="AE41" s="12">
        <f t="shared" si="11"/>
        <v>6.0606060606060608E-2</v>
      </c>
    </row>
    <row r="42" spans="2:31">
      <c r="B42" s="19">
        <v>54</v>
      </c>
      <c r="C42" s="20"/>
      <c r="D42" s="20"/>
      <c r="E42" s="20"/>
      <c r="F42" s="20"/>
      <c r="G42" s="20"/>
      <c r="H42" s="20">
        <v>1</v>
      </c>
      <c r="I42" s="13">
        <v>4</v>
      </c>
      <c r="J42" s="20">
        <v>1</v>
      </c>
      <c r="K42" s="20">
        <v>10</v>
      </c>
      <c r="L42" s="20">
        <v>6</v>
      </c>
      <c r="M42" s="20">
        <v>8</v>
      </c>
      <c r="N42" s="20"/>
      <c r="O42" s="20">
        <v>2</v>
      </c>
      <c r="P42" s="20"/>
      <c r="Q42" s="20"/>
      <c r="R42" s="19">
        <f t="shared" si="13"/>
        <v>32</v>
      </c>
      <c r="T42" s="12">
        <f t="shared" si="1"/>
        <v>54</v>
      </c>
      <c r="U42" s="12">
        <f t="shared" si="12"/>
        <v>0</v>
      </c>
      <c r="V42" s="12">
        <f t="shared" si="2"/>
        <v>0</v>
      </c>
      <c r="W42" s="12">
        <f t="shared" si="3"/>
        <v>0</v>
      </c>
      <c r="X42" s="12">
        <f t="shared" si="4"/>
        <v>0</v>
      </c>
      <c r="Y42" s="12">
        <f t="shared" si="5"/>
        <v>0</v>
      </c>
      <c r="Z42" s="12">
        <f t="shared" si="6"/>
        <v>4.3668122270742356E-3</v>
      </c>
      <c r="AA42" s="12">
        <f t="shared" si="7"/>
        <v>1.7167381974248927E-2</v>
      </c>
      <c r="AB42" s="12">
        <f t="shared" si="8"/>
        <v>4.5454545454545452E-3</v>
      </c>
      <c r="AC42" s="12">
        <f t="shared" si="9"/>
        <v>5.128205128205128E-2</v>
      </c>
      <c r="AD42" s="12">
        <f t="shared" si="10"/>
        <v>4.9586776859504134E-2</v>
      </c>
      <c r="AE42" s="12">
        <f t="shared" si="11"/>
        <v>0.12121212121212122</v>
      </c>
    </row>
    <row r="43" spans="2:31">
      <c r="B43" s="19">
        <v>55</v>
      </c>
      <c r="C43" s="20"/>
      <c r="D43" s="20"/>
      <c r="E43" s="20"/>
      <c r="F43" s="20"/>
      <c r="G43" s="20"/>
      <c r="H43" s="20"/>
      <c r="J43" s="20">
        <v>5</v>
      </c>
      <c r="K43" s="20">
        <v>4</v>
      </c>
      <c r="L43" s="20">
        <v>10</v>
      </c>
      <c r="M43" s="20">
        <v>4</v>
      </c>
      <c r="N43" s="20"/>
      <c r="O43" s="20">
        <v>3</v>
      </c>
      <c r="P43" s="20"/>
      <c r="Q43" s="20"/>
      <c r="R43" s="19">
        <f t="shared" si="13"/>
        <v>26</v>
      </c>
      <c r="T43" s="12">
        <f t="shared" si="1"/>
        <v>55</v>
      </c>
      <c r="U43" s="12">
        <f t="shared" si="12"/>
        <v>0</v>
      </c>
      <c r="V43" s="12">
        <f t="shared" si="2"/>
        <v>0</v>
      </c>
      <c r="W43" s="12">
        <f t="shared" si="3"/>
        <v>0</v>
      </c>
      <c r="X43" s="12">
        <f t="shared" si="4"/>
        <v>0</v>
      </c>
      <c r="Y43" s="12">
        <f t="shared" si="5"/>
        <v>0</v>
      </c>
      <c r="Z43" s="12">
        <f t="shared" si="6"/>
        <v>0</v>
      </c>
      <c r="AA43" s="12">
        <f t="shared" si="7"/>
        <v>0</v>
      </c>
      <c r="AB43" s="12">
        <f t="shared" si="8"/>
        <v>2.2727272727272728E-2</v>
      </c>
      <c r="AC43" s="12">
        <f t="shared" si="9"/>
        <v>2.0512820512820513E-2</v>
      </c>
      <c r="AD43" s="12">
        <f t="shared" si="10"/>
        <v>8.2644628099173556E-2</v>
      </c>
      <c r="AE43" s="12">
        <f t="shared" si="11"/>
        <v>6.0606060606060608E-2</v>
      </c>
    </row>
    <row r="44" spans="2:31">
      <c r="B44" s="19">
        <v>56</v>
      </c>
      <c r="C44" s="20"/>
      <c r="D44" s="20"/>
      <c r="E44" s="20"/>
      <c r="F44" s="20"/>
      <c r="G44" s="20"/>
      <c r="H44" s="20"/>
      <c r="I44" s="13">
        <v>1</v>
      </c>
      <c r="J44" s="20">
        <v>3</v>
      </c>
      <c r="K44" s="20">
        <v>4</v>
      </c>
      <c r="L44" s="20">
        <v>5</v>
      </c>
      <c r="M44" s="20">
        <v>7</v>
      </c>
      <c r="N44" s="20"/>
      <c r="O44" s="20">
        <v>3</v>
      </c>
      <c r="P44" s="20">
        <v>2</v>
      </c>
      <c r="Q44" s="20"/>
      <c r="R44" s="19">
        <f t="shared" si="13"/>
        <v>25</v>
      </c>
      <c r="T44" s="12">
        <f t="shared" si="1"/>
        <v>56</v>
      </c>
      <c r="U44" s="12">
        <f t="shared" si="12"/>
        <v>0</v>
      </c>
      <c r="V44" s="12">
        <f t="shared" si="2"/>
        <v>0</v>
      </c>
      <c r="W44" s="12">
        <f t="shared" si="3"/>
        <v>0</v>
      </c>
      <c r="X44" s="12">
        <f t="shared" si="4"/>
        <v>0</v>
      </c>
      <c r="Y44" s="12">
        <f t="shared" si="5"/>
        <v>0</v>
      </c>
      <c r="Z44" s="12">
        <f t="shared" si="6"/>
        <v>0</v>
      </c>
      <c r="AA44" s="12">
        <f t="shared" si="7"/>
        <v>4.2918454935622317E-3</v>
      </c>
      <c r="AB44" s="12">
        <f t="shared" si="8"/>
        <v>1.3636363636363636E-2</v>
      </c>
      <c r="AC44" s="12">
        <f t="shared" si="9"/>
        <v>2.0512820512820513E-2</v>
      </c>
      <c r="AD44" s="12">
        <f t="shared" si="10"/>
        <v>4.1322314049586778E-2</v>
      </c>
      <c r="AE44" s="12">
        <f t="shared" si="11"/>
        <v>0.10606060606060606</v>
      </c>
    </row>
    <row r="45" spans="2:31">
      <c r="B45" s="19">
        <v>57</v>
      </c>
      <c r="C45" s="20"/>
      <c r="D45" s="20"/>
      <c r="E45" s="20"/>
      <c r="F45" s="20"/>
      <c r="G45" s="20"/>
      <c r="H45" s="20"/>
      <c r="I45" s="13">
        <v>1</v>
      </c>
      <c r="J45" s="20">
        <v>2</v>
      </c>
      <c r="K45" s="20">
        <v>4</v>
      </c>
      <c r="L45" s="20">
        <v>4</v>
      </c>
      <c r="M45" s="20">
        <v>3</v>
      </c>
      <c r="N45" s="20"/>
      <c r="O45" s="20">
        <v>2</v>
      </c>
      <c r="P45" s="20"/>
      <c r="Q45" s="20"/>
      <c r="R45" s="19">
        <f t="shared" si="13"/>
        <v>16</v>
      </c>
      <c r="T45" s="12">
        <f t="shared" si="1"/>
        <v>57</v>
      </c>
      <c r="U45" s="12">
        <f t="shared" si="12"/>
        <v>0</v>
      </c>
      <c r="V45" s="12">
        <f t="shared" si="2"/>
        <v>0</v>
      </c>
      <c r="W45" s="12">
        <f t="shared" si="3"/>
        <v>0</v>
      </c>
      <c r="X45" s="12">
        <f t="shared" si="4"/>
        <v>0</v>
      </c>
      <c r="Y45" s="12">
        <f t="shared" si="5"/>
        <v>0</v>
      </c>
      <c r="Z45" s="12">
        <f t="shared" si="6"/>
        <v>0</v>
      </c>
      <c r="AA45" s="12">
        <f t="shared" si="7"/>
        <v>4.2918454935622317E-3</v>
      </c>
      <c r="AB45" s="12">
        <f t="shared" si="8"/>
        <v>9.0909090909090905E-3</v>
      </c>
      <c r="AC45" s="12">
        <f t="shared" si="9"/>
        <v>2.0512820512820513E-2</v>
      </c>
      <c r="AD45" s="12">
        <f t="shared" si="10"/>
        <v>3.3057851239669422E-2</v>
      </c>
      <c r="AE45" s="12">
        <f t="shared" si="11"/>
        <v>4.5454545454545456E-2</v>
      </c>
    </row>
    <row r="46" spans="2:31">
      <c r="B46" s="19">
        <v>58</v>
      </c>
      <c r="C46" s="20"/>
      <c r="D46" s="20"/>
      <c r="E46" s="20"/>
      <c r="F46" s="20"/>
      <c r="G46" s="20"/>
      <c r="H46" s="20"/>
      <c r="J46" s="20"/>
      <c r="K46" s="20">
        <v>4</v>
      </c>
      <c r="L46" s="20">
        <v>4</v>
      </c>
      <c r="M46" s="20">
        <v>1</v>
      </c>
      <c r="N46" s="20"/>
      <c r="O46" s="20">
        <v>2</v>
      </c>
      <c r="P46" s="20"/>
      <c r="Q46" s="20"/>
      <c r="R46" s="19">
        <f t="shared" si="13"/>
        <v>11</v>
      </c>
      <c r="T46" s="12">
        <f t="shared" si="1"/>
        <v>58</v>
      </c>
      <c r="U46" s="12">
        <f t="shared" si="12"/>
        <v>0</v>
      </c>
      <c r="V46" s="12">
        <f t="shared" si="2"/>
        <v>0</v>
      </c>
      <c r="W46" s="12">
        <f t="shared" si="3"/>
        <v>0</v>
      </c>
      <c r="X46" s="12">
        <f t="shared" si="4"/>
        <v>0</v>
      </c>
      <c r="Y46" s="12">
        <f t="shared" si="5"/>
        <v>0</v>
      </c>
      <c r="Z46" s="12">
        <f t="shared" si="6"/>
        <v>0</v>
      </c>
      <c r="AA46" s="12">
        <f t="shared" si="7"/>
        <v>0</v>
      </c>
      <c r="AB46" s="12">
        <f t="shared" si="8"/>
        <v>0</v>
      </c>
      <c r="AC46" s="12">
        <f t="shared" si="9"/>
        <v>2.0512820512820513E-2</v>
      </c>
      <c r="AD46" s="12">
        <f t="shared" si="10"/>
        <v>3.3057851239669422E-2</v>
      </c>
      <c r="AE46" s="12">
        <f t="shared" si="11"/>
        <v>1.5151515151515152E-2</v>
      </c>
    </row>
    <row r="47" spans="2:31">
      <c r="B47" s="19">
        <v>59</v>
      </c>
      <c r="C47" s="20"/>
      <c r="D47" s="20"/>
      <c r="E47" s="20"/>
      <c r="F47" s="20"/>
      <c r="G47" s="20"/>
      <c r="H47" s="20"/>
      <c r="J47" s="20"/>
      <c r="K47" s="20">
        <v>1</v>
      </c>
      <c r="L47" s="20">
        <v>1</v>
      </c>
      <c r="M47" s="20">
        <v>2</v>
      </c>
      <c r="N47" s="20"/>
      <c r="O47" s="20">
        <v>3</v>
      </c>
      <c r="P47" s="20">
        <v>1</v>
      </c>
      <c r="Q47" s="20"/>
      <c r="R47" s="19">
        <f t="shared" si="13"/>
        <v>8</v>
      </c>
      <c r="T47" s="12">
        <f t="shared" si="1"/>
        <v>59</v>
      </c>
      <c r="U47" s="12">
        <f t="shared" si="12"/>
        <v>0</v>
      </c>
      <c r="V47" s="12">
        <f t="shared" si="2"/>
        <v>0</v>
      </c>
      <c r="W47" s="12">
        <f t="shared" si="3"/>
        <v>0</v>
      </c>
      <c r="X47" s="12">
        <f t="shared" si="4"/>
        <v>0</v>
      </c>
      <c r="Y47" s="12">
        <f t="shared" si="5"/>
        <v>0</v>
      </c>
      <c r="Z47" s="12">
        <f t="shared" si="6"/>
        <v>0</v>
      </c>
      <c r="AA47" s="12">
        <f t="shared" si="7"/>
        <v>0</v>
      </c>
      <c r="AB47" s="12">
        <f t="shared" si="8"/>
        <v>0</v>
      </c>
      <c r="AC47" s="12">
        <f t="shared" si="9"/>
        <v>5.1282051282051282E-3</v>
      </c>
      <c r="AD47" s="12">
        <f t="shared" si="10"/>
        <v>8.2644628099173556E-3</v>
      </c>
      <c r="AE47" s="12">
        <f t="shared" si="11"/>
        <v>3.0303030303030304E-2</v>
      </c>
    </row>
    <row r="48" spans="2:31">
      <c r="B48" s="19">
        <v>60</v>
      </c>
      <c r="C48" s="20"/>
      <c r="D48" s="20"/>
      <c r="E48" s="20"/>
      <c r="F48" s="20"/>
      <c r="G48" s="20"/>
      <c r="H48" s="20"/>
      <c r="J48" s="20"/>
      <c r="K48" s="20"/>
      <c r="L48" s="20"/>
      <c r="M48" s="20">
        <v>1</v>
      </c>
      <c r="N48" s="20">
        <v>1</v>
      </c>
      <c r="O48" s="20">
        <v>2</v>
      </c>
      <c r="P48" s="20">
        <v>2</v>
      </c>
      <c r="Q48" s="20">
        <v>1</v>
      </c>
      <c r="R48" s="19">
        <f t="shared" si="13"/>
        <v>7</v>
      </c>
      <c r="T48" s="12">
        <f t="shared" si="1"/>
        <v>60</v>
      </c>
      <c r="U48" s="12">
        <f t="shared" si="12"/>
        <v>0</v>
      </c>
      <c r="V48" s="12">
        <f t="shared" si="2"/>
        <v>0</v>
      </c>
      <c r="W48" s="12">
        <f t="shared" si="3"/>
        <v>0</v>
      </c>
      <c r="X48" s="12">
        <f t="shared" si="4"/>
        <v>0</v>
      </c>
      <c r="Y48" s="12">
        <f t="shared" si="5"/>
        <v>0</v>
      </c>
      <c r="Z48" s="12">
        <f t="shared" si="6"/>
        <v>0</v>
      </c>
      <c r="AA48" s="12">
        <f t="shared" si="7"/>
        <v>0</v>
      </c>
      <c r="AB48" s="12">
        <f t="shared" si="8"/>
        <v>0</v>
      </c>
      <c r="AC48" s="12">
        <f t="shared" si="9"/>
        <v>0</v>
      </c>
      <c r="AD48" s="12">
        <f t="shared" si="10"/>
        <v>0</v>
      </c>
      <c r="AE48" s="12">
        <f t="shared" si="11"/>
        <v>1.5151515151515152E-2</v>
      </c>
    </row>
    <row r="49" spans="2:18">
      <c r="B49" s="18" t="s">
        <v>7</v>
      </c>
      <c r="C49" s="17">
        <f t="shared" ref="C49:M49" si="14">SUM(C5:C48)</f>
        <v>4</v>
      </c>
      <c r="D49" s="17">
        <f t="shared" si="14"/>
        <v>136</v>
      </c>
      <c r="E49" s="17">
        <f t="shared" si="14"/>
        <v>254</v>
      </c>
      <c r="F49" s="17">
        <f t="shared" si="14"/>
        <v>250</v>
      </c>
      <c r="G49" s="17">
        <f t="shared" si="14"/>
        <v>247</v>
      </c>
      <c r="H49" s="17">
        <f t="shared" si="14"/>
        <v>229</v>
      </c>
      <c r="I49" s="17">
        <f t="shared" si="14"/>
        <v>233</v>
      </c>
      <c r="J49" s="17">
        <f t="shared" si="14"/>
        <v>220</v>
      </c>
      <c r="K49" s="17">
        <f t="shared" si="14"/>
        <v>195</v>
      </c>
      <c r="L49" s="17">
        <f t="shared" si="14"/>
        <v>121</v>
      </c>
      <c r="M49" s="17">
        <f t="shared" si="14"/>
        <v>66</v>
      </c>
      <c r="N49" s="17"/>
      <c r="O49" s="17">
        <f>SUM(O5:O48)</f>
        <v>33</v>
      </c>
      <c r="P49" s="17">
        <f>SUM(P5:P48)</f>
        <v>8</v>
      </c>
      <c r="Q49" s="17">
        <f>SUM(Q5:Q48)</f>
        <v>1</v>
      </c>
      <c r="R49" s="17">
        <f t="shared" si="13"/>
        <v>1997</v>
      </c>
    </row>
    <row r="50" spans="2:18">
      <c r="B50" s="16" t="s">
        <v>8</v>
      </c>
      <c r="C50" s="15">
        <f t="shared" ref="C50:M50" si="15">(C49/$R$49)*100</f>
        <v>0.20030045067601399</v>
      </c>
      <c r="D50" s="15">
        <f t="shared" si="15"/>
        <v>6.8102153229844768</v>
      </c>
      <c r="E50" s="15">
        <f t="shared" si="15"/>
        <v>12.71907861792689</v>
      </c>
      <c r="F50" s="15">
        <f t="shared" si="15"/>
        <v>12.518778167250877</v>
      </c>
      <c r="G50" s="15">
        <f t="shared" si="15"/>
        <v>12.368552829243866</v>
      </c>
      <c r="H50" s="15">
        <f t="shared" si="15"/>
        <v>11.467200801201804</v>
      </c>
      <c r="I50" s="15">
        <f t="shared" si="15"/>
        <v>11.667501251877816</v>
      </c>
      <c r="J50" s="15">
        <f t="shared" si="15"/>
        <v>11.016524787180773</v>
      </c>
      <c r="K50" s="15">
        <f t="shared" si="15"/>
        <v>9.7646469704556829</v>
      </c>
      <c r="L50" s="15">
        <f t="shared" si="15"/>
        <v>6.0590886329494245</v>
      </c>
      <c r="M50" s="15">
        <f t="shared" si="15"/>
        <v>3.3049574361542313</v>
      </c>
      <c r="N50" s="15"/>
      <c r="O50" s="15">
        <f>(O49/$R$49)*100</f>
        <v>1.6524787180771157</v>
      </c>
      <c r="P50" s="15">
        <f>(P49/$R$49)*100</f>
        <v>0.40060090135202797</v>
      </c>
      <c r="Q50" s="15">
        <f>(Q49/$R$49)*100</f>
        <v>5.0075112669003496E-2</v>
      </c>
      <c r="R50" s="15">
        <f t="shared" si="13"/>
        <v>100</v>
      </c>
    </row>
    <row r="52" spans="2:18">
      <c r="C52" s="14">
        <f t="shared" ref="C52:M52" si="16">SUMPRODUCT($B5:$B48,C5:C48)/SUM(C5:C48)</f>
        <v>23.25</v>
      </c>
      <c r="D52" s="14">
        <f t="shared" si="16"/>
        <v>22.544117647058822</v>
      </c>
      <c r="E52" s="14">
        <f t="shared" si="16"/>
        <v>24.830708661417322</v>
      </c>
      <c r="F52" s="14">
        <f t="shared" si="16"/>
        <v>28.436</v>
      </c>
      <c r="G52" s="14">
        <f t="shared" si="16"/>
        <v>30.728744939271255</v>
      </c>
      <c r="H52" s="14">
        <f t="shared" si="16"/>
        <v>35.05240174672489</v>
      </c>
      <c r="I52" s="14">
        <f t="shared" si="16"/>
        <v>41.600858369098709</v>
      </c>
      <c r="J52" s="14">
        <f t="shared" si="16"/>
        <v>45.640909090909091</v>
      </c>
      <c r="K52" s="14">
        <f t="shared" si="16"/>
        <v>47.856410256410257</v>
      </c>
      <c r="L52" s="14">
        <f t="shared" si="16"/>
        <v>49.966942148760332</v>
      </c>
      <c r="M52" s="14">
        <f t="shared" si="16"/>
        <v>51.363636363636367</v>
      </c>
      <c r="N52" s="14"/>
      <c r="O52" s="14">
        <f>SUMPRODUCT($B5:$B48,O5:O48)/SUM(O5:O48)</f>
        <v>53.545454545454547</v>
      </c>
      <c r="P52" s="14">
        <f>SUMPRODUCT($B5:$B48,P5:P48)/SUM(P5:P48)</f>
        <v>54.5</v>
      </c>
      <c r="Q52" s="14"/>
    </row>
  </sheetData>
  <mergeCells count="1">
    <mergeCell ref="B2:R2"/>
  </mergeCells>
  <pageMargins left="0.75" right="0.75" top="1" bottom="1" header="0" footer="0"/>
  <pageSetup paperSize="9" orientation="portrait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Q28"/>
  <sheetViews>
    <sheetView topLeftCell="A31" workbookViewId="0">
      <selection activeCell="E1" sqref="E1"/>
    </sheetView>
  </sheetViews>
  <sheetFormatPr defaultColWidth="9.08984375" defaultRowHeight="12.5"/>
  <cols>
    <col min="1" max="1" width="9.08984375" style="12" customWidth="1"/>
    <col min="2" max="2" width="3.453125" style="13" customWidth="1"/>
    <col min="3" max="3" width="1.6328125" style="13" customWidth="1"/>
    <col min="4" max="4" width="3.6328125" style="13" customWidth="1"/>
    <col min="5" max="5" width="5.90625" style="13" customWidth="1"/>
    <col min="6" max="6" width="5.6328125" style="13" customWidth="1"/>
    <col min="7" max="7" width="5.36328125" style="13" customWidth="1"/>
    <col min="8" max="8" width="5.54296875" style="13" customWidth="1"/>
    <col min="9" max="9" width="5.90625" style="13" customWidth="1"/>
    <col min="10" max="10" width="5.453125" style="13" customWidth="1"/>
    <col min="11" max="11" width="5.90625" style="13" customWidth="1"/>
    <col min="12" max="12" width="5.36328125" style="13" customWidth="1"/>
    <col min="13" max="14" width="5.90625" style="13" customWidth="1"/>
    <col min="15" max="15" width="6" style="13" customWidth="1"/>
    <col min="16" max="16" width="5.90625" style="13" customWidth="1"/>
    <col min="17" max="17" width="7.08984375" style="13" customWidth="1"/>
    <col min="18" max="256" width="11.453125" style="12" customWidth="1"/>
    <col min="257" max="16384" width="9.08984375" style="12"/>
  </cols>
  <sheetData>
    <row r="2" spans="2:17">
      <c r="D2" s="122" t="s">
        <v>22</v>
      </c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4" spans="2:17">
      <c r="B4" s="125" t="s">
        <v>0</v>
      </c>
      <c r="C4" s="126"/>
      <c r="D4" s="127"/>
      <c r="E4" s="29" t="s">
        <v>1</v>
      </c>
      <c r="F4" s="29" t="s">
        <v>2</v>
      </c>
      <c r="G4" s="29" t="s">
        <v>3</v>
      </c>
      <c r="H4" s="29" t="s">
        <v>4</v>
      </c>
      <c r="I4" s="29" t="s">
        <v>5</v>
      </c>
      <c r="J4" s="29" t="s">
        <v>6</v>
      </c>
      <c r="K4" s="29" t="s">
        <v>9</v>
      </c>
      <c r="L4" s="29" t="s">
        <v>10</v>
      </c>
      <c r="M4" s="29" t="s">
        <v>11</v>
      </c>
      <c r="N4" s="29" t="s">
        <v>12</v>
      </c>
      <c r="O4" s="29" t="s">
        <v>13</v>
      </c>
      <c r="P4" s="29" t="s">
        <v>14</v>
      </c>
      <c r="Q4" s="26" t="s">
        <v>7</v>
      </c>
    </row>
    <row r="5" spans="2:17">
      <c r="B5" s="21">
        <v>20</v>
      </c>
      <c r="C5" s="20" t="s">
        <v>21</v>
      </c>
      <c r="D5" s="31">
        <v>21</v>
      </c>
      <c r="E5" s="20">
        <v>2</v>
      </c>
      <c r="F5" s="20">
        <v>13</v>
      </c>
      <c r="G5" s="20">
        <v>1</v>
      </c>
      <c r="H5" s="20"/>
      <c r="I5" s="20"/>
      <c r="J5" s="20"/>
      <c r="K5" s="20"/>
      <c r="L5" s="20"/>
      <c r="M5" s="20"/>
      <c r="N5" s="20"/>
      <c r="O5" s="20"/>
      <c r="P5" s="20"/>
      <c r="Q5" s="19">
        <f t="shared" ref="Q5:Q22" si="0">SUM(E5:P5)</f>
        <v>16</v>
      </c>
    </row>
    <row r="6" spans="2:17">
      <c r="B6" s="21">
        <v>22</v>
      </c>
      <c r="C6" s="20" t="s">
        <v>21</v>
      </c>
      <c r="D6" s="31">
        <v>23</v>
      </c>
      <c r="E6" s="20">
        <v>3</v>
      </c>
      <c r="F6" s="20">
        <v>32</v>
      </c>
      <c r="G6" s="20">
        <v>8</v>
      </c>
      <c r="H6" s="23"/>
      <c r="I6" s="23"/>
      <c r="J6" s="20"/>
      <c r="K6" s="20"/>
      <c r="L6" s="20"/>
      <c r="M6" s="20"/>
      <c r="N6" s="20"/>
      <c r="O6" s="20"/>
      <c r="P6" s="20"/>
      <c r="Q6" s="19">
        <f t="shared" si="0"/>
        <v>43</v>
      </c>
    </row>
    <row r="7" spans="2:17">
      <c r="B7" s="21">
        <v>24</v>
      </c>
      <c r="C7" s="20" t="s">
        <v>21</v>
      </c>
      <c r="D7" s="31">
        <v>25</v>
      </c>
      <c r="E7" s="20"/>
      <c r="F7" s="20">
        <v>1</v>
      </c>
      <c r="G7" s="20">
        <v>25</v>
      </c>
      <c r="H7" s="23">
        <v>28</v>
      </c>
      <c r="I7" s="23">
        <v>1</v>
      </c>
      <c r="J7" s="20"/>
      <c r="K7" s="23"/>
      <c r="L7" s="23"/>
      <c r="M7" s="23"/>
      <c r="N7" s="23"/>
      <c r="O7" s="23"/>
      <c r="P7" s="23"/>
      <c r="Q7" s="19">
        <f t="shared" si="0"/>
        <v>55</v>
      </c>
    </row>
    <row r="8" spans="2:17">
      <c r="B8" s="21">
        <v>26</v>
      </c>
      <c r="C8" s="20" t="s">
        <v>21</v>
      </c>
      <c r="D8" s="31">
        <v>27</v>
      </c>
      <c r="E8" s="20"/>
      <c r="F8" s="23"/>
      <c r="G8" s="23">
        <v>10</v>
      </c>
      <c r="H8" s="23">
        <v>42</v>
      </c>
      <c r="I8" s="23">
        <v>20</v>
      </c>
      <c r="J8" s="23"/>
      <c r="L8" s="23"/>
      <c r="M8" s="23"/>
      <c r="N8" s="23"/>
      <c r="O8" s="23"/>
      <c r="P8" s="23"/>
      <c r="Q8" s="19">
        <f t="shared" si="0"/>
        <v>72</v>
      </c>
    </row>
    <row r="9" spans="2:17">
      <c r="B9" s="21">
        <v>28</v>
      </c>
      <c r="C9" s="20" t="s">
        <v>21</v>
      </c>
      <c r="D9" s="31">
        <v>29</v>
      </c>
      <c r="E9" s="20"/>
      <c r="F9" s="20"/>
      <c r="G9" s="23">
        <v>3</v>
      </c>
      <c r="H9" s="23">
        <v>27</v>
      </c>
      <c r="I9" s="23">
        <v>36</v>
      </c>
      <c r="J9" s="20">
        <v>5</v>
      </c>
      <c r="K9" s="23"/>
      <c r="L9" s="23"/>
      <c r="M9" s="23"/>
      <c r="N9" s="23"/>
      <c r="O9" s="23"/>
      <c r="P9" s="23"/>
      <c r="Q9" s="19">
        <f t="shared" si="0"/>
        <v>71</v>
      </c>
    </row>
    <row r="10" spans="2:17">
      <c r="B10" s="21">
        <v>30</v>
      </c>
      <c r="C10" s="20" t="s">
        <v>21</v>
      </c>
      <c r="D10" s="31">
        <v>31</v>
      </c>
      <c r="E10" s="20"/>
      <c r="F10" s="20"/>
      <c r="G10" s="23"/>
      <c r="H10" s="20">
        <v>15</v>
      </c>
      <c r="I10" s="23">
        <v>32</v>
      </c>
      <c r="J10" s="23">
        <v>17</v>
      </c>
      <c r="K10" s="23"/>
      <c r="L10" s="23"/>
      <c r="M10" s="23"/>
      <c r="N10" s="23"/>
      <c r="O10" s="23"/>
      <c r="P10" s="23"/>
      <c r="Q10" s="19">
        <f t="shared" si="0"/>
        <v>64</v>
      </c>
    </row>
    <row r="11" spans="2:17">
      <c r="B11" s="21">
        <v>32</v>
      </c>
      <c r="C11" s="20" t="s">
        <v>21</v>
      </c>
      <c r="D11" s="31">
        <v>33</v>
      </c>
      <c r="E11" s="20"/>
      <c r="F11" s="20"/>
      <c r="G11" s="23"/>
      <c r="H11" s="23">
        <v>7</v>
      </c>
      <c r="I11" s="23">
        <v>21</v>
      </c>
      <c r="J11" s="23">
        <v>30</v>
      </c>
      <c r="K11" s="23">
        <v>8</v>
      </c>
      <c r="M11" s="23"/>
      <c r="O11" s="23"/>
      <c r="P11" s="23"/>
      <c r="Q11" s="19">
        <f t="shared" si="0"/>
        <v>66</v>
      </c>
    </row>
    <row r="12" spans="2:17">
      <c r="B12" s="21">
        <v>34</v>
      </c>
      <c r="C12" s="20" t="s">
        <v>21</v>
      </c>
      <c r="D12" s="31">
        <v>35</v>
      </c>
      <c r="E12" s="20"/>
      <c r="F12" s="20"/>
      <c r="G12" s="23"/>
      <c r="H12" s="23"/>
      <c r="I12" s="23">
        <v>22</v>
      </c>
      <c r="J12" s="23">
        <v>25</v>
      </c>
      <c r="K12" s="23">
        <v>17</v>
      </c>
      <c r="L12" s="23">
        <v>2</v>
      </c>
      <c r="M12" s="23"/>
      <c r="O12" s="23"/>
      <c r="P12" s="23"/>
      <c r="Q12" s="19">
        <f t="shared" si="0"/>
        <v>66</v>
      </c>
    </row>
    <row r="13" spans="2:17">
      <c r="B13" s="21">
        <v>36</v>
      </c>
      <c r="C13" s="20" t="s">
        <v>21</v>
      </c>
      <c r="D13" s="31">
        <v>37</v>
      </c>
      <c r="E13" s="20"/>
      <c r="F13" s="20"/>
      <c r="G13" s="20"/>
      <c r="H13" s="23"/>
      <c r="I13" s="23">
        <v>6</v>
      </c>
      <c r="J13" s="23">
        <v>29</v>
      </c>
      <c r="K13" s="23">
        <v>25</v>
      </c>
      <c r="L13" s="23">
        <v>2</v>
      </c>
      <c r="M13" s="23"/>
      <c r="N13" s="23"/>
      <c r="O13" s="23"/>
      <c r="P13" s="23"/>
      <c r="Q13" s="19">
        <f t="shared" si="0"/>
        <v>62</v>
      </c>
    </row>
    <row r="14" spans="2:17">
      <c r="B14" s="21">
        <v>38</v>
      </c>
      <c r="C14" s="20" t="s">
        <v>21</v>
      </c>
      <c r="D14" s="31">
        <v>39</v>
      </c>
      <c r="E14" s="20"/>
      <c r="F14" s="20"/>
      <c r="G14" s="20"/>
      <c r="H14" s="23"/>
      <c r="I14" s="23"/>
      <c r="J14" s="23">
        <v>15</v>
      </c>
      <c r="K14" s="23">
        <v>28</v>
      </c>
      <c r="L14" s="23">
        <v>11</v>
      </c>
      <c r="M14" s="23"/>
      <c r="N14" s="23"/>
      <c r="O14" s="23"/>
      <c r="P14" s="23"/>
      <c r="Q14" s="19">
        <f t="shared" si="0"/>
        <v>54</v>
      </c>
    </row>
    <row r="15" spans="2:17">
      <c r="B15" s="21">
        <v>40</v>
      </c>
      <c r="C15" s="20" t="s">
        <v>21</v>
      </c>
      <c r="D15" s="31">
        <v>41</v>
      </c>
      <c r="E15" s="20"/>
      <c r="F15" s="20"/>
      <c r="G15" s="20"/>
      <c r="H15" s="23"/>
      <c r="I15" s="23"/>
      <c r="J15" s="23">
        <v>9</v>
      </c>
      <c r="K15" s="23">
        <v>30</v>
      </c>
      <c r="L15" s="23">
        <v>20</v>
      </c>
      <c r="M15" s="23"/>
      <c r="P15" s="23"/>
      <c r="Q15" s="19">
        <f t="shared" si="0"/>
        <v>59</v>
      </c>
    </row>
    <row r="16" spans="2:17">
      <c r="B16" s="21">
        <v>42</v>
      </c>
      <c r="C16" s="20" t="s">
        <v>21</v>
      </c>
      <c r="D16" s="31">
        <v>43</v>
      </c>
      <c r="E16" s="20"/>
      <c r="F16" s="20"/>
      <c r="G16" s="20"/>
      <c r="H16" s="23"/>
      <c r="I16" s="23"/>
      <c r="J16" s="23">
        <v>11</v>
      </c>
      <c r="K16" s="23">
        <v>11</v>
      </c>
      <c r="L16" s="23">
        <v>16</v>
      </c>
      <c r="M16" s="23">
        <v>3</v>
      </c>
      <c r="N16" s="20"/>
      <c r="O16" s="23"/>
      <c r="P16" s="23"/>
      <c r="Q16" s="19">
        <f t="shared" si="0"/>
        <v>41</v>
      </c>
    </row>
    <row r="17" spans="2:17">
      <c r="B17" s="21">
        <v>44</v>
      </c>
      <c r="C17" s="20" t="s">
        <v>21</v>
      </c>
      <c r="D17" s="31">
        <v>45</v>
      </c>
      <c r="E17" s="20"/>
      <c r="F17" s="20"/>
      <c r="G17" s="20"/>
      <c r="H17" s="20"/>
      <c r="I17" s="23"/>
      <c r="J17" s="23">
        <v>2</v>
      </c>
      <c r="K17" s="23">
        <v>12</v>
      </c>
      <c r="L17" s="23">
        <v>22</v>
      </c>
      <c r="M17" s="23">
        <v>4</v>
      </c>
      <c r="N17" s="20"/>
      <c r="O17" s="23"/>
      <c r="P17" s="23"/>
      <c r="Q17" s="19">
        <f t="shared" si="0"/>
        <v>40</v>
      </c>
    </row>
    <row r="18" spans="2:17">
      <c r="B18" s="21">
        <v>46</v>
      </c>
      <c r="C18" s="20" t="s">
        <v>21</v>
      </c>
      <c r="D18" s="31">
        <v>47</v>
      </c>
      <c r="E18" s="20"/>
      <c r="F18" s="20"/>
      <c r="G18" s="20"/>
      <c r="H18" s="20"/>
      <c r="I18" s="23"/>
      <c r="J18" s="23"/>
      <c r="K18" s="23">
        <v>6</v>
      </c>
      <c r="L18" s="23">
        <v>17</v>
      </c>
      <c r="M18" s="23">
        <v>9</v>
      </c>
      <c r="N18" s="13">
        <v>2</v>
      </c>
      <c r="O18" s="20"/>
      <c r="P18" s="23"/>
      <c r="Q18" s="19">
        <f t="shared" si="0"/>
        <v>34</v>
      </c>
    </row>
    <row r="19" spans="2:17">
      <c r="B19" s="21">
        <v>48</v>
      </c>
      <c r="C19" s="20" t="s">
        <v>21</v>
      </c>
      <c r="D19" s="31">
        <v>49</v>
      </c>
      <c r="E19" s="20"/>
      <c r="F19" s="20"/>
      <c r="G19" s="20"/>
      <c r="H19" s="20"/>
      <c r="I19" s="20"/>
      <c r="J19" s="20"/>
      <c r="K19" s="20">
        <v>4</v>
      </c>
      <c r="L19" s="20">
        <v>5</v>
      </c>
      <c r="M19" s="20">
        <v>6</v>
      </c>
      <c r="N19" s="20">
        <v>7</v>
      </c>
      <c r="O19" s="20"/>
      <c r="P19" s="20"/>
      <c r="Q19" s="19">
        <f t="shared" si="0"/>
        <v>22</v>
      </c>
    </row>
    <row r="20" spans="2:17">
      <c r="B20" s="21">
        <v>50</v>
      </c>
      <c r="C20" s="20" t="s">
        <v>21</v>
      </c>
      <c r="D20" s="31">
        <v>51</v>
      </c>
      <c r="E20" s="20"/>
      <c r="F20" s="20"/>
      <c r="G20" s="20"/>
      <c r="H20" s="20"/>
      <c r="I20" s="20"/>
      <c r="J20" s="20"/>
      <c r="K20" s="13">
        <v>2</v>
      </c>
      <c r="L20" s="20">
        <v>1</v>
      </c>
      <c r="M20" s="20">
        <v>1</v>
      </c>
      <c r="N20" s="20">
        <v>1</v>
      </c>
      <c r="O20" s="23">
        <v>3</v>
      </c>
      <c r="P20" s="20"/>
      <c r="Q20" s="19">
        <f t="shared" si="0"/>
        <v>8</v>
      </c>
    </row>
    <row r="21" spans="2:17">
      <c r="B21" s="21">
        <v>52</v>
      </c>
      <c r="C21" s="20" t="s">
        <v>21</v>
      </c>
      <c r="D21" s="31">
        <v>53</v>
      </c>
      <c r="E21" s="20"/>
      <c r="F21" s="20"/>
      <c r="G21" s="20"/>
      <c r="H21" s="20"/>
      <c r="I21" s="23"/>
      <c r="J21" s="23"/>
      <c r="K21" s="23"/>
      <c r="L21" s="23">
        <v>4</v>
      </c>
      <c r="M21" s="23">
        <v>12</v>
      </c>
      <c r="N21" s="20"/>
      <c r="O21" s="20">
        <v>3</v>
      </c>
      <c r="P21" s="23"/>
      <c r="Q21" s="19">
        <f t="shared" si="0"/>
        <v>19</v>
      </c>
    </row>
    <row r="22" spans="2:17">
      <c r="B22" s="21">
        <v>54</v>
      </c>
      <c r="C22" s="20" t="s">
        <v>21</v>
      </c>
      <c r="D22" s="31">
        <v>55</v>
      </c>
      <c r="E22" s="20"/>
      <c r="F22" s="20"/>
      <c r="G22" s="20"/>
      <c r="H22" s="20"/>
      <c r="I22" s="20"/>
      <c r="J22" s="20"/>
      <c r="K22" s="20"/>
      <c r="L22" s="20"/>
      <c r="M22" s="20">
        <v>2</v>
      </c>
      <c r="N22" s="20">
        <v>2</v>
      </c>
      <c r="O22" s="20"/>
      <c r="P22" s="20"/>
      <c r="Q22" s="19">
        <f t="shared" si="0"/>
        <v>4</v>
      </c>
    </row>
    <row r="23" spans="2:17">
      <c r="B23" s="21">
        <v>56</v>
      </c>
      <c r="C23" s="20" t="s">
        <v>21</v>
      </c>
      <c r="D23" s="31">
        <v>57</v>
      </c>
      <c r="E23" s="20"/>
      <c r="F23" s="20"/>
      <c r="G23" s="20"/>
      <c r="H23" s="20"/>
      <c r="I23" s="20"/>
      <c r="J23" s="20"/>
      <c r="K23" s="20"/>
      <c r="L23" s="20">
        <v>1</v>
      </c>
      <c r="M23" s="20">
        <v>1</v>
      </c>
      <c r="N23" s="20"/>
      <c r="O23" s="20"/>
      <c r="P23" s="20"/>
      <c r="Q23" s="19"/>
    </row>
    <row r="24" spans="2:17">
      <c r="B24" s="21">
        <v>58</v>
      </c>
      <c r="C24" s="20"/>
      <c r="D24" s="31">
        <v>59</v>
      </c>
      <c r="E24" s="20"/>
      <c r="F24" s="20"/>
      <c r="G24" s="20"/>
      <c r="H24" s="20"/>
      <c r="I24" s="20"/>
      <c r="J24" s="20"/>
      <c r="K24" s="20"/>
      <c r="L24" s="20"/>
      <c r="M24" s="20">
        <v>1</v>
      </c>
      <c r="N24" s="20">
        <v>1</v>
      </c>
      <c r="O24" s="20">
        <v>1</v>
      </c>
      <c r="P24" s="20"/>
      <c r="Q24" s="19"/>
    </row>
    <row r="25" spans="2:17">
      <c r="B25" s="125" t="s">
        <v>7</v>
      </c>
      <c r="C25" s="126"/>
      <c r="D25" s="127"/>
      <c r="E25" s="27">
        <f t="shared" ref="E25:P25" si="1">SUM(E5:E24)</f>
        <v>5</v>
      </c>
      <c r="F25" s="27">
        <f t="shared" si="1"/>
        <v>46</v>
      </c>
      <c r="G25" s="27">
        <f t="shared" si="1"/>
        <v>47</v>
      </c>
      <c r="H25" s="27">
        <f t="shared" si="1"/>
        <v>119</v>
      </c>
      <c r="I25" s="27">
        <f t="shared" si="1"/>
        <v>138</v>
      </c>
      <c r="J25" s="27">
        <f t="shared" si="1"/>
        <v>143</v>
      </c>
      <c r="K25" s="27">
        <f t="shared" si="1"/>
        <v>143</v>
      </c>
      <c r="L25" s="27">
        <f t="shared" si="1"/>
        <v>101</v>
      </c>
      <c r="M25" s="27">
        <f t="shared" si="1"/>
        <v>39</v>
      </c>
      <c r="N25" s="27">
        <f t="shared" si="1"/>
        <v>13</v>
      </c>
      <c r="O25" s="27">
        <f t="shared" si="1"/>
        <v>7</v>
      </c>
      <c r="P25" s="27">
        <f t="shared" si="1"/>
        <v>0</v>
      </c>
      <c r="Q25" s="17">
        <f>SUM(E25:P25)</f>
        <v>801</v>
      </c>
    </row>
    <row r="26" spans="2:17">
      <c r="B26" s="125" t="s">
        <v>8</v>
      </c>
      <c r="C26" s="126"/>
      <c r="D26" s="127"/>
      <c r="E26" s="15">
        <f t="shared" ref="E26:P26" si="2">(E25/$Q$25)*100</f>
        <v>0.62421972534332082</v>
      </c>
      <c r="F26" s="15">
        <f t="shared" si="2"/>
        <v>5.7428214731585516</v>
      </c>
      <c r="G26" s="15">
        <f t="shared" si="2"/>
        <v>5.8676654182272161</v>
      </c>
      <c r="H26" s="15">
        <f t="shared" si="2"/>
        <v>14.856429463171036</v>
      </c>
      <c r="I26" s="15">
        <f t="shared" si="2"/>
        <v>17.228464419475657</v>
      </c>
      <c r="J26" s="15">
        <f t="shared" si="2"/>
        <v>17.852684144818976</v>
      </c>
      <c r="K26" s="15">
        <f t="shared" si="2"/>
        <v>17.852684144818976</v>
      </c>
      <c r="L26" s="15">
        <f t="shared" si="2"/>
        <v>12.609238451935081</v>
      </c>
      <c r="M26" s="15">
        <f t="shared" si="2"/>
        <v>4.868913857677903</v>
      </c>
      <c r="N26" s="15">
        <f t="shared" si="2"/>
        <v>1.6229712858926344</v>
      </c>
      <c r="O26" s="15">
        <f t="shared" si="2"/>
        <v>0.87390761548064921</v>
      </c>
      <c r="P26" s="15">
        <f t="shared" si="2"/>
        <v>0</v>
      </c>
      <c r="Q26" s="15">
        <f>SUM(E26:P26)</f>
        <v>100.00000000000001</v>
      </c>
    </row>
    <row r="28" spans="2:17">
      <c r="E28" s="14">
        <f t="shared" ref="E28:O28" si="3">SUMPRODUCT($B5:$B24,E5:E24)/SUM(E5:E24)</f>
        <v>21.2</v>
      </c>
      <c r="F28" s="14">
        <f t="shared" si="3"/>
        <v>21.478260869565219</v>
      </c>
      <c r="G28" s="14">
        <f t="shared" si="3"/>
        <v>24.25531914893617</v>
      </c>
      <c r="H28" s="14">
        <f t="shared" si="3"/>
        <v>26.840336134453782</v>
      </c>
      <c r="I28" s="14">
        <f t="shared" si="3"/>
        <v>30.057971014492754</v>
      </c>
      <c r="J28" s="14">
        <f t="shared" si="3"/>
        <v>34.853146853146853</v>
      </c>
      <c r="K28" s="14">
        <f t="shared" si="3"/>
        <v>38.853146853146853</v>
      </c>
      <c r="L28" s="14">
        <f t="shared" si="3"/>
        <v>42.910891089108908</v>
      </c>
      <c r="M28" s="14">
        <f t="shared" si="3"/>
        <v>48.717948717948715</v>
      </c>
      <c r="N28" s="14">
        <f t="shared" si="3"/>
        <v>49.53846153846154</v>
      </c>
      <c r="O28" s="14">
        <f t="shared" si="3"/>
        <v>52</v>
      </c>
      <c r="P28" s="14"/>
    </row>
  </sheetData>
  <mergeCells count="4">
    <mergeCell ref="D2:Q2"/>
    <mergeCell ref="B4:D4"/>
    <mergeCell ref="B25:D25"/>
    <mergeCell ref="B26:D26"/>
  </mergeCells>
  <pageMargins left="0.75" right="0.75" top="1" bottom="1" header="0" footer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E52"/>
  <sheetViews>
    <sheetView topLeftCell="A19" workbookViewId="0"/>
  </sheetViews>
  <sheetFormatPr defaultColWidth="9.08984375" defaultRowHeight="12.5"/>
  <cols>
    <col min="1" max="1" width="11.453125" style="12" customWidth="1"/>
    <col min="2" max="2" width="11.453125" style="13" customWidth="1"/>
    <col min="3" max="3" width="5.90625" style="13" customWidth="1"/>
    <col min="4" max="4" width="5.6328125" style="13" customWidth="1"/>
    <col min="5" max="5" width="5.36328125" style="13" customWidth="1"/>
    <col min="6" max="6" width="5.54296875" style="13" customWidth="1"/>
    <col min="7" max="7" width="5.90625" style="13" customWidth="1"/>
    <col min="8" max="8" width="5.453125" style="13" customWidth="1"/>
    <col min="9" max="9" width="5.90625" style="13" customWidth="1"/>
    <col min="10" max="10" width="5.36328125" style="13" customWidth="1"/>
    <col min="11" max="12" width="5.90625" style="13" customWidth="1"/>
    <col min="13" max="14" width="6" style="13" customWidth="1"/>
    <col min="15" max="16" width="5.90625" style="13" customWidth="1"/>
    <col min="17" max="17" width="5.54296875" style="13" customWidth="1"/>
    <col min="18" max="18" width="7.08984375" style="13" customWidth="1"/>
    <col min="19" max="256" width="11.453125" style="12" customWidth="1"/>
    <col min="257" max="16384" width="9.08984375" style="12"/>
  </cols>
  <sheetData>
    <row r="2" spans="2:31">
      <c r="B2" s="122" t="s">
        <v>20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</row>
    <row r="4" spans="2:31">
      <c r="B4" s="17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9</v>
      </c>
      <c r="J4" s="29" t="s">
        <v>10</v>
      </c>
      <c r="K4" s="29" t="s">
        <v>11</v>
      </c>
      <c r="L4" s="29" t="s">
        <v>12</v>
      </c>
      <c r="M4" s="29" t="s">
        <v>13</v>
      </c>
      <c r="N4" s="29"/>
      <c r="O4" s="29" t="s">
        <v>14</v>
      </c>
      <c r="P4" s="29" t="s">
        <v>15</v>
      </c>
      <c r="Q4" s="29" t="s">
        <v>16</v>
      </c>
      <c r="R4" s="26" t="s">
        <v>7</v>
      </c>
      <c r="U4" s="12">
        <v>2</v>
      </c>
      <c r="V4" s="12">
        <v>3</v>
      </c>
      <c r="W4" s="12">
        <v>4</v>
      </c>
      <c r="X4" s="12">
        <v>5</v>
      </c>
      <c r="Y4" s="12">
        <v>6</v>
      </c>
      <c r="Z4" s="12">
        <v>7</v>
      </c>
      <c r="AA4" s="12">
        <v>8</v>
      </c>
      <c r="AB4" s="12">
        <v>9</v>
      </c>
      <c r="AC4" s="12">
        <v>10</v>
      </c>
      <c r="AD4" s="12">
        <v>11</v>
      </c>
      <c r="AE4" s="12">
        <v>12</v>
      </c>
    </row>
    <row r="5" spans="2:31">
      <c r="B5" s="19">
        <v>17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49"/>
      <c r="T5" s="12">
        <f t="shared" ref="T5:T48" si="0">B5</f>
        <v>17</v>
      </c>
      <c r="U5" s="12">
        <f>C5/C$49</f>
        <v>0</v>
      </c>
      <c r="V5" s="12">
        <f t="shared" ref="V5:V48" si="1">D5/D$49</f>
        <v>0</v>
      </c>
      <c r="W5" s="12">
        <f t="shared" ref="W5:W48" si="2">E5/E$49</f>
        <v>0</v>
      </c>
      <c r="X5" s="12">
        <f t="shared" ref="X5:X48" si="3">F5/F$49</f>
        <v>0</v>
      </c>
      <c r="Y5" s="12">
        <f t="shared" ref="Y5:Y48" si="4">G5/G$49</f>
        <v>0</v>
      </c>
      <c r="Z5" s="12">
        <f t="shared" ref="Z5:Z48" si="5">H5/H$49</f>
        <v>0</v>
      </c>
      <c r="AA5" s="12">
        <f t="shared" ref="AA5:AA48" si="6">I5/I$49</f>
        <v>0</v>
      </c>
      <c r="AB5" s="12">
        <f t="shared" ref="AB5:AB48" si="7">J5/J$49</f>
        <v>0</v>
      </c>
      <c r="AC5" s="12">
        <f t="shared" ref="AC5:AC48" si="8">K5/K$49</f>
        <v>0</v>
      </c>
      <c r="AD5" s="12">
        <f t="shared" ref="AD5:AD48" si="9">L5/L$49</f>
        <v>0</v>
      </c>
      <c r="AE5" s="12">
        <f t="shared" ref="AE5:AE48" si="10">M5/M$49</f>
        <v>0</v>
      </c>
    </row>
    <row r="6" spans="2:31">
      <c r="B6" s="19">
        <v>18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49"/>
      <c r="T6" s="12">
        <f t="shared" si="0"/>
        <v>18</v>
      </c>
      <c r="U6" s="12">
        <f t="shared" ref="U6:U48" si="11">C6/C$49</f>
        <v>0</v>
      </c>
      <c r="V6" s="12">
        <f t="shared" si="1"/>
        <v>0</v>
      </c>
      <c r="W6" s="12">
        <f t="shared" si="2"/>
        <v>0</v>
      </c>
      <c r="X6" s="12">
        <f t="shared" si="3"/>
        <v>0</v>
      </c>
      <c r="Y6" s="12">
        <f t="shared" si="4"/>
        <v>0</v>
      </c>
      <c r="Z6" s="12">
        <f t="shared" si="5"/>
        <v>0</v>
      </c>
      <c r="AA6" s="12">
        <f t="shared" si="6"/>
        <v>0</v>
      </c>
      <c r="AB6" s="12">
        <f t="shared" si="7"/>
        <v>0</v>
      </c>
      <c r="AC6" s="12">
        <f t="shared" si="8"/>
        <v>0</v>
      </c>
      <c r="AD6" s="12">
        <f t="shared" si="9"/>
        <v>0</v>
      </c>
      <c r="AE6" s="12">
        <f t="shared" si="10"/>
        <v>0</v>
      </c>
    </row>
    <row r="7" spans="2:31">
      <c r="B7" s="19">
        <v>19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49"/>
      <c r="T7" s="12">
        <f t="shared" si="0"/>
        <v>19</v>
      </c>
      <c r="U7" s="12">
        <f t="shared" si="11"/>
        <v>0</v>
      </c>
      <c r="V7" s="12">
        <f t="shared" si="1"/>
        <v>0</v>
      </c>
      <c r="W7" s="12">
        <f t="shared" si="2"/>
        <v>0</v>
      </c>
      <c r="X7" s="12">
        <f t="shared" si="3"/>
        <v>0</v>
      </c>
      <c r="Y7" s="12">
        <f t="shared" si="4"/>
        <v>0</v>
      </c>
      <c r="Z7" s="12">
        <f t="shared" si="5"/>
        <v>0</v>
      </c>
      <c r="AA7" s="12">
        <f t="shared" si="6"/>
        <v>0</v>
      </c>
      <c r="AB7" s="12">
        <f t="shared" si="7"/>
        <v>0</v>
      </c>
      <c r="AC7" s="12">
        <f t="shared" si="8"/>
        <v>0</v>
      </c>
      <c r="AD7" s="12">
        <f t="shared" si="9"/>
        <v>0</v>
      </c>
      <c r="AE7" s="12">
        <f t="shared" si="10"/>
        <v>0</v>
      </c>
    </row>
    <row r="8" spans="2:31">
      <c r="B8" s="19">
        <v>20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49"/>
      <c r="T8" s="12">
        <f t="shared" si="0"/>
        <v>20</v>
      </c>
      <c r="U8" s="12">
        <f t="shared" si="11"/>
        <v>0</v>
      </c>
      <c r="V8" s="12">
        <f t="shared" si="1"/>
        <v>0</v>
      </c>
      <c r="W8" s="12">
        <f t="shared" si="2"/>
        <v>0</v>
      </c>
      <c r="X8" s="12">
        <f t="shared" si="3"/>
        <v>0</v>
      </c>
      <c r="Y8" s="12">
        <f t="shared" si="4"/>
        <v>0</v>
      </c>
      <c r="Z8" s="12">
        <f t="shared" si="5"/>
        <v>0</v>
      </c>
      <c r="AA8" s="12">
        <f t="shared" si="6"/>
        <v>0</v>
      </c>
      <c r="AB8" s="12">
        <f t="shared" si="7"/>
        <v>0</v>
      </c>
      <c r="AC8" s="12">
        <f t="shared" si="8"/>
        <v>0</v>
      </c>
      <c r="AD8" s="12">
        <f t="shared" si="9"/>
        <v>0</v>
      </c>
      <c r="AE8" s="12">
        <f t="shared" si="10"/>
        <v>0</v>
      </c>
    </row>
    <row r="9" spans="2:31">
      <c r="B9" s="19">
        <v>21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49"/>
      <c r="T9" s="12">
        <f t="shared" si="0"/>
        <v>21</v>
      </c>
      <c r="U9" s="12">
        <f t="shared" si="11"/>
        <v>0</v>
      </c>
      <c r="V9" s="12">
        <f t="shared" si="1"/>
        <v>0</v>
      </c>
      <c r="W9" s="12">
        <f t="shared" si="2"/>
        <v>0</v>
      </c>
      <c r="X9" s="12">
        <f t="shared" si="3"/>
        <v>0</v>
      </c>
      <c r="Y9" s="12">
        <f t="shared" si="4"/>
        <v>0</v>
      </c>
      <c r="Z9" s="12">
        <f t="shared" si="5"/>
        <v>0</v>
      </c>
      <c r="AA9" s="12">
        <f t="shared" si="6"/>
        <v>0</v>
      </c>
      <c r="AB9" s="12">
        <f t="shared" si="7"/>
        <v>0</v>
      </c>
      <c r="AC9" s="12">
        <f t="shared" si="8"/>
        <v>0</v>
      </c>
      <c r="AD9" s="12">
        <f t="shared" si="9"/>
        <v>0</v>
      </c>
      <c r="AE9" s="12">
        <f t="shared" si="10"/>
        <v>0</v>
      </c>
    </row>
    <row r="10" spans="2:31">
      <c r="B10" s="19">
        <v>22</v>
      </c>
      <c r="C10" s="20">
        <v>5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9">
        <f t="shared" ref="R10:R48" si="12">SUM(C10:Q10)</f>
        <v>5</v>
      </c>
      <c r="T10" s="12">
        <f t="shared" si="0"/>
        <v>22</v>
      </c>
      <c r="U10" s="12">
        <f t="shared" si="11"/>
        <v>0.18518518518518517</v>
      </c>
      <c r="V10" s="12">
        <f t="shared" si="1"/>
        <v>0</v>
      </c>
      <c r="W10" s="12">
        <f t="shared" si="2"/>
        <v>0</v>
      </c>
      <c r="X10" s="12">
        <f t="shared" si="3"/>
        <v>0</v>
      </c>
      <c r="Y10" s="12">
        <f t="shared" si="4"/>
        <v>0</v>
      </c>
      <c r="Z10" s="12">
        <f t="shared" si="5"/>
        <v>0</v>
      </c>
      <c r="AA10" s="12">
        <f t="shared" si="6"/>
        <v>0</v>
      </c>
      <c r="AB10" s="12">
        <f t="shared" si="7"/>
        <v>0</v>
      </c>
      <c r="AC10" s="12">
        <f t="shared" si="8"/>
        <v>0</v>
      </c>
      <c r="AD10" s="12">
        <f t="shared" si="9"/>
        <v>0</v>
      </c>
      <c r="AE10" s="12">
        <f t="shared" si="10"/>
        <v>0</v>
      </c>
    </row>
    <row r="11" spans="2:31">
      <c r="B11" s="19">
        <v>23</v>
      </c>
      <c r="C11" s="20">
        <v>7</v>
      </c>
      <c r="D11" s="20">
        <v>9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9">
        <f t="shared" si="12"/>
        <v>16</v>
      </c>
      <c r="T11" s="12">
        <f t="shared" si="0"/>
        <v>23</v>
      </c>
      <c r="U11" s="12">
        <f t="shared" si="11"/>
        <v>0.25925925925925924</v>
      </c>
      <c r="V11" s="12">
        <f t="shared" si="1"/>
        <v>0.10975609756097561</v>
      </c>
      <c r="W11" s="12">
        <f t="shared" si="2"/>
        <v>0</v>
      </c>
      <c r="X11" s="12">
        <f t="shared" si="3"/>
        <v>0</v>
      </c>
      <c r="Y11" s="12">
        <f t="shared" si="4"/>
        <v>0</v>
      </c>
      <c r="Z11" s="12">
        <f t="shared" si="5"/>
        <v>0</v>
      </c>
      <c r="AA11" s="12">
        <f t="shared" si="6"/>
        <v>0</v>
      </c>
      <c r="AB11" s="12">
        <f t="shared" si="7"/>
        <v>0</v>
      </c>
      <c r="AC11" s="12">
        <f t="shared" si="8"/>
        <v>0</v>
      </c>
      <c r="AD11" s="12">
        <f t="shared" si="9"/>
        <v>0</v>
      </c>
      <c r="AE11" s="12">
        <f t="shared" si="10"/>
        <v>0</v>
      </c>
    </row>
    <row r="12" spans="2:31">
      <c r="B12" s="19">
        <v>24</v>
      </c>
      <c r="C12" s="20">
        <v>5</v>
      </c>
      <c r="D12" s="20">
        <v>21</v>
      </c>
      <c r="E12" s="20">
        <v>19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9">
        <f t="shared" si="12"/>
        <v>45</v>
      </c>
      <c r="T12" s="12">
        <f t="shared" si="0"/>
        <v>24</v>
      </c>
      <c r="U12" s="12">
        <f t="shared" si="11"/>
        <v>0.18518518518518517</v>
      </c>
      <c r="V12" s="12">
        <f t="shared" si="1"/>
        <v>0.25609756097560976</v>
      </c>
      <c r="W12" s="12">
        <f t="shared" si="2"/>
        <v>0.1130952380952381</v>
      </c>
      <c r="X12" s="12">
        <f t="shared" si="3"/>
        <v>0</v>
      </c>
      <c r="Y12" s="12">
        <f t="shared" si="4"/>
        <v>0</v>
      </c>
      <c r="Z12" s="12">
        <f t="shared" si="5"/>
        <v>0</v>
      </c>
      <c r="AA12" s="12">
        <f t="shared" si="6"/>
        <v>0</v>
      </c>
      <c r="AB12" s="12">
        <f t="shared" si="7"/>
        <v>0</v>
      </c>
      <c r="AC12" s="12">
        <f t="shared" si="8"/>
        <v>0</v>
      </c>
      <c r="AD12" s="12">
        <f t="shared" si="9"/>
        <v>0</v>
      </c>
      <c r="AE12" s="12">
        <f t="shared" si="10"/>
        <v>0</v>
      </c>
    </row>
    <row r="13" spans="2:31">
      <c r="B13" s="19">
        <v>25</v>
      </c>
      <c r="C13" s="20">
        <v>5</v>
      </c>
      <c r="D13" s="20">
        <v>18</v>
      </c>
      <c r="E13" s="20">
        <v>24</v>
      </c>
      <c r="F13" s="20">
        <v>23</v>
      </c>
      <c r="I13" s="20"/>
      <c r="J13" s="20"/>
      <c r="K13" s="20"/>
      <c r="L13" s="20"/>
      <c r="M13" s="20"/>
      <c r="N13" s="20"/>
      <c r="O13" s="20"/>
      <c r="P13" s="20"/>
      <c r="Q13" s="20"/>
      <c r="R13" s="19">
        <f t="shared" si="12"/>
        <v>70</v>
      </c>
      <c r="T13" s="12">
        <f t="shared" si="0"/>
        <v>25</v>
      </c>
      <c r="U13" s="12">
        <f t="shared" si="11"/>
        <v>0.18518518518518517</v>
      </c>
      <c r="V13" s="12">
        <f t="shared" si="1"/>
        <v>0.21951219512195122</v>
      </c>
      <c r="W13" s="12">
        <f t="shared" si="2"/>
        <v>0.14285714285714285</v>
      </c>
      <c r="X13" s="12">
        <f t="shared" si="3"/>
        <v>9.3877551020408165E-2</v>
      </c>
      <c r="Y13" s="12">
        <f t="shared" si="4"/>
        <v>0</v>
      </c>
      <c r="Z13" s="12">
        <f t="shared" si="5"/>
        <v>0</v>
      </c>
      <c r="AA13" s="12">
        <f t="shared" si="6"/>
        <v>0</v>
      </c>
      <c r="AB13" s="12">
        <f t="shared" si="7"/>
        <v>0</v>
      </c>
      <c r="AC13" s="12">
        <f t="shared" si="8"/>
        <v>0</v>
      </c>
      <c r="AD13" s="12">
        <f t="shared" si="9"/>
        <v>0</v>
      </c>
      <c r="AE13" s="12">
        <f t="shared" si="10"/>
        <v>0</v>
      </c>
    </row>
    <row r="14" spans="2:31">
      <c r="B14" s="19">
        <v>26</v>
      </c>
      <c r="C14" s="20">
        <v>3</v>
      </c>
      <c r="D14" s="20">
        <v>14</v>
      </c>
      <c r="E14" s="20">
        <v>29</v>
      </c>
      <c r="F14" s="20">
        <v>30</v>
      </c>
      <c r="G14" s="20">
        <v>3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f t="shared" si="12"/>
        <v>79</v>
      </c>
      <c r="T14" s="12">
        <f t="shared" si="0"/>
        <v>26</v>
      </c>
      <c r="U14" s="12">
        <f t="shared" si="11"/>
        <v>0.1111111111111111</v>
      </c>
      <c r="V14" s="12">
        <f t="shared" si="1"/>
        <v>0.17073170731707318</v>
      </c>
      <c r="W14" s="12">
        <f t="shared" si="2"/>
        <v>0.17261904761904762</v>
      </c>
      <c r="X14" s="12">
        <f t="shared" si="3"/>
        <v>0.12244897959183673</v>
      </c>
      <c r="Y14" s="12">
        <f t="shared" si="4"/>
        <v>1.3513513513513514E-2</v>
      </c>
      <c r="Z14" s="12">
        <f t="shared" si="5"/>
        <v>0</v>
      </c>
      <c r="AA14" s="12">
        <f t="shared" si="6"/>
        <v>0</v>
      </c>
      <c r="AB14" s="12">
        <f t="shared" si="7"/>
        <v>0</v>
      </c>
      <c r="AC14" s="12">
        <f t="shared" si="8"/>
        <v>0</v>
      </c>
      <c r="AD14" s="12">
        <f t="shared" si="9"/>
        <v>0</v>
      </c>
      <c r="AE14" s="12">
        <f t="shared" si="10"/>
        <v>0</v>
      </c>
    </row>
    <row r="15" spans="2:31">
      <c r="B15" s="19">
        <v>27</v>
      </c>
      <c r="C15" s="20">
        <v>1</v>
      </c>
      <c r="D15" s="20">
        <v>10</v>
      </c>
      <c r="E15" s="20">
        <v>30</v>
      </c>
      <c r="F15" s="23">
        <v>25</v>
      </c>
      <c r="G15" s="20">
        <v>13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9">
        <f t="shared" si="12"/>
        <v>79</v>
      </c>
      <c r="T15" s="12">
        <f t="shared" si="0"/>
        <v>27</v>
      </c>
      <c r="U15" s="12">
        <f t="shared" si="11"/>
        <v>3.7037037037037035E-2</v>
      </c>
      <c r="V15" s="12">
        <f t="shared" si="1"/>
        <v>0.12195121951219512</v>
      </c>
      <c r="W15" s="12">
        <f t="shared" si="2"/>
        <v>0.17857142857142858</v>
      </c>
      <c r="X15" s="12">
        <f t="shared" si="3"/>
        <v>0.10204081632653061</v>
      </c>
      <c r="Y15" s="12">
        <f t="shared" si="4"/>
        <v>5.8558558558558557E-2</v>
      </c>
      <c r="Z15" s="12">
        <f t="shared" si="5"/>
        <v>0</v>
      </c>
      <c r="AA15" s="12">
        <f t="shared" si="6"/>
        <v>0</v>
      </c>
      <c r="AB15" s="12">
        <f t="shared" si="7"/>
        <v>0</v>
      </c>
      <c r="AC15" s="12">
        <f t="shared" si="8"/>
        <v>0</v>
      </c>
      <c r="AD15" s="12">
        <f t="shared" si="9"/>
        <v>0</v>
      </c>
      <c r="AE15" s="12">
        <f t="shared" si="10"/>
        <v>0</v>
      </c>
    </row>
    <row r="16" spans="2:31">
      <c r="B16" s="19">
        <v>28</v>
      </c>
      <c r="C16" s="20">
        <v>1</v>
      </c>
      <c r="D16" s="20">
        <v>7</v>
      </c>
      <c r="E16" s="20">
        <v>22</v>
      </c>
      <c r="F16" s="23">
        <v>28</v>
      </c>
      <c r="G16" s="20">
        <v>13</v>
      </c>
      <c r="H16" s="20">
        <v>6</v>
      </c>
      <c r="I16" s="20"/>
      <c r="J16" s="20"/>
      <c r="K16" s="20"/>
      <c r="L16" s="20"/>
      <c r="M16" s="20"/>
      <c r="N16" s="20"/>
      <c r="O16" s="20"/>
      <c r="P16" s="20"/>
      <c r="Q16" s="20"/>
      <c r="R16" s="19">
        <f t="shared" si="12"/>
        <v>77</v>
      </c>
      <c r="T16" s="12">
        <f t="shared" si="0"/>
        <v>28</v>
      </c>
      <c r="U16" s="12">
        <f t="shared" si="11"/>
        <v>3.7037037037037035E-2</v>
      </c>
      <c r="V16" s="12">
        <f t="shared" si="1"/>
        <v>8.5365853658536592E-2</v>
      </c>
      <c r="W16" s="12">
        <f t="shared" si="2"/>
        <v>0.13095238095238096</v>
      </c>
      <c r="X16" s="12">
        <f t="shared" si="3"/>
        <v>0.11428571428571428</v>
      </c>
      <c r="Y16" s="12">
        <f t="shared" si="4"/>
        <v>5.8558558558558557E-2</v>
      </c>
      <c r="Z16" s="12">
        <f t="shared" si="5"/>
        <v>2.4390243902439025E-2</v>
      </c>
      <c r="AA16" s="12">
        <f t="shared" si="6"/>
        <v>0</v>
      </c>
      <c r="AB16" s="12">
        <f t="shared" si="7"/>
        <v>0</v>
      </c>
      <c r="AC16" s="12">
        <f t="shared" si="8"/>
        <v>0</v>
      </c>
      <c r="AD16" s="12">
        <f t="shared" si="9"/>
        <v>0</v>
      </c>
      <c r="AE16" s="12">
        <f t="shared" si="10"/>
        <v>0</v>
      </c>
    </row>
    <row r="17" spans="2:31">
      <c r="B17" s="19">
        <v>29</v>
      </c>
      <c r="C17" s="20"/>
      <c r="D17" s="23">
        <v>2</v>
      </c>
      <c r="E17" s="23">
        <v>15</v>
      </c>
      <c r="F17" s="23">
        <v>29</v>
      </c>
      <c r="G17" s="20">
        <v>17</v>
      </c>
      <c r="H17" s="20">
        <v>13</v>
      </c>
      <c r="I17" s="23"/>
      <c r="J17" s="23"/>
      <c r="K17" s="23"/>
      <c r="L17" s="23"/>
      <c r="M17" s="23"/>
      <c r="N17" s="23"/>
      <c r="O17" s="23"/>
      <c r="P17" s="23"/>
      <c r="Q17" s="23"/>
      <c r="R17" s="19">
        <f t="shared" si="12"/>
        <v>76</v>
      </c>
      <c r="T17" s="12">
        <f t="shared" si="0"/>
        <v>29</v>
      </c>
      <c r="U17" s="12">
        <f t="shared" si="11"/>
        <v>0</v>
      </c>
      <c r="V17" s="12">
        <f t="shared" si="1"/>
        <v>2.4390243902439025E-2</v>
      </c>
      <c r="W17" s="12">
        <f t="shared" si="2"/>
        <v>8.9285714285714288E-2</v>
      </c>
      <c r="X17" s="12">
        <f t="shared" si="3"/>
        <v>0.11836734693877551</v>
      </c>
      <c r="Y17" s="12">
        <f t="shared" si="4"/>
        <v>7.6576576576576572E-2</v>
      </c>
      <c r="Z17" s="12">
        <f t="shared" si="5"/>
        <v>5.2845528455284556E-2</v>
      </c>
      <c r="AA17" s="12">
        <f t="shared" si="6"/>
        <v>0</v>
      </c>
      <c r="AB17" s="12">
        <f t="shared" si="7"/>
        <v>0</v>
      </c>
      <c r="AC17" s="12">
        <f t="shared" si="8"/>
        <v>0</v>
      </c>
      <c r="AD17" s="12">
        <f t="shared" si="9"/>
        <v>0</v>
      </c>
      <c r="AE17" s="12">
        <f t="shared" si="10"/>
        <v>0</v>
      </c>
    </row>
    <row r="18" spans="2:31">
      <c r="B18" s="19">
        <v>30</v>
      </c>
      <c r="C18" s="20"/>
      <c r="D18" s="20"/>
      <c r="E18" s="23">
        <v>11</v>
      </c>
      <c r="F18" s="23">
        <v>31</v>
      </c>
      <c r="G18" s="23">
        <v>21</v>
      </c>
      <c r="H18" s="23">
        <v>12</v>
      </c>
      <c r="I18" s="23">
        <v>6</v>
      </c>
      <c r="J18" s="23"/>
      <c r="K18" s="23"/>
      <c r="L18" s="23"/>
      <c r="M18" s="23"/>
      <c r="N18" s="23"/>
      <c r="O18" s="23"/>
      <c r="P18" s="23"/>
      <c r="Q18" s="23"/>
      <c r="R18" s="19">
        <f t="shared" si="12"/>
        <v>81</v>
      </c>
      <c r="T18" s="12">
        <f t="shared" si="0"/>
        <v>30</v>
      </c>
      <c r="U18" s="12">
        <f t="shared" si="11"/>
        <v>0</v>
      </c>
      <c r="V18" s="12">
        <f t="shared" si="1"/>
        <v>0</v>
      </c>
      <c r="W18" s="12">
        <f t="shared" si="2"/>
        <v>6.5476190476190479E-2</v>
      </c>
      <c r="X18" s="12">
        <f t="shared" si="3"/>
        <v>0.12653061224489795</v>
      </c>
      <c r="Y18" s="12">
        <f t="shared" si="4"/>
        <v>9.45945945945946E-2</v>
      </c>
      <c r="Z18" s="12">
        <f t="shared" si="5"/>
        <v>4.878048780487805E-2</v>
      </c>
      <c r="AA18" s="12">
        <f t="shared" si="6"/>
        <v>3.0769230769230771E-2</v>
      </c>
      <c r="AB18" s="12">
        <f t="shared" si="7"/>
        <v>0</v>
      </c>
      <c r="AC18" s="12">
        <f t="shared" si="8"/>
        <v>0</v>
      </c>
      <c r="AD18" s="12">
        <f t="shared" si="9"/>
        <v>0</v>
      </c>
      <c r="AE18" s="12">
        <f t="shared" si="10"/>
        <v>0</v>
      </c>
    </row>
    <row r="19" spans="2:31">
      <c r="B19" s="19">
        <v>31</v>
      </c>
      <c r="C19" s="20"/>
      <c r="D19" s="20">
        <v>1</v>
      </c>
      <c r="E19" s="23">
        <v>3</v>
      </c>
      <c r="F19" s="20">
        <v>18</v>
      </c>
      <c r="G19" s="23">
        <v>29</v>
      </c>
      <c r="H19" s="23">
        <v>21</v>
      </c>
      <c r="I19" s="23">
        <v>6</v>
      </c>
      <c r="J19" s="23"/>
      <c r="K19" s="23"/>
      <c r="L19" s="23"/>
      <c r="M19" s="23"/>
      <c r="N19" s="23"/>
      <c r="O19" s="23"/>
      <c r="P19" s="23"/>
      <c r="Q19" s="23"/>
      <c r="R19" s="19">
        <f t="shared" si="12"/>
        <v>78</v>
      </c>
      <c r="T19" s="12">
        <f t="shared" si="0"/>
        <v>31</v>
      </c>
      <c r="U19" s="12">
        <f t="shared" si="11"/>
        <v>0</v>
      </c>
      <c r="V19" s="12">
        <f t="shared" si="1"/>
        <v>1.2195121951219513E-2</v>
      </c>
      <c r="W19" s="12">
        <f t="shared" si="2"/>
        <v>1.7857142857142856E-2</v>
      </c>
      <c r="X19" s="12">
        <f t="shared" si="3"/>
        <v>7.3469387755102047E-2</v>
      </c>
      <c r="Y19" s="12">
        <f t="shared" si="4"/>
        <v>0.13063063063063063</v>
      </c>
      <c r="Z19" s="12">
        <f t="shared" si="5"/>
        <v>8.5365853658536592E-2</v>
      </c>
      <c r="AA19" s="12">
        <f t="shared" si="6"/>
        <v>3.0769230769230771E-2</v>
      </c>
      <c r="AB19" s="12">
        <f t="shared" si="7"/>
        <v>0</v>
      </c>
      <c r="AC19" s="12">
        <f t="shared" si="8"/>
        <v>0</v>
      </c>
      <c r="AD19" s="12">
        <f t="shared" si="9"/>
        <v>0</v>
      </c>
      <c r="AE19" s="12">
        <f t="shared" si="10"/>
        <v>0</v>
      </c>
    </row>
    <row r="20" spans="2:31">
      <c r="B20" s="19">
        <v>32</v>
      </c>
      <c r="C20" s="20"/>
      <c r="D20" s="20"/>
      <c r="E20" s="23">
        <v>10</v>
      </c>
      <c r="F20" s="23">
        <v>16</v>
      </c>
      <c r="G20" s="23">
        <v>19</v>
      </c>
      <c r="H20" s="23">
        <v>22</v>
      </c>
      <c r="I20" s="23">
        <v>6</v>
      </c>
      <c r="J20" s="23">
        <v>4</v>
      </c>
      <c r="K20" s="23"/>
      <c r="L20" s="23"/>
      <c r="M20" s="23"/>
      <c r="N20" s="23"/>
      <c r="O20" s="23"/>
      <c r="P20" s="23"/>
      <c r="Q20" s="23"/>
      <c r="R20" s="19">
        <f t="shared" si="12"/>
        <v>77</v>
      </c>
      <c r="T20" s="12">
        <f t="shared" si="0"/>
        <v>32</v>
      </c>
      <c r="U20" s="12">
        <f t="shared" si="11"/>
        <v>0</v>
      </c>
      <c r="V20" s="12">
        <f t="shared" si="1"/>
        <v>0</v>
      </c>
      <c r="W20" s="12">
        <f t="shared" si="2"/>
        <v>5.9523809523809521E-2</v>
      </c>
      <c r="X20" s="12">
        <f t="shared" si="3"/>
        <v>6.5306122448979598E-2</v>
      </c>
      <c r="Y20" s="12">
        <f t="shared" si="4"/>
        <v>8.5585585585585586E-2</v>
      </c>
      <c r="Z20" s="12">
        <f t="shared" si="5"/>
        <v>8.943089430894309E-2</v>
      </c>
      <c r="AA20" s="12">
        <f t="shared" si="6"/>
        <v>3.0769230769230771E-2</v>
      </c>
      <c r="AB20" s="12">
        <f t="shared" si="7"/>
        <v>3.4782608695652174E-2</v>
      </c>
      <c r="AC20" s="12">
        <f t="shared" si="8"/>
        <v>0</v>
      </c>
      <c r="AD20" s="12">
        <f t="shared" si="9"/>
        <v>0</v>
      </c>
      <c r="AE20" s="12">
        <f t="shared" si="10"/>
        <v>0</v>
      </c>
    </row>
    <row r="21" spans="2:31">
      <c r="B21" s="19">
        <v>33</v>
      </c>
      <c r="C21" s="20"/>
      <c r="D21" s="20"/>
      <c r="E21" s="23">
        <v>3</v>
      </c>
      <c r="F21" s="23">
        <v>17</v>
      </c>
      <c r="G21" s="23">
        <v>25</v>
      </c>
      <c r="H21" s="23">
        <v>21</v>
      </c>
      <c r="I21" s="23">
        <v>10</v>
      </c>
      <c r="J21" s="23">
        <v>3</v>
      </c>
      <c r="K21" s="23"/>
      <c r="L21" s="23"/>
      <c r="M21" s="23"/>
      <c r="N21" s="23"/>
      <c r="O21" s="23"/>
      <c r="P21" s="23"/>
      <c r="Q21" s="23"/>
      <c r="R21" s="19">
        <f t="shared" si="12"/>
        <v>79</v>
      </c>
      <c r="T21" s="12">
        <f t="shared" si="0"/>
        <v>33</v>
      </c>
      <c r="U21" s="12">
        <f t="shared" si="11"/>
        <v>0</v>
      </c>
      <c r="V21" s="12">
        <f t="shared" si="1"/>
        <v>0</v>
      </c>
      <c r="W21" s="12">
        <f t="shared" si="2"/>
        <v>1.7857142857142856E-2</v>
      </c>
      <c r="X21" s="12">
        <f t="shared" si="3"/>
        <v>6.9387755102040816E-2</v>
      </c>
      <c r="Y21" s="12">
        <f t="shared" si="4"/>
        <v>0.11261261261261261</v>
      </c>
      <c r="Z21" s="12">
        <f t="shared" si="5"/>
        <v>8.5365853658536592E-2</v>
      </c>
      <c r="AA21" s="12">
        <f t="shared" si="6"/>
        <v>5.128205128205128E-2</v>
      </c>
      <c r="AB21" s="12">
        <f t="shared" si="7"/>
        <v>2.6086956521739129E-2</v>
      </c>
      <c r="AC21" s="12">
        <f t="shared" si="8"/>
        <v>0</v>
      </c>
      <c r="AD21" s="12">
        <f t="shared" si="9"/>
        <v>0</v>
      </c>
      <c r="AE21" s="12">
        <f t="shared" si="10"/>
        <v>0</v>
      </c>
    </row>
    <row r="22" spans="2:31">
      <c r="B22" s="19">
        <v>34</v>
      </c>
      <c r="C22" s="20"/>
      <c r="D22" s="20"/>
      <c r="E22" s="20">
        <v>2</v>
      </c>
      <c r="F22" s="23">
        <v>8</v>
      </c>
      <c r="G22" s="23">
        <v>19</v>
      </c>
      <c r="H22" s="23">
        <v>26</v>
      </c>
      <c r="I22" s="23">
        <v>16</v>
      </c>
      <c r="J22" s="23">
        <v>3</v>
      </c>
      <c r="K22" s="23">
        <v>3</v>
      </c>
      <c r="L22" s="23"/>
      <c r="M22" s="23"/>
      <c r="N22" s="23"/>
      <c r="O22" s="23"/>
      <c r="P22" s="23"/>
      <c r="Q22" s="23"/>
      <c r="R22" s="19">
        <f t="shared" si="12"/>
        <v>77</v>
      </c>
      <c r="T22" s="12">
        <f t="shared" si="0"/>
        <v>34</v>
      </c>
      <c r="U22" s="12">
        <f t="shared" si="11"/>
        <v>0</v>
      </c>
      <c r="V22" s="12">
        <f t="shared" si="1"/>
        <v>0</v>
      </c>
      <c r="W22" s="12">
        <f t="shared" si="2"/>
        <v>1.1904761904761904E-2</v>
      </c>
      <c r="X22" s="12">
        <f t="shared" si="3"/>
        <v>3.2653061224489799E-2</v>
      </c>
      <c r="Y22" s="12">
        <f t="shared" si="4"/>
        <v>8.5585585585585586E-2</v>
      </c>
      <c r="Z22" s="12">
        <f t="shared" si="5"/>
        <v>0.10569105691056911</v>
      </c>
      <c r="AA22" s="12">
        <f t="shared" si="6"/>
        <v>8.2051282051282051E-2</v>
      </c>
      <c r="AB22" s="12">
        <f t="shared" si="7"/>
        <v>2.6086956521739129E-2</v>
      </c>
      <c r="AC22" s="12">
        <f t="shared" si="8"/>
        <v>2.8571428571428571E-2</v>
      </c>
      <c r="AD22" s="12">
        <f t="shared" si="9"/>
        <v>0</v>
      </c>
      <c r="AE22" s="12">
        <f t="shared" si="10"/>
        <v>0</v>
      </c>
    </row>
    <row r="23" spans="2:31">
      <c r="B23" s="19">
        <v>35</v>
      </c>
      <c r="C23" s="20"/>
      <c r="D23" s="20"/>
      <c r="E23" s="20"/>
      <c r="F23" s="23">
        <v>4</v>
      </c>
      <c r="G23" s="23">
        <v>18</v>
      </c>
      <c r="H23" s="23">
        <v>25</v>
      </c>
      <c r="I23" s="23">
        <v>9</v>
      </c>
      <c r="J23" s="23">
        <v>5</v>
      </c>
      <c r="K23" s="23">
        <v>3</v>
      </c>
      <c r="L23" s="23"/>
      <c r="M23" s="23"/>
      <c r="N23" s="23"/>
      <c r="O23" s="23"/>
      <c r="P23" s="23"/>
      <c r="Q23" s="23"/>
      <c r="R23" s="19">
        <f t="shared" si="12"/>
        <v>64</v>
      </c>
      <c r="T23" s="12">
        <f t="shared" si="0"/>
        <v>35</v>
      </c>
      <c r="U23" s="12">
        <f t="shared" si="11"/>
        <v>0</v>
      </c>
      <c r="V23" s="12">
        <f t="shared" si="1"/>
        <v>0</v>
      </c>
      <c r="W23" s="12">
        <f t="shared" si="2"/>
        <v>0</v>
      </c>
      <c r="X23" s="12">
        <f t="shared" si="3"/>
        <v>1.6326530612244899E-2</v>
      </c>
      <c r="Y23" s="12">
        <f t="shared" si="4"/>
        <v>8.1081081081081086E-2</v>
      </c>
      <c r="Z23" s="12">
        <f t="shared" si="5"/>
        <v>0.1016260162601626</v>
      </c>
      <c r="AA23" s="12">
        <f t="shared" si="6"/>
        <v>4.6153846153846156E-2</v>
      </c>
      <c r="AB23" s="12">
        <f t="shared" si="7"/>
        <v>4.3478260869565216E-2</v>
      </c>
      <c r="AC23" s="12">
        <f t="shared" si="8"/>
        <v>2.8571428571428571E-2</v>
      </c>
      <c r="AD23" s="12">
        <f t="shared" si="9"/>
        <v>0</v>
      </c>
      <c r="AE23" s="12">
        <f t="shared" si="10"/>
        <v>0</v>
      </c>
    </row>
    <row r="24" spans="2:31">
      <c r="B24" s="19">
        <v>36</v>
      </c>
      <c r="C24" s="20"/>
      <c r="D24" s="20"/>
      <c r="E24" s="20"/>
      <c r="F24" s="23">
        <v>9</v>
      </c>
      <c r="G24" s="23">
        <v>5</v>
      </c>
      <c r="H24" s="23">
        <v>19</v>
      </c>
      <c r="I24" s="23">
        <v>24</v>
      </c>
      <c r="J24" s="23">
        <v>7</v>
      </c>
      <c r="K24" s="23">
        <v>1</v>
      </c>
      <c r="L24" s="23"/>
      <c r="M24" s="23"/>
      <c r="N24" s="23"/>
      <c r="O24" s="23"/>
      <c r="P24" s="23"/>
      <c r="Q24" s="23"/>
      <c r="R24" s="19">
        <f t="shared" si="12"/>
        <v>65</v>
      </c>
      <c r="T24" s="12">
        <f t="shared" si="0"/>
        <v>36</v>
      </c>
      <c r="U24" s="12">
        <f t="shared" si="11"/>
        <v>0</v>
      </c>
      <c r="V24" s="12">
        <f t="shared" si="1"/>
        <v>0</v>
      </c>
      <c r="W24" s="12">
        <f t="shared" si="2"/>
        <v>0</v>
      </c>
      <c r="X24" s="12">
        <f t="shared" si="3"/>
        <v>3.6734693877551024E-2</v>
      </c>
      <c r="Y24" s="12">
        <f t="shared" si="4"/>
        <v>2.2522522522522521E-2</v>
      </c>
      <c r="Z24" s="12">
        <f t="shared" si="5"/>
        <v>7.7235772357723581E-2</v>
      </c>
      <c r="AA24" s="12">
        <f t="shared" si="6"/>
        <v>0.12307692307692308</v>
      </c>
      <c r="AB24" s="12">
        <f t="shared" si="7"/>
        <v>6.0869565217391307E-2</v>
      </c>
      <c r="AC24" s="12">
        <f t="shared" si="8"/>
        <v>9.5238095238095247E-3</v>
      </c>
      <c r="AD24" s="12">
        <f t="shared" si="9"/>
        <v>0</v>
      </c>
      <c r="AE24" s="12">
        <f t="shared" si="10"/>
        <v>0</v>
      </c>
    </row>
    <row r="25" spans="2:31">
      <c r="B25" s="19">
        <v>37</v>
      </c>
      <c r="C25" s="20"/>
      <c r="D25" s="20"/>
      <c r="E25" s="20"/>
      <c r="F25" s="23">
        <v>4</v>
      </c>
      <c r="G25" s="23">
        <v>11</v>
      </c>
      <c r="H25" s="23">
        <v>17</v>
      </c>
      <c r="I25" s="23">
        <v>17</v>
      </c>
      <c r="J25" s="23">
        <v>7</v>
      </c>
      <c r="K25" s="23">
        <v>6</v>
      </c>
      <c r="L25" s="23"/>
      <c r="M25" s="23"/>
      <c r="N25" s="23"/>
      <c r="O25" s="23"/>
      <c r="P25" s="23"/>
      <c r="Q25" s="23"/>
      <c r="R25" s="19">
        <f t="shared" si="12"/>
        <v>62</v>
      </c>
      <c r="T25" s="12">
        <f t="shared" si="0"/>
        <v>37</v>
      </c>
      <c r="U25" s="12">
        <f t="shared" si="11"/>
        <v>0</v>
      </c>
      <c r="V25" s="12">
        <f t="shared" si="1"/>
        <v>0</v>
      </c>
      <c r="W25" s="12">
        <f t="shared" si="2"/>
        <v>0</v>
      </c>
      <c r="X25" s="12">
        <f t="shared" si="3"/>
        <v>1.6326530612244899E-2</v>
      </c>
      <c r="Y25" s="12">
        <f t="shared" si="4"/>
        <v>4.954954954954955E-2</v>
      </c>
      <c r="Z25" s="12">
        <f t="shared" si="5"/>
        <v>6.910569105691057E-2</v>
      </c>
      <c r="AA25" s="12">
        <f t="shared" si="6"/>
        <v>8.7179487179487175E-2</v>
      </c>
      <c r="AB25" s="12">
        <f t="shared" si="7"/>
        <v>6.0869565217391307E-2</v>
      </c>
      <c r="AC25" s="12">
        <f t="shared" si="8"/>
        <v>5.7142857142857141E-2</v>
      </c>
      <c r="AD25" s="12">
        <f t="shared" si="9"/>
        <v>0</v>
      </c>
      <c r="AE25" s="12">
        <f t="shared" si="10"/>
        <v>0</v>
      </c>
    </row>
    <row r="26" spans="2:31">
      <c r="B26" s="19">
        <v>38</v>
      </c>
      <c r="C26" s="20"/>
      <c r="D26" s="20"/>
      <c r="E26" s="20"/>
      <c r="F26" s="20">
        <v>2</v>
      </c>
      <c r="G26" s="23">
        <v>6</v>
      </c>
      <c r="H26" s="23">
        <v>12</v>
      </c>
      <c r="I26" s="23">
        <v>21</v>
      </c>
      <c r="J26" s="23">
        <v>6</v>
      </c>
      <c r="K26" s="23">
        <v>4</v>
      </c>
      <c r="L26" s="23"/>
      <c r="M26" s="23"/>
      <c r="N26" s="23"/>
      <c r="O26" s="23"/>
      <c r="P26" s="23"/>
      <c r="Q26" s="23"/>
      <c r="R26" s="19">
        <f t="shared" si="12"/>
        <v>51</v>
      </c>
      <c r="T26" s="12">
        <f t="shared" si="0"/>
        <v>38</v>
      </c>
      <c r="U26" s="12">
        <f t="shared" si="11"/>
        <v>0</v>
      </c>
      <c r="V26" s="12">
        <f t="shared" si="1"/>
        <v>0</v>
      </c>
      <c r="W26" s="12">
        <f t="shared" si="2"/>
        <v>0</v>
      </c>
      <c r="X26" s="12">
        <f t="shared" si="3"/>
        <v>8.1632653061224497E-3</v>
      </c>
      <c r="Y26" s="12">
        <f t="shared" si="4"/>
        <v>2.7027027027027029E-2</v>
      </c>
      <c r="Z26" s="12">
        <f t="shared" si="5"/>
        <v>4.878048780487805E-2</v>
      </c>
      <c r="AA26" s="12">
        <f t="shared" si="6"/>
        <v>0.1076923076923077</v>
      </c>
      <c r="AB26" s="12">
        <f t="shared" si="7"/>
        <v>5.2173913043478258E-2</v>
      </c>
      <c r="AC26" s="12">
        <f t="shared" si="8"/>
        <v>3.8095238095238099E-2</v>
      </c>
      <c r="AD26" s="12">
        <f t="shared" si="9"/>
        <v>0</v>
      </c>
      <c r="AE26" s="12">
        <f t="shared" si="10"/>
        <v>0</v>
      </c>
    </row>
    <row r="27" spans="2:31">
      <c r="B27" s="19">
        <v>39</v>
      </c>
      <c r="C27" s="20"/>
      <c r="D27" s="20"/>
      <c r="E27" s="20"/>
      <c r="F27" s="20">
        <v>1</v>
      </c>
      <c r="G27" s="23">
        <v>6</v>
      </c>
      <c r="H27" s="20">
        <v>12</v>
      </c>
      <c r="I27" s="23">
        <v>16</v>
      </c>
      <c r="J27" s="23">
        <v>6</v>
      </c>
      <c r="K27" s="23">
        <v>4</v>
      </c>
      <c r="L27" s="23"/>
      <c r="M27" s="23"/>
      <c r="N27" s="23"/>
      <c r="O27" s="23"/>
      <c r="P27" s="23"/>
      <c r="Q27" s="23"/>
      <c r="R27" s="19">
        <f t="shared" si="12"/>
        <v>45</v>
      </c>
      <c r="T27" s="12">
        <f t="shared" si="0"/>
        <v>39</v>
      </c>
      <c r="U27" s="12">
        <f t="shared" si="11"/>
        <v>0</v>
      </c>
      <c r="V27" s="12">
        <f t="shared" si="1"/>
        <v>0</v>
      </c>
      <c r="W27" s="12">
        <f t="shared" si="2"/>
        <v>0</v>
      </c>
      <c r="X27" s="12">
        <f t="shared" si="3"/>
        <v>4.0816326530612249E-3</v>
      </c>
      <c r="Y27" s="12">
        <f t="shared" si="4"/>
        <v>2.7027027027027029E-2</v>
      </c>
      <c r="Z27" s="12">
        <f t="shared" si="5"/>
        <v>4.878048780487805E-2</v>
      </c>
      <c r="AA27" s="12">
        <f t="shared" si="6"/>
        <v>8.2051282051282051E-2</v>
      </c>
      <c r="AB27" s="12">
        <f t="shared" si="7"/>
        <v>5.2173913043478258E-2</v>
      </c>
      <c r="AC27" s="12">
        <f t="shared" si="8"/>
        <v>3.8095238095238099E-2</v>
      </c>
      <c r="AD27" s="12">
        <f t="shared" si="9"/>
        <v>0</v>
      </c>
      <c r="AE27" s="12">
        <f t="shared" si="10"/>
        <v>0</v>
      </c>
    </row>
    <row r="28" spans="2:31">
      <c r="B28" s="19">
        <v>40</v>
      </c>
      <c r="C28" s="20"/>
      <c r="D28" s="20"/>
      <c r="E28" s="20"/>
      <c r="F28" s="20"/>
      <c r="G28" s="23">
        <v>6</v>
      </c>
      <c r="H28" s="20">
        <v>12</v>
      </c>
      <c r="I28" s="20">
        <v>8</v>
      </c>
      <c r="J28" s="20">
        <v>4</v>
      </c>
      <c r="K28" s="20">
        <v>2</v>
      </c>
      <c r="M28" s="20"/>
      <c r="N28" s="20"/>
      <c r="O28" s="20"/>
      <c r="P28" s="20"/>
      <c r="Q28" s="20"/>
      <c r="R28" s="19">
        <f t="shared" si="12"/>
        <v>32</v>
      </c>
      <c r="T28" s="12">
        <f t="shared" si="0"/>
        <v>40</v>
      </c>
      <c r="U28" s="12">
        <f t="shared" si="11"/>
        <v>0</v>
      </c>
      <c r="V28" s="12">
        <f t="shared" si="1"/>
        <v>0</v>
      </c>
      <c r="W28" s="12">
        <f t="shared" si="2"/>
        <v>0</v>
      </c>
      <c r="X28" s="12">
        <f t="shared" si="3"/>
        <v>0</v>
      </c>
      <c r="Y28" s="12">
        <f t="shared" si="4"/>
        <v>2.7027027027027029E-2</v>
      </c>
      <c r="Z28" s="12">
        <f t="shared" si="5"/>
        <v>4.878048780487805E-2</v>
      </c>
      <c r="AA28" s="12">
        <f t="shared" si="6"/>
        <v>4.1025641025641026E-2</v>
      </c>
      <c r="AB28" s="12">
        <f t="shared" si="7"/>
        <v>3.4782608695652174E-2</v>
      </c>
      <c r="AC28" s="12">
        <f t="shared" si="8"/>
        <v>1.9047619047619049E-2</v>
      </c>
      <c r="AD28" s="12">
        <f t="shared" si="9"/>
        <v>0</v>
      </c>
      <c r="AE28" s="12">
        <f t="shared" si="10"/>
        <v>0</v>
      </c>
    </row>
    <row r="29" spans="2:31">
      <c r="B29" s="19">
        <v>41</v>
      </c>
      <c r="C29" s="20"/>
      <c r="D29" s="20"/>
      <c r="E29" s="20"/>
      <c r="F29" s="20"/>
      <c r="G29" s="20">
        <v>6</v>
      </c>
      <c r="H29" s="23">
        <v>6</v>
      </c>
      <c r="I29" s="20">
        <v>6</v>
      </c>
      <c r="J29" s="20">
        <v>7</v>
      </c>
      <c r="K29" s="20">
        <v>3</v>
      </c>
      <c r="L29" s="20"/>
      <c r="M29" s="20"/>
      <c r="N29" s="20"/>
      <c r="O29" s="20"/>
      <c r="P29" s="20"/>
      <c r="Q29" s="20"/>
      <c r="R29" s="19">
        <f t="shared" si="12"/>
        <v>28</v>
      </c>
      <c r="T29" s="12">
        <f t="shared" si="0"/>
        <v>41</v>
      </c>
      <c r="U29" s="12">
        <f t="shared" si="11"/>
        <v>0</v>
      </c>
      <c r="V29" s="12">
        <f t="shared" si="1"/>
        <v>0</v>
      </c>
      <c r="W29" s="12">
        <f t="shared" si="2"/>
        <v>0</v>
      </c>
      <c r="X29" s="12">
        <f t="shared" si="3"/>
        <v>0</v>
      </c>
      <c r="Y29" s="12">
        <f t="shared" si="4"/>
        <v>2.7027027027027029E-2</v>
      </c>
      <c r="Z29" s="12">
        <f t="shared" si="5"/>
        <v>2.4390243902439025E-2</v>
      </c>
      <c r="AA29" s="12">
        <f t="shared" si="6"/>
        <v>3.0769230769230771E-2</v>
      </c>
      <c r="AB29" s="12">
        <f t="shared" si="7"/>
        <v>6.0869565217391307E-2</v>
      </c>
      <c r="AC29" s="12">
        <f t="shared" si="8"/>
        <v>2.8571428571428571E-2</v>
      </c>
      <c r="AD29" s="12">
        <f t="shared" si="9"/>
        <v>0</v>
      </c>
      <c r="AE29" s="12">
        <f t="shared" si="10"/>
        <v>0</v>
      </c>
    </row>
    <row r="30" spans="2:31">
      <c r="B30" s="19">
        <v>42</v>
      </c>
      <c r="C30" s="20"/>
      <c r="D30" s="20"/>
      <c r="E30" s="20"/>
      <c r="F30" s="20"/>
      <c r="G30" s="20">
        <v>4</v>
      </c>
      <c r="H30" s="20">
        <v>8</v>
      </c>
      <c r="I30" s="23">
        <v>9</v>
      </c>
      <c r="J30" s="23">
        <v>5</v>
      </c>
      <c r="K30" s="23">
        <v>1</v>
      </c>
      <c r="L30" s="20">
        <v>3</v>
      </c>
      <c r="M30" s="23"/>
      <c r="N30" s="23"/>
      <c r="O30" s="23"/>
      <c r="P30" s="23"/>
      <c r="Q30" s="23"/>
      <c r="R30" s="19">
        <f t="shared" si="12"/>
        <v>30</v>
      </c>
      <c r="T30" s="12">
        <f t="shared" si="0"/>
        <v>42</v>
      </c>
      <c r="U30" s="12">
        <f t="shared" si="11"/>
        <v>0</v>
      </c>
      <c r="V30" s="12">
        <f t="shared" si="1"/>
        <v>0</v>
      </c>
      <c r="W30" s="12">
        <f t="shared" si="2"/>
        <v>0</v>
      </c>
      <c r="X30" s="12">
        <f t="shared" si="3"/>
        <v>0</v>
      </c>
      <c r="Y30" s="12">
        <f t="shared" si="4"/>
        <v>1.8018018018018018E-2</v>
      </c>
      <c r="Z30" s="12">
        <f t="shared" si="5"/>
        <v>3.2520325203252036E-2</v>
      </c>
      <c r="AA30" s="12">
        <f t="shared" si="6"/>
        <v>4.6153846153846156E-2</v>
      </c>
      <c r="AB30" s="12">
        <f t="shared" si="7"/>
        <v>4.3478260869565216E-2</v>
      </c>
      <c r="AC30" s="12">
        <f t="shared" si="8"/>
        <v>9.5238095238095247E-3</v>
      </c>
      <c r="AD30" s="12">
        <f t="shared" si="9"/>
        <v>6.3829787234042548E-2</v>
      </c>
      <c r="AE30" s="12">
        <f t="shared" si="10"/>
        <v>0</v>
      </c>
    </row>
    <row r="31" spans="2:31">
      <c r="B31" s="19">
        <v>43</v>
      </c>
      <c r="C31" s="20"/>
      <c r="D31" s="20"/>
      <c r="E31" s="20"/>
      <c r="F31" s="20"/>
      <c r="G31" s="23">
        <v>1</v>
      </c>
      <c r="H31" s="13">
        <v>3</v>
      </c>
      <c r="I31" s="20">
        <v>10</v>
      </c>
      <c r="J31" s="20">
        <v>7</v>
      </c>
      <c r="K31" s="20">
        <v>3</v>
      </c>
      <c r="M31" s="20"/>
      <c r="N31" s="20"/>
      <c r="O31" s="20"/>
      <c r="P31" s="20"/>
      <c r="Q31" s="20"/>
      <c r="R31" s="19">
        <f t="shared" si="12"/>
        <v>24</v>
      </c>
      <c r="T31" s="12">
        <f t="shared" si="0"/>
        <v>43</v>
      </c>
      <c r="U31" s="12">
        <f t="shared" si="11"/>
        <v>0</v>
      </c>
      <c r="V31" s="12">
        <f t="shared" si="1"/>
        <v>0</v>
      </c>
      <c r="W31" s="12">
        <f t="shared" si="2"/>
        <v>0</v>
      </c>
      <c r="X31" s="12">
        <f t="shared" si="3"/>
        <v>0</v>
      </c>
      <c r="Y31" s="12">
        <f t="shared" si="4"/>
        <v>4.5045045045045045E-3</v>
      </c>
      <c r="Z31" s="12">
        <f t="shared" si="5"/>
        <v>1.2195121951219513E-2</v>
      </c>
      <c r="AA31" s="12">
        <f t="shared" si="6"/>
        <v>5.128205128205128E-2</v>
      </c>
      <c r="AB31" s="12">
        <f t="shared" si="7"/>
        <v>6.0869565217391307E-2</v>
      </c>
      <c r="AC31" s="12">
        <f t="shared" si="8"/>
        <v>2.8571428571428571E-2</v>
      </c>
      <c r="AD31" s="12">
        <f t="shared" si="9"/>
        <v>0</v>
      </c>
      <c r="AE31" s="12">
        <f t="shared" si="10"/>
        <v>0</v>
      </c>
    </row>
    <row r="32" spans="2:31">
      <c r="B32" s="19">
        <v>44</v>
      </c>
      <c r="C32" s="20"/>
      <c r="D32" s="20"/>
      <c r="E32" s="20"/>
      <c r="F32" s="20"/>
      <c r="G32" s="20"/>
      <c r="H32" s="20">
        <v>3</v>
      </c>
      <c r="I32" s="20">
        <v>6</v>
      </c>
      <c r="J32" s="20">
        <v>9</v>
      </c>
      <c r="K32" s="20">
        <v>4</v>
      </c>
      <c r="L32" s="20">
        <v>2</v>
      </c>
      <c r="M32" s="20"/>
      <c r="N32" s="20"/>
      <c r="O32" s="20"/>
      <c r="P32" s="20"/>
      <c r="Q32" s="20"/>
      <c r="R32" s="19">
        <f t="shared" si="12"/>
        <v>24</v>
      </c>
      <c r="T32" s="12">
        <f t="shared" si="0"/>
        <v>44</v>
      </c>
      <c r="U32" s="12">
        <f t="shared" si="11"/>
        <v>0</v>
      </c>
      <c r="V32" s="12">
        <f t="shared" si="1"/>
        <v>0</v>
      </c>
      <c r="W32" s="12">
        <f t="shared" si="2"/>
        <v>0</v>
      </c>
      <c r="X32" s="12">
        <f t="shared" si="3"/>
        <v>0</v>
      </c>
      <c r="Y32" s="12">
        <f t="shared" si="4"/>
        <v>0</v>
      </c>
      <c r="Z32" s="12">
        <f t="shared" si="5"/>
        <v>1.2195121951219513E-2</v>
      </c>
      <c r="AA32" s="12">
        <f t="shared" si="6"/>
        <v>3.0769230769230771E-2</v>
      </c>
      <c r="AB32" s="12">
        <f t="shared" si="7"/>
        <v>7.8260869565217397E-2</v>
      </c>
      <c r="AC32" s="12">
        <f t="shared" si="8"/>
        <v>3.8095238095238099E-2</v>
      </c>
      <c r="AD32" s="12">
        <f t="shared" si="9"/>
        <v>4.2553191489361701E-2</v>
      </c>
      <c r="AE32" s="12">
        <f t="shared" si="10"/>
        <v>0</v>
      </c>
    </row>
    <row r="33" spans="2:31">
      <c r="B33" s="19">
        <v>45</v>
      </c>
      <c r="C33" s="20"/>
      <c r="D33" s="20"/>
      <c r="E33" s="20"/>
      <c r="F33" s="20"/>
      <c r="G33" s="20"/>
      <c r="H33" s="20">
        <v>2</v>
      </c>
      <c r="I33" s="20">
        <v>2</v>
      </c>
      <c r="J33" s="20">
        <v>8</v>
      </c>
      <c r="K33" s="20">
        <v>12</v>
      </c>
      <c r="L33" s="20">
        <v>1</v>
      </c>
      <c r="M33" s="20">
        <v>1</v>
      </c>
      <c r="N33" s="20"/>
      <c r="O33" s="20"/>
      <c r="P33" s="20"/>
      <c r="Q33" s="20"/>
      <c r="R33" s="19">
        <f t="shared" si="12"/>
        <v>26</v>
      </c>
      <c r="T33" s="12">
        <f t="shared" si="0"/>
        <v>45</v>
      </c>
      <c r="U33" s="12">
        <f t="shared" si="11"/>
        <v>0</v>
      </c>
      <c r="V33" s="12">
        <f t="shared" si="1"/>
        <v>0</v>
      </c>
      <c r="W33" s="12">
        <f t="shared" si="2"/>
        <v>0</v>
      </c>
      <c r="X33" s="12">
        <f t="shared" si="3"/>
        <v>0</v>
      </c>
      <c r="Y33" s="12">
        <f t="shared" si="4"/>
        <v>0</v>
      </c>
      <c r="Z33" s="12">
        <f t="shared" si="5"/>
        <v>8.130081300813009E-3</v>
      </c>
      <c r="AA33" s="12">
        <f t="shared" si="6"/>
        <v>1.0256410256410256E-2</v>
      </c>
      <c r="AB33" s="12">
        <f t="shared" si="7"/>
        <v>6.9565217391304349E-2</v>
      </c>
      <c r="AC33" s="12">
        <f t="shared" si="8"/>
        <v>0.11428571428571428</v>
      </c>
      <c r="AD33" s="12">
        <f t="shared" si="9"/>
        <v>2.1276595744680851E-2</v>
      </c>
      <c r="AE33" s="12">
        <f t="shared" si="10"/>
        <v>4.5454545454545456E-2</v>
      </c>
    </row>
    <row r="34" spans="2:31">
      <c r="B34" s="19">
        <v>46</v>
      </c>
      <c r="C34" s="20"/>
      <c r="D34" s="20"/>
      <c r="E34" s="20"/>
      <c r="F34" s="20"/>
      <c r="G34" s="20"/>
      <c r="H34" s="20"/>
      <c r="I34" s="20">
        <v>4</v>
      </c>
      <c r="J34" s="20">
        <v>9</v>
      </c>
      <c r="K34" s="20">
        <v>8</v>
      </c>
      <c r="L34" s="20">
        <v>5</v>
      </c>
      <c r="M34" s="20">
        <v>1</v>
      </c>
      <c r="N34" s="20"/>
      <c r="O34" s="20">
        <v>1</v>
      </c>
      <c r="P34" s="20"/>
      <c r="Q34" s="20"/>
      <c r="R34" s="19">
        <f t="shared" si="12"/>
        <v>28</v>
      </c>
      <c r="T34" s="12">
        <f t="shared" si="0"/>
        <v>46</v>
      </c>
      <c r="U34" s="12">
        <f t="shared" si="11"/>
        <v>0</v>
      </c>
      <c r="V34" s="12">
        <f t="shared" si="1"/>
        <v>0</v>
      </c>
      <c r="W34" s="12">
        <f t="shared" si="2"/>
        <v>0</v>
      </c>
      <c r="X34" s="12">
        <f t="shared" si="3"/>
        <v>0</v>
      </c>
      <c r="Y34" s="12">
        <f t="shared" si="4"/>
        <v>0</v>
      </c>
      <c r="Z34" s="12">
        <f t="shared" si="5"/>
        <v>0</v>
      </c>
      <c r="AA34" s="12">
        <f t="shared" si="6"/>
        <v>2.0512820512820513E-2</v>
      </c>
      <c r="AB34" s="12">
        <f t="shared" si="7"/>
        <v>7.8260869565217397E-2</v>
      </c>
      <c r="AC34" s="12">
        <f t="shared" si="8"/>
        <v>7.6190476190476197E-2</v>
      </c>
      <c r="AD34" s="12">
        <f t="shared" si="9"/>
        <v>0.10638297872340426</v>
      </c>
      <c r="AE34" s="12">
        <f t="shared" si="10"/>
        <v>4.5454545454545456E-2</v>
      </c>
    </row>
    <row r="35" spans="2:31">
      <c r="B35" s="19">
        <v>47</v>
      </c>
      <c r="C35" s="20"/>
      <c r="D35" s="20"/>
      <c r="E35" s="20"/>
      <c r="F35" s="20"/>
      <c r="G35" s="20"/>
      <c r="H35" s="20">
        <v>2</v>
      </c>
      <c r="I35" s="20">
        <v>3</v>
      </c>
      <c r="J35" s="20">
        <v>7</v>
      </c>
      <c r="K35" s="20">
        <v>7</v>
      </c>
      <c r="L35" s="20">
        <v>7</v>
      </c>
      <c r="M35" s="13">
        <v>1</v>
      </c>
      <c r="O35" s="20"/>
      <c r="P35" s="20"/>
      <c r="Q35" s="20"/>
      <c r="R35" s="19">
        <f t="shared" si="12"/>
        <v>27</v>
      </c>
      <c r="T35" s="12">
        <f t="shared" si="0"/>
        <v>47</v>
      </c>
      <c r="U35" s="12">
        <f t="shared" si="11"/>
        <v>0</v>
      </c>
      <c r="V35" s="12">
        <f t="shared" si="1"/>
        <v>0</v>
      </c>
      <c r="W35" s="12">
        <f t="shared" si="2"/>
        <v>0</v>
      </c>
      <c r="X35" s="12">
        <f t="shared" si="3"/>
        <v>0</v>
      </c>
      <c r="Y35" s="12">
        <f t="shared" si="4"/>
        <v>0</v>
      </c>
      <c r="Z35" s="12">
        <f t="shared" si="5"/>
        <v>8.130081300813009E-3</v>
      </c>
      <c r="AA35" s="12">
        <f t="shared" si="6"/>
        <v>1.5384615384615385E-2</v>
      </c>
      <c r="AB35" s="12">
        <f t="shared" si="7"/>
        <v>6.0869565217391307E-2</v>
      </c>
      <c r="AC35" s="12">
        <f t="shared" si="8"/>
        <v>6.6666666666666666E-2</v>
      </c>
      <c r="AD35" s="12">
        <f t="shared" si="9"/>
        <v>0.14893617021276595</v>
      </c>
      <c r="AE35" s="12">
        <f t="shared" si="10"/>
        <v>4.5454545454545456E-2</v>
      </c>
    </row>
    <row r="36" spans="2:31">
      <c r="B36" s="19">
        <v>48</v>
      </c>
      <c r="C36" s="20"/>
      <c r="D36" s="20"/>
      <c r="E36" s="20"/>
      <c r="F36" s="20"/>
      <c r="G36" s="20"/>
      <c r="H36" s="20">
        <v>2</v>
      </c>
      <c r="I36" s="20">
        <v>7</v>
      </c>
      <c r="J36" s="20">
        <v>4</v>
      </c>
      <c r="K36" s="20">
        <v>5</v>
      </c>
      <c r="L36" s="20">
        <v>6</v>
      </c>
      <c r="M36" s="20">
        <v>1</v>
      </c>
      <c r="N36" s="20"/>
      <c r="O36" s="20"/>
      <c r="P36" s="20"/>
      <c r="Q36" s="20"/>
      <c r="R36" s="19">
        <f t="shared" si="12"/>
        <v>25</v>
      </c>
      <c r="T36" s="12">
        <f t="shared" si="0"/>
        <v>48</v>
      </c>
      <c r="U36" s="12">
        <f t="shared" si="11"/>
        <v>0</v>
      </c>
      <c r="V36" s="12">
        <f t="shared" si="1"/>
        <v>0</v>
      </c>
      <c r="W36" s="12">
        <f t="shared" si="2"/>
        <v>0</v>
      </c>
      <c r="X36" s="12">
        <f t="shared" si="3"/>
        <v>0</v>
      </c>
      <c r="Y36" s="12">
        <f t="shared" si="4"/>
        <v>0</v>
      </c>
      <c r="Z36" s="12">
        <f t="shared" si="5"/>
        <v>8.130081300813009E-3</v>
      </c>
      <c r="AA36" s="12">
        <f t="shared" si="6"/>
        <v>3.5897435897435895E-2</v>
      </c>
      <c r="AB36" s="12">
        <f t="shared" si="7"/>
        <v>3.4782608695652174E-2</v>
      </c>
      <c r="AC36" s="12">
        <f t="shared" si="8"/>
        <v>4.7619047619047616E-2</v>
      </c>
      <c r="AD36" s="12">
        <f t="shared" si="9"/>
        <v>0.1276595744680851</v>
      </c>
      <c r="AE36" s="12">
        <f t="shared" si="10"/>
        <v>4.5454545454545456E-2</v>
      </c>
    </row>
    <row r="37" spans="2:31">
      <c r="B37" s="19">
        <v>49</v>
      </c>
      <c r="C37" s="20"/>
      <c r="D37" s="20"/>
      <c r="E37" s="20"/>
      <c r="F37" s="20"/>
      <c r="G37" s="20"/>
      <c r="H37" s="20">
        <v>2</v>
      </c>
      <c r="I37" s="20">
        <v>3</v>
      </c>
      <c r="J37" s="20">
        <v>4</v>
      </c>
      <c r="K37" s="20">
        <v>9</v>
      </c>
      <c r="L37" s="20">
        <v>3</v>
      </c>
      <c r="M37" s="20">
        <v>1</v>
      </c>
      <c r="N37" s="20"/>
      <c r="O37" s="20">
        <v>2</v>
      </c>
      <c r="P37" s="20"/>
      <c r="Q37" s="20"/>
      <c r="R37" s="19">
        <f t="shared" si="12"/>
        <v>24</v>
      </c>
      <c r="T37" s="12">
        <f t="shared" si="0"/>
        <v>49</v>
      </c>
      <c r="U37" s="12">
        <f t="shared" si="11"/>
        <v>0</v>
      </c>
      <c r="V37" s="12">
        <f t="shared" si="1"/>
        <v>0</v>
      </c>
      <c r="W37" s="12">
        <f t="shared" si="2"/>
        <v>0</v>
      </c>
      <c r="X37" s="12">
        <f t="shared" si="3"/>
        <v>0</v>
      </c>
      <c r="Y37" s="12">
        <f t="shared" si="4"/>
        <v>0</v>
      </c>
      <c r="Z37" s="12">
        <f t="shared" si="5"/>
        <v>8.130081300813009E-3</v>
      </c>
      <c r="AA37" s="12">
        <f t="shared" si="6"/>
        <v>1.5384615384615385E-2</v>
      </c>
      <c r="AB37" s="12">
        <f t="shared" si="7"/>
        <v>3.4782608695652174E-2</v>
      </c>
      <c r="AC37" s="12">
        <f t="shared" si="8"/>
        <v>8.5714285714285715E-2</v>
      </c>
      <c r="AD37" s="12">
        <f t="shared" si="9"/>
        <v>6.3829787234042548E-2</v>
      </c>
      <c r="AE37" s="12">
        <f t="shared" si="10"/>
        <v>4.5454545454545456E-2</v>
      </c>
    </row>
    <row r="38" spans="2:31">
      <c r="B38" s="19">
        <v>50</v>
      </c>
      <c r="C38" s="20"/>
      <c r="D38" s="20"/>
      <c r="E38" s="20"/>
      <c r="F38" s="20"/>
      <c r="G38" s="20"/>
      <c r="H38" s="20"/>
      <c r="I38" s="20">
        <v>2</v>
      </c>
      <c r="J38" s="20">
        <v>5</v>
      </c>
      <c r="K38" s="20">
        <v>9</v>
      </c>
      <c r="L38" s="20">
        <v>5</v>
      </c>
      <c r="M38" s="20">
        <v>2</v>
      </c>
      <c r="N38" s="20"/>
      <c r="O38" s="20">
        <v>1</v>
      </c>
      <c r="P38" s="20"/>
      <c r="Q38" s="20"/>
      <c r="R38" s="19">
        <f t="shared" si="12"/>
        <v>24</v>
      </c>
      <c r="T38" s="12">
        <f t="shared" si="0"/>
        <v>50</v>
      </c>
      <c r="U38" s="12">
        <f t="shared" si="11"/>
        <v>0</v>
      </c>
      <c r="V38" s="12">
        <f t="shared" si="1"/>
        <v>0</v>
      </c>
      <c r="W38" s="12">
        <f t="shared" si="2"/>
        <v>0</v>
      </c>
      <c r="X38" s="12">
        <f t="shared" si="3"/>
        <v>0</v>
      </c>
      <c r="Y38" s="12">
        <f t="shared" si="4"/>
        <v>0</v>
      </c>
      <c r="Z38" s="12">
        <f t="shared" si="5"/>
        <v>0</v>
      </c>
      <c r="AA38" s="12">
        <f t="shared" si="6"/>
        <v>1.0256410256410256E-2</v>
      </c>
      <c r="AB38" s="12">
        <f t="shared" si="7"/>
        <v>4.3478260869565216E-2</v>
      </c>
      <c r="AC38" s="12">
        <f t="shared" si="8"/>
        <v>8.5714285714285715E-2</v>
      </c>
      <c r="AD38" s="12">
        <f t="shared" si="9"/>
        <v>0.10638297872340426</v>
      </c>
      <c r="AE38" s="12">
        <f t="shared" si="10"/>
        <v>9.0909090909090912E-2</v>
      </c>
    </row>
    <row r="39" spans="2:31">
      <c r="B39" s="19">
        <v>51</v>
      </c>
      <c r="C39" s="20"/>
      <c r="D39" s="20"/>
      <c r="E39" s="20"/>
      <c r="F39" s="20"/>
      <c r="G39" s="20"/>
      <c r="H39" s="20"/>
      <c r="I39" s="20">
        <v>2</v>
      </c>
      <c r="J39" s="20">
        <v>1</v>
      </c>
      <c r="K39" s="20">
        <v>5</v>
      </c>
      <c r="L39" s="20">
        <v>7</v>
      </c>
      <c r="M39" s="20">
        <v>4</v>
      </c>
      <c r="N39" s="20"/>
      <c r="O39" s="20">
        <v>2</v>
      </c>
      <c r="P39" s="20"/>
      <c r="Q39" s="20"/>
      <c r="R39" s="19">
        <f t="shared" si="12"/>
        <v>21</v>
      </c>
      <c r="T39" s="12">
        <f t="shared" si="0"/>
        <v>51</v>
      </c>
      <c r="U39" s="12">
        <f t="shared" si="11"/>
        <v>0</v>
      </c>
      <c r="V39" s="12">
        <f t="shared" si="1"/>
        <v>0</v>
      </c>
      <c r="W39" s="12">
        <f t="shared" si="2"/>
        <v>0</v>
      </c>
      <c r="X39" s="12">
        <f t="shared" si="3"/>
        <v>0</v>
      </c>
      <c r="Y39" s="12">
        <f t="shared" si="4"/>
        <v>0</v>
      </c>
      <c r="Z39" s="12">
        <f t="shared" si="5"/>
        <v>0</v>
      </c>
      <c r="AA39" s="12">
        <f t="shared" si="6"/>
        <v>1.0256410256410256E-2</v>
      </c>
      <c r="AB39" s="12">
        <f t="shared" si="7"/>
        <v>8.6956521739130436E-3</v>
      </c>
      <c r="AC39" s="12">
        <f t="shared" si="8"/>
        <v>4.7619047619047616E-2</v>
      </c>
      <c r="AD39" s="12">
        <f t="shared" si="9"/>
        <v>0.14893617021276595</v>
      </c>
      <c r="AE39" s="12">
        <f t="shared" si="10"/>
        <v>0.18181818181818182</v>
      </c>
    </row>
    <row r="40" spans="2:31">
      <c r="B40" s="19">
        <v>52</v>
      </c>
      <c r="C40" s="20"/>
      <c r="D40" s="20"/>
      <c r="E40" s="20"/>
      <c r="F40" s="20"/>
      <c r="G40" s="20"/>
      <c r="H40" s="20"/>
      <c r="I40" s="20">
        <v>2</v>
      </c>
      <c r="J40" s="20">
        <v>2</v>
      </c>
      <c r="K40" s="20">
        <v>4</v>
      </c>
      <c r="L40" s="20">
        <v>3</v>
      </c>
      <c r="M40" s="20">
        <v>3</v>
      </c>
      <c r="N40" s="20"/>
      <c r="O40" s="20">
        <v>2</v>
      </c>
      <c r="P40" s="20"/>
      <c r="Q40" s="20"/>
      <c r="R40" s="19">
        <f t="shared" si="12"/>
        <v>16</v>
      </c>
      <c r="T40" s="12">
        <f t="shared" si="0"/>
        <v>52</v>
      </c>
      <c r="U40" s="12">
        <f t="shared" si="11"/>
        <v>0</v>
      </c>
      <c r="V40" s="12">
        <f t="shared" si="1"/>
        <v>0</v>
      </c>
      <c r="W40" s="12">
        <f t="shared" si="2"/>
        <v>0</v>
      </c>
      <c r="X40" s="12">
        <f t="shared" si="3"/>
        <v>0</v>
      </c>
      <c r="Y40" s="12">
        <f t="shared" si="4"/>
        <v>0</v>
      </c>
      <c r="Z40" s="12">
        <f t="shared" si="5"/>
        <v>0</v>
      </c>
      <c r="AA40" s="12">
        <f t="shared" si="6"/>
        <v>1.0256410256410256E-2</v>
      </c>
      <c r="AB40" s="12">
        <f t="shared" si="7"/>
        <v>1.7391304347826087E-2</v>
      </c>
      <c r="AC40" s="12">
        <f t="shared" si="8"/>
        <v>3.8095238095238099E-2</v>
      </c>
      <c r="AD40" s="12">
        <f t="shared" si="9"/>
        <v>6.3829787234042548E-2</v>
      </c>
      <c r="AE40" s="12">
        <f t="shared" si="10"/>
        <v>0.13636363636363635</v>
      </c>
    </row>
    <row r="41" spans="2:31">
      <c r="B41" s="19">
        <v>53</v>
      </c>
      <c r="C41" s="20"/>
      <c r="D41" s="20"/>
      <c r="E41" s="20"/>
      <c r="F41" s="20"/>
      <c r="G41" s="20"/>
      <c r="H41" s="20"/>
      <c r="I41" s="20"/>
      <c r="J41" s="20">
        <v>2</v>
      </c>
      <c r="K41" s="20">
        <v>8</v>
      </c>
      <c r="L41" s="20"/>
      <c r="M41" s="20">
        <v>1</v>
      </c>
      <c r="N41" s="20"/>
      <c r="O41" s="20">
        <v>2</v>
      </c>
      <c r="P41" s="20"/>
      <c r="Q41" s="20"/>
      <c r="R41" s="19">
        <f t="shared" si="12"/>
        <v>13</v>
      </c>
      <c r="T41" s="12">
        <f t="shared" si="0"/>
        <v>53</v>
      </c>
      <c r="U41" s="12">
        <f t="shared" si="11"/>
        <v>0</v>
      </c>
      <c r="V41" s="12">
        <f t="shared" si="1"/>
        <v>0</v>
      </c>
      <c r="W41" s="12">
        <f t="shared" si="2"/>
        <v>0</v>
      </c>
      <c r="X41" s="12">
        <f t="shared" si="3"/>
        <v>0</v>
      </c>
      <c r="Y41" s="12">
        <f t="shared" si="4"/>
        <v>0</v>
      </c>
      <c r="Z41" s="12">
        <f t="shared" si="5"/>
        <v>0</v>
      </c>
      <c r="AA41" s="12">
        <f t="shared" si="6"/>
        <v>0</v>
      </c>
      <c r="AB41" s="12">
        <f t="shared" si="7"/>
        <v>1.7391304347826087E-2</v>
      </c>
      <c r="AC41" s="12">
        <f t="shared" si="8"/>
        <v>7.6190476190476197E-2</v>
      </c>
      <c r="AD41" s="12">
        <f t="shared" si="9"/>
        <v>0</v>
      </c>
      <c r="AE41" s="12">
        <f t="shared" si="10"/>
        <v>4.5454545454545456E-2</v>
      </c>
    </row>
    <row r="42" spans="2:31">
      <c r="B42" s="19">
        <v>54</v>
      </c>
      <c r="C42" s="20"/>
      <c r="D42" s="20"/>
      <c r="E42" s="20"/>
      <c r="F42" s="20"/>
      <c r="G42" s="20"/>
      <c r="H42" s="20"/>
      <c r="I42" s="20"/>
      <c r="J42" s="20"/>
      <c r="K42" s="20">
        <v>2</v>
      </c>
      <c r="L42" s="20">
        <v>2</v>
      </c>
      <c r="M42" s="20">
        <v>3</v>
      </c>
      <c r="N42" s="20"/>
      <c r="O42" s="20">
        <v>2</v>
      </c>
      <c r="P42" s="20">
        <v>1</v>
      </c>
      <c r="Q42" s="20"/>
      <c r="R42" s="19">
        <f t="shared" si="12"/>
        <v>10</v>
      </c>
      <c r="T42" s="12">
        <f t="shared" si="0"/>
        <v>54</v>
      </c>
      <c r="U42" s="12">
        <f t="shared" si="11"/>
        <v>0</v>
      </c>
      <c r="V42" s="12">
        <f t="shared" si="1"/>
        <v>0</v>
      </c>
      <c r="W42" s="12">
        <f t="shared" si="2"/>
        <v>0</v>
      </c>
      <c r="X42" s="12">
        <f t="shared" si="3"/>
        <v>0</v>
      </c>
      <c r="Y42" s="12">
        <f t="shared" si="4"/>
        <v>0</v>
      </c>
      <c r="Z42" s="12">
        <f t="shared" si="5"/>
        <v>0</v>
      </c>
      <c r="AA42" s="12">
        <f t="shared" si="6"/>
        <v>0</v>
      </c>
      <c r="AB42" s="12">
        <f t="shared" si="7"/>
        <v>0</v>
      </c>
      <c r="AC42" s="12">
        <f t="shared" si="8"/>
        <v>1.9047619047619049E-2</v>
      </c>
      <c r="AD42" s="12">
        <f t="shared" si="9"/>
        <v>4.2553191489361701E-2</v>
      </c>
      <c r="AE42" s="12">
        <f t="shared" si="10"/>
        <v>0.13636363636363635</v>
      </c>
    </row>
    <row r="43" spans="2:31">
      <c r="B43" s="19">
        <v>55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>
        <v>2</v>
      </c>
      <c r="N43" s="20"/>
      <c r="O43" s="20">
        <v>2</v>
      </c>
      <c r="P43" s="20">
        <v>1</v>
      </c>
      <c r="Q43" s="20"/>
      <c r="R43" s="19">
        <f t="shared" si="12"/>
        <v>5</v>
      </c>
      <c r="T43" s="12">
        <f t="shared" si="0"/>
        <v>55</v>
      </c>
      <c r="U43" s="12">
        <f t="shared" si="11"/>
        <v>0</v>
      </c>
      <c r="V43" s="12">
        <f t="shared" si="1"/>
        <v>0</v>
      </c>
      <c r="W43" s="12">
        <f t="shared" si="2"/>
        <v>0</v>
      </c>
      <c r="X43" s="12">
        <f t="shared" si="3"/>
        <v>0</v>
      </c>
      <c r="Y43" s="12">
        <f t="shared" si="4"/>
        <v>0</v>
      </c>
      <c r="Z43" s="12">
        <f t="shared" si="5"/>
        <v>0</v>
      </c>
      <c r="AA43" s="12">
        <f t="shared" si="6"/>
        <v>0</v>
      </c>
      <c r="AB43" s="12">
        <f t="shared" si="7"/>
        <v>0</v>
      </c>
      <c r="AC43" s="12">
        <f t="shared" si="8"/>
        <v>0</v>
      </c>
      <c r="AD43" s="12">
        <f t="shared" si="9"/>
        <v>0</v>
      </c>
      <c r="AE43" s="12">
        <f t="shared" si="10"/>
        <v>9.0909090909090912E-2</v>
      </c>
    </row>
    <row r="44" spans="2:31">
      <c r="B44" s="19">
        <v>56</v>
      </c>
      <c r="C44" s="20"/>
      <c r="D44" s="20"/>
      <c r="E44" s="20"/>
      <c r="F44" s="20"/>
      <c r="G44" s="20"/>
      <c r="H44" s="20"/>
      <c r="I44" s="20"/>
      <c r="K44" s="20">
        <v>2</v>
      </c>
      <c r="L44" s="20">
        <v>2</v>
      </c>
      <c r="M44" s="20">
        <v>1</v>
      </c>
      <c r="N44" s="20"/>
      <c r="O44" s="20"/>
      <c r="P44" s="20"/>
      <c r="Q44" s="20"/>
      <c r="R44" s="19">
        <f t="shared" si="12"/>
        <v>5</v>
      </c>
      <c r="T44" s="12">
        <f t="shared" si="0"/>
        <v>56</v>
      </c>
      <c r="U44" s="12">
        <f t="shared" si="11"/>
        <v>0</v>
      </c>
      <c r="V44" s="12">
        <f t="shared" si="1"/>
        <v>0</v>
      </c>
      <c r="W44" s="12">
        <f t="shared" si="2"/>
        <v>0</v>
      </c>
      <c r="X44" s="12">
        <f t="shared" si="3"/>
        <v>0</v>
      </c>
      <c r="Y44" s="12">
        <f t="shared" si="4"/>
        <v>0</v>
      </c>
      <c r="Z44" s="12">
        <f t="shared" si="5"/>
        <v>0</v>
      </c>
      <c r="AA44" s="12">
        <f t="shared" si="6"/>
        <v>0</v>
      </c>
      <c r="AB44" s="12">
        <f t="shared" si="7"/>
        <v>0</v>
      </c>
      <c r="AC44" s="12">
        <f t="shared" si="8"/>
        <v>1.9047619047619049E-2</v>
      </c>
      <c r="AD44" s="12">
        <f t="shared" si="9"/>
        <v>4.2553191489361701E-2</v>
      </c>
      <c r="AE44" s="12">
        <f t="shared" si="10"/>
        <v>4.5454545454545456E-2</v>
      </c>
    </row>
    <row r="45" spans="2:31">
      <c r="B45" s="19">
        <v>57</v>
      </c>
      <c r="C45" s="20"/>
      <c r="D45" s="20"/>
      <c r="E45" s="20"/>
      <c r="F45" s="20"/>
      <c r="G45" s="20"/>
      <c r="H45" s="20"/>
      <c r="I45" s="20"/>
      <c r="J45" s="20"/>
      <c r="K45" s="20"/>
      <c r="L45" s="20">
        <v>1</v>
      </c>
      <c r="M45" s="20"/>
      <c r="N45" s="20"/>
      <c r="O45" s="20">
        <v>1</v>
      </c>
      <c r="P45" s="20"/>
      <c r="Q45" s="20"/>
      <c r="R45" s="19">
        <f t="shared" si="12"/>
        <v>2</v>
      </c>
      <c r="T45" s="12">
        <f t="shared" si="0"/>
        <v>57</v>
      </c>
      <c r="U45" s="12">
        <f t="shared" si="11"/>
        <v>0</v>
      </c>
      <c r="V45" s="12">
        <f t="shared" si="1"/>
        <v>0</v>
      </c>
      <c r="W45" s="12">
        <f t="shared" si="2"/>
        <v>0</v>
      </c>
      <c r="X45" s="12">
        <f t="shared" si="3"/>
        <v>0</v>
      </c>
      <c r="Y45" s="12">
        <f t="shared" si="4"/>
        <v>0</v>
      </c>
      <c r="Z45" s="12">
        <f t="shared" si="5"/>
        <v>0</v>
      </c>
      <c r="AA45" s="12">
        <f t="shared" si="6"/>
        <v>0</v>
      </c>
      <c r="AB45" s="12">
        <f t="shared" si="7"/>
        <v>0</v>
      </c>
      <c r="AC45" s="12">
        <f t="shared" si="8"/>
        <v>0</v>
      </c>
      <c r="AD45" s="12">
        <f t="shared" si="9"/>
        <v>2.1276595744680851E-2</v>
      </c>
      <c r="AE45" s="12">
        <f t="shared" si="10"/>
        <v>0</v>
      </c>
    </row>
    <row r="46" spans="2:31">
      <c r="B46" s="19">
        <v>58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>
        <v>1</v>
      </c>
      <c r="N46" s="20"/>
      <c r="O46" s="20"/>
      <c r="P46" s="20"/>
      <c r="Q46" s="20"/>
      <c r="R46" s="19">
        <f t="shared" si="12"/>
        <v>1</v>
      </c>
      <c r="T46" s="12">
        <f t="shared" si="0"/>
        <v>58</v>
      </c>
      <c r="U46" s="12">
        <f t="shared" si="11"/>
        <v>0</v>
      </c>
      <c r="V46" s="12">
        <f t="shared" si="1"/>
        <v>0</v>
      </c>
      <c r="W46" s="12">
        <f t="shared" si="2"/>
        <v>0</v>
      </c>
      <c r="X46" s="12">
        <f t="shared" si="3"/>
        <v>0</v>
      </c>
      <c r="Y46" s="12">
        <f t="shared" si="4"/>
        <v>0</v>
      </c>
      <c r="Z46" s="12">
        <f t="shared" si="5"/>
        <v>0</v>
      </c>
      <c r="AA46" s="12">
        <f t="shared" si="6"/>
        <v>0</v>
      </c>
      <c r="AB46" s="12">
        <f t="shared" si="7"/>
        <v>0</v>
      </c>
      <c r="AC46" s="12">
        <f t="shared" si="8"/>
        <v>0</v>
      </c>
      <c r="AD46" s="12">
        <f t="shared" si="9"/>
        <v>0</v>
      </c>
      <c r="AE46" s="12">
        <f t="shared" si="10"/>
        <v>4.5454545454545456E-2</v>
      </c>
    </row>
    <row r="47" spans="2:31">
      <c r="B47" s="19">
        <v>59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9">
        <f t="shared" si="12"/>
        <v>0</v>
      </c>
      <c r="T47" s="12">
        <f t="shared" si="0"/>
        <v>59</v>
      </c>
      <c r="U47" s="12">
        <f t="shared" si="11"/>
        <v>0</v>
      </c>
      <c r="V47" s="12">
        <f t="shared" si="1"/>
        <v>0</v>
      </c>
      <c r="W47" s="12">
        <f t="shared" si="2"/>
        <v>0</v>
      </c>
      <c r="X47" s="12">
        <f t="shared" si="3"/>
        <v>0</v>
      </c>
      <c r="Y47" s="12">
        <f t="shared" si="4"/>
        <v>0</v>
      </c>
      <c r="Z47" s="12">
        <f t="shared" si="5"/>
        <v>0</v>
      </c>
      <c r="AA47" s="12">
        <f t="shared" si="6"/>
        <v>0</v>
      </c>
      <c r="AB47" s="12">
        <f t="shared" si="7"/>
        <v>0</v>
      </c>
      <c r="AC47" s="12">
        <f t="shared" si="8"/>
        <v>0</v>
      </c>
      <c r="AD47" s="12">
        <f t="shared" si="9"/>
        <v>0</v>
      </c>
      <c r="AE47" s="12">
        <f t="shared" si="10"/>
        <v>0</v>
      </c>
    </row>
    <row r="48" spans="2:31">
      <c r="B48" s="19">
        <v>60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>
        <v>1</v>
      </c>
      <c r="Q48" s="20"/>
      <c r="R48" s="19">
        <f t="shared" si="12"/>
        <v>1</v>
      </c>
      <c r="T48" s="12">
        <f t="shared" si="0"/>
        <v>60</v>
      </c>
      <c r="U48" s="12">
        <f t="shared" si="11"/>
        <v>0</v>
      </c>
      <c r="V48" s="12">
        <f t="shared" si="1"/>
        <v>0</v>
      </c>
      <c r="W48" s="12">
        <f t="shared" si="2"/>
        <v>0</v>
      </c>
      <c r="X48" s="12">
        <f t="shared" si="3"/>
        <v>0</v>
      </c>
      <c r="Y48" s="12">
        <f t="shared" si="4"/>
        <v>0</v>
      </c>
      <c r="Z48" s="12">
        <f t="shared" si="5"/>
        <v>0</v>
      </c>
      <c r="AA48" s="12">
        <f t="shared" si="6"/>
        <v>0</v>
      </c>
      <c r="AB48" s="12">
        <f t="shared" si="7"/>
        <v>0</v>
      </c>
      <c r="AC48" s="12">
        <f t="shared" si="8"/>
        <v>0</v>
      </c>
      <c r="AD48" s="12">
        <f t="shared" si="9"/>
        <v>0</v>
      </c>
      <c r="AE48" s="12">
        <f t="shared" si="10"/>
        <v>0</v>
      </c>
    </row>
    <row r="49" spans="2:18">
      <c r="B49" s="17" t="s">
        <v>7</v>
      </c>
      <c r="C49" s="17">
        <f t="shared" ref="C49:Q49" si="13">SUM(C10:C48)</f>
        <v>27</v>
      </c>
      <c r="D49" s="17">
        <f t="shared" si="13"/>
        <v>82</v>
      </c>
      <c r="E49" s="17">
        <f t="shared" si="13"/>
        <v>168</v>
      </c>
      <c r="F49" s="17">
        <f t="shared" si="13"/>
        <v>245</v>
      </c>
      <c r="G49" s="17">
        <f t="shared" si="13"/>
        <v>222</v>
      </c>
      <c r="H49" s="17">
        <f t="shared" si="13"/>
        <v>246</v>
      </c>
      <c r="I49" s="17">
        <f t="shared" si="13"/>
        <v>195</v>
      </c>
      <c r="J49" s="17">
        <f t="shared" si="13"/>
        <v>115</v>
      </c>
      <c r="K49" s="17">
        <f t="shared" si="13"/>
        <v>105</v>
      </c>
      <c r="L49" s="17">
        <f t="shared" si="13"/>
        <v>47</v>
      </c>
      <c r="M49" s="17">
        <f t="shared" si="13"/>
        <v>22</v>
      </c>
      <c r="N49" s="17">
        <f t="shared" si="13"/>
        <v>0</v>
      </c>
      <c r="O49" s="17">
        <f t="shared" si="13"/>
        <v>15</v>
      </c>
      <c r="P49" s="17">
        <f t="shared" si="13"/>
        <v>3</v>
      </c>
      <c r="Q49" s="17">
        <f t="shared" si="13"/>
        <v>0</v>
      </c>
      <c r="R49" s="17">
        <f>SUM(C49:O49)</f>
        <v>1489</v>
      </c>
    </row>
    <row r="50" spans="2:18">
      <c r="B50" s="16" t="s">
        <v>8</v>
      </c>
      <c r="C50" s="15">
        <f t="shared" ref="C50:M50" si="14">(C49/$R$49)*100</f>
        <v>1.8132975151108126</v>
      </c>
      <c r="D50" s="15">
        <f t="shared" si="14"/>
        <v>5.5070517125587646</v>
      </c>
      <c r="E50" s="15">
        <f t="shared" si="14"/>
        <v>11.282740094022834</v>
      </c>
      <c r="F50" s="15">
        <f t="shared" si="14"/>
        <v>16.453995970449967</v>
      </c>
      <c r="G50" s="15">
        <f t="shared" si="14"/>
        <v>14.909335124244461</v>
      </c>
      <c r="H50" s="15">
        <f t="shared" si="14"/>
        <v>16.521155137676296</v>
      </c>
      <c r="I50" s="15">
        <f t="shared" si="14"/>
        <v>13.096037609133646</v>
      </c>
      <c r="J50" s="15">
        <f t="shared" si="14"/>
        <v>7.7233042310275346</v>
      </c>
      <c r="K50" s="15">
        <f t="shared" si="14"/>
        <v>7.0517125587642715</v>
      </c>
      <c r="L50" s="15">
        <f t="shared" si="14"/>
        <v>3.1564808596373402</v>
      </c>
      <c r="M50" s="15">
        <f t="shared" si="14"/>
        <v>1.4775016789791806</v>
      </c>
      <c r="N50" s="15"/>
      <c r="O50" s="15">
        <f>(O49/$R$49)*100</f>
        <v>1.0073875083948958</v>
      </c>
      <c r="P50" s="15">
        <f>(P49/$R$49)*100</f>
        <v>0.20147750167897915</v>
      </c>
      <c r="Q50" s="15">
        <f>(Q49/$R$49)*100</f>
        <v>0</v>
      </c>
      <c r="R50" s="15">
        <f>SUM(C50:O50)</f>
        <v>100.00000000000001</v>
      </c>
    </row>
    <row r="52" spans="2:18">
      <c r="C52" s="14">
        <f t="shared" ref="C52:M52" si="15">SUMPRODUCT($B10:$B48,C10:C48)/SUM(C10:C48)</f>
        <v>24.037037037037038</v>
      </c>
      <c r="D52" s="14">
        <f t="shared" si="15"/>
        <v>25.365853658536587</v>
      </c>
      <c r="E52" s="14">
        <f t="shared" si="15"/>
        <v>27.267857142857142</v>
      </c>
      <c r="F52" s="14">
        <f t="shared" si="15"/>
        <v>29.448979591836736</v>
      </c>
      <c r="G52" s="14">
        <f t="shared" si="15"/>
        <v>32.747747747747745</v>
      </c>
      <c r="H52" s="14">
        <f t="shared" si="15"/>
        <v>35.162601626016261</v>
      </c>
      <c r="I52" s="14">
        <f t="shared" si="15"/>
        <v>38.48205128205128</v>
      </c>
      <c r="J52" s="14">
        <f t="shared" si="15"/>
        <v>42.026086956521738</v>
      </c>
      <c r="K52" s="14">
        <f t="shared" si="15"/>
        <v>45.695238095238096</v>
      </c>
      <c r="L52" s="14">
        <f t="shared" si="15"/>
        <v>48.787234042553195</v>
      </c>
      <c r="M52" s="14">
        <f t="shared" si="15"/>
        <v>51.545454545454547</v>
      </c>
      <c r="N52" s="14"/>
      <c r="O52" s="14">
        <f>SUMPRODUCT($B10:$B48,O10:O48)/SUM(O10:O48)</f>
        <v>52.06666666666667</v>
      </c>
      <c r="P52" s="14">
        <f>SUMPRODUCT($B10:$B48,P10:P48)/SUM(P10:P48)</f>
        <v>56.333333333333336</v>
      </c>
      <c r="Q52" s="14"/>
    </row>
  </sheetData>
  <mergeCells count="1">
    <mergeCell ref="B2:R2"/>
  </mergeCells>
  <pageMargins left="0.75" right="0.75" top="1" bottom="1" header="0" footer="0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Rodolfo 2010</vt:lpstr>
      <vt:lpstr>China Catch-at-length</vt:lpstr>
      <vt:lpstr>2010</vt:lpstr>
      <vt:lpstr>2009</vt:lpstr>
      <vt:lpstr>2008</vt:lpstr>
      <vt:lpstr>2007</vt:lpstr>
      <vt:lpstr>2006</vt:lpstr>
      <vt:lpstr>2005</vt:lpstr>
      <vt:lpstr>2004</vt:lpstr>
      <vt:lpstr>2002</vt:lpstr>
      <vt:lpstr>2001</vt:lpstr>
      <vt:lpstr>2000</vt:lpstr>
    </vt:vector>
  </TitlesOfParts>
  <Company>INPESCA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</dc:creator>
  <cp:lastModifiedBy>Tien, Nicola</cp:lastModifiedBy>
  <dcterms:created xsi:type="dcterms:W3CDTF">2007-06-21T16:06:34Z</dcterms:created>
  <dcterms:modified xsi:type="dcterms:W3CDTF">2022-05-13T09:29:45Z</dcterms:modified>
</cp:coreProperties>
</file>