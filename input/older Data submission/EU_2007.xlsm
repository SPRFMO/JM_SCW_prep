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
    </mc:Choice>
  </mc:AlternateContent>
  <xr:revisionPtr revIDLastSave="37" documentId="8_{45D8C128-0BEF-4579-A04C-58767803BE05}" xr6:coauthVersionLast="46" xr6:coauthVersionMax="47" xr10:uidLastSave="{5BD01565-3E20-4DFE-A920-C5F672D0554D}"/>
  <bookViews>
    <workbookView xWindow="28680" yWindow="-120" windowWidth="29040" windowHeight="15840" tabRatio="892"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landings_by_quarter" guid="{30CB6B41-EBE9-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Summary" guid="{F7B13B60-EB30-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3" l="1"/>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U11" i="2"/>
  <c r="R12" i="2"/>
  <c r="S12" i="2"/>
  <c r="T12" i="2"/>
  <c r="U12" i="2"/>
  <c r="R13" i="2"/>
  <c r="S13" i="2"/>
  <c r="T13" i="2"/>
  <c r="U13" i="2"/>
  <c r="S14" i="2"/>
  <c r="T14" i="2"/>
  <c r="T15" i="2" s="1"/>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<sst xmlns="http://schemas.openxmlformats.org/spreadsheetml/2006/main" count="843" uniqueCount="146">
  <si>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</si>
  <si>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</si>
  <si>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</si>
  <si>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</si>
  <si>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</si>
  <si>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</si>
  <si>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</si>
  <si>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</si>
  <si>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</si>
  <si>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</si>
  <si>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</si>
  <si>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</si>
  <si>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</si>
  <si>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</si>
  <si>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</si>
  <si>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</si>
  <si>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</si>
  <si>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</si>
  <si>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</si>
  <si>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</si>
  <si>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</si>
  <si>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</si>
  <si>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</si>
  <si>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</si>
  <si>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</si>
  <si>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</si>
  <si>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</si>
  <si>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</si>
  <si>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</si>
  <si>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</si>
  <si>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</si>
  <si>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</si>
  <si>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</si>
  <si>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</si>
  <si>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</si>
  <si>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</si>
  <si>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</si>
  <si>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</si>
  <si>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</si>
  <si>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</si>
  <si>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</si>
  <si>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</si>
  <si>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</si>
  <si>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</si>
  <si>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</si>
  <si>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</si>
  <si>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</si>
  <si>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</si>
  <si>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</si>
  <si>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</si>
  <si>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</si>
  <si>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</si>
  <si>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</si>
  <si>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</si>
  <si>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</si>
  <si>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</si>
  <si>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</si>
  <si>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</si>
  <si>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</si>
  <si>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</si>
  <si>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</si>
  <si>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</si>
  <si>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</si>
  <si>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</si>
  <si>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</si>
  <si>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</si>
  <si>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</si>
  <si>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</si>
  <si>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</si>
  <si>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</si>
  <si>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</si>
  <si>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</si>
  <si>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</si>
  <si>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</si>
  <si>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</si>
  <si>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</si>
  <si>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</si>
  <si>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</si>
  <si>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</si>
  <si>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</si>
  <si>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</si>
  <si>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</si>
  <si>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</si>
  <si>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</si>
  <si>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</si>
  <si>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</si>
  <si>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</si>
  <si>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</si>
  <si>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</si>
  <si>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</si>
  <si>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</si>
  <si>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</si>
  <si>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</si>
  <si>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</si>
  <si>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</si>
  <si>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</si>
  <si>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</si>
  <si>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</si>
  <si>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</si>
  <si>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</si>
  <si>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</si>
  <si>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</si>
  <si>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</si>
  <si>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</si>
  <si>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</si>
  <si>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</si>
  <si>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</si>
  <si>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</si>
  <si>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</si>
  <si>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</si>
  <si>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</si>
  <si>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</si>
  <si>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</si>
  <si>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</si>
  <si>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</si>
  <si>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</si>
  <si>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</si>
  <si>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</si>
  <si>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</si>
  <si>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</si>
  <si>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</si>
  <si>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</si>
  <si>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</si>
  <si>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</si>
  <si>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</si>
  <si>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</si>
  <si>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</si>
  <si>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</si>
  <si>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</si>
  <si>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</si>
  <si>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</si>
  <si>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</si>
  <si>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</si>
  <si>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</si>
  <si>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</si>
  <si>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</si>
  <si>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</si>
  <si>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</si>
  <si>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</si>
  <si>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</si>
  <si>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</si>
  <si>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</si>
  <si>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</si>
  <si>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</si>
  <si>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</si>
  <si>
    <t>13/6/2022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</si>
</sst>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104775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Historical data, imported into TEMPLATE in June 2022 by WMR, NL</a:t>
          </a:r>
        </a:p>
        <a:p>
          <a:pPr algn="l" rtl="0">
            <a:defRPr sz="1000"/>
          </a:pPr>
          <a:r>
            <a:rPr lang="de-DE" sz="1000" b="0" i="0" u="none" strike="noStrike" baseline="0">
              <a:solidFill>
                <a:srgbClr val="000000"/>
              </a:solidFill>
              <a:latin typeface="Geneva"/>
            </a:rPr>
            <a:t>Catch data from SC9-JM01-Annex1-rev1-CJM-catch-history-data.xls</a:t>
          </a:r>
        </a:p>
        <a:p>
          <a:pPr algn="l" rtl="0">
            <a:defRPr sz="1000"/>
          </a:pPr>
          <a:r>
            <a:rPr lang="de-DE" sz="1000" b="0" i="0" u="none" strike="noStrike" baseline="0">
              <a:solidFill>
                <a:srgbClr val="000000"/>
              </a:solidFill>
              <a:latin typeface="Geneva"/>
            </a:rPr>
            <a:t>LEN F4 from 2011 annual age comp EU fleet IFOP data.xlsx</a:t>
          </a:r>
        </a:p>
        <a:p>
          <a:pPr algn="l" rtl="0">
            <a:defRPr sz="1000"/>
          </a:pPr>
          <a:r>
            <a:rPr lang="de-DE" sz="1000" b="0" i="0" u="none" strike="noStrike" baseline="0">
              <a:solidFill>
                <a:srgbClr val="000000"/>
              </a:solidFill>
              <a:latin typeface="Geneva"/>
            </a:rPr>
            <a:t>Assumption (as for all pre2015 EU data): all catches and sampling in Q2</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tabSelected="1" topLeftCell="A11" workbookViewId="0">
      <selection activeCell="K4" sqref="K4"/>
    </sheetView>
  </sheetViews>
  <sheetFormatPr defaultColWidth="8.7109375" defaultRowHeight="12.75"/>
  <cols>
    <col min="1" max="5" width="8.7109375" customWidth="1"/>
    <col min="6" max="6" width="11.7109375" customWidth="1"/>
  </cols>
  <sheetData>
    <row r="1" spans="1:12" ht="23.25">
      <c r="A1" s="341" t="s">
        <v>71</v>
      </c>
      <c r="B1" s="341"/>
      <c r="C1" s="341"/>
      <c r="D1" s="341"/>
      <c r="E1" s="341"/>
      <c r="F1" s="341"/>
      <c r="G1" s="341"/>
      <c r="H1" s="341"/>
      <c r="I1" s="341"/>
      <c r="J1" s="341"/>
      <c r="K1" s="341"/>
      <c r="L1" s="341"/>
    </row>
    <row r="2" spans="1:12" ht="13.5" thickBot="1"/>
    <row r="3" spans="1:12" ht="21" thickBot="1">
      <c r="B3" s="142" t="s">
        <v>143</v>
      </c>
      <c r="J3" s="153" t="s">
        <v>60</v>
      </c>
      <c r="K3" s="158">
        <v>2007</v>
      </c>
    </row>
    <row r="5" spans="1:12">
      <c r="B5" s="143" t="s">
        <v>66</v>
      </c>
      <c r="C5" s="144"/>
      <c r="D5" s="144"/>
      <c r="E5" s="144"/>
      <c r="F5" s="344" t="s">
        <v>72</v>
      </c>
      <c r="G5" s="345"/>
      <c r="H5" s="345"/>
      <c r="I5" s="345"/>
      <c r="J5" s="345"/>
      <c r="K5" s="346"/>
    </row>
    <row r="6" spans="1:12">
      <c r="B6" s="145" t="s">
        <v>105</v>
      </c>
      <c r="C6" s="146"/>
      <c r="D6" s="146"/>
      <c r="E6" s="146"/>
      <c r="F6" s="344" t="s">
        <v>127</v>
      </c>
      <c r="G6" s="345"/>
      <c r="H6" s="345"/>
      <c r="I6" s="345"/>
      <c r="J6" s="345"/>
      <c r="K6" s="346"/>
    </row>
    <row r="7" spans="1:12">
      <c r="B7" s="145" t="s">
        <v>67</v>
      </c>
      <c r="C7" s="146"/>
      <c r="D7" s="146"/>
      <c r="E7" s="146"/>
      <c r="F7" s="344"/>
      <c r="G7" s="345"/>
      <c r="H7" s="345"/>
      <c r="I7" s="345"/>
      <c r="J7" s="345"/>
      <c r="K7" s="346"/>
    </row>
    <row r="8" spans="1:12">
      <c r="B8" s="145" t="s">
        <v>68</v>
      </c>
      <c r="C8" s="146"/>
      <c r="D8" s="146"/>
      <c r="E8" s="146"/>
      <c r="F8" s="349" t="s">
        <v>145</v>
      </c>
      <c r="G8" s="350"/>
      <c r="H8" s="350"/>
      <c r="I8" s="350"/>
      <c r="J8" s="350"/>
      <c r="K8" s="351"/>
    </row>
    <row r="9" spans="1:12">
      <c r="B9" s="145" t="s">
        <v>69</v>
      </c>
      <c r="C9" s="146"/>
      <c r="D9" s="146"/>
      <c r="E9" s="146"/>
      <c r="F9" s="352"/>
      <c r="G9" s="353"/>
      <c r="H9" s="353"/>
      <c r="I9" s="353"/>
      <c r="J9" s="353"/>
      <c r="K9" s="354"/>
    </row>
    <row r="10" spans="1:12">
      <c r="B10" s="145" t="s">
        <v>73</v>
      </c>
      <c r="C10" s="146"/>
      <c r="D10" s="146"/>
      <c r="E10" s="146"/>
      <c r="F10" s="355"/>
      <c r="G10" s="356"/>
      <c r="H10" s="356"/>
      <c r="I10" s="356"/>
      <c r="J10" s="356"/>
      <c r="K10" s="357"/>
    </row>
    <row r="11" spans="1:12">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c r="B13" s="147" t="s">
        <v>141</v>
      </c>
      <c r="C13" s="148"/>
      <c r="D13" s="148"/>
      <c r="E13" s="148"/>
      <c r="F13" s="344" t="s">
        <v>139</v>
      </c>
      <c r="G13" s="345"/>
      <c r="H13" s="345"/>
      <c r="I13" s="345"/>
      <c r="J13" s="345"/>
      <c r="K13" s="346"/>
    </row>
    <row r="14" spans="1:12">
      <c r="B14" s="149" t="s">
        <v>47</v>
      </c>
    </row>
    <row r="15" spans="1:12">
      <c r="B15" s="149" t="s">
        <v>74</v>
      </c>
    </row>
    <row r="16" spans="1:12">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G7" sqref="G7"/>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339" t="s">
        <v>71</v>
      </c>
      <c r="B1" s="341"/>
      <c r="C1" s="341"/>
      <c r="D1" s="341"/>
      <c r="E1" s="341"/>
    </row>
    <row r="2" spans="1:5" ht="24" thickBot="1">
      <c r="A2" s="152"/>
      <c r="D2" s="178"/>
      <c r="E2" s="178"/>
    </row>
    <row r="3" spans="1:5" ht="23.25">
      <c r="A3" s="152"/>
      <c r="B3" s="259" t="s">
        <v>106</v>
      </c>
      <c r="C3" s="155" t="str">
        <f>'START HERE'!F6</f>
        <v>EU</v>
      </c>
      <c r="D3" s="274"/>
      <c r="E3" s="275"/>
    </row>
    <row r="4" spans="1:5" ht="23.25">
      <c r="A4" s="152"/>
      <c r="B4" s="170" t="s">
        <v>0</v>
      </c>
      <c r="C4" s="156" t="str">
        <f>'START HERE'!F5</f>
        <v>Jack mackerel</v>
      </c>
      <c r="D4" s="276"/>
      <c r="E4" s="275"/>
    </row>
    <row r="5" spans="1:5" ht="24" thickBot="1">
      <c r="A5" s="152"/>
      <c r="B5" s="170" t="s">
        <v>1</v>
      </c>
      <c r="C5" s="157">
        <f>'START HERE'!K3</f>
        <v>2007</v>
      </c>
      <c r="D5" s="277"/>
      <c r="E5" s="277"/>
    </row>
    <row r="6" spans="1:5">
      <c r="D6" s="178"/>
      <c r="E6" s="178"/>
    </row>
    <row r="8" spans="1:5">
      <c r="B8" t="s">
        <v>107</v>
      </c>
    </row>
    <row r="42" spans="2:4">
      <c r="B42" s="149" t="s">
        <v>119</v>
      </c>
    </row>
    <row r="44" spans="2:4" ht="13.5"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5">
      <c r="B55" s="40" t="s">
        <v>57</v>
      </c>
      <c r="C55" s="298"/>
      <c r="D55" s="299"/>
    </row>
    <row r="56" spans="2:4" ht="51">
      <c r="B56" s="260" t="s">
        <v>111</v>
      </c>
      <c r="C56" s="300"/>
      <c r="D56" s="301"/>
    </row>
    <row r="57" spans="2:4" ht="26.2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opLeftCell="A12" zoomScale="75" zoomScaleNormal="75" workbookViewId="0">
      <selection activeCell="F20" sqref="F20"/>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2007</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2007</v>
      </c>
      <c r="C13" s="365"/>
      <c r="D13" s="366"/>
      <c r="E13" s="364">
        <f>'START HERE'!$K$3</f>
        <v>2007</v>
      </c>
      <c r="F13" s="365"/>
      <c r="G13" s="366"/>
      <c r="H13" s="364">
        <f>'START HERE'!$K$3</f>
        <v>2007</v>
      </c>
      <c r="I13" s="365"/>
      <c r="J13" s="366"/>
      <c r="K13" s="364">
        <f>'START HERE'!$K$3</f>
        <v>2007</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v>123523</v>
      </c>
      <c r="F20" s="238"/>
      <c r="G20" s="239"/>
      <c r="H20" s="232"/>
      <c r="I20" s="238"/>
      <c r="J20" s="239"/>
      <c r="K20" s="232"/>
      <c r="L20" s="238"/>
      <c r="M20" s="240"/>
      <c r="N20" s="290">
        <f t="shared" si="0"/>
        <v>123523</v>
      </c>
      <c r="O20" s="291">
        <f t="shared" si="0"/>
        <v>0</v>
      </c>
      <c r="P20" s="292">
        <f t="shared" si="0"/>
        <v>0</v>
      </c>
      <c r="Q20" s="241">
        <f t="shared" si="1"/>
        <v>123523</v>
      </c>
      <c r="R20" s="285"/>
      <c r="S20" s="162" t="s">
        <v>85</v>
      </c>
    </row>
    <row r="21" spans="1:19" ht="24.75" customHeight="1" thickBot="1">
      <c r="A21" s="264" t="s">
        <v>49</v>
      </c>
      <c r="B21" s="242">
        <f t="shared" ref="B21:M21" si="2">SUM(B17:B20)</f>
        <v>0</v>
      </c>
      <c r="C21" s="243">
        <f t="shared" si="2"/>
        <v>0</v>
      </c>
      <c r="D21" s="244">
        <f t="shared" si="2"/>
        <v>0</v>
      </c>
      <c r="E21" s="242">
        <f t="shared" si="2"/>
        <v>123523</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123523</v>
      </c>
      <c r="O21" s="294">
        <f t="shared" si="0"/>
        <v>0</v>
      </c>
      <c r="P21" s="295">
        <f t="shared" si="0"/>
        <v>0</v>
      </c>
      <c r="Q21" s="249">
        <f>SUM(Q17:Q20)</f>
        <v>123523</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123523)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2" zoomScale="75" workbookViewId="0">
      <selection activeCell="I14" sqref="I14"/>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2007</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t="str">
        <f>'START HERE'!F8</f>
        <v>13/6/2022</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2007</v>
      </c>
      <c r="F8" s="370" t="s">
        <v>30</v>
      </c>
      <c r="G8" s="371"/>
      <c r="H8" s="371"/>
      <c r="I8" s="188">
        <f>'START HERE'!K3</f>
        <v>2007</v>
      </c>
      <c r="J8" s="370" t="s">
        <v>31</v>
      </c>
      <c r="K8" s="371"/>
      <c r="L8" s="371"/>
      <c r="M8" s="188">
        <f>'START HERE'!K3</f>
        <v>2007</v>
      </c>
      <c r="N8" s="186" t="s">
        <v>32</v>
      </c>
      <c r="O8" s="187"/>
      <c r="P8" s="187"/>
      <c r="Q8" s="188">
        <f>'START HERE'!K3</f>
        <v>2007</v>
      </c>
      <c r="R8" s="370" t="s">
        <v>33</v>
      </c>
      <c r="S8" s="371"/>
      <c r="T8" s="371"/>
      <c r="U8" s="188">
        <f>'START HERE'!K3</f>
        <v>2007</v>
      </c>
      <c r="V8" s="279"/>
      <c r="W8" s="282"/>
      <c r="X8" s="282"/>
      <c r="Y8" s="282"/>
      <c r="Z8" s="279"/>
    </row>
    <row r="9" spans="1:28" s="45" customFormat="1" ht="24">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80"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2007</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2007</v>
      </c>
      <c r="C9" s="181">
        <f>'START HERE'!$K$3</f>
        <v>2007</v>
      </c>
      <c r="D9" s="181">
        <f>'START HERE'!$K$3</f>
        <v>2007</v>
      </c>
      <c r="E9" s="181">
        <f>'START HERE'!$K$3</f>
        <v>2007</v>
      </c>
      <c r="F9" s="180">
        <f>'START HERE'!$K$3</f>
        <v>2007</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92"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2007</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2007</v>
      </c>
      <c r="C9" s="181">
        <f>'START HERE'!$K$3</f>
        <v>2007</v>
      </c>
      <c r="D9" s="181">
        <f>'START HERE'!$K$3</f>
        <v>2007</v>
      </c>
      <c r="E9" s="181">
        <f>'START HERE'!$K$3</f>
        <v>2007</v>
      </c>
      <c r="F9" s="180">
        <f>'START HERE'!$K$3</f>
        <v>2007</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79"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2007</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2007</v>
      </c>
      <c r="C9" s="181">
        <f>'START HERE'!$K$3</f>
        <v>2007</v>
      </c>
      <c r="D9" s="181">
        <f>'START HERE'!$K$3</f>
        <v>2007</v>
      </c>
      <c r="E9" s="181">
        <f>'START HERE'!$K$3</f>
        <v>2007</v>
      </c>
      <c r="F9" s="180">
        <f>'START HERE'!$K$3</f>
        <v>2007</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30" activePane="bottomLeft" state="frozen"/>
      <selection activeCell="G5" sqref="G5:J5"/>
      <selection pane="bottomLeft" activeCell="C34" sqref="C34:C64"/>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2007</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2007</v>
      </c>
      <c r="C9" s="181">
        <f>'START HERE'!$K$3</f>
        <v>2007</v>
      </c>
      <c r="D9" s="181">
        <f>'START HERE'!$K$3</f>
        <v>2007</v>
      </c>
      <c r="E9" s="181">
        <f>'START HERE'!$K$3</f>
        <v>2007</v>
      </c>
      <c r="F9" s="180">
        <f>'START HERE'!$K$3</f>
        <v>2007</v>
      </c>
      <c r="G9" s="4"/>
      <c r="H9" s="177"/>
      <c r="I9" s="177"/>
    </row>
    <row r="10" spans="1:9">
      <c r="A10" s="154">
        <v>1</v>
      </c>
      <c r="B10" s="305"/>
      <c r="C10" s="306"/>
      <c r="D10" s="306"/>
      <c r="E10" s="306"/>
      <c r="F10" s="36">
        <f t="shared" ref="F10:F2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v>0</v>
      </c>
      <c r="D24" s="306"/>
      <c r="E24" s="306"/>
      <c r="F24" s="36"/>
      <c r="G24" s="29"/>
      <c r="H24" s="177"/>
      <c r="I24" s="177"/>
    </row>
    <row r="25" spans="1:9">
      <c r="A25" s="154">
        <v>16</v>
      </c>
      <c r="B25" s="305"/>
      <c r="C25" s="306">
        <v>0</v>
      </c>
      <c r="D25" s="306"/>
      <c r="E25" s="306"/>
      <c r="F25" s="36"/>
      <c r="G25" s="4"/>
      <c r="H25" s="177"/>
      <c r="I25" s="177"/>
    </row>
    <row r="26" spans="1:9">
      <c r="A26" s="154">
        <v>17</v>
      </c>
      <c r="B26" s="305"/>
      <c r="C26" s="306"/>
      <c r="D26" s="306"/>
      <c r="E26" s="306"/>
      <c r="F26" s="36"/>
      <c r="G26" s="4"/>
      <c r="H26" s="177"/>
      <c r="I26" s="177"/>
    </row>
    <row r="27" spans="1:9">
      <c r="A27" s="154">
        <v>18</v>
      </c>
      <c r="B27" s="305"/>
      <c r="C27" s="306"/>
      <c r="D27" s="306"/>
      <c r="E27" s="306"/>
      <c r="F27" s="36"/>
      <c r="G27" s="4"/>
      <c r="H27" s="177"/>
      <c r="I27" s="177"/>
    </row>
    <row r="28" spans="1:9">
      <c r="A28" s="154">
        <v>19</v>
      </c>
      <c r="B28" s="305"/>
      <c r="C28" s="306"/>
      <c r="D28" s="306"/>
      <c r="E28" s="306"/>
      <c r="F28" s="36"/>
      <c r="G28" s="4"/>
      <c r="H28" s="177"/>
      <c r="I28" s="177"/>
    </row>
    <row r="29" spans="1:9">
      <c r="A29" s="154">
        <v>20</v>
      </c>
      <c r="B29" s="305"/>
      <c r="C29" s="306"/>
      <c r="D29" s="306"/>
      <c r="E29" s="306"/>
      <c r="F29" s="36"/>
      <c r="G29" s="4"/>
      <c r="H29" s="177"/>
      <c r="I29" s="177"/>
    </row>
    <row r="30" spans="1:9">
      <c r="A30" s="154">
        <v>21</v>
      </c>
      <c r="B30" s="305"/>
      <c r="C30" s="306"/>
      <c r="D30" s="306"/>
      <c r="E30" s="306"/>
      <c r="F30" s="36"/>
      <c r="G30" s="4"/>
      <c r="H30" s="177"/>
      <c r="I30" s="177"/>
    </row>
    <row r="31" spans="1:9">
      <c r="A31" s="154">
        <v>22</v>
      </c>
      <c r="B31" s="305"/>
      <c r="C31" s="306"/>
      <c r="D31" s="306"/>
      <c r="E31" s="306"/>
      <c r="F31" s="36"/>
      <c r="G31" s="4"/>
      <c r="H31" s="177"/>
      <c r="I31" s="177"/>
    </row>
    <row r="32" spans="1:9">
      <c r="A32" s="154">
        <v>23</v>
      </c>
      <c r="B32" s="305"/>
      <c r="C32" s="306"/>
      <c r="D32" s="306"/>
      <c r="E32" s="306"/>
      <c r="F32" s="36"/>
      <c r="G32" s="4"/>
      <c r="H32" s="177"/>
      <c r="I32" s="177"/>
    </row>
    <row r="33" spans="1:9">
      <c r="A33" s="154">
        <v>24</v>
      </c>
      <c r="B33" s="305"/>
      <c r="C33" s="306"/>
      <c r="D33" s="306"/>
      <c r="E33" s="306"/>
      <c r="F33" s="36"/>
      <c r="G33" s="4"/>
      <c r="H33" s="177"/>
      <c r="I33" s="177"/>
    </row>
    <row r="34" spans="1:9">
      <c r="A34" s="154">
        <v>25</v>
      </c>
      <c r="B34" s="305"/>
      <c r="C34" s="306">
        <v>0</v>
      </c>
      <c r="D34" s="306"/>
      <c r="E34" s="306"/>
      <c r="F34" s="36"/>
      <c r="G34" s="4"/>
      <c r="H34" s="177"/>
      <c r="I34" s="177"/>
    </row>
    <row r="35" spans="1:9">
      <c r="A35" s="154">
        <v>26</v>
      </c>
      <c r="B35" s="305"/>
      <c r="C35" s="306">
        <v>170.16109688251998</v>
      </c>
      <c r="D35" s="306"/>
      <c r="E35" s="306"/>
      <c r="F35" s="36"/>
      <c r="G35" s="4"/>
      <c r="H35" s="177"/>
      <c r="I35" s="177"/>
    </row>
    <row r="36" spans="1:9">
      <c r="A36" s="154">
        <v>27</v>
      </c>
      <c r="B36" s="305"/>
      <c r="C36" s="306">
        <v>4254.0274220629999</v>
      </c>
      <c r="D36" s="306"/>
      <c r="E36" s="306"/>
      <c r="F36" s="36"/>
      <c r="G36" s="4"/>
      <c r="H36" s="177"/>
      <c r="I36" s="177"/>
    </row>
    <row r="37" spans="1:9">
      <c r="A37" s="154">
        <v>28</v>
      </c>
      <c r="B37" s="305"/>
      <c r="C37" s="306">
        <v>21440.29820719752</v>
      </c>
      <c r="D37" s="306"/>
      <c r="E37" s="306"/>
      <c r="F37" s="36"/>
      <c r="G37" s="4"/>
      <c r="H37" s="177"/>
      <c r="I37" s="177"/>
    </row>
    <row r="38" spans="1:9">
      <c r="A38" s="154">
        <v>29</v>
      </c>
      <c r="B38" s="305"/>
      <c r="C38" s="306">
        <v>47730.187675546855</v>
      </c>
      <c r="D38" s="306"/>
      <c r="E38" s="306"/>
      <c r="F38" s="36"/>
      <c r="G38" s="4"/>
      <c r="H38" s="177"/>
      <c r="I38" s="177"/>
    </row>
    <row r="39" spans="1:9">
      <c r="A39" s="154">
        <v>30</v>
      </c>
      <c r="B39" s="305"/>
      <c r="C39" s="306">
        <v>100990.6109997756</v>
      </c>
      <c r="D39" s="306"/>
      <c r="E39" s="306"/>
      <c r="F39" s="36"/>
      <c r="G39" s="4"/>
      <c r="H39" s="177"/>
      <c r="I39" s="177"/>
    </row>
    <row r="40" spans="1:9">
      <c r="A40" s="154">
        <v>31</v>
      </c>
      <c r="B40" s="305"/>
      <c r="C40" s="306">
        <v>140723.22712184404</v>
      </c>
      <c r="D40" s="306"/>
      <c r="E40" s="306"/>
      <c r="F40" s="36"/>
      <c r="G40" s="4"/>
      <c r="H40" s="177"/>
      <c r="I40" s="177"/>
    </row>
    <row r="41" spans="1:9">
      <c r="A41" s="154">
        <v>32</v>
      </c>
      <c r="B41" s="305"/>
      <c r="C41" s="306">
        <v>138851.4550561363</v>
      </c>
      <c r="D41" s="306"/>
      <c r="E41" s="306"/>
      <c r="F41" s="36"/>
      <c r="G41" s="4"/>
      <c r="H41" s="177"/>
      <c r="I41" s="177"/>
    </row>
    <row r="42" spans="1:9">
      <c r="A42" s="154">
        <v>33</v>
      </c>
      <c r="B42" s="305"/>
      <c r="C42" s="306">
        <v>118432.12343023391</v>
      </c>
      <c r="D42" s="306"/>
      <c r="E42" s="306"/>
      <c r="F42" s="36"/>
      <c r="G42" s="4"/>
      <c r="H42" s="177"/>
      <c r="I42" s="177"/>
    </row>
    <row r="43" spans="1:9">
      <c r="A43" s="154">
        <v>34</v>
      </c>
      <c r="B43" s="305"/>
      <c r="C43" s="306">
        <v>107371.65213287011</v>
      </c>
      <c r="D43" s="306"/>
      <c r="E43" s="306"/>
      <c r="F43" s="36"/>
      <c r="G43" s="4"/>
      <c r="H43" s="177"/>
      <c r="I43" s="177"/>
    </row>
    <row r="44" spans="1:9">
      <c r="A44" s="154">
        <v>35</v>
      </c>
      <c r="B44" s="305"/>
      <c r="C44" s="306">
        <v>89504.736960205526</v>
      </c>
      <c r="D44" s="306"/>
      <c r="E44" s="306"/>
      <c r="F44" s="36"/>
      <c r="G44" s="4"/>
      <c r="H44" s="177"/>
      <c r="I44" s="177"/>
    </row>
    <row r="45" spans="1:9">
      <c r="A45" s="154">
        <v>36</v>
      </c>
      <c r="B45" s="305"/>
      <c r="C45" s="306">
        <v>51303.570710079774</v>
      </c>
      <c r="D45" s="306"/>
      <c r="E45" s="306"/>
      <c r="F45" s="36"/>
      <c r="G45" s="4"/>
      <c r="H45" s="177"/>
      <c r="I45" s="177"/>
    </row>
    <row r="46" spans="1:9">
      <c r="A46" s="154">
        <v>37</v>
      </c>
      <c r="B46" s="305"/>
      <c r="C46" s="306">
        <v>40838.663251804792</v>
      </c>
      <c r="D46" s="306"/>
      <c r="E46" s="306"/>
      <c r="F46" s="36"/>
      <c r="G46" s="4"/>
      <c r="H46" s="177"/>
      <c r="I46" s="177"/>
    </row>
    <row r="47" spans="1:9">
      <c r="A47" s="154">
        <v>38</v>
      </c>
      <c r="B47" s="305"/>
      <c r="C47" s="306">
        <v>32585.850053002578</v>
      </c>
      <c r="D47" s="306"/>
      <c r="E47" s="306"/>
      <c r="F47" s="36"/>
      <c r="G47" s="4"/>
      <c r="H47" s="177"/>
      <c r="I47" s="177"/>
    </row>
    <row r="48" spans="1:9">
      <c r="A48" s="154">
        <v>39</v>
      </c>
      <c r="B48" s="305"/>
      <c r="C48" s="306">
        <v>23822.553563552796</v>
      </c>
      <c r="D48" s="306"/>
      <c r="E48" s="306"/>
      <c r="F48" s="36"/>
      <c r="G48" s="4"/>
      <c r="H48" s="177"/>
      <c r="I48" s="177"/>
    </row>
    <row r="49" spans="1:9">
      <c r="A49" s="154">
        <v>40</v>
      </c>
      <c r="B49" s="305"/>
      <c r="C49" s="306">
        <v>19228.20394772476</v>
      </c>
      <c r="D49" s="306"/>
      <c r="E49" s="306"/>
      <c r="F49" s="36"/>
      <c r="G49" s="4"/>
      <c r="H49" s="177"/>
      <c r="I49" s="177"/>
    </row>
    <row r="50" spans="1:9">
      <c r="A50" s="154">
        <v>41</v>
      </c>
      <c r="B50" s="305"/>
      <c r="C50" s="306">
        <v>13272.565556836558</v>
      </c>
      <c r="D50" s="306"/>
      <c r="E50" s="306"/>
      <c r="F50" s="36"/>
      <c r="G50" s="4"/>
      <c r="H50" s="177"/>
      <c r="I50" s="177"/>
    </row>
    <row r="51" spans="1:9">
      <c r="A51" s="154">
        <v>42</v>
      </c>
      <c r="B51" s="305"/>
      <c r="C51" s="306">
        <v>14123.371041249158</v>
      </c>
      <c r="D51" s="306"/>
      <c r="E51" s="306"/>
      <c r="F51" s="36"/>
      <c r="G51" s="4"/>
      <c r="H51" s="177"/>
      <c r="I51" s="177"/>
    </row>
    <row r="52" spans="1:9">
      <c r="A52" s="154">
        <v>43</v>
      </c>
      <c r="B52" s="305"/>
      <c r="C52" s="306">
        <v>9954.4241676274178</v>
      </c>
      <c r="D52" s="306"/>
      <c r="E52" s="306"/>
      <c r="F52" s="36"/>
      <c r="G52" s="4"/>
      <c r="H52" s="177"/>
      <c r="I52" s="177"/>
    </row>
    <row r="53" spans="1:9">
      <c r="A53" s="154">
        <v>44</v>
      </c>
      <c r="B53" s="305"/>
      <c r="C53" s="306">
        <v>11230.632394246319</v>
      </c>
      <c r="D53" s="306"/>
      <c r="E53" s="306"/>
      <c r="F53" s="36"/>
      <c r="G53" s="4"/>
      <c r="H53" s="177"/>
      <c r="I53" s="177"/>
    </row>
    <row r="54" spans="1:9">
      <c r="A54" s="154">
        <v>45</v>
      </c>
      <c r="B54" s="305"/>
      <c r="C54" s="306">
        <v>5530.2356486818999</v>
      </c>
      <c r="D54" s="306"/>
      <c r="E54" s="306"/>
      <c r="F54" s="36"/>
      <c r="G54" s="4"/>
      <c r="H54" s="177"/>
      <c r="I54" s="177"/>
    </row>
    <row r="55" spans="1:9">
      <c r="A55" s="154">
        <v>46</v>
      </c>
      <c r="B55" s="305"/>
      <c r="C55" s="306">
        <v>2722.5775501203198</v>
      </c>
      <c r="D55" s="306"/>
      <c r="E55" s="306"/>
      <c r="F55" s="36"/>
      <c r="G55" s="4"/>
      <c r="H55" s="177"/>
      <c r="I55" s="177"/>
    </row>
    <row r="56" spans="1:9">
      <c r="A56" s="154">
        <v>47</v>
      </c>
      <c r="B56" s="305"/>
      <c r="C56" s="306">
        <v>3658.4635829741801</v>
      </c>
      <c r="D56" s="306"/>
      <c r="E56" s="306"/>
      <c r="F56" s="36"/>
      <c r="G56" s="4"/>
      <c r="H56" s="177"/>
      <c r="I56" s="177"/>
    </row>
    <row r="57" spans="1:9">
      <c r="A57" s="154">
        <v>48</v>
      </c>
      <c r="B57" s="305"/>
      <c r="C57" s="306">
        <v>1106.0471297363799</v>
      </c>
      <c r="D57" s="306"/>
      <c r="E57" s="306"/>
      <c r="F57" s="36"/>
      <c r="G57" s="4"/>
      <c r="H57" s="177"/>
      <c r="I57" s="177"/>
    </row>
    <row r="58" spans="1:9">
      <c r="A58" s="154">
        <v>49</v>
      </c>
      <c r="B58" s="305"/>
      <c r="C58" s="306">
        <v>425.40274220629993</v>
      </c>
      <c r="D58" s="306"/>
      <c r="E58" s="306"/>
      <c r="F58" s="36"/>
      <c r="G58" s="4"/>
      <c r="H58" s="177"/>
      <c r="I58" s="177"/>
    </row>
    <row r="59" spans="1:9">
      <c r="A59" s="154">
        <v>50</v>
      </c>
      <c r="B59" s="305"/>
      <c r="C59" s="306">
        <v>255.24164532378001</v>
      </c>
      <c r="D59" s="306"/>
      <c r="E59" s="306"/>
      <c r="F59" s="36"/>
      <c r="G59" s="4"/>
      <c r="H59" s="177"/>
      <c r="I59" s="177"/>
    </row>
    <row r="60" spans="1:9">
      <c r="A60" s="154">
        <v>51</v>
      </c>
      <c r="B60" s="305"/>
      <c r="C60" s="306">
        <v>0</v>
      </c>
      <c r="D60" s="306"/>
      <c r="E60" s="306"/>
      <c r="F60" s="36"/>
      <c r="G60" s="4"/>
      <c r="H60" s="177"/>
      <c r="I60" s="177"/>
    </row>
    <row r="61" spans="1:9">
      <c r="A61" s="154">
        <v>52</v>
      </c>
      <c r="B61" s="305"/>
      <c r="C61" s="306">
        <v>0</v>
      </c>
      <c r="D61" s="306"/>
      <c r="E61" s="306"/>
      <c r="F61" s="36"/>
      <c r="G61" s="4"/>
      <c r="H61" s="177"/>
      <c r="I61" s="177"/>
    </row>
    <row r="62" spans="1:9">
      <c r="A62" s="154">
        <v>53</v>
      </c>
      <c r="B62" s="305"/>
      <c r="C62" s="306">
        <v>0</v>
      </c>
      <c r="D62" s="306"/>
      <c r="E62" s="306"/>
      <c r="F62" s="36"/>
      <c r="G62" s="4"/>
      <c r="H62" s="177"/>
      <c r="I62" s="177"/>
    </row>
    <row r="63" spans="1:9">
      <c r="A63" s="154">
        <v>54</v>
      </c>
      <c r="B63" s="305"/>
      <c r="C63" s="306">
        <v>85.080548441259992</v>
      </c>
      <c r="D63" s="306"/>
      <c r="E63" s="306"/>
      <c r="F63" s="36"/>
      <c r="G63" s="4"/>
      <c r="H63" s="177"/>
      <c r="I63" s="177"/>
    </row>
    <row r="64" spans="1:9">
      <c r="A64" s="154">
        <v>55</v>
      </c>
      <c r="B64" s="305"/>
      <c r="C64" s="306">
        <v>0</v>
      </c>
      <c r="D64" s="306"/>
      <c r="E64" s="306"/>
      <c r="F64" s="36"/>
      <c r="G64" s="4"/>
      <c r="H64" s="177"/>
      <c r="I64" s="177"/>
    </row>
    <row r="65" spans="1:9">
      <c r="A65" s="154">
        <v>56</v>
      </c>
      <c r="B65" s="305"/>
      <c r="C65" s="306"/>
      <c r="D65" s="306"/>
      <c r="E65" s="306"/>
      <c r="F65" s="36"/>
      <c r="G65" s="4"/>
      <c r="H65" s="177"/>
      <c r="I65" s="177"/>
    </row>
    <row r="66" spans="1:9">
      <c r="A66" s="154">
        <v>57</v>
      </c>
      <c r="B66" s="305"/>
      <c r="C66" s="306"/>
      <c r="D66" s="306"/>
      <c r="E66" s="306"/>
      <c r="F66" s="36"/>
      <c r="G66" s="4"/>
      <c r="H66" s="177"/>
      <c r="I66" s="177"/>
    </row>
    <row r="67" spans="1:9">
      <c r="A67" s="154">
        <v>58</v>
      </c>
      <c r="B67" s="305"/>
      <c r="C67" s="306"/>
      <c r="D67" s="306"/>
      <c r="E67" s="306"/>
      <c r="F67" s="36"/>
      <c r="G67" s="4"/>
      <c r="H67" s="177"/>
      <c r="I67" s="177"/>
    </row>
    <row r="68" spans="1:9">
      <c r="A68" s="154">
        <v>59</v>
      </c>
      <c r="B68" s="305"/>
      <c r="C68" s="306"/>
      <c r="D68" s="306"/>
      <c r="E68" s="306"/>
      <c r="F68" s="36"/>
      <c r="G68" s="4"/>
      <c r="H68" s="177"/>
      <c r="I68" s="177"/>
    </row>
    <row r="69" spans="1:9">
      <c r="A69" s="154">
        <v>60</v>
      </c>
      <c r="B69" s="305"/>
      <c r="C69" s="306"/>
      <c r="D69" s="306"/>
      <c r="E69" s="306"/>
      <c r="F69" s="36"/>
      <c r="G69" s="4"/>
      <c r="H69" s="177"/>
      <c r="I69" s="177"/>
    </row>
    <row r="70" spans="1:9">
      <c r="A70" s="154">
        <v>61</v>
      </c>
      <c r="B70" s="305"/>
      <c r="C70" s="306"/>
      <c r="D70" s="306"/>
      <c r="E70" s="306"/>
      <c r="F70" s="36"/>
      <c r="G70" s="4"/>
      <c r="H70" s="177"/>
      <c r="I70" s="177"/>
    </row>
    <row r="71" spans="1:9">
      <c r="A71" s="154">
        <v>62</v>
      </c>
      <c r="B71" s="305"/>
      <c r="C71" s="306"/>
      <c r="D71" s="306"/>
      <c r="E71" s="306"/>
      <c r="F71" s="36"/>
      <c r="G71" s="4"/>
      <c r="H71" s="177"/>
      <c r="I71" s="177"/>
    </row>
    <row r="72" spans="1:9">
      <c r="A72" s="154">
        <v>63</v>
      </c>
      <c r="B72" s="305"/>
      <c r="C72" s="306"/>
      <c r="D72" s="306"/>
      <c r="E72" s="306"/>
      <c r="F72" s="36"/>
      <c r="G72" s="4"/>
      <c r="H72" s="177"/>
      <c r="I72" s="177"/>
    </row>
    <row r="73" spans="1:9">
      <c r="A73" s="154">
        <v>64</v>
      </c>
      <c r="B73" s="305"/>
      <c r="C73" s="306"/>
      <c r="D73" s="306"/>
      <c r="E73" s="306"/>
      <c r="F73" s="36"/>
      <c r="G73" s="4"/>
      <c r="H73" s="177"/>
      <c r="I73" s="177"/>
    </row>
    <row r="74" spans="1:9">
      <c r="A74" s="154">
        <v>65</v>
      </c>
      <c r="B74" s="305"/>
      <c r="C74" s="306"/>
      <c r="D74" s="306"/>
      <c r="E74" s="306"/>
      <c r="F74" s="36"/>
      <c r="G74" s="4"/>
      <c r="H74" s="177"/>
      <c r="I74" s="177"/>
    </row>
    <row r="75" spans="1:9">
      <c r="A75" s="154">
        <v>66</v>
      </c>
      <c r="B75" s="305"/>
      <c r="C75" s="306"/>
      <c r="D75" s="306"/>
      <c r="E75" s="306"/>
      <c r="F75" s="36"/>
      <c r="G75" s="4"/>
      <c r="H75" s="177"/>
      <c r="I75" s="177"/>
    </row>
    <row r="76" spans="1:9">
      <c r="A76" s="154">
        <v>67</v>
      </c>
      <c r="B76" s="305"/>
      <c r="C76" s="306"/>
      <c r="D76" s="306"/>
      <c r="E76" s="306"/>
      <c r="F76" s="36"/>
      <c r="G76" s="4"/>
      <c r="H76" s="177"/>
      <c r="I76" s="177"/>
    </row>
    <row r="77" spans="1:9">
      <c r="A77" s="154">
        <v>68</v>
      </c>
      <c r="B77" s="305"/>
      <c r="C77" s="306"/>
      <c r="D77" s="306"/>
      <c r="E77" s="306"/>
      <c r="F77" s="36"/>
      <c r="G77" s="4"/>
      <c r="H77" s="177"/>
      <c r="I77" s="177"/>
    </row>
    <row r="78" spans="1:9">
      <c r="A78" s="154">
        <v>69</v>
      </c>
      <c r="B78" s="305"/>
      <c r="C78" s="306"/>
      <c r="D78" s="306"/>
      <c r="E78" s="306"/>
      <c r="F78" s="36"/>
      <c r="G78" s="4"/>
      <c r="H78" s="177"/>
      <c r="I78" s="177"/>
    </row>
    <row r="79" spans="1:9">
      <c r="A79" s="154">
        <v>70</v>
      </c>
      <c r="B79" s="305"/>
      <c r="C79" s="306"/>
      <c r="D79" s="306"/>
      <c r="E79" s="306"/>
      <c r="F79" s="36"/>
      <c r="G79" s="4"/>
      <c r="H79" s="177"/>
      <c r="I79" s="177"/>
    </row>
    <row r="80" spans="1:9">
      <c r="A80" s="154">
        <v>71</v>
      </c>
      <c r="B80" s="305"/>
      <c r="C80" s="306"/>
      <c r="D80" s="306"/>
      <c r="E80" s="306"/>
      <c r="F80" s="36"/>
      <c r="G80" s="4"/>
      <c r="H80" s="177"/>
      <c r="I80" s="177"/>
    </row>
    <row r="81" spans="1:9">
      <c r="A81" s="154">
        <v>72</v>
      </c>
      <c r="B81" s="305"/>
      <c r="C81" s="306"/>
      <c r="D81" s="306"/>
      <c r="E81" s="306"/>
      <c r="F81" s="36"/>
      <c r="G81" s="4"/>
      <c r="H81" s="177"/>
      <c r="I81" s="177"/>
    </row>
    <row r="82" spans="1:9">
      <c r="A82" s="154">
        <v>73</v>
      </c>
      <c r="B82" s="305"/>
      <c r="C82" s="306"/>
      <c r="D82" s="306"/>
      <c r="E82" s="306"/>
      <c r="F82" s="36"/>
      <c r="G82" s="4"/>
      <c r="H82" s="177"/>
      <c r="I82" s="177"/>
    </row>
    <row r="83" spans="1:9">
      <c r="A83" s="154">
        <v>74</v>
      </c>
      <c r="B83" s="305"/>
      <c r="C83" s="306"/>
      <c r="D83" s="306"/>
      <c r="E83" s="306"/>
      <c r="F83" s="36"/>
      <c r="G83" s="4"/>
      <c r="H83" s="177"/>
      <c r="I83" s="177"/>
    </row>
    <row r="84" spans="1:9">
      <c r="A84" s="154">
        <v>75</v>
      </c>
      <c r="B84" s="305"/>
      <c r="C84" s="306"/>
      <c r="D84" s="306"/>
      <c r="E84" s="306"/>
      <c r="F84" s="36"/>
      <c r="G84" s="4"/>
      <c r="H84" s="177"/>
      <c r="I84" s="177"/>
    </row>
    <row r="85" spans="1:9">
      <c r="A85" s="154">
        <v>76</v>
      </c>
      <c r="B85" s="305"/>
      <c r="C85" s="306"/>
      <c r="D85" s="306"/>
      <c r="E85" s="306"/>
      <c r="F85" s="36"/>
      <c r="G85" s="4"/>
      <c r="H85" s="177"/>
      <c r="I85" s="177"/>
    </row>
    <row r="86" spans="1:9">
      <c r="A86" s="154">
        <v>77</v>
      </c>
      <c r="B86" s="305"/>
      <c r="C86" s="306"/>
      <c r="D86" s="306"/>
      <c r="E86" s="306"/>
      <c r="F86" s="36"/>
      <c r="G86" s="4"/>
      <c r="H86" s="177"/>
      <c r="I86" s="177"/>
    </row>
    <row r="87" spans="1:9">
      <c r="A87" s="154">
        <v>78</v>
      </c>
      <c r="B87" s="305"/>
      <c r="C87" s="306"/>
      <c r="D87" s="306"/>
      <c r="E87" s="306"/>
      <c r="F87" s="36"/>
      <c r="G87" s="4"/>
      <c r="H87" s="177"/>
      <c r="I87" s="177"/>
    </row>
    <row r="88" spans="1:9">
      <c r="A88" s="154">
        <v>79</v>
      </c>
      <c r="B88" s="305"/>
      <c r="C88" s="306"/>
      <c r="D88" s="306"/>
      <c r="E88" s="306"/>
      <c r="F88" s="36"/>
      <c r="G88" s="4"/>
      <c r="H88" s="177"/>
      <c r="I88" s="177"/>
    </row>
    <row r="89" spans="1:9">
      <c r="A89" s="154">
        <v>80</v>
      </c>
      <c r="B89" s="305"/>
      <c r="C89" s="306"/>
      <c r="D89" s="306"/>
      <c r="E89" s="306"/>
      <c r="F89" s="36"/>
      <c r="G89" s="4"/>
      <c r="H89" s="177"/>
      <c r="I89" s="177"/>
    </row>
    <row r="90" spans="1:9">
      <c r="A90" s="154">
        <v>81</v>
      </c>
      <c r="B90" s="305"/>
      <c r="C90" s="306"/>
      <c r="D90" s="306"/>
      <c r="E90" s="306"/>
      <c r="F90" s="36"/>
      <c r="G90" s="4"/>
      <c r="H90" s="177"/>
      <c r="I90" s="177"/>
    </row>
    <row r="91" spans="1:9">
      <c r="A91" s="154">
        <v>82</v>
      </c>
      <c r="B91" s="305"/>
      <c r="C91" s="306"/>
      <c r="D91" s="306"/>
      <c r="E91" s="306"/>
      <c r="F91" s="36"/>
      <c r="G91" s="4"/>
      <c r="H91" s="177"/>
      <c r="I91" s="177"/>
    </row>
    <row r="92" spans="1:9">
      <c r="A92" s="154">
        <v>83</v>
      </c>
      <c r="B92" s="305"/>
      <c r="C92" s="306"/>
      <c r="D92" s="306"/>
      <c r="E92" s="306"/>
      <c r="F92" s="36"/>
      <c r="G92" s="4"/>
      <c r="H92" s="177"/>
      <c r="I92" s="177"/>
    </row>
    <row r="93" spans="1:9">
      <c r="A93" s="154">
        <v>84</v>
      </c>
      <c r="B93" s="305"/>
      <c r="C93" s="306"/>
      <c r="D93" s="306"/>
      <c r="E93" s="306"/>
      <c r="F93" s="36"/>
      <c r="G93" s="4"/>
      <c r="H93" s="177"/>
      <c r="I93" s="177"/>
    </row>
    <row r="94" spans="1:9">
      <c r="A94" s="154">
        <v>85</v>
      </c>
      <c r="B94" s="305"/>
      <c r="C94" s="306"/>
      <c r="D94" s="306"/>
      <c r="E94" s="306"/>
      <c r="F94" s="36"/>
      <c r="G94" s="4"/>
      <c r="H94" s="177"/>
      <c r="I94" s="177"/>
    </row>
    <row r="95" spans="1:9">
      <c r="A95" s="154">
        <v>86</v>
      </c>
      <c r="B95" s="305"/>
      <c r="C95" s="306"/>
      <c r="D95" s="306"/>
      <c r="E95" s="306"/>
      <c r="F95" s="36"/>
      <c r="G95" s="4"/>
      <c r="H95" s="177"/>
      <c r="I95" s="177"/>
    </row>
    <row r="96" spans="1:9">
      <c r="A96" s="154">
        <v>87</v>
      </c>
      <c r="B96" s="305"/>
      <c r="C96" s="306"/>
      <c r="D96" s="306"/>
      <c r="E96" s="306"/>
      <c r="F96" s="36"/>
      <c r="G96" s="4"/>
      <c r="H96" s="177"/>
      <c r="I96" s="177"/>
    </row>
    <row r="97" spans="1:9">
      <c r="A97" s="154">
        <v>88</v>
      </c>
      <c r="B97" s="305"/>
      <c r="C97" s="306"/>
      <c r="D97" s="306"/>
      <c r="E97" s="306"/>
      <c r="F97" s="36"/>
      <c r="G97" s="4"/>
      <c r="H97" s="177"/>
      <c r="I97" s="177"/>
    </row>
    <row r="98" spans="1:9">
      <c r="A98" s="154">
        <v>89</v>
      </c>
      <c r="B98" s="305"/>
      <c r="C98" s="306"/>
      <c r="D98" s="306"/>
      <c r="E98" s="306"/>
      <c r="F98" s="36"/>
      <c r="G98" s="4"/>
      <c r="H98" s="177"/>
      <c r="I98" s="177"/>
    </row>
    <row r="99" spans="1:9">
      <c r="A99" s="154">
        <v>90</v>
      </c>
      <c r="B99" s="305"/>
      <c r="C99" s="306"/>
      <c r="D99" s="306"/>
      <c r="E99" s="306"/>
      <c r="F99" s="36"/>
      <c r="G99" s="4"/>
      <c r="H99" s="177"/>
      <c r="I99" s="177"/>
    </row>
    <row r="100" spans="1:9">
      <c r="A100" s="154">
        <v>91</v>
      </c>
      <c r="B100" s="305"/>
      <c r="C100" s="306"/>
      <c r="D100" s="306"/>
      <c r="E100" s="306"/>
      <c r="F100" s="36"/>
      <c r="G100" s="4"/>
      <c r="H100" s="177"/>
      <c r="I100" s="177"/>
    </row>
    <row r="101" spans="1:9">
      <c r="A101" s="154">
        <v>92</v>
      </c>
      <c r="B101" s="305"/>
      <c r="C101" s="306"/>
      <c r="D101" s="306"/>
      <c r="E101" s="306"/>
      <c r="F101" s="36"/>
      <c r="G101" s="4"/>
      <c r="H101" s="177"/>
      <c r="I101" s="177"/>
    </row>
    <row r="102" spans="1:9">
      <c r="A102" s="154">
        <v>93</v>
      </c>
      <c r="B102" s="305"/>
      <c r="C102" s="306"/>
      <c r="D102" s="306"/>
      <c r="E102" s="306"/>
      <c r="F102" s="36"/>
      <c r="G102" s="4"/>
      <c r="H102" s="177"/>
      <c r="I102" s="177"/>
    </row>
    <row r="103" spans="1:9">
      <c r="A103" s="154">
        <v>94</v>
      </c>
      <c r="B103" s="305"/>
      <c r="C103" s="306"/>
      <c r="D103" s="306"/>
      <c r="E103" s="306"/>
      <c r="F103" s="36"/>
      <c r="G103" s="4"/>
      <c r="H103" s="177"/>
      <c r="I103" s="177"/>
    </row>
    <row r="104" spans="1:9">
      <c r="A104" s="154">
        <v>95</v>
      </c>
      <c r="B104" s="305"/>
      <c r="C104" s="306"/>
      <c r="D104" s="306"/>
      <c r="E104" s="306"/>
      <c r="F104" s="36"/>
      <c r="G104" s="4"/>
      <c r="H104" s="177"/>
      <c r="I104" s="177"/>
    </row>
    <row r="105" spans="1:9">
      <c r="A105" s="154">
        <v>96</v>
      </c>
      <c r="B105" s="305"/>
      <c r="C105" s="306"/>
      <c r="D105" s="306"/>
      <c r="E105" s="306"/>
      <c r="F105" s="36"/>
      <c r="G105" s="4"/>
      <c r="H105" s="177"/>
      <c r="I105" s="177"/>
    </row>
    <row r="106" spans="1:9">
      <c r="A106" s="154">
        <v>97</v>
      </c>
      <c r="B106" s="305"/>
      <c r="C106" s="306"/>
      <c r="D106" s="306"/>
      <c r="E106" s="306"/>
      <c r="F106" s="36"/>
      <c r="G106" s="4"/>
      <c r="H106" s="177"/>
      <c r="I106" s="177"/>
    </row>
    <row r="107" spans="1:9">
      <c r="A107" s="154">
        <v>98</v>
      </c>
      <c r="B107" s="305"/>
      <c r="C107" s="306"/>
      <c r="D107" s="306"/>
      <c r="E107" s="306"/>
      <c r="F107" s="36"/>
      <c r="G107" s="4"/>
      <c r="H107" s="177"/>
      <c r="I107" s="177"/>
    </row>
    <row r="108" spans="1:9">
      <c r="A108" s="154">
        <v>99</v>
      </c>
      <c r="B108" s="305"/>
      <c r="C108" s="306"/>
      <c r="D108" s="306"/>
      <c r="E108" s="306"/>
      <c r="F108" s="36"/>
      <c r="G108" s="4"/>
      <c r="H108" s="177"/>
      <c r="I108" s="177"/>
    </row>
    <row r="109" spans="1:9">
      <c r="A109" s="154">
        <v>100</v>
      </c>
      <c r="B109" s="305"/>
      <c r="C109" s="306"/>
      <c r="D109" s="306"/>
      <c r="E109" s="306"/>
      <c r="F109" s="36"/>
      <c r="G109" s="4"/>
      <c r="H109" s="177"/>
      <c r="I109" s="177"/>
    </row>
    <row r="110" spans="1:9">
      <c r="A110" s="179" t="s">
        <v>61</v>
      </c>
      <c r="B110" s="175">
        <f>SUM(B10:B109)</f>
        <v>0</v>
      </c>
      <c r="C110" s="175">
        <f>SUM(C10:C109)</f>
        <v>999611.36363636365</v>
      </c>
      <c r="D110" s="175">
        <f>SUM(D10:D109)</f>
        <v>0</v>
      </c>
      <c r="E110" s="175">
        <f>SUM(E10:E109)</f>
        <v>0</v>
      </c>
      <c r="F110" s="175"/>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92" t="str">
        <f>'LEN F1'!F3</f>
        <v>Fleet 1 Northern Chile</v>
      </c>
      <c r="H3" s="393"/>
      <c r="I3" s="393"/>
      <c r="J3" s="39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2007</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topLeftCell="H17" workbookViewId="0">
      <selection activeCell="S26" sqref="S26:AC6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F2'!F3</f>
        <v>Fleet 2 South-Central Chile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2007</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F3'!F3</f>
        <v>Fleet 3 Peru &amp; Equador</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2007</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opLeftCell="G1" workbookViewId="0">
      <selection activeCell="V22" sqref="V22"/>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s="149" customFormat="1"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F4'!F3</f>
        <v>Fleet 4 Offshore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2007</v>
      </c>
      <c r="C5" s="388"/>
      <c r="D5" s="389"/>
      <c r="E5" s="177"/>
      <c r="F5" s="34" t="s">
        <v>39</v>
      </c>
      <c r="G5" s="377" t="s">
        <v>142</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2007</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2007</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2007</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2007</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F1'!F3</f>
        <v>Fleet 1 Northern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2007</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2007</v>
      </c>
      <c r="C10" s="181">
        <f>'START HERE'!$K$3</f>
        <v>2007</v>
      </c>
      <c r="D10" s="181">
        <f>'START HERE'!$K$3</f>
        <v>2007</v>
      </c>
      <c r="E10" s="180">
        <f>'START HERE'!$K$3</f>
        <v>2007</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F2'!F3</f>
        <v>Fleet 2 South-Central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2007</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2007</v>
      </c>
      <c r="C10" s="181">
        <f>'START HERE'!$K$3</f>
        <v>2007</v>
      </c>
      <c r="D10" s="181">
        <f>'START HERE'!$K$3</f>
        <v>2007</v>
      </c>
      <c r="E10" s="180">
        <f>'START HERE'!$K$3</f>
        <v>2007</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F3'!F3</f>
        <v>Fleet 3 Peru &amp; Equador</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2007</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2007</v>
      </c>
      <c r="C10" s="181">
        <f>'START HERE'!$K$3</f>
        <v>2007</v>
      </c>
      <c r="D10" s="181">
        <f>'START HERE'!$K$3</f>
        <v>2007</v>
      </c>
      <c r="E10" s="180">
        <f>'START HERE'!$K$3</f>
        <v>2007</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F4'!F3</f>
        <v>Fleet 4 Offshore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2007</v>
      </c>
      <c r="C5" s="388"/>
      <c r="D5" s="389"/>
      <c r="E5" s="177"/>
      <c r="F5" s="12" t="s">
        <v>39</v>
      </c>
      <c r="G5" s="324" t="s">
        <v>137</v>
      </c>
      <c r="H5" s="334"/>
      <c r="I5" s="335"/>
      <c r="J5" s="177"/>
      <c r="K5" s="178"/>
      <c r="L5" s="149"/>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2007</v>
      </c>
      <c r="C10" s="181">
        <f>'START HERE'!$K$3</f>
        <v>2007</v>
      </c>
      <c r="D10" s="181">
        <f>'START HERE'!$K$3</f>
        <v>2007</v>
      </c>
      <c r="E10" s="180">
        <f>'START HERE'!$K$3</f>
        <v>2007</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75"/>
  <cols>
    <col min="1" max="1" width="10.85546875" customWidth="1"/>
    <col min="2" max="2" width="11.140625" customWidth="1"/>
    <col min="3" max="3" width="14.28515625" customWidth="1"/>
  </cols>
  <sheetData>
    <row r="1" spans="1:4">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9716590-82CA-410C-B118-E787241F3D8D}">
  <ds:schemaRefs>
    <ds:schemaRef ds:uri="http://schemas.microsoft.com/sharepoint/v3/contenttype/forms"/>
  </ds:schemaRefs>
</ds:datastoreItem>
</file>

<file path=customXml/itemProps2.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2022-06-13T13:00:22Z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