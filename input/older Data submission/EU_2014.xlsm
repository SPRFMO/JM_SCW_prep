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21" documentId="8_{45D8C128-0BEF-4579-A04C-58767803BE05}" xr6:coauthVersionLast="46" xr6:coauthVersionMax="47" xr10:uidLastSave="{200DD8E0-C9BD-4217-9EFF-1846FEFBD359}"/>
  <bookViews>
    <workbookView xWindow="-110" yWindow="-110" windowWidth="19420" windowHeight="10420" tabRatio="892" activeTab="11"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<sst xmlns="http://schemas.openxmlformats.org/spreadsheetml/2006/main" count="843" uniqueCount="146">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</sst>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2014 lengte naar leeftijd 2014.xlsx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2014</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G7" sqref="G7"/>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2014</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opLeftCell="A12" zoomScale="75" zoomScaleNormal="75" workbookViewId="0">
      <selection activeCell="E21" sqref="E21"/>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2014</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2014</v>
      </c>
      <c r="C13" s="365"/>
      <c r="D13" s="366"/>
      <c r="E13" s="364">
        <f>'START HERE'!$K$3</f>
        <v>2014</v>
      </c>
      <c r="F13" s="365"/>
      <c r="G13" s="366"/>
      <c r="H13" s="364">
        <f>'START HERE'!$K$3</f>
        <v>2014</v>
      </c>
      <c r="I13" s="365"/>
      <c r="J13" s="366"/>
      <c r="K13" s="364">
        <f>'START HERE'!$K$3</f>
        <v>2014</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20538.73</v>
      </c>
      <c r="F20" s="238"/>
      <c r="G20" s="239"/>
      <c r="H20" s="232"/>
      <c r="I20" s="238"/>
      <c r="J20" s="239"/>
      <c r="K20" s="232"/>
      <c r="L20" s="238"/>
      <c r="M20" s="240"/>
      <c r="N20" s="290">
        <f t="shared" si="0"/>
        <v>20538.73</v>
      </c>
      <c r="O20" s="291">
        <f t="shared" si="0"/>
        <v>0</v>
      </c>
      <c r="P20" s="292">
        <f t="shared" si="0"/>
        <v>0</v>
      </c>
      <c r="Q20" s="241">
        <f t="shared" si="1"/>
        <v>20538.73</v>
      </c>
      <c r="R20" s="285"/>
      <c r="S20" s="162" t="s">
        <v>85</v>
      </c>
    </row>
    <row r="21" spans="1:19" ht="24.75" customHeight="1" thickBot="1">
      <c r="A21" s="264" t="s">
        <v>49</v>
      </c>
      <c r="B21" s="242">
        <f t="shared" ref="B21:M21" si="2">SUM(B17:B20)</f>
        <v>0</v>
      </c>
      <c r="C21" s="243">
        <f t="shared" si="2"/>
        <v>0</v>
      </c>
      <c r="D21" s="244">
        <f t="shared" si="2"/>
        <v>0</v>
      </c>
      <c r="E21" s="242">
        <f t="shared" si="2"/>
        <v>20538.73</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20538.73</v>
      </c>
      <c r="O21" s="294">
        <f t="shared" si="0"/>
        <v>0</v>
      </c>
      <c r="P21" s="295">
        <f t="shared" si="0"/>
        <v>0</v>
      </c>
      <c r="Q21" s="249">
        <f>SUM(Q17:Q20)</f>
        <v>20538.73</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20538.73)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H14" sqref="H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2014</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2014</v>
      </c>
      <c r="F8" s="370" t="s">
        <v>30</v>
      </c>
      <c r="G8" s="371"/>
      <c r="H8" s="371"/>
      <c r="I8" s="188">
        <f>'START HERE'!K3</f>
        <v>2014</v>
      </c>
      <c r="J8" s="370" t="s">
        <v>31</v>
      </c>
      <c r="K8" s="371"/>
      <c r="L8" s="371"/>
      <c r="M8" s="188">
        <f>'START HERE'!K3</f>
        <v>2014</v>
      </c>
      <c r="N8" s="186" t="s">
        <v>32</v>
      </c>
      <c r="O8" s="187"/>
      <c r="P8" s="187"/>
      <c r="Q8" s="188">
        <f>'START HERE'!K3</f>
        <v>2014</v>
      </c>
      <c r="R8" s="370" t="s">
        <v>33</v>
      </c>
      <c r="S8" s="371"/>
      <c r="T8" s="371"/>
      <c r="U8" s="188">
        <f>'START HERE'!K3</f>
        <v>2014</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v>3064</v>
      </c>
      <c r="J14" s="57"/>
      <c r="K14" s="54"/>
      <c r="L14" s="54"/>
      <c r="M14" s="55"/>
      <c r="N14" s="57"/>
      <c r="O14" s="68"/>
      <c r="P14" s="68"/>
      <c r="Q14" s="69"/>
      <c r="R14" s="59">
        <f t="shared" si="0"/>
        <v>0</v>
      </c>
      <c r="S14" s="62">
        <f t="shared" si="0"/>
        <v>0</v>
      </c>
      <c r="T14" s="62">
        <f t="shared" si="0"/>
        <v>0</v>
      </c>
      <c r="U14" s="63">
        <f t="shared" si="0"/>
        <v>3064</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3064</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3064</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2014</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2014</v>
      </c>
      <c r="C9" s="181">
        <f>'START HERE'!$K$3</f>
        <v>2014</v>
      </c>
      <c r="D9" s="181">
        <f>'START HERE'!$K$3</f>
        <v>2014</v>
      </c>
      <c r="E9" s="181">
        <f>'START HERE'!$K$3</f>
        <v>2014</v>
      </c>
      <c r="F9" s="180">
        <f>'START HERE'!$K$3</f>
        <v>2014</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2014</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2014</v>
      </c>
      <c r="C9" s="181">
        <f>'START HERE'!$K$3</f>
        <v>2014</v>
      </c>
      <c r="D9" s="181">
        <f>'START HERE'!$K$3</f>
        <v>2014</v>
      </c>
      <c r="E9" s="181">
        <f>'START HERE'!$K$3</f>
        <v>2014</v>
      </c>
      <c r="F9" s="180">
        <f>'START HERE'!$K$3</f>
        <v>2014</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2014</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2014</v>
      </c>
      <c r="C9" s="181">
        <f>'START HERE'!$K$3</f>
        <v>2014</v>
      </c>
      <c r="D9" s="181">
        <f>'START HERE'!$K$3</f>
        <v>2014</v>
      </c>
      <c r="E9" s="181">
        <f>'START HERE'!$K$3</f>
        <v>2014</v>
      </c>
      <c r="F9" s="180">
        <f>'START HERE'!$K$3</f>
        <v>2014</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25" activePane="bottomLeft" state="frozen"/>
      <selection activeCell="G5" sqref="G5:J5"/>
      <selection pane="bottomLeft" activeCell="G29" sqref="G29"/>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2014</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2014</v>
      </c>
      <c r="C9" s="181">
        <f>'START HERE'!$K$3</f>
        <v>2014</v>
      </c>
      <c r="D9" s="181">
        <f>'START HERE'!$K$3</f>
        <v>2014</v>
      </c>
      <c r="E9" s="181">
        <f>'START HERE'!$K$3</f>
        <v>2014</v>
      </c>
      <c r="F9" s="180">
        <f>'START HERE'!$K$3</f>
        <v>2014</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v>6.2350000000000003</v>
      </c>
      <c r="D26" s="306"/>
      <c r="E26" s="306"/>
      <c r="F26" s="36"/>
      <c r="G26" s="4"/>
      <c r="H26" s="177"/>
      <c r="I26" s="177"/>
    </row>
    <row r="27" spans="1:9">
      <c r="A27" s="154">
        <v>18</v>
      </c>
      <c r="B27" s="305"/>
      <c r="C27" s="306">
        <v>121.6109245381621</v>
      </c>
      <c r="D27" s="306"/>
      <c r="E27" s="306"/>
      <c r="F27" s="36"/>
      <c r="G27" s="4"/>
      <c r="H27" s="177"/>
      <c r="I27" s="177"/>
    </row>
    <row r="28" spans="1:9">
      <c r="A28" s="154">
        <v>19</v>
      </c>
      <c r="B28" s="305"/>
      <c r="C28" s="306">
        <v>152.27796383173308</v>
      </c>
      <c r="D28" s="306"/>
      <c r="E28" s="306"/>
      <c r="F28" s="36"/>
      <c r="G28" s="4"/>
      <c r="H28" s="177"/>
      <c r="I28" s="177"/>
    </row>
    <row r="29" spans="1:9">
      <c r="A29" s="154">
        <v>20</v>
      </c>
      <c r="B29" s="305"/>
      <c r="C29" s="306">
        <v>65.780581272176832</v>
      </c>
      <c r="D29" s="306"/>
      <c r="E29" s="306"/>
      <c r="F29" s="36"/>
      <c r="G29" s="4"/>
      <c r="H29" s="177"/>
      <c r="I29" s="177"/>
    </row>
    <row r="30" spans="1:9">
      <c r="A30" s="154">
        <v>21</v>
      </c>
      <c r="B30" s="305"/>
      <c r="C30" s="306">
        <v>75.808529589576892</v>
      </c>
      <c r="D30" s="306"/>
      <c r="E30" s="306"/>
      <c r="F30" s="36"/>
      <c r="G30" s="4"/>
      <c r="H30" s="177"/>
      <c r="I30" s="177"/>
    </row>
    <row r="31" spans="1:9">
      <c r="A31" s="154">
        <v>22</v>
      </c>
      <c r="B31" s="305"/>
      <c r="C31" s="306">
        <v>14.48741921436374</v>
      </c>
      <c r="D31" s="306"/>
      <c r="E31" s="306"/>
      <c r="F31" s="36"/>
      <c r="G31" s="4"/>
      <c r="H31" s="177"/>
      <c r="I31" s="177"/>
    </row>
    <row r="32" spans="1:9">
      <c r="A32" s="154">
        <v>23</v>
      </c>
      <c r="B32" s="305"/>
      <c r="C32" s="306">
        <v>9.4647298532275617</v>
      </c>
      <c r="D32" s="306"/>
      <c r="E32" s="306"/>
      <c r="F32" s="36"/>
      <c r="G32" s="4"/>
      <c r="H32" s="177"/>
      <c r="I32" s="177"/>
    </row>
    <row r="33" spans="1:9">
      <c r="A33" s="154">
        <v>24</v>
      </c>
      <c r="B33" s="305"/>
      <c r="C33" s="306">
        <v>29.063579480610905</v>
      </c>
      <c r="D33" s="306"/>
      <c r="E33" s="306"/>
      <c r="F33" s="36"/>
      <c r="G33" s="4"/>
      <c r="H33" s="177"/>
      <c r="I33" s="177"/>
    </row>
    <row r="34" spans="1:9">
      <c r="A34" s="154">
        <v>25</v>
      </c>
      <c r="B34" s="305"/>
      <c r="C34" s="306">
        <v>197.69735559577387</v>
      </c>
      <c r="D34" s="306"/>
      <c r="E34" s="306"/>
      <c r="F34" s="36"/>
      <c r="G34" s="4"/>
      <c r="H34" s="177"/>
      <c r="I34" s="177"/>
    </row>
    <row r="35" spans="1:9">
      <c r="A35" s="154">
        <v>26</v>
      </c>
      <c r="B35" s="305"/>
      <c r="C35" s="306">
        <v>2457.2575607775038</v>
      </c>
      <c r="D35" s="306"/>
      <c r="E35" s="306"/>
      <c r="F35" s="36"/>
      <c r="G35" s="4"/>
      <c r="H35" s="177"/>
      <c r="I35" s="177"/>
    </row>
    <row r="36" spans="1:9">
      <c r="A36" s="154">
        <v>27</v>
      </c>
      <c r="B36" s="305"/>
      <c r="C36" s="306">
        <v>8427.8688184764997</v>
      </c>
      <c r="D36" s="306"/>
      <c r="E36" s="306"/>
      <c r="F36" s="36"/>
      <c r="G36" s="4"/>
      <c r="H36" s="177"/>
      <c r="I36" s="177"/>
    </row>
    <row r="37" spans="1:9">
      <c r="A37" s="154">
        <v>28</v>
      </c>
      <c r="B37" s="305"/>
      <c r="C37" s="306">
        <v>8691.0169986264409</v>
      </c>
      <c r="D37" s="306"/>
      <c r="E37" s="306"/>
      <c r="F37" s="36"/>
      <c r="G37" s="4"/>
      <c r="H37" s="177"/>
      <c r="I37" s="177"/>
    </row>
    <row r="38" spans="1:9">
      <c r="A38" s="154">
        <v>29</v>
      </c>
      <c r="B38" s="305"/>
      <c r="C38" s="306">
        <v>3488.091099365085</v>
      </c>
      <c r="D38" s="306"/>
      <c r="E38" s="306"/>
      <c r="F38" s="36"/>
      <c r="G38" s="4"/>
      <c r="H38" s="177"/>
      <c r="I38" s="177"/>
    </row>
    <row r="39" spans="1:9">
      <c r="A39" s="154">
        <v>30</v>
      </c>
      <c r="B39" s="305"/>
      <c r="C39" s="306">
        <v>769.20907652782455</v>
      </c>
      <c r="D39" s="306"/>
      <c r="E39" s="306"/>
      <c r="F39" s="36"/>
      <c r="G39" s="4"/>
      <c r="H39" s="177"/>
      <c r="I39" s="177"/>
    </row>
    <row r="40" spans="1:9">
      <c r="A40" s="154">
        <v>31</v>
      </c>
      <c r="B40" s="305"/>
      <c r="C40" s="306">
        <v>464.04665767103796</v>
      </c>
      <c r="D40" s="306"/>
      <c r="E40" s="306"/>
      <c r="F40" s="36"/>
      <c r="G40" s="4"/>
      <c r="H40" s="177"/>
      <c r="I40" s="177"/>
    </row>
    <row r="41" spans="1:9">
      <c r="A41" s="154">
        <v>32</v>
      </c>
      <c r="B41" s="305"/>
      <c r="C41" s="306">
        <v>1188.9737325020994</v>
      </c>
      <c r="D41" s="306"/>
      <c r="E41" s="306"/>
      <c r="F41" s="36"/>
      <c r="G41" s="4"/>
      <c r="H41" s="177"/>
      <c r="I41" s="177"/>
    </row>
    <row r="42" spans="1:9">
      <c r="A42" s="154">
        <v>33</v>
      </c>
      <c r="B42" s="305"/>
      <c r="C42" s="306">
        <v>2225.6939910634314</v>
      </c>
      <c r="D42" s="306"/>
      <c r="E42" s="306"/>
      <c r="F42" s="36"/>
      <c r="G42" s="4"/>
      <c r="H42" s="177"/>
      <c r="I42" s="177"/>
    </row>
    <row r="43" spans="1:9">
      <c r="A43" s="154">
        <v>34</v>
      </c>
      <c r="B43" s="305"/>
      <c r="C43" s="306">
        <v>2797.7774332804861</v>
      </c>
      <c r="D43" s="306"/>
      <c r="E43" s="306"/>
      <c r="F43" s="36"/>
      <c r="G43" s="4"/>
      <c r="H43" s="177"/>
      <c r="I43" s="177"/>
    </row>
    <row r="44" spans="1:9">
      <c r="A44" s="154">
        <v>35</v>
      </c>
      <c r="B44" s="305"/>
      <c r="C44" s="306">
        <v>3135.9221830181509</v>
      </c>
      <c r="D44" s="306"/>
      <c r="E44" s="306"/>
      <c r="F44" s="36"/>
      <c r="G44" s="4"/>
      <c r="H44" s="177"/>
      <c r="I44" s="177"/>
    </row>
    <row r="45" spans="1:9">
      <c r="A45" s="154">
        <v>36</v>
      </c>
      <c r="B45" s="305"/>
      <c r="C45" s="306">
        <v>3923.0326444779998</v>
      </c>
      <c r="D45" s="306"/>
      <c r="E45" s="306"/>
      <c r="F45" s="36"/>
      <c r="G45" s="4"/>
      <c r="H45" s="177"/>
      <c r="I45" s="177"/>
    </row>
    <row r="46" spans="1:9">
      <c r="A46" s="154">
        <v>37</v>
      </c>
      <c r="B46" s="305"/>
      <c r="C46" s="306">
        <v>3563.42862227461</v>
      </c>
      <c r="D46" s="306"/>
      <c r="E46" s="306"/>
      <c r="F46" s="36"/>
      <c r="G46" s="4"/>
      <c r="H46" s="177"/>
      <c r="I46" s="177"/>
    </row>
    <row r="47" spans="1:9">
      <c r="A47" s="154">
        <v>38</v>
      </c>
      <c r="B47" s="305"/>
      <c r="C47" s="306">
        <v>2461.3510775160426</v>
      </c>
      <c r="D47" s="306"/>
      <c r="E47" s="306"/>
      <c r="F47" s="36"/>
      <c r="G47" s="4"/>
      <c r="H47" s="177"/>
      <c r="I47" s="177"/>
    </row>
    <row r="48" spans="1:9">
      <c r="A48" s="154">
        <v>39</v>
      </c>
      <c r="B48" s="305"/>
      <c r="C48" s="306">
        <v>1739.3210833281983</v>
      </c>
      <c r="D48" s="306"/>
      <c r="E48" s="306"/>
      <c r="F48" s="36"/>
      <c r="G48" s="4"/>
      <c r="H48" s="177"/>
      <c r="I48" s="177"/>
    </row>
    <row r="49" spans="1:9">
      <c r="A49" s="154">
        <v>40</v>
      </c>
      <c r="B49" s="305"/>
      <c r="C49" s="306">
        <v>1186.2984572230964</v>
      </c>
      <c r="D49" s="306"/>
      <c r="E49" s="306"/>
      <c r="F49" s="36"/>
      <c r="G49" s="4"/>
      <c r="H49" s="177"/>
      <c r="I49" s="177"/>
    </row>
    <row r="50" spans="1:9">
      <c r="A50" s="154">
        <v>41</v>
      </c>
      <c r="B50" s="305"/>
      <c r="C50" s="306">
        <v>876.00815295055997</v>
      </c>
      <c r="D50" s="306"/>
      <c r="E50" s="306"/>
      <c r="F50" s="36"/>
      <c r="G50" s="4"/>
      <c r="H50" s="177"/>
      <c r="I50" s="177"/>
    </row>
    <row r="51" spans="1:9">
      <c r="A51" s="154">
        <v>42</v>
      </c>
      <c r="B51" s="305"/>
      <c r="C51" s="306">
        <v>616.04934274358345</v>
      </c>
      <c r="D51" s="306"/>
      <c r="E51" s="306"/>
      <c r="F51" s="36"/>
      <c r="G51" s="4"/>
      <c r="H51" s="177"/>
      <c r="I51" s="177"/>
    </row>
    <row r="52" spans="1:9">
      <c r="A52" s="154">
        <v>43</v>
      </c>
      <c r="B52" s="305"/>
      <c r="C52" s="306">
        <v>512.10185089199899</v>
      </c>
      <c r="D52" s="306"/>
      <c r="E52" s="306"/>
      <c r="F52" s="36"/>
      <c r="G52" s="4"/>
      <c r="H52" s="177"/>
      <c r="I52" s="177"/>
    </row>
    <row r="53" spans="1:9">
      <c r="A53" s="154">
        <v>44</v>
      </c>
      <c r="B53" s="305"/>
      <c r="C53" s="306">
        <v>416.58089365814999</v>
      </c>
      <c r="D53" s="306"/>
      <c r="E53" s="306"/>
      <c r="F53" s="36"/>
      <c r="G53" s="4"/>
      <c r="H53" s="177"/>
      <c r="I53" s="177"/>
    </row>
    <row r="54" spans="1:9">
      <c r="A54" s="154">
        <v>45</v>
      </c>
      <c r="B54" s="305"/>
      <c r="C54" s="306">
        <v>362.1442702782067</v>
      </c>
      <c r="D54" s="306"/>
      <c r="E54" s="306"/>
      <c r="F54" s="36"/>
      <c r="G54" s="4"/>
      <c r="H54" s="177"/>
      <c r="I54" s="177"/>
    </row>
    <row r="55" spans="1:9">
      <c r="A55" s="154">
        <v>46</v>
      </c>
      <c r="B55" s="305"/>
      <c r="C55" s="306">
        <v>236.65829412840037</v>
      </c>
      <c r="D55" s="306"/>
      <c r="E55" s="306"/>
      <c r="F55" s="36"/>
      <c r="G55" s="4"/>
      <c r="H55" s="177"/>
      <c r="I55" s="177"/>
    </row>
    <row r="56" spans="1:9">
      <c r="A56" s="154">
        <v>47</v>
      </c>
      <c r="B56" s="305"/>
      <c r="C56" s="306">
        <v>174.8895476965173</v>
      </c>
      <c r="D56" s="306"/>
      <c r="E56" s="306"/>
      <c r="F56" s="36"/>
      <c r="G56" s="4"/>
      <c r="H56" s="177"/>
      <c r="I56" s="177"/>
    </row>
    <row r="57" spans="1:9">
      <c r="A57" s="154">
        <v>48</v>
      </c>
      <c r="B57" s="305"/>
      <c r="C57" s="306">
        <v>126.42813143553782</v>
      </c>
      <c r="D57" s="306"/>
      <c r="E57" s="306"/>
      <c r="F57" s="36"/>
      <c r="G57" s="4"/>
      <c r="H57" s="177"/>
      <c r="I57" s="177"/>
    </row>
    <row r="58" spans="1:9">
      <c r="A58" s="154">
        <v>49</v>
      </c>
      <c r="B58" s="305"/>
      <c r="C58" s="306">
        <v>36.093806197860033</v>
      </c>
      <c r="D58" s="306"/>
      <c r="E58" s="306"/>
      <c r="F58" s="36"/>
      <c r="G58" s="4"/>
      <c r="H58" s="177"/>
      <c r="I58" s="177"/>
    </row>
    <row r="59" spans="1:9">
      <c r="A59" s="154">
        <v>50</v>
      </c>
      <c r="B59" s="305"/>
      <c r="C59" s="306">
        <v>35.578294762548808</v>
      </c>
      <c r="D59" s="306"/>
      <c r="E59" s="306"/>
      <c r="F59" s="36"/>
      <c r="G59" s="4"/>
      <c r="H59" s="177"/>
      <c r="I59" s="177"/>
    </row>
    <row r="60" spans="1:9">
      <c r="A60" s="154">
        <v>51</v>
      </c>
      <c r="B60" s="305"/>
      <c r="C60" s="306">
        <v>6.4887609531137098</v>
      </c>
      <c r="D60" s="306"/>
      <c r="E60" s="306"/>
      <c r="F60" s="36"/>
      <c r="G60" s="4"/>
      <c r="H60" s="177"/>
      <c r="I60" s="177"/>
    </row>
    <row r="61" spans="1:9">
      <c r="A61" s="154">
        <v>52</v>
      </c>
      <c r="B61" s="305"/>
      <c r="C61" s="306">
        <v>1.1378517633566831</v>
      </c>
      <c r="D61" s="306"/>
      <c r="E61" s="306"/>
      <c r="F61" s="36"/>
      <c r="G61" s="4"/>
      <c r="H61" s="177"/>
      <c r="I61" s="177"/>
    </row>
    <row r="62" spans="1:9">
      <c r="A62" s="154">
        <v>53</v>
      </c>
      <c r="B62" s="305"/>
      <c r="C62" s="306">
        <v>1.6954617693404366</v>
      </c>
      <c r="D62" s="306"/>
      <c r="E62" s="306"/>
      <c r="F62" s="36"/>
      <c r="G62" s="4"/>
      <c r="H62" s="177"/>
      <c r="I62" s="177"/>
    </row>
    <row r="63" spans="1:9">
      <c r="A63" s="154">
        <v>54</v>
      </c>
      <c r="B63" s="305"/>
      <c r="C63" s="306">
        <v>1.4007781473150553</v>
      </c>
      <c r="D63" s="306"/>
      <c r="E63" s="306"/>
      <c r="F63" s="36"/>
      <c r="G63" s="4"/>
      <c r="H63" s="177"/>
      <c r="I63" s="177"/>
    </row>
    <row r="64" spans="1:9">
      <c r="A64" s="154">
        <v>55</v>
      </c>
      <c r="B64" s="305"/>
      <c r="C64" s="306">
        <v>0.39354120560207273</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50595.364498086237</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2014</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2014</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2014</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abSelected="1" topLeftCell="G1" workbookViewId="0">
      <selection activeCell="M6" sqref="M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2014</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v>0</v>
      </c>
      <c r="T26" s="312">
        <v>0</v>
      </c>
      <c r="U26" s="312">
        <v>0</v>
      </c>
      <c r="V26" s="312">
        <v>0</v>
      </c>
      <c r="W26" s="312">
        <v>0</v>
      </c>
      <c r="X26" s="312">
        <v>0</v>
      </c>
      <c r="Y26" s="312">
        <v>0</v>
      </c>
      <c r="Z26" s="312">
        <v>0</v>
      </c>
      <c r="AA26" s="312">
        <v>0</v>
      </c>
      <c r="AB26" s="312">
        <v>0</v>
      </c>
      <c r="AC26" s="313">
        <v>0</v>
      </c>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v>0</v>
      </c>
      <c r="T27" s="312">
        <v>0</v>
      </c>
      <c r="U27" s="312">
        <v>0</v>
      </c>
      <c r="V27" s="312">
        <v>0</v>
      </c>
      <c r="W27" s="312">
        <v>0</v>
      </c>
      <c r="X27" s="312">
        <v>0</v>
      </c>
      <c r="Y27" s="312">
        <v>0</v>
      </c>
      <c r="Z27" s="312">
        <v>0</v>
      </c>
      <c r="AA27" s="312">
        <v>0</v>
      </c>
      <c r="AB27" s="312">
        <v>0</v>
      </c>
      <c r="AC27" s="313">
        <v>0</v>
      </c>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v>2</v>
      </c>
      <c r="T28" s="312">
        <v>0</v>
      </c>
      <c r="U28" s="312">
        <v>0</v>
      </c>
      <c r="V28" s="312">
        <v>0</v>
      </c>
      <c r="W28" s="312">
        <v>0</v>
      </c>
      <c r="X28" s="312">
        <v>0</v>
      </c>
      <c r="Y28" s="312">
        <v>0</v>
      </c>
      <c r="Z28" s="312">
        <v>0</v>
      </c>
      <c r="AA28" s="312">
        <v>0</v>
      </c>
      <c r="AB28" s="312">
        <v>0</v>
      </c>
      <c r="AC28" s="313">
        <v>0</v>
      </c>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v>3</v>
      </c>
      <c r="T29" s="312">
        <v>0</v>
      </c>
      <c r="U29" s="312">
        <v>0</v>
      </c>
      <c r="V29" s="312">
        <v>0</v>
      </c>
      <c r="W29" s="312">
        <v>0</v>
      </c>
      <c r="X29" s="312">
        <v>0</v>
      </c>
      <c r="Y29" s="312">
        <v>0</v>
      </c>
      <c r="Z29" s="312">
        <v>0</v>
      </c>
      <c r="AA29" s="312">
        <v>0</v>
      </c>
      <c r="AB29" s="312">
        <v>0</v>
      </c>
      <c r="AC29" s="313">
        <v>0</v>
      </c>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v>3</v>
      </c>
      <c r="T30" s="312">
        <v>0</v>
      </c>
      <c r="U30" s="312">
        <v>0</v>
      </c>
      <c r="V30" s="312">
        <v>0</v>
      </c>
      <c r="W30" s="312">
        <v>0</v>
      </c>
      <c r="X30" s="312">
        <v>0</v>
      </c>
      <c r="Y30" s="312">
        <v>0</v>
      </c>
      <c r="Z30" s="312">
        <v>0</v>
      </c>
      <c r="AA30" s="312">
        <v>0</v>
      </c>
      <c r="AB30" s="312">
        <v>0</v>
      </c>
      <c r="AC30" s="313">
        <v>0</v>
      </c>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v>3</v>
      </c>
      <c r="T31" s="312">
        <v>0</v>
      </c>
      <c r="U31" s="312">
        <v>0</v>
      </c>
      <c r="V31" s="312">
        <v>0</v>
      </c>
      <c r="W31" s="312">
        <v>0</v>
      </c>
      <c r="X31" s="312">
        <v>0</v>
      </c>
      <c r="Y31" s="312">
        <v>0</v>
      </c>
      <c r="Z31" s="312">
        <v>0</v>
      </c>
      <c r="AA31" s="312">
        <v>0</v>
      </c>
      <c r="AB31" s="312">
        <v>0</v>
      </c>
      <c r="AC31" s="313">
        <v>0</v>
      </c>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v>3</v>
      </c>
      <c r="T32" s="312">
        <v>0</v>
      </c>
      <c r="U32" s="312">
        <v>0</v>
      </c>
      <c r="V32" s="312">
        <v>0</v>
      </c>
      <c r="W32" s="312">
        <v>0</v>
      </c>
      <c r="X32" s="312">
        <v>0</v>
      </c>
      <c r="Y32" s="312">
        <v>0</v>
      </c>
      <c r="Z32" s="312">
        <v>0</v>
      </c>
      <c r="AA32" s="312">
        <v>0</v>
      </c>
      <c r="AB32" s="312">
        <v>0</v>
      </c>
      <c r="AC32" s="313">
        <v>0</v>
      </c>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v>3</v>
      </c>
      <c r="T33" s="312">
        <v>0</v>
      </c>
      <c r="U33" s="312">
        <v>0</v>
      </c>
      <c r="V33" s="312">
        <v>0</v>
      </c>
      <c r="W33" s="312">
        <v>0</v>
      </c>
      <c r="X33" s="312">
        <v>0</v>
      </c>
      <c r="Y33" s="312">
        <v>0</v>
      </c>
      <c r="Z33" s="312">
        <v>0</v>
      </c>
      <c r="AA33" s="312">
        <v>0</v>
      </c>
      <c r="AB33" s="312">
        <v>0</v>
      </c>
      <c r="AC33" s="313">
        <v>0</v>
      </c>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v>3</v>
      </c>
      <c r="T34" s="312">
        <v>0</v>
      </c>
      <c r="U34" s="312">
        <v>0</v>
      </c>
      <c r="V34" s="312">
        <v>0</v>
      </c>
      <c r="W34" s="312">
        <v>0</v>
      </c>
      <c r="X34" s="312">
        <v>0</v>
      </c>
      <c r="Y34" s="312">
        <v>0</v>
      </c>
      <c r="Z34" s="312">
        <v>0</v>
      </c>
      <c r="AA34" s="312">
        <v>0</v>
      </c>
      <c r="AB34" s="312">
        <v>0</v>
      </c>
      <c r="AC34" s="313">
        <v>0</v>
      </c>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v>0</v>
      </c>
      <c r="T35" s="312">
        <v>3</v>
      </c>
      <c r="U35" s="312">
        <v>0</v>
      </c>
      <c r="V35" s="312">
        <v>0</v>
      </c>
      <c r="W35" s="312">
        <v>0</v>
      </c>
      <c r="X35" s="312">
        <v>0</v>
      </c>
      <c r="Y35" s="312">
        <v>0</v>
      </c>
      <c r="Z35" s="312">
        <v>0</v>
      </c>
      <c r="AA35" s="312">
        <v>0</v>
      </c>
      <c r="AB35" s="312">
        <v>0</v>
      </c>
      <c r="AC35" s="313">
        <v>0</v>
      </c>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v>0</v>
      </c>
      <c r="T36" s="312">
        <v>3</v>
      </c>
      <c r="U36" s="312">
        <v>0</v>
      </c>
      <c r="V36" s="312">
        <v>0</v>
      </c>
      <c r="W36" s="312">
        <v>0</v>
      </c>
      <c r="X36" s="312">
        <v>0</v>
      </c>
      <c r="Y36" s="312">
        <v>0</v>
      </c>
      <c r="Z36" s="312">
        <v>0</v>
      </c>
      <c r="AA36" s="312">
        <v>0</v>
      </c>
      <c r="AB36" s="312">
        <v>0</v>
      </c>
      <c r="AC36" s="313">
        <v>0</v>
      </c>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v>6</v>
      </c>
      <c r="T37" s="312">
        <v>27</v>
      </c>
      <c r="U37" s="312">
        <v>9</v>
      </c>
      <c r="V37" s="312">
        <v>0</v>
      </c>
      <c r="W37" s="312">
        <v>0</v>
      </c>
      <c r="X37" s="312">
        <v>0</v>
      </c>
      <c r="Y37" s="312">
        <v>0</v>
      </c>
      <c r="Z37" s="312">
        <v>0</v>
      </c>
      <c r="AA37" s="312">
        <v>0</v>
      </c>
      <c r="AB37" s="312">
        <v>0</v>
      </c>
      <c r="AC37" s="313">
        <v>0</v>
      </c>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v>0</v>
      </c>
      <c r="T38" s="312">
        <v>156</v>
      </c>
      <c r="U38" s="312">
        <v>78</v>
      </c>
      <c r="V38" s="312">
        <v>6</v>
      </c>
      <c r="W38" s="312">
        <v>0</v>
      </c>
      <c r="X38" s="312">
        <v>0</v>
      </c>
      <c r="Y38" s="312">
        <v>0</v>
      </c>
      <c r="Z38" s="312">
        <v>0</v>
      </c>
      <c r="AA38" s="312">
        <v>0</v>
      </c>
      <c r="AB38" s="312">
        <v>0</v>
      </c>
      <c r="AC38" s="313">
        <v>0</v>
      </c>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v>0</v>
      </c>
      <c r="T39" s="312">
        <v>107</v>
      </c>
      <c r="U39" s="312">
        <v>70</v>
      </c>
      <c r="V39" s="312">
        <v>7</v>
      </c>
      <c r="W39" s="312">
        <v>3</v>
      </c>
      <c r="X39" s="312">
        <v>0</v>
      </c>
      <c r="Y39" s="312">
        <v>0</v>
      </c>
      <c r="Z39" s="312">
        <v>0</v>
      </c>
      <c r="AA39" s="312">
        <v>0</v>
      </c>
      <c r="AB39" s="312">
        <v>0</v>
      </c>
      <c r="AC39" s="313">
        <v>0</v>
      </c>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v>0</v>
      </c>
      <c r="T40" s="312">
        <v>30</v>
      </c>
      <c r="U40" s="312">
        <v>34</v>
      </c>
      <c r="V40" s="312">
        <v>3</v>
      </c>
      <c r="W40" s="312">
        <v>1</v>
      </c>
      <c r="X40" s="312">
        <v>0</v>
      </c>
      <c r="Y40" s="312">
        <v>0</v>
      </c>
      <c r="Z40" s="312">
        <v>0</v>
      </c>
      <c r="AA40" s="312">
        <v>0</v>
      </c>
      <c r="AB40" s="312">
        <v>0</v>
      </c>
      <c r="AC40" s="313">
        <v>0</v>
      </c>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v>0</v>
      </c>
      <c r="T41" s="312">
        <v>19</v>
      </c>
      <c r="U41" s="312">
        <v>14</v>
      </c>
      <c r="V41" s="312">
        <v>3</v>
      </c>
      <c r="W41" s="312">
        <v>0</v>
      </c>
      <c r="X41" s="312">
        <v>0</v>
      </c>
      <c r="Y41" s="312">
        <v>0</v>
      </c>
      <c r="Z41" s="312">
        <v>0</v>
      </c>
      <c r="AA41" s="312">
        <v>0</v>
      </c>
      <c r="AB41" s="312">
        <v>0</v>
      </c>
      <c r="AC41" s="313">
        <v>0</v>
      </c>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v>0</v>
      </c>
      <c r="T42" s="312">
        <v>1</v>
      </c>
      <c r="U42" s="312">
        <v>20</v>
      </c>
      <c r="V42" s="312">
        <v>6</v>
      </c>
      <c r="W42" s="312">
        <v>0</v>
      </c>
      <c r="X42" s="312">
        <v>0</v>
      </c>
      <c r="Y42" s="312">
        <v>0</v>
      </c>
      <c r="Z42" s="312">
        <v>0</v>
      </c>
      <c r="AA42" s="312">
        <v>0</v>
      </c>
      <c r="AB42" s="312">
        <v>0</v>
      </c>
      <c r="AC42" s="313">
        <v>0</v>
      </c>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v>0</v>
      </c>
      <c r="T43" s="312">
        <v>3</v>
      </c>
      <c r="U43" s="312">
        <v>31</v>
      </c>
      <c r="V43" s="312">
        <v>29</v>
      </c>
      <c r="W43" s="312">
        <v>0</v>
      </c>
      <c r="X43" s="312">
        <v>0</v>
      </c>
      <c r="Y43" s="312">
        <v>0</v>
      </c>
      <c r="Z43" s="312">
        <v>0</v>
      </c>
      <c r="AA43" s="312">
        <v>0</v>
      </c>
      <c r="AB43" s="312">
        <v>0</v>
      </c>
      <c r="AC43" s="313">
        <v>0</v>
      </c>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v>0</v>
      </c>
      <c r="T44" s="312">
        <v>1</v>
      </c>
      <c r="U44" s="312">
        <v>44</v>
      </c>
      <c r="V44" s="312">
        <v>78</v>
      </c>
      <c r="W44" s="312">
        <v>3</v>
      </c>
      <c r="X44" s="312">
        <v>2</v>
      </c>
      <c r="Y44" s="312">
        <v>0</v>
      </c>
      <c r="Z44" s="312">
        <v>0</v>
      </c>
      <c r="AA44" s="312">
        <v>0</v>
      </c>
      <c r="AB44" s="312">
        <v>0</v>
      </c>
      <c r="AC44" s="313">
        <v>0</v>
      </c>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v>0</v>
      </c>
      <c r="T45" s="312">
        <v>0</v>
      </c>
      <c r="U45" s="312">
        <v>107</v>
      </c>
      <c r="V45" s="312">
        <v>141</v>
      </c>
      <c r="W45" s="312">
        <v>26</v>
      </c>
      <c r="X45" s="312">
        <v>7</v>
      </c>
      <c r="Y45" s="312">
        <v>0</v>
      </c>
      <c r="Z45" s="312">
        <v>0</v>
      </c>
      <c r="AA45" s="312">
        <v>0</v>
      </c>
      <c r="AB45" s="312">
        <v>0</v>
      </c>
      <c r="AC45" s="313">
        <v>0</v>
      </c>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v>0</v>
      </c>
      <c r="T46" s="312">
        <v>0</v>
      </c>
      <c r="U46" s="312">
        <v>0</v>
      </c>
      <c r="V46" s="312">
        <v>81</v>
      </c>
      <c r="W46" s="312">
        <v>101</v>
      </c>
      <c r="X46" s="312">
        <v>10</v>
      </c>
      <c r="Y46" s="312">
        <v>0</v>
      </c>
      <c r="Z46" s="312">
        <v>0</v>
      </c>
      <c r="AA46" s="312">
        <v>0</v>
      </c>
      <c r="AB46" s="312">
        <v>0</v>
      </c>
      <c r="AC46" s="313">
        <v>0</v>
      </c>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v>0</v>
      </c>
      <c r="T47" s="312">
        <v>0</v>
      </c>
      <c r="U47" s="312">
        <v>1</v>
      </c>
      <c r="V47" s="312">
        <v>37</v>
      </c>
      <c r="W47" s="312">
        <v>181</v>
      </c>
      <c r="X47" s="312">
        <v>34</v>
      </c>
      <c r="Y47" s="312">
        <v>0</v>
      </c>
      <c r="Z47" s="312">
        <v>0</v>
      </c>
      <c r="AA47" s="312">
        <v>0</v>
      </c>
      <c r="AB47" s="312">
        <v>0</v>
      </c>
      <c r="AC47" s="313">
        <v>0</v>
      </c>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v>0</v>
      </c>
      <c r="T48" s="312">
        <v>0</v>
      </c>
      <c r="U48" s="312">
        <v>0</v>
      </c>
      <c r="V48" s="312">
        <v>6</v>
      </c>
      <c r="W48" s="312">
        <v>112</v>
      </c>
      <c r="X48" s="312">
        <v>105</v>
      </c>
      <c r="Y48" s="312">
        <v>5</v>
      </c>
      <c r="Z48" s="312">
        <v>1</v>
      </c>
      <c r="AA48" s="312">
        <v>0</v>
      </c>
      <c r="AB48" s="312">
        <v>0</v>
      </c>
      <c r="AC48" s="313">
        <v>0</v>
      </c>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v>0</v>
      </c>
      <c r="T49" s="312">
        <v>0</v>
      </c>
      <c r="U49" s="312">
        <v>0</v>
      </c>
      <c r="V49" s="312">
        <v>1</v>
      </c>
      <c r="W49" s="312">
        <v>35</v>
      </c>
      <c r="X49" s="312">
        <v>143</v>
      </c>
      <c r="Y49" s="312">
        <v>15</v>
      </c>
      <c r="Z49" s="312">
        <v>1</v>
      </c>
      <c r="AA49" s="312">
        <v>0</v>
      </c>
      <c r="AB49" s="312">
        <v>0</v>
      </c>
      <c r="AC49" s="313">
        <v>0</v>
      </c>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v>0</v>
      </c>
      <c r="T50" s="312">
        <v>0</v>
      </c>
      <c r="U50" s="312">
        <v>0</v>
      </c>
      <c r="V50" s="312">
        <v>0</v>
      </c>
      <c r="W50" s="312">
        <v>4</v>
      </c>
      <c r="X50" s="312">
        <v>137</v>
      </c>
      <c r="Y50" s="312">
        <v>89</v>
      </c>
      <c r="Z50" s="312">
        <v>7</v>
      </c>
      <c r="AA50" s="312">
        <v>0</v>
      </c>
      <c r="AB50" s="312">
        <v>0</v>
      </c>
      <c r="AC50" s="313">
        <v>0</v>
      </c>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v>0</v>
      </c>
      <c r="T51" s="312">
        <v>0</v>
      </c>
      <c r="U51" s="312">
        <v>0</v>
      </c>
      <c r="V51" s="312">
        <v>0</v>
      </c>
      <c r="W51" s="312">
        <v>5</v>
      </c>
      <c r="X51" s="312">
        <v>52</v>
      </c>
      <c r="Y51" s="312">
        <v>128</v>
      </c>
      <c r="Z51" s="312">
        <v>13</v>
      </c>
      <c r="AA51" s="312">
        <v>0</v>
      </c>
      <c r="AB51" s="312">
        <v>0</v>
      </c>
      <c r="AC51" s="313">
        <v>0</v>
      </c>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v>0</v>
      </c>
      <c r="T52" s="312">
        <v>0</v>
      </c>
      <c r="U52" s="312">
        <v>0</v>
      </c>
      <c r="V52" s="312">
        <v>0</v>
      </c>
      <c r="W52" s="312">
        <v>0</v>
      </c>
      <c r="X52" s="312">
        <v>12</v>
      </c>
      <c r="Y52" s="312">
        <v>45</v>
      </c>
      <c r="Z52" s="312">
        <v>49</v>
      </c>
      <c r="AA52" s="312">
        <v>3</v>
      </c>
      <c r="AB52" s="312">
        <v>0</v>
      </c>
      <c r="AC52" s="313">
        <v>0</v>
      </c>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v>0</v>
      </c>
      <c r="T53" s="312">
        <v>0</v>
      </c>
      <c r="U53" s="312">
        <v>0</v>
      </c>
      <c r="V53" s="312">
        <v>0</v>
      </c>
      <c r="W53" s="312">
        <v>0</v>
      </c>
      <c r="X53" s="312">
        <v>1</v>
      </c>
      <c r="Y53" s="312">
        <v>50</v>
      </c>
      <c r="Z53" s="312">
        <v>39</v>
      </c>
      <c r="AA53" s="312">
        <v>24</v>
      </c>
      <c r="AB53" s="312">
        <v>2</v>
      </c>
      <c r="AC53" s="313">
        <v>0</v>
      </c>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v>0</v>
      </c>
      <c r="T54" s="312">
        <v>0</v>
      </c>
      <c r="U54" s="312">
        <v>0</v>
      </c>
      <c r="V54" s="312">
        <v>0</v>
      </c>
      <c r="W54" s="312">
        <v>0</v>
      </c>
      <c r="X54" s="312">
        <v>4</v>
      </c>
      <c r="Y54" s="312">
        <v>27</v>
      </c>
      <c r="Z54" s="312">
        <v>41</v>
      </c>
      <c r="AA54" s="312">
        <v>19</v>
      </c>
      <c r="AB54" s="312">
        <v>2</v>
      </c>
      <c r="AC54" s="313">
        <v>1</v>
      </c>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v>0</v>
      </c>
      <c r="T55" s="312">
        <v>0</v>
      </c>
      <c r="U55" s="312">
        <v>0</v>
      </c>
      <c r="V55" s="312">
        <v>0</v>
      </c>
      <c r="W55" s="312">
        <v>0</v>
      </c>
      <c r="X55" s="312">
        <v>0</v>
      </c>
      <c r="Y55" s="312">
        <v>1</v>
      </c>
      <c r="Z55" s="312">
        <v>32</v>
      </c>
      <c r="AA55" s="312">
        <v>25</v>
      </c>
      <c r="AB55" s="312">
        <v>24</v>
      </c>
      <c r="AC55" s="313">
        <v>1</v>
      </c>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v>0</v>
      </c>
      <c r="T56" s="312">
        <v>0</v>
      </c>
      <c r="U56" s="312">
        <v>0</v>
      </c>
      <c r="V56" s="312">
        <v>0</v>
      </c>
      <c r="W56" s="312">
        <v>0</v>
      </c>
      <c r="X56" s="312">
        <v>0</v>
      </c>
      <c r="Y56" s="312">
        <v>0</v>
      </c>
      <c r="Z56" s="312">
        <v>5</v>
      </c>
      <c r="AA56" s="312">
        <v>17</v>
      </c>
      <c r="AB56" s="312">
        <v>27</v>
      </c>
      <c r="AC56" s="313">
        <v>35</v>
      </c>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v>0</v>
      </c>
      <c r="T57" s="312">
        <v>0</v>
      </c>
      <c r="U57" s="312">
        <v>0</v>
      </c>
      <c r="V57" s="312">
        <v>0</v>
      </c>
      <c r="W57" s="312">
        <v>0</v>
      </c>
      <c r="X57" s="312">
        <v>0</v>
      </c>
      <c r="Y57" s="312">
        <v>0</v>
      </c>
      <c r="Z57" s="312">
        <v>0</v>
      </c>
      <c r="AA57" s="312">
        <v>2</v>
      </c>
      <c r="AB57" s="312">
        <v>16</v>
      </c>
      <c r="AC57" s="313">
        <v>16</v>
      </c>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v>0</v>
      </c>
      <c r="T58" s="312">
        <v>0</v>
      </c>
      <c r="U58" s="312">
        <v>0</v>
      </c>
      <c r="V58" s="312">
        <v>0</v>
      </c>
      <c r="W58" s="312">
        <v>0</v>
      </c>
      <c r="X58" s="312">
        <v>0</v>
      </c>
      <c r="Y58" s="312">
        <v>0</v>
      </c>
      <c r="Z58" s="312">
        <v>0</v>
      </c>
      <c r="AA58" s="312">
        <v>0</v>
      </c>
      <c r="AB58" s="312">
        <v>0</v>
      </c>
      <c r="AC58" s="313">
        <v>28</v>
      </c>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v>0</v>
      </c>
      <c r="T59" s="312">
        <v>0</v>
      </c>
      <c r="U59" s="312">
        <v>0</v>
      </c>
      <c r="V59" s="312">
        <v>0</v>
      </c>
      <c r="W59" s="312">
        <v>0</v>
      </c>
      <c r="X59" s="312">
        <v>0</v>
      </c>
      <c r="Y59" s="312">
        <v>0</v>
      </c>
      <c r="Z59" s="312">
        <v>0</v>
      </c>
      <c r="AA59" s="312">
        <v>0</v>
      </c>
      <c r="AB59" s="312">
        <v>1</v>
      </c>
      <c r="AC59" s="313">
        <v>29</v>
      </c>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v>0</v>
      </c>
      <c r="T60" s="312">
        <v>0</v>
      </c>
      <c r="U60" s="312">
        <v>0</v>
      </c>
      <c r="V60" s="312">
        <v>0</v>
      </c>
      <c r="W60" s="312">
        <v>0</v>
      </c>
      <c r="X60" s="312">
        <v>0</v>
      </c>
      <c r="Y60" s="312">
        <v>0</v>
      </c>
      <c r="Z60" s="312">
        <v>0</v>
      </c>
      <c r="AA60" s="312">
        <v>0</v>
      </c>
      <c r="AB60" s="312">
        <v>0</v>
      </c>
      <c r="AC60" s="313">
        <v>24</v>
      </c>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v>0</v>
      </c>
      <c r="T61" s="312">
        <v>0</v>
      </c>
      <c r="U61" s="312">
        <v>0</v>
      </c>
      <c r="V61" s="312">
        <v>0</v>
      </c>
      <c r="W61" s="312">
        <v>0</v>
      </c>
      <c r="X61" s="312">
        <v>0</v>
      </c>
      <c r="Y61" s="312">
        <v>0</v>
      </c>
      <c r="Z61" s="312">
        <v>0</v>
      </c>
      <c r="AA61" s="312">
        <v>0</v>
      </c>
      <c r="AB61" s="312">
        <v>0</v>
      </c>
      <c r="AC61" s="313">
        <v>18</v>
      </c>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v>0</v>
      </c>
      <c r="T62" s="312">
        <v>0</v>
      </c>
      <c r="U62" s="312">
        <v>0</v>
      </c>
      <c r="V62" s="312">
        <v>0</v>
      </c>
      <c r="W62" s="312">
        <v>0</v>
      </c>
      <c r="X62" s="312">
        <v>0</v>
      </c>
      <c r="Y62" s="312">
        <v>0</v>
      </c>
      <c r="Z62" s="312">
        <v>0</v>
      </c>
      <c r="AA62" s="312">
        <v>0</v>
      </c>
      <c r="AB62" s="312">
        <v>0</v>
      </c>
      <c r="AC62" s="313">
        <v>12</v>
      </c>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v>0</v>
      </c>
      <c r="T63" s="312">
        <v>0</v>
      </c>
      <c r="U63" s="312">
        <v>0</v>
      </c>
      <c r="V63" s="312">
        <v>0</v>
      </c>
      <c r="W63" s="312">
        <v>0</v>
      </c>
      <c r="X63" s="312">
        <v>0</v>
      </c>
      <c r="Y63" s="312">
        <v>0</v>
      </c>
      <c r="Z63" s="312">
        <v>0</v>
      </c>
      <c r="AA63" s="312">
        <v>0</v>
      </c>
      <c r="AB63" s="312">
        <v>0</v>
      </c>
      <c r="AC63" s="313">
        <v>6</v>
      </c>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v>0</v>
      </c>
      <c r="T64" s="312">
        <v>0</v>
      </c>
      <c r="U64" s="312">
        <v>0</v>
      </c>
      <c r="V64" s="312">
        <v>0</v>
      </c>
      <c r="W64" s="312">
        <v>0</v>
      </c>
      <c r="X64" s="312">
        <v>0</v>
      </c>
      <c r="Y64" s="312">
        <v>0</v>
      </c>
      <c r="Z64" s="312">
        <v>0</v>
      </c>
      <c r="AA64" s="312">
        <v>0</v>
      </c>
      <c r="AB64" s="312">
        <v>0</v>
      </c>
      <c r="AC64" s="313">
        <v>12</v>
      </c>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v>0</v>
      </c>
      <c r="T65" s="312">
        <v>0</v>
      </c>
      <c r="U65" s="312">
        <v>0</v>
      </c>
      <c r="V65" s="312">
        <v>0</v>
      </c>
      <c r="W65" s="312">
        <v>0</v>
      </c>
      <c r="X65" s="312">
        <v>0</v>
      </c>
      <c r="Y65" s="312">
        <v>0</v>
      </c>
      <c r="Z65" s="312">
        <v>0</v>
      </c>
      <c r="AA65" s="312">
        <v>0</v>
      </c>
      <c r="AB65" s="312">
        <v>0</v>
      </c>
      <c r="AC65" s="313">
        <v>6</v>
      </c>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v>0</v>
      </c>
      <c r="T66" s="312">
        <v>0</v>
      </c>
      <c r="U66" s="312">
        <v>0</v>
      </c>
      <c r="V66" s="312">
        <v>0</v>
      </c>
      <c r="W66" s="312">
        <v>0</v>
      </c>
      <c r="X66" s="312">
        <v>0</v>
      </c>
      <c r="Y66" s="312">
        <v>0</v>
      </c>
      <c r="Z66" s="312">
        <v>0</v>
      </c>
      <c r="AA66" s="312">
        <v>0</v>
      </c>
      <c r="AB66" s="312">
        <v>0</v>
      </c>
      <c r="AC66" s="313">
        <v>6</v>
      </c>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26</v>
      </c>
      <c r="T112" s="199">
        <f t="shared" si="1"/>
        <v>350</v>
      </c>
      <c r="U112" s="199">
        <f t="shared" si="1"/>
        <v>408</v>
      </c>
      <c r="V112" s="199">
        <f t="shared" si="1"/>
        <v>398</v>
      </c>
      <c r="W112" s="199">
        <f t="shared" si="1"/>
        <v>471</v>
      </c>
      <c r="X112" s="199">
        <f t="shared" si="1"/>
        <v>507</v>
      </c>
      <c r="Y112" s="199">
        <f t="shared" si="1"/>
        <v>360</v>
      </c>
      <c r="Z112" s="199">
        <f t="shared" si="1"/>
        <v>188</v>
      </c>
      <c r="AA112" s="199">
        <f t="shared" si="1"/>
        <v>90</v>
      </c>
      <c r="AB112" s="199">
        <f t="shared" si="1"/>
        <v>72</v>
      </c>
      <c r="AC112" s="200">
        <f>SUM(AC12:AC111)</f>
        <v>194</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2014</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2014</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2014</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2014</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2014</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2014</v>
      </c>
      <c r="C10" s="181">
        <f>'START HERE'!$K$3</f>
        <v>2014</v>
      </c>
      <c r="D10" s="181">
        <f>'START HERE'!$K$3</f>
        <v>2014</v>
      </c>
      <c r="E10" s="180">
        <f>'START HERE'!$K$3</f>
        <v>2014</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2014</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2014</v>
      </c>
      <c r="C10" s="181">
        <f>'START HERE'!$K$3</f>
        <v>2014</v>
      </c>
      <c r="D10" s="181">
        <f>'START HERE'!$K$3</f>
        <v>2014</v>
      </c>
      <c r="E10" s="180">
        <f>'START HERE'!$K$3</f>
        <v>2014</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2014</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2014</v>
      </c>
      <c r="C10" s="181">
        <f>'START HERE'!$K$3</f>
        <v>2014</v>
      </c>
      <c r="D10" s="181">
        <f>'START HERE'!$K$3</f>
        <v>2014</v>
      </c>
      <c r="E10" s="180">
        <f>'START HERE'!$K$3</f>
        <v>2014</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2014</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2014</v>
      </c>
      <c r="C10" s="181">
        <f>'START HERE'!$K$3</f>
        <v>2014</v>
      </c>
      <c r="D10" s="181">
        <f>'START HERE'!$K$3</f>
        <v>2014</v>
      </c>
      <c r="E10" s="180">
        <f>'START HERE'!$K$3</f>
        <v>2014</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9716590-82CA-410C-B118-E787241F3D8D}">
  <ds:schemaRefs>
    <ds:schemaRef ds:uri="http://schemas.microsoft.com/sharepoint/v3/contenttype/form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2022-06-13T12:16:51Z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