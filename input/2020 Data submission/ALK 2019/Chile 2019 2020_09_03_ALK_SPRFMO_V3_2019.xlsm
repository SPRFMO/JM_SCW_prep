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date1904="1" showInkAnnotation="0" codeName="ThisWorkbook" checkCompatibility="1"/>
  <mc:AlternateContent xmlns:mc="http://schemas.openxmlformats.org/markup-compatibility/2006">
    <mc:Choice Requires="x15">
      <x15ac:absPath xmlns:x15ac="http://schemas.microsoft.com/office/spreadsheetml/2010/11/ac" url="https://southpacificrfmo.sharepoint.com/sites/SPRFMOSC8/Shared Documents/Jack Mackerel/04 Data/ALK2019/"/>
    </mc:Choice>
  </mc:AlternateContent>
  <xr:revisionPtr revIDLastSave="46" documentId="13_ncr:1_{7A26F100-AC0E-D647-8002-523A5EDC2A14}" xr6:coauthVersionLast="45" xr6:coauthVersionMax="45" xr10:uidLastSave="{1DB3B3C5-12B0-4CBA-A737-BB7F1AD59F0F}"/>
  <bookViews>
    <workbookView xWindow="-38880" yWindow="-120" windowWidth="39000" windowHeight="16440" tabRatio="892" activeTab="4"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alcOnSave="0"/>
  <customWorkbookViews>
    <customWorkbookView name="landings_by_quarter" guid="{30CB6B41-EBE9-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Summary" guid="{F7B13B60-EB30-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 i="102" l="1"/>
  <c r="C11" i="101"/>
  <c r="O11" i="101" s="1"/>
  <c r="C11" i="100"/>
  <c r="O11" i="100" s="1"/>
  <c r="C11" i="99"/>
  <c r="O11" i="99" s="1"/>
  <c r="O11" i="74"/>
  <c r="L11" i="74"/>
  <c r="I11" i="74"/>
  <c r="F11" i="74"/>
  <c r="C11" i="74"/>
  <c r="F11" i="101" l="1"/>
  <c r="I11" i="101"/>
  <c r="L11" i="101"/>
  <c r="F11" i="100"/>
  <c r="I11" i="100"/>
  <c r="L11" i="100"/>
  <c r="F11" i="99"/>
  <c r="I11" i="99"/>
  <c r="L11" i="99"/>
  <c r="D28" i="99"/>
  <c r="O21" i="99"/>
  <c r="P21" i="99"/>
  <c r="Q21" i="99"/>
  <c r="O22" i="99"/>
  <c r="P22" i="99"/>
  <c r="Q22" i="99"/>
  <c r="O23" i="99"/>
  <c r="P23" i="99"/>
  <c r="Q23" i="99"/>
  <c r="O24" i="99"/>
  <c r="P24" i="99"/>
  <c r="Q24" i="99"/>
  <c r="O21" i="74"/>
  <c r="P21" i="74"/>
  <c r="Q21" i="74"/>
  <c r="O22" i="74"/>
  <c r="P22" i="74"/>
  <c r="Q22" i="74"/>
  <c r="O23" i="74"/>
  <c r="P23" i="74"/>
  <c r="Q23" i="74"/>
  <c r="O24" i="74"/>
  <c r="P24" i="74"/>
  <c r="Q24" i="74"/>
  <c r="G3" i="105" l="1"/>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P27" i="99"/>
  <c r="M25" i="99"/>
  <c r="L25" i="99"/>
  <c r="K25" i="99"/>
  <c r="I25" i="99"/>
  <c r="J25" i="99" s="1"/>
  <c r="H25" i="99"/>
  <c r="G28" i="99" s="1"/>
  <c r="G29" i="99" s="1"/>
  <c r="G25" i="99"/>
  <c r="F25" i="99"/>
  <c r="D25" i="99"/>
  <c r="C25" i="99"/>
  <c r="E25" i="99" s="1"/>
  <c r="D29" i="99" s="1"/>
  <c r="Q20" i="99"/>
  <c r="P20" i="99"/>
  <c r="O20" i="99"/>
  <c r="Q19" i="99"/>
  <c r="P19" i="99"/>
  <c r="O19" i="99"/>
  <c r="Q18" i="99"/>
  <c r="P18" i="99"/>
  <c r="O18" i="99"/>
  <c r="Q17" i="99"/>
  <c r="P17" i="99"/>
  <c r="O17" i="99"/>
  <c r="Q16" i="99"/>
  <c r="P16" i="99"/>
  <c r="O16" i="99"/>
  <c r="Q15" i="99"/>
  <c r="P15" i="99"/>
  <c r="O15" i="99"/>
  <c r="Q14" i="99"/>
  <c r="P14" i="99"/>
  <c r="O14" i="99"/>
  <c r="Q13" i="99"/>
  <c r="P13" i="99"/>
  <c r="O13" i="99"/>
  <c r="Q12" i="99"/>
  <c r="P12" i="99"/>
  <c r="O12" i="99"/>
  <c r="I6" i="99"/>
  <c r="C6" i="99"/>
  <c r="C5" i="99"/>
  <c r="C4" i="99"/>
  <c r="J28" i="99" l="1"/>
  <c r="J29" i="99" s="1"/>
  <c r="N25" i="99"/>
  <c r="M28" i="99" s="1"/>
  <c r="M29" i="99" s="1"/>
  <c r="Q25" i="99"/>
  <c r="O25" i="99"/>
  <c r="P25" i="99" s="1"/>
  <c r="P28" i="101"/>
  <c r="P28" i="100"/>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109" i="94"/>
  <c r="F108" i="94"/>
  <c r="F107" i="94"/>
  <c r="F106" i="94"/>
  <c r="F105" i="94"/>
  <c r="F104" i="94"/>
  <c r="F103" i="94"/>
  <c r="F102" i="94"/>
  <c r="F101" i="94"/>
  <c r="F100" i="94"/>
  <c r="F99" i="94"/>
  <c r="F98" i="94"/>
  <c r="F97" i="94"/>
  <c r="F96" i="94"/>
  <c r="F95" i="94"/>
  <c r="F94" i="94"/>
  <c r="F93" i="94"/>
  <c r="F92" i="94"/>
  <c r="F91" i="94"/>
  <c r="F90" i="94"/>
  <c r="F89" i="94"/>
  <c r="F88" i="94"/>
  <c r="F87" i="94"/>
  <c r="F86" i="94"/>
  <c r="F85" i="94"/>
  <c r="F84" i="94"/>
  <c r="F83" i="94"/>
  <c r="F82" i="94"/>
  <c r="F81" i="94"/>
  <c r="F80" i="94"/>
  <c r="F79" i="94"/>
  <c r="F78" i="94"/>
  <c r="F77" i="94"/>
  <c r="F76" i="94"/>
  <c r="F75" i="94"/>
  <c r="F74" i="94"/>
  <c r="F73" i="94"/>
  <c r="F72" i="94"/>
  <c r="F71" i="94"/>
  <c r="F70" i="94"/>
  <c r="F69" i="94"/>
  <c r="F68" i="94"/>
  <c r="F67" i="94"/>
  <c r="F66" i="94"/>
  <c r="F65" i="94"/>
  <c r="F64" i="94"/>
  <c r="F63" i="94"/>
  <c r="F62" i="94"/>
  <c r="F61" i="94"/>
  <c r="F60" i="94"/>
  <c r="F59" i="94"/>
  <c r="F58" i="94"/>
  <c r="F57" i="94"/>
  <c r="F56" i="94"/>
  <c r="F55" i="94"/>
  <c r="F54" i="94"/>
  <c r="F53" i="94"/>
  <c r="F52" i="94"/>
  <c r="F51" i="94"/>
  <c r="F50" i="94"/>
  <c r="F49" i="94"/>
  <c r="F48" i="94"/>
  <c r="F47" i="94"/>
  <c r="F46" i="94"/>
  <c r="F45" i="94"/>
  <c r="F44" i="94"/>
  <c r="F43" i="94"/>
  <c r="F42" i="94"/>
  <c r="F41" i="94"/>
  <c r="F40" i="94"/>
  <c r="F39" i="94"/>
  <c r="F38" i="94"/>
  <c r="F37" i="94"/>
  <c r="F36" i="94"/>
  <c r="F35" i="94"/>
  <c r="F34" i="94"/>
  <c r="F33" i="94"/>
  <c r="F32" i="94"/>
  <c r="F31" i="94"/>
  <c r="F30" i="94"/>
  <c r="F29" i="94"/>
  <c r="F28" i="94"/>
  <c r="F27" i="94"/>
  <c r="F26" i="94"/>
  <c r="F25" i="94"/>
  <c r="F24"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9" i="92"/>
  <c r="E9" i="92"/>
  <c r="D9" i="92"/>
  <c r="C9" i="92"/>
  <c r="B9" i="92"/>
  <c r="F6" i="92"/>
  <c r="B5" i="92"/>
  <c r="B4" i="92"/>
  <c r="B3" i="92"/>
  <c r="N20" i="91"/>
  <c r="N19" i="91"/>
  <c r="N18" i="91"/>
  <c r="P28" i="99" l="1"/>
  <c r="P29" i="99" s="1"/>
  <c r="F110" i="92"/>
  <c r="F110" i="94"/>
  <c r="F110" i="93"/>
  <c r="B4" i="91"/>
  <c r="A1" i="91"/>
  <c r="B6" i="91"/>
  <c r="B5" i="91"/>
  <c r="J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N25" i="74"/>
  <c r="M25" i="74"/>
  <c r="L25" i="74"/>
  <c r="M28" i="74" s="1"/>
  <c r="M29" i="74" s="1"/>
  <c r="K25" i="74"/>
  <c r="J25" i="74"/>
  <c r="I25" i="74"/>
  <c r="H25" i="74"/>
  <c r="G28" i="74" s="1"/>
  <c r="G29" i="74" s="1"/>
  <c r="G25" i="74"/>
  <c r="F25" i="74"/>
  <c r="C25" i="74"/>
  <c r="E25" i="74" s="1"/>
  <c r="D28" i="74" s="1"/>
  <c r="D29" i="74" s="1"/>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C5" i="36"/>
  <c r="R14" i="2"/>
  <c r="R11" i="2"/>
  <c r="S11" i="2"/>
  <c r="T11" i="2"/>
  <c r="T15" i="2" s="1"/>
  <c r="U11" i="2"/>
  <c r="R12" i="2"/>
  <c r="S12" i="2"/>
  <c r="T12" i="2"/>
  <c r="U12" i="2"/>
  <c r="R13" i="2"/>
  <c r="S13" i="2"/>
  <c r="T13" i="2"/>
  <c r="U13" i="2"/>
  <c r="S14" i="2"/>
  <c r="T14" i="2"/>
  <c r="U14" i="2"/>
  <c r="C15" i="2"/>
  <c r="D15" i="2"/>
  <c r="E15" i="2"/>
  <c r="F15" i="2"/>
  <c r="G15" i="2"/>
  <c r="H15" i="2"/>
  <c r="I15" i="2"/>
  <c r="J15" i="2"/>
  <c r="K15" i="2"/>
  <c r="L15" i="2"/>
  <c r="M15" i="2"/>
  <c r="N15" i="2"/>
  <c r="R15" i="2" s="1"/>
  <c r="O15" i="2"/>
  <c r="P15" i="2"/>
  <c r="Q15" i="2"/>
  <c r="D25" i="74" l="1"/>
  <c r="Q17" i="91"/>
  <c r="U15" i="2"/>
  <c r="Q20" i="91"/>
  <c r="S15" i="2"/>
  <c r="F110" i="80"/>
  <c r="N21" i="91"/>
  <c r="Q19" i="91"/>
  <c r="O25" i="74"/>
  <c r="Q25" i="74" s="1"/>
  <c r="P28" i="74" s="1"/>
  <c r="P29" i="74" s="1"/>
  <c r="O21" i="91"/>
  <c r="P25" i="74" l="1"/>
  <c r="Q21" i="91"/>
  <c r="A23" i="91" s="1"/>
</calcChain>
</file>

<file path=xl/sharedStrings.xml><?xml version="1.0" encoding="utf-8"?>
<sst xmlns="http://schemas.openxmlformats.org/spreadsheetml/2006/main" count="822" uniqueCount="145">
  <si>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</si>
  <si>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</si>
  <si>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</si>
  <si>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</si>
  <si>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</si>
  <si>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</si>
  <si>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</si>
  <si>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</si>
  <si>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</si>
  <si>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</si>
  <si>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</si>
  <si>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</si>
  <si>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</si>
  <si>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</si>
  <si>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</si>
  <si>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</si>
  <si>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</si>
  <si>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r>
      <t xml:space="preserve">SUMMARY OF SAMPLING FROM </t>
    </r>
    <r>
      <rPr>
        <b/>
        <sz val="14"/>
        <color indexed="10"/>
        <rFont val="Geneva"/>
        <family val="2"/>
      </rPr>
      <t>COMMERCIAL</t>
    </r>
    <r>
      <rPr>
        <sz val="12"/>
        <rFont val="Geneva"/>
        <family val="2"/>
      </rPr>
      <t xml:space="preserve"> </t>
    </r>
    <r>
      <rPr>
        <b/>
        <sz val="14"/>
        <rFont val="Geneva"/>
        <family val="2"/>
      </rPr>
      <t>FISHERY</t>
    </r>
  </si>
  <si>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</si>
  <si>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</si>
  <si>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</si>
  <si>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</si>
  <si>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</si>
  <si>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</si>
  <si>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</si>
  <si>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</si>
  <si>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</si>
  <si>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</si>
  <si>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</si>
  <si>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</si>
  <si>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</si>
  <si>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</si>
  <si>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</si>
  <si>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</si>
  <si>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</si>
  <si>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</si>
  <si>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</si>
  <si>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</si>
  <si>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</si>
  <si>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</si>
  <si>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</si>
  <si>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</si>
  <si>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</si>
  <si>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</si>
  <si>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</si>
  <si>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</si>
  <si>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</si>
  <si>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</si>
  <si>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</si>
  <si>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</si>
  <si>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</si>
  <si>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</si>
  <si>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</si>
  <si>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</si>
  <si>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</si>
  <si>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</si>
  <si>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</si>
  <si>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</si>
  <si>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</si>
  <si>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</si>
  <si>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</si>
  <si>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</si>
  <si>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</si>
  <si>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</si>
  <si>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</si>
  <si>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</si>
  <si>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</si>
  <si>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</si>
  <si>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</si>
  <si>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</si>
  <si>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</si>
  <si>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</si>
  <si>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</si>
  <si>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</si>
  <si>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</si>
  <si>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</si>
  <si>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</si>
  <si>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</si>
  <si>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</si>
  <si>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</si>
  <si>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</si>
  <si>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</si>
  <si>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</si>
  <si>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</si>
  <si>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</si>
  <si>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</si>
  <si>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</si>
  <si>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</si>
  <si>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</si>
  <si>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</si>
  <si>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</si>
  <si>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</si>
  <si>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</si>
  <si>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</si>
  <si>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</si>
  <si>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</si>
  <si>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</si>
  <si>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</si>
  <si>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</si>
  <si>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</si>
  <si>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</si>
  <si>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</si>
  <si>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</si>
  <si>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</si>
  <si>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</si>
  <si>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MEMBER</t>
  </si>
  <si>
    <t>Member:</t>
  </si>
  <si>
    <r>
      <t xml:space="preserve">Please specify </t>
    </r>
    <r>
      <rPr>
        <b/>
        <sz val="10"/>
        <rFont val="Geneva"/>
        <family val="2"/>
      </rPr>
      <t>any problem</t>
    </r>
    <r>
      <rPr>
        <sz val="10"/>
        <rFont val="Geneva"/>
        <family val="2"/>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</si>
  <si>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</si>
  <si>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</si>
  <si>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</si>
  <si>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</si>
  <si>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</si>
  <si>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</si>
  <si>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</si>
  <si>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</si>
  <si>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</si>
  <si>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</si>
  <si>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Data Submission Work Book (v3, Aug. 2020)</t>
  </si>
  <si>
    <t xml:space="preserve">Member : </t>
  </si>
  <si>
    <r>
      <t xml:space="preserve">Fleet data: </t>
    </r>
    <r>
      <rPr>
        <sz val="10"/>
        <rFont val="Geneva"/>
        <family val="2"/>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</si>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</sst>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38">
    <font>
      <sz val="10"/>
      <name val="Geneva"/>
    </font>
    <font>
      <b/>
      <sz val="10"/>
      <name val="Geneva"/>
      <family val="2"/>
    </font>
    <font>
      <sz val="10"/>
      <name val="Geneva"/>
      <family val="2"/>
    </font>
    <font>
      <b/>
      <sz val="12"/>
      <name val="Geneva"/>
      <family val="2"/>
    </font>
    <font>
      <b/>
      <sz val="11"/>
      <name val="Geneva"/>
      <family val="2"/>
    </font>
    <font>
      <b/>
      <sz val="10"/>
      <color indexed="8"/>
      <name val="Geneva"/>
      <family val="2"/>
    </font>
    <font>
      <sz val="10"/>
      <color indexed="18"/>
      <name val="Geneva"/>
      <family val="2"/>
    </font>
    <font>
      <b/>
      <sz val="10"/>
      <color indexed="18"/>
      <name val="Geneva"/>
      <family val="2"/>
    </font>
    <font>
      <sz val="10"/>
      <color indexed="12"/>
      <name val="Geneva"/>
      <family val="2"/>
    </font>
    <font>
      <b/>
      <sz val="14"/>
      <name val="Geneva"/>
      <family val="2"/>
    </font>
    <font>
      <sz val="10"/>
      <color indexed="8"/>
      <name val="Geneva"/>
      <family val="2"/>
    </font>
    <font>
      <b/>
      <sz val="12"/>
      <color indexed="18"/>
      <name val="Geneva"/>
      <family val="2"/>
    </font>
    <font>
      <sz val="12"/>
      <name val="Geneva"/>
      <family val="2"/>
    </font>
    <font>
      <sz val="9"/>
      <name val="Geneva"/>
      <family val="2"/>
    </font>
    <font>
      <u/>
      <sz val="10"/>
      <color indexed="10"/>
      <name val="Geneva"/>
      <family val="2"/>
    </font>
    <font>
      <sz val="10"/>
      <color indexed="10"/>
      <name val="Geneva"/>
      <family val="2"/>
    </font>
    <font>
      <b/>
      <sz val="10"/>
      <color indexed="10"/>
      <name val="Geneva"/>
      <family val="2"/>
    </font>
    <font>
      <sz val="12"/>
      <color indexed="10"/>
      <name val="Geneva"/>
      <family val="2"/>
    </font>
    <font>
      <b/>
      <u/>
      <sz val="12"/>
      <color indexed="10"/>
      <name val="Geneva"/>
      <family val="2"/>
    </font>
    <font>
      <b/>
      <sz val="14"/>
      <color indexed="18"/>
      <name val="Geneva"/>
      <family val="2"/>
    </font>
    <font>
      <sz val="14"/>
      <name val="Geneva"/>
      <family val="2"/>
    </font>
    <font>
      <b/>
      <sz val="14"/>
      <color indexed="10"/>
      <name val="Geneva"/>
      <family val="2"/>
    </font>
    <font>
      <b/>
      <sz val="12"/>
      <color indexed="10"/>
      <name val="Geneva"/>
      <family val="2"/>
    </font>
    <font>
      <b/>
      <sz val="8"/>
      <name val="Geneva"/>
      <family val="2"/>
    </font>
    <font>
      <sz val="16"/>
      <name val="Geneva"/>
      <family val="2"/>
    </font>
    <font>
      <b/>
      <i/>
      <sz val="18"/>
      <name val="Arial"/>
      <family val="2"/>
    </font>
    <font>
      <b/>
      <sz val="9"/>
      <name val="Geneva"/>
      <family val="2"/>
    </font>
    <font>
      <b/>
      <i/>
      <sz val="12"/>
      <name val="Geneva"/>
      <family val="2"/>
    </font>
    <font>
      <u/>
      <sz val="10"/>
      <color indexed="12"/>
      <name val="Geneva"/>
      <family val="2"/>
    </font>
    <font>
      <b/>
      <sz val="12"/>
      <color indexed="9"/>
      <name val="Geneva"/>
      <family val="2"/>
    </font>
    <font>
      <b/>
      <sz val="16"/>
      <name val="Geneva"/>
      <family val="2"/>
    </font>
    <font>
      <sz val="12"/>
      <color indexed="18"/>
      <name val="Geneva"/>
      <family val="2"/>
    </font>
    <font>
      <b/>
      <sz val="18"/>
      <color indexed="10"/>
      <name val="Geneva"/>
      <family val="2"/>
    </font>
    <font>
      <sz val="14"/>
      <color indexed="10"/>
      <name val="Geneva"/>
      <family val="2"/>
    </font>
    <font>
      <b/>
      <sz val="11"/>
      <color indexed="8"/>
      <name val="Geneva"/>
      <family val="2"/>
    </font>
    <font>
      <sz val="10"/>
      <color rgb="FF000000"/>
      <name val="Arial"/>
      <family val="2"/>
    </font>
    <font>
      <b/>
      <sz val="11"/>
      <color indexed="18"/>
      <name val="Geneva"/>
      <family val="2"/>
    </font>
    <font>
      <sz val="10"/>
      <color rgb="FF000000"/>
      <name val="Geneva"/>
    </font>
  </fonts>
  <fills count="9">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8" fillId="0" borderId="0" applyNumberFormat="0" applyFill="0" applyBorder="0" applyAlignment="0" applyProtection="0">
      <alignment vertical="top"/>
      <protection locked="0"/>
    </xf>
    <xf numFmtId="9" fontId="2" fillId="0" borderId="0" applyFont="0" applyFill="0" applyBorder="0" applyAlignment="0" applyProtection="0"/>
  </cellStyleXfs>
  <cellXfs count="406">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2"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3"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4"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2" fillId="2" borderId="0" xfId="0" applyNumberFormat="1" applyFont="1" applyFill="1" applyAlignment="1" applyProtection="1">
      <alignment horizontal="center"/>
      <protection locked="0"/>
    </xf>
    <xf numFmtId="0" fontId="25"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6"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7"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9"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1" fillId="3" borderId="54" xfId="0" applyNumberFormat="1" applyFont="1" applyFill="1" applyBorder="1" applyAlignment="1" applyProtection="1">
      <alignment horizontal="center" vertical="center"/>
      <protection locked="0"/>
    </xf>
    <xf numFmtId="167" fontId="31" fillId="3" borderId="106" xfId="0" applyNumberFormat="1" applyFont="1" applyFill="1" applyBorder="1" applyAlignment="1" applyProtection="1">
      <alignment horizontal="center" vertical="center"/>
      <protection locked="0"/>
    </xf>
    <xf numFmtId="167" fontId="31" fillId="3" borderId="107" xfId="0" applyNumberFormat="1" applyFont="1" applyFill="1" applyBorder="1" applyAlignment="1" applyProtection="1">
      <alignment horizontal="center" vertical="center"/>
      <protection locked="0"/>
    </xf>
    <xf numFmtId="167" fontId="31"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1" fillId="3" borderId="112" xfId="0" applyNumberFormat="1" applyFont="1" applyFill="1" applyBorder="1" applyAlignment="1" applyProtection="1">
      <alignment horizontal="center" vertical="center"/>
      <protection locked="0"/>
    </xf>
    <xf numFmtId="167" fontId="31" fillId="3" borderId="113" xfId="0" applyNumberFormat="1" applyFont="1" applyFill="1" applyBorder="1" applyAlignment="1" applyProtection="1">
      <alignment horizontal="center" vertical="center"/>
      <protection locked="0"/>
    </xf>
    <xf numFmtId="167" fontId="31"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2" fillId="0" borderId="2" xfId="0" applyFont="1" applyBorder="1" applyAlignment="1">
      <alignment vertical="center"/>
    </xf>
    <xf numFmtId="0" fontId="12" fillId="0" borderId="57" xfId="0" applyFont="1" applyBorder="1" applyAlignment="1">
      <alignment vertical="center"/>
    </xf>
    <xf numFmtId="0" fontId="33"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4"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1" fillId="5" borderId="108" xfId="0" applyNumberFormat="1" applyFont="1" applyFill="1" applyBorder="1" applyAlignment="1" applyProtection="1">
      <alignment horizontal="center" vertical="center"/>
    </xf>
    <xf numFmtId="167" fontId="31" fillId="0" borderId="110" xfId="0" applyNumberFormat="1" applyFont="1" applyFill="1" applyBorder="1" applyAlignment="1" applyProtection="1">
      <alignment horizontal="center" vertical="center"/>
    </xf>
    <xf numFmtId="167" fontId="31" fillId="0" borderId="111" xfId="0" applyNumberFormat="1" applyFont="1" applyFill="1" applyBorder="1" applyAlignment="1" applyProtection="1">
      <alignment horizontal="center" vertical="center"/>
    </xf>
    <xf numFmtId="167" fontId="31" fillId="5" borderId="100" xfId="0" applyNumberFormat="1" applyFont="1" applyFill="1" applyBorder="1" applyAlignment="1" applyProtection="1">
      <alignment horizontal="center" vertical="center"/>
    </xf>
    <xf numFmtId="167" fontId="31" fillId="0" borderId="116" xfId="0" applyNumberFormat="1" applyFont="1" applyFill="1" applyBorder="1" applyAlignment="1" applyProtection="1">
      <alignment horizontal="center" vertical="center"/>
    </xf>
    <xf numFmtId="167" fontId="31" fillId="0" borderId="6" xfId="0" applyNumberFormat="1" applyFont="1" applyFill="1" applyBorder="1" applyAlignment="1" applyProtection="1">
      <alignment horizontal="center" vertical="center"/>
    </xf>
    <xf numFmtId="167" fontId="31" fillId="5" borderId="56" xfId="0" applyNumberFormat="1" applyFont="1" applyFill="1" applyBorder="1" applyAlignment="1" applyProtection="1">
      <alignment horizontal="center" vertical="center"/>
    </xf>
    <xf numFmtId="167" fontId="31" fillId="0" borderId="117" xfId="0" applyNumberFormat="1" applyFont="1" applyFill="1" applyBorder="1" applyAlignment="1" applyProtection="1">
      <alignment horizontal="center" vertical="center"/>
    </xf>
    <xf numFmtId="167" fontId="31"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0" borderId="15" xfId="0" applyFont="1" applyFill="1" applyBorder="1" applyAlignment="1" applyProtection="1">
      <alignment vertical="center"/>
    </xf>
    <xf numFmtId="0" fontId="36" fillId="0" borderId="15" xfId="0" applyFont="1" applyFill="1" applyBorder="1" applyAlignment="1" applyProtection="1">
      <alignment horizontal="left" vertical="center"/>
    </xf>
    <xf numFmtId="2" fontId="0" fillId="7" borderId="80" xfId="0" applyNumberFormat="1" applyFill="1" applyBorder="1" applyAlignment="1" applyProtection="1">
      <alignment horizontal="center"/>
      <protection locked="0"/>
    </xf>
    <xf numFmtId="2" fontId="0" fillId="7" borderId="81" xfId="0" applyNumberFormat="1" applyFill="1" applyBorder="1" applyAlignment="1" applyProtection="1">
      <alignment horizontal="center"/>
      <protection locked="0"/>
    </xf>
    <xf numFmtId="2" fontId="0" fillId="7" borderId="119" xfId="0" applyNumberFormat="1" applyFill="1" applyBorder="1" applyAlignment="1" applyProtection="1">
      <alignment horizontal="center"/>
      <protection locked="0"/>
    </xf>
    <xf numFmtId="2" fontId="0" fillId="7" borderId="78" xfId="0" applyNumberFormat="1" applyFill="1" applyBorder="1" applyAlignment="1" applyProtection="1">
      <alignment horizontal="center"/>
      <protection locked="0"/>
    </xf>
    <xf numFmtId="2" fontId="0" fillId="7" borderId="79" xfId="0" applyNumberFormat="1" applyFill="1" applyBorder="1" applyAlignment="1" applyProtection="1">
      <alignment horizontal="center"/>
      <protection locked="0"/>
    </xf>
    <xf numFmtId="2" fontId="0" fillId="7" borderId="120" xfId="0" applyNumberFormat="1" applyFill="1" applyBorder="1" applyAlignment="1" applyProtection="1">
      <alignment horizontal="center"/>
      <protection locked="0"/>
    </xf>
    <xf numFmtId="2" fontId="0" fillId="7" borderId="122" xfId="0" applyNumberFormat="1" applyFill="1" applyBorder="1" applyAlignment="1" applyProtection="1">
      <alignment horizontal="center"/>
      <protection locked="0"/>
    </xf>
    <xf numFmtId="2" fontId="0" fillId="7" borderId="123" xfId="0" applyNumberFormat="1" applyFill="1" applyBorder="1" applyAlignment="1" applyProtection="1">
      <alignment horizontal="center"/>
      <protection locked="0"/>
    </xf>
    <xf numFmtId="2" fontId="0" fillId="7" borderId="124" xfId="0" applyNumberFormat="1" applyFill="1" applyBorder="1" applyAlignment="1" applyProtection="1">
      <alignment horizontal="center"/>
      <protection locked="0"/>
    </xf>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8" fillId="4" borderId="18" xfId="1" applyFill="1" applyBorder="1" applyAlignment="1" applyProtection="1">
      <alignment horizontal="left"/>
      <protection locked="0"/>
    </xf>
    <xf numFmtId="0" fontId="28" fillId="4" borderId="44" xfId="1" applyFill="1" applyBorder="1" applyAlignment="1" applyProtection="1">
      <alignment horizontal="left"/>
      <protection locked="0"/>
    </xf>
    <xf numFmtId="0" fontId="28"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30" fillId="2" borderId="2" xfId="0" applyFont="1" applyFill="1" applyBorder="1" applyAlignment="1">
      <alignment horizontal="center" vertical="center"/>
    </xf>
    <xf numFmtId="0" fontId="30" fillId="2" borderId="57" xfId="0" applyFont="1" applyFill="1" applyBorder="1" applyAlignment="1">
      <alignment horizontal="center" vertical="center"/>
    </xf>
    <xf numFmtId="0" fontId="30" fillId="2" borderId="4" xfId="0" applyFont="1" applyFill="1" applyBorder="1" applyAlignment="1">
      <alignment horizontal="center" vertical="center"/>
    </xf>
    <xf numFmtId="0" fontId="30" fillId="2" borderId="47" xfId="0" applyFont="1" applyFill="1" applyBorder="1" applyAlignment="1">
      <alignment horizontal="center" vertical="center"/>
    </xf>
    <xf numFmtId="0" fontId="30" fillId="2" borderId="58" xfId="0" applyFont="1" applyFill="1" applyBorder="1" applyAlignment="1">
      <alignment horizontal="center" vertical="center"/>
    </xf>
    <xf numFmtId="0" fontId="30" fillId="2" borderId="46" xfId="0" applyFont="1" applyFill="1" applyBorder="1" applyAlignment="1">
      <alignment horizontal="center" vertical="center"/>
    </xf>
    <xf numFmtId="0" fontId="24" fillId="2" borderId="47" xfId="0" applyFont="1" applyFill="1" applyBorder="1" applyAlignment="1">
      <alignment horizontal="center" vertical="center"/>
    </xf>
    <xf numFmtId="0" fontId="24" fillId="2" borderId="58" xfId="0" applyFont="1" applyFill="1" applyBorder="1" applyAlignment="1">
      <alignment horizontal="center" vertical="center"/>
    </xf>
    <xf numFmtId="0" fontId="24" fillId="2" borderId="46" xfId="0" applyFont="1" applyFill="1" applyBorder="1" applyAlignment="1">
      <alignment horizontal="center" vertical="center"/>
    </xf>
    <xf numFmtId="0" fontId="4"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2">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148591</xdr:rowOff>
    </xdr:from>
    <xdr:to>
      <xdr:col>11</xdr:col>
      <xdr:colOff>209570</xdr:colOff>
      <xdr:row>44</xdr:row>
      <xdr:rowOff>88901</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48615" y="4123691"/>
          <a:ext cx="8649355" cy="4385310"/>
        </a:xfrm>
        <a:prstGeom prst="rect">
          <a:avLst/>
        </a:prstGeom>
        <a:solidFill>
          <a:srgbClr val="FFFF00"/>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104775</xdr:rowOff>
        </xdr:from>
        <xdr:to>
          <xdr:col>11</xdr:col>
          <xdr:colOff>104775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104775</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28575</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7</xdr:row>
          <xdr:rowOff>123825</xdr:rowOff>
        </xdr:from>
        <xdr:to>
          <xdr:col>16</xdr:col>
          <xdr:colOff>276225</xdr:colOff>
          <xdr:row>9</xdr:row>
          <xdr:rowOff>66675</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endParaRPr lang="de-DE" sz="1000" b="0" i="0" u="none" strike="noStrike" baseline="0">
            <a:solidFill>
              <a:srgbClr val="000000"/>
            </a:solidFill>
            <a:latin typeface="Geneva"/>
          </a:endParaRP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K17"/>
  <sheetViews>
    <sheetView showGridLines="0" workbookViewId="0">
      <selection activeCell="R38" sqref="R38"/>
    </sheetView>
  </sheetViews>
  <sheetFormatPr defaultColWidth="8.7109375" defaultRowHeight="12.75"/>
  <cols>
    <col min="1" max="5" width="8.7109375" customWidth="1"/>
    <col min="6" max="6" width="11.7109375" customWidth="1"/>
  </cols>
  <sheetData>
    <row r="1" spans="1:11" ht="23.25">
      <c r="A1" s="152" t="s">
        <v>72</v>
      </c>
    </row>
    <row r="2" spans="1:11" ht="13.5" thickBot="1"/>
    <row r="3" spans="1:11" ht="21" thickBot="1">
      <c r="B3" s="142" t="s">
        <v>118</v>
      </c>
      <c r="J3" s="153" t="s">
        <v>61</v>
      </c>
      <c r="K3" s="158">
        <v>2019</v>
      </c>
    </row>
    <row r="5" spans="1:11">
      <c r="B5" s="143" t="s">
        <v>67</v>
      </c>
      <c r="C5" s="144"/>
      <c r="D5" s="144"/>
      <c r="E5" s="144"/>
      <c r="F5" s="347" t="s">
        <v>73</v>
      </c>
      <c r="G5" s="348"/>
      <c r="H5" s="348"/>
      <c r="I5" s="348"/>
      <c r="J5" s="348"/>
      <c r="K5" s="349"/>
    </row>
    <row r="6" spans="1:11">
      <c r="B6" s="145" t="s">
        <v>105</v>
      </c>
      <c r="C6" s="146"/>
      <c r="D6" s="146"/>
      <c r="E6" s="146"/>
      <c r="F6" s="347" t="s">
        <v>126</v>
      </c>
      <c r="G6" s="348"/>
      <c r="H6" s="348"/>
      <c r="I6" s="348"/>
      <c r="J6" s="348"/>
      <c r="K6" s="349"/>
    </row>
    <row r="7" spans="1:11">
      <c r="B7" s="145" t="s">
        <v>68</v>
      </c>
      <c r="C7" s="146"/>
      <c r="D7" s="146"/>
      <c r="E7" s="146"/>
      <c r="F7" s="347"/>
      <c r="G7" s="348"/>
      <c r="H7" s="348"/>
      <c r="I7" s="348"/>
      <c r="J7" s="348"/>
      <c r="K7" s="349"/>
    </row>
    <row r="8" spans="1:11">
      <c r="B8" s="145" t="s">
        <v>69</v>
      </c>
      <c r="C8" s="146"/>
      <c r="D8" s="146"/>
      <c r="E8" s="146"/>
      <c r="F8" s="352">
        <v>42615</v>
      </c>
      <c r="G8" s="353"/>
      <c r="H8" s="353"/>
      <c r="I8" s="353"/>
      <c r="J8" s="353"/>
      <c r="K8" s="354"/>
    </row>
    <row r="9" spans="1:11">
      <c r="B9" s="145" t="s">
        <v>70</v>
      </c>
      <c r="C9" s="146"/>
      <c r="D9" s="146"/>
      <c r="E9" s="146"/>
      <c r="F9" s="355"/>
      <c r="G9" s="356"/>
      <c r="H9" s="356"/>
      <c r="I9" s="356"/>
      <c r="J9" s="356"/>
      <c r="K9" s="357"/>
    </row>
    <row r="10" spans="1:11">
      <c r="B10" s="145" t="s">
        <v>74</v>
      </c>
      <c r="C10" s="146"/>
      <c r="D10" s="146"/>
      <c r="E10" s="146"/>
      <c r="F10" s="358"/>
      <c r="G10" s="359"/>
      <c r="H10" s="359"/>
      <c r="I10" s="359"/>
      <c r="J10" s="359"/>
      <c r="K10" s="360"/>
    </row>
    <row r="11" spans="1:11">
      <c r="B11" s="147" t="s">
        <v>71</v>
      </c>
      <c r="C11" s="148"/>
      <c r="D11" s="148"/>
      <c r="E11" s="148"/>
      <c r="F11" s="347"/>
      <c r="G11" s="348"/>
      <c r="H11" s="348"/>
      <c r="I11" s="348"/>
      <c r="J11" s="348"/>
      <c r="K11" s="349"/>
    </row>
    <row r="12" spans="1:11" ht="42.75" customHeight="1">
      <c r="B12" s="350" t="s">
        <v>49</v>
      </c>
      <c r="C12" s="351"/>
      <c r="D12" s="351"/>
      <c r="E12" s="351"/>
      <c r="F12" s="347"/>
      <c r="G12" s="348"/>
      <c r="H12" s="348"/>
      <c r="I12" s="348"/>
      <c r="J12" s="348"/>
      <c r="K12" s="349"/>
    </row>
    <row r="13" spans="1:11">
      <c r="B13" s="147" t="s">
        <v>142</v>
      </c>
      <c r="C13" s="148"/>
      <c r="D13" s="148"/>
      <c r="E13" s="148"/>
      <c r="F13" s="347" t="s">
        <v>140</v>
      </c>
      <c r="G13" s="348"/>
      <c r="H13" s="348"/>
      <c r="I13" s="348"/>
      <c r="J13" s="348"/>
      <c r="K13" s="349"/>
    </row>
    <row r="14" spans="1:11">
      <c r="B14" s="149" t="s">
        <v>48</v>
      </c>
    </row>
    <row r="15" spans="1:11">
      <c r="B15" s="149" t="s">
        <v>75</v>
      </c>
    </row>
    <row r="16" spans="1:11">
      <c r="B16" s="149"/>
    </row>
    <row r="17" spans="2:2">
      <c r="B17" t="s">
        <v>60</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1:L85">
    <cfRule type="expression" dxfId="21" priority="1" stopIfTrue="1">
      <formula>CELL("Protect",A1)=1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101" r:id="rId3" name="Option Button 5">
              <controlPr defaultSize="0" autoFill="0" autoLine="0" autoPict="0">
                <anchor moveWithCells="1">
                  <from>
                    <xdr:col>8</xdr:col>
                    <xdr:colOff>152400</xdr:colOff>
                    <xdr:row>15</xdr:row>
                    <xdr:rowOff>104775</xdr:rowOff>
                  </from>
                  <to>
                    <xdr:col>11</xdr:col>
                    <xdr:colOff>104775</xdr:colOff>
                    <xdr:row>16</xdr:row>
                    <xdr:rowOff>152400</xdr:rowOff>
                  </to>
                </anchor>
              </controlPr>
            </control>
          </mc:Choice>
        </mc:AlternateContent>
        <mc:AlternateContent xmlns:mc="http://schemas.openxmlformats.org/markup-compatibility/2006">
          <mc:Choice Requires="x14">
            <control shapeId="4102" r:id="rId4" name="Option Button 6">
              <controlPr defaultSize="0" autoFill="0" autoLine="0" autoPict="0">
                <anchor moveWithCells="1">
                  <from>
                    <xdr:col>8</xdr:col>
                    <xdr:colOff>152400</xdr:colOff>
                    <xdr:row>14</xdr:row>
                    <xdr:rowOff>9525</xdr:rowOff>
                  </from>
                  <to>
                    <xdr:col>11</xdr:col>
                    <xdr:colOff>114300</xdr:colOff>
                    <xdr:row>15</xdr:row>
                    <xdr:rowOff>104775</xdr:rowOff>
                  </to>
                </anchor>
              </controlPr>
            </control>
          </mc:Choice>
        </mc:AlternateContent>
        <mc:AlternateContent xmlns:mc="http://schemas.openxmlformats.org/markup-compatibility/2006">
          <mc:Choice Requires="x14">
            <control shapeId="4206" r:id="rId5" name="Button 110">
              <controlPr defaultSize="0" print="0" autoFill="0" autoPict="0" macro="[0]!UnProtectWorksheets">
                <anchor moveWithCells="1" sizeWithCells="1">
                  <from>
                    <xdr:col>14</xdr:col>
                    <xdr:colOff>28575</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6" name="Button 111">
              <controlPr defaultSize="0" print="0" autoFill="0" autoPict="0" macro="[0]!ProtectWorksheets">
                <anchor moveWithCells="1" sizeWithCells="1">
                  <from>
                    <xdr:col>14</xdr:col>
                    <xdr:colOff>28575</xdr:colOff>
                    <xdr:row>7</xdr:row>
                    <xdr:rowOff>123825</xdr:rowOff>
                  </from>
                  <to>
                    <xdr:col>16</xdr:col>
                    <xdr:colOff>276225</xdr:colOff>
                    <xdr:row>9</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workbookViewId="0">
      <selection activeCell="C46" sqref="C46"/>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152" t="s">
        <v>72</v>
      </c>
    </row>
    <row r="2" spans="1:5" ht="24" thickBot="1">
      <c r="A2" s="152"/>
      <c r="D2" s="178"/>
      <c r="E2" s="178"/>
    </row>
    <row r="3" spans="1:5" ht="23.25">
      <c r="A3" s="152"/>
      <c r="B3" s="258" t="s">
        <v>106</v>
      </c>
      <c r="C3" s="155" t="str">
        <f>'START HERE'!F6</f>
        <v>Chile</v>
      </c>
      <c r="D3" s="271"/>
      <c r="E3" s="272"/>
    </row>
    <row r="4" spans="1:5" ht="23.25">
      <c r="A4" s="152"/>
      <c r="B4" s="170" t="s">
        <v>0</v>
      </c>
      <c r="C4" s="156" t="str">
        <f>'START HERE'!F5</f>
        <v>Jack mackerel</v>
      </c>
      <c r="D4" s="273"/>
      <c r="E4" s="272"/>
    </row>
    <row r="5" spans="1:5" ht="24" thickBot="1">
      <c r="A5" s="152"/>
      <c r="B5" s="170" t="s">
        <v>1</v>
      </c>
      <c r="C5" s="157">
        <f>'START HERE'!K3</f>
        <v>2019</v>
      </c>
      <c r="D5" s="274"/>
      <c r="E5" s="274"/>
    </row>
    <row r="6" spans="1:5">
      <c r="D6" s="178"/>
      <c r="E6" s="178"/>
    </row>
    <row r="8" spans="1:5">
      <c r="B8" t="s">
        <v>107</v>
      </c>
    </row>
    <row r="42" spans="2:4">
      <c r="B42" s="149" t="s">
        <v>120</v>
      </c>
    </row>
    <row r="44" spans="2:4" ht="13.5" thickBot="1"/>
    <row r="45" spans="2:4" ht="13.5" thickBot="1">
      <c r="B45" s="4"/>
      <c r="C45" s="31"/>
      <c r="D45" s="135" t="s">
        <v>63</v>
      </c>
    </row>
    <row r="46" spans="2:4">
      <c r="B46" s="39" t="s">
        <v>64</v>
      </c>
      <c r="C46" s="293"/>
      <c r="D46" s="294"/>
    </row>
    <row r="47" spans="2:4">
      <c r="B47" s="40" t="s">
        <v>65</v>
      </c>
      <c r="C47" s="295"/>
      <c r="D47" s="296"/>
    </row>
    <row r="48" spans="2:4">
      <c r="B48" s="40" t="s">
        <v>66</v>
      </c>
      <c r="C48" s="295"/>
      <c r="D48" s="296"/>
    </row>
    <row r="49" spans="2:4">
      <c r="B49" s="40" t="s">
        <v>55</v>
      </c>
      <c r="C49" s="295"/>
      <c r="D49" s="296"/>
    </row>
    <row r="50" spans="2:4">
      <c r="B50" s="40" t="s">
        <v>56</v>
      </c>
      <c r="C50" s="295"/>
      <c r="D50" s="296"/>
    </row>
    <row r="51" spans="2:4">
      <c r="B51" s="40" t="s">
        <v>57</v>
      </c>
      <c r="C51" s="295"/>
      <c r="D51" s="296"/>
    </row>
    <row r="52" spans="2:4">
      <c r="B52" s="40" t="s">
        <v>26</v>
      </c>
      <c r="C52" s="295"/>
      <c r="D52" s="296"/>
    </row>
    <row r="53" spans="2:4">
      <c r="B53" s="40" t="s">
        <v>27</v>
      </c>
      <c r="C53" s="295"/>
      <c r="D53" s="296"/>
    </row>
    <row r="54" spans="2:4">
      <c r="B54" s="40" t="s">
        <v>28</v>
      </c>
      <c r="C54" s="295"/>
      <c r="D54" s="296"/>
    </row>
    <row r="55" spans="2:4" ht="25.5">
      <c r="B55" s="40" t="s">
        <v>58</v>
      </c>
      <c r="C55" s="295"/>
      <c r="D55" s="296"/>
    </row>
    <row r="56" spans="2:4" ht="51">
      <c r="B56" s="259" t="s">
        <v>111</v>
      </c>
      <c r="C56" s="297"/>
      <c r="D56" s="298"/>
    </row>
    <row r="57" spans="2:4" ht="26.25" thickBot="1">
      <c r="B57" s="41" t="s">
        <v>59</v>
      </c>
      <c r="C57" s="299"/>
      <c r="D57" s="300"/>
    </row>
    <row r="59" spans="2:4">
      <c r="B59" t="s">
        <v>18</v>
      </c>
    </row>
  </sheetData>
  <sheetProtection scenarios="1"/>
  <phoneticPr fontId="0" type="noConversion"/>
  <conditionalFormatting sqref="A1:E78">
    <cfRule type="expression" dxfId="20" priority="1" stopIfTrue="1">
      <formula>CELL("Protect",A1)=1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zoomScale="60" zoomScaleNormal="60" workbookViewId="0">
      <selection activeCell="G36" sqref="G36"/>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152" t="str">
        <f>Comments!$A$1</f>
        <v>South Pacific Regional Fisheries Management Organisation</v>
      </c>
    </row>
    <row r="2" spans="1:19" s="7" customFormat="1" ht="19.5" customHeight="1">
      <c r="A2" s="33" t="s">
        <v>89</v>
      </c>
      <c r="B2" s="201" t="s">
        <v>90</v>
      </c>
      <c r="C2" s="264"/>
      <c r="D2" s="178"/>
      <c r="E2" s="254"/>
    </row>
    <row r="3" spans="1:19" s="7" customFormat="1" ht="19.5" customHeight="1">
      <c r="A3" s="152"/>
      <c r="B3" s="4"/>
      <c r="C3" s="265"/>
      <c r="D3" s="178"/>
      <c r="E3" s="266"/>
    </row>
    <row r="4" spans="1:19" s="7" customFormat="1" ht="19.5" customHeight="1">
      <c r="A4" s="12" t="s">
        <v>119</v>
      </c>
      <c r="B4" s="336" t="str">
        <f>'START HERE'!F6</f>
        <v>Chile</v>
      </c>
      <c r="C4" s="265"/>
      <c r="D4" s="178"/>
      <c r="E4" s="266"/>
    </row>
    <row r="5" spans="1:19" s="7" customFormat="1" ht="19.5" customHeight="1">
      <c r="A5" s="12" t="s">
        <v>19</v>
      </c>
      <c r="B5" s="336" t="str">
        <f>'START HERE'!F5</f>
        <v>Jack mackerel</v>
      </c>
      <c r="C5" s="267"/>
      <c r="D5" s="178"/>
      <c r="E5" s="266"/>
    </row>
    <row r="6" spans="1:19" s="7" customFormat="1" ht="19.5" customHeight="1">
      <c r="A6" s="12" t="s">
        <v>13</v>
      </c>
      <c r="B6" s="337">
        <f>'START HERE'!K3</f>
        <v>2019</v>
      </c>
      <c r="C6" s="265"/>
      <c r="D6" s="178"/>
      <c r="E6" s="266"/>
    </row>
    <row r="7" spans="1:19" s="7" customFormat="1" ht="19.5" customHeight="1">
      <c r="A7" s="34" t="s">
        <v>14</v>
      </c>
      <c r="B7" s="283">
        <v>42615</v>
      </c>
      <c r="C7" s="268"/>
      <c r="D7" s="178"/>
      <c r="E7" s="254"/>
    </row>
    <row r="8" spans="1:19" s="7" customFormat="1" ht="19.5" customHeight="1">
      <c r="A8" s="34"/>
      <c r="B8" s="202"/>
      <c r="C8" s="265"/>
      <c r="D8" s="178"/>
      <c r="E8" s="254"/>
    </row>
    <row r="9" spans="1:19" s="7" customFormat="1" ht="19.5" customHeight="1">
      <c r="A9" s="34"/>
      <c r="B9" s="203" t="s">
        <v>91</v>
      </c>
      <c r="C9" s="265"/>
      <c r="D9" s="178"/>
      <c r="E9" s="254"/>
    </row>
    <row r="10" spans="1:19" ht="24.75" customHeight="1">
      <c r="A10" s="7"/>
      <c r="B10" s="7"/>
      <c r="C10" s="254"/>
      <c r="D10" s="254"/>
      <c r="E10" s="254"/>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61" t="s">
        <v>92</v>
      </c>
      <c r="C12" s="362"/>
      <c r="D12" s="363"/>
      <c r="E12" s="361" t="s">
        <v>93</v>
      </c>
      <c r="F12" s="362"/>
      <c r="G12" s="363"/>
      <c r="H12" s="361" t="s">
        <v>94</v>
      </c>
      <c r="I12" s="362"/>
      <c r="J12" s="363"/>
      <c r="K12" s="361" t="s">
        <v>95</v>
      </c>
      <c r="L12" s="362"/>
      <c r="M12" s="363"/>
      <c r="N12" s="361" t="s">
        <v>96</v>
      </c>
      <c r="O12" s="362"/>
      <c r="P12" s="362"/>
      <c r="Q12" s="363"/>
    </row>
    <row r="13" spans="1:19" ht="24.75" customHeight="1" thickBot="1">
      <c r="A13" s="7"/>
      <c r="B13" s="367">
        <f>'START HERE'!$K$3</f>
        <v>2019</v>
      </c>
      <c r="C13" s="368"/>
      <c r="D13" s="369"/>
      <c r="E13" s="367">
        <f>'START HERE'!$K$3</f>
        <v>2019</v>
      </c>
      <c r="F13" s="368"/>
      <c r="G13" s="369"/>
      <c r="H13" s="367">
        <f>'START HERE'!$K$3</f>
        <v>2019</v>
      </c>
      <c r="I13" s="368"/>
      <c r="J13" s="369"/>
      <c r="K13" s="367">
        <f>'START HERE'!$K$3</f>
        <v>2019</v>
      </c>
      <c r="L13" s="368"/>
      <c r="M13" s="369"/>
      <c r="N13" s="364"/>
      <c r="O13" s="365"/>
      <c r="P13" s="365"/>
      <c r="Q13" s="366"/>
    </row>
    <row r="14" spans="1:19" ht="24.75" customHeight="1">
      <c r="A14" s="205"/>
      <c r="B14" s="206"/>
      <c r="D14" s="208"/>
      <c r="E14" s="206"/>
      <c r="F14" s="207"/>
      <c r="G14" s="208"/>
      <c r="H14" s="206"/>
      <c r="I14" s="207"/>
      <c r="J14" s="208"/>
      <c r="K14" s="206"/>
      <c r="L14" s="207"/>
      <c r="M14" s="209"/>
      <c r="N14" s="210"/>
      <c r="O14" s="211"/>
      <c r="P14" s="212"/>
      <c r="Q14" s="213" t="s">
        <v>97</v>
      </c>
      <c r="R14" s="212" t="s">
        <v>98</v>
      </c>
      <c r="S14" s="205"/>
    </row>
    <row r="15" spans="1:19" ht="24.75" customHeight="1">
      <c r="A15" s="214"/>
      <c r="B15" s="215" t="s">
        <v>99</v>
      </c>
      <c r="C15" s="216" t="s">
        <v>109</v>
      </c>
      <c r="D15" s="216" t="s">
        <v>100</v>
      </c>
      <c r="E15" s="215" t="s">
        <v>99</v>
      </c>
      <c r="F15" s="216" t="s">
        <v>109</v>
      </c>
      <c r="G15" s="217" t="s">
        <v>100</v>
      </c>
      <c r="H15" s="215" t="s">
        <v>99</v>
      </c>
      <c r="I15" s="216" t="s">
        <v>109</v>
      </c>
      <c r="J15" s="217" t="s">
        <v>100</v>
      </c>
      <c r="K15" s="215" t="s">
        <v>99</v>
      </c>
      <c r="L15" s="216" t="s">
        <v>109</v>
      </c>
      <c r="M15" s="218" t="s">
        <v>100</v>
      </c>
      <c r="N15" s="219" t="s">
        <v>99</v>
      </c>
      <c r="O15" s="216" t="s">
        <v>109</v>
      </c>
      <c r="P15" s="220" t="s">
        <v>100</v>
      </c>
      <c r="Q15" s="221" t="s">
        <v>101</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2" t="s">
        <v>76</v>
      </c>
      <c r="B17" s="232">
        <v>134.08499999999998</v>
      </c>
      <c r="C17" s="233"/>
      <c r="D17" s="234"/>
      <c r="E17" s="232">
        <v>1536.79</v>
      </c>
      <c r="F17" s="233"/>
      <c r="G17" s="234"/>
      <c r="H17" s="232">
        <v>169.15299999999999</v>
      </c>
      <c r="I17" s="233"/>
      <c r="J17" s="234"/>
      <c r="K17" s="232">
        <v>12718.681</v>
      </c>
      <c r="L17" s="233"/>
      <c r="M17" s="235"/>
      <c r="N17" s="284">
        <f t="shared" ref="N17:P21" si="0">SUM(B17+E17+H17+K17)</f>
        <v>14558.709000000001</v>
      </c>
      <c r="O17" s="285">
        <f t="shared" si="0"/>
        <v>0</v>
      </c>
      <c r="P17" s="286">
        <f t="shared" si="0"/>
        <v>0</v>
      </c>
      <c r="Q17" s="236">
        <f>IF(SUM(O17:P17)&gt;0,SUM(O17:P17),N17)</f>
        <v>14558.709000000001</v>
      </c>
      <c r="R17" s="281"/>
      <c r="S17" s="162" t="s">
        <v>81</v>
      </c>
    </row>
    <row r="18" spans="1:19" ht="24.75" customHeight="1">
      <c r="A18" s="262" t="s">
        <v>117</v>
      </c>
      <c r="B18" s="232">
        <v>205560.21299999999</v>
      </c>
      <c r="C18" s="237"/>
      <c r="D18" s="238"/>
      <c r="E18" s="232">
        <v>165061.03299999997</v>
      </c>
      <c r="F18" s="237"/>
      <c r="G18" s="238"/>
      <c r="H18" s="232">
        <v>37077.097000000002</v>
      </c>
      <c r="I18" s="237"/>
      <c r="J18" s="238"/>
      <c r="K18" s="232">
        <v>20890.856</v>
      </c>
      <c r="L18" s="237"/>
      <c r="M18" s="239"/>
      <c r="N18" s="284">
        <f t="shared" si="0"/>
        <v>428589.19899999991</v>
      </c>
      <c r="O18" s="285">
        <f t="shared" si="0"/>
        <v>0</v>
      </c>
      <c r="P18" s="286">
        <f t="shared" si="0"/>
        <v>0</v>
      </c>
      <c r="Q18" s="240">
        <f t="shared" ref="Q18:Q20" si="1">IF(SUM(O18:P18)&gt;0,SUM(O18:P18),N18)</f>
        <v>428589.19899999991</v>
      </c>
      <c r="R18" s="282"/>
      <c r="S18" s="162" t="s">
        <v>88</v>
      </c>
    </row>
    <row r="19" spans="1:19" ht="24.75" customHeight="1">
      <c r="A19" s="262" t="s">
        <v>77</v>
      </c>
      <c r="B19" s="232"/>
      <c r="C19" s="237"/>
      <c r="D19" s="238"/>
      <c r="E19" s="232"/>
      <c r="F19" s="237"/>
      <c r="G19" s="238"/>
      <c r="H19" s="232"/>
      <c r="I19" s="237"/>
      <c r="J19" s="238"/>
      <c r="K19" s="232"/>
      <c r="L19" s="237"/>
      <c r="M19" s="239"/>
      <c r="N19" s="284">
        <f t="shared" si="0"/>
        <v>0</v>
      </c>
      <c r="O19" s="285">
        <f t="shared" si="0"/>
        <v>0</v>
      </c>
      <c r="P19" s="286">
        <f t="shared" si="0"/>
        <v>0</v>
      </c>
      <c r="Q19" s="240">
        <f t="shared" si="1"/>
        <v>0</v>
      </c>
      <c r="R19" s="282"/>
      <c r="S19" s="162" t="s">
        <v>87</v>
      </c>
    </row>
    <row r="20" spans="1:19" ht="24.75" customHeight="1" thickBot="1">
      <c r="A20" s="262" t="s">
        <v>78</v>
      </c>
      <c r="B20" s="232"/>
      <c r="C20" s="237"/>
      <c r="D20" s="238"/>
      <c r="E20" s="232"/>
      <c r="F20" s="237"/>
      <c r="G20" s="238"/>
      <c r="H20" s="232"/>
      <c r="I20" s="237"/>
      <c r="J20" s="238"/>
      <c r="K20" s="232"/>
      <c r="L20" s="237"/>
      <c r="M20" s="239"/>
      <c r="N20" s="287">
        <f t="shared" si="0"/>
        <v>0</v>
      </c>
      <c r="O20" s="288">
        <f t="shared" si="0"/>
        <v>0</v>
      </c>
      <c r="P20" s="289">
        <f t="shared" si="0"/>
        <v>0</v>
      </c>
      <c r="Q20" s="240">
        <f t="shared" si="1"/>
        <v>0</v>
      </c>
      <c r="R20" s="282"/>
      <c r="S20" s="162" t="s">
        <v>86</v>
      </c>
    </row>
    <row r="21" spans="1:19" ht="24.75" customHeight="1" thickBot="1">
      <c r="A21" s="263" t="s">
        <v>50</v>
      </c>
      <c r="B21" s="241">
        <f t="shared" ref="B21:M21" si="2">SUM(B17:B20)</f>
        <v>205694.29799999998</v>
      </c>
      <c r="C21" s="242">
        <f t="shared" si="2"/>
        <v>0</v>
      </c>
      <c r="D21" s="243">
        <f t="shared" si="2"/>
        <v>0</v>
      </c>
      <c r="E21" s="241">
        <f t="shared" si="2"/>
        <v>166597.82299999997</v>
      </c>
      <c r="F21" s="242">
        <f t="shared" si="2"/>
        <v>0</v>
      </c>
      <c r="G21" s="244">
        <f t="shared" si="2"/>
        <v>0</v>
      </c>
      <c r="H21" s="245">
        <f t="shared" si="2"/>
        <v>37246.25</v>
      </c>
      <c r="I21" s="246">
        <f t="shared" si="2"/>
        <v>0</v>
      </c>
      <c r="J21" s="244">
        <f t="shared" si="2"/>
        <v>0</v>
      </c>
      <c r="K21" s="245">
        <f t="shared" si="2"/>
        <v>33609.536999999997</v>
      </c>
      <c r="L21" s="246">
        <f t="shared" si="2"/>
        <v>0</v>
      </c>
      <c r="M21" s="247">
        <f t="shared" si="2"/>
        <v>0</v>
      </c>
      <c r="N21" s="290">
        <f t="shared" si="0"/>
        <v>443147.90799999994</v>
      </c>
      <c r="O21" s="291">
        <f t="shared" si="0"/>
        <v>0</v>
      </c>
      <c r="P21" s="292">
        <f t="shared" si="0"/>
        <v>0</v>
      </c>
      <c r="Q21" s="248">
        <f>SUM(Q17:Q20)</f>
        <v>443147.90799999988</v>
      </c>
      <c r="S21" s="249" t="s">
        <v>30</v>
      </c>
    </row>
    <row r="22" spans="1:19" ht="24.75" customHeight="1">
      <c r="A22" s="250" t="s">
        <v>102</v>
      </c>
      <c r="B22" s="251"/>
      <c r="C22" s="251"/>
      <c r="D22" s="251"/>
      <c r="E22" s="251"/>
      <c r="F22" s="251"/>
      <c r="G22" s="77"/>
      <c r="H22" s="77"/>
      <c r="I22" s="77"/>
      <c r="J22" s="77"/>
      <c r="K22" s="77"/>
      <c r="L22" s="77"/>
      <c r="M22" s="77"/>
      <c r="N22" s="77"/>
      <c r="O22" s="77"/>
      <c r="P22" s="77"/>
      <c r="Q22" s="77"/>
    </row>
    <row r="23" spans="1:19" ht="24.75" customHeight="1" thickBot="1">
      <c r="A23" s="252" t="str">
        <f>"Final total catch (WG estimate = "&amp; Q21 &amp;") should be the same as the sum of the catch totals of all CANUM sheets (= "&amp; SUM('CN F1:CN F4'!P27) &amp;")!"</f>
        <v>Final total catch (WG estimate = 443147.908) should be the same as the sum of the catch totals of all CANUM sheets (= 0)!</v>
      </c>
      <c r="B23" s="253"/>
      <c r="C23" s="253"/>
      <c r="D23" s="253"/>
      <c r="E23" s="269"/>
      <c r="F23" s="270"/>
      <c r="G23" s="256"/>
      <c r="H23" s="256"/>
      <c r="I23" s="256"/>
      <c r="J23" s="256"/>
      <c r="K23" s="256"/>
      <c r="L23" s="256"/>
      <c r="M23" s="256"/>
      <c r="N23" s="254"/>
      <c r="O23" s="254"/>
      <c r="P23" s="254"/>
      <c r="Q23" s="254"/>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1:S23">
    <cfRule type="expression" dxfId="19" priority="1" stopIfTrue="1">
      <formula>CELL("Protect",A1)=1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H17:H20 B17:B20 E17:E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zoomScale="75" workbookViewId="0">
      <selection activeCell="B5" sqref="B5:D5"/>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7" customFormat="1" ht="19.5" customHeight="1">
      <c r="A1" s="33" t="s">
        <v>17</v>
      </c>
      <c r="B1" s="11"/>
      <c r="C1" s="11"/>
      <c r="D1" s="11"/>
      <c r="E1" s="11"/>
      <c r="F1" s="6"/>
      <c r="G1" s="6"/>
      <c r="H1" s="6"/>
      <c r="I1" s="6"/>
      <c r="J1" s="6"/>
      <c r="K1" s="6"/>
      <c r="L1" s="6"/>
      <c r="M1" s="6"/>
      <c r="N1" s="6"/>
      <c r="O1" s="6"/>
      <c r="P1" s="6"/>
      <c r="Q1" s="6"/>
      <c r="R1" s="6"/>
      <c r="S1" s="6"/>
      <c r="T1" s="6"/>
      <c r="U1" s="6"/>
      <c r="V1" s="254"/>
      <c r="W1" s="254"/>
      <c r="X1" s="254"/>
      <c r="Y1" s="254"/>
      <c r="Z1" s="254"/>
    </row>
    <row r="2" spans="1:28" s="7" customFormat="1" ht="19.5" customHeight="1">
      <c r="A2" s="163"/>
      <c r="B2" s="6"/>
      <c r="C2" s="6"/>
      <c r="D2" s="6"/>
      <c r="E2" s="176"/>
      <c r="F2" s="6"/>
      <c r="G2" s="6"/>
      <c r="H2" s="6"/>
      <c r="I2" s="6"/>
      <c r="J2" s="6"/>
      <c r="K2" s="6"/>
      <c r="L2" s="6"/>
      <c r="M2" s="6"/>
      <c r="N2" s="6"/>
      <c r="O2" s="6"/>
      <c r="P2" s="6"/>
      <c r="Q2" s="6"/>
      <c r="R2" s="6"/>
      <c r="S2" s="6"/>
      <c r="T2" s="6"/>
      <c r="U2" s="6"/>
      <c r="V2" s="254"/>
      <c r="W2" s="254"/>
      <c r="X2" s="254"/>
      <c r="Y2" s="254"/>
      <c r="Z2" s="254"/>
    </row>
    <row r="3" spans="1:28" s="7" customFormat="1" ht="19.5" customHeight="1">
      <c r="A3" s="258" t="s">
        <v>106</v>
      </c>
      <c r="B3" s="370" t="str">
        <f>'START HERE'!F6</f>
        <v>Chile</v>
      </c>
      <c r="C3" s="370"/>
      <c r="D3" s="370"/>
      <c r="E3" s="176"/>
      <c r="F3" s="128" t="s">
        <v>29</v>
      </c>
      <c r="G3" s="129"/>
      <c r="H3" s="130"/>
      <c r="I3" s="130"/>
      <c r="J3" s="130"/>
      <c r="K3" s="130"/>
      <c r="L3" s="130"/>
      <c r="M3" s="130"/>
      <c r="N3" s="130"/>
      <c r="O3" s="130"/>
      <c r="P3" s="130"/>
      <c r="Q3" s="130"/>
      <c r="R3" s="130"/>
      <c r="S3" s="131"/>
      <c r="T3" s="176"/>
      <c r="U3" s="182"/>
      <c r="V3" s="275"/>
      <c r="W3" s="254"/>
      <c r="X3" s="267"/>
      <c r="Y3" s="267"/>
      <c r="Z3" s="267"/>
    </row>
    <row r="4" spans="1:28" s="7" customFormat="1" ht="19.5" customHeight="1">
      <c r="A4" s="12" t="s">
        <v>19</v>
      </c>
      <c r="B4" s="370" t="str">
        <f>'START HERE'!F5</f>
        <v>Jack mackerel</v>
      </c>
      <c r="C4" s="370"/>
      <c r="D4" s="370"/>
      <c r="E4" s="176"/>
      <c r="F4" s="140" t="s">
        <v>15</v>
      </c>
      <c r="G4" s="132"/>
      <c r="H4" s="133"/>
      <c r="I4" s="133"/>
      <c r="J4" s="133"/>
      <c r="K4" s="133"/>
      <c r="L4" s="133"/>
      <c r="M4" s="133"/>
      <c r="N4" s="133"/>
      <c r="O4" s="133"/>
      <c r="P4" s="133"/>
      <c r="Q4" s="133"/>
      <c r="R4" s="133"/>
      <c r="S4" s="134"/>
      <c r="T4" s="176"/>
      <c r="U4" s="182"/>
      <c r="V4" s="275"/>
      <c r="W4" s="254"/>
      <c r="X4" s="267"/>
      <c r="Y4" s="267"/>
      <c r="Z4" s="267"/>
    </row>
    <row r="5" spans="1:28" s="7" customFormat="1" ht="19.5" customHeight="1">
      <c r="A5" s="12" t="s">
        <v>13</v>
      </c>
      <c r="B5" s="370">
        <f>'START HERE'!K3</f>
        <v>2019</v>
      </c>
      <c r="C5" s="370"/>
      <c r="D5" s="370"/>
      <c r="E5" s="79"/>
      <c r="F5" s="37"/>
      <c r="G5" s="37"/>
      <c r="H5" s="37"/>
      <c r="I5" s="37"/>
      <c r="J5" s="37"/>
      <c r="K5" s="37"/>
      <c r="L5" s="37"/>
      <c r="M5" s="37"/>
      <c r="N5" s="37"/>
      <c r="O5" s="37"/>
      <c r="P5" s="37"/>
      <c r="Q5" s="37"/>
      <c r="R5" s="37"/>
      <c r="S5" s="37"/>
      <c r="T5" s="37"/>
      <c r="U5" s="37"/>
      <c r="V5" s="254"/>
      <c r="W5" s="254"/>
      <c r="X5" s="254"/>
      <c r="Y5" s="254"/>
      <c r="Z5" s="254"/>
    </row>
    <row r="6" spans="1:28" s="7" customFormat="1" ht="19.5" customHeight="1">
      <c r="A6" s="34" t="s">
        <v>14</v>
      </c>
      <c r="B6" s="371">
        <f>'START HERE'!F8</f>
        <v>42615</v>
      </c>
      <c r="C6" s="371"/>
      <c r="D6" s="371"/>
      <c r="E6" s="79"/>
      <c r="F6" s="37"/>
      <c r="G6" s="37"/>
      <c r="H6" s="37"/>
      <c r="I6" s="37"/>
      <c r="J6" s="37"/>
      <c r="K6" s="37"/>
      <c r="L6" s="37"/>
      <c r="M6" s="37"/>
      <c r="N6" s="37"/>
      <c r="O6" s="37"/>
      <c r="P6" s="37"/>
      <c r="Q6" s="37"/>
      <c r="R6" s="37"/>
      <c r="S6" s="37"/>
      <c r="T6" s="37"/>
      <c r="U6" s="37"/>
      <c r="V6" s="254"/>
      <c r="W6" s="254"/>
      <c r="X6" s="254"/>
      <c r="Y6" s="254"/>
      <c r="Z6" s="254"/>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2" t="s">
        <v>53</v>
      </c>
      <c r="C8" s="373"/>
      <c r="D8" s="373"/>
      <c r="E8" s="188">
        <f>'START HERE'!K3</f>
        <v>2019</v>
      </c>
      <c r="F8" s="372" t="s">
        <v>31</v>
      </c>
      <c r="G8" s="373"/>
      <c r="H8" s="373"/>
      <c r="I8" s="188">
        <f>'START HERE'!K3</f>
        <v>2019</v>
      </c>
      <c r="J8" s="372" t="s">
        <v>32</v>
      </c>
      <c r="K8" s="373"/>
      <c r="L8" s="373"/>
      <c r="M8" s="188">
        <f>'START HERE'!K3</f>
        <v>2019</v>
      </c>
      <c r="N8" s="186" t="s">
        <v>33</v>
      </c>
      <c r="O8" s="187"/>
      <c r="P8" s="187"/>
      <c r="Q8" s="188">
        <f>'START HERE'!K3</f>
        <v>2019</v>
      </c>
      <c r="R8" s="372" t="s">
        <v>34</v>
      </c>
      <c r="S8" s="373"/>
      <c r="T8" s="373"/>
      <c r="U8" s="188">
        <f>'START HERE'!K3</f>
        <v>2019</v>
      </c>
      <c r="V8" s="276"/>
      <c r="W8" s="279"/>
      <c r="X8" s="279"/>
      <c r="Y8" s="279"/>
      <c r="Z8" s="276"/>
    </row>
    <row r="9" spans="1:28" s="45" customFormat="1" ht="24">
      <c r="A9" s="183"/>
      <c r="B9" s="42" t="s">
        <v>103</v>
      </c>
      <c r="C9" s="43" t="s">
        <v>35</v>
      </c>
      <c r="D9" s="43" t="s">
        <v>36</v>
      </c>
      <c r="E9" s="44" t="s">
        <v>37</v>
      </c>
      <c r="F9" s="42" t="s">
        <v>103</v>
      </c>
      <c r="G9" s="43" t="s">
        <v>35</v>
      </c>
      <c r="H9" s="43" t="s">
        <v>36</v>
      </c>
      <c r="I9" s="44" t="s">
        <v>37</v>
      </c>
      <c r="J9" s="42" t="s">
        <v>103</v>
      </c>
      <c r="K9" s="43" t="s">
        <v>35</v>
      </c>
      <c r="L9" s="43" t="s">
        <v>36</v>
      </c>
      <c r="M9" s="44" t="s">
        <v>37</v>
      </c>
      <c r="N9" s="42" t="s">
        <v>103</v>
      </c>
      <c r="O9" s="43" t="s">
        <v>35</v>
      </c>
      <c r="P9" s="43" t="s">
        <v>36</v>
      </c>
      <c r="Q9" s="44" t="s">
        <v>37</v>
      </c>
      <c r="R9" s="42" t="s">
        <v>103</v>
      </c>
      <c r="S9" s="43" t="s">
        <v>35</v>
      </c>
      <c r="T9" s="43" t="s">
        <v>36</v>
      </c>
      <c r="U9" s="44" t="s">
        <v>37</v>
      </c>
      <c r="V9" s="277"/>
      <c r="W9" s="280"/>
      <c r="X9" s="280"/>
      <c r="Y9" s="280"/>
      <c r="Z9" s="278"/>
    </row>
    <row r="10" spans="1:28" s="7" customFormat="1" ht="18" customHeight="1" thickBot="1">
      <c r="A10" s="184" t="s">
        <v>108</v>
      </c>
      <c r="B10" s="46" t="s">
        <v>16</v>
      </c>
      <c r="C10" s="47" t="s">
        <v>38</v>
      </c>
      <c r="D10" s="47" t="s">
        <v>38</v>
      </c>
      <c r="E10" s="48" t="s">
        <v>38</v>
      </c>
      <c r="F10" s="46" t="s">
        <v>16</v>
      </c>
      <c r="G10" s="47" t="s">
        <v>38</v>
      </c>
      <c r="H10" s="47" t="s">
        <v>38</v>
      </c>
      <c r="I10" s="48" t="s">
        <v>38</v>
      </c>
      <c r="J10" s="46" t="s">
        <v>16</v>
      </c>
      <c r="K10" s="47" t="s">
        <v>38</v>
      </c>
      <c r="L10" s="47" t="s">
        <v>38</v>
      </c>
      <c r="M10" s="48" t="s">
        <v>38</v>
      </c>
      <c r="N10" s="46" t="s">
        <v>16</v>
      </c>
      <c r="O10" s="47" t="s">
        <v>38</v>
      </c>
      <c r="P10" s="47" t="s">
        <v>38</v>
      </c>
      <c r="Q10" s="48" t="s">
        <v>38</v>
      </c>
      <c r="R10" s="49" t="s">
        <v>16</v>
      </c>
      <c r="S10" s="50" t="s">
        <v>38</v>
      </c>
      <c r="T10" s="50" t="s">
        <v>38</v>
      </c>
      <c r="U10" s="51" t="s">
        <v>38</v>
      </c>
      <c r="V10" s="254"/>
      <c r="W10" s="254"/>
      <c r="X10" s="254"/>
      <c r="Y10" s="254"/>
      <c r="Z10" s="254"/>
    </row>
    <row r="11" spans="1:28" s="7" customFormat="1" ht="24.75" customHeight="1">
      <c r="A11" s="304" t="s">
        <v>76</v>
      </c>
      <c r="B11" s="56">
        <v>79.228999999999999</v>
      </c>
      <c r="C11" s="66">
        <v>3</v>
      </c>
      <c r="D11" s="66">
        <v>3</v>
      </c>
      <c r="E11" s="67">
        <v>3</v>
      </c>
      <c r="F11" s="56">
        <v>1606.9570000000001</v>
      </c>
      <c r="G11" s="66">
        <v>41</v>
      </c>
      <c r="H11" s="66">
        <v>41</v>
      </c>
      <c r="I11" s="67">
        <v>17</v>
      </c>
      <c r="J11" s="56">
        <v>169.15299999999999</v>
      </c>
      <c r="K11" s="52"/>
      <c r="L11" s="52"/>
      <c r="M11" s="53"/>
      <c r="N11" s="56">
        <v>11403.463</v>
      </c>
      <c r="O11" s="66">
        <v>176</v>
      </c>
      <c r="P11" s="66">
        <v>145</v>
      </c>
      <c r="Q11" s="67">
        <v>103</v>
      </c>
      <c r="R11" s="59">
        <f t="shared" ref="R11:U14" si="0">SUM(N11,J11,F11,B11)</f>
        <v>13258.802</v>
      </c>
      <c r="S11" s="60">
        <f t="shared" si="0"/>
        <v>220</v>
      </c>
      <c r="T11" s="60">
        <f t="shared" si="0"/>
        <v>189</v>
      </c>
      <c r="U11" s="61">
        <f t="shared" si="0"/>
        <v>123</v>
      </c>
      <c r="V11" s="255"/>
      <c r="W11" s="254"/>
      <c r="X11" s="254"/>
      <c r="Y11" s="254"/>
      <c r="Z11" s="254"/>
    </row>
    <row r="12" spans="1:28" s="7" customFormat="1" ht="24.75" customHeight="1">
      <c r="A12" s="304" t="s">
        <v>117</v>
      </c>
      <c r="B12" s="57">
        <v>199549.66899999999</v>
      </c>
      <c r="C12" s="68">
        <v>7346</v>
      </c>
      <c r="D12" s="68">
        <v>1553</v>
      </c>
      <c r="E12" s="69">
        <v>605</v>
      </c>
      <c r="F12" s="57">
        <v>177566.95259999999</v>
      </c>
      <c r="G12" s="68">
        <v>5145</v>
      </c>
      <c r="H12" s="68">
        <v>1076</v>
      </c>
      <c r="I12" s="69">
        <v>547</v>
      </c>
      <c r="J12" s="57">
        <v>41501.192000000003</v>
      </c>
      <c r="K12" s="54">
        <v>2087</v>
      </c>
      <c r="L12" s="54">
        <v>609</v>
      </c>
      <c r="M12" s="55">
        <v>330</v>
      </c>
      <c r="N12" s="57">
        <v>19949.737000000001</v>
      </c>
      <c r="O12" s="68">
        <v>1403</v>
      </c>
      <c r="P12" s="68">
        <v>617</v>
      </c>
      <c r="Q12" s="69">
        <v>444</v>
      </c>
      <c r="R12" s="59">
        <f t="shared" si="0"/>
        <v>438567.55059999996</v>
      </c>
      <c r="S12" s="62">
        <f t="shared" si="0"/>
        <v>15981</v>
      </c>
      <c r="T12" s="62">
        <f t="shared" si="0"/>
        <v>3855</v>
      </c>
      <c r="U12" s="63">
        <f t="shared" si="0"/>
        <v>1926</v>
      </c>
      <c r="V12" s="255"/>
      <c r="W12" s="254"/>
      <c r="X12" s="254"/>
      <c r="Y12" s="254"/>
      <c r="Z12" s="254"/>
      <c r="AA12" s="141"/>
      <c r="AB12" s="141"/>
    </row>
    <row r="13" spans="1:28" s="7" customFormat="1" ht="24.75" customHeight="1">
      <c r="A13" s="304" t="s">
        <v>77</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5"/>
      <c r="W13" s="254"/>
      <c r="X13" s="254"/>
      <c r="Y13" s="254"/>
      <c r="Z13" s="254"/>
    </row>
    <row r="14" spans="1:28" s="7" customFormat="1" ht="24.75" customHeight="1" thickBot="1">
      <c r="A14" s="304" t="s">
        <v>78</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5"/>
      <c r="W14" s="254"/>
      <c r="X14" s="254"/>
      <c r="Y14" s="254"/>
      <c r="Z14" s="254"/>
    </row>
    <row r="15" spans="1:28" s="7" customFormat="1" ht="24.75" customHeight="1" thickBot="1">
      <c r="A15" s="185" t="s">
        <v>50</v>
      </c>
      <c r="B15" s="58">
        <f t="shared" ref="B15:Q15" si="1">SUM(B11:B14)</f>
        <v>199628.89799999999</v>
      </c>
      <c r="C15" s="64">
        <f t="shared" si="1"/>
        <v>7349</v>
      </c>
      <c r="D15" s="64">
        <f t="shared" si="1"/>
        <v>1556</v>
      </c>
      <c r="E15" s="65">
        <f t="shared" si="1"/>
        <v>608</v>
      </c>
      <c r="F15" s="58">
        <f t="shared" si="1"/>
        <v>179173.90959999998</v>
      </c>
      <c r="G15" s="64">
        <f t="shared" si="1"/>
        <v>5186</v>
      </c>
      <c r="H15" s="64">
        <f t="shared" si="1"/>
        <v>1117</v>
      </c>
      <c r="I15" s="65">
        <f t="shared" si="1"/>
        <v>564</v>
      </c>
      <c r="J15" s="58">
        <f t="shared" si="1"/>
        <v>41670.345000000001</v>
      </c>
      <c r="K15" s="64">
        <f t="shared" si="1"/>
        <v>2087</v>
      </c>
      <c r="L15" s="64">
        <f t="shared" si="1"/>
        <v>609</v>
      </c>
      <c r="M15" s="65">
        <f t="shared" si="1"/>
        <v>330</v>
      </c>
      <c r="N15" s="58">
        <f t="shared" si="1"/>
        <v>31353.200000000001</v>
      </c>
      <c r="O15" s="64">
        <f t="shared" si="1"/>
        <v>1579</v>
      </c>
      <c r="P15" s="64">
        <f t="shared" si="1"/>
        <v>762</v>
      </c>
      <c r="Q15" s="65">
        <f t="shared" si="1"/>
        <v>547</v>
      </c>
      <c r="R15" s="58">
        <f>SUM(N15,J15,F15,B15)</f>
        <v>451826.35259999998</v>
      </c>
      <c r="S15" s="150">
        <f>SUM(S11:S14)</f>
        <v>16201</v>
      </c>
      <c r="T15" s="64">
        <f>SUM(T11:T14)</f>
        <v>4044</v>
      </c>
      <c r="U15" s="65">
        <f>SUM(U11:U14)</f>
        <v>2049</v>
      </c>
      <c r="V15" s="254"/>
      <c r="W15" s="254"/>
      <c r="X15" s="254"/>
      <c r="Y15" s="254"/>
      <c r="Z15" s="254"/>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1:U15">
    <cfRule type="expression" dxfId="18" priority="1" stopIfTrue="1">
      <formula>CELL("Protect",A1)=1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tabSelected="1" workbookViewId="0">
      <pane ySplit="9" topLeftCell="A10" activePane="bottomLeft" state="frozen"/>
      <selection activeCell="G5" sqref="G5:J5"/>
      <selection pane="bottomLeft" activeCell="F5" sqref="F5:H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7" t="str">
        <f>'START HERE'!F6</f>
        <v>Chile</v>
      </c>
      <c r="C3" s="378"/>
      <c r="D3" s="6"/>
      <c r="E3" s="30" t="s">
        <v>39</v>
      </c>
      <c r="F3" s="374" t="s">
        <v>82</v>
      </c>
      <c r="G3" s="375"/>
      <c r="H3" s="376"/>
      <c r="I3" s="35"/>
    </row>
    <row r="4" spans="1:9" s="7" customFormat="1" ht="18" customHeight="1">
      <c r="A4" s="12" t="s">
        <v>19</v>
      </c>
      <c r="B4" s="377" t="str">
        <f>'START HERE'!F5</f>
        <v>Jack mackerel</v>
      </c>
      <c r="C4" s="378"/>
      <c r="D4" s="26"/>
      <c r="E4" s="13"/>
      <c r="F4" s="73"/>
      <c r="G4" s="161"/>
      <c r="H4" s="74"/>
      <c r="I4" s="35"/>
    </row>
    <row r="5" spans="1:9" s="7" customFormat="1" ht="18" customHeight="1">
      <c r="A5" s="12" t="s">
        <v>13</v>
      </c>
      <c r="B5" s="118">
        <f>'START HERE'!$K$3</f>
        <v>2019</v>
      </c>
      <c r="C5" s="257"/>
      <c r="D5" s="6"/>
      <c r="E5" s="34" t="s">
        <v>40</v>
      </c>
      <c r="F5" s="379" t="s">
        <v>143</v>
      </c>
      <c r="G5" s="380"/>
      <c r="H5" s="381"/>
      <c r="I5" s="35"/>
    </row>
    <row r="6" spans="1:9" s="7" customFormat="1" ht="18" customHeight="1" thickBot="1">
      <c r="A6" s="12"/>
      <c r="B6" s="71"/>
      <c r="C6" s="72"/>
      <c r="D6" s="6"/>
      <c r="E6" s="34" t="s">
        <v>14</v>
      </c>
      <c r="F6" s="382">
        <f>'START HERE'!$F8</f>
        <v>42615</v>
      </c>
      <c r="G6" s="383"/>
      <c r="H6" s="384"/>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2019</v>
      </c>
      <c r="C9" s="181">
        <f>'START HERE'!$K$3</f>
        <v>2019</v>
      </c>
      <c r="D9" s="181">
        <f>'START HERE'!$K$3</f>
        <v>2019</v>
      </c>
      <c r="E9" s="181">
        <f>'START HERE'!$K$3</f>
        <v>2019</v>
      </c>
      <c r="F9" s="180">
        <f>'START HERE'!$K$3</f>
        <v>2019</v>
      </c>
      <c r="G9" s="4"/>
      <c r="H9" s="177"/>
      <c r="I9" s="177"/>
    </row>
    <row r="10" spans="1:9">
      <c r="A10" s="154">
        <v>1</v>
      </c>
      <c r="B10" s="302"/>
      <c r="C10" s="303"/>
      <c r="D10" s="303"/>
      <c r="E10" s="303"/>
      <c r="F10" s="36">
        <f t="shared" ref="F10:F15" si="0">SUM(B10:E10)</f>
        <v>0</v>
      </c>
      <c r="G10" s="4"/>
      <c r="H10" s="177"/>
      <c r="I10" s="177"/>
    </row>
    <row r="11" spans="1:9">
      <c r="A11" s="154">
        <v>2</v>
      </c>
      <c r="B11" s="302"/>
      <c r="C11" s="303"/>
      <c r="D11" s="303"/>
      <c r="E11" s="303"/>
      <c r="F11" s="36">
        <f t="shared" si="0"/>
        <v>0</v>
      </c>
      <c r="G11" s="4"/>
      <c r="H11" s="177"/>
      <c r="I11" s="177"/>
    </row>
    <row r="12" spans="1:9">
      <c r="A12" s="154">
        <v>3</v>
      </c>
      <c r="B12" s="302"/>
      <c r="C12" s="303"/>
      <c r="D12" s="303"/>
      <c r="E12" s="303"/>
      <c r="F12" s="36">
        <f t="shared" si="0"/>
        <v>0</v>
      </c>
      <c r="G12" s="4"/>
      <c r="H12" s="177"/>
      <c r="I12" s="177"/>
    </row>
    <row r="13" spans="1:9">
      <c r="A13" s="154">
        <v>4</v>
      </c>
      <c r="B13" s="302"/>
      <c r="C13" s="303"/>
      <c r="D13" s="303"/>
      <c r="E13" s="303"/>
      <c r="F13" s="36">
        <f t="shared" si="0"/>
        <v>0</v>
      </c>
      <c r="G13" s="4"/>
      <c r="H13" s="177"/>
      <c r="I13" s="177"/>
    </row>
    <row r="14" spans="1:9">
      <c r="A14" s="154">
        <v>5</v>
      </c>
      <c r="B14" s="302"/>
      <c r="C14" s="303"/>
      <c r="D14" s="303"/>
      <c r="E14" s="303"/>
      <c r="F14" s="36">
        <f t="shared" si="0"/>
        <v>0</v>
      </c>
      <c r="G14" s="4"/>
      <c r="H14" s="177"/>
      <c r="I14" s="177"/>
    </row>
    <row r="15" spans="1:9">
      <c r="A15" s="154">
        <v>6</v>
      </c>
      <c r="B15" s="302"/>
      <c r="C15" s="303"/>
      <c r="D15" s="303"/>
      <c r="E15" s="303"/>
      <c r="F15" s="36">
        <f t="shared" si="0"/>
        <v>0</v>
      </c>
      <c r="G15" s="4"/>
      <c r="H15" s="177"/>
      <c r="I15" s="177"/>
    </row>
    <row r="16" spans="1:9">
      <c r="A16" s="154">
        <v>7</v>
      </c>
      <c r="B16" s="302"/>
      <c r="C16" s="303"/>
      <c r="D16" s="303"/>
      <c r="E16" s="303"/>
      <c r="F16" s="36">
        <f t="shared" ref="F16:F47" si="1">SUM(B16:E16)</f>
        <v>0</v>
      </c>
      <c r="G16" s="4"/>
      <c r="H16" s="177"/>
      <c r="I16" s="177"/>
    </row>
    <row r="17" spans="1:9">
      <c r="A17" s="154">
        <v>8</v>
      </c>
      <c r="B17" s="302">
        <v>181100.88949999999</v>
      </c>
      <c r="C17" s="303"/>
      <c r="D17" s="303"/>
      <c r="E17" s="303"/>
      <c r="F17" s="36">
        <f t="shared" si="1"/>
        <v>181100.88949999999</v>
      </c>
      <c r="G17" s="4"/>
      <c r="H17" s="177"/>
      <c r="I17" s="177"/>
    </row>
    <row r="18" spans="1:9">
      <c r="A18" s="154">
        <v>9</v>
      </c>
      <c r="B18" s="302">
        <v>181100.88949999999</v>
      </c>
      <c r="C18" s="303">
        <v>63410.169450000001</v>
      </c>
      <c r="D18" s="303"/>
      <c r="E18" s="303"/>
      <c r="F18" s="36">
        <f t="shared" si="1"/>
        <v>244511.05894999998</v>
      </c>
      <c r="G18" s="4"/>
      <c r="H18" s="177"/>
      <c r="I18" s="177"/>
    </row>
    <row r="19" spans="1:9">
      <c r="A19" s="154">
        <v>10</v>
      </c>
      <c r="B19" s="302"/>
      <c r="C19" s="303">
        <v>126820.3389</v>
      </c>
      <c r="D19" s="303"/>
      <c r="E19" s="303"/>
      <c r="F19" s="36">
        <f t="shared" si="1"/>
        <v>126820.3389</v>
      </c>
      <c r="G19" s="4"/>
      <c r="H19" s="177"/>
      <c r="I19" s="177"/>
    </row>
    <row r="20" spans="1:9">
      <c r="A20" s="154">
        <v>11</v>
      </c>
      <c r="B20" s="302">
        <v>90550.444770000002</v>
      </c>
      <c r="C20" s="303">
        <v>1129001.0611099999</v>
      </c>
      <c r="D20" s="303"/>
      <c r="E20" s="303"/>
      <c r="F20" s="36">
        <f t="shared" si="1"/>
        <v>1219551.5058799998</v>
      </c>
      <c r="G20" s="4"/>
      <c r="H20" s="177"/>
      <c r="I20" s="177"/>
    </row>
    <row r="21" spans="1:9">
      <c r="A21" s="154">
        <v>12</v>
      </c>
      <c r="B21" s="302"/>
      <c r="C21" s="303">
        <v>2177582.5588500001</v>
      </c>
      <c r="D21" s="303"/>
      <c r="E21" s="303"/>
      <c r="F21" s="36">
        <f t="shared" si="1"/>
        <v>2177582.5588500001</v>
      </c>
      <c r="G21" s="4"/>
      <c r="H21" s="177"/>
      <c r="I21" s="177"/>
    </row>
    <row r="22" spans="1:9">
      <c r="A22" s="154">
        <v>13</v>
      </c>
      <c r="B22" s="302"/>
      <c r="C22" s="303">
        <v>1602958.9715799999</v>
      </c>
      <c r="D22" s="303"/>
      <c r="E22" s="303"/>
      <c r="F22" s="36">
        <f t="shared" si="1"/>
        <v>1602958.9715799999</v>
      </c>
      <c r="G22" s="4"/>
      <c r="H22" s="177"/>
      <c r="I22" s="177"/>
    </row>
    <row r="23" spans="1:9">
      <c r="A23" s="154">
        <v>14</v>
      </c>
      <c r="B23" s="302"/>
      <c r="C23" s="303">
        <v>338687.64464999997</v>
      </c>
      <c r="D23" s="303"/>
      <c r="E23" s="303"/>
      <c r="F23" s="36">
        <f t="shared" si="1"/>
        <v>338687.64464999997</v>
      </c>
      <c r="G23" s="4"/>
      <c r="H23" s="177"/>
      <c r="I23" s="177"/>
    </row>
    <row r="24" spans="1:9">
      <c r="A24" s="154">
        <v>15</v>
      </c>
      <c r="B24" s="302"/>
      <c r="C24" s="303">
        <v>298890.75864999997</v>
      </c>
      <c r="D24" s="303"/>
      <c r="E24" s="303">
        <v>71683</v>
      </c>
      <c r="F24" s="36">
        <f t="shared" si="1"/>
        <v>370573.75864999997</v>
      </c>
      <c r="G24" s="29"/>
      <c r="H24" s="177"/>
      <c r="I24" s="177"/>
    </row>
    <row r="25" spans="1:9">
      <c r="A25" s="154">
        <v>16</v>
      </c>
      <c r="B25" s="302"/>
      <c r="C25" s="303">
        <v>94192.235679999998</v>
      </c>
      <c r="D25" s="303"/>
      <c r="E25" s="303"/>
      <c r="F25" s="36">
        <f t="shared" si="1"/>
        <v>94192.235679999998</v>
      </c>
      <c r="G25" s="4"/>
      <c r="H25" s="177"/>
      <c r="I25" s="177"/>
    </row>
    <row r="26" spans="1:9">
      <c r="A26" s="154">
        <v>17</v>
      </c>
      <c r="B26" s="302"/>
      <c r="C26" s="303">
        <v>128211.02241999999</v>
      </c>
      <c r="D26" s="303"/>
      <c r="E26" s="303"/>
      <c r="F26" s="36">
        <f t="shared" si="1"/>
        <v>128211.02241999999</v>
      </c>
      <c r="G26" s="4"/>
      <c r="H26" s="177"/>
      <c r="I26" s="177"/>
    </row>
    <row r="27" spans="1:9">
      <c r="A27" s="154">
        <v>18</v>
      </c>
      <c r="B27" s="302"/>
      <c r="C27" s="303"/>
      <c r="D27" s="303"/>
      <c r="E27" s="303">
        <v>71683</v>
      </c>
      <c r="F27" s="36">
        <f t="shared" si="1"/>
        <v>71683</v>
      </c>
      <c r="G27" s="4"/>
      <c r="H27" s="177"/>
      <c r="I27" s="177"/>
    </row>
    <row r="28" spans="1:9">
      <c r="A28" s="154">
        <v>19</v>
      </c>
      <c r="B28" s="302"/>
      <c r="C28" s="303"/>
      <c r="D28" s="303"/>
      <c r="E28" s="303"/>
      <c r="F28" s="36">
        <f t="shared" si="1"/>
        <v>0</v>
      </c>
      <c r="G28" s="4"/>
      <c r="H28" s="177"/>
      <c r="I28" s="177"/>
    </row>
    <row r="29" spans="1:9">
      <c r="A29" s="154">
        <v>20</v>
      </c>
      <c r="B29" s="302"/>
      <c r="C29" s="303"/>
      <c r="D29" s="303"/>
      <c r="E29" s="303">
        <v>71683</v>
      </c>
      <c r="F29" s="36">
        <f t="shared" si="1"/>
        <v>71683</v>
      </c>
      <c r="G29" s="4"/>
      <c r="H29" s="177"/>
      <c r="I29" s="177"/>
    </row>
    <row r="30" spans="1:9">
      <c r="A30" s="154">
        <v>21</v>
      </c>
      <c r="B30" s="302"/>
      <c r="C30" s="303"/>
      <c r="D30" s="303"/>
      <c r="E30" s="303"/>
      <c r="F30" s="36">
        <f t="shared" si="1"/>
        <v>0</v>
      </c>
      <c r="G30" s="4"/>
      <c r="H30" s="177"/>
      <c r="I30" s="177"/>
    </row>
    <row r="31" spans="1:9">
      <c r="A31" s="154">
        <v>22</v>
      </c>
      <c r="B31" s="302"/>
      <c r="C31" s="303"/>
      <c r="D31" s="303"/>
      <c r="E31" s="303">
        <v>71683</v>
      </c>
      <c r="F31" s="36">
        <f t="shared" si="1"/>
        <v>71683</v>
      </c>
      <c r="G31" s="4"/>
      <c r="H31" s="177"/>
      <c r="I31" s="177"/>
    </row>
    <row r="32" spans="1:9">
      <c r="A32" s="154">
        <v>23</v>
      </c>
      <c r="B32" s="302"/>
      <c r="C32" s="303"/>
      <c r="D32" s="303"/>
      <c r="E32" s="303"/>
      <c r="F32" s="36">
        <f t="shared" si="1"/>
        <v>0</v>
      </c>
      <c r="G32" s="4"/>
      <c r="H32" s="177"/>
      <c r="I32" s="177"/>
    </row>
    <row r="33" spans="1:9">
      <c r="A33" s="154">
        <v>24</v>
      </c>
      <c r="B33" s="302"/>
      <c r="C33" s="303">
        <v>315245</v>
      </c>
      <c r="D33" s="303"/>
      <c r="E33" s="303"/>
      <c r="F33" s="36">
        <f t="shared" si="1"/>
        <v>315245</v>
      </c>
      <c r="G33" s="4"/>
      <c r="H33" s="177"/>
      <c r="I33" s="177"/>
    </row>
    <row r="34" spans="1:9">
      <c r="A34" s="154">
        <v>25</v>
      </c>
      <c r="B34" s="302"/>
      <c r="C34" s="303">
        <v>1812659</v>
      </c>
      <c r="D34" s="303"/>
      <c r="E34" s="303">
        <v>143366</v>
      </c>
      <c r="F34" s="36">
        <f t="shared" si="1"/>
        <v>1956025</v>
      </c>
      <c r="G34" s="4"/>
      <c r="H34" s="177"/>
      <c r="I34" s="177"/>
    </row>
    <row r="35" spans="1:9">
      <c r="A35" s="154">
        <v>26</v>
      </c>
      <c r="B35" s="302"/>
      <c r="C35" s="303">
        <v>1947280</v>
      </c>
      <c r="D35" s="303"/>
      <c r="E35" s="303"/>
      <c r="F35" s="36">
        <f t="shared" si="1"/>
        <v>1947280</v>
      </c>
      <c r="G35" s="4"/>
      <c r="H35" s="177"/>
      <c r="I35" s="177"/>
    </row>
    <row r="36" spans="1:9">
      <c r="A36" s="154">
        <v>27</v>
      </c>
      <c r="B36" s="302"/>
      <c r="C36" s="303">
        <v>1454373</v>
      </c>
      <c r="D36" s="303"/>
      <c r="E36" s="303">
        <v>71683</v>
      </c>
      <c r="F36" s="36">
        <f t="shared" si="1"/>
        <v>1526056</v>
      </c>
      <c r="G36" s="4"/>
      <c r="H36" s="177"/>
      <c r="I36" s="177"/>
    </row>
    <row r="37" spans="1:9">
      <c r="A37" s="154">
        <v>28</v>
      </c>
      <c r="B37" s="302"/>
      <c r="C37" s="303">
        <v>687781</v>
      </c>
      <c r="D37" s="303"/>
      <c r="E37" s="303">
        <v>80718.853019999995</v>
      </c>
      <c r="F37" s="36">
        <f t="shared" si="1"/>
        <v>768499.85302000004</v>
      </c>
      <c r="G37" s="4"/>
      <c r="H37" s="177"/>
      <c r="I37" s="177"/>
    </row>
    <row r="38" spans="1:9">
      <c r="A38" s="154">
        <v>29</v>
      </c>
      <c r="B38" s="302"/>
      <c r="C38" s="303">
        <v>766458</v>
      </c>
      <c r="D38" s="303"/>
      <c r="E38" s="303">
        <v>76657.710850000003</v>
      </c>
      <c r="F38" s="36">
        <f t="shared" si="1"/>
        <v>843115.71085000003</v>
      </c>
      <c r="G38" s="4"/>
      <c r="H38" s="177"/>
      <c r="I38" s="177"/>
    </row>
    <row r="39" spans="1:9">
      <c r="A39" s="154">
        <v>30</v>
      </c>
      <c r="B39" s="302"/>
      <c r="C39" s="303">
        <v>452155</v>
      </c>
      <c r="D39" s="303"/>
      <c r="E39" s="303">
        <v>476386.71084999997</v>
      </c>
      <c r="F39" s="36">
        <f t="shared" si="1"/>
        <v>928541.71084999992</v>
      </c>
      <c r="G39" s="4"/>
      <c r="H39" s="177"/>
      <c r="I39" s="177"/>
    </row>
    <row r="40" spans="1:9">
      <c r="A40" s="154">
        <v>31</v>
      </c>
      <c r="B40" s="302"/>
      <c r="C40" s="303">
        <v>39406</v>
      </c>
      <c r="D40" s="303"/>
      <c r="E40" s="303">
        <v>1018068.13737</v>
      </c>
      <c r="F40" s="36">
        <f t="shared" si="1"/>
        <v>1057474.1373700001</v>
      </c>
      <c r="G40" s="4"/>
      <c r="H40" s="177"/>
      <c r="I40" s="177"/>
    </row>
    <row r="41" spans="1:9">
      <c r="A41" s="154">
        <v>32</v>
      </c>
      <c r="B41" s="302"/>
      <c r="C41" s="303"/>
      <c r="D41" s="303"/>
      <c r="E41" s="303">
        <v>1259316.1325999999</v>
      </c>
      <c r="F41" s="36">
        <f t="shared" si="1"/>
        <v>1259316.1325999999</v>
      </c>
      <c r="G41" s="4"/>
      <c r="H41" s="177"/>
      <c r="I41" s="177"/>
    </row>
    <row r="42" spans="1:9">
      <c r="A42" s="154">
        <v>33</v>
      </c>
      <c r="B42" s="302"/>
      <c r="C42" s="303"/>
      <c r="D42" s="303"/>
      <c r="E42" s="303">
        <v>1912242.6294</v>
      </c>
      <c r="F42" s="36">
        <f t="shared" si="1"/>
        <v>1912242.6294</v>
      </c>
      <c r="G42" s="4"/>
      <c r="H42" s="177"/>
      <c r="I42" s="177"/>
    </row>
    <row r="43" spans="1:9">
      <c r="A43" s="154">
        <v>34</v>
      </c>
      <c r="B43" s="302"/>
      <c r="C43" s="303"/>
      <c r="D43" s="303"/>
      <c r="E43" s="303">
        <v>2287809.7401000001</v>
      </c>
      <c r="F43" s="36">
        <f t="shared" si="1"/>
        <v>2287809.7401000001</v>
      </c>
      <c r="G43" s="4"/>
      <c r="H43" s="177"/>
      <c r="I43" s="177"/>
    </row>
    <row r="44" spans="1:9">
      <c r="A44" s="154">
        <v>35</v>
      </c>
      <c r="B44" s="302"/>
      <c r="C44" s="303"/>
      <c r="D44" s="303"/>
      <c r="E44" s="303">
        <v>1595695.60751</v>
      </c>
      <c r="F44" s="36">
        <f t="shared" si="1"/>
        <v>1595695.60751</v>
      </c>
      <c r="G44" s="4"/>
      <c r="H44" s="177"/>
      <c r="I44" s="177"/>
    </row>
    <row r="45" spans="1:9">
      <c r="A45" s="154">
        <v>36</v>
      </c>
      <c r="B45" s="302"/>
      <c r="C45" s="303"/>
      <c r="D45" s="303"/>
      <c r="E45" s="303">
        <v>1110273.35675</v>
      </c>
      <c r="F45" s="36">
        <f t="shared" si="1"/>
        <v>1110273.35675</v>
      </c>
      <c r="G45" s="4"/>
      <c r="H45" s="177"/>
      <c r="I45" s="177"/>
    </row>
    <row r="46" spans="1:9">
      <c r="A46" s="154">
        <v>37</v>
      </c>
      <c r="B46" s="302"/>
      <c r="C46" s="303"/>
      <c r="D46" s="303"/>
      <c r="E46" s="303">
        <v>867414.02930000005</v>
      </c>
      <c r="F46" s="36">
        <f t="shared" si="1"/>
        <v>867414.02930000005</v>
      </c>
      <c r="G46" s="4"/>
      <c r="H46" s="177"/>
      <c r="I46" s="177"/>
    </row>
    <row r="47" spans="1:9">
      <c r="A47" s="154">
        <v>38</v>
      </c>
      <c r="B47" s="302"/>
      <c r="C47" s="303"/>
      <c r="D47" s="303"/>
      <c r="E47" s="303">
        <v>877981.07501000003</v>
      </c>
      <c r="F47" s="36">
        <f t="shared" si="1"/>
        <v>877981.07501000003</v>
      </c>
      <c r="G47" s="4"/>
      <c r="H47" s="177"/>
      <c r="I47" s="177"/>
    </row>
    <row r="48" spans="1:9">
      <c r="A48" s="154">
        <v>39</v>
      </c>
      <c r="B48" s="302"/>
      <c r="C48" s="303"/>
      <c r="D48" s="303"/>
      <c r="E48" s="303">
        <v>748859.12080000003</v>
      </c>
      <c r="F48" s="36">
        <f t="shared" ref="F48:F79" si="2">SUM(B48:E48)</f>
        <v>748859.12080000003</v>
      </c>
      <c r="G48" s="4"/>
      <c r="H48" s="177"/>
      <c r="I48" s="177"/>
    </row>
    <row r="49" spans="1:9">
      <c r="A49" s="154">
        <v>40</v>
      </c>
      <c r="B49" s="302"/>
      <c r="C49" s="303"/>
      <c r="D49" s="303"/>
      <c r="E49" s="303">
        <v>430164.43137100001</v>
      </c>
      <c r="F49" s="36">
        <f t="shared" si="2"/>
        <v>430164.43137100001</v>
      </c>
      <c r="G49" s="4"/>
      <c r="H49" s="177"/>
      <c r="I49" s="177"/>
    </row>
    <row r="50" spans="1:9">
      <c r="A50" s="154">
        <v>41</v>
      </c>
      <c r="B50" s="302"/>
      <c r="C50" s="303"/>
      <c r="D50" s="303"/>
      <c r="E50" s="303">
        <v>345645.17358</v>
      </c>
      <c r="F50" s="36">
        <f t="shared" si="2"/>
        <v>345645.17358</v>
      </c>
      <c r="G50" s="4"/>
      <c r="H50" s="177"/>
      <c r="I50" s="177"/>
    </row>
    <row r="51" spans="1:9">
      <c r="A51" s="154">
        <v>42</v>
      </c>
      <c r="B51" s="302"/>
      <c r="C51" s="303"/>
      <c r="D51" s="303"/>
      <c r="E51" s="303">
        <v>539293.25075999997</v>
      </c>
      <c r="F51" s="36">
        <f t="shared" si="2"/>
        <v>539293.25075999997</v>
      </c>
      <c r="G51" s="4"/>
      <c r="H51" s="177"/>
      <c r="I51" s="177"/>
    </row>
    <row r="52" spans="1:9">
      <c r="A52" s="154">
        <v>43</v>
      </c>
      <c r="B52" s="302"/>
      <c r="C52" s="303"/>
      <c r="D52" s="303"/>
      <c r="E52" s="303">
        <v>408685.78084000002</v>
      </c>
      <c r="F52" s="36">
        <f t="shared" si="2"/>
        <v>408685.78084000002</v>
      </c>
      <c r="G52" s="4"/>
      <c r="H52" s="177"/>
      <c r="I52" s="177"/>
    </row>
    <row r="53" spans="1:9">
      <c r="A53" s="154">
        <v>44</v>
      </c>
      <c r="B53" s="302"/>
      <c r="C53" s="303"/>
      <c r="D53" s="303"/>
      <c r="E53" s="303">
        <v>288556.22895999998</v>
      </c>
      <c r="F53" s="36">
        <f t="shared" si="2"/>
        <v>288556.22895999998</v>
      </c>
      <c r="G53" s="4"/>
      <c r="H53" s="177"/>
      <c r="I53" s="177"/>
    </row>
    <row r="54" spans="1:9">
      <c r="A54" s="154">
        <v>45</v>
      </c>
      <c r="B54" s="302"/>
      <c r="C54" s="303"/>
      <c r="D54" s="303"/>
      <c r="E54" s="303">
        <v>384816.11797999998</v>
      </c>
      <c r="F54" s="36">
        <f t="shared" si="2"/>
        <v>384816.11797999998</v>
      </c>
      <c r="G54" s="4"/>
      <c r="H54" s="177"/>
      <c r="I54" s="177"/>
    </row>
    <row r="55" spans="1:9">
      <c r="A55" s="154">
        <v>46</v>
      </c>
      <c r="B55" s="302"/>
      <c r="C55" s="303"/>
      <c r="D55" s="303"/>
      <c r="E55" s="303">
        <v>358969.04561999999</v>
      </c>
      <c r="F55" s="36">
        <f t="shared" si="2"/>
        <v>358969.04561999999</v>
      </c>
      <c r="G55" s="4"/>
      <c r="H55" s="177"/>
      <c r="I55" s="177"/>
    </row>
    <row r="56" spans="1:9">
      <c r="A56" s="154">
        <v>47</v>
      </c>
      <c r="B56" s="302"/>
      <c r="C56" s="303"/>
      <c r="D56" s="303"/>
      <c r="E56" s="303">
        <v>277280.48424000002</v>
      </c>
      <c r="F56" s="36">
        <f t="shared" si="2"/>
        <v>277280.48424000002</v>
      </c>
      <c r="G56" s="4"/>
      <c r="H56" s="177"/>
      <c r="I56" s="177"/>
    </row>
    <row r="57" spans="1:9">
      <c r="A57" s="154">
        <v>48</v>
      </c>
      <c r="B57" s="302"/>
      <c r="C57" s="303"/>
      <c r="D57" s="303"/>
      <c r="E57" s="303">
        <v>141428.27703999999</v>
      </c>
      <c r="F57" s="36">
        <f t="shared" si="2"/>
        <v>141428.27703999999</v>
      </c>
      <c r="G57" s="4"/>
      <c r="H57" s="177"/>
      <c r="I57" s="177"/>
    </row>
    <row r="58" spans="1:9">
      <c r="A58" s="154">
        <v>49</v>
      </c>
      <c r="B58" s="302"/>
      <c r="C58" s="303"/>
      <c r="D58" s="303"/>
      <c r="E58" s="303">
        <v>178457.78069099999</v>
      </c>
      <c r="F58" s="36">
        <f t="shared" si="2"/>
        <v>178457.78069099999</v>
      </c>
      <c r="G58" s="4"/>
      <c r="H58" s="177"/>
      <c r="I58" s="177"/>
    </row>
    <row r="59" spans="1:9">
      <c r="A59" s="154">
        <v>50</v>
      </c>
      <c r="B59" s="302"/>
      <c r="C59" s="303"/>
      <c r="D59" s="303"/>
      <c r="E59" s="303">
        <v>327036.66224999999</v>
      </c>
      <c r="F59" s="36">
        <f t="shared" si="2"/>
        <v>327036.66224999999</v>
      </c>
      <c r="G59" s="4"/>
      <c r="H59" s="177"/>
      <c r="I59" s="177"/>
    </row>
    <row r="60" spans="1:9">
      <c r="A60" s="154">
        <v>51</v>
      </c>
      <c r="B60" s="302"/>
      <c r="C60" s="303"/>
      <c r="D60" s="303"/>
      <c r="E60" s="303">
        <v>52893</v>
      </c>
      <c r="F60" s="36">
        <f t="shared" si="2"/>
        <v>52893</v>
      </c>
      <c r="G60" s="4"/>
      <c r="H60" s="177"/>
      <c r="I60" s="177"/>
    </row>
    <row r="61" spans="1:9">
      <c r="A61" s="154">
        <v>52</v>
      </c>
      <c r="B61" s="302"/>
      <c r="C61" s="303"/>
      <c r="D61" s="303"/>
      <c r="E61" s="303">
        <v>21364</v>
      </c>
      <c r="F61" s="36">
        <f t="shared" si="2"/>
        <v>21364</v>
      </c>
      <c r="G61" s="4"/>
      <c r="H61" s="177"/>
      <c r="I61" s="177"/>
    </row>
    <row r="62" spans="1:9">
      <c r="A62" s="154">
        <v>53</v>
      </c>
      <c r="B62" s="302"/>
      <c r="C62" s="303"/>
      <c r="D62" s="303"/>
      <c r="E62" s="303">
        <v>77402</v>
      </c>
      <c r="F62" s="36">
        <f t="shared" si="2"/>
        <v>77402</v>
      </c>
      <c r="G62" s="4"/>
      <c r="H62" s="177"/>
      <c r="I62" s="177"/>
    </row>
    <row r="63" spans="1:9">
      <c r="A63" s="154">
        <v>54</v>
      </c>
      <c r="B63" s="302"/>
      <c r="C63" s="303"/>
      <c r="D63" s="303"/>
      <c r="E63" s="303">
        <v>70210.277040000001</v>
      </c>
      <c r="F63" s="36">
        <f t="shared" si="2"/>
        <v>70210.277040000001</v>
      </c>
      <c r="G63" s="4"/>
      <c r="H63" s="177"/>
      <c r="I63" s="177"/>
    </row>
    <row r="64" spans="1:9">
      <c r="A64" s="154">
        <v>55</v>
      </c>
      <c r="B64" s="302"/>
      <c r="C64" s="303"/>
      <c r="D64" s="303"/>
      <c r="E64" s="303">
        <v>98288.277040000001</v>
      </c>
      <c r="F64" s="36">
        <f t="shared" si="2"/>
        <v>98288.277040000001</v>
      </c>
      <c r="G64" s="4"/>
      <c r="H64" s="177"/>
      <c r="I64" s="177"/>
    </row>
    <row r="65" spans="1:9">
      <c r="A65" s="154">
        <v>56</v>
      </c>
      <c r="B65" s="302"/>
      <c r="C65" s="303"/>
      <c r="D65" s="303"/>
      <c r="E65" s="303">
        <v>102918.638521</v>
      </c>
      <c r="F65" s="36">
        <f t="shared" si="2"/>
        <v>102918.638521</v>
      </c>
      <c r="G65" s="4"/>
      <c r="H65" s="177"/>
      <c r="I65" s="177"/>
    </row>
    <row r="66" spans="1:9">
      <c r="A66" s="154">
        <v>57</v>
      </c>
      <c r="B66" s="302"/>
      <c r="C66" s="303"/>
      <c r="D66" s="303"/>
      <c r="E66" s="303">
        <v>47502</v>
      </c>
      <c r="F66" s="36">
        <f t="shared" si="2"/>
        <v>47502</v>
      </c>
      <c r="G66" s="4"/>
      <c r="H66" s="177"/>
      <c r="I66" s="177"/>
    </row>
    <row r="67" spans="1:9">
      <c r="A67" s="154">
        <v>58</v>
      </c>
      <c r="B67" s="302"/>
      <c r="C67" s="303"/>
      <c r="D67" s="303"/>
      <c r="E67" s="303">
        <v>25041</v>
      </c>
      <c r="F67" s="36">
        <f t="shared" si="2"/>
        <v>25041</v>
      </c>
      <c r="G67" s="4"/>
      <c r="H67" s="177"/>
      <c r="I67" s="177"/>
    </row>
    <row r="68" spans="1:9">
      <c r="A68" s="154">
        <v>59</v>
      </c>
      <c r="B68" s="302"/>
      <c r="C68" s="303"/>
      <c r="D68" s="303"/>
      <c r="E68" s="303">
        <v>29488</v>
      </c>
      <c r="F68" s="36">
        <f t="shared" si="2"/>
        <v>29488</v>
      </c>
      <c r="G68" s="4"/>
      <c r="H68" s="177"/>
      <c r="I68" s="177"/>
    </row>
    <row r="69" spans="1:9">
      <c r="A69" s="154">
        <v>60</v>
      </c>
      <c r="B69" s="302"/>
      <c r="C69" s="303"/>
      <c r="D69" s="303"/>
      <c r="E69" s="303">
        <v>159255.55408</v>
      </c>
      <c r="F69" s="36">
        <f t="shared" si="2"/>
        <v>159255.55408</v>
      </c>
      <c r="G69" s="4"/>
      <c r="H69" s="177"/>
      <c r="I69" s="177"/>
    </row>
    <row r="70" spans="1:9">
      <c r="A70" s="154">
        <v>61</v>
      </c>
      <c r="B70" s="302"/>
      <c r="C70" s="303"/>
      <c r="D70" s="303"/>
      <c r="E70" s="303">
        <v>9413</v>
      </c>
      <c r="F70" s="36">
        <f t="shared" si="2"/>
        <v>9413</v>
      </c>
      <c r="G70" s="4"/>
      <c r="H70" s="177"/>
      <c r="I70" s="177"/>
    </row>
    <row r="71" spans="1:9">
      <c r="A71" s="154">
        <v>62</v>
      </c>
      <c r="B71" s="302"/>
      <c r="C71" s="303"/>
      <c r="D71" s="303"/>
      <c r="E71" s="303">
        <v>22077</v>
      </c>
      <c r="F71" s="36">
        <f t="shared" si="2"/>
        <v>22077</v>
      </c>
      <c r="G71" s="4"/>
      <c r="H71" s="177"/>
      <c r="I71" s="177"/>
    </row>
    <row r="72" spans="1:9">
      <c r="A72" s="154">
        <v>63</v>
      </c>
      <c r="B72" s="302"/>
      <c r="C72" s="303"/>
      <c r="D72" s="303"/>
      <c r="E72" s="303">
        <v>8912</v>
      </c>
      <c r="F72" s="36">
        <f t="shared" si="2"/>
        <v>8912</v>
      </c>
      <c r="G72" s="4"/>
      <c r="H72" s="177"/>
      <c r="I72" s="177"/>
    </row>
    <row r="73" spans="1:9">
      <c r="A73" s="154">
        <v>64</v>
      </c>
      <c r="B73" s="302"/>
      <c r="C73" s="303"/>
      <c r="D73" s="303"/>
      <c r="E73" s="303"/>
      <c r="F73" s="36">
        <f t="shared" si="2"/>
        <v>0</v>
      </c>
      <c r="G73" s="4"/>
      <c r="H73" s="177"/>
      <c r="I73" s="177"/>
    </row>
    <row r="74" spans="1:9">
      <c r="A74" s="154">
        <v>65</v>
      </c>
      <c r="B74" s="302"/>
      <c r="C74" s="303"/>
      <c r="D74" s="303"/>
      <c r="E74" s="303">
        <v>1782</v>
      </c>
      <c r="F74" s="36">
        <f t="shared" si="2"/>
        <v>1782</v>
      </c>
      <c r="G74" s="4"/>
      <c r="H74" s="177"/>
      <c r="I74" s="177"/>
    </row>
    <row r="75" spans="1:9">
      <c r="A75" s="154">
        <v>66</v>
      </c>
      <c r="B75" s="302"/>
      <c r="C75" s="303"/>
      <c r="D75" s="303"/>
      <c r="E75" s="303">
        <v>4253</v>
      </c>
      <c r="F75" s="36">
        <f t="shared" si="2"/>
        <v>4253</v>
      </c>
      <c r="G75" s="4"/>
      <c r="H75" s="177"/>
      <c r="I75" s="177"/>
    </row>
    <row r="76" spans="1:9">
      <c r="A76" s="154">
        <v>67</v>
      </c>
      <c r="B76" s="302"/>
      <c r="C76" s="303"/>
      <c r="D76" s="303"/>
      <c r="E76" s="303">
        <v>1782</v>
      </c>
      <c r="F76" s="36">
        <f t="shared" si="2"/>
        <v>1782</v>
      </c>
      <c r="G76" s="4"/>
      <c r="H76" s="177"/>
      <c r="I76" s="177"/>
    </row>
    <row r="77" spans="1:9">
      <c r="A77" s="154">
        <v>68</v>
      </c>
      <c r="B77" s="302"/>
      <c r="C77" s="303"/>
      <c r="D77" s="303"/>
      <c r="E77" s="303"/>
      <c r="F77" s="36">
        <f t="shared" si="2"/>
        <v>0</v>
      </c>
      <c r="G77" s="4"/>
      <c r="H77" s="177"/>
      <c r="I77" s="177"/>
    </row>
    <row r="78" spans="1:9">
      <c r="A78" s="154">
        <v>69</v>
      </c>
      <c r="B78" s="302"/>
      <c r="C78" s="303"/>
      <c r="D78" s="303"/>
      <c r="E78" s="303"/>
      <c r="F78" s="36">
        <f t="shared" si="2"/>
        <v>0</v>
      </c>
      <c r="G78" s="4"/>
      <c r="H78" s="177"/>
      <c r="I78" s="177"/>
    </row>
    <row r="79" spans="1:9">
      <c r="A79" s="154">
        <v>70</v>
      </c>
      <c r="B79" s="302"/>
      <c r="C79" s="303"/>
      <c r="D79" s="303"/>
      <c r="E79" s="303"/>
      <c r="F79" s="36">
        <f t="shared" si="2"/>
        <v>0</v>
      </c>
      <c r="G79" s="4"/>
      <c r="H79" s="177"/>
      <c r="I79" s="177"/>
    </row>
    <row r="80" spans="1:9">
      <c r="A80" s="154">
        <v>71</v>
      </c>
      <c r="B80" s="302"/>
      <c r="C80" s="303"/>
      <c r="D80" s="303"/>
      <c r="E80" s="303"/>
      <c r="F80" s="36">
        <f t="shared" ref="F80:F109" si="3">SUM(B80:E80)</f>
        <v>0</v>
      </c>
      <c r="G80" s="4"/>
      <c r="H80" s="177"/>
      <c r="I80" s="177"/>
    </row>
    <row r="81" spans="1:9">
      <c r="A81" s="154">
        <v>72</v>
      </c>
      <c r="B81" s="302"/>
      <c r="C81" s="303"/>
      <c r="D81" s="303"/>
      <c r="E81" s="303"/>
      <c r="F81" s="36">
        <f t="shared" si="3"/>
        <v>0</v>
      </c>
      <c r="G81" s="4"/>
      <c r="H81" s="177"/>
      <c r="I81" s="177"/>
    </row>
    <row r="82" spans="1:9">
      <c r="A82" s="154">
        <v>73</v>
      </c>
      <c r="B82" s="302"/>
      <c r="C82" s="303"/>
      <c r="D82" s="303"/>
      <c r="E82" s="303"/>
      <c r="F82" s="36">
        <f t="shared" si="3"/>
        <v>0</v>
      </c>
      <c r="G82" s="4"/>
      <c r="H82" s="177"/>
      <c r="I82" s="177"/>
    </row>
    <row r="83" spans="1:9">
      <c r="A83" s="154">
        <v>74</v>
      </c>
      <c r="B83" s="302"/>
      <c r="C83" s="303"/>
      <c r="D83" s="303"/>
      <c r="E83" s="303"/>
      <c r="F83" s="36">
        <f t="shared" si="3"/>
        <v>0</v>
      </c>
      <c r="G83" s="4"/>
      <c r="H83" s="177"/>
      <c r="I83" s="177"/>
    </row>
    <row r="84" spans="1:9">
      <c r="A84" s="154">
        <v>75</v>
      </c>
      <c r="B84" s="302"/>
      <c r="C84" s="303"/>
      <c r="D84" s="303"/>
      <c r="E84" s="303"/>
      <c r="F84" s="36">
        <f t="shared" si="3"/>
        <v>0</v>
      </c>
      <c r="G84" s="4"/>
      <c r="H84" s="177"/>
      <c r="I84" s="177"/>
    </row>
    <row r="85" spans="1:9">
      <c r="A85" s="154">
        <v>76</v>
      </c>
      <c r="B85" s="302"/>
      <c r="C85" s="303"/>
      <c r="D85" s="303"/>
      <c r="E85" s="303"/>
      <c r="F85" s="36">
        <f t="shared" si="3"/>
        <v>0</v>
      </c>
      <c r="G85" s="4"/>
      <c r="H85" s="177"/>
      <c r="I85" s="177"/>
    </row>
    <row r="86" spans="1:9">
      <c r="A86" s="154">
        <v>77</v>
      </c>
      <c r="B86" s="302"/>
      <c r="C86" s="303"/>
      <c r="D86" s="303"/>
      <c r="E86" s="303"/>
      <c r="F86" s="36">
        <f t="shared" si="3"/>
        <v>0</v>
      </c>
      <c r="G86" s="4"/>
      <c r="H86" s="177"/>
      <c r="I86" s="177"/>
    </row>
    <row r="87" spans="1:9">
      <c r="A87" s="154">
        <v>78</v>
      </c>
      <c r="B87" s="302"/>
      <c r="C87" s="303"/>
      <c r="D87" s="303"/>
      <c r="E87" s="303"/>
      <c r="F87" s="36">
        <f t="shared" si="3"/>
        <v>0</v>
      </c>
      <c r="G87" s="4"/>
      <c r="H87" s="177"/>
      <c r="I87" s="177"/>
    </row>
    <row r="88" spans="1:9">
      <c r="A88" s="154">
        <v>79</v>
      </c>
      <c r="B88" s="302"/>
      <c r="C88" s="303"/>
      <c r="D88" s="303"/>
      <c r="E88" s="303"/>
      <c r="F88" s="36">
        <f t="shared" si="3"/>
        <v>0</v>
      </c>
      <c r="G88" s="4"/>
      <c r="H88" s="177"/>
      <c r="I88" s="177"/>
    </row>
    <row r="89" spans="1:9">
      <c r="A89" s="154">
        <v>80</v>
      </c>
      <c r="B89" s="302"/>
      <c r="C89" s="303"/>
      <c r="D89" s="303"/>
      <c r="E89" s="303"/>
      <c r="F89" s="36">
        <f t="shared" si="3"/>
        <v>0</v>
      </c>
      <c r="G89" s="4"/>
      <c r="H89" s="177"/>
      <c r="I89" s="177"/>
    </row>
    <row r="90" spans="1:9">
      <c r="A90" s="154">
        <v>81</v>
      </c>
      <c r="B90" s="302"/>
      <c r="C90" s="303"/>
      <c r="D90" s="303"/>
      <c r="E90" s="303"/>
      <c r="F90" s="36">
        <f t="shared" si="3"/>
        <v>0</v>
      </c>
      <c r="G90" s="4"/>
      <c r="H90" s="177"/>
      <c r="I90" s="177"/>
    </row>
    <row r="91" spans="1:9">
      <c r="A91" s="154">
        <v>82</v>
      </c>
      <c r="B91" s="302"/>
      <c r="C91" s="303"/>
      <c r="D91" s="303"/>
      <c r="E91" s="303"/>
      <c r="F91" s="36">
        <f t="shared" si="3"/>
        <v>0</v>
      </c>
      <c r="G91" s="4"/>
      <c r="H91" s="177"/>
      <c r="I91" s="177"/>
    </row>
    <row r="92" spans="1:9">
      <c r="A92" s="154">
        <v>83</v>
      </c>
      <c r="B92" s="302"/>
      <c r="C92" s="303"/>
      <c r="D92" s="303"/>
      <c r="E92" s="303"/>
      <c r="F92" s="36">
        <f t="shared" si="3"/>
        <v>0</v>
      </c>
      <c r="G92" s="4"/>
      <c r="H92" s="177"/>
      <c r="I92" s="177"/>
    </row>
    <row r="93" spans="1:9">
      <c r="A93" s="154">
        <v>84</v>
      </c>
      <c r="B93" s="302"/>
      <c r="C93" s="303"/>
      <c r="D93" s="303"/>
      <c r="E93" s="303"/>
      <c r="F93" s="36">
        <f t="shared" si="3"/>
        <v>0</v>
      </c>
      <c r="G93" s="4"/>
      <c r="H93" s="177"/>
      <c r="I93" s="177"/>
    </row>
    <row r="94" spans="1:9">
      <c r="A94" s="154">
        <v>85</v>
      </c>
      <c r="B94" s="302"/>
      <c r="C94" s="303"/>
      <c r="D94" s="303"/>
      <c r="E94" s="303"/>
      <c r="F94" s="36">
        <f t="shared" si="3"/>
        <v>0</v>
      </c>
      <c r="G94" s="4"/>
      <c r="H94" s="177"/>
      <c r="I94" s="177"/>
    </row>
    <row r="95" spans="1:9">
      <c r="A95" s="154">
        <v>86</v>
      </c>
      <c r="B95" s="302"/>
      <c r="C95" s="303"/>
      <c r="D95" s="303"/>
      <c r="E95" s="303"/>
      <c r="F95" s="36">
        <f t="shared" si="3"/>
        <v>0</v>
      </c>
      <c r="G95" s="4"/>
      <c r="H95" s="177"/>
      <c r="I95" s="177"/>
    </row>
    <row r="96" spans="1:9">
      <c r="A96" s="154">
        <v>87</v>
      </c>
      <c r="B96" s="302"/>
      <c r="C96" s="303"/>
      <c r="D96" s="303"/>
      <c r="E96" s="303"/>
      <c r="F96" s="36">
        <f t="shared" si="3"/>
        <v>0</v>
      </c>
      <c r="G96" s="4"/>
      <c r="H96" s="177"/>
      <c r="I96" s="177"/>
    </row>
    <row r="97" spans="1:9">
      <c r="A97" s="154">
        <v>88</v>
      </c>
      <c r="B97" s="302"/>
      <c r="C97" s="303"/>
      <c r="D97" s="303"/>
      <c r="E97" s="303"/>
      <c r="F97" s="36">
        <f t="shared" si="3"/>
        <v>0</v>
      </c>
      <c r="G97" s="4"/>
      <c r="H97" s="177"/>
      <c r="I97" s="177"/>
    </row>
    <row r="98" spans="1:9">
      <c r="A98" s="154">
        <v>89</v>
      </c>
      <c r="B98" s="302"/>
      <c r="C98" s="303"/>
      <c r="D98" s="303"/>
      <c r="E98" s="303"/>
      <c r="F98" s="36">
        <f t="shared" si="3"/>
        <v>0</v>
      </c>
      <c r="G98" s="4"/>
      <c r="H98" s="177"/>
      <c r="I98" s="177"/>
    </row>
    <row r="99" spans="1:9">
      <c r="A99" s="154">
        <v>90</v>
      </c>
      <c r="B99" s="302"/>
      <c r="C99" s="303"/>
      <c r="D99" s="303"/>
      <c r="E99" s="303"/>
      <c r="F99" s="36">
        <f t="shared" si="3"/>
        <v>0</v>
      </c>
      <c r="G99" s="4"/>
      <c r="H99" s="177"/>
      <c r="I99" s="177"/>
    </row>
    <row r="100" spans="1:9">
      <c r="A100" s="154">
        <v>91</v>
      </c>
      <c r="B100" s="302"/>
      <c r="C100" s="303"/>
      <c r="D100" s="303"/>
      <c r="E100" s="303"/>
      <c r="F100" s="36">
        <f t="shared" si="3"/>
        <v>0</v>
      </c>
      <c r="G100" s="4"/>
      <c r="H100" s="177"/>
      <c r="I100" s="177"/>
    </row>
    <row r="101" spans="1:9">
      <c r="A101" s="154">
        <v>92</v>
      </c>
      <c r="B101" s="302"/>
      <c r="C101" s="303"/>
      <c r="D101" s="303"/>
      <c r="E101" s="303"/>
      <c r="F101" s="36">
        <f t="shared" si="3"/>
        <v>0</v>
      </c>
      <c r="G101" s="4"/>
      <c r="H101" s="177"/>
      <c r="I101" s="177"/>
    </row>
    <row r="102" spans="1:9">
      <c r="A102" s="154">
        <v>93</v>
      </c>
      <c r="B102" s="302"/>
      <c r="C102" s="303"/>
      <c r="D102" s="303"/>
      <c r="E102" s="303"/>
      <c r="F102" s="36">
        <f t="shared" si="3"/>
        <v>0</v>
      </c>
      <c r="G102" s="4"/>
      <c r="H102" s="177"/>
      <c r="I102" s="177"/>
    </row>
    <row r="103" spans="1:9">
      <c r="A103" s="154">
        <v>94</v>
      </c>
      <c r="B103" s="302"/>
      <c r="C103" s="303"/>
      <c r="D103" s="303"/>
      <c r="E103" s="303"/>
      <c r="F103" s="36">
        <f t="shared" si="3"/>
        <v>0</v>
      </c>
      <c r="G103" s="4"/>
      <c r="H103" s="177"/>
      <c r="I103" s="177"/>
    </row>
    <row r="104" spans="1:9">
      <c r="A104" s="154">
        <v>95</v>
      </c>
      <c r="B104" s="302"/>
      <c r="C104" s="303"/>
      <c r="D104" s="303"/>
      <c r="E104" s="303"/>
      <c r="F104" s="36">
        <f t="shared" si="3"/>
        <v>0</v>
      </c>
      <c r="G104" s="4"/>
      <c r="H104" s="177"/>
      <c r="I104" s="177"/>
    </row>
    <row r="105" spans="1:9">
      <c r="A105" s="154">
        <v>96</v>
      </c>
      <c r="B105" s="302"/>
      <c r="C105" s="303"/>
      <c r="D105" s="303"/>
      <c r="E105" s="303"/>
      <c r="F105" s="36">
        <f t="shared" si="3"/>
        <v>0</v>
      </c>
      <c r="G105" s="4"/>
      <c r="H105" s="177"/>
      <c r="I105" s="177"/>
    </row>
    <row r="106" spans="1:9">
      <c r="A106" s="154">
        <v>97</v>
      </c>
      <c r="B106" s="302"/>
      <c r="C106" s="303"/>
      <c r="D106" s="303"/>
      <c r="E106" s="303"/>
      <c r="F106" s="36">
        <f t="shared" si="3"/>
        <v>0</v>
      </c>
      <c r="G106" s="4"/>
      <c r="H106" s="177"/>
      <c r="I106" s="177"/>
    </row>
    <row r="107" spans="1:9">
      <c r="A107" s="154">
        <v>98</v>
      </c>
      <c r="B107" s="302"/>
      <c r="C107" s="303"/>
      <c r="D107" s="303"/>
      <c r="E107" s="303"/>
      <c r="F107" s="36">
        <f t="shared" si="3"/>
        <v>0</v>
      </c>
      <c r="G107" s="4"/>
      <c r="H107" s="177"/>
      <c r="I107" s="177"/>
    </row>
    <row r="108" spans="1:9">
      <c r="A108" s="154">
        <v>99</v>
      </c>
      <c r="B108" s="302"/>
      <c r="C108" s="303"/>
      <c r="D108" s="303"/>
      <c r="E108" s="303"/>
      <c r="F108" s="36">
        <f t="shared" si="3"/>
        <v>0</v>
      </c>
      <c r="G108" s="4"/>
      <c r="H108" s="177"/>
      <c r="I108" s="177"/>
    </row>
    <row r="109" spans="1:9">
      <c r="A109" s="154">
        <v>100</v>
      </c>
      <c r="B109" s="302"/>
      <c r="C109" s="303"/>
      <c r="D109" s="303"/>
      <c r="E109" s="303"/>
      <c r="F109" s="36">
        <f t="shared" si="3"/>
        <v>0</v>
      </c>
      <c r="G109" s="4"/>
      <c r="H109" s="177"/>
      <c r="I109" s="177"/>
    </row>
    <row r="110" spans="1:9">
      <c r="A110" s="179" t="s">
        <v>62</v>
      </c>
      <c r="B110" s="175">
        <f>SUM(B10:B109)</f>
        <v>452752.22376999998</v>
      </c>
      <c r="C110" s="175">
        <f>SUM(C10:C109)</f>
        <v>13435111.761290001</v>
      </c>
      <c r="D110" s="175">
        <f>SUM(D10:D109)</f>
        <v>0</v>
      </c>
      <c r="E110" s="175">
        <f>SUM(E10:E109)</f>
        <v>17226119.083572995</v>
      </c>
      <c r="F110" s="175">
        <f>SUM(F10:F109)</f>
        <v>31113983.068633001</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1:I4 A7:I114 A5:F6 I5:I6">
    <cfRule type="expression" dxfId="17" priority="1" stopIfTrue="1">
      <formula>CELL("Protect",A1)=1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10" activePane="bottomLeft" state="frozen"/>
      <selection activeCell="G5" sqref="G5:J5"/>
      <selection pane="bottomLeft" activeCell="F5" sqref="F5:H5"/>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7" t="str">
        <f>'START HERE'!F6</f>
        <v>Chile</v>
      </c>
      <c r="C3" s="378"/>
      <c r="D3" s="6"/>
      <c r="E3" s="30" t="s">
        <v>39</v>
      </c>
      <c r="F3" s="374" t="s">
        <v>83</v>
      </c>
      <c r="G3" s="375"/>
      <c r="H3" s="376"/>
      <c r="I3" s="35"/>
    </row>
    <row r="4" spans="1:9" s="7" customFormat="1" ht="18" customHeight="1">
      <c r="A4" s="12" t="s">
        <v>19</v>
      </c>
      <c r="B4" s="377" t="str">
        <f>'START HERE'!F5</f>
        <v>Jack mackerel</v>
      </c>
      <c r="C4" s="378"/>
      <c r="D4" s="26"/>
      <c r="E4" s="13"/>
      <c r="F4" s="73"/>
      <c r="G4" s="161"/>
      <c r="H4" s="74"/>
      <c r="I4" s="35"/>
    </row>
    <row r="5" spans="1:9" s="7" customFormat="1" ht="18" customHeight="1">
      <c r="A5" s="12" t="s">
        <v>13</v>
      </c>
      <c r="B5" s="118">
        <f>'START HERE'!$K$3</f>
        <v>2019</v>
      </c>
      <c r="C5" s="257"/>
      <c r="D5" s="6"/>
      <c r="E5" s="34" t="s">
        <v>40</v>
      </c>
      <c r="F5" s="379" t="s">
        <v>143</v>
      </c>
      <c r="G5" s="380"/>
      <c r="H5" s="381"/>
      <c r="I5" s="35"/>
    </row>
    <row r="6" spans="1:9" s="7" customFormat="1" ht="18" customHeight="1" thickBot="1">
      <c r="A6" s="12"/>
      <c r="B6" s="71"/>
      <c r="C6" s="72"/>
      <c r="D6" s="6"/>
      <c r="E6" s="34" t="s">
        <v>14</v>
      </c>
      <c r="F6" s="382">
        <f>'START HERE'!$F8</f>
        <v>42615</v>
      </c>
      <c r="G6" s="383"/>
      <c r="H6" s="301"/>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2019</v>
      </c>
      <c r="C9" s="181">
        <f>'START HERE'!$K$3</f>
        <v>2019</v>
      </c>
      <c r="D9" s="181">
        <f>'START HERE'!$K$3</f>
        <v>2019</v>
      </c>
      <c r="E9" s="181">
        <f>'START HERE'!$K$3</f>
        <v>2019</v>
      </c>
      <c r="F9" s="180">
        <f>'START HERE'!$K$3</f>
        <v>2019</v>
      </c>
      <c r="G9" s="4"/>
      <c r="H9" s="177"/>
      <c r="I9" s="177"/>
    </row>
    <row r="10" spans="1:9">
      <c r="A10" s="154">
        <v>1</v>
      </c>
      <c r="B10" s="302"/>
      <c r="C10" s="303"/>
      <c r="D10" s="303"/>
      <c r="E10" s="303"/>
      <c r="F10" s="36">
        <f t="shared" ref="F10:F73" si="0">SUM(B10:E10)</f>
        <v>0</v>
      </c>
      <c r="G10" s="4"/>
      <c r="H10" s="177"/>
      <c r="I10" s="177"/>
    </row>
    <row r="11" spans="1:9">
      <c r="A11" s="154">
        <v>2</v>
      </c>
      <c r="B11" s="302"/>
      <c r="C11" s="303"/>
      <c r="D11" s="303"/>
      <c r="E11" s="303"/>
      <c r="F11" s="36">
        <f t="shared" si="0"/>
        <v>0</v>
      </c>
      <c r="G11" s="4"/>
      <c r="H11" s="177"/>
      <c r="I11" s="177"/>
    </row>
    <row r="12" spans="1:9">
      <c r="A12" s="154">
        <v>3</v>
      </c>
      <c r="B12" s="302"/>
      <c r="C12" s="303"/>
      <c r="D12" s="303"/>
      <c r="E12" s="303"/>
      <c r="F12" s="36">
        <f t="shared" si="0"/>
        <v>0</v>
      </c>
      <c r="G12" s="4"/>
      <c r="H12" s="177"/>
      <c r="I12" s="177"/>
    </row>
    <row r="13" spans="1:9">
      <c r="A13" s="154">
        <v>4</v>
      </c>
      <c r="B13" s="302"/>
      <c r="C13" s="303"/>
      <c r="D13" s="303"/>
      <c r="E13" s="303"/>
      <c r="F13" s="36">
        <f t="shared" si="0"/>
        <v>0</v>
      </c>
      <c r="G13" s="4"/>
      <c r="H13" s="177"/>
      <c r="I13" s="177"/>
    </row>
    <row r="14" spans="1:9">
      <c r="A14" s="154">
        <v>5</v>
      </c>
      <c r="B14" s="302"/>
      <c r="C14" s="303"/>
      <c r="D14" s="303"/>
      <c r="E14" s="303"/>
      <c r="F14" s="36">
        <f t="shared" si="0"/>
        <v>0</v>
      </c>
      <c r="G14" s="4"/>
      <c r="H14" s="177"/>
      <c r="I14" s="177"/>
    </row>
    <row r="15" spans="1:9">
      <c r="A15" s="154">
        <v>6</v>
      </c>
      <c r="B15" s="302"/>
      <c r="C15" s="303"/>
      <c r="D15" s="303"/>
      <c r="E15" s="303"/>
      <c r="F15" s="36">
        <f t="shared" si="0"/>
        <v>0</v>
      </c>
      <c r="G15" s="4"/>
      <c r="H15" s="177"/>
      <c r="I15" s="177"/>
    </row>
    <row r="16" spans="1:9">
      <c r="A16" s="154">
        <v>7</v>
      </c>
      <c r="B16" s="302"/>
      <c r="C16" s="303"/>
      <c r="D16" s="303"/>
      <c r="E16" s="303"/>
      <c r="F16" s="36">
        <f t="shared" si="0"/>
        <v>0</v>
      </c>
      <c r="G16" s="4"/>
      <c r="H16" s="177"/>
      <c r="I16" s="177"/>
    </row>
    <row r="17" spans="1:9">
      <c r="A17" s="154">
        <v>8</v>
      </c>
      <c r="B17" s="302">
        <v>20516.599429999998</v>
      </c>
      <c r="C17" s="303"/>
      <c r="D17" s="303"/>
      <c r="E17" s="303"/>
      <c r="F17" s="36">
        <f t="shared" si="0"/>
        <v>20516.599429999998</v>
      </c>
      <c r="G17" s="4"/>
      <c r="H17" s="177"/>
      <c r="I17" s="177"/>
    </row>
    <row r="18" spans="1:9">
      <c r="A18" s="154">
        <v>9</v>
      </c>
      <c r="B18" s="302">
        <v>25645.74928</v>
      </c>
      <c r="C18" s="303"/>
      <c r="D18" s="303"/>
      <c r="E18" s="303"/>
      <c r="F18" s="36">
        <f t="shared" si="0"/>
        <v>25645.74928</v>
      </c>
      <c r="G18" s="4"/>
      <c r="H18" s="177"/>
      <c r="I18" s="177"/>
    </row>
    <row r="19" spans="1:9">
      <c r="A19" s="154">
        <v>10</v>
      </c>
      <c r="B19" s="302">
        <v>72767.348759999993</v>
      </c>
      <c r="C19" s="303"/>
      <c r="D19" s="303"/>
      <c r="E19" s="303"/>
      <c r="F19" s="36">
        <f t="shared" si="0"/>
        <v>72767.348759999993</v>
      </c>
      <c r="G19" s="4"/>
      <c r="H19" s="177"/>
      <c r="I19" s="177"/>
    </row>
    <row r="20" spans="1:9">
      <c r="A20" s="154">
        <v>11</v>
      </c>
      <c r="B20" s="302">
        <v>169575.12265599999</v>
      </c>
      <c r="C20" s="303"/>
      <c r="D20" s="303"/>
      <c r="E20" s="303"/>
      <c r="F20" s="36">
        <f t="shared" si="0"/>
        <v>169575.12265599999</v>
      </c>
      <c r="G20" s="4"/>
      <c r="H20" s="177"/>
      <c r="I20" s="177"/>
    </row>
    <row r="21" spans="1:9">
      <c r="A21" s="154">
        <v>12</v>
      </c>
      <c r="B21" s="302">
        <v>224390.446856</v>
      </c>
      <c r="C21" s="303"/>
      <c r="D21" s="303"/>
      <c r="E21" s="303"/>
      <c r="F21" s="36">
        <f t="shared" si="0"/>
        <v>224390.446856</v>
      </c>
      <c r="G21" s="4"/>
      <c r="H21" s="177"/>
      <c r="I21" s="177"/>
    </row>
    <row r="22" spans="1:9">
      <c r="A22" s="154">
        <v>13</v>
      </c>
      <c r="B22" s="302">
        <v>274076.6213</v>
      </c>
      <c r="C22" s="303"/>
      <c r="D22" s="303"/>
      <c r="E22" s="303"/>
      <c r="F22" s="36">
        <f t="shared" si="0"/>
        <v>274076.6213</v>
      </c>
      <c r="G22" s="4"/>
      <c r="H22" s="177"/>
      <c r="I22" s="177"/>
    </row>
    <row r="23" spans="1:9">
      <c r="A23" s="154">
        <v>14</v>
      </c>
      <c r="B23" s="302"/>
      <c r="C23" s="303"/>
      <c r="D23" s="303"/>
      <c r="E23" s="303"/>
      <c r="F23" s="36">
        <f t="shared" si="0"/>
        <v>0</v>
      </c>
      <c r="G23" s="4"/>
      <c r="H23" s="177"/>
      <c r="I23" s="177"/>
    </row>
    <row r="24" spans="1:9">
      <c r="A24" s="154">
        <v>15</v>
      </c>
      <c r="B24" s="302"/>
      <c r="C24" s="303"/>
      <c r="D24" s="303"/>
      <c r="E24" s="303"/>
      <c r="F24" s="36">
        <f t="shared" si="0"/>
        <v>0</v>
      </c>
      <c r="G24" s="29"/>
      <c r="H24" s="177"/>
      <c r="I24" s="177"/>
    </row>
    <row r="25" spans="1:9">
      <c r="A25" s="154">
        <v>16</v>
      </c>
      <c r="B25" s="302"/>
      <c r="C25" s="303"/>
      <c r="D25" s="303"/>
      <c r="E25" s="303"/>
      <c r="F25" s="36">
        <f t="shared" si="0"/>
        <v>0</v>
      </c>
      <c r="G25" s="4"/>
      <c r="H25" s="177"/>
      <c r="I25" s="177"/>
    </row>
    <row r="26" spans="1:9">
      <c r="A26" s="154">
        <v>17</v>
      </c>
      <c r="B26" s="302"/>
      <c r="C26" s="303"/>
      <c r="D26" s="303"/>
      <c r="E26" s="303"/>
      <c r="F26" s="36">
        <f t="shared" si="0"/>
        <v>0</v>
      </c>
      <c r="G26" s="4"/>
      <c r="H26" s="177"/>
      <c r="I26" s="177"/>
    </row>
    <row r="27" spans="1:9">
      <c r="A27" s="154">
        <v>18</v>
      </c>
      <c r="B27" s="302"/>
      <c r="C27" s="303"/>
      <c r="D27" s="303"/>
      <c r="E27" s="303"/>
      <c r="F27" s="36">
        <f t="shared" si="0"/>
        <v>0</v>
      </c>
      <c r="G27" s="4"/>
      <c r="H27" s="177"/>
      <c r="I27" s="177"/>
    </row>
    <row r="28" spans="1:9">
      <c r="A28" s="154">
        <v>19</v>
      </c>
      <c r="B28" s="302">
        <v>12692</v>
      </c>
      <c r="C28" s="303"/>
      <c r="D28" s="303"/>
      <c r="E28" s="303"/>
      <c r="F28" s="36">
        <f t="shared" si="0"/>
        <v>12692</v>
      </c>
      <c r="G28" s="4"/>
      <c r="H28" s="177"/>
      <c r="I28" s="177"/>
    </row>
    <row r="29" spans="1:9">
      <c r="A29" s="154">
        <v>20</v>
      </c>
      <c r="B29" s="302">
        <v>39956</v>
      </c>
      <c r="C29" s="303"/>
      <c r="D29" s="303"/>
      <c r="E29" s="303"/>
      <c r="F29" s="36">
        <f t="shared" si="0"/>
        <v>39956</v>
      </c>
      <c r="G29" s="4"/>
      <c r="H29" s="177"/>
      <c r="I29" s="177"/>
    </row>
    <row r="30" spans="1:9">
      <c r="A30" s="154">
        <v>21</v>
      </c>
      <c r="B30" s="302">
        <v>873435</v>
      </c>
      <c r="C30" s="303"/>
      <c r="D30" s="303"/>
      <c r="E30" s="303"/>
      <c r="F30" s="36">
        <f t="shared" si="0"/>
        <v>873435</v>
      </c>
      <c r="G30" s="4"/>
      <c r="H30" s="177"/>
      <c r="I30" s="177"/>
    </row>
    <row r="31" spans="1:9">
      <c r="A31" s="154">
        <v>22</v>
      </c>
      <c r="B31" s="302">
        <v>1666652.21</v>
      </c>
      <c r="C31" s="303">
        <v>1652</v>
      </c>
      <c r="D31" s="303"/>
      <c r="E31" s="303"/>
      <c r="F31" s="36">
        <f t="shared" si="0"/>
        <v>1668304.21</v>
      </c>
      <c r="G31" s="4"/>
      <c r="H31" s="177"/>
      <c r="I31" s="177"/>
    </row>
    <row r="32" spans="1:9">
      <c r="A32" s="154">
        <v>23</v>
      </c>
      <c r="B32" s="302">
        <v>1704329.11</v>
      </c>
      <c r="C32" s="303">
        <v>85238.03</v>
      </c>
      <c r="D32" s="303">
        <v>20983.87</v>
      </c>
      <c r="E32" s="303"/>
      <c r="F32" s="36">
        <f t="shared" si="0"/>
        <v>1810551.0100000002</v>
      </c>
      <c r="G32" s="4"/>
      <c r="H32" s="177"/>
      <c r="I32" s="177"/>
    </row>
    <row r="33" spans="1:9">
      <c r="A33" s="154">
        <v>24</v>
      </c>
      <c r="B33" s="302">
        <v>1155739.93</v>
      </c>
      <c r="C33" s="303">
        <v>200235.54</v>
      </c>
      <c r="D33" s="303">
        <v>2467</v>
      </c>
      <c r="E33" s="303"/>
      <c r="F33" s="36">
        <f t="shared" si="0"/>
        <v>1358442.47</v>
      </c>
      <c r="G33" s="4"/>
      <c r="H33" s="177"/>
      <c r="I33" s="177"/>
    </row>
    <row r="34" spans="1:9">
      <c r="A34" s="154">
        <v>25</v>
      </c>
      <c r="B34" s="302">
        <v>2512770.06</v>
      </c>
      <c r="C34" s="303">
        <v>250787.78</v>
      </c>
      <c r="D34" s="303">
        <v>43499.43</v>
      </c>
      <c r="E34" s="303">
        <v>110042.08</v>
      </c>
      <c r="F34" s="36">
        <f t="shared" si="0"/>
        <v>2917099.35</v>
      </c>
      <c r="G34" s="4"/>
      <c r="H34" s="177"/>
      <c r="I34" s="177"/>
    </row>
    <row r="35" spans="1:9">
      <c r="A35" s="154">
        <v>26</v>
      </c>
      <c r="B35" s="302">
        <v>5371809.1035099998</v>
      </c>
      <c r="C35" s="303">
        <v>329235.95</v>
      </c>
      <c r="D35" s="303">
        <v>61058.92</v>
      </c>
      <c r="E35" s="303">
        <v>330415.12</v>
      </c>
      <c r="F35" s="36">
        <f t="shared" si="0"/>
        <v>6092519.09351</v>
      </c>
      <c r="G35" s="4"/>
      <c r="H35" s="177"/>
      <c r="I35" s="177"/>
    </row>
    <row r="36" spans="1:9">
      <c r="A36" s="154">
        <v>27</v>
      </c>
      <c r="B36" s="302">
        <v>20108643.600000001</v>
      </c>
      <c r="C36" s="303">
        <v>826546.15</v>
      </c>
      <c r="D36" s="303">
        <v>46516.93</v>
      </c>
      <c r="E36" s="303">
        <v>230050.88</v>
      </c>
      <c r="F36" s="36">
        <f t="shared" si="0"/>
        <v>21211757.559999999</v>
      </c>
      <c r="G36" s="4"/>
      <c r="H36" s="177"/>
      <c r="I36" s="177"/>
    </row>
    <row r="37" spans="1:9">
      <c r="A37" s="154">
        <v>28</v>
      </c>
      <c r="B37" s="302">
        <v>54245131.071000002</v>
      </c>
      <c r="C37" s="303">
        <v>1766962.51</v>
      </c>
      <c r="D37" s="303">
        <v>82612.84</v>
      </c>
      <c r="E37" s="303">
        <v>101073.31</v>
      </c>
      <c r="F37" s="36">
        <f t="shared" si="0"/>
        <v>56195779.731000006</v>
      </c>
      <c r="G37" s="4"/>
      <c r="H37" s="177"/>
      <c r="I37" s="177"/>
    </row>
    <row r="38" spans="1:9">
      <c r="A38" s="154">
        <v>29</v>
      </c>
      <c r="B38" s="302">
        <v>86797066.710999995</v>
      </c>
      <c r="C38" s="303">
        <v>6827443.3600000003</v>
      </c>
      <c r="D38" s="303">
        <v>264342.74</v>
      </c>
      <c r="E38" s="303">
        <v>69812.23</v>
      </c>
      <c r="F38" s="36">
        <f t="shared" si="0"/>
        <v>93958665.040999994</v>
      </c>
      <c r="G38" s="4"/>
      <c r="H38" s="177"/>
      <c r="I38" s="177"/>
    </row>
    <row r="39" spans="1:9">
      <c r="A39" s="154">
        <v>30</v>
      </c>
      <c r="B39" s="302">
        <v>82701857.974000007</v>
      </c>
      <c r="C39" s="303">
        <v>18401978.989999998</v>
      </c>
      <c r="D39" s="303">
        <v>1304639.18</v>
      </c>
      <c r="E39" s="303">
        <v>209410.87</v>
      </c>
      <c r="F39" s="36">
        <f t="shared" si="0"/>
        <v>102617887.01400001</v>
      </c>
      <c r="G39" s="4"/>
      <c r="H39" s="177"/>
      <c r="I39" s="177"/>
    </row>
    <row r="40" spans="1:9">
      <c r="A40" s="154">
        <v>31</v>
      </c>
      <c r="B40" s="302">
        <v>51459207.693999998</v>
      </c>
      <c r="C40" s="303">
        <v>25225457.280000001</v>
      </c>
      <c r="D40" s="303">
        <v>2927807.65</v>
      </c>
      <c r="E40" s="303">
        <v>725261.45</v>
      </c>
      <c r="F40" s="36">
        <f t="shared" si="0"/>
        <v>80337734.074000016</v>
      </c>
      <c r="G40" s="4"/>
      <c r="H40" s="177"/>
      <c r="I40" s="177"/>
    </row>
    <row r="41" spans="1:9">
      <c r="A41" s="154">
        <v>32</v>
      </c>
      <c r="B41" s="302">
        <v>30055195.324999999</v>
      </c>
      <c r="C41" s="303">
        <v>27996910.850000001</v>
      </c>
      <c r="D41" s="303">
        <v>3283724.48</v>
      </c>
      <c r="E41" s="303">
        <v>1293228.74</v>
      </c>
      <c r="F41" s="36">
        <f t="shared" si="0"/>
        <v>62629059.394999996</v>
      </c>
      <c r="G41" s="4"/>
      <c r="H41" s="177"/>
      <c r="I41" s="177"/>
    </row>
    <row r="42" spans="1:9">
      <c r="A42" s="154">
        <v>33</v>
      </c>
      <c r="B42" s="302">
        <v>28262299.993999999</v>
      </c>
      <c r="C42" s="303">
        <v>28236568.48</v>
      </c>
      <c r="D42" s="303">
        <v>2893274.12</v>
      </c>
      <c r="E42" s="303">
        <v>2200144.5299999998</v>
      </c>
      <c r="F42" s="36">
        <f t="shared" si="0"/>
        <v>61592287.123999998</v>
      </c>
      <c r="G42" s="4"/>
      <c r="H42" s="177"/>
      <c r="I42" s="177"/>
    </row>
    <row r="43" spans="1:9">
      <c r="A43" s="154">
        <v>34</v>
      </c>
      <c r="B43" s="302">
        <v>28882415.853999998</v>
      </c>
      <c r="C43" s="303">
        <v>35416932.369999997</v>
      </c>
      <c r="D43" s="303">
        <v>3792152.96</v>
      </c>
      <c r="E43" s="303">
        <v>2632009.7599999998</v>
      </c>
      <c r="F43" s="36">
        <f t="shared" si="0"/>
        <v>70723510.943999991</v>
      </c>
      <c r="G43" s="4"/>
      <c r="H43" s="177"/>
      <c r="I43" s="177"/>
    </row>
    <row r="44" spans="1:9">
      <c r="A44" s="154">
        <v>35</v>
      </c>
      <c r="B44" s="302">
        <v>26871180.774</v>
      </c>
      <c r="C44" s="303">
        <v>46635007.990000002</v>
      </c>
      <c r="D44" s="303">
        <v>6475927.7199999997</v>
      </c>
      <c r="E44" s="303">
        <v>2342770.64</v>
      </c>
      <c r="F44" s="36">
        <f t="shared" si="0"/>
        <v>82324887.123999998</v>
      </c>
      <c r="G44" s="4"/>
      <c r="H44" s="177"/>
      <c r="I44" s="177"/>
    </row>
    <row r="45" spans="1:9">
      <c r="A45" s="154">
        <v>36</v>
      </c>
      <c r="B45" s="302">
        <v>18556030.377</v>
      </c>
      <c r="C45" s="303">
        <v>38584416.409999996</v>
      </c>
      <c r="D45" s="303">
        <v>8184211.5300000003</v>
      </c>
      <c r="E45" s="303">
        <v>2498570.41</v>
      </c>
      <c r="F45" s="36">
        <f t="shared" si="0"/>
        <v>67823228.726999998</v>
      </c>
      <c r="G45" s="4"/>
      <c r="H45" s="177"/>
      <c r="I45" s="177"/>
    </row>
    <row r="46" spans="1:9">
      <c r="A46" s="154">
        <v>37</v>
      </c>
      <c r="B46" s="302">
        <v>12701815.15</v>
      </c>
      <c r="C46" s="303">
        <v>32582806.050000001</v>
      </c>
      <c r="D46" s="303">
        <v>6993504.3799999999</v>
      </c>
      <c r="E46" s="303">
        <v>3013723.24</v>
      </c>
      <c r="F46" s="36">
        <f t="shared" si="0"/>
        <v>55291848.820000008</v>
      </c>
      <c r="G46" s="4"/>
      <c r="H46" s="177"/>
      <c r="I46" s="177"/>
    </row>
    <row r="47" spans="1:9">
      <c r="A47" s="154">
        <v>38</v>
      </c>
      <c r="B47" s="302">
        <v>10034310.086999999</v>
      </c>
      <c r="C47" s="303">
        <v>25084599.800000001</v>
      </c>
      <c r="D47" s="303">
        <v>6765642.3600000003</v>
      </c>
      <c r="E47" s="303">
        <v>3455635.63</v>
      </c>
      <c r="F47" s="36">
        <f t="shared" si="0"/>
        <v>45340187.877000004</v>
      </c>
      <c r="G47" s="4"/>
      <c r="H47" s="177"/>
      <c r="I47" s="177"/>
    </row>
    <row r="48" spans="1:9">
      <c r="A48" s="154">
        <v>39</v>
      </c>
      <c r="B48" s="302">
        <v>9592006.2335000001</v>
      </c>
      <c r="C48" s="303">
        <v>16767965.01</v>
      </c>
      <c r="D48" s="303">
        <v>4075338.04</v>
      </c>
      <c r="E48" s="303">
        <v>3162470.81</v>
      </c>
      <c r="F48" s="36">
        <f t="shared" si="0"/>
        <v>33597780.093500003</v>
      </c>
      <c r="G48" s="4"/>
      <c r="H48" s="177"/>
      <c r="I48" s="177"/>
    </row>
    <row r="49" spans="1:9">
      <c r="A49" s="154">
        <v>40</v>
      </c>
      <c r="B49" s="302">
        <v>7424159.2999999998</v>
      </c>
      <c r="C49" s="303">
        <v>12179747.5</v>
      </c>
      <c r="D49" s="303">
        <v>4219353.5599999996</v>
      </c>
      <c r="E49" s="303">
        <v>2486989.31</v>
      </c>
      <c r="F49" s="36">
        <f t="shared" si="0"/>
        <v>26310249.669999998</v>
      </c>
      <c r="G49" s="4"/>
      <c r="H49" s="177"/>
      <c r="I49" s="177"/>
    </row>
    <row r="50" spans="1:9">
      <c r="A50" s="154">
        <v>41</v>
      </c>
      <c r="B50" s="302">
        <v>4977315.9134999998</v>
      </c>
      <c r="C50" s="303">
        <v>8510720.5999999996</v>
      </c>
      <c r="D50" s="303">
        <v>3323025.38</v>
      </c>
      <c r="E50" s="303">
        <v>1795291.34</v>
      </c>
      <c r="F50" s="36">
        <f t="shared" si="0"/>
        <v>18606353.2335</v>
      </c>
      <c r="G50" s="4"/>
      <c r="H50" s="177"/>
      <c r="I50" s="177"/>
    </row>
    <row r="51" spans="1:9">
      <c r="A51" s="154">
        <v>42</v>
      </c>
      <c r="B51" s="302">
        <v>4502885.92</v>
      </c>
      <c r="C51" s="303">
        <v>5688930.7800000003</v>
      </c>
      <c r="D51" s="303">
        <v>2686737.81</v>
      </c>
      <c r="E51" s="303">
        <v>1083959.3899999999</v>
      </c>
      <c r="F51" s="36">
        <f t="shared" si="0"/>
        <v>13962513.9</v>
      </c>
      <c r="G51" s="4"/>
      <c r="H51" s="177"/>
      <c r="I51" s="177"/>
    </row>
    <row r="52" spans="1:9">
      <c r="A52" s="154">
        <v>43</v>
      </c>
      <c r="B52" s="302">
        <v>3198936.07</v>
      </c>
      <c r="C52" s="303">
        <v>3865332.44</v>
      </c>
      <c r="D52" s="303">
        <v>2313579.27</v>
      </c>
      <c r="E52" s="303">
        <v>937606.52</v>
      </c>
      <c r="F52" s="36">
        <f t="shared" si="0"/>
        <v>10315454.299999999</v>
      </c>
      <c r="G52" s="4"/>
      <c r="H52" s="177"/>
      <c r="I52" s="177"/>
    </row>
    <row r="53" spans="1:9">
      <c r="A53" s="154">
        <v>44</v>
      </c>
      <c r="B53" s="302">
        <v>2351577.73</v>
      </c>
      <c r="C53" s="303">
        <v>2586124.84</v>
      </c>
      <c r="D53" s="303">
        <v>1907104.54</v>
      </c>
      <c r="E53" s="303">
        <v>532497.96</v>
      </c>
      <c r="F53" s="36">
        <f t="shared" si="0"/>
        <v>7377305.0700000003</v>
      </c>
      <c r="G53" s="4"/>
      <c r="H53" s="177"/>
      <c r="I53" s="177"/>
    </row>
    <row r="54" spans="1:9">
      <c r="A54" s="154">
        <v>45</v>
      </c>
      <c r="B54" s="302">
        <v>1392858.41</v>
      </c>
      <c r="C54" s="303">
        <v>1814206.32</v>
      </c>
      <c r="D54" s="303">
        <v>1460793.16</v>
      </c>
      <c r="E54" s="303">
        <v>301101.09999999998</v>
      </c>
      <c r="F54" s="36">
        <f t="shared" si="0"/>
        <v>4968958.9899999993</v>
      </c>
      <c r="G54" s="4"/>
      <c r="H54" s="177"/>
      <c r="I54" s="177"/>
    </row>
    <row r="55" spans="1:9">
      <c r="A55" s="154">
        <v>46</v>
      </c>
      <c r="B55" s="302">
        <v>860574.2</v>
      </c>
      <c r="C55" s="303">
        <v>800650.42</v>
      </c>
      <c r="D55" s="303">
        <v>919721.59</v>
      </c>
      <c r="E55" s="303">
        <v>292107.25</v>
      </c>
      <c r="F55" s="36">
        <f t="shared" si="0"/>
        <v>2873053.46</v>
      </c>
      <c r="G55" s="4"/>
      <c r="H55" s="177"/>
      <c r="I55" s="177"/>
    </row>
    <row r="56" spans="1:9">
      <c r="A56" s="154">
        <v>47</v>
      </c>
      <c r="B56" s="302">
        <v>764564.41</v>
      </c>
      <c r="C56" s="303">
        <v>228792.3</v>
      </c>
      <c r="D56" s="303">
        <v>625902.69999999995</v>
      </c>
      <c r="E56" s="303">
        <v>192840.74</v>
      </c>
      <c r="F56" s="36">
        <f t="shared" si="0"/>
        <v>1812100.15</v>
      </c>
      <c r="G56" s="4"/>
      <c r="H56" s="177"/>
      <c r="I56" s="177"/>
    </row>
    <row r="57" spans="1:9">
      <c r="A57" s="154">
        <v>48</v>
      </c>
      <c r="B57" s="302">
        <v>233756.26</v>
      </c>
      <c r="C57" s="303">
        <v>197957.92</v>
      </c>
      <c r="D57" s="303">
        <v>343858.51</v>
      </c>
      <c r="E57" s="303">
        <v>215608.01</v>
      </c>
      <c r="F57" s="36">
        <f t="shared" si="0"/>
        <v>991180.70000000007</v>
      </c>
      <c r="G57" s="4"/>
      <c r="H57" s="177"/>
      <c r="I57" s="177"/>
    </row>
    <row r="58" spans="1:9">
      <c r="A58" s="154">
        <v>49</v>
      </c>
      <c r="B58" s="302">
        <v>257586.17</v>
      </c>
      <c r="C58" s="303"/>
      <c r="D58" s="303">
        <v>230742.79</v>
      </c>
      <c r="E58" s="303">
        <v>111851.02</v>
      </c>
      <c r="F58" s="36">
        <f t="shared" si="0"/>
        <v>600179.98</v>
      </c>
      <c r="G58" s="4"/>
      <c r="H58" s="177"/>
      <c r="I58" s="177"/>
    </row>
    <row r="59" spans="1:9">
      <c r="A59" s="154">
        <v>50</v>
      </c>
      <c r="B59" s="302">
        <v>272956.64</v>
      </c>
      <c r="C59" s="303">
        <v>75348.47</v>
      </c>
      <c r="D59" s="303">
        <v>175524.38</v>
      </c>
      <c r="E59" s="303">
        <v>66413.87</v>
      </c>
      <c r="F59" s="36">
        <f t="shared" si="0"/>
        <v>590243.36</v>
      </c>
      <c r="G59" s="4"/>
      <c r="H59" s="177"/>
      <c r="I59" s="177"/>
    </row>
    <row r="60" spans="1:9">
      <c r="A60" s="154">
        <v>51</v>
      </c>
      <c r="B60" s="302">
        <v>290582.96000000002</v>
      </c>
      <c r="C60" s="303"/>
      <c r="D60" s="303">
        <v>127455.97</v>
      </c>
      <c r="E60" s="303">
        <v>31283.64</v>
      </c>
      <c r="F60" s="36">
        <f t="shared" si="0"/>
        <v>449322.57000000007</v>
      </c>
      <c r="G60" s="4"/>
      <c r="H60" s="177"/>
      <c r="I60" s="177"/>
    </row>
    <row r="61" spans="1:9">
      <c r="A61" s="154">
        <v>52</v>
      </c>
      <c r="B61" s="302"/>
      <c r="C61" s="303"/>
      <c r="D61" s="303">
        <v>128463.27</v>
      </c>
      <c r="E61" s="303">
        <v>10522.74</v>
      </c>
      <c r="F61" s="36">
        <f t="shared" si="0"/>
        <v>138986.01</v>
      </c>
      <c r="G61" s="4"/>
      <c r="H61" s="177"/>
      <c r="I61" s="177"/>
    </row>
    <row r="62" spans="1:9">
      <c r="A62" s="154">
        <v>53</v>
      </c>
      <c r="B62" s="302"/>
      <c r="C62" s="303"/>
      <c r="D62" s="303">
        <v>39130.160000000003</v>
      </c>
      <c r="E62" s="303"/>
      <c r="F62" s="36">
        <f t="shared" si="0"/>
        <v>39130.160000000003</v>
      </c>
      <c r="G62" s="4"/>
      <c r="H62" s="177"/>
      <c r="I62" s="177"/>
    </row>
    <row r="63" spans="1:9">
      <c r="A63" s="154">
        <v>54</v>
      </c>
      <c r="B63" s="302">
        <v>58901.54</v>
      </c>
      <c r="C63" s="303"/>
      <c r="D63" s="303"/>
      <c r="E63" s="303"/>
      <c r="F63" s="36">
        <f t="shared" si="0"/>
        <v>58901.54</v>
      </c>
      <c r="G63" s="4"/>
      <c r="H63" s="177"/>
      <c r="I63" s="177"/>
    </row>
    <row r="64" spans="1:9">
      <c r="A64" s="154">
        <v>55</v>
      </c>
      <c r="B64" s="302">
        <v>248579.69</v>
      </c>
      <c r="C64" s="303"/>
      <c r="D64" s="303">
        <v>5492.97</v>
      </c>
      <c r="E64" s="303">
        <v>7769.82</v>
      </c>
      <c r="F64" s="36">
        <f t="shared" si="0"/>
        <v>261842.48</v>
      </c>
      <c r="G64" s="4"/>
      <c r="H64" s="177"/>
      <c r="I64" s="177"/>
    </row>
    <row r="65" spans="1:9">
      <c r="A65" s="154">
        <v>56</v>
      </c>
      <c r="B65" s="302">
        <v>217214.7</v>
      </c>
      <c r="C65" s="303"/>
      <c r="D65" s="303"/>
      <c r="E65" s="303"/>
      <c r="F65" s="36">
        <f t="shared" si="0"/>
        <v>217214.7</v>
      </c>
      <c r="G65" s="4"/>
      <c r="H65" s="177"/>
      <c r="I65" s="177"/>
    </row>
    <row r="66" spans="1:9">
      <c r="A66" s="154">
        <v>57</v>
      </c>
      <c r="B66" s="302"/>
      <c r="C66" s="303"/>
      <c r="D66" s="303">
        <v>20776.61</v>
      </c>
      <c r="E66" s="303">
        <v>16922.66</v>
      </c>
      <c r="F66" s="36">
        <f t="shared" si="0"/>
        <v>37699.270000000004</v>
      </c>
      <c r="G66" s="4"/>
      <c r="H66" s="177"/>
      <c r="I66" s="177"/>
    </row>
    <row r="67" spans="1:9">
      <c r="A67" s="154">
        <v>58</v>
      </c>
      <c r="B67" s="302"/>
      <c r="C67" s="303"/>
      <c r="D67" s="303"/>
      <c r="E67" s="303"/>
      <c r="F67" s="36">
        <f t="shared" si="0"/>
        <v>0</v>
      </c>
      <c r="G67" s="4"/>
      <c r="H67" s="177"/>
      <c r="I67" s="177"/>
    </row>
    <row r="68" spans="1:9">
      <c r="A68" s="154">
        <v>59</v>
      </c>
      <c r="B68" s="302"/>
      <c r="C68" s="303"/>
      <c r="D68" s="303"/>
      <c r="E68" s="303">
        <v>11353.08</v>
      </c>
      <c r="F68" s="36">
        <f t="shared" si="0"/>
        <v>11353.08</v>
      </c>
      <c r="G68" s="4"/>
      <c r="H68" s="177"/>
      <c r="I68" s="177"/>
    </row>
    <row r="69" spans="1:9">
      <c r="A69" s="154">
        <v>60</v>
      </c>
      <c r="B69" s="302"/>
      <c r="C69" s="303"/>
      <c r="D69" s="303"/>
      <c r="E69" s="303"/>
      <c r="F69" s="36">
        <f t="shared" si="0"/>
        <v>0</v>
      </c>
      <c r="G69" s="4"/>
      <c r="H69" s="177"/>
      <c r="I69" s="177"/>
    </row>
    <row r="70" spans="1:9">
      <c r="A70" s="154">
        <v>61</v>
      </c>
      <c r="B70" s="302">
        <v>235184.47</v>
      </c>
      <c r="C70" s="303"/>
      <c r="D70" s="303">
        <v>6239.65</v>
      </c>
      <c r="E70" s="303"/>
      <c r="F70" s="36">
        <f t="shared" si="0"/>
        <v>241424.12</v>
      </c>
      <c r="G70" s="4"/>
      <c r="H70" s="177"/>
      <c r="I70" s="177"/>
    </row>
    <row r="71" spans="1:9">
      <c r="A71" s="154">
        <v>62</v>
      </c>
      <c r="B71" s="302"/>
      <c r="C71" s="303"/>
      <c r="D71" s="303"/>
      <c r="E71" s="303"/>
      <c r="F71" s="36">
        <f t="shared" si="0"/>
        <v>0</v>
      </c>
      <c r="G71" s="4"/>
      <c r="H71" s="177"/>
      <c r="I71" s="177"/>
    </row>
    <row r="72" spans="1:9">
      <c r="A72" s="154">
        <v>63</v>
      </c>
      <c r="B72" s="302"/>
      <c r="C72" s="303"/>
      <c r="D72" s="303"/>
      <c r="E72" s="303"/>
      <c r="F72" s="36">
        <f t="shared" si="0"/>
        <v>0</v>
      </c>
      <c r="G72" s="4"/>
      <c r="H72" s="177"/>
      <c r="I72" s="177"/>
    </row>
    <row r="73" spans="1:9">
      <c r="A73" s="154">
        <v>64</v>
      </c>
      <c r="B73" s="302"/>
      <c r="C73" s="303"/>
      <c r="D73" s="303"/>
      <c r="E73" s="303"/>
      <c r="F73" s="36">
        <f t="shared" si="0"/>
        <v>0</v>
      </c>
      <c r="G73" s="4"/>
      <c r="H73" s="177"/>
      <c r="I73" s="177"/>
    </row>
    <row r="74" spans="1:9">
      <c r="A74" s="154">
        <v>65</v>
      </c>
      <c r="B74" s="302"/>
      <c r="C74" s="303"/>
      <c r="D74" s="303"/>
      <c r="E74" s="303"/>
      <c r="F74" s="36">
        <f t="shared" ref="F74:F109" si="1">SUM(B74:E74)</f>
        <v>0</v>
      </c>
      <c r="G74" s="4"/>
      <c r="H74" s="177"/>
      <c r="I74" s="177"/>
    </row>
    <row r="75" spans="1:9">
      <c r="A75" s="154">
        <v>66</v>
      </c>
      <c r="B75" s="302"/>
      <c r="C75" s="303"/>
      <c r="D75" s="303"/>
      <c r="E75" s="303"/>
      <c r="F75" s="36">
        <f t="shared" si="1"/>
        <v>0</v>
      </c>
      <c r="G75" s="4"/>
      <c r="H75" s="177"/>
      <c r="I75" s="177"/>
    </row>
    <row r="76" spans="1:9">
      <c r="A76" s="154">
        <v>67</v>
      </c>
      <c r="B76" s="302"/>
      <c r="C76" s="303"/>
      <c r="D76" s="303"/>
      <c r="E76" s="303"/>
      <c r="F76" s="36">
        <f t="shared" si="1"/>
        <v>0</v>
      </c>
      <c r="G76" s="4"/>
      <c r="H76" s="177"/>
      <c r="I76" s="177"/>
    </row>
    <row r="77" spans="1:9">
      <c r="A77" s="154">
        <v>68</v>
      </c>
      <c r="B77" s="302"/>
      <c r="C77" s="303"/>
      <c r="D77" s="303"/>
      <c r="E77" s="303"/>
      <c r="F77" s="36">
        <f t="shared" si="1"/>
        <v>0</v>
      </c>
      <c r="G77" s="4"/>
      <c r="H77" s="177"/>
      <c r="I77" s="177"/>
    </row>
    <row r="78" spans="1:9">
      <c r="A78" s="154">
        <v>69</v>
      </c>
      <c r="B78" s="302"/>
      <c r="C78" s="303"/>
      <c r="D78" s="303"/>
      <c r="E78" s="303"/>
      <c r="F78" s="36">
        <f t="shared" si="1"/>
        <v>0</v>
      </c>
      <c r="G78" s="4"/>
      <c r="H78" s="177"/>
      <c r="I78" s="177"/>
    </row>
    <row r="79" spans="1:9">
      <c r="A79" s="154">
        <v>70</v>
      </c>
      <c r="B79" s="302"/>
      <c r="C79" s="303"/>
      <c r="D79" s="303"/>
      <c r="E79" s="303"/>
      <c r="F79" s="36">
        <f t="shared" si="1"/>
        <v>0</v>
      </c>
      <c r="G79" s="4"/>
      <c r="H79" s="177"/>
      <c r="I79" s="177"/>
    </row>
    <row r="80" spans="1:9">
      <c r="A80" s="154">
        <v>71</v>
      </c>
      <c r="B80" s="302"/>
      <c r="C80" s="303"/>
      <c r="D80" s="303"/>
      <c r="E80" s="303"/>
      <c r="F80" s="36">
        <f t="shared" si="1"/>
        <v>0</v>
      </c>
      <c r="G80" s="4"/>
      <c r="H80" s="177"/>
      <c r="I80" s="177"/>
    </row>
    <row r="81" spans="1:9">
      <c r="A81" s="154">
        <v>72</v>
      </c>
      <c r="B81" s="302"/>
      <c r="C81" s="303"/>
      <c r="D81" s="303"/>
      <c r="E81" s="303"/>
      <c r="F81" s="36">
        <f t="shared" si="1"/>
        <v>0</v>
      </c>
      <c r="G81" s="4"/>
      <c r="H81" s="177"/>
      <c r="I81" s="177"/>
    </row>
    <row r="82" spans="1:9">
      <c r="A82" s="154">
        <v>73</v>
      </c>
      <c r="B82" s="302"/>
      <c r="C82" s="303"/>
      <c r="D82" s="303"/>
      <c r="E82" s="303"/>
      <c r="F82" s="36">
        <f t="shared" si="1"/>
        <v>0</v>
      </c>
      <c r="G82" s="4"/>
      <c r="H82" s="177"/>
      <c r="I82" s="177"/>
    </row>
    <row r="83" spans="1:9">
      <c r="A83" s="154">
        <v>74</v>
      </c>
      <c r="B83" s="302"/>
      <c r="C83" s="303"/>
      <c r="D83" s="303"/>
      <c r="E83" s="303"/>
      <c r="F83" s="36">
        <f t="shared" si="1"/>
        <v>0</v>
      </c>
      <c r="G83" s="4"/>
      <c r="H83" s="177"/>
      <c r="I83" s="177"/>
    </row>
    <row r="84" spans="1:9">
      <c r="A84" s="154">
        <v>75</v>
      </c>
      <c r="B84" s="302"/>
      <c r="C84" s="303"/>
      <c r="D84" s="303"/>
      <c r="E84" s="303"/>
      <c r="F84" s="36">
        <f t="shared" si="1"/>
        <v>0</v>
      </c>
      <c r="G84" s="4"/>
      <c r="H84" s="177"/>
      <c r="I84" s="177"/>
    </row>
    <row r="85" spans="1:9">
      <c r="A85" s="154">
        <v>76</v>
      </c>
      <c r="B85" s="302"/>
      <c r="C85" s="303"/>
      <c r="D85" s="303"/>
      <c r="E85" s="303"/>
      <c r="F85" s="36">
        <f t="shared" si="1"/>
        <v>0</v>
      </c>
      <c r="G85" s="4"/>
      <c r="H85" s="177"/>
      <c r="I85" s="177"/>
    </row>
    <row r="86" spans="1:9">
      <c r="A86" s="154">
        <v>77</v>
      </c>
      <c r="B86" s="302"/>
      <c r="C86" s="303"/>
      <c r="D86" s="303"/>
      <c r="E86" s="303"/>
      <c r="F86" s="36">
        <f t="shared" si="1"/>
        <v>0</v>
      </c>
      <c r="G86" s="4"/>
      <c r="H86" s="177"/>
      <c r="I86" s="177"/>
    </row>
    <row r="87" spans="1:9">
      <c r="A87" s="154">
        <v>78</v>
      </c>
      <c r="B87" s="302"/>
      <c r="C87" s="303"/>
      <c r="D87" s="303"/>
      <c r="E87" s="303"/>
      <c r="F87" s="36">
        <f t="shared" si="1"/>
        <v>0</v>
      </c>
      <c r="G87" s="4"/>
      <c r="H87" s="177"/>
      <c r="I87" s="177"/>
    </row>
    <row r="88" spans="1:9">
      <c r="A88" s="154">
        <v>79</v>
      </c>
      <c r="B88" s="302"/>
      <c r="C88" s="303"/>
      <c r="D88" s="303"/>
      <c r="E88" s="303"/>
      <c r="F88" s="36">
        <f t="shared" si="1"/>
        <v>0</v>
      </c>
      <c r="G88" s="4"/>
      <c r="H88" s="177"/>
      <c r="I88" s="177"/>
    </row>
    <row r="89" spans="1:9">
      <c r="A89" s="154">
        <v>80</v>
      </c>
      <c r="B89" s="302"/>
      <c r="C89" s="303"/>
      <c r="D89" s="303"/>
      <c r="E89" s="303"/>
      <c r="F89" s="36">
        <f t="shared" si="1"/>
        <v>0</v>
      </c>
      <c r="G89" s="4"/>
      <c r="H89" s="177"/>
      <c r="I89" s="177"/>
    </row>
    <row r="90" spans="1:9">
      <c r="A90" s="154">
        <v>81</v>
      </c>
      <c r="B90" s="302"/>
      <c r="C90" s="303"/>
      <c r="D90" s="303"/>
      <c r="E90" s="303"/>
      <c r="F90" s="36">
        <f t="shared" si="1"/>
        <v>0</v>
      </c>
      <c r="G90" s="4"/>
      <c r="H90" s="177"/>
      <c r="I90" s="177"/>
    </row>
    <row r="91" spans="1:9">
      <c r="A91" s="154">
        <v>82</v>
      </c>
      <c r="B91" s="302"/>
      <c r="C91" s="303"/>
      <c r="D91" s="303"/>
      <c r="E91" s="303"/>
      <c r="F91" s="36">
        <f t="shared" si="1"/>
        <v>0</v>
      </c>
      <c r="G91" s="4"/>
      <c r="H91" s="177"/>
      <c r="I91" s="177"/>
    </row>
    <row r="92" spans="1:9">
      <c r="A92" s="154">
        <v>83</v>
      </c>
      <c r="B92" s="302"/>
      <c r="C92" s="303"/>
      <c r="D92" s="303"/>
      <c r="E92" s="303"/>
      <c r="F92" s="36">
        <f t="shared" si="1"/>
        <v>0</v>
      </c>
      <c r="G92" s="4"/>
      <c r="H92" s="177"/>
      <c r="I92" s="177"/>
    </row>
    <row r="93" spans="1:9">
      <c r="A93" s="154">
        <v>84</v>
      </c>
      <c r="B93" s="302"/>
      <c r="C93" s="303"/>
      <c r="D93" s="303"/>
      <c r="E93" s="303"/>
      <c r="F93" s="36">
        <f t="shared" si="1"/>
        <v>0</v>
      </c>
      <c r="G93" s="4"/>
      <c r="H93" s="177"/>
      <c r="I93" s="177"/>
    </row>
    <row r="94" spans="1:9">
      <c r="A94" s="154">
        <v>85</v>
      </c>
      <c r="B94" s="302"/>
      <c r="C94" s="303"/>
      <c r="D94" s="303"/>
      <c r="E94" s="303"/>
      <c r="F94" s="36">
        <f t="shared" si="1"/>
        <v>0</v>
      </c>
      <c r="G94" s="4"/>
      <c r="H94" s="177"/>
      <c r="I94" s="177"/>
    </row>
    <row r="95" spans="1:9">
      <c r="A95" s="154">
        <v>86</v>
      </c>
      <c r="B95" s="302"/>
      <c r="C95" s="303"/>
      <c r="D95" s="303"/>
      <c r="E95" s="303"/>
      <c r="F95" s="36">
        <f t="shared" si="1"/>
        <v>0</v>
      </c>
      <c r="G95" s="4"/>
      <c r="H95" s="177"/>
      <c r="I95" s="177"/>
    </row>
    <row r="96" spans="1:9">
      <c r="A96" s="154">
        <v>87</v>
      </c>
      <c r="B96" s="302"/>
      <c r="C96" s="303"/>
      <c r="D96" s="303"/>
      <c r="E96" s="303"/>
      <c r="F96" s="36">
        <f t="shared" si="1"/>
        <v>0</v>
      </c>
      <c r="G96" s="4"/>
      <c r="H96" s="177"/>
      <c r="I96" s="177"/>
    </row>
    <row r="97" spans="1:9">
      <c r="A97" s="154">
        <v>88</v>
      </c>
      <c r="B97" s="302"/>
      <c r="C97" s="303"/>
      <c r="D97" s="303"/>
      <c r="E97" s="303"/>
      <c r="F97" s="36">
        <f t="shared" si="1"/>
        <v>0</v>
      </c>
      <c r="G97" s="4"/>
      <c r="H97" s="177"/>
      <c r="I97" s="177"/>
    </row>
    <row r="98" spans="1:9">
      <c r="A98" s="154">
        <v>89</v>
      </c>
      <c r="B98" s="302"/>
      <c r="C98" s="303"/>
      <c r="D98" s="303"/>
      <c r="E98" s="303"/>
      <c r="F98" s="36">
        <f t="shared" si="1"/>
        <v>0</v>
      </c>
      <c r="G98" s="4"/>
      <c r="H98" s="177"/>
      <c r="I98" s="177"/>
    </row>
    <row r="99" spans="1:9">
      <c r="A99" s="154">
        <v>90</v>
      </c>
      <c r="B99" s="302"/>
      <c r="C99" s="303"/>
      <c r="D99" s="303"/>
      <c r="E99" s="303"/>
      <c r="F99" s="36">
        <f t="shared" si="1"/>
        <v>0</v>
      </c>
      <c r="G99" s="4"/>
      <c r="H99" s="177"/>
      <c r="I99" s="177"/>
    </row>
    <row r="100" spans="1:9">
      <c r="A100" s="154">
        <v>91</v>
      </c>
      <c r="B100" s="302"/>
      <c r="C100" s="303"/>
      <c r="D100" s="303"/>
      <c r="E100" s="303"/>
      <c r="F100" s="36">
        <f t="shared" si="1"/>
        <v>0</v>
      </c>
      <c r="G100" s="4"/>
      <c r="H100" s="177"/>
      <c r="I100" s="177"/>
    </row>
    <row r="101" spans="1:9">
      <c r="A101" s="154">
        <v>92</v>
      </c>
      <c r="B101" s="302"/>
      <c r="C101" s="303"/>
      <c r="D101" s="303"/>
      <c r="E101" s="303"/>
      <c r="F101" s="36">
        <f t="shared" si="1"/>
        <v>0</v>
      </c>
      <c r="G101" s="4"/>
      <c r="H101" s="177"/>
      <c r="I101" s="177"/>
    </row>
    <row r="102" spans="1:9">
      <c r="A102" s="154">
        <v>93</v>
      </c>
      <c r="B102" s="302"/>
      <c r="C102" s="303"/>
      <c r="D102" s="303"/>
      <c r="E102" s="303"/>
      <c r="F102" s="36">
        <f t="shared" si="1"/>
        <v>0</v>
      </c>
      <c r="G102" s="4"/>
      <c r="H102" s="177"/>
      <c r="I102" s="177"/>
    </row>
    <row r="103" spans="1:9">
      <c r="A103" s="154">
        <v>94</v>
      </c>
      <c r="B103" s="302"/>
      <c r="C103" s="303"/>
      <c r="D103" s="303"/>
      <c r="E103" s="303"/>
      <c r="F103" s="36">
        <f t="shared" si="1"/>
        <v>0</v>
      </c>
      <c r="G103" s="4"/>
      <c r="H103" s="177"/>
      <c r="I103" s="177"/>
    </row>
    <row r="104" spans="1:9">
      <c r="A104" s="154">
        <v>95</v>
      </c>
      <c r="B104" s="302"/>
      <c r="C104" s="303"/>
      <c r="D104" s="303"/>
      <c r="E104" s="303"/>
      <c r="F104" s="36">
        <f t="shared" si="1"/>
        <v>0</v>
      </c>
      <c r="G104" s="4"/>
      <c r="H104" s="177"/>
      <c r="I104" s="177"/>
    </row>
    <row r="105" spans="1:9">
      <c r="A105" s="154">
        <v>96</v>
      </c>
      <c r="B105" s="302"/>
      <c r="C105" s="303"/>
      <c r="D105" s="303"/>
      <c r="E105" s="303"/>
      <c r="F105" s="36">
        <f t="shared" si="1"/>
        <v>0</v>
      </c>
      <c r="G105" s="4"/>
      <c r="H105" s="177"/>
      <c r="I105" s="177"/>
    </row>
    <row r="106" spans="1:9">
      <c r="A106" s="154">
        <v>97</v>
      </c>
      <c r="B106" s="302"/>
      <c r="C106" s="303"/>
      <c r="D106" s="303"/>
      <c r="E106" s="303"/>
      <c r="F106" s="36">
        <f t="shared" si="1"/>
        <v>0</v>
      </c>
      <c r="G106" s="4"/>
      <c r="H106" s="177"/>
      <c r="I106" s="177"/>
    </row>
    <row r="107" spans="1:9">
      <c r="A107" s="154">
        <v>98</v>
      </c>
      <c r="B107" s="302"/>
      <c r="C107" s="303"/>
      <c r="D107" s="303"/>
      <c r="E107" s="303"/>
      <c r="F107" s="36">
        <f t="shared" si="1"/>
        <v>0</v>
      </c>
      <c r="G107" s="4"/>
      <c r="H107" s="177"/>
      <c r="I107" s="177"/>
    </row>
    <row r="108" spans="1:9">
      <c r="A108" s="154">
        <v>99</v>
      </c>
      <c r="B108" s="302"/>
      <c r="C108" s="303"/>
      <c r="D108" s="303"/>
      <c r="E108" s="303"/>
      <c r="F108" s="36">
        <f t="shared" si="1"/>
        <v>0</v>
      </c>
      <c r="G108" s="4"/>
      <c r="H108" s="177"/>
      <c r="I108" s="177"/>
    </row>
    <row r="109" spans="1:9">
      <c r="A109" s="154">
        <v>100</v>
      </c>
      <c r="B109" s="302"/>
      <c r="C109" s="303"/>
      <c r="D109" s="303"/>
      <c r="E109" s="303"/>
      <c r="F109" s="36">
        <f t="shared" si="1"/>
        <v>0</v>
      </c>
      <c r="G109" s="4"/>
      <c r="H109" s="177"/>
      <c r="I109" s="177"/>
    </row>
    <row r="110" spans="1:9">
      <c r="A110" s="179" t="s">
        <v>62</v>
      </c>
      <c r="B110" s="175">
        <f>SUM(B10:B109)</f>
        <v>501679150.52979201</v>
      </c>
      <c r="C110" s="175">
        <f>SUM(C10:C109)</f>
        <v>341168556.14000005</v>
      </c>
      <c r="D110" s="175">
        <f>SUM(D10:D109)</f>
        <v>65751606.470000006</v>
      </c>
      <c r="E110" s="175">
        <f>SUM(E10:E109)</f>
        <v>30468738.149999999</v>
      </c>
      <c r="F110" s="175">
        <f>SUM(F10:F109)</f>
        <v>939068051.28979206</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1:I4 A6:I114 A5:F5 I5">
    <cfRule type="expression" dxfId="16" priority="1" stopIfTrue="1">
      <formula>CELL("Protect",A1)=1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10" activePane="bottomLeft" state="frozen"/>
      <selection activeCell="G5" sqref="G5:J5"/>
      <selection pane="bottomLeft" activeCell="A9" sqref="A9"/>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7" t="str">
        <f>'START HERE'!F6</f>
        <v>Chile</v>
      </c>
      <c r="C3" s="378"/>
      <c r="D3" s="6"/>
      <c r="E3" s="30" t="s">
        <v>39</v>
      </c>
      <c r="F3" s="374" t="s">
        <v>84</v>
      </c>
      <c r="G3" s="375"/>
      <c r="H3" s="376"/>
      <c r="I3" s="35"/>
    </row>
    <row r="4" spans="1:9" s="7" customFormat="1" ht="18" customHeight="1">
      <c r="A4" s="12" t="s">
        <v>19</v>
      </c>
      <c r="B4" s="377" t="str">
        <f>'START HERE'!F5</f>
        <v>Jack mackerel</v>
      </c>
      <c r="C4" s="378"/>
      <c r="D4" s="26"/>
      <c r="E4" s="13"/>
      <c r="F4" s="73"/>
      <c r="G4" s="161"/>
      <c r="H4" s="74"/>
      <c r="I4" s="35"/>
    </row>
    <row r="5" spans="1:9" s="7" customFormat="1" ht="18" customHeight="1">
      <c r="A5" s="12" t="s">
        <v>13</v>
      </c>
      <c r="B5" s="118">
        <f>'START HERE'!$K$3</f>
        <v>2019</v>
      </c>
      <c r="C5" s="257"/>
      <c r="D5" s="6"/>
      <c r="E5" s="34" t="s">
        <v>40</v>
      </c>
      <c r="F5" s="379" t="s">
        <v>104</v>
      </c>
      <c r="G5" s="380"/>
      <c r="H5" s="381"/>
      <c r="I5" s="35"/>
    </row>
    <row r="6" spans="1:9" s="7" customFormat="1" ht="18" customHeight="1" thickBot="1">
      <c r="A6" s="12"/>
      <c r="B6" s="71"/>
      <c r="C6" s="72"/>
      <c r="D6" s="6"/>
      <c r="E6" s="34" t="s">
        <v>14</v>
      </c>
      <c r="F6" s="382">
        <f>'START HERE'!$F8</f>
        <v>42615</v>
      </c>
      <c r="G6" s="383"/>
      <c r="H6" s="301"/>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2019</v>
      </c>
      <c r="C9" s="181">
        <f>'START HERE'!$K$3</f>
        <v>2019</v>
      </c>
      <c r="D9" s="181">
        <f>'START HERE'!$K$3</f>
        <v>2019</v>
      </c>
      <c r="E9" s="181">
        <f>'START HERE'!$K$3</f>
        <v>2019</v>
      </c>
      <c r="F9" s="180">
        <f>'START HERE'!$K$3</f>
        <v>2019</v>
      </c>
      <c r="G9" s="4"/>
      <c r="H9" s="177"/>
      <c r="I9" s="177"/>
    </row>
    <row r="10" spans="1:9">
      <c r="A10" s="154">
        <v>1</v>
      </c>
      <c r="B10" s="302"/>
      <c r="C10" s="303"/>
      <c r="D10" s="303"/>
      <c r="E10" s="303"/>
      <c r="F10" s="36">
        <f t="shared" ref="F10:F73" si="0">SUM(B10:E10)</f>
        <v>0</v>
      </c>
      <c r="G10" s="4"/>
      <c r="H10" s="177"/>
      <c r="I10" s="177"/>
    </row>
    <row r="11" spans="1:9">
      <c r="A11" s="154">
        <v>2</v>
      </c>
      <c r="B11" s="302"/>
      <c r="C11" s="303"/>
      <c r="D11" s="303"/>
      <c r="E11" s="303"/>
      <c r="F11" s="36">
        <f t="shared" si="0"/>
        <v>0</v>
      </c>
      <c r="G11" s="4"/>
      <c r="H11" s="177"/>
      <c r="I11" s="177"/>
    </row>
    <row r="12" spans="1:9">
      <c r="A12" s="154">
        <v>3</v>
      </c>
      <c r="B12" s="302"/>
      <c r="C12" s="303"/>
      <c r="D12" s="303"/>
      <c r="E12" s="303"/>
      <c r="F12" s="36">
        <f t="shared" si="0"/>
        <v>0</v>
      </c>
      <c r="G12" s="4"/>
      <c r="H12" s="177"/>
      <c r="I12" s="177"/>
    </row>
    <row r="13" spans="1:9">
      <c r="A13" s="154">
        <v>4</v>
      </c>
      <c r="B13" s="302"/>
      <c r="C13" s="303"/>
      <c r="D13" s="303"/>
      <c r="E13" s="303"/>
      <c r="F13" s="36">
        <f t="shared" si="0"/>
        <v>0</v>
      </c>
      <c r="G13" s="4"/>
      <c r="H13" s="177"/>
      <c r="I13" s="177"/>
    </row>
    <row r="14" spans="1:9">
      <c r="A14" s="154">
        <v>5</v>
      </c>
      <c r="B14" s="302"/>
      <c r="C14" s="303"/>
      <c r="D14" s="303"/>
      <c r="E14" s="303"/>
      <c r="F14" s="36">
        <f t="shared" si="0"/>
        <v>0</v>
      </c>
      <c r="G14" s="4"/>
      <c r="H14" s="177"/>
      <c r="I14" s="177"/>
    </row>
    <row r="15" spans="1:9">
      <c r="A15" s="154">
        <v>6</v>
      </c>
      <c r="B15" s="302"/>
      <c r="C15" s="303"/>
      <c r="D15" s="303"/>
      <c r="E15" s="303"/>
      <c r="F15" s="36">
        <f t="shared" si="0"/>
        <v>0</v>
      </c>
      <c r="G15" s="4"/>
      <c r="H15" s="177"/>
      <c r="I15" s="177"/>
    </row>
    <row r="16" spans="1:9">
      <c r="A16" s="154">
        <v>7</v>
      </c>
      <c r="B16" s="302"/>
      <c r="C16" s="303"/>
      <c r="D16" s="303"/>
      <c r="E16" s="303"/>
      <c r="F16" s="36">
        <f t="shared" si="0"/>
        <v>0</v>
      </c>
      <c r="G16" s="4"/>
      <c r="H16" s="177"/>
      <c r="I16" s="177"/>
    </row>
    <row r="17" spans="1:9">
      <c r="A17" s="154">
        <v>8</v>
      </c>
      <c r="B17" s="302"/>
      <c r="C17" s="303"/>
      <c r="D17" s="303"/>
      <c r="E17" s="303"/>
      <c r="F17" s="36">
        <f t="shared" si="0"/>
        <v>0</v>
      </c>
      <c r="G17" s="4"/>
      <c r="H17" s="177"/>
      <c r="I17" s="177"/>
    </row>
    <row r="18" spans="1:9">
      <c r="A18" s="154">
        <v>9</v>
      </c>
      <c r="B18" s="302"/>
      <c r="C18" s="303"/>
      <c r="D18" s="303"/>
      <c r="E18" s="303"/>
      <c r="F18" s="36">
        <f t="shared" si="0"/>
        <v>0</v>
      </c>
      <c r="G18" s="4"/>
      <c r="H18" s="177"/>
      <c r="I18" s="177"/>
    </row>
    <row r="19" spans="1:9">
      <c r="A19" s="154">
        <v>10</v>
      </c>
      <c r="B19" s="302"/>
      <c r="C19" s="303"/>
      <c r="D19" s="303"/>
      <c r="E19" s="303"/>
      <c r="F19" s="36">
        <f t="shared" si="0"/>
        <v>0</v>
      </c>
      <c r="G19" s="4"/>
      <c r="H19" s="177"/>
      <c r="I19" s="177"/>
    </row>
    <row r="20" spans="1:9">
      <c r="A20" s="154">
        <v>11</v>
      </c>
      <c r="B20" s="302"/>
      <c r="C20" s="303"/>
      <c r="D20" s="303"/>
      <c r="E20" s="303"/>
      <c r="F20" s="36">
        <f t="shared" si="0"/>
        <v>0</v>
      </c>
      <c r="G20" s="4"/>
      <c r="H20" s="177"/>
      <c r="I20" s="177"/>
    </row>
    <row r="21" spans="1:9">
      <c r="A21" s="154">
        <v>12</v>
      </c>
      <c r="B21" s="302"/>
      <c r="C21" s="303"/>
      <c r="D21" s="303"/>
      <c r="E21" s="303"/>
      <c r="F21" s="36">
        <f t="shared" si="0"/>
        <v>0</v>
      </c>
      <c r="G21" s="4"/>
      <c r="H21" s="177"/>
      <c r="I21" s="177"/>
    </row>
    <row r="22" spans="1:9">
      <c r="A22" s="154">
        <v>13</v>
      </c>
      <c r="B22" s="302"/>
      <c r="C22" s="303"/>
      <c r="D22" s="303"/>
      <c r="E22" s="303"/>
      <c r="F22" s="36">
        <f t="shared" si="0"/>
        <v>0</v>
      </c>
      <c r="G22" s="4"/>
      <c r="H22" s="177"/>
      <c r="I22" s="177"/>
    </row>
    <row r="23" spans="1:9">
      <c r="A23" s="154">
        <v>14</v>
      </c>
      <c r="B23" s="302"/>
      <c r="C23" s="303"/>
      <c r="D23" s="303"/>
      <c r="E23" s="303"/>
      <c r="F23" s="36">
        <f t="shared" si="0"/>
        <v>0</v>
      </c>
      <c r="G23" s="4"/>
      <c r="H23" s="177"/>
      <c r="I23" s="177"/>
    </row>
    <row r="24" spans="1:9">
      <c r="A24" s="154">
        <v>15</v>
      </c>
      <c r="B24" s="302"/>
      <c r="C24" s="303"/>
      <c r="D24" s="303"/>
      <c r="E24" s="303"/>
      <c r="F24" s="36">
        <f t="shared" si="0"/>
        <v>0</v>
      </c>
      <c r="G24" s="29"/>
      <c r="H24" s="177"/>
      <c r="I24" s="177"/>
    </row>
    <row r="25" spans="1:9">
      <c r="A25" s="154">
        <v>16</v>
      </c>
      <c r="B25" s="302"/>
      <c r="C25" s="303"/>
      <c r="D25" s="303"/>
      <c r="E25" s="303"/>
      <c r="F25" s="36">
        <f t="shared" si="0"/>
        <v>0</v>
      </c>
      <c r="G25" s="4"/>
      <c r="H25" s="177"/>
      <c r="I25" s="177"/>
    </row>
    <row r="26" spans="1:9">
      <c r="A26" s="154">
        <v>17</v>
      </c>
      <c r="B26" s="302"/>
      <c r="C26" s="303"/>
      <c r="D26" s="303"/>
      <c r="E26" s="303"/>
      <c r="F26" s="36">
        <f t="shared" si="0"/>
        <v>0</v>
      </c>
      <c r="G26" s="4"/>
      <c r="H26" s="177"/>
      <c r="I26" s="177"/>
    </row>
    <row r="27" spans="1:9">
      <c r="A27" s="154">
        <v>18</v>
      </c>
      <c r="B27" s="302"/>
      <c r="C27" s="303"/>
      <c r="D27" s="303"/>
      <c r="E27" s="303"/>
      <c r="F27" s="36">
        <f t="shared" si="0"/>
        <v>0</v>
      </c>
      <c r="G27" s="4"/>
      <c r="H27" s="177"/>
      <c r="I27" s="177"/>
    </row>
    <row r="28" spans="1:9">
      <c r="A28" s="154">
        <v>19</v>
      </c>
      <c r="B28" s="302"/>
      <c r="C28" s="303"/>
      <c r="D28" s="303"/>
      <c r="E28" s="303"/>
      <c r="F28" s="36">
        <f t="shared" si="0"/>
        <v>0</v>
      </c>
      <c r="G28" s="4"/>
      <c r="H28" s="177"/>
      <c r="I28" s="177"/>
    </row>
    <row r="29" spans="1:9">
      <c r="A29" s="154">
        <v>20</v>
      </c>
      <c r="B29" s="302"/>
      <c r="C29" s="303"/>
      <c r="D29" s="303"/>
      <c r="E29" s="303"/>
      <c r="F29" s="36">
        <f t="shared" si="0"/>
        <v>0</v>
      </c>
      <c r="G29" s="4"/>
      <c r="H29" s="177"/>
      <c r="I29" s="177"/>
    </row>
    <row r="30" spans="1:9">
      <c r="A30" s="154">
        <v>21</v>
      </c>
      <c r="B30" s="302"/>
      <c r="C30" s="303"/>
      <c r="D30" s="303"/>
      <c r="E30" s="303"/>
      <c r="F30" s="36">
        <f t="shared" si="0"/>
        <v>0</v>
      </c>
      <c r="G30" s="4"/>
      <c r="H30" s="177"/>
      <c r="I30" s="177"/>
    </row>
    <row r="31" spans="1:9">
      <c r="A31" s="154">
        <v>22</v>
      </c>
      <c r="B31" s="302"/>
      <c r="C31" s="303"/>
      <c r="D31" s="303"/>
      <c r="E31" s="303"/>
      <c r="F31" s="36">
        <f t="shared" si="0"/>
        <v>0</v>
      </c>
      <c r="G31" s="4"/>
      <c r="H31" s="177"/>
      <c r="I31" s="177"/>
    </row>
    <row r="32" spans="1:9">
      <c r="A32" s="154">
        <v>23</v>
      </c>
      <c r="B32" s="302"/>
      <c r="C32" s="303"/>
      <c r="D32" s="303"/>
      <c r="E32" s="303"/>
      <c r="F32" s="36">
        <f t="shared" si="0"/>
        <v>0</v>
      </c>
      <c r="G32" s="4"/>
      <c r="H32" s="177"/>
      <c r="I32" s="177"/>
    </row>
    <row r="33" spans="1:9">
      <c r="A33" s="154">
        <v>24</v>
      </c>
      <c r="B33" s="302"/>
      <c r="C33" s="303"/>
      <c r="D33" s="303"/>
      <c r="E33" s="303"/>
      <c r="F33" s="36">
        <f t="shared" si="0"/>
        <v>0</v>
      </c>
      <c r="G33" s="4"/>
      <c r="H33" s="177"/>
      <c r="I33" s="177"/>
    </row>
    <row r="34" spans="1:9">
      <c r="A34" s="154">
        <v>25</v>
      </c>
      <c r="B34" s="302"/>
      <c r="C34" s="303"/>
      <c r="D34" s="303"/>
      <c r="E34" s="303"/>
      <c r="F34" s="36">
        <f t="shared" si="0"/>
        <v>0</v>
      </c>
      <c r="G34" s="4"/>
      <c r="H34" s="177"/>
      <c r="I34" s="177"/>
    </row>
    <row r="35" spans="1:9">
      <c r="A35" s="154">
        <v>26</v>
      </c>
      <c r="B35" s="302"/>
      <c r="C35" s="303"/>
      <c r="D35" s="303"/>
      <c r="E35" s="303"/>
      <c r="F35" s="36">
        <f t="shared" si="0"/>
        <v>0</v>
      </c>
      <c r="G35" s="4"/>
      <c r="H35" s="177"/>
      <c r="I35" s="177"/>
    </row>
    <row r="36" spans="1:9">
      <c r="A36" s="154">
        <v>27</v>
      </c>
      <c r="B36" s="302"/>
      <c r="C36" s="303"/>
      <c r="D36" s="303"/>
      <c r="E36" s="303"/>
      <c r="F36" s="36">
        <f t="shared" si="0"/>
        <v>0</v>
      </c>
      <c r="G36" s="4"/>
      <c r="H36" s="177"/>
      <c r="I36" s="177"/>
    </row>
    <row r="37" spans="1:9">
      <c r="A37" s="154">
        <v>28</v>
      </c>
      <c r="B37" s="302"/>
      <c r="C37" s="303"/>
      <c r="D37" s="303"/>
      <c r="E37" s="303"/>
      <c r="F37" s="36">
        <f t="shared" si="0"/>
        <v>0</v>
      </c>
      <c r="G37" s="4"/>
      <c r="H37" s="177"/>
      <c r="I37" s="177"/>
    </row>
    <row r="38" spans="1:9">
      <c r="A38" s="154">
        <v>29</v>
      </c>
      <c r="B38" s="302"/>
      <c r="C38" s="303"/>
      <c r="D38" s="303"/>
      <c r="E38" s="303"/>
      <c r="F38" s="36">
        <f t="shared" si="0"/>
        <v>0</v>
      </c>
      <c r="G38" s="4"/>
      <c r="H38" s="177"/>
      <c r="I38" s="177"/>
    </row>
    <row r="39" spans="1:9">
      <c r="A39" s="154">
        <v>30</v>
      </c>
      <c r="B39" s="302"/>
      <c r="C39" s="303"/>
      <c r="D39" s="303"/>
      <c r="E39" s="303"/>
      <c r="F39" s="36">
        <f t="shared" si="0"/>
        <v>0</v>
      </c>
      <c r="G39" s="4"/>
      <c r="H39" s="177"/>
      <c r="I39" s="177"/>
    </row>
    <row r="40" spans="1:9">
      <c r="A40" s="154">
        <v>31</v>
      </c>
      <c r="B40" s="302"/>
      <c r="C40" s="303"/>
      <c r="D40" s="303"/>
      <c r="E40" s="303"/>
      <c r="F40" s="36">
        <f t="shared" si="0"/>
        <v>0</v>
      </c>
      <c r="G40" s="4"/>
      <c r="H40" s="177"/>
      <c r="I40" s="177"/>
    </row>
    <row r="41" spans="1:9">
      <c r="A41" s="154">
        <v>32</v>
      </c>
      <c r="B41" s="302"/>
      <c r="C41" s="303"/>
      <c r="D41" s="303"/>
      <c r="E41" s="303"/>
      <c r="F41" s="36">
        <f t="shared" si="0"/>
        <v>0</v>
      </c>
      <c r="G41" s="4"/>
      <c r="H41" s="177"/>
      <c r="I41" s="177"/>
    </row>
    <row r="42" spans="1:9">
      <c r="A42" s="154">
        <v>33</v>
      </c>
      <c r="B42" s="302"/>
      <c r="C42" s="303"/>
      <c r="D42" s="303"/>
      <c r="E42" s="303"/>
      <c r="F42" s="36">
        <f t="shared" si="0"/>
        <v>0</v>
      </c>
      <c r="G42" s="4"/>
      <c r="H42" s="177"/>
      <c r="I42" s="177"/>
    </row>
    <row r="43" spans="1:9">
      <c r="A43" s="154">
        <v>34</v>
      </c>
      <c r="B43" s="302"/>
      <c r="C43" s="303"/>
      <c r="D43" s="303"/>
      <c r="E43" s="303"/>
      <c r="F43" s="36">
        <f t="shared" si="0"/>
        <v>0</v>
      </c>
      <c r="G43" s="4"/>
      <c r="H43" s="177"/>
      <c r="I43" s="177"/>
    </row>
    <row r="44" spans="1:9">
      <c r="A44" s="154">
        <v>35</v>
      </c>
      <c r="B44" s="302"/>
      <c r="C44" s="303"/>
      <c r="D44" s="303"/>
      <c r="E44" s="303"/>
      <c r="F44" s="36">
        <f t="shared" si="0"/>
        <v>0</v>
      </c>
      <c r="G44" s="4"/>
      <c r="H44" s="177"/>
      <c r="I44" s="177"/>
    </row>
    <row r="45" spans="1:9">
      <c r="A45" s="154">
        <v>36</v>
      </c>
      <c r="B45" s="302"/>
      <c r="C45" s="303"/>
      <c r="D45" s="303"/>
      <c r="E45" s="303"/>
      <c r="F45" s="36">
        <f t="shared" si="0"/>
        <v>0</v>
      </c>
      <c r="G45" s="4"/>
      <c r="H45" s="177"/>
      <c r="I45" s="177"/>
    </row>
    <row r="46" spans="1:9">
      <c r="A46" s="154">
        <v>37</v>
      </c>
      <c r="B46" s="302"/>
      <c r="C46" s="303"/>
      <c r="D46" s="303"/>
      <c r="E46" s="303"/>
      <c r="F46" s="36">
        <f t="shared" si="0"/>
        <v>0</v>
      </c>
      <c r="G46" s="4"/>
      <c r="H46" s="177"/>
      <c r="I46" s="177"/>
    </row>
    <row r="47" spans="1:9">
      <c r="A47" s="154">
        <v>38</v>
      </c>
      <c r="B47" s="302"/>
      <c r="C47" s="303"/>
      <c r="D47" s="303"/>
      <c r="E47" s="303"/>
      <c r="F47" s="36">
        <f t="shared" si="0"/>
        <v>0</v>
      </c>
      <c r="G47" s="4"/>
      <c r="H47" s="177"/>
      <c r="I47" s="177"/>
    </row>
    <row r="48" spans="1:9">
      <c r="A48" s="154">
        <v>39</v>
      </c>
      <c r="B48" s="302"/>
      <c r="C48" s="303"/>
      <c r="D48" s="303"/>
      <c r="E48" s="303"/>
      <c r="F48" s="36">
        <f t="shared" si="0"/>
        <v>0</v>
      </c>
      <c r="G48" s="4"/>
      <c r="H48" s="177"/>
      <c r="I48" s="177"/>
    </row>
    <row r="49" spans="1:9">
      <c r="A49" s="154">
        <v>40</v>
      </c>
      <c r="B49" s="302"/>
      <c r="C49" s="303"/>
      <c r="D49" s="303"/>
      <c r="E49" s="303"/>
      <c r="F49" s="36">
        <f t="shared" si="0"/>
        <v>0</v>
      </c>
      <c r="G49" s="4"/>
      <c r="H49" s="177"/>
      <c r="I49" s="177"/>
    </row>
    <row r="50" spans="1:9">
      <c r="A50" s="154">
        <v>41</v>
      </c>
      <c r="B50" s="302"/>
      <c r="C50" s="303"/>
      <c r="D50" s="303"/>
      <c r="E50" s="303"/>
      <c r="F50" s="36">
        <f t="shared" si="0"/>
        <v>0</v>
      </c>
      <c r="G50" s="4"/>
      <c r="H50" s="177"/>
      <c r="I50" s="177"/>
    </row>
    <row r="51" spans="1:9">
      <c r="A51" s="154">
        <v>42</v>
      </c>
      <c r="B51" s="302"/>
      <c r="C51" s="303"/>
      <c r="D51" s="303"/>
      <c r="E51" s="303"/>
      <c r="F51" s="36">
        <f t="shared" si="0"/>
        <v>0</v>
      </c>
      <c r="G51" s="4"/>
      <c r="H51" s="177"/>
      <c r="I51" s="177"/>
    </row>
    <row r="52" spans="1:9">
      <c r="A52" s="154">
        <v>43</v>
      </c>
      <c r="B52" s="302"/>
      <c r="C52" s="303"/>
      <c r="D52" s="303"/>
      <c r="E52" s="303"/>
      <c r="F52" s="36">
        <f t="shared" si="0"/>
        <v>0</v>
      </c>
      <c r="G52" s="4"/>
      <c r="H52" s="177"/>
      <c r="I52" s="177"/>
    </row>
    <row r="53" spans="1:9">
      <c r="A53" s="154">
        <v>44</v>
      </c>
      <c r="B53" s="302"/>
      <c r="C53" s="303"/>
      <c r="D53" s="303"/>
      <c r="E53" s="303"/>
      <c r="F53" s="36">
        <f t="shared" si="0"/>
        <v>0</v>
      </c>
      <c r="G53" s="4"/>
      <c r="H53" s="177"/>
      <c r="I53" s="177"/>
    </row>
    <row r="54" spans="1:9">
      <c r="A54" s="154">
        <v>45</v>
      </c>
      <c r="B54" s="302"/>
      <c r="C54" s="303"/>
      <c r="D54" s="303"/>
      <c r="E54" s="303"/>
      <c r="F54" s="36">
        <f t="shared" si="0"/>
        <v>0</v>
      </c>
      <c r="G54" s="4"/>
      <c r="H54" s="177"/>
      <c r="I54" s="177"/>
    </row>
    <row r="55" spans="1:9">
      <c r="A55" s="154">
        <v>46</v>
      </c>
      <c r="B55" s="302"/>
      <c r="C55" s="303"/>
      <c r="D55" s="303"/>
      <c r="E55" s="303"/>
      <c r="F55" s="36">
        <f t="shared" si="0"/>
        <v>0</v>
      </c>
      <c r="G55" s="4"/>
      <c r="H55" s="177"/>
      <c r="I55" s="177"/>
    </row>
    <row r="56" spans="1:9">
      <c r="A56" s="154">
        <v>47</v>
      </c>
      <c r="B56" s="302"/>
      <c r="C56" s="303"/>
      <c r="D56" s="303"/>
      <c r="E56" s="303"/>
      <c r="F56" s="36">
        <f t="shared" si="0"/>
        <v>0</v>
      </c>
      <c r="G56" s="4"/>
      <c r="H56" s="177"/>
      <c r="I56" s="177"/>
    </row>
    <row r="57" spans="1:9">
      <c r="A57" s="154">
        <v>48</v>
      </c>
      <c r="B57" s="302"/>
      <c r="C57" s="303"/>
      <c r="D57" s="303"/>
      <c r="E57" s="303"/>
      <c r="F57" s="36">
        <f t="shared" si="0"/>
        <v>0</v>
      </c>
      <c r="G57" s="4"/>
      <c r="H57" s="177"/>
      <c r="I57" s="177"/>
    </row>
    <row r="58" spans="1:9">
      <c r="A58" s="154">
        <v>49</v>
      </c>
      <c r="B58" s="302"/>
      <c r="C58" s="303"/>
      <c r="D58" s="303"/>
      <c r="E58" s="303"/>
      <c r="F58" s="36">
        <f t="shared" si="0"/>
        <v>0</v>
      </c>
      <c r="G58" s="4"/>
      <c r="H58" s="177"/>
      <c r="I58" s="177"/>
    </row>
    <row r="59" spans="1:9">
      <c r="A59" s="154">
        <v>50</v>
      </c>
      <c r="B59" s="302"/>
      <c r="C59" s="303"/>
      <c r="D59" s="303"/>
      <c r="E59" s="303"/>
      <c r="F59" s="36">
        <f t="shared" si="0"/>
        <v>0</v>
      </c>
      <c r="G59" s="4"/>
      <c r="H59" s="177"/>
      <c r="I59" s="177"/>
    </row>
    <row r="60" spans="1:9">
      <c r="A60" s="154">
        <v>51</v>
      </c>
      <c r="B60" s="302"/>
      <c r="C60" s="303"/>
      <c r="D60" s="303"/>
      <c r="E60" s="303"/>
      <c r="F60" s="36">
        <f t="shared" si="0"/>
        <v>0</v>
      </c>
      <c r="G60" s="4"/>
      <c r="H60" s="177"/>
      <c r="I60" s="177"/>
    </row>
    <row r="61" spans="1:9">
      <c r="A61" s="154">
        <v>52</v>
      </c>
      <c r="B61" s="302"/>
      <c r="C61" s="303"/>
      <c r="D61" s="303"/>
      <c r="E61" s="303"/>
      <c r="F61" s="36">
        <f t="shared" si="0"/>
        <v>0</v>
      </c>
      <c r="G61" s="4"/>
      <c r="H61" s="177"/>
      <c r="I61" s="177"/>
    </row>
    <row r="62" spans="1:9">
      <c r="A62" s="154">
        <v>53</v>
      </c>
      <c r="B62" s="302"/>
      <c r="C62" s="303"/>
      <c r="D62" s="303"/>
      <c r="E62" s="303"/>
      <c r="F62" s="36">
        <f t="shared" si="0"/>
        <v>0</v>
      </c>
      <c r="G62" s="4"/>
      <c r="H62" s="177"/>
      <c r="I62" s="177"/>
    </row>
    <row r="63" spans="1:9">
      <c r="A63" s="154">
        <v>54</v>
      </c>
      <c r="B63" s="302"/>
      <c r="C63" s="303"/>
      <c r="D63" s="303"/>
      <c r="E63" s="303"/>
      <c r="F63" s="36">
        <f t="shared" si="0"/>
        <v>0</v>
      </c>
      <c r="G63" s="4"/>
      <c r="H63" s="177"/>
      <c r="I63" s="177"/>
    </row>
    <row r="64" spans="1:9">
      <c r="A64" s="154">
        <v>55</v>
      </c>
      <c r="B64" s="302"/>
      <c r="C64" s="303"/>
      <c r="D64" s="303"/>
      <c r="E64" s="303"/>
      <c r="F64" s="36">
        <f t="shared" si="0"/>
        <v>0</v>
      </c>
      <c r="G64" s="4"/>
      <c r="H64" s="177"/>
      <c r="I64" s="177"/>
    </row>
    <row r="65" spans="1:9">
      <c r="A65" s="154">
        <v>56</v>
      </c>
      <c r="B65" s="302"/>
      <c r="C65" s="303"/>
      <c r="D65" s="303"/>
      <c r="E65" s="303"/>
      <c r="F65" s="36">
        <f t="shared" si="0"/>
        <v>0</v>
      </c>
      <c r="G65" s="4"/>
      <c r="H65" s="177"/>
      <c r="I65" s="177"/>
    </row>
    <row r="66" spans="1:9">
      <c r="A66" s="154">
        <v>57</v>
      </c>
      <c r="B66" s="302"/>
      <c r="C66" s="303"/>
      <c r="D66" s="303"/>
      <c r="E66" s="303"/>
      <c r="F66" s="36">
        <f t="shared" si="0"/>
        <v>0</v>
      </c>
      <c r="G66" s="4"/>
      <c r="H66" s="177"/>
      <c r="I66" s="177"/>
    </row>
    <row r="67" spans="1:9">
      <c r="A67" s="154">
        <v>58</v>
      </c>
      <c r="B67" s="302"/>
      <c r="C67" s="303"/>
      <c r="D67" s="303"/>
      <c r="E67" s="303"/>
      <c r="F67" s="36">
        <f t="shared" si="0"/>
        <v>0</v>
      </c>
      <c r="G67" s="4"/>
      <c r="H67" s="177"/>
      <c r="I67" s="177"/>
    </row>
    <row r="68" spans="1:9">
      <c r="A68" s="154">
        <v>59</v>
      </c>
      <c r="B68" s="302"/>
      <c r="C68" s="303"/>
      <c r="D68" s="303"/>
      <c r="E68" s="303"/>
      <c r="F68" s="36">
        <f t="shared" si="0"/>
        <v>0</v>
      </c>
      <c r="G68" s="4"/>
      <c r="H68" s="177"/>
      <c r="I68" s="177"/>
    </row>
    <row r="69" spans="1:9">
      <c r="A69" s="154">
        <v>60</v>
      </c>
      <c r="B69" s="302"/>
      <c r="C69" s="303"/>
      <c r="D69" s="303"/>
      <c r="E69" s="303"/>
      <c r="F69" s="36">
        <f t="shared" si="0"/>
        <v>0</v>
      </c>
      <c r="G69" s="4"/>
      <c r="H69" s="177"/>
      <c r="I69" s="177"/>
    </row>
    <row r="70" spans="1:9">
      <c r="A70" s="154">
        <v>61</v>
      </c>
      <c r="B70" s="302"/>
      <c r="C70" s="303"/>
      <c r="D70" s="303"/>
      <c r="E70" s="303"/>
      <c r="F70" s="36">
        <f t="shared" si="0"/>
        <v>0</v>
      </c>
      <c r="G70" s="4"/>
      <c r="H70" s="177"/>
      <c r="I70" s="177"/>
    </row>
    <row r="71" spans="1:9">
      <c r="A71" s="154">
        <v>62</v>
      </c>
      <c r="B71" s="302"/>
      <c r="C71" s="303"/>
      <c r="D71" s="303"/>
      <c r="E71" s="303"/>
      <c r="F71" s="36">
        <f t="shared" si="0"/>
        <v>0</v>
      </c>
      <c r="G71" s="4"/>
      <c r="H71" s="177"/>
      <c r="I71" s="177"/>
    </row>
    <row r="72" spans="1:9">
      <c r="A72" s="154">
        <v>63</v>
      </c>
      <c r="B72" s="302"/>
      <c r="C72" s="303"/>
      <c r="D72" s="303"/>
      <c r="E72" s="303"/>
      <c r="F72" s="36">
        <f t="shared" si="0"/>
        <v>0</v>
      </c>
      <c r="G72" s="4"/>
      <c r="H72" s="177"/>
      <c r="I72" s="177"/>
    </row>
    <row r="73" spans="1:9">
      <c r="A73" s="154">
        <v>64</v>
      </c>
      <c r="B73" s="302"/>
      <c r="C73" s="303"/>
      <c r="D73" s="303"/>
      <c r="E73" s="303"/>
      <c r="F73" s="36">
        <f t="shared" si="0"/>
        <v>0</v>
      </c>
      <c r="G73" s="4"/>
      <c r="H73" s="177"/>
      <c r="I73" s="177"/>
    </row>
    <row r="74" spans="1:9">
      <c r="A74" s="154">
        <v>65</v>
      </c>
      <c r="B74" s="302"/>
      <c r="C74" s="303"/>
      <c r="D74" s="303"/>
      <c r="E74" s="303"/>
      <c r="F74" s="36">
        <f t="shared" ref="F74:F109" si="1">SUM(B74:E74)</f>
        <v>0</v>
      </c>
      <c r="G74" s="4"/>
      <c r="H74" s="177"/>
      <c r="I74" s="177"/>
    </row>
    <row r="75" spans="1:9">
      <c r="A75" s="154">
        <v>66</v>
      </c>
      <c r="B75" s="302"/>
      <c r="C75" s="303"/>
      <c r="D75" s="303"/>
      <c r="E75" s="303"/>
      <c r="F75" s="36">
        <f t="shared" si="1"/>
        <v>0</v>
      </c>
      <c r="G75" s="4"/>
      <c r="H75" s="177"/>
      <c r="I75" s="177"/>
    </row>
    <row r="76" spans="1:9">
      <c r="A76" s="154">
        <v>67</v>
      </c>
      <c r="B76" s="302"/>
      <c r="C76" s="303"/>
      <c r="D76" s="303"/>
      <c r="E76" s="303"/>
      <c r="F76" s="36">
        <f t="shared" si="1"/>
        <v>0</v>
      </c>
      <c r="G76" s="4"/>
      <c r="H76" s="177"/>
      <c r="I76" s="177"/>
    </row>
    <row r="77" spans="1:9">
      <c r="A77" s="154">
        <v>68</v>
      </c>
      <c r="B77" s="302"/>
      <c r="C77" s="303"/>
      <c r="D77" s="303"/>
      <c r="E77" s="303"/>
      <c r="F77" s="36">
        <f t="shared" si="1"/>
        <v>0</v>
      </c>
      <c r="G77" s="4"/>
      <c r="H77" s="177"/>
      <c r="I77" s="177"/>
    </row>
    <row r="78" spans="1:9">
      <c r="A78" s="154">
        <v>69</v>
      </c>
      <c r="B78" s="302"/>
      <c r="C78" s="303"/>
      <c r="D78" s="303"/>
      <c r="E78" s="303"/>
      <c r="F78" s="36">
        <f t="shared" si="1"/>
        <v>0</v>
      </c>
      <c r="G78" s="4"/>
      <c r="H78" s="177"/>
      <c r="I78" s="177"/>
    </row>
    <row r="79" spans="1:9">
      <c r="A79" s="154">
        <v>70</v>
      </c>
      <c r="B79" s="302"/>
      <c r="C79" s="303"/>
      <c r="D79" s="303"/>
      <c r="E79" s="303"/>
      <c r="F79" s="36">
        <f t="shared" si="1"/>
        <v>0</v>
      </c>
      <c r="G79" s="4"/>
      <c r="H79" s="177"/>
      <c r="I79" s="177"/>
    </row>
    <row r="80" spans="1:9">
      <c r="A80" s="154">
        <v>71</v>
      </c>
      <c r="B80" s="302"/>
      <c r="C80" s="303"/>
      <c r="D80" s="303"/>
      <c r="E80" s="303"/>
      <c r="F80" s="36">
        <f t="shared" si="1"/>
        <v>0</v>
      </c>
      <c r="G80" s="4"/>
      <c r="H80" s="177"/>
      <c r="I80" s="177"/>
    </row>
    <row r="81" spans="1:9">
      <c r="A81" s="154">
        <v>72</v>
      </c>
      <c r="B81" s="302"/>
      <c r="C81" s="303"/>
      <c r="D81" s="303"/>
      <c r="E81" s="303"/>
      <c r="F81" s="36">
        <f t="shared" si="1"/>
        <v>0</v>
      </c>
      <c r="G81" s="4"/>
      <c r="H81" s="177"/>
      <c r="I81" s="177"/>
    </row>
    <row r="82" spans="1:9">
      <c r="A82" s="154">
        <v>73</v>
      </c>
      <c r="B82" s="302"/>
      <c r="C82" s="303"/>
      <c r="D82" s="303"/>
      <c r="E82" s="303"/>
      <c r="F82" s="36">
        <f t="shared" si="1"/>
        <v>0</v>
      </c>
      <c r="G82" s="4"/>
      <c r="H82" s="177"/>
      <c r="I82" s="177"/>
    </row>
    <row r="83" spans="1:9">
      <c r="A83" s="154">
        <v>74</v>
      </c>
      <c r="B83" s="302"/>
      <c r="C83" s="303"/>
      <c r="D83" s="303"/>
      <c r="E83" s="303"/>
      <c r="F83" s="36">
        <f t="shared" si="1"/>
        <v>0</v>
      </c>
      <c r="G83" s="4"/>
      <c r="H83" s="177"/>
      <c r="I83" s="177"/>
    </row>
    <row r="84" spans="1:9">
      <c r="A84" s="154">
        <v>75</v>
      </c>
      <c r="B84" s="302"/>
      <c r="C84" s="303"/>
      <c r="D84" s="303"/>
      <c r="E84" s="303"/>
      <c r="F84" s="36">
        <f t="shared" si="1"/>
        <v>0</v>
      </c>
      <c r="G84" s="4"/>
      <c r="H84" s="177"/>
      <c r="I84" s="177"/>
    </row>
    <row r="85" spans="1:9">
      <c r="A85" s="154">
        <v>76</v>
      </c>
      <c r="B85" s="302"/>
      <c r="C85" s="303"/>
      <c r="D85" s="303"/>
      <c r="E85" s="303"/>
      <c r="F85" s="36">
        <f t="shared" si="1"/>
        <v>0</v>
      </c>
      <c r="G85" s="4"/>
      <c r="H85" s="177"/>
      <c r="I85" s="177"/>
    </row>
    <row r="86" spans="1:9">
      <c r="A86" s="154">
        <v>77</v>
      </c>
      <c r="B86" s="302"/>
      <c r="C86" s="303"/>
      <c r="D86" s="303"/>
      <c r="E86" s="303"/>
      <c r="F86" s="36">
        <f t="shared" si="1"/>
        <v>0</v>
      </c>
      <c r="G86" s="4"/>
      <c r="H86" s="177"/>
      <c r="I86" s="177"/>
    </row>
    <row r="87" spans="1:9">
      <c r="A87" s="154">
        <v>78</v>
      </c>
      <c r="B87" s="302"/>
      <c r="C87" s="303"/>
      <c r="D87" s="303"/>
      <c r="E87" s="303"/>
      <c r="F87" s="36">
        <f t="shared" si="1"/>
        <v>0</v>
      </c>
      <c r="G87" s="4"/>
      <c r="H87" s="177"/>
      <c r="I87" s="177"/>
    </row>
    <row r="88" spans="1:9">
      <c r="A88" s="154">
        <v>79</v>
      </c>
      <c r="B88" s="302"/>
      <c r="C88" s="303"/>
      <c r="D88" s="303"/>
      <c r="E88" s="303"/>
      <c r="F88" s="36">
        <f t="shared" si="1"/>
        <v>0</v>
      </c>
      <c r="G88" s="4"/>
      <c r="H88" s="177"/>
      <c r="I88" s="177"/>
    </row>
    <row r="89" spans="1:9">
      <c r="A89" s="154">
        <v>80</v>
      </c>
      <c r="B89" s="302"/>
      <c r="C89" s="303"/>
      <c r="D89" s="303"/>
      <c r="E89" s="303"/>
      <c r="F89" s="36">
        <f t="shared" si="1"/>
        <v>0</v>
      </c>
      <c r="G89" s="4"/>
      <c r="H89" s="177"/>
      <c r="I89" s="177"/>
    </row>
    <row r="90" spans="1:9">
      <c r="A90" s="154">
        <v>81</v>
      </c>
      <c r="B90" s="302"/>
      <c r="C90" s="303"/>
      <c r="D90" s="303"/>
      <c r="E90" s="303"/>
      <c r="F90" s="36">
        <f t="shared" si="1"/>
        <v>0</v>
      </c>
      <c r="G90" s="4"/>
      <c r="H90" s="177"/>
      <c r="I90" s="177"/>
    </row>
    <row r="91" spans="1:9">
      <c r="A91" s="154">
        <v>82</v>
      </c>
      <c r="B91" s="302"/>
      <c r="C91" s="303"/>
      <c r="D91" s="303"/>
      <c r="E91" s="303"/>
      <c r="F91" s="36">
        <f t="shared" si="1"/>
        <v>0</v>
      </c>
      <c r="G91" s="4"/>
      <c r="H91" s="177"/>
      <c r="I91" s="177"/>
    </row>
    <row r="92" spans="1:9">
      <c r="A92" s="154">
        <v>83</v>
      </c>
      <c r="B92" s="302"/>
      <c r="C92" s="303"/>
      <c r="D92" s="303"/>
      <c r="E92" s="303"/>
      <c r="F92" s="36">
        <f t="shared" si="1"/>
        <v>0</v>
      </c>
      <c r="G92" s="4"/>
      <c r="H92" s="177"/>
      <c r="I92" s="177"/>
    </row>
    <row r="93" spans="1:9">
      <c r="A93" s="154">
        <v>84</v>
      </c>
      <c r="B93" s="302"/>
      <c r="C93" s="303"/>
      <c r="D93" s="303"/>
      <c r="E93" s="303"/>
      <c r="F93" s="36">
        <f t="shared" si="1"/>
        <v>0</v>
      </c>
      <c r="G93" s="4"/>
      <c r="H93" s="177"/>
      <c r="I93" s="177"/>
    </row>
    <row r="94" spans="1:9">
      <c r="A94" s="154">
        <v>85</v>
      </c>
      <c r="B94" s="302"/>
      <c r="C94" s="303"/>
      <c r="D94" s="303"/>
      <c r="E94" s="303"/>
      <c r="F94" s="36">
        <f t="shared" si="1"/>
        <v>0</v>
      </c>
      <c r="G94" s="4"/>
      <c r="H94" s="177"/>
      <c r="I94" s="177"/>
    </row>
    <row r="95" spans="1:9">
      <c r="A95" s="154">
        <v>86</v>
      </c>
      <c r="B95" s="302"/>
      <c r="C95" s="303"/>
      <c r="D95" s="303"/>
      <c r="E95" s="303"/>
      <c r="F95" s="36">
        <f t="shared" si="1"/>
        <v>0</v>
      </c>
      <c r="G95" s="4"/>
      <c r="H95" s="177"/>
      <c r="I95" s="177"/>
    </row>
    <row r="96" spans="1:9">
      <c r="A96" s="154">
        <v>87</v>
      </c>
      <c r="B96" s="302"/>
      <c r="C96" s="303"/>
      <c r="D96" s="303"/>
      <c r="E96" s="303"/>
      <c r="F96" s="36">
        <f t="shared" si="1"/>
        <v>0</v>
      </c>
      <c r="G96" s="4"/>
      <c r="H96" s="177"/>
      <c r="I96" s="177"/>
    </row>
    <row r="97" spans="1:9">
      <c r="A97" s="154">
        <v>88</v>
      </c>
      <c r="B97" s="302"/>
      <c r="C97" s="303"/>
      <c r="D97" s="303"/>
      <c r="E97" s="303"/>
      <c r="F97" s="36">
        <f t="shared" si="1"/>
        <v>0</v>
      </c>
      <c r="G97" s="4"/>
      <c r="H97" s="177"/>
      <c r="I97" s="177"/>
    </row>
    <row r="98" spans="1:9">
      <c r="A98" s="154">
        <v>89</v>
      </c>
      <c r="B98" s="302"/>
      <c r="C98" s="303"/>
      <c r="D98" s="303"/>
      <c r="E98" s="303"/>
      <c r="F98" s="36">
        <f t="shared" si="1"/>
        <v>0</v>
      </c>
      <c r="G98" s="4"/>
      <c r="H98" s="177"/>
      <c r="I98" s="177"/>
    </row>
    <row r="99" spans="1:9">
      <c r="A99" s="154">
        <v>90</v>
      </c>
      <c r="B99" s="302"/>
      <c r="C99" s="303"/>
      <c r="D99" s="303"/>
      <c r="E99" s="303"/>
      <c r="F99" s="36">
        <f t="shared" si="1"/>
        <v>0</v>
      </c>
      <c r="G99" s="4"/>
      <c r="H99" s="177"/>
      <c r="I99" s="177"/>
    </row>
    <row r="100" spans="1:9">
      <c r="A100" s="154">
        <v>91</v>
      </c>
      <c r="B100" s="302"/>
      <c r="C100" s="303"/>
      <c r="D100" s="303"/>
      <c r="E100" s="303"/>
      <c r="F100" s="36">
        <f t="shared" si="1"/>
        <v>0</v>
      </c>
      <c r="G100" s="4"/>
      <c r="H100" s="177"/>
      <c r="I100" s="177"/>
    </row>
    <row r="101" spans="1:9">
      <c r="A101" s="154">
        <v>92</v>
      </c>
      <c r="B101" s="302"/>
      <c r="C101" s="303"/>
      <c r="D101" s="303"/>
      <c r="E101" s="303"/>
      <c r="F101" s="36">
        <f t="shared" si="1"/>
        <v>0</v>
      </c>
      <c r="G101" s="4"/>
      <c r="H101" s="177"/>
      <c r="I101" s="177"/>
    </row>
    <row r="102" spans="1:9">
      <c r="A102" s="154">
        <v>93</v>
      </c>
      <c r="B102" s="302"/>
      <c r="C102" s="303"/>
      <c r="D102" s="303"/>
      <c r="E102" s="303"/>
      <c r="F102" s="36">
        <f t="shared" si="1"/>
        <v>0</v>
      </c>
      <c r="G102" s="4"/>
      <c r="H102" s="177"/>
      <c r="I102" s="177"/>
    </row>
    <row r="103" spans="1:9">
      <c r="A103" s="154">
        <v>94</v>
      </c>
      <c r="B103" s="302"/>
      <c r="C103" s="303"/>
      <c r="D103" s="303"/>
      <c r="E103" s="303"/>
      <c r="F103" s="36">
        <f t="shared" si="1"/>
        <v>0</v>
      </c>
      <c r="G103" s="4"/>
      <c r="H103" s="177"/>
      <c r="I103" s="177"/>
    </row>
    <row r="104" spans="1:9">
      <c r="A104" s="154">
        <v>95</v>
      </c>
      <c r="B104" s="302"/>
      <c r="C104" s="303"/>
      <c r="D104" s="303"/>
      <c r="E104" s="303"/>
      <c r="F104" s="36">
        <f t="shared" si="1"/>
        <v>0</v>
      </c>
      <c r="G104" s="4"/>
      <c r="H104" s="177"/>
      <c r="I104" s="177"/>
    </row>
    <row r="105" spans="1:9">
      <c r="A105" s="154">
        <v>96</v>
      </c>
      <c r="B105" s="302"/>
      <c r="C105" s="303"/>
      <c r="D105" s="303"/>
      <c r="E105" s="303"/>
      <c r="F105" s="36">
        <f t="shared" si="1"/>
        <v>0</v>
      </c>
      <c r="G105" s="4"/>
      <c r="H105" s="177"/>
      <c r="I105" s="177"/>
    </row>
    <row r="106" spans="1:9">
      <c r="A106" s="154">
        <v>97</v>
      </c>
      <c r="B106" s="302"/>
      <c r="C106" s="303"/>
      <c r="D106" s="303"/>
      <c r="E106" s="303"/>
      <c r="F106" s="36">
        <f t="shared" si="1"/>
        <v>0</v>
      </c>
      <c r="G106" s="4"/>
      <c r="H106" s="177"/>
      <c r="I106" s="177"/>
    </row>
    <row r="107" spans="1:9">
      <c r="A107" s="154">
        <v>98</v>
      </c>
      <c r="B107" s="302"/>
      <c r="C107" s="303"/>
      <c r="D107" s="303"/>
      <c r="E107" s="303"/>
      <c r="F107" s="36">
        <f t="shared" si="1"/>
        <v>0</v>
      </c>
      <c r="G107" s="4"/>
      <c r="H107" s="177"/>
      <c r="I107" s="177"/>
    </row>
    <row r="108" spans="1:9">
      <c r="A108" s="154">
        <v>99</v>
      </c>
      <c r="B108" s="302"/>
      <c r="C108" s="303"/>
      <c r="D108" s="303"/>
      <c r="E108" s="303"/>
      <c r="F108" s="36">
        <f t="shared" si="1"/>
        <v>0</v>
      </c>
      <c r="G108" s="4"/>
      <c r="H108" s="177"/>
      <c r="I108" s="177"/>
    </row>
    <row r="109" spans="1:9">
      <c r="A109" s="154">
        <v>100</v>
      </c>
      <c r="B109" s="302"/>
      <c r="C109" s="303"/>
      <c r="D109" s="303"/>
      <c r="E109" s="303"/>
      <c r="F109" s="36">
        <f t="shared" si="1"/>
        <v>0</v>
      </c>
      <c r="G109" s="4"/>
      <c r="H109" s="177"/>
      <c r="I109" s="177"/>
    </row>
    <row r="110" spans="1:9">
      <c r="A110" s="179" t="s">
        <v>62</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1:I4 A6:I114 A5:F5 I5">
    <cfRule type="expression" dxfId="15" priority="1" stopIfTrue="1">
      <formula>CELL("Protect",A1)=1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10" activePane="bottomLeft" state="frozen"/>
      <selection activeCell="G5" sqref="G5:J5"/>
      <selection pane="bottomLeft" activeCell="A9" sqref="A9"/>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3" t="s">
        <v>113</v>
      </c>
      <c r="B1" s="6"/>
      <c r="C1" s="4"/>
      <c r="D1" s="6"/>
      <c r="E1" s="6"/>
      <c r="F1" s="6"/>
      <c r="G1" s="6"/>
      <c r="H1" s="6"/>
      <c r="I1" s="6"/>
    </row>
    <row r="2" spans="1:9" s="7" customFormat="1" ht="19.5" customHeight="1" thickBot="1">
      <c r="A2" s="260" t="s">
        <v>114</v>
      </c>
      <c r="B2" s="6"/>
      <c r="C2" s="11"/>
      <c r="D2" s="6"/>
      <c r="E2" s="6"/>
      <c r="F2" s="6"/>
      <c r="G2" s="6"/>
      <c r="H2" s="6"/>
      <c r="I2" s="6"/>
    </row>
    <row r="3" spans="1:9" s="7" customFormat="1" ht="18" customHeight="1" thickBot="1">
      <c r="A3" s="258" t="s">
        <v>106</v>
      </c>
      <c r="B3" s="377" t="str">
        <f>'START HERE'!F6</f>
        <v>Chile</v>
      </c>
      <c r="C3" s="378"/>
      <c r="D3" s="6"/>
      <c r="E3" s="30" t="s">
        <v>39</v>
      </c>
      <c r="F3" s="374" t="s">
        <v>85</v>
      </c>
      <c r="G3" s="375"/>
      <c r="H3" s="376"/>
      <c r="I3" s="35"/>
    </row>
    <row r="4" spans="1:9" s="7" customFormat="1" ht="18" customHeight="1">
      <c r="A4" s="12" t="s">
        <v>19</v>
      </c>
      <c r="B4" s="377" t="str">
        <f>'START HERE'!F5</f>
        <v>Jack mackerel</v>
      </c>
      <c r="C4" s="378"/>
      <c r="D4" s="26"/>
      <c r="E4" s="13"/>
      <c r="F4" s="73"/>
      <c r="G4" s="161"/>
      <c r="H4" s="74"/>
      <c r="I4" s="35"/>
    </row>
    <row r="5" spans="1:9" s="7" customFormat="1" ht="18" customHeight="1">
      <c r="A5" s="12" t="s">
        <v>13</v>
      </c>
      <c r="B5" s="118">
        <f>'START HERE'!$K$3</f>
        <v>2019</v>
      </c>
      <c r="C5" s="257"/>
      <c r="D5" s="6"/>
      <c r="E5" s="34" t="s">
        <v>40</v>
      </c>
      <c r="F5" s="379" t="s">
        <v>104</v>
      </c>
      <c r="G5" s="380"/>
      <c r="H5" s="381"/>
      <c r="I5" s="35"/>
    </row>
    <row r="6" spans="1:9" s="7" customFormat="1" ht="18" customHeight="1" thickBot="1">
      <c r="A6" s="12"/>
      <c r="B6" s="71"/>
      <c r="C6" s="72"/>
      <c r="D6" s="6"/>
      <c r="E6" s="34" t="s">
        <v>14</v>
      </c>
      <c r="F6" s="382">
        <f>'START HERE'!$F8</f>
        <v>42615</v>
      </c>
      <c r="G6" s="383"/>
      <c r="H6" s="301"/>
      <c r="I6" s="35"/>
    </row>
    <row r="7" spans="1:9" s="7" customFormat="1" ht="9.75" customHeight="1">
      <c r="A7" s="6"/>
      <c r="B7" s="6"/>
      <c r="C7" s="6"/>
      <c r="D7" s="6"/>
      <c r="E7" s="6"/>
      <c r="F7" s="6"/>
      <c r="G7" s="6"/>
      <c r="H7" s="6"/>
      <c r="I7" s="6"/>
    </row>
    <row r="8" spans="1:9" ht="18" customHeight="1">
      <c r="A8" s="27" t="str">
        <f>'START HERE'!$F$13</f>
        <v>fork length</v>
      </c>
      <c r="B8" s="27" t="s">
        <v>52</v>
      </c>
      <c r="C8" s="27" t="s">
        <v>31</v>
      </c>
      <c r="D8" s="27" t="s">
        <v>32</v>
      </c>
      <c r="E8" s="27" t="s">
        <v>33</v>
      </c>
      <c r="F8" s="27" t="s">
        <v>42</v>
      </c>
      <c r="G8" s="4"/>
      <c r="H8" s="177"/>
      <c r="I8" s="177"/>
    </row>
    <row r="9" spans="1:9" ht="18">
      <c r="A9" s="28" t="s">
        <v>43</v>
      </c>
      <c r="B9" s="181">
        <f>'START HERE'!$K$3</f>
        <v>2019</v>
      </c>
      <c r="C9" s="181">
        <f>'START HERE'!$K$3</f>
        <v>2019</v>
      </c>
      <c r="D9" s="181">
        <f>'START HERE'!$K$3</f>
        <v>2019</v>
      </c>
      <c r="E9" s="181">
        <f>'START HERE'!$K$3</f>
        <v>2019</v>
      </c>
      <c r="F9" s="180">
        <f>'START HERE'!$K$3</f>
        <v>2019</v>
      </c>
      <c r="G9" s="4"/>
      <c r="H9" s="177"/>
      <c r="I9" s="177"/>
    </row>
    <row r="10" spans="1:9">
      <c r="A10" s="154">
        <v>1</v>
      </c>
      <c r="B10" s="302"/>
      <c r="C10" s="303"/>
      <c r="D10" s="303"/>
      <c r="E10" s="303"/>
      <c r="F10" s="36">
        <f t="shared" ref="F10:F73" si="0">SUM(B10:E10)</f>
        <v>0</v>
      </c>
      <c r="G10" s="4"/>
      <c r="H10" s="177"/>
      <c r="I10" s="177"/>
    </row>
    <row r="11" spans="1:9">
      <c r="A11" s="154">
        <v>2</v>
      </c>
      <c r="B11" s="302"/>
      <c r="C11" s="303"/>
      <c r="D11" s="303"/>
      <c r="E11" s="303"/>
      <c r="F11" s="36">
        <f t="shared" si="0"/>
        <v>0</v>
      </c>
      <c r="G11" s="4"/>
      <c r="H11" s="177"/>
      <c r="I11" s="177"/>
    </row>
    <row r="12" spans="1:9">
      <c r="A12" s="154">
        <v>3</v>
      </c>
      <c r="B12" s="302"/>
      <c r="C12" s="303"/>
      <c r="D12" s="303"/>
      <c r="E12" s="303"/>
      <c r="F12" s="36">
        <f t="shared" si="0"/>
        <v>0</v>
      </c>
      <c r="G12" s="4"/>
      <c r="H12" s="177"/>
      <c r="I12" s="177"/>
    </row>
    <row r="13" spans="1:9">
      <c r="A13" s="154">
        <v>4</v>
      </c>
      <c r="B13" s="302"/>
      <c r="C13" s="303"/>
      <c r="D13" s="303"/>
      <c r="E13" s="303"/>
      <c r="F13" s="36">
        <f t="shared" si="0"/>
        <v>0</v>
      </c>
      <c r="G13" s="4"/>
      <c r="H13" s="177"/>
      <c r="I13" s="177"/>
    </row>
    <row r="14" spans="1:9">
      <c r="A14" s="154">
        <v>5</v>
      </c>
      <c r="B14" s="302"/>
      <c r="C14" s="303"/>
      <c r="D14" s="303"/>
      <c r="E14" s="303"/>
      <c r="F14" s="36">
        <f t="shared" si="0"/>
        <v>0</v>
      </c>
      <c r="G14" s="4"/>
      <c r="H14" s="177"/>
      <c r="I14" s="177"/>
    </row>
    <row r="15" spans="1:9">
      <c r="A15" s="154">
        <v>6</v>
      </c>
      <c r="B15" s="302"/>
      <c r="C15" s="303"/>
      <c r="D15" s="303"/>
      <c r="E15" s="303"/>
      <c r="F15" s="36">
        <f t="shared" si="0"/>
        <v>0</v>
      </c>
      <c r="G15" s="4"/>
      <c r="H15" s="177"/>
      <c r="I15" s="177"/>
    </row>
    <row r="16" spans="1:9">
      <c r="A16" s="154">
        <v>7</v>
      </c>
      <c r="B16" s="302"/>
      <c r="C16" s="303"/>
      <c r="D16" s="303"/>
      <c r="E16" s="303"/>
      <c r="F16" s="36">
        <f t="shared" si="0"/>
        <v>0</v>
      </c>
      <c r="G16" s="4"/>
      <c r="H16" s="177"/>
      <c r="I16" s="177"/>
    </row>
    <row r="17" spans="1:9">
      <c r="A17" s="154">
        <v>8</v>
      </c>
      <c r="B17" s="302"/>
      <c r="C17" s="303"/>
      <c r="D17" s="303"/>
      <c r="E17" s="303"/>
      <c r="F17" s="36">
        <f t="shared" si="0"/>
        <v>0</v>
      </c>
      <c r="G17" s="4"/>
      <c r="H17" s="177"/>
      <c r="I17" s="177"/>
    </row>
    <row r="18" spans="1:9">
      <c r="A18" s="154">
        <v>9</v>
      </c>
      <c r="B18" s="302"/>
      <c r="C18" s="303"/>
      <c r="D18" s="303"/>
      <c r="E18" s="303"/>
      <c r="F18" s="36">
        <f t="shared" si="0"/>
        <v>0</v>
      </c>
      <c r="G18" s="4"/>
      <c r="H18" s="177"/>
      <c r="I18" s="177"/>
    </row>
    <row r="19" spans="1:9">
      <c r="A19" s="154">
        <v>10</v>
      </c>
      <c r="B19" s="302"/>
      <c r="C19" s="303"/>
      <c r="D19" s="303"/>
      <c r="E19" s="303"/>
      <c r="F19" s="36">
        <f t="shared" si="0"/>
        <v>0</v>
      </c>
      <c r="G19" s="4"/>
      <c r="H19" s="177"/>
      <c r="I19" s="177"/>
    </row>
    <row r="20" spans="1:9">
      <c r="A20" s="154">
        <v>11</v>
      </c>
      <c r="B20" s="302"/>
      <c r="C20" s="303"/>
      <c r="D20" s="303"/>
      <c r="E20" s="303"/>
      <c r="F20" s="36">
        <f t="shared" si="0"/>
        <v>0</v>
      </c>
      <c r="G20" s="4"/>
      <c r="H20" s="177"/>
      <c r="I20" s="177"/>
    </row>
    <row r="21" spans="1:9">
      <c r="A21" s="154">
        <v>12</v>
      </c>
      <c r="B21" s="302"/>
      <c r="C21" s="303"/>
      <c r="D21" s="303"/>
      <c r="E21" s="303"/>
      <c r="F21" s="36">
        <f t="shared" si="0"/>
        <v>0</v>
      </c>
      <c r="G21" s="4"/>
      <c r="H21" s="177"/>
      <c r="I21" s="177"/>
    </row>
    <row r="22" spans="1:9">
      <c r="A22" s="154">
        <v>13</v>
      </c>
      <c r="B22" s="302"/>
      <c r="C22" s="303"/>
      <c r="D22" s="303"/>
      <c r="E22" s="303"/>
      <c r="F22" s="36">
        <f t="shared" si="0"/>
        <v>0</v>
      </c>
      <c r="G22" s="4"/>
      <c r="H22" s="177"/>
      <c r="I22" s="177"/>
    </row>
    <row r="23" spans="1:9">
      <c r="A23" s="154">
        <v>14</v>
      </c>
      <c r="B23" s="302"/>
      <c r="C23" s="303"/>
      <c r="D23" s="303"/>
      <c r="E23" s="303"/>
      <c r="F23" s="36">
        <f t="shared" si="0"/>
        <v>0</v>
      </c>
      <c r="G23" s="4"/>
      <c r="H23" s="177"/>
      <c r="I23" s="177"/>
    </row>
    <row r="24" spans="1:9">
      <c r="A24" s="154">
        <v>15</v>
      </c>
      <c r="B24" s="302"/>
      <c r="C24" s="303"/>
      <c r="D24" s="303"/>
      <c r="E24" s="303"/>
      <c r="F24" s="36">
        <f t="shared" si="0"/>
        <v>0</v>
      </c>
      <c r="G24" s="29"/>
      <c r="H24" s="177"/>
      <c r="I24" s="177"/>
    </row>
    <row r="25" spans="1:9">
      <c r="A25" s="154">
        <v>16</v>
      </c>
      <c r="B25" s="302"/>
      <c r="C25" s="303"/>
      <c r="D25" s="303"/>
      <c r="E25" s="303"/>
      <c r="F25" s="36">
        <f t="shared" si="0"/>
        <v>0</v>
      </c>
      <c r="G25" s="4"/>
      <c r="H25" s="177"/>
      <c r="I25" s="177"/>
    </row>
    <row r="26" spans="1:9">
      <c r="A26" s="154">
        <v>17</v>
      </c>
      <c r="B26" s="302"/>
      <c r="C26" s="303"/>
      <c r="D26" s="303"/>
      <c r="E26" s="303"/>
      <c r="F26" s="36">
        <f t="shared" si="0"/>
        <v>0</v>
      </c>
      <c r="G26" s="4"/>
      <c r="H26" s="177"/>
      <c r="I26" s="177"/>
    </row>
    <row r="27" spans="1:9">
      <c r="A27" s="154">
        <v>18</v>
      </c>
      <c r="B27" s="302"/>
      <c r="C27" s="303"/>
      <c r="D27" s="303"/>
      <c r="E27" s="303"/>
      <c r="F27" s="36">
        <f t="shared" si="0"/>
        <v>0</v>
      </c>
      <c r="G27" s="4"/>
      <c r="H27" s="177"/>
      <c r="I27" s="177"/>
    </row>
    <row r="28" spans="1:9">
      <c r="A28" s="154">
        <v>19</v>
      </c>
      <c r="B28" s="302"/>
      <c r="C28" s="303"/>
      <c r="D28" s="303"/>
      <c r="E28" s="303"/>
      <c r="F28" s="36">
        <f t="shared" si="0"/>
        <v>0</v>
      </c>
      <c r="G28" s="4"/>
      <c r="H28" s="177"/>
      <c r="I28" s="177"/>
    </row>
    <row r="29" spans="1:9">
      <c r="A29" s="154">
        <v>20</v>
      </c>
      <c r="B29" s="302"/>
      <c r="C29" s="303"/>
      <c r="D29" s="303"/>
      <c r="E29" s="303"/>
      <c r="F29" s="36">
        <f t="shared" si="0"/>
        <v>0</v>
      </c>
      <c r="G29" s="4"/>
      <c r="H29" s="177"/>
      <c r="I29" s="177"/>
    </row>
    <row r="30" spans="1:9">
      <c r="A30" s="154">
        <v>21</v>
      </c>
      <c r="B30" s="302"/>
      <c r="C30" s="303"/>
      <c r="D30" s="303"/>
      <c r="E30" s="303"/>
      <c r="F30" s="36">
        <f t="shared" si="0"/>
        <v>0</v>
      </c>
      <c r="G30" s="4"/>
      <c r="H30" s="177"/>
      <c r="I30" s="177"/>
    </row>
    <row r="31" spans="1:9">
      <c r="A31" s="154">
        <v>22</v>
      </c>
      <c r="B31" s="302"/>
      <c r="C31" s="303"/>
      <c r="D31" s="303"/>
      <c r="E31" s="303"/>
      <c r="F31" s="36">
        <f t="shared" si="0"/>
        <v>0</v>
      </c>
      <c r="G31" s="4"/>
      <c r="H31" s="177"/>
      <c r="I31" s="177"/>
    </row>
    <row r="32" spans="1:9">
      <c r="A32" s="154">
        <v>23</v>
      </c>
      <c r="B32" s="302"/>
      <c r="C32" s="303"/>
      <c r="D32" s="303"/>
      <c r="E32" s="303"/>
      <c r="F32" s="36">
        <f t="shared" si="0"/>
        <v>0</v>
      </c>
      <c r="G32" s="4"/>
      <c r="H32" s="177"/>
      <c r="I32" s="177"/>
    </row>
    <row r="33" spans="1:9">
      <c r="A33" s="154">
        <v>24</v>
      </c>
      <c r="B33" s="302"/>
      <c r="C33" s="303"/>
      <c r="D33" s="303"/>
      <c r="E33" s="303"/>
      <c r="F33" s="36">
        <f t="shared" si="0"/>
        <v>0</v>
      </c>
      <c r="G33" s="4"/>
      <c r="H33" s="177"/>
      <c r="I33" s="177"/>
    </row>
    <row r="34" spans="1:9">
      <c r="A34" s="154">
        <v>25</v>
      </c>
      <c r="B34" s="302"/>
      <c r="C34" s="303"/>
      <c r="D34" s="303"/>
      <c r="E34" s="303"/>
      <c r="F34" s="36">
        <f t="shared" si="0"/>
        <v>0</v>
      </c>
      <c r="G34" s="4"/>
      <c r="H34" s="177"/>
      <c r="I34" s="177"/>
    </row>
    <row r="35" spans="1:9">
      <c r="A35" s="154">
        <v>26</v>
      </c>
      <c r="B35" s="302"/>
      <c r="C35" s="303"/>
      <c r="D35" s="303"/>
      <c r="E35" s="303"/>
      <c r="F35" s="36">
        <f t="shared" si="0"/>
        <v>0</v>
      </c>
      <c r="G35" s="4"/>
      <c r="H35" s="177"/>
      <c r="I35" s="177"/>
    </row>
    <row r="36" spans="1:9">
      <c r="A36" s="154">
        <v>27</v>
      </c>
      <c r="B36" s="302"/>
      <c r="C36" s="303"/>
      <c r="D36" s="303"/>
      <c r="E36" s="303"/>
      <c r="F36" s="36">
        <f t="shared" si="0"/>
        <v>0</v>
      </c>
      <c r="G36" s="4"/>
      <c r="H36" s="177"/>
      <c r="I36" s="177"/>
    </row>
    <row r="37" spans="1:9">
      <c r="A37" s="154">
        <v>28</v>
      </c>
      <c r="B37" s="302"/>
      <c r="C37" s="303"/>
      <c r="D37" s="303"/>
      <c r="E37" s="303"/>
      <c r="F37" s="36">
        <f t="shared" si="0"/>
        <v>0</v>
      </c>
      <c r="G37" s="4"/>
      <c r="H37" s="177"/>
      <c r="I37" s="177"/>
    </row>
    <row r="38" spans="1:9">
      <c r="A38" s="154">
        <v>29</v>
      </c>
      <c r="B38" s="302"/>
      <c r="C38" s="303"/>
      <c r="D38" s="303"/>
      <c r="E38" s="303"/>
      <c r="F38" s="36">
        <f t="shared" si="0"/>
        <v>0</v>
      </c>
      <c r="G38" s="4"/>
      <c r="H38" s="177"/>
      <c r="I38" s="177"/>
    </row>
    <row r="39" spans="1:9">
      <c r="A39" s="154">
        <v>30</v>
      </c>
      <c r="B39" s="302"/>
      <c r="C39" s="303"/>
      <c r="D39" s="303"/>
      <c r="E39" s="303"/>
      <c r="F39" s="36">
        <f t="shared" si="0"/>
        <v>0</v>
      </c>
      <c r="G39" s="4"/>
      <c r="H39" s="177"/>
      <c r="I39" s="177"/>
    </row>
    <row r="40" spans="1:9">
      <c r="A40" s="154">
        <v>31</v>
      </c>
      <c r="B40" s="302"/>
      <c r="C40" s="303"/>
      <c r="D40" s="303"/>
      <c r="E40" s="303"/>
      <c r="F40" s="36">
        <f t="shared" si="0"/>
        <v>0</v>
      </c>
      <c r="G40" s="4"/>
      <c r="H40" s="177"/>
      <c r="I40" s="177"/>
    </row>
    <row r="41" spans="1:9">
      <c r="A41" s="154">
        <v>32</v>
      </c>
      <c r="B41" s="302"/>
      <c r="C41" s="303"/>
      <c r="D41" s="303"/>
      <c r="E41" s="303"/>
      <c r="F41" s="36">
        <f t="shared" si="0"/>
        <v>0</v>
      </c>
      <c r="G41" s="4"/>
      <c r="H41" s="177"/>
      <c r="I41" s="177"/>
    </row>
    <row r="42" spans="1:9">
      <c r="A42" s="154">
        <v>33</v>
      </c>
      <c r="B42" s="302"/>
      <c r="C42" s="303"/>
      <c r="D42" s="303"/>
      <c r="E42" s="303"/>
      <c r="F42" s="36">
        <f t="shared" si="0"/>
        <v>0</v>
      </c>
      <c r="G42" s="4"/>
      <c r="H42" s="177"/>
      <c r="I42" s="177"/>
    </row>
    <row r="43" spans="1:9">
      <c r="A43" s="154">
        <v>34</v>
      </c>
      <c r="B43" s="302"/>
      <c r="C43" s="303"/>
      <c r="D43" s="303"/>
      <c r="E43" s="303"/>
      <c r="F43" s="36">
        <f t="shared" si="0"/>
        <v>0</v>
      </c>
      <c r="G43" s="4"/>
      <c r="H43" s="177"/>
      <c r="I43" s="177"/>
    </row>
    <row r="44" spans="1:9">
      <c r="A44" s="154">
        <v>35</v>
      </c>
      <c r="B44" s="302"/>
      <c r="C44" s="303"/>
      <c r="D44" s="303"/>
      <c r="E44" s="303"/>
      <c r="F44" s="36">
        <f t="shared" si="0"/>
        <v>0</v>
      </c>
      <c r="G44" s="4"/>
      <c r="H44" s="177"/>
      <c r="I44" s="177"/>
    </row>
    <row r="45" spans="1:9">
      <c r="A45" s="154">
        <v>36</v>
      </c>
      <c r="B45" s="302"/>
      <c r="C45" s="303"/>
      <c r="D45" s="303"/>
      <c r="E45" s="303"/>
      <c r="F45" s="36">
        <f t="shared" si="0"/>
        <v>0</v>
      </c>
      <c r="G45" s="4"/>
      <c r="H45" s="177"/>
      <c r="I45" s="177"/>
    </row>
    <row r="46" spans="1:9">
      <c r="A46" s="154">
        <v>37</v>
      </c>
      <c r="B46" s="302"/>
      <c r="C46" s="303"/>
      <c r="D46" s="303"/>
      <c r="E46" s="303"/>
      <c r="F46" s="36">
        <f t="shared" si="0"/>
        <v>0</v>
      </c>
      <c r="G46" s="4"/>
      <c r="H46" s="177"/>
      <c r="I46" s="177"/>
    </row>
    <row r="47" spans="1:9">
      <c r="A47" s="154">
        <v>38</v>
      </c>
      <c r="B47" s="302"/>
      <c r="C47" s="303"/>
      <c r="D47" s="303"/>
      <c r="E47" s="303"/>
      <c r="F47" s="36">
        <f t="shared" si="0"/>
        <v>0</v>
      </c>
      <c r="G47" s="4"/>
      <c r="H47" s="177"/>
      <c r="I47" s="177"/>
    </row>
    <row r="48" spans="1:9">
      <c r="A48" s="154">
        <v>39</v>
      </c>
      <c r="B48" s="302"/>
      <c r="C48" s="303"/>
      <c r="D48" s="303"/>
      <c r="E48" s="303"/>
      <c r="F48" s="36">
        <f t="shared" si="0"/>
        <v>0</v>
      </c>
      <c r="G48" s="4"/>
      <c r="H48" s="177"/>
      <c r="I48" s="177"/>
    </row>
    <row r="49" spans="1:9">
      <c r="A49" s="154">
        <v>40</v>
      </c>
      <c r="B49" s="302"/>
      <c r="C49" s="303"/>
      <c r="D49" s="303"/>
      <c r="E49" s="303"/>
      <c r="F49" s="36">
        <f t="shared" si="0"/>
        <v>0</v>
      </c>
      <c r="G49" s="4"/>
      <c r="H49" s="177"/>
      <c r="I49" s="177"/>
    </row>
    <row r="50" spans="1:9">
      <c r="A50" s="154">
        <v>41</v>
      </c>
      <c r="B50" s="302"/>
      <c r="C50" s="303"/>
      <c r="D50" s="303"/>
      <c r="E50" s="303"/>
      <c r="F50" s="36">
        <f t="shared" si="0"/>
        <v>0</v>
      </c>
      <c r="G50" s="4"/>
      <c r="H50" s="177"/>
      <c r="I50" s="177"/>
    </row>
    <row r="51" spans="1:9">
      <c r="A51" s="154">
        <v>42</v>
      </c>
      <c r="B51" s="302"/>
      <c r="C51" s="303"/>
      <c r="D51" s="303"/>
      <c r="E51" s="303"/>
      <c r="F51" s="36">
        <f t="shared" si="0"/>
        <v>0</v>
      </c>
      <c r="G51" s="4"/>
      <c r="H51" s="177"/>
      <c r="I51" s="177"/>
    </row>
    <row r="52" spans="1:9">
      <c r="A52" s="154">
        <v>43</v>
      </c>
      <c r="B52" s="302"/>
      <c r="C52" s="303"/>
      <c r="D52" s="303"/>
      <c r="E52" s="303"/>
      <c r="F52" s="36">
        <f t="shared" si="0"/>
        <v>0</v>
      </c>
      <c r="G52" s="4"/>
      <c r="H52" s="177"/>
      <c r="I52" s="177"/>
    </row>
    <row r="53" spans="1:9">
      <c r="A53" s="154">
        <v>44</v>
      </c>
      <c r="B53" s="302"/>
      <c r="C53" s="303"/>
      <c r="D53" s="303"/>
      <c r="E53" s="303"/>
      <c r="F53" s="36">
        <f t="shared" si="0"/>
        <v>0</v>
      </c>
      <c r="G53" s="4"/>
      <c r="H53" s="177"/>
      <c r="I53" s="177"/>
    </row>
    <row r="54" spans="1:9">
      <c r="A54" s="154">
        <v>45</v>
      </c>
      <c r="B54" s="302"/>
      <c r="C54" s="303"/>
      <c r="D54" s="303"/>
      <c r="E54" s="303"/>
      <c r="F54" s="36">
        <f t="shared" si="0"/>
        <v>0</v>
      </c>
      <c r="G54" s="4"/>
      <c r="H54" s="177"/>
      <c r="I54" s="177"/>
    </row>
    <row r="55" spans="1:9">
      <c r="A55" s="154">
        <v>46</v>
      </c>
      <c r="B55" s="302"/>
      <c r="C55" s="303"/>
      <c r="D55" s="303"/>
      <c r="E55" s="303"/>
      <c r="F55" s="36">
        <f t="shared" si="0"/>
        <v>0</v>
      </c>
      <c r="G55" s="4"/>
      <c r="H55" s="177"/>
      <c r="I55" s="177"/>
    </row>
    <row r="56" spans="1:9">
      <c r="A56" s="154">
        <v>47</v>
      </c>
      <c r="B56" s="302"/>
      <c r="C56" s="303"/>
      <c r="D56" s="303"/>
      <c r="E56" s="303"/>
      <c r="F56" s="36">
        <f t="shared" si="0"/>
        <v>0</v>
      </c>
      <c r="G56" s="4"/>
      <c r="H56" s="177"/>
      <c r="I56" s="177"/>
    </row>
    <row r="57" spans="1:9">
      <c r="A57" s="154">
        <v>48</v>
      </c>
      <c r="B57" s="302"/>
      <c r="C57" s="303"/>
      <c r="D57" s="303"/>
      <c r="E57" s="303"/>
      <c r="F57" s="36">
        <f t="shared" si="0"/>
        <v>0</v>
      </c>
      <c r="G57" s="4"/>
      <c r="H57" s="177"/>
      <c r="I57" s="177"/>
    </row>
    <row r="58" spans="1:9">
      <c r="A58" s="154">
        <v>49</v>
      </c>
      <c r="B58" s="302"/>
      <c r="C58" s="303"/>
      <c r="D58" s="303"/>
      <c r="E58" s="303"/>
      <c r="F58" s="36">
        <f t="shared" si="0"/>
        <v>0</v>
      </c>
      <c r="G58" s="4"/>
      <c r="H58" s="177"/>
      <c r="I58" s="177"/>
    </row>
    <row r="59" spans="1:9">
      <c r="A59" s="154">
        <v>50</v>
      </c>
      <c r="B59" s="302"/>
      <c r="C59" s="303"/>
      <c r="D59" s="303"/>
      <c r="E59" s="303"/>
      <c r="F59" s="36">
        <f t="shared" si="0"/>
        <v>0</v>
      </c>
      <c r="G59" s="4"/>
      <c r="H59" s="177"/>
      <c r="I59" s="177"/>
    </row>
    <row r="60" spans="1:9">
      <c r="A60" s="154">
        <v>51</v>
      </c>
      <c r="B60" s="302"/>
      <c r="C60" s="303"/>
      <c r="D60" s="303"/>
      <c r="E60" s="303"/>
      <c r="F60" s="36">
        <f t="shared" si="0"/>
        <v>0</v>
      </c>
      <c r="G60" s="4"/>
      <c r="H60" s="177"/>
      <c r="I60" s="177"/>
    </row>
    <row r="61" spans="1:9">
      <c r="A61" s="154">
        <v>52</v>
      </c>
      <c r="B61" s="302"/>
      <c r="C61" s="303"/>
      <c r="D61" s="303"/>
      <c r="E61" s="303"/>
      <c r="F61" s="36">
        <f t="shared" si="0"/>
        <v>0</v>
      </c>
      <c r="G61" s="4"/>
      <c r="H61" s="177"/>
      <c r="I61" s="177"/>
    </row>
    <row r="62" spans="1:9">
      <c r="A62" s="154">
        <v>53</v>
      </c>
      <c r="B62" s="302"/>
      <c r="C62" s="303"/>
      <c r="D62" s="303"/>
      <c r="E62" s="303"/>
      <c r="F62" s="36">
        <f t="shared" si="0"/>
        <v>0</v>
      </c>
      <c r="G62" s="4"/>
      <c r="H62" s="177"/>
      <c r="I62" s="177"/>
    </row>
    <row r="63" spans="1:9">
      <c r="A63" s="154">
        <v>54</v>
      </c>
      <c r="B63" s="302"/>
      <c r="C63" s="303"/>
      <c r="D63" s="303"/>
      <c r="E63" s="303"/>
      <c r="F63" s="36">
        <f t="shared" si="0"/>
        <v>0</v>
      </c>
      <c r="G63" s="4"/>
      <c r="H63" s="177"/>
      <c r="I63" s="177"/>
    </row>
    <row r="64" spans="1:9">
      <c r="A64" s="154">
        <v>55</v>
      </c>
      <c r="B64" s="302"/>
      <c r="C64" s="303"/>
      <c r="D64" s="303"/>
      <c r="E64" s="303"/>
      <c r="F64" s="36">
        <f t="shared" si="0"/>
        <v>0</v>
      </c>
      <c r="G64" s="4"/>
      <c r="H64" s="177"/>
      <c r="I64" s="177"/>
    </row>
    <row r="65" spans="1:9">
      <c r="A65" s="154">
        <v>56</v>
      </c>
      <c r="B65" s="302"/>
      <c r="C65" s="303"/>
      <c r="D65" s="303"/>
      <c r="E65" s="303"/>
      <c r="F65" s="36">
        <f t="shared" si="0"/>
        <v>0</v>
      </c>
      <c r="G65" s="4"/>
      <c r="H65" s="177"/>
      <c r="I65" s="177"/>
    </row>
    <row r="66" spans="1:9">
      <c r="A66" s="154">
        <v>57</v>
      </c>
      <c r="B66" s="302"/>
      <c r="C66" s="303"/>
      <c r="D66" s="303"/>
      <c r="E66" s="303"/>
      <c r="F66" s="36">
        <f t="shared" si="0"/>
        <v>0</v>
      </c>
      <c r="G66" s="4"/>
      <c r="H66" s="177"/>
      <c r="I66" s="177"/>
    </row>
    <row r="67" spans="1:9">
      <c r="A67" s="154">
        <v>58</v>
      </c>
      <c r="B67" s="302"/>
      <c r="C67" s="303"/>
      <c r="D67" s="303"/>
      <c r="E67" s="303"/>
      <c r="F67" s="36">
        <f t="shared" si="0"/>
        <v>0</v>
      </c>
      <c r="G67" s="4"/>
      <c r="H67" s="177"/>
      <c r="I67" s="177"/>
    </row>
    <row r="68" spans="1:9">
      <c r="A68" s="154">
        <v>59</v>
      </c>
      <c r="B68" s="302"/>
      <c r="C68" s="303"/>
      <c r="D68" s="303"/>
      <c r="E68" s="303"/>
      <c r="F68" s="36">
        <f t="shared" si="0"/>
        <v>0</v>
      </c>
      <c r="G68" s="4"/>
      <c r="H68" s="177"/>
      <c r="I68" s="177"/>
    </row>
    <row r="69" spans="1:9">
      <c r="A69" s="154">
        <v>60</v>
      </c>
      <c r="B69" s="302"/>
      <c r="C69" s="303"/>
      <c r="D69" s="303"/>
      <c r="E69" s="303"/>
      <c r="F69" s="36">
        <f t="shared" si="0"/>
        <v>0</v>
      </c>
      <c r="G69" s="4"/>
      <c r="H69" s="177"/>
      <c r="I69" s="177"/>
    </row>
    <row r="70" spans="1:9">
      <c r="A70" s="154">
        <v>61</v>
      </c>
      <c r="B70" s="302"/>
      <c r="C70" s="303"/>
      <c r="D70" s="303"/>
      <c r="E70" s="303"/>
      <c r="F70" s="36">
        <f t="shared" si="0"/>
        <v>0</v>
      </c>
      <c r="G70" s="4"/>
      <c r="H70" s="177"/>
      <c r="I70" s="177"/>
    </row>
    <row r="71" spans="1:9">
      <c r="A71" s="154">
        <v>62</v>
      </c>
      <c r="B71" s="302"/>
      <c r="C71" s="303"/>
      <c r="D71" s="303"/>
      <c r="E71" s="303"/>
      <c r="F71" s="36">
        <f t="shared" si="0"/>
        <v>0</v>
      </c>
      <c r="G71" s="4"/>
      <c r="H71" s="177"/>
      <c r="I71" s="177"/>
    </row>
    <row r="72" spans="1:9">
      <c r="A72" s="154">
        <v>63</v>
      </c>
      <c r="B72" s="302"/>
      <c r="C72" s="303"/>
      <c r="D72" s="303"/>
      <c r="E72" s="303"/>
      <c r="F72" s="36">
        <f t="shared" si="0"/>
        <v>0</v>
      </c>
      <c r="G72" s="4"/>
      <c r="H72" s="177"/>
      <c r="I72" s="177"/>
    </row>
    <row r="73" spans="1:9">
      <c r="A73" s="154">
        <v>64</v>
      </c>
      <c r="B73" s="302"/>
      <c r="C73" s="303"/>
      <c r="D73" s="303"/>
      <c r="E73" s="303"/>
      <c r="F73" s="36">
        <f t="shared" si="0"/>
        <v>0</v>
      </c>
      <c r="G73" s="4"/>
      <c r="H73" s="177"/>
      <c r="I73" s="177"/>
    </row>
    <row r="74" spans="1:9">
      <c r="A74" s="154">
        <v>65</v>
      </c>
      <c r="B74" s="302"/>
      <c r="C74" s="303"/>
      <c r="D74" s="303"/>
      <c r="E74" s="303"/>
      <c r="F74" s="36">
        <f t="shared" ref="F74:F109" si="1">SUM(B74:E74)</f>
        <v>0</v>
      </c>
      <c r="G74" s="4"/>
      <c r="H74" s="177"/>
      <c r="I74" s="177"/>
    </row>
    <row r="75" spans="1:9">
      <c r="A75" s="154">
        <v>66</v>
      </c>
      <c r="B75" s="302"/>
      <c r="C75" s="303"/>
      <c r="D75" s="303"/>
      <c r="E75" s="303"/>
      <c r="F75" s="36">
        <f t="shared" si="1"/>
        <v>0</v>
      </c>
      <c r="G75" s="4"/>
      <c r="H75" s="177"/>
      <c r="I75" s="177"/>
    </row>
    <row r="76" spans="1:9">
      <c r="A76" s="154">
        <v>67</v>
      </c>
      <c r="B76" s="302"/>
      <c r="C76" s="303"/>
      <c r="D76" s="303"/>
      <c r="E76" s="303"/>
      <c r="F76" s="36">
        <f t="shared" si="1"/>
        <v>0</v>
      </c>
      <c r="G76" s="4"/>
      <c r="H76" s="177"/>
      <c r="I76" s="177"/>
    </row>
    <row r="77" spans="1:9">
      <c r="A77" s="154">
        <v>68</v>
      </c>
      <c r="B77" s="302"/>
      <c r="C77" s="303"/>
      <c r="D77" s="303"/>
      <c r="E77" s="303"/>
      <c r="F77" s="36">
        <f t="shared" si="1"/>
        <v>0</v>
      </c>
      <c r="G77" s="4"/>
      <c r="H77" s="177"/>
      <c r="I77" s="177"/>
    </row>
    <row r="78" spans="1:9">
      <c r="A78" s="154">
        <v>69</v>
      </c>
      <c r="B78" s="302"/>
      <c r="C78" s="303"/>
      <c r="D78" s="303"/>
      <c r="E78" s="303"/>
      <c r="F78" s="36">
        <f t="shared" si="1"/>
        <v>0</v>
      </c>
      <c r="G78" s="4"/>
      <c r="H78" s="177"/>
      <c r="I78" s="177"/>
    </row>
    <row r="79" spans="1:9">
      <c r="A79" s="154">
        <v>70</v>
      </c>
      <c r="B79" s="302"/>
      <c r="C79" s="303"/>
      <c r="D79" s="303"/>
      <c r="E79" s="303"/>
      <c r="F79" s="36">
        <f t="shared" si="1"/>
        <v>0</v>
      </c>
      <c r="G79" s="4"/>
      <c r="H79" s="177"/>
      <c r="I79" s="177"/>
    </row>
    <row r="80" spans="1:9">
      <c r="A80" s="154">
        <v>71</v>
      </c>
      <c r="B80" s="302"/>
      <c r="C80" s="303"/>
      <c r="D80" s="303"/>
      <c r="E80" s="303"/>
      <c r="F80" s="36">
        <f t="shared" si="1"/>
        <v>0</v>
      </c>
      <c r="G80" s="4"/>
      <c r="H80" s="177"/>
      <c r="I80" s="177"/>
    </row>
    <row r="81" spans="1:9">
      <c r="A81" s="154">
        <v>72</v>
      </c>
      <c r="B81" s="302"/>
      <c r="C81" s="303"/>
      <c r="D81" s="303"/>
      <c r="E81" s="303"/>
      <c r="F81" s="36">
        <f t="shared" si="1"/>
        <v>0</v>
      </c>
      <c r="G81" s="4"/>
      <c r="H81" s="177"/>
      <c r="I81" s="177"/>
    </row>
    <row r="82" spans="1:9">
      <c r="A82" s="154">
        <v>73</v>
      </c>
      <c r="B82" s="302"/>
      <c r="C82" s="303"/>
      <c r="D82" s="303"/>
      <c r="E82" s="303"/>
      <c r="F82" s="36">
        <f t="shared" si="1"/>
        <v>0</v>
      </c>
      <c r="G82" s="4"/>
      <c r="H82" s="177"/>
      <c r="I82" s="177"/>
    </row>
    <row r="83" spans="1:9">
      <c r="A83" s="154">
        <v>74</v>
      </c>
      <c r="B83" s="302"/>
      <c r="C83" s="303"/>
      <c r="D83" s="303"/>
      <c r="E83" s="303"/>
      <c r="F83" s="36">
        <f t="shared" si="1"/>
        <v>0</v>
      </c>
      <c r="G83" s="4"/>
      <c r="H83" s="177"/>
      <c r="I83" s="177"/>
    </row>
    <row r="84" spans="1:9">
      <c r="A84" s="154">
        <v>75</v>
      </c>
      <c r="B84" s="302"/>
      <c r="C84" s="303"/>
      <c r="D84" s="303"/>
      <c r="E84" s="303"/>
      <c r="F84" s="36">
        <f t="shared" si="1"/>
        <v>0</v>
      </c>
      <c r="G84" s="4"/>
      <c r="H84" s="177"/>
      <c r="I84" s="177"/>
    </row>
    <row r="85" spans="1:9">
      <c r="A85" s="154">
        <v>76</v>
      </c>
      <c r="B85" s="302"/>
      <c r="C85" s="303"/>
      <c r="D85" s="303"/>
      <c r="E85" s="303"/>
      <c r="F85" s="36">
        <f t="shared" si="1"/>
        <v>0</v>
      </c>
      <c r="G85" s="4"/>
      <c r="H85" s="177"/>
      <c r="I85" s="177"/>
    </row>
    <row r="86" spans="1:9">
      <c r="A86" s="154">
        <v>77</v>
      </c>
      <c r="B86" s="302"/>
      <c r="C86" s="303"/>
      <c r="D86" s="303"/>
      <c r="E86" s="303"/>
      <c r="F86" s="36">
        <f t="shared" si="1"/>
        <v>0</v>
      </c>
      <c r="G86" s="4"/>
      <c r="H86" s="177"/>
      <c r="I86" s="177"/>
    </row>
    <row r="87" spans="1:9">
      <c r="A87" s="154">
        <v>78</v>
      </c>
      <c r="B87" s="302"/>
      <c r="C87" s="303"/>
      <c r="D87" s="303"/>
      <c r="E87" s="303"/>
      <c r="F87" s="36">
        <f t="shared" si="1"/>
        <v>0</v>
      </c>
      <c r="G87" s="4"/>
      <c r="H87" s="177"/>
      <c r="I87" s="177"/>
    </row>
    <row r="88" spans="1:9">
      <c r="A88" s="154">
        <v>79</v>
      </c>
      <c r="B88" s="302"/>
      <c r="C88" s="303"/>
      <c r="D88" s="303"/>
      <c r="E88" s="303"/>
      <c r="F88" s="36">
        <f t="shared" si="1"/>
        <v>0</v>
      </c>
      <c r="G88" s="4"/>
      <c r="H88" s="177"/>
      <c r="I88" s="177"/>
    </row>
    <row r="89" spans="1:9">
      <c r="A89" s="154">
        <v>80</v>
      </c>
      <c r="B89" s="302"/>
      <c r="C89" s="303"/>
      <c r="D89" s="303"/>
      <c r="E89" s="303"/>
      <c r="F89" s="36">
        <f t="shared" si="1"/>
        <v>0</v>
      </c>
      <c r="G89" s="4"/>
      <c r="H89" s="177"/>
      <c r="I89" s="177"/>
    </row>
    <row r="90" spans="1:9">
      <c r="A90" s="154">
        <v>81</v>
      </c>
      <c r="B90" s="302"/>
      <c r="C90" s="303"/>
      <c r="D90" s="303"/>
      <c r="E90" s="303"/>
      <c r="F90" s="36">
        <f t="shared" si="1"/>
        <v>0</v>
      </c>
      <c r="G90" s="4"/>
      <c r="H90" s="177"/>
      <c r="I90" s="177"/>
    </row>
    <row r="91" spans="1:9">
      <c r="A91" s="154">
        <v>82</v>
      </c>
      <c r="B91" s="302"/>
      <c r="C91" s="303"/>
      <c r="D91" s="303"/>
      <c r="E91" s="303"/>
      <c r="F91" s="36">
        <f t="shared" si="1"/>
        <v>0</v>
      </c>
      <c r="G91" s="4"/>
      <c r="H91" s="177"/>
      <c r="I91" s="177"/>
    </row>
    <row r="92" spans="1:9">
      <c r="A92" s="154">
        <v>83</v>
      </c>
      <c r="B92" s="302"/>
      <c r="C92" s="303"/>
      <c r="D92" s="303"/>
      <c r="E92" s="303"/>
      <c r="F92" s="36">
        <f t="shared" si="1"/>
        <v>0</v>
      </c>
      <c r="G92" s="4"/>
      <c r="H92" s="177"/>
      <c r="I92" s="177"/>
    </row>
    <row r="93" spans="1:9">
      <c r="A93" s="154">
        <v>84</v>
      </c>
      <c r="B93" s="302"/>
      <c r="C93" s="303"/>
      <c r="D93" s="303"/>
      <c r="E93" s="303"/>
      <c r="F93" s="36">
        <f t="shared" si="1"/>
        <v>0</v>
      </c>
      <c r="G93" s="4"/>
      <c r="H93" s="177"/>
      <c r="I93" s="177"/>
    </row>
    <row r="94" spans="1:9">
      <c r="A94" s="154">
        <v>85</v>
      </c>
      <c r="B94" s="302"/>
      <c r="C94" s="303"/>
      <c r="D94" s="303"/>
      <c r="E94" s="303"/>
      <c r="F94" s="36">
        <f t="shared" si="1"/>
        <v>0</v>
      </c>
      <c r="G94" s="4"/>
      <c r="H94" s="177"/>
      <c r="I94" s="177"/>
    </row>
    <row r="95" spans="1:9">
      <c r="A95" s="154">
        <v>86</v>
      </c>
      <c r="B95" s="302"/>
      <c r="C95" s="303"/>
      <c r="D95" s="303"/>
      <c r="E95" s="303"/>
      <c r="F95" s="36">
        <f t="shared" si="1"/>
        <v>0</v>
      </c>
      <c r="G95" s="4"/>
      <c r="H95" s="177"/>
      <c r="I95" s="177"/>
    </row>
    <row r="96" spans="1:9">
      <c r="A96" s="154">
        <v>87</v>
      </c>
      <c r="B96" s="302"/>
      <c r="C96" s="303"/>
      <c r="D96" s="303"/>
      <c r="E96" s="303"/>
      <c r="F96" s="36">
        <f t="shared" si="1"/>
        <v>0</v>
      </c>
      <c r="G96" s="4"/>
      <c r="H96" s="177"/>
      <c r="I96" s="177"/>
    </row>
    <row r="97" spans="1:9">
      <c r="A97" s="154">
        <v>88</v>
      </c>
      <c r="B97" s="302"/>
      <c r="C97" s="303"/>
      <c r="D97" s="303"/>
      <c r="E97" s="303"/>
      <c r="F97" s="36">
        <f t="shared" si="1"/>
        <v>0</v>
      </c>
      <c r="G97" s="4"/>
      <c r="H97" s="177"/>
      <c r="I97" s="177"/>
    </row>
    <row r="98" spans="1:9">
      <c r="A98" s="154">
        <v>89</v>
      </c>
      <c r="B98" s="302"/>
      <c r="C98" s="303"/>
      <c r="D98" s="303"/>
      <c r="E98" s="303"/>
      <c r="F98" s="36">
        <f t="shared" si="1"/>
        <v>0</v>
      </c>
      <c r="G98" s="4"/>
      <c r="H98" s="177"/>
      <c r="I98" s="177"/>
    </row>
    <row r="99" spans="1:9">
      <c r="A99" s="154">
        <v>90</v>
      </c>
      <c r="B99" s="302"/>
      <c r="C99" s="303"/>
      <c r="D99" s="303"/>
      <c r="E99" s="303"/>
      <c r="F99" s="36">
        <f t="shared" si="1"/>
        <v>0</v>
      </c>
      <c r="G99" s="4"/>
      <c r="H99" s="177"/>
      <c r="I99" s="177"/>
    </row>
    <row r="100" spans="1:9">
      <c r="A100" s="154">
        <v>91</v>
      </c>
      <c r="B100" s="302"/>
      <c r="C100" s="303"/>
      <c r="D100" s="303"/>
      <c r="E100" s="303"/>
      <c r="F100" s="36">
        <f t="shared" si="1"/>
        <v>0</v>
      </c>
      <c r="G100" s="4"/>
      <c r="H100" s="177"/>
      <c r="I100" s="177"/>
    </row>
    <row r="101" spans="1:9">
      <c r="A101" s="154">
        <v>92</v>
      </c>
      <c r="B101" s="302"/>
      <c r="C101" s="303"/>
      <c r="D101" s="303"/>
      <c r="E101" s="303"/>
      <c r="F101" s="36">
        <f t="shared" si="1"/>
        <v>0</v>
      </c>
      <c r="G101" s="4"/>
      <c r="H101" s="177"/>
      <c r="I101" s="177"/>
    </row>
    <row r="102" spans="1:9">
      <c r="A102" s="154">
        <v>93</v>
      </c>
      <c r="B102" s="302"/>
      <c r="C102" s="303"/>
      <c r="D102" s="303"/>
      <c r="E102" s="303"/>
      <c r="F102" s="36">
        <f t="shared" si="1"/>
        <v>0</v>
      </c>
      <c r="G102" s="4"/>
      <c r="H102" s="177"/>
      <c r="I102" s="177"/>
    </row>
    <row r="103" spans="1:9">
      <c r="A103" s="154">
        <v>94</v>
      </c>
      <c r="B103" s="302"/>
      <c r="C103" s="303"/>
      <c r="D103" s="303"/>
      <c r="E103" s="303"/>
      <c r="F103" s="36">
        <f t="shared" si="1"/>
        <v>0</v>
      </c>
      <c r="G103" s="4"/>
      <c r="H103" s="177"/>
      <c r="I103" s="177"/>
    </row>
    <row r="104" spans="1:9">
      <c r="A104" s="154">
        <v>95</v>
      </c>
      <c r="B104" s="302"/>
      <c r="C104" s="303"/>
      <c r="D104" s="303"/>
      <c r="E104" s="303"/>
      <c r="F104" s="36">
        <f t="shared" si="1"/>
        <v>0</v>
      </c>
      <c r="G104" s="4"/>
      <c r="H104" s="177"/>
      <c r="I104" s="177"/>
    </row>
    <row r="105" spans="1:9">
      <c r="A105" s="154">
        <v>96</v>
      </c>
      <c r="B105" s="302"/>
      <c r="C105" s="303"/>
      <c r="D105" s="303"/>
      <c r="E105" s="303"/>
      <c r="F105" s="36">
        <f t="shared" si="1"/>
        <v>0</v>
      </c>
      <c r="G105" s="4"/>
      <c r="H105" s="177"/>
      <c r="I105" s="177"/>
    </row>
    <row r="106" spans="1:9">
      <c r="A106" s="154">
        <v>97</v>
      </c>
      <c r="B106" s="302"/>
      <c r="C106" s="303"/>
      <c r="D106" s="303"/>
      <c r="E106" s="303"/>
      <c r="F106" s="36">
        <f t="shared" si="1"/>
        <v>0</v>
      </c>
      <c r="G106" s="4"/>
      <c r="H106" s="177"/>
      <c r="I106" s="177"/>
    </row>
    <row r="107" spans="1:9">
      <c r="A107" s="154">
        <v>98</v>
      </c>
      <c r="B107" s="302"/>
      <c r="C107" s="303"/>
      <c r="D107" s="303"/>
      <c r="E107" s="303"/>
      <c r="F107" s="36">
        <f t="shared" si="1"/>
        <v>0</v>
      </c>
      <c r="G107" s="4"/>
      <c r="H107" s="177"/>
      <c r="I107" s="177"/>
    </row>
    <row r="108" spans="1:9">
      <c r="A108" s="154">
        <v>99</v>
      </c>
      <c r="B108" s="302"/>
      <c r="C108" s="303"/>
      <c r="D108" s="303"/>
      <c r="E108" s="303"/>
      <c r="F108" s="36">
        <f t="shared" si="1"/>
        <v>0</v>
      </c>
      <c r="G108" s="4"/>
      <c r="H108" s="177"/>
      <c r="I108" s="177"/>
    </row>
    <row r="109" spans="1:9">
      <c r="A109" s="154">
        <v>100</v>
      </c>
      <c r="B109" s="302"/>
      <c r="C109" s="303"/>
      <c r="D109" s="303"/>
      <c r="E109" s="303"/>
      <c r="F109" s="36">
        <f t="shared" si="1"/>
        <v>0</v>
      </c>
      <c r="G109" s="4"/>
      <c r="H109" s="177"/>
      <c r="I109" s="177"/>
    </row>
    <row r="110" spans="1:9">
      <c r="A110" s="179" t="s">
        <v>62</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1:I4 A6:I114 A5:F5 I5">
    <cfRule type="expression" dxfId="14" priority="1" stopIfTrue="1">
      <formula>CELL("Protect",A1)=1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G112"/>
  <sheetViews>
    <sheetView workbookViewId="0">
      <selection activeCell="G5" sqref="G5:J5"/>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7" t="str">
        <f>'START HERE'!F6</f>
        <v>Chile</v>
      </c>
      <c r="C3" s="388"/>
      <c r="D3" s="378"/>
      <c r="E3" s="177"/>
      <c r="F3" s="30" t="s">
        <v>39</v>
      </c>
      <c r="G3" s="394" t="str">
        <f>'LEN F1'!F3</f>
        <v>Fleet 1 Northern Chile</v>
      </c>
      <c r="H3" s="395"/>
      <c r="I3" s="395"/>
      <c r="J3" s="396"/>
      <c r="K3" s="177"/>
    </row>
    <row r="4" spans="1:59" ht="15.75">
      <c r="A4" s="12" t="s">
        <v>19</v>
      </c>
      <c r="B4" s="377" t="str">
        <f>'START HERE'!F5</f>
        <v>Jack mackerel</v>
      </c>
      <c r="C4" s="388"/>
      <c r="D4" s="378"/>
      <c r="E4" s="177"/>
      <c r="F4" s="13"/>
      <c r="G4" s="314"/>
      <c r="H4" s="315"/>
      <c r="I4" s="316"/>
      <c r="J4" s="317"/>
      <c r="K4" s="177"/>
    </row>
    <row r="5" spans="1:59" ht="18">
      <c r="A5" s="12" t="s">
        <v>13</v>
      </c>
      <c r="B5" s="389">
        <f>'START HERE'!K3</f>
        <v>2019</v>
      </c>
      <c r="C5" s="390"/>
      <c r="D5" s="391"/>
      <c r="E5" s="177"/>
      <c r="F5" s="34" t="s">
        <v>40</v>
      </c>
      <c r="G5" s="379" t="s">
        <v>143</v>
      </c>
      <c r="H5" s="380"/>
      <c r="I5" s="380"/>
      <c r="J5" s="381"/>
      <c r="K5" s="177"/>
    </row>
    <row r="6" spans="1:59" ht="16.5" thickBot="1">
      <c r="A6" s="12"/>
      <c r="B6" s="71"/>
      <c r="C6" s="72"/>
      <c r="D6" s="6"/>
      <c r="F6" s="34" t="s">
        <v>14</v>
      </c>
      <c r="G6" s="382">
        <f>'START HERE'!$F8</f>
        <v>42615</v>
      </c>
      <c r="H6" s="383"/>
      <c r="I6" s="383"/>
      <c r="J6" s="384"/>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92" t="s">
        <v>53</v>
      </c>
      <c r="C9" s="392"/>
      <c r="D9" s="392"/>
      <c r="E9" s="392"/>
      <c r="F9" s="392"/>
      <c r="G9" s="392"/>
      <c r="H9" s="392"/>
      <c r="I9" s="392"/>
      <c r="J9" s="392"/>
      <c r="K9" s="392"/>
      <c r="L9" s="392"/>
      <c r="M9" s="392"/>
      <c r="N9" s="393"/>
      <c r="P9" s="191"/>
      <c r="Q9" s="392" t="s">
        <v>31</v>
      </c>
      <c r="R9" s="392"/>
      <c r="S9" s="392"/>
      <c r="T9" s="392"/>
      <c r="U9" s="392"/>
      <c r="V9" s="392"/>
      <c r="W9" s="392"/>
      <c r="X9" s="392"/>
      <c r="Y9" s="392"/>
      <c r="Z9" s="392"/>
      <c r="AA9" s="392"/>
      <c r="AB9" s="392"/>
      <c r="AC9" s="393"/>
      <c r="AE9" s="191"/>
      <c r="AF9" s="392" t="s">
        <v>32</v>
      </c>
      <c r="AG9" s="392"/>
      <c r="AH9" s="392"/>
      <c r="AI9" s="392"/>
      <c r="AJ9" s="392"/>
      <c r="AK9" s="392"/>
      <c r="AL9" s="392"/>
      <c r="AM9" s="392"/>
      <c r="AN9" s="392"/>
      <c r="AO9" s="392"/>
      <c r="AP9" s="392"/>
      <c r="AQ9" s="392"/>
      <c r="AR9" s="393"/>
      <c r="AT9" s="191"/>
      <c r="AU9" s="392" t="s">
        <v>33</v>
      </c>
      <c r="AV9" s="392"/>
      <c r="AW9" s="392"/>
      <c r="AX9" s="392"/>
      <c r="AY9" s="392"/>
      <c r="AZ9" s="392"/>
      <c r="BA9" s="392"/>
      <c r="BB9" s="392"/>
      <c r="BC9" s="392"/>
      <c r="BD9" s="392"/>
      <c r="BE9" s="392"/>
      <c r="BF9" s="392"/>
      <c r="BG9" s="393"/>
    </row>
    <row r="10" spans="1:59">
      <c r="A10" s="192" t="str">
        <f>'START HERE'!$F$13</f>
        <v>fork length</v>
      </c>
      <c r="B10" s="385" t="s">
        <v>79</v>
      </c>
      <c r="C10" s="386"/>
      <c r="D10" s="386"/>
      <c r="E10" s="386"/>
      <c r="F10" s="386"/>
      <c r="G10" s="386"/>
      <c r="H10" s="386"/>
      <c r="I10" s="386"/>
      <c r="J10" s="386"/>
      <c r="K10" s="386"/>
      <c r="L10" s="386"/>
      <c r="M10" s="386"/>
      <c r="N10" s="387"/>
      <c r="P10" s="192" t="str">
        <f>A10</f>
        <v>fork length</v>
      </c>
      <c r="Q10" s="385" t="s">
        <v>79</v>
      </c>
      <c r="R10" s="386"/>
      <c r="S10" s="386"/>
      <c r="T10" s="386"/>
      <c r="U10" s="386"/>
      <c r="V10" s="386"/>
      <c r="W10" s="386"/>
      <c r="X10" s="386"/>
      <c r="Y10" s="386"/>
      <c r="Z10" s="386"/>
      <c r="AA10" s="386"/>
      <c r="AB10" s="386"/>
      <c r="AC10" s="387"/>
      <c r="AE10" s="192" t="str">
        <f>A10</f>
        <v>fork length</v>
      </c>
      <c r="AF10" s="385" t="s">
        <v>79</v>
      </c>
      <c r="AG10" s="386"/>
      <c r="AH10" s="386"/>
      <c r="AI10" s="386"/>
      <c r="AJ10" s="386"/>
      <c r="AK10" s="386"/>
      <c r="AL10" s="386"/>
      <c r="AM10" s="386"/>
      <c r="AN10" s="386"/>
      <c r="AO10" s="386"/>
      <c r="AP10" s="386"/>
      <c r="AQ10" s="386"/>
      <c r="AR10" s="387"/>
      <c r="AT10" s="192" t="str">
        <f>A10</f>
        <v>fork length</v>
      </c>
      <c r="AU10" s="385" t="s">
        <v>79</v>
      </c>
      <c r="AV10" s="386"/>
      <c r="AW10" s="386"/>
      <c r="AX10" s="386"/>
      <c r="AY10" s="386"/>
      <c r="AZ10" s="386"/>
      <c r="BA10" s="386"/>
      <c r="BB10" s="386"/>
      <c r="BC10" s="386"/>
      <c r="BD10" s="386"/>
      <c r="BE10" s="386"/>
      <c r="BF10" s="386"/>
      <c r="BG10" s="387"/>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5"/>
      <c r="C12" s="306"/>
      <c r="D12" s="306"/>
      <c r="E12" s="306"/>
      <c r="F12" s="306"/>
      <c r="G12" s="306"/>
      <c r="H12" s="306"/>
      <c r="I12" s="306"/>
      <c r="J12" s="306"/>
      <c r="K12" s="306"/>
      <c r="L12" s="306"/>
      <c r="M12" s="306"/>
      <c r="N12" s="307"/>
      <c r="P12" s="195">
        <v>1</v>
      </c>
      <c r="Q12" s="305"/>
      <c r="R12" s="306"/>
      <c r="S12" s="306"/>
      <c r="T12" s="306"/>
      <c r="U12" s="306"/>
      <c r="V12" s="306"/>
      <c r="W12" s="306"/>
      <c r="X12" s="306"/>
      <c r="Y12" s="306"/>
      <c r="Z12" s="306"/>
      <c r="AA12" s="306"/>
      <c r="AB12" s="306"/>
      <c r="AC12" s="307"/>
      <c r="AE12" s="195">
        <v>1</v>
      </c>
      <c r="AF12" s="305"/>
      <c r="AG12" s="306"/>
      <c r="AH12" s="306"/>
      <c r="AI12" s="306"/>
      <c r="AJ12" s="306"/>
      <c r="AK12" s="306"/>
      <c r="AL12" s="306"/>
      <c r="AM12" s="306"/>
      <c r="AN12" s="306"/>
      <c r="AO12" s="306"/>
      <c r="AP12" s="306"/>
      <c r="AQ12" s="306"/>
      <c r="AR12" s="307"/>
      <c r="AT12" s="195">
        <v>1</v>
      </c>
      <c r="AU12" s="305"/>
      <c r="AV12" s="306"/>
      <c r="AW12" s="306"/>
      <c r="AX12" s="306"/>
      <c r="AY12" s="306"/>
      <c r="AZ12" s="306"/>
      <c r="BA12" s="306"/>
      <c r="BB12" s="306"/>
      <c r="BC12" s="306"/>
      <c r="BD12" s="306"/>
      <c r="BE12" s="306"/>
      <c r="BF12" s="306"/>
      <c r="BG12" s="307"/>
    </row>
    <row r="13" spans="1:59">
      <c r="A13" s="195">
        <v>2</v>
      </c>
      <c r="B13" s="308"/>
      <c r="C13" s="309"/>
      <c r="D13" s="309"/>
      <c r="E13" s="309"/>
      <c r="F13" s="309"/>
      <c r="G13" s="309"/>
      <c r="H13" s="309"/>
      <c r="I13" s="309"/>
      <c r="J13" s="309"/>
      <c r="K13" s="309"/>
      <c r="L13" s="309"/>
      <c r="M13" s="309"/>
      <c r="N13" s="310"/>
      <c r="P13" s="195">
        <v>2</v>
      </c>
      <c r="Q13" s="308"/>
      <c r="R13" s="309"/>
      <c r="S13" s="309"/>
      <c r="T13" s="309"/>
      <c r="U13" s="309"/>
      <c r="V13" s="309"/>
      <c r="W13" s="309"/>
      <c r="X13" s="309"/>
      <c r="Y13" s="309"/>
      <c r="Z13" s="309"/>
      <c r="AA13" s="309"/>
      <c r="AB13" s="309"/>
      <c r="AC13" s="310"/>
      <c r="AE13" s="195">
        <v>2</v>
      </c>
      <c r="AF13" s="308"/>
      <c r="AG13" s="309"/>
      <c r="AH13" s="309"/>
      <c r="AI13" s="309"/>
      <c r="AJ13" s="309"/>
      <c r="AK13" s="309"/>
      <c r="AL13" s="309"/>
      <c r="AM13" s="309"/>
      <c r="AN13" s="309"/>
      <c r="AO13" s="309"/>
      <c r="AP13" s="309"/>
      <c r="AQ13" s="309"/>
      <c r="AR13" s="310"/>
      <c r="AT13" s="195">
        <v>2</v>
      </c>
      <c r="AU13" s="308"/>
      <c r="AV13" s="309"/>
      <c r="AW13" s="309"/>
      <c r="AX13" s="309"/>
      <c r="AY13" s="309"/>
      <c r="AZ13" s="309"/>
      <c r="BA13" s="309"/>
      <c r="BB13" s="309"/>
      <c r="BC13" s="309"/>
      <c r="BD13" s="309"/>
      <c r="BE13" s="309"/>
      <c r="BF13" s="309"/>
      <c r="BG13" s="310"/>
    </row>
    <row r="14" spans="1:59">
      <c r="A14" s="195">
        <v>3</v>
      </c>
      <c r="B14" s="308"/>
      <c r="C14" s="309"/>
      <c r="D14" s="309"/>
      <c r="E14" s="309"/>
      <c r="F14" s="309"/>
      <c r="G14" s="309"/>
      <c r="H14" s="309"/>
      <c r="I14" s="309"/>
      <c r="J14" s="309"/>
      <c r="K14" s="309"/>
      <c r="L14" s="309"/>
      <c r="M14" s="309"/>
      <c r="N14" s="310"/>
      <c r="P14" s="195">
        <v>3</v>
      </c>
      <c r="Q14" s="308"/>
      <c r="R14" s="309"/>
      <c r="S14" s="309"/>
      <c r="T14" s="309"/>
      <c r="U14" s="309"/>
      <c r="V14" s="309"/>
      <c r="W14" s="309"/>
      <c r="X14" s="309"/>
      <c r="Y14" s="309"/>
      <c r="Z14" s="309"/>
      <c r="AA14" s="309"/>
      <c r="AB14" s="309"/>
      <c r="AC14" s="310"/>
      <c r="AE14" s="195">
        <v>3</v>
      </c>
      <c r="AF14" s="308"/>
      <c r="AG14" s="309"/>
      <c r="AH14" s="309"/>
      <c r="AI14" s="309"/>
      <c r="AJ14" s="309"/>
      <c r="AK14" s="309"/>
      <c r="AL14" s="309"/>
      <c r="AM14" s="309"/>
      <c r="AN14" s="309"/>
      <c r="AO14" s="309"/>
      <c r="AP14" s="309"/>
      <c r="AQ14" s="309"/>
      <c r="AR14" s="310"/>
      <c r="AT14" s="195">
        <v>3</v>
      </c>
      <c r="AU14" s="308"/>
      <c r="AV14" s="309"/>
      <c r="AW14" s="309"/>
      <c r="AX14" s="309"/>
      <c r="AY14" s="309"/>
      <c r="AZ14" s="309"/>
      <c r="BA14" s="309"/>
      <c r="BB14" s="309"/>
      <c r="BC14" s="309"/>
      <c r="BD14" s="309"/>
      <c r="BE14" s="309"/>
      <c r="BF14" s="309"/>
      <c r="BG14" s="310"/>
    </row>
    <row r="15" spans="1:59">
      <c r="A15" s="195">
        <v>4</v>
      </c>
      <c r="B15" s="308"/>
      <c r="C15" s="309"/>
      <c r="D15" s="309"/>
      <c r="E15" s="309"/>
      <c r="F15" s="309"/>
      <c r="G15" s="309"/>
      <c r="H15" s="309"/>
      <c r="I15" s="309"/>
      <c r="J15" s="309"/>
      <c r="K15" s="309"/>
      <c r="L15" s="309"/>
      <c r="M15" s="309"/>
      <c r="N15" s="310"/>
      <c r="P15" s="195">
        <v>4</v>
      </c>
      <c r="Q15" s="308"/>
      <c r="R15" s="309"/>
      <c r="S15" s="309"/>
      <c r="T15" s="309"/>
      <c r="U15" s="309"/>
      <c r="V15" s="309"/>
      <c r="W15" s="309"/>
      <c r="X15" s="309"/>
      <c r="Y15" s="309"/>
      <c r="Z15" s="309"/>
      <c r="AA15" s="309"/>
      <c r="AB15" s="309"/>
      <c r="AC15" s="310"/>
      <c r="AE15" s="195">
        <v>4</v>
      </c>
      <c r="AF15" s="308"/>
      <c r="AG15" s="309"/>
      <c r="AH15" s="309"/>
      <c r="AI15" s="309"/>
      <c r="AJ15" s="309"/>
      <c r="AK15" s="309"/>
      <c r="AL15" s="309"/>
      <c r="AM15" s="309"/>
      <c r="AN15" s="309"/>
      <c r="AO15" s="309"/>
      <c r="AP15" s="309"/>
      <c r="AQ15" s="309"/>
      <c r="AR15" s="310"/>
      <c r="AT15" s="195">
        <v>4</v>
      </c>
      <c r="AU15" s="308"/>
      <c r="AV15" s="309"/>
      <c r="AW15" s="309"/>
      <c r="AX15" s="309"/>
      <c r="AY15" s="309"/>
      <c r="AZ15" s="309"/>
      <c r="BA15" s="309"/>
      <c r="BB15" s="309"/>
      <c r="BC15" s="309"/>
      <c r="BD15" s="309"/>
      <c r="BE15" s="309"/>
      <c r="BF15" s="309"/>
      <c r="BG15" s="310"/>
    </row>
    <row r="16" spans="1:59">
      <c r="A16" s="195">
        <v>5</v>
      </c>
      <c r="B16" s="308"/>
      <c r="C16" s="309"/>
      <c r="D16" s="309"/>
      <c r="E16" s="309"/>
      <c r="F16" s="309"/>
      <c r="G16" s="309"/>
      <c r="H16" s="309"/>
      <c r="I16" s="309"/>
      <c r="J16" s="309"/>
      <c r="K16" s="309"/>
      <c r="L16" s="309"/>
      <c r="M16" s="309"/>
      <c r="N16" s="310"/>
      <c r="P16" s="195">
        <v>5</v>
      </c>
      <c r="Q16" s="308"/>
      <c r="R16" s="309"/>
      <c r="S16" s="309"/>
      <c r="T16" s="309"/>
      <c r="U16" s="309"/>
      <c r="V16" s="309"/>
      <c r="W16" s="309"/>
      <c r="X16" s="309"/>
      <c r="Y16" s="309"/>
      <c r="Z16" s="309"/>
      <c r="AA16" s="309"/>
      <c r="AB16" s="309"/>
      <c r="AC16" s="310"/>
      <c r="AE16" s="195">
        <v>5</v>
      </c>
      <c r="AF16" s="308"/>
      <c r="AG16" s="309"/>
      <c r="AH16" s="309"/>
      <c r="AI16" s="309"/>
      <c r="AJ16" s="309"/>
      <c r="AK16" s="309"/>
      <c r="AL16" s="309"/>
      <c r="AM16" s="309"/>
      <c r="AN16" s="309"/>
      <c r="AO16" s="309"/>
      <c r="AP16" s="309"/>
      <c r="AQ16" s="309"/>
      <c r="AR16" s="310"/>
      <c r="AT16" s="195">
        <v>5</v>
      </c>
      <c r="AU16" s="308"/>
      <c r="AV16" s="309"/>
      <c r="AW16" s="309"/>
      <c r="AX16" s="309"/>
      <c r="AY16" s="309"/>
      <c r="AZ16" s="309"/>
      <c r="BA16" s="309"/>
      <c r="BB16" s="309"/>
      <c r="BC16" s="309"/>
      <c r="BD16" s="309"/>
      <c r="BE16" s="309"/>
      <c r="BF16" s="309"/>
      <c r="BG16" s="310"/>
    </row>
    <row r="17" spans="1:59">
      <c r="A17" s="195">
        <v>6</v>
      </c>
      <c r="B17" s="308"/>
      <c r="C17" s="309"/>
      <c r="D17" s="309"/>
      <c r="E17" s="309"/>
      <c r="F17" s="309"/>
      <c r="G17" s="309"/>
      <c r="H17" s="309"/>
      <c r="I17" s="309"/>
      <c r="J17" s="309"/>
      <c r="K17" s="309"/>
      <c r="L17" s="309"/>
      <c r="M17" s="309"/>
      <c r="N17" s="310"/>
      <c r="P17" s="195">
        <v>6</v>
      </c>
      <c r="Q17" s="308"/>
      <c r="R17" s="309"/>
      <c r="S17" s="309"/>
      <c r="T17" s="309"/>
      <c r="U17" s="309"/>
      <c r="V17" s="309"/>
      <c r="W17" s="309"/>
      <c r="X17" s="309"/>
      <c r="Y17" s="309"/>
      <c r="Z17" s="309"/>
      <c r="AA17" s="309"/>
      <c r="AB17" s="309"/>
      <c r="AC17" s="310"/>
      <c r="AE17" s="195">
        <v>6</v>
      </c>
      <c r="AF17" s="308"/>
      <c r="AG17" s="309"/>
      <c r="AH17" s="309"/>
      <c r="AI17" s="309"/>
      <c r="AJ17" s="309"/>
      <c r="AK17" s="309"/>
      <c r="AL17" s="309"/>
      <c r="AM17" s="309"/>
      <c r="AN17" s="309"/>
      <c r="AO17" s="309"/>
      <c r="AP17" s="309"/>
      <c r="AQ17" s="309"/>
      <c r="AR17" s="310"/>
      <c r="AT17" s="195">
        <v>6</v>
      </c>
      <c r="AU17" s="308"/>
      <c r="AV17" s="309"/>
      <c r="AW17" s="309"/>
      <c r="AX17" s="309"/>
      <c r="AY17" s="309"/>
      <c r="AZ17" s="309"/>
      <c r="BA17" s="309"/>
      <c r="BB17" s="309"/>
      <c r="BC17" s="309"/>
      <c r="BD17" s="309"/>
      <c r="BE17" s="309"/>
      <c r="BF17" s="309"/>
      <c r="BG17" s="310"/>
    </row>
    <row r="18" spans="1:59">
      <c r="A18" s="195">
        <v>7</v>
      </c>
      <c r="B18" s="308"/>
      <c r="C18" s="309"/>
      <c r="D18" s="309"/>
      <c r="E18" s="309"/>
      <c r="F18" s="309"/>
      <c r="G18" s="309"/>
      <c r="H18" s="309"/>
      <c r="I18" s="309"/>
      <c r="J18" s="309"/>
      <c r="K18" s="309"/>
      <c r="L18" s="309"/>
      <c r="M18" s="309"/>
      <c r="N18" s="310"/>
      <c r="P18" s="195">
        <v>7</v>
      </c>
      <c r="Q18" s="308"/>
      <c r="R18" s="309"/>
      <c r="S18" s="309"/>
      <c r="T18" s="309"/>
      <c r="U18" s="309"/>
      <c r="V18" s="309"/>
      <c r="W18" s="309"/>
      <c r="X18" s="309"/>
      <c r="Y18" s="309"/>
      <c r="Z18" s="309"/>
      <c r="AA18" s="309"/>
      <c r="AB18" s="309"/>
      <c r="AC18" s="310"/>
      <c r="AE18" s="195">
        <v>7</v>
      </c>
      <c r="AF18" s="308"/>
      <c r="AG18" s="309"/>
      <c r="AH18" s="309"/>
      <c r="AI18" s="309"/>
      <c r="AJ18" s="309"/>
      <c r="AK18" s="309"/>
      <c r="AL18" s="309"/>
      <c r="AM18" s="309"/>
      <c r="AN18" s="309"/>
      <c r="AO18" s="309"/>
      <c r="AP18" s="309"/>
      <c r="AQ18" s="309"/>
      <c r="AR18" s="310"/>
      <c r="AT18" s="195">
        <v>7</v>
      </c>
      <c r="AU18" s="308"/>
      <c r="AV18" s="309"/>
      <c r="AW18" s="309"/>
      <c r="AX18" s="309"/>
      <c r="AY18" s="309"/>
      <c r="AZ18" s="309"/>
      <c r="BA18" s="309"/>
      <c r="BB18" s="309"/>
      <c r="BC18" s="309"/>
      <c r="BD18" s="309"/>
      <c r="BE18" s="309"/>
      <c r="BF18" s="309"/>
      <c r="BG18" s="310"/>
    </row>
    <row r="19" spans="1:59">
      <c r="A19" s="195">
        <v>8</v>
      </c>
      <c r="B19" s="308">
        <v>181100.88949999999</v>
      </c>
      <c r="C19" s="309"/>
      <c r="D19" s="309"/>
      <c r="E19" s="309"/>
      <c r="F19" s="309"/>
      <c r="G19" s="309"/>
      <c r="H19" s="309"/>
      <c r="I19" s="309"/>
      <c r="J19" s="309"/>
      <c r="K19" s="309"/>
      <c r="L19" s="309"/>
      <c r="M19" s="309"/>
      <c r="N19" s="310"/>
      <c r="P19" s="195">
        <v>8</v>
      </c>
      <c r="Q19" s="308"/>
      <c r="R19" s="309"/>
      <c r="S19" s="309"/>
      <c r="T19" s="309"/>
      <c r="U19" s="309"/>
      <c r="V19" s="309"/>
      <c r="W19" s="309"/>
      <c r="X19" s="309"/>
      <c r="Y19" s="309"/>
      <c r="Z19" s="309"/>
      <c r="AA19" s="309"/>
      <c r="AB19" s="309"/>
      <c r="AC19" s="310"/>
      <c r="AE19" s="195">
        <v>8</v>
      </c>
      <c r="AF19" s="308"/>
      <c r="AG19" s="309"/>
      <c r="AH19" s="309"/>
      <c r="AI19" s="309"/>
      <c r="AJ19" s="309"/>
      <c r="AK19" s="309"/>
      <c r="AL19" s="309"/>
      <c r="AM19" s="309"/>
      <c r="AN19" s="309"/>
      <c r="AO19" s="309"/>
      <c r="AP19" s="309"/>
      <c r="AQ19" s="309"/>
      <c r="AR19" s="310"/>
      <c r="AT19" s="195">
        <v>8</v>
      </c>
      <c r="AU19" s="308"/>
      <c r="AV19" s="309"/>
      <c r="AW19" s="309"/>
      <c r="AX19" s="309"/>
      <c r="AY19" s="309"/>
      <c r="AZ19" s="309"/>
      <c r="BA19" s="309"/>
      <c r="BB19" s="309"/>
      <c r="BC19" s="309"/>
      <c r="BD19" s="309"/>
      <c r="BE19" s="309"/>
      <c r="BF19" s="309"/>
      <c r="BG19" s="310"/>
    </row>
    <row r="20" spans="1:59">
      <c r="A20" s="195">
        <v>9</v>
      </c>
      <c r="B20" s="308"/>
      <c r="C20" s="309">
        <v>181100.88949999999</v>
      </c>
      <c r="D20" s="309"/>
      <c r="E20" s="309"/>
      <c r="F20" s="309"/>
      <c r="G20" s="309"/>
      <c r="H20" s="309"/>
      <c r="I20" s="309"/>
      <c r="J20" s="309"/>
      <c r="K20" s="309"/>
      <c r="L20" s="309"/>
      <c r="M20" s="309"/>
      <c r="N20" s="310"/>
      <c r="P20" s="195">
        <v>9</v>
      </c>
      <c r="Q20" s="308"/>
      <c r="R20" s="309">
        <v>63410.169450000001</v>
      </c>
      <c r="S20" s="309"/>
      <c r="T20" s="309"/>
      <c r="U20" s="309"/>
      <c r="V20" s="309"/>
      <c r="W20" s="309"/>
      <c r="X20" s="309"/>
      <c r="Y20" s="309"/>
      <c r="Z20" s="309"/>
      <c r="AA20" s="309"/>
      <c r="AB20" s="309"/>
      <c r="AC20" s="310"/>
      <c r="AE20" s="195">
        <v>9</v>
      </c>
      <c r="AF20" s="308"/>
      <c r="AG20" s="309"/>
      <c r="AH20" s="309"/>
      <c r="AI20" s="309"/>
      <c r="AJ20" s="309"/>
      <c r="AK20" s="309"/>
      <c r="AL20" s="309"/>
      <c r="AM20" s="309"/>
      <c r="AN20" s="309"/>
      <c r="AO20" s="309"/>
      <c r="AP20" s="309"/>
      <c r="AQ20" s="309"/>
      <c r="AR20" s="310"/>
      <c r="AT20" s="195">
        <v>9</v>
      </c>
      <c r="AU20" s="308"/>
      <c r="AV20" s="309"/>
      <c r="AW20" s="309"/>
      <c r="AX20" s="309"/>
      <c r="AY20" s="309"/>
      <c r="AZ20" s="309"/>
      <c r="BA20" s="309"/>
      <c r="BB20" s="309"/>
      <c r="BC20" s="309"/>
      <c r="BD20" s="309"/>
      <c r="BE20" s="309"/>
      <c r="BF20" s="309"/>
      <c r="BG20" s="310"/>
    </row>
    <row r="21" spans="1:59">
      <c r="A21" s="195">
        <v>10</v>
      </c>
      <c r="B21" s="308"/>
      <c r="C21" s="309"/>
      <c r="D21" s="309"/>
      <c r="E21" s="309"/>
      <c r="F21" s="309"/>
      <c r="G21" s="309"/>
      <c r="H21" s="309"/>
      <c r="I21" s="309"/>
      <c r="J21" s="309"/>
      <c r="K21" s="309"/>
      <c r="L21" s="309"/>
      <c r="M21" s="309"/>
      <c r="N21" s="310"/>
      <c r="P21" s="195">
        <v>10</v>
      </c>
      <c r="Q21" s="308"/>
      <c r="R21" s="309">
        <v>126820.3389</v>
      </c>
      <c r="S21" s="309"/>
      <c r="T21" s="309"/>
      <c r="U21" s="309"/>
      <c r="V21" s="309"/>
      <c r="W21" s="309"/>
      <c r="X21" s="309"/>
      <c r="Y21" s="309"/>
      <c r="Z21" s="309"/>
      <c r="AA21" s="309"/>
      <c r="AB21" s="309"/>
      <c r="AC21" s="310"/>
      <c r="AE21" s="195">
        <v>10</v>
      </c>
      <c r="AF21" s="308"/>
      <c r="AG21" s="309"/>
      <c r="AH21" s="309"/>
      <c r="AI21" s="309"/>
      <c r="AJ21" s="309"/>
      <c r="AK21" s="309"/>
      <c r="AL21" s="309"/>
      <c r="AM21" s="309"/>
      <c r="AN21" s="309"/>
      <c r="AO21" s="309"/>
      <c r="AP21" s="309"/>
      <c r="AQ21" s="309"/>
      <c r="AR21" s="310"/>
      <c r="AT21" s="195">
        <v>10</v>
      </c>
      <c r="AU21" s="308"/>
      <c r="AV21" s="309"/>
      <c r="AW21" s="309"/>
      <c r="AX21" s="309"/>
      <c r="AY21" s="309"/>
      <c r="AZ21" s="309"/>
      <c r="BA21" s="309"/>
      <c r="BB21" s="309"/>
      <c r="BC21" s="309"/>
      <c r="BD21" s="309"/>
      <c r="BE21" s="309"/>
      <c r="BF21" s="309"/>
      <c r="BG21" s="310"/>
    </row>
    <row r="22" spans="1:59">
      <c r="A22" s="195">
        <v>11</v>
      </c>
      <c r="B22" s="308"/>
      <c r="C22" s="309">
        <v>90550.444770000002</v>
      </c>
      <c r="D22" s="309"/>
      <c r="E22" s="309"/>
      <c r="F22" s="309"/>
      <c r="G22" s="309"/>
      <c r="H22" s="309"/>
      <c r="I22" s="309"/>
      <c r="J22" s="309"/>
      <c r="K22" s="309"/>
      <c r="L22" s="309"/>
      <c r="M22" s="309"/>
      <c r="N22" s="310"/>
      <c r="P22" s="195">
        <v>11</v>
      </c>
      <c r="Q22" s="308"/>
      <c r="R22" s="309">
        <v>1129001.0611099999</v>
      </c>
      <c r="S22" s="309"/>
      <c r="T22" s="309"/>
      <c r="U22" s="309"/>
      <c r="V22" s="309"/>
      <c r="W22" s="309"/>
      <c r="X22" s="309"/>
      <c r="Y22" s="309"/>
      <c r="Z22" s="309"/>
      <c r="AA22" s="309"/>
      <c r="AB22" s="309"/>
      <c r="AC22" s="310"/>
      <c r="AE22" s="195">
        <v>11</v>
      </c>
      <c r="AF22" s="308"/>
      <c r="AG22" s="309"/>
      <c r="AH22" s="309"/>
      <c r="AI22" s="309"/>
      <c r="AJ22" s="309"/>
      <c r="AK22" s="309"/>
      <c r="AL22" s="309"/>
      <c r="AM22" s="309"/>
      <c r="AN22" s="309"/>
      <c r="AO22" s="309"/>
      <c r="AP22" s="309"/>
      <c r="AQ22" s="309"/>
      <c r="AR22" s="310"/>
      <c r="AT22" s="195">
        <v>11</v>
      </c>
      <c r="AU22" s="308"/>
      <c r="AV22" s="309"/>
      <c r="AW22" s="309"/>
      <c r="AX22" s="309"/>
      <c r="AY22" s="309"/>
      <c r="AZ22" s="309"/>
      <c r="BA22" s="309"/>
      <c r="BB22" s="309"/>
      <c r="BC22" s="309"/>
      <c r="BD22" s="309"/>
      <c r="BE22" s="309"/>
      <c r="BF22" s="309"/>
      <c r="BG22" s="310"/>
    </row>
    <row r="23" spans="1:59">
      <c r="A23" s="195">
        <v>12</v>
      </c>
      <c r="B23" s="308"/>
      <c r="C23" s="309"/>
      <c r="D23" s="309"/>
      <c r="E23" s="309"/>
      <c r="F23" s="309"/>
      <c r="G23" s="309"/>
      <c r="H23" s="309"/>
      <c r="I23" s="309"/>
      <c r="J23" s="309"/>
      <c r="K23" s="309"/>
      <c r="L23" s="309"/>
      <c r="M23" s="309"/>
      <c r="N23" s="310"/>
      <c r="P23" s="195">
        <v>12</v>
      </c>
      <c r="Q23" s="308"/>
      <c r="R23" s="309">
        <v>2177582.5588500001</v>
      </c>
      <c r="S23" s="309"/>
      <c r="T23" s="309"/>
      <c r="U23" s="309"/>
      <c r="V23" s="309"/>
      <c r="W23" s="309"/>
      <c r="X23" s="309"/>
      <c r="Y23" s="309"/>
      <c r="Z23" s="309"/>
      <c r="AA23" s="309"/>
      <c r="AB23" s="309"/>
      <c r="AC23" s="310"/>
      <c r="AE23" s="195">
        <v>12</v>
      </c>
      <c r="AF23" s="308"/>
      <c r="AG23" s="309"/>
      <c r="AH23" s="309"/>
      <c r="AI23" s="309"/>
      <c r="AJ23" s="309"/>
      <c r="AK23" s="309"/>
      <c r="AL23" s="309"/>
      <c r="AM23" s="309"/>
      <c r="AN23" s="309"/>
      <c r="AO23" s="309"/>
      <c r="AP23" s="309"/>
      <c r="AQ23" s="309"/>
      <c r="AR23" s="310"/>
      <c r="AT23" s="195">
        <v>12</v>
      </c>
      <c r="AU23" s="308"/>
      <c r="AV23" s="309"/>
      <c r="AW23" s="309"/>
      <c r="AX23" s="309"/>
      <c r="AY23" s="309"/>
      <c r="AZ23" s="309"/>
      <c r="BA23" s="309"/>
      <c r="BB23" s="309"/>
      <c r="BC23" s="309"/>
      <c r="BD23" s="309"/>
      <c r="BE23" s="309"/>
      <c r="BF23" s="309"/>
      <c r="BG23" s="310"/>
    </row>
    <row r="24" spans="1:59">
      <c r="A24" s="195">
        <v>13</v>
      </c>
      <c r="B24" s="308"/>
      <c r="C24" s="309"/>
      <c r="D24" s="309"/>
      <c r="E24" s="309"/>
      <c r="F24" s="309"/>
      <c r="G24" s="309"/>
      <c r="H24" s="309"/>
      <c r="I24" s="309"/>
      <c r="J24" s="309"/>
      <c r="K24" s="309"/>
      <c r="L24" s="309"/>
      <c r="M24" s="309"/>
      <c r="N24" s="310"/>
      <c r="P24" s="195">
        <v>13</v>
      </c>
      <c r="Q24" s="308"/>
      <c r="R24" s="309"/>
      <c r="S24" s="309">
        <v>1602958.9715799999</v>
      </c>
      <c r="T24" s="309"/>
      <c r="U24" s="309"/>
      <c r="V24" s="309"/>
      <c r="W24" s="309"/>
      <c r="X24" s="309"/>
      <c r="Y24" s="309"/>
      <c r="Z24" s="309"/>
      <c r="AA24" s="309"/>
      <c r="AB24" s="309"/>
      <c r="AC24" s="310"/>
      <c r="AE24" s="195">
        <v>13</v>
      </c>
      <c r="AF24" s="308"/>
      <c r="AG24" s="309"/>
      <c r="AH24" s="309"/>
      <c r="AI24" s="309"/>
      <c r="AJ24" s="309"/>
      <c r="AK24" s="309"/>
      <c r="AL24" s="309"/>
      <c r="AM24" s="309"/>
      <c r="AN24" s="309"/>
      <c r="AO24" s="309"/>
      <c r="AP24" s="309"/>
      <c r="AQ24" s="309"/>
      <c r="AR24" s="310"/>
      <c r="AT24" s="195">
        <v>13</v>
      </c>
      <c r="AU24" s="308"/>
      <c r="AV24" s="309"/>
      <c r="AW24" s="309"/>
      <c r="AX24" s="309"/>
      <c r="AY24" s="309"/>
      <c r="AZ24" s="309"/>
      <c r="BA24" s="309"/>
      <c r="BB24" s="309"/>
      <c r="BC24" s="309"/>
      <c r="BD24" s="309"/>
      <c r="BE24" s="309"/>
      <c r="BF24" s="309"/>
      <c r="BG24" s="310"/>
    </row>
    <row r="25" spans="1:59">
      <c r="A25" s="195">
        <v>14</v>
      </c>
      <c r="B25" s="308"/>
      <c r="C25" s="309"/>
      <c r="D25" s="309"/>
      <c r="E25" s="309"/>
      <c r="F25" s="309"/>
      <c r="G25" s="309"/>
      <c r="H25" s="309"/>
      <c r="I25" s="309"/>
      <c r="J25" s="309"/>
      <c r="K25" s="309"/>
      <c r="L25" s="309"/>
      <c r="M25" s="309"/>
      <c r="N25" s="310"/>
      <c r="P25" s="195">
        <v>14</v>
      </c>
      <c r="Q25" s="308"/>
      <c r="R25" s="309"/>
      <c r="S25" s="309">
        <v>338687.64464999997</v>
      </c>
      <c r="T25" s="309"/>
      <c r="U25" s="309"/>
      <c r="V25" s="309"/>
      <c r="W25" s="309"/>
      <c r="X25" s="309"/>
      <c r="Y25" s="309"/>
      <c r="Z25" s="309"/>
      <c r="AA25" s="309"/>
      <c r="AB25" s="309"/>
      <c r="AC25" s="310"/>
      <c r="AE25" s="195">
        <v>14</v>
      </c>
      <c r="AF25" s="308"/>
      <c r="AG25" s="309"/>
      <c r="AH25" s="309"/>
      <c r="AI25" s="309"/>
      <c r="AJ25" s="309"/>
      <c r="AK25" s="309"/>
      <c r="AL25" s="309"/>
      <c r="AM25" s="309"/>
      <c r="AN25" s="309"/>
      <c r="AO25" s="309"/>
      <c r="AP25" s="309"/>
      <c r="AQ25" s="309"/>
      <c r="AR25" s="310"/>
      <c r="AT25" s="195">
        <v>14</v>
      </c>
      <c r="AU25" s="308"/>
      <c r="AV25" s="309"/>
      <c r="AW25" s="309"/>
      <c r="AX25" s="309"/>
      <c r="AY25" s="309"/>
      <c r="AZ25" s="309"/>
      <c r="BA25" s="309"/>
      <c r="BB25" s="309"/>
      <c r="BC25" s="309"/>
      <c r="BD25" s="309"/>
      <c r="BE25" s="309"/>
      <c r="BF25" s="309"/>
      <c r="BG25" s="310"/>
    </row>
    <row r="26" spans="1:59">
      <c r="A26" s="195">
        <v>15</v>
      </c>
      <c r="B26" s="308"/>
      <c r="C26" s="309"/>
      <c r="D26" s="309"/>
      <c r="E26" s="309"/>
      <c r="F26" s="309"/>
      <c r="G26" s="309"/>
      <c r="H26" s="309"/>
      <c r="I26" s="309"/>
      <c r="J26" s="309"/>
      <c r="K26" s="309"/>
      <c r="L26" s="309"/>
      <c r="M26" s="309"/>
      <c r="N26" s="310"/>
      <c r="P26" s="195">
        <v>15</v>
      </c>
      <c r="Q26" s="308"/>
      <c r="R26" s="309"/>
      <c r="S26" s="309">
        <v>298890.75864999997</v>
      </c>
      <c r="T26" s="309"/>
      <c r="U26" s="309"/>
      <c r="V26" s="309"/>
      <c r="W26" s="309"/>
      <c r="X26" s="309"/>
      <c r="Y26" s="309"/>
      <c r="Z26" s="309"/>
      <c r="AA26" s="309"/>
      <c r="AB26" s="309"/>
      <c r="AC26" s="310"/>
      <c r="AE26" s="195">
        <v>15</v>
      </c>
      <c r="AF26" s="308"/>
      <c r="AG26" s="309"/>
      <c r="AH26" s="309"/>
      <c r="AI26" s="309"/>
      <c r="AJ26" s="309"/>
      <c r="AK26" s="309"/>
      <c r="AL26" s="309"/>
      <c r="AM26" s="309"/>
      <c r="AN26" s="309"/>
      <c r="AO26" s="309"/>
      <c r="AP26" s="309"/>
      <c r="AQ26" s="309"/>
      <c r="AR26" s="310"/>
      <c r="AT26" s="195">
        <v>15</v>
      </c>
      <c r="AU26" s="308"/>
      <c r="AV26" s="309"/>
      <c r="AW26" s="309">
        <v>71683</v>
      </c>
      <c r="AX26" s="309"/>
      <c r="AY26" s="309"/>
      <c r="AZ26" s="309"/>
      <c r="BA26" s="309"/>
      <c r="BB26" s="309"/>
      <c r="BC26" s="309"/>
      <c r="BD26" s="309"/>
      <c r="BE26" s="309"/>
      <c r="BF26" s="309"/>
      <c r="BG26" s="310"/>
    </row>
    <row r="27" spans="1:59">
      <c r="A27" s="195">
        <v>16</v>
      </c>
      <c r="B27" s="308"/>
      <c r="C27" s="309"/>
      <c r="D27" s="309"/>
      <c r="E27" s="309"/>
      <c r="F27" s="309"/>
      <c r="G27" s="309"/>
      <c r="H27" s="309"/>
      <c r="I27" s="309"/>
      <c r="J27" s="309"/>
      <c r="K27" s="309"/>
      <c r="L27" s="309"/>
      <c r="M27" s="309"/>
      <c r="N27" s="310"/>
      <c r="P27" s="195">
        <v>16</v>
      </c>
      <c r="Q27" s="308"/>
      <c r="R27" s="309"/>
      <c r="S27" s="309">
        <v>94192.235679999998</v>
      </c>
      <c r="T27" s="309"/>
      <c r="U27" s="309"/>
      <c r="V27" s="309"/>
      <c r="W27" s="309"/>
      <c r="X27" s="309"/>
      <c r="Y27" s="309"/>
      <c r="Z27" s="309"/>
      <c r="AA27" s="309"/>
      <c r="AB27" s="309"/>
      <c r="AC27" s="310"/>
      <c r="AE27" s="195">
        <v>16</v>
      </c>
      <c r="AF27" s="308"/>
      <c r="AG27" s="309"/>
      <c r="AH27" s="309"/>
      <c r="AI27" s="309"/>
      <c r="AJ27" s="309"/>
      <c r="AK27" s="309"/>
      <c r="AL27" s="309"/>
      <c r="AM27" s="309"/>
      <c r="AN27" s="309"/>
      <c r="AO27" s="309"/>
      <c r="AP27" s="309"/>
      <c r="AQ27" s="309"/>
      <c r="AR27" s="310"/>
      <c r="AT27" s="195">
        <v>16</v>
      </c>
      <c r="AU27" s="308"/>
      <c r="AV27" s="309"/>
      <c r="AW27" s="309"/>
      <c r="AX27" s="309"/>
      <c r="AY27" s="309"/>
      <c r="AZ27" s="309"/>
      <c r="BA27" s="309"/>
      <c r="BB27" s="309"/>
      <c r="BC27" s="309"/>
      <c r="BD27" s="309"/>
      <c r="BE27" s="309"/>
      <c r="BF27" s="309"/>
      <c r="BG27" s="310"/>
    </row>
    <row r="28" spans="1:59">
      <c r="A28" s="195">
        <v>17</v>
      </c>
      <c r="B28" s="308"/>
      <c r="C28" s="309"/>
      <c r="D28" s="309"/>
      <c r="E28" s="309"/>
      <c r="F28" s="309"/>
      <c r="G28" s="309"/>
      <c r="H28" s="309"/>
      <c r="I28" s="309"/>
      <c r="J28" s="309"/>
      <c r="K28" s="309"/>
      <c r="L28" s="309"/>
      <c r="M28" s="309"/>
      <c r="N28" s="310"/>
      <c r="P28" s="195">
        <v>17</v>
      </c>
      <c r="Q28" s="308"/>
      <c r="R28" s="309"/>
      <c r="S28" s="309">
        <v>128211.02241999999</v>
      </c>
      <c r="T28" s="309"/>
      <c r="U28" s="309"/>
      <c r="V28" s="309"/>
      <c r="W28" s="309"/>
      <c r="X28" s="309"/>
      <c r="Y28" s="309"/>
      <c r="Z28" s="309"/>
      <c r="AA28" s="309"/>
      <c r="AB28" s="309"/>
      <c r="AC28" s="310"/>
      <c r="AE28" s="195">
        <v>17</v>
      </c>
      <c r="AF28" s="308"/>
      <c r="AG28" s="309"/>
      <c r="AH28" s="309"/>
      <c r="AI28" s="309"/>
      <c r="AJ28" s="309"/>
      <c r="AK28" s="309"/>
      <c r="AL28" s="309"/>
      <c r="AM28" s="309"/>
      <c r="AN28" s="309"/>
      <c r="AO28" s="309"/>
      <c r="AP28" s="309"/>
      <c r="AQ28" s="309"/>
      <c r="AR28" s="310"/>
      <c r="AT28" s="195">
        <v>17</v>
      </c>
      <c r="AU28" s="308"/>
      <c r="AV28" s="309"/>
      <c r="AW28" s="309"/>
      <c r="AX28" s="309"/>
      <c r="AY28" s="309"/>
      <c r="AZ28" s="309"/>
      <c r="BA28" s="309"/>
      <c r="BB28" s="309"/>
      <c r="BC28" s="309"/>
      <c r="BD28" s="309"/>
      <c r="BE28" s="309"/>
      <c r="BF28" s="309"/>
      <c r="BG28" s="310"/>
    </row>
    <row r="29" spans="1:59">
      <c r="A29" s="195">
        <v>18</v>
      </c>
      <c r="B29" s="308"/>
      <c r="C29" s="309"/>
      <c r="D29" s="309"/>
      <c r="E29" s="309"/>
      <c r="F29" s="309"/>
      <c r="G29" s="309"/>
      <c r="H29" s="309"/>
      <c r="I29" s="309"/>
      <c r="J29" s="309"/>
      <c r="K29" s="309"/>
      <c r="L29" s="309"/>
      <c r="M29" s="309"/>
      <c r="N29" s="310"/>
      <c r="P29" s="195">
        <v>18</v>
      </c>
      <c r="Q29" s="308"/>
      <c r="R29" s="309"/>
      <c r="S29" s="309"/>
      <c r="T29" s="309"/>
      <c r="U29" s="309"/>
      <c r="V29" s="309"/>
      <c r="W29" s="309"/>
      <c r="X29" s="309"/>
      <c r="Y29" s="309"/>
      <c r="Z29" s="309"/>
      <c r="AA29" s="309"/>
      <c r="AB29" s="309"/>
      <c r="AC29" s="310"/>
      <c r="AE29" s="195">
        <v>18</v>
      </c>
      <c r="AF29" s="308"/>
      <c r="AG29" s="309"/>
      <c r="AH29" s="309"/>
      <c r="AI29" s="309"/>
      <c r="AJ29" s="309"/>
      <c r="AK29" s="309"/>
      <c r="AL29" s="309"/>
      <c r="AM29" s="309"/>
      <c r="AN29" s="309"/>
      <c r="AO29" s="309"/>
      <c r="AP29" s="309"/>
      <c r="AQ29" s="309"/>
      <c r="AR29" s="310"/>
      <c r="AT29" s="195">
        <v>18</v>
      </c>
      <c r="AU29" s="308"/>
      <c r="AV29" s="309"/>
      <c r="AW29" s="309">
        <v>71683</v>
      </c>
      <c r="AX29" s="309"/>
      <c r="AY29" s="309"/>
      <c r="AZ29" s="309"/>
      <c r="BA29" s="309"/>
      <c r="BB29" s="309"/>
      <c r="BC29" s="309"/>
      <c r="BD29" s="309"/>
      <c r="BE29" s="309"/>
      <c r="BF29" s="309"/>
      <c r="BG29" s="310"/>
    </row>
    <row r="30" spans="1:59">
      <c r="A30" s="195">
        <v>19</v>
      </c>
      <c r="B30" s="308"/>
      <c r="C30" s="309"/>
      <c r="D30" s="309"/>
      <c r="E30" s="309"/>
      <c r="F30" s="309"/>
      <c r="G30" s="309"/>
      <c r="H30" s="309"/>
      <c r="I30" s="309"/>
      <c r="J30" s="309"/>
      <c r="K30" s="309"/>
      <c r="L30" s="309"/>
      <c r="M30" s="309"/>
      <c r="N30" s="310"/>
      <c r="P30" s="195">
        <v>19</v>
      </c>
      <c r="Q30" s="308"/>
      <c r="R30" s="309"/>
      <c r="S30" s="309"/>
      <c r="T30" s="309"/>
      <c r="U30" s="309"/>
      <c r="V30" s="309"/>
      <c r="W30" s="309"/>
      <c r="X30" s="309"/>
      <c r="Y30" s="309"/>
      <c r="Z30" s="309"/>
      <c r="AA30" s="309"/>
      <c r="AB30" s="309"/>
      <c r="AC30" s="310"/>
      <c r="AE30" s="195">
        <v>19</v>
      </c>
      <c r="AF30" s="308"/>
      <c r="AG30" s="309"/>
      <c r="AH30" s="309"/>
      <c r="AI30" s="309"/>
      <c r="AJ30" s="309"/>
      <c r="AK30" s="309"/>
      <c r="AL30" s="309"/>
      <c r="AM30" s="309"/>
      <c r="AN30" s="309"/>
      <c r="AO30" s="309"/>
      <c r="AP30" s="309"/>
      <c r="AQ30" s="309"/>
      <c r="AR30" s="310"/>
      <c r="AT30" s="195">
        <v>19</v>
      </c>
      <c r="AU30" s="308"/>
      <c r="AV30" s="309"/>
      <c r="AW30" s="309"/>
      <c r="AX30" s="309"/>
      <c r="AY30" s="309"/>
      <c r="AZ30" s="309"/>
      <c r="BA30" s="309"/>
      <c r="BB30" s="309"/>
      <c r="BC30" s="309"/>
      <c r="BD30" s="309"/>
      <c r="BE30" s="309"/>
      <c r="BF30" s="309"/>
      <c r="BG30" s="310"/>
    </row>
    <row r="31" spans="1:59">
      <c r="A31" s="195">
        <v>20</v>
      </c>
      <c r="B31" s="308"/>
      <c r="C31" s="309"/>
      <c r="D31" s="309"/>
      <c r="E31" s="309"/>
      <c r="F31" s="309"/>
      <c r="G31" s="309"/>
      <c r="H31" s="309"/>
      <c r="I31" s="309"/>
      <c r="J31" s="309"/>
      <c r="K31" s="309"/>
      <c r="L31" s="309"/>
      <c r="M31" s="309"/>
      <c r="N31" s="310"/>
      <c r="P31" s="195">
        <v>20</v>
      </c>
      <c r="Q31" s="308"/>
      <c r="R31" s="309"/>
      <c r="S31" s="309"/>
      <c r="T31" s="309"/>
      <c r="U31" s="309"/>
      <c r="V31" s="309"/>
      <c r="W31" s="309"/>
      <c r="X31" s="309"/>
      <c r="Y31" s="309"/>
      <c r="Z31" s="309"/>
      <c r="AA31" s="309"/>
      <c r="AB31" s="309"/>
      <c r="AC31" s="310"/>
      <c r="AE31" s="195">
        <v>20</v>
      </c>
      <c r="AF31" s="308"/>
      <c r="AG31" s="309"/>
      <c r="AH31" s="309"/>
      <c r="AI31" s="309"/>
      <c r="AJ31" s="309"/>
      <c r="AK31" s="309"/>
      <c r="AL31" s="309"/>
      <c r="AM31" s="309"/>
      <c r="AN31" s="309"/>
      <c r="AO31" s="309"/>
      <c r="AP31" s="309"/>
      <c r="AQ31" s="309"/>
      <c r="AR31" s="310"/>
      <c r="AT31" s="195">
        <v>20</v>
      </c>
      <c r="AU31" s="308"/>
      <c r="AV31" s="309"/>
      <c r="AW31" s="309"/>
      <c r="AX31" s="309">
        <v>71683</v>
      </c>
      <c r="AY31" s="309"/>
      <c r="AZ31" s="309"/>
      <c r="BA31" s="309"/>
      <c r="BB31" s="309"/>
      <c r="BC31" s="309"/>
      <c r="BD31" s="309"/>
      <c r="BE31" s="309"/>
      <c r="BF31" s="309"/>
      <c r="BG31" s="310"/>
    </row>
    <row r="32" spans="1:59">
      <c r="A32" s="195">
        <v>21</v>
      </c>
      <c r="B32" s="308"/>
      <c r="C32" s="309"/>
      <c r="D32" s="309"/>
      <c r="E32" s="309"/>
      <c r="F32" s="309"/>
      <c r="G32" s="309"/>
      <c r="H32" s="309"/>
      <c r="I32" s="309"/>
      <c r="J32" s="309"/>
      <c r="K32" s="309"/>
      <c r="L32" s="309"/>
      <c r="M32" s="309"/>
      <c r="N32" s="310"/>
      <c r="P32" s="195">
        <v>21</v>
      </c>
      <c r="Q32" s="308"/>
      <c r="R32" s="309"/>
      <c r="S32" s="309"/>
      <c r="T32" s="309"/>
      <c r="U32" s="309"/>
      <c r="V32" s="309"/>
      <c r="W32" s="309"/>
      <c r="X32" s="309"/>
      <c r="Y32" s="309"/>
      <c r="Z32" s="309"/>
      <c r="AA32" s="309"/>
      <c r="AB32" s="309"/>
      <c r="AC32" s="310"/>
      <c r="AE32" s="195">
        <v>21</v>
      </c>
      <c r="AF32" s="308"/>
      <c r="AG32" s="309"/>
      <c r="AH32" s="309"/>
      <c r="AI32" s="309"/>
      <c r="AJ32" s="309"/>
      <c r="AK32" s="309"/>
      <c r="AL32" s="309"/>
      <c r="AM32" s="309"/>
      <c r="AN32" s="309"/>
      <c r="AO32" s="309"/>
      <c r="AP32" s="309"/>
      <c r="AQ32" s="309"/>
      <c r="AR32" s="310"/>
      <c r="AT32" s="195">
        <v>21</v>
      </c>
      <c r="AU32" s="308"/>
      <c r="AV32" s="309"/>
      <c r="AW32" s="309"/>
      <c r="AX32" s="309"/>
      <c r="AY32" s="309"/>
      <c r="AZ32" s="309"/>
      <c r="BA32" s="309"/>
      <c r="BB32" s="309"/>
      <c r="BC32" s="309"/>
      <c r="BD32" s="309"/>
      <c r="BE32" s="309"/>
      <c r="BF32" s="309"/>
      <c r="BG32" s="310"/>
    </row>
    <row r="33" spans="1:59">
      <c r="A33" s="195">
        <v>22</v>
      </c>
      <c r="B33" s="308"/>
      <c r="C33" s="309"/>
      <c r="D33" s="309"/>
      <c r="E33" s="309"/>
      <c r="F33" s="309"/>
      <c r="G33" s="309"/>
      <c r="H33" s="309"/>
      <c r="I33" s="309"/>
      <c r="J33" s="309"/>
      <c r="K33" s="309"/>
      <c r="L33" s="309"/>
      <c r="M33" s="309"/>
      <c r="N33" s="310"/>
      <c r="P33" s="195">
        <v>22</v>
      </c>
      <c r="Q33" s="308"/>
      <c r="R33" s="309"/>
      <c r="S33" s="309"/>
      <c r="T33" s="309"/>
      <c r="U33" s="309"/>
      <c r="V33" s="309"/>
      <c r="W33" s="309"/>
      <c r="X33" s="309"/>
      <c r="Y33" s="309"/>
      <c r="Z33" s="309"/>
      <c r="AA33" s="309"/>
      <c r="AB33" s="309"/>
      <c r="AC33" s="310"/>
      <c r="AE33" s="195">
        <v>22</v>
      </c>
      <c r="AF33" s="308"/>
      <c r="AG33" s="309"/>
      <c r="AH33" s="309"/>
      <c r="AI33" s="309"/>
      <c r="AJ33" s="309"/>
      <c r="AK33" s="309"/>
      <c r="AL33" s="309"/>
      <c r="AM33" s="309"/>
      <c r="AN33" s="309"/>
      <c r="AO33" s="309"/>
      <c r="AP33" s="309"/>
      <c r="AQ33" s="309"/>
      <c r="AR33" s="310"/>
      <c r="AT33" s="195">
        <v>22</v>
      </c>
      <c r="AU33" s="308"/>
      <c r="AV33" s="309"/>
      <c r="AW33" s="309"/>
      <c r="AX33" s="309">
        <v>71683</v>
      </c>
      <c r="AY33" s="309"/>
      <c r="AZ33" s="309"/>
      <c r="BA33" s="309"/>
      <c r="BB33" s="309"/>
      <c r="BC33" s="309"/>
      <c r="BD33" s="309"/>
      <c r="BE33" s="309"/>
      <c r="BF33" s="309"/>
      <c r="BG33" s="310"/>
    </row>
    <row r="34" spans="1:59">
      <c r="A34" s="195">
        <v>23</v>
      </c>
      <c r="B34" s="308"/>
      <c r="C34" s="309"/>
      <c r="D34" s="309"/>
      <c r="E34" s="309"/>
      <c r="F34" s="309"/>
      <c r="G34" s="309"/>
      <c r="H34" s="309"/>
      <c r="I34" s="309"/>
      <c r="J34" s="309"/>
      <c r="K34" s="309"/>
      <c r="L34" s="309"/>
      <c r="M34" s="309"/>
      <c r="N34" s="310"/>
      <c r="P34" s="195">
        <v>23</v>
      </c>
      <c r="Q34" s="308"/>
      <c r="R34" s="309"/>
      <c r="S34" s="309"/>
      <c r="T34" s="309"/>
      <c r="U34" s="309"/>
      <c r="V34" s="309"/>
      <c r="W34" s="309"/>
      <c r="X34" s="309"/>
      <c r="Y34" s="309"/>
      <c r="Z34" s="309"/>
      <c r="AA34" s="309"/>
      <c r="AB34" s="309"/>
      <c r="AC34" s="310"/>
      <c r="AE34" s="195">
        <v>23</v>
      </c>
      <c r="AF34" s="308"/>
      <c r="AG34" s="309"/>
      <c r="AH34" s="309"/>
      <c r="AI34" s="309"/>
      <c r="AJ34" s="309"/>
      <c r="AK34" s="309"/>
      <c r="AL34" s="309"/>
      <c r="AM34" s="309"/>
      <c r="AN34" s="309"/>
      <c r="AO34" s="309"/>
      <c r="AP34" s="309"/>
      <c r="AQ34" s="309"/>
      <c r="AR34" s="310"/>
      <c r="AT34" s="195">
        <v>23</v>
      </c>
      <c r="AU34" s="308"/>
      <c r="AV34" s="309"/>
      <c r="AW34" s="309"/>
      <c r="AX34" s="309"/>
      <c r="AY34" s="309"/>
      <c r="AZ34" s="309"/>
      <c r="BA34" s="309"/>
      <c r="BB34" s="309"/>
      <c r="BC34" s="309"/>
      <c r="BD34" s="309"/>
      <c r="BE34" s="309"/>
      <c r="BF34" s="309"/>
      <c r="BG34" s="310"/>
    </row>
    <row r="35" spans="1:59">
      <c r="A35" s="195">
        <v>24</v>
      </c>
      <c r="B35" s="308"/>
      <c r="C35" s="309"/>
      <c r="D35" s="309"/>
      <c r="E35" s="309"/>
      <c r="F35" s="309"/>
      <c r="G35" s="309"/>
      <c r="H35" s="309"/>
      <c r="I35" s="309"/>
      <c r="J35" s="309"/>
      <c r="K35" s="309"/>
      <c r="L35" s="309"/>
      <c r="M35" s="309"/>
      <c r="N35" s="310"/>
      <c r="P35" s="195">
        <v>24</v>
      </c>
      <c r="Q35" s="308"/>
      <c r="R35" s="309"/>
      <c r="S35" s="309"/>
      <c r="T35" s="309"/>
      <c r="U35" s="309">
        <v>315245</v>
      </c>
      <c r="V35" s="309"/>
      <c r="W35" s="309"/>
      <c r="X35" s="309"/>
      <c r="Y35" s="309"/>
      <c r="Z35" s="309"/>
      <c r="AA35" s="309"/>
      <c r="AB35" s="309"/>
      <c r="AC35" s="310"/>
      <c r="AE35" s="195">
        <v>24</v>
      </c>
      <c r="AF35" s="308"/>
      <c r="AG35" s="309"/>
      <c r="AH35" s="309"/>
      <c r="AI35" s="309"/>
      <c r="AJ35" s="309"/>
      <c r="AK35" s="309"/>
      <c r="AL35" s="309"/>
      <c r="AM35" s="309"/>
      <c r="AN35" s="309"/>
      <c r="AO35" s="309"/>
      <c r="AP35" s="309"/>
      <c r="AQ35" s="309"/>
      <c r="AR35" s="310"/>
      <c r="AT35" s="195">
        <v>24</v>
      </c>
      <c r="AU35" s="308"/>
      <c r="AV35" s="309"/>
      <c r="AW35" s="309"/>
      <c r="AX35" s="309"/>
      <c r="AY35" s="309"/>
      <c r="AZ35" s="309"/>
      <c r="BA35" s="309"/>
      <c r="BB35" s="309"/>
      <c r="BC35" s="309"/>
      <c r="BD35" s="309"/>
      <c r="BE35" s="309"/>
      <c r="BF35" s="309"/>
      <c r="BG35" s="310"/>
    </row>
    <row r="36" spans="1:59">
      <c r="A36" s="195">
        <v>25</v>
      </c>
      <c r="B36" s="308"/>
      <c r="C36" s="309"/>
      <c r="D36" s="309"/>
      <c r="E36" s="309"/>
      <c r="F36" s="309"/>
      <c r="G36" s="309"/>
      <c r="H36" s="309"/>
      <c r="I36" s="309"/>
      <c r="J36" s="309"/>
      <c r="K36" s="309"/>
      <c r="L36" s="309"/>
      <c r="M36" s="309"/>
      <c r="N36" s="310"/>
      <c r="P36" s="195">
        <v>25</v>
      </c>
      <c r="Q36" s="308"/>
      <c r="R36" s="309"/>
      <c r="S36" s="309"/>
      <c r="T36" s="309"/>
      <c r="U36" s="309">
        <v>1812659</v>
      </c>
      <c r="V36" s="309"/>
      <c r="W36" s="309"/>
      <c r="X36" s="309"/>
      <c r="Y36" s="309"/>
      <c r="Z36" s="309"/>
      <c r="AA36" s="309"/>
      <c r="AB36" s="309"/>
      <c r="AC36" s="310"/>
      <c r="AE36" s="195">
        <v>25</v>
      </c>
      <c r="AF36" s="308"/>
      <c r="AG36" s="309"/>
      <c r="AH36" s="309"/>
      <c r="AI36" s="309"/>
      <c r="AJ36" s="309"/>
      <c r="AK36" s="309"/>
      <c r="AL36" s="309"/>
      <c r="AM36" s="309"/>
      <c r="AN36" s="309"/>
      <c r="AO36" s="309"/>
      <c r="AP36" s="309"/>
      <c r="AQ36" s="309"/>
      <c r="AR36" s="310"/>
      <c r="AT36" s="195">
        <v>25</v>
      </c>
      <c r="AU36" s="308"/>
      <c r="AV36" s="309"/>
      <c r="AW36" s="309"/>
      <c r="AX36" s="309"/>
      <c r="AY36" s="309">
        <v>143366</v>
      </c>
      <c r="AZ36" s="309"/>
      <c r="BA36" s="309"/>
      <c r="BB36" s="309"/>
      <c r="BC36" s="309"/>
      <c r="BD36" s="309"/>
      <c r="BE36" s="309"/>
      <c r="BF36" s="309"/>
      <c r="BG36" s="310"/>
    </row>
    <row r="37" spans="1:59">
      <c r="A37" s="195">
        <v>26</v>
      </c>
      <c r="B37" s="308"/>
      <c r="C37" s="309"/>
      <c r="D37" s="309"/>
      <c r="E37" s="309"/>
      <c r="F37" s="309"/>
      <c r="G37" s="309"/>
      <c r="H37" s="309"/>
      <c r="I37" s="309"/>
      <c r="J37" s="309"/>
      <c r="K37" s="309"/>
      <c r="L37" s="309"/>
      <c r="M37" s="309"/>
      <c r="N37" s="310"/>
      <c r="P37" s="195">
        <v>26</v>
      </c>
      <c r="Q37" s="308"/>
      <c r="R37" s="309"/>
      <c r="S37" s="309"/>
      <c r="T37" s="309"/>
      <c r="U37" s="309">
        <v>1947280</v>
      </c>
      <c r="V37" s="309"/>
      <c r="W37" s="309"/>
      <c r="X37" s="309"/>
      <c r="Y37" s="309"/>
      <c r="Z37" s="309"/>
      <c r="AA37" s="309"/>
      <c r="AB37" s="309"/>
      <c r="AC37" s="310"/>
      <c r="AE37" s="195">
        <v>26</v>
      </c>
      <c r="AF37" s="308"/>
      <c r="AG37" s="309"/>
      <c r="AH37" s="309"/>
      <c r="AI37" s="309"/>
      <c r="AJ37" s="309"/>
      <c r="AK37" s="309"/>
      <c r="AL37" s="309"/>
      <c r="AM37" s="309"/>
      <c r="AN37" s="309"/>
      <c r="AO37" s="309"/>
      <c r="AP37" s="309"/>
      <c r="AQ37" s="309"/>
      <c r="AR37" s="310"/>
      <c r="AT37" s="195">
        <v>26</v>
      </c>
      <c r="AU37" s="308"/>
      <c r="AV37" s="309"/>
      <c r="AW37" s="309"/>
      <c r="AX37" s="309"/>
      <c r="AY37" s="309"/>
      <c r="AZ37" s="309"/>
      <c r="BA37" s="309"/>
      <c r="BB37" s="309"/>
      <c r="BC37" s="309"/>
      <c r="BD37" s="309"/>
      <c r="BE37" s="309"/>
      <c r="BF37" s="309"/>
      <c r="BG37" s="310"/>
    </row>
    <row r="38" spans="1:59">
      <c r="A38" s="195">
        <v>27</v>
      </c>
      <c r="B38" s="308"/>
      <c r="C38" s="309"/>
      <c r="D38" s="309"/>
      <c r="E38" s="309"/>
      <c r="F38" s="309"/>
      <c r="G38" s="309"/>
      <c r="H38" s="309"/>
      <c r="I38" s="309"/>
      <c r="J38" s="309"/>
      <c r="K38" s="309"/>
      <c r="L38" s="309"/>
      <c r="M38" s="309"/>
      <c r="N38" s="310"/>
      <c r="P38" s="195">
        <v>27</v>
      </c>
      <c r="Q38" s="308"/>
      <c r="R38" s="309"/>
      <c r="S38" s="309"/>
      <c r="T38" s="309"/>
      <c r="U38" s="309">
        <v>1454373</v>
      </c>
      <c r="V38" s="309"/>
      <c r="W38" s="309"/>
      <c r="X38" s="309"/>
      <c r="Y38" s="309"/>
      <c r="Z38" s="309"/>
      <c r="AA38" s="309"/>
      <c r="AB38" s="309"/>
      <c r="AC38" s="310"/>
      <c r="AE38" s="195">
        <v>27</v>
      </c>
      <c r="AF38" s="308"/>
      <c r="AG38" s="309"/>
      <c r="AH38" s="309"/>
      <c r="AI38" s="309"/>
      <c r="AJ38" s="309"/>
      <c r="AK38" s="309"/>
      <c r="AL38" s="309"/>
      <c r="AM38" s="309"/>
      <c r="AN38" s="309"/>
      <c r="AO38" s="309"/>
      <c r="AP38" s="309"/>
      <c r="AQ38" s="309"/>
      <c r="AR38" s="310"/>
      <c r="AT38" s="195">
        <v>27</v>
      </c>
      <c r="AU38" s="308"/>
      <c r="AV38" s="309"/>
      <c r="AW38" s="309"/>
      <c r="AX38" s="309"/>
      <c r="AY38" s="309">
        <v>71683</v>
      </c>
      <c r="AZ38" s="309"/>
      <c r="BA38" s="309"/>
      <c r="BB38" s="309"/>
      <c r="BC38" s="309"/>
      <c r="BD38" s="309"/>
      <c r="BE38" s="309"/>
      <c r="BF38" s="309"/>
      <c r="BG38" s="310"/>
    </row>
    <row r="39" spans="1:59">
      <c r="A39" s="195">
        <v>28</v>
      </c>
      <c r="B39" s="308"/>
      <c r="C39" s="309"/>
      <c r="D39" s="309"/>
      <c r="E39" s="309"/>
      <c r="F39" s="309"/>
      <c r="G39" s="309"/>
      <c r="H39" s="309"/>
      <c r="I39" s="309"/>
      <c r="J39" s="309"/>
      <c r="K39" s="309"/>
      <c r="L39" s="309"/>
      <c r="M39" s="309"/>
      <c r="N39" s="310"/>
      <c r="P39" s="195">
        <v>28</v>
      </c>
      <c r="Q39" s="308"/>
      <c r="R39" s="309"/>
      <c r="S39" s="309"/>
      <c r="T39" s="309"/>
      <c r="U39" s="309"/>
      <c r="V39" s="309">
        <v>687781</v>
      </c>
      <c r="W39" s="309"/>
      <c r="X39" s="309"/>
      <c r="Y39" s="309"/>
      <c r="Z39" s="309"/>
      <c r="AA39" s="309"/>
      <c r="AB39" s="309"/>
      <c r="AC39" s="310"/>
      <c r="AE39" s="195">
        <v>28</v>
      </c>
      <c r="AF39" s="308"/>
      <c r="AG39" s="309"/>
      <c r="AH39" s="309"/>
      <c r="AI39" s="309"/>
      <c r="AJ39" s="309"/>
      <c r="AK39" s="309"/>
      <c r="AL39" s="309"/>
      <c r="AM39" s="309"/>
      <c r="AN39" s="309"/>
      <c r="AO39" s="309"/>
      <c r="AP39" s="309"/>
      <c r="AQ39" s="309"/>
      <c r="AR39" s="310"/>
      <c r="AT39" s="195">
        <v>28</v>
      </c>
      <c r="AU39" s="308"/>
      <c r="AV39" s="309"/>
      <c r="AW39" s="309"/>
      <c r="AX39" s="309"/>
      <c r="AY39" s="309"/>
      <c r="AZ39" s="309">
        <v>80718.853019999995</v>
      </c>
      <c r="BA39" s="309"/>
      <c r="BB39" s="309"/>
      <c r="BC39" s="309"/>
      <c r="BD39" s="309"/>
      <c r="BE39" s="309"/>
      <c r="BF39" s="309"/>
      <c r="BG39" s="310"/>
    </row>
    <row r="40" spans="1:59">
      <c r="A40" s="195">
        <v>29</v>
      </c>
      <c r="B40" s="308"/>
      <c r="C40" s="309"/>
      <c r="D40" s="309"/>
      <c r="E40" s="309"/>
      <c r="F40" s="309"/>
      <c r="G40" s="309"/>
      <c r="H40" s="309"/>
      <c r="I40" s="309"/>
      <c r="J40" s="309"/>
      <c r="K40" s="309"/>
      <c r="L40" s="309"/>
      <c r="M40" s="309"/>
      <c r="N40" s="310"/>
      <c r="P40" s="195">
        <v>29</v>
      </c>
      <c r="Q40" s="308"/>
      <c r="R40" s="309"/>
      <c r="S40" s="309"/>
      <c r="T40" s="309"/>
      <c r="U40" s="309"/>
      <c r="V40" s="309">
        <v>766458</v>
      </c>
      <c r="W40" s="309"/>
      <c r="X40" s="309"/>
      <c r="Y40" s="309"/>
      <c r="Z40" s="309"/>
      <c r="AA40" s="309"/>
      <c r="AB40" s="309"/>
      <c r="AC40" s="310"/>
      <c r="AE40" s="195">
        <v>29</v>
      </c>
      <c r="AF40" s="308"/>
      <c r="AG40" s="309"/>
      <c r="AH40" s="309"/>
      <c r="AI40" s="309"/>
      <c r="AJ40" s="309"/>
      <c r="AK40" s="309"/>
      <c r="AL40" s="309"/>
      <c r="AM40" s="309"/>
      <c r="AN40" s="309"/>
      <c r="AO40" s="309"/>
      <c r="AP40" s="309"/>
      <c r="AQ40" s="309"/>
      <c r="AR40" s="310"/>
      <c r="AT40" s="195">
        <v>29</v>
      </c>
      <c r="AU40" s="308"/>
      <c r="AV40" s="309"/>
      <c r="AW40" s="309"/>
      <c r="AX40" s="309"/>
      <c r="AY40" s="309"/>
      <c r="AZ40" s="309">
        <v>76657.710850000003</v>
      </c>
      <c r="BA40" s="309"/>
      <c r="BB40" s="309"/>
      <c r="BC40" s="309"/>
      <c r="BD40" s="309"/>
      <c r="BE40" s="309"/>
      <c r="BF40" s="309"/>
      <c r="BG40" s="310"/>
    </row>
    <row r="41" spans="1:59">
      <c r="A41" s="195">
        <v>30</v>
      </c>
      <c r="B41" s="308"/>
      <c r="C41" s="309"/>
      <c r="D41" s="309"/>
      <c r="E41" s="309"/>
      <c r="F41" s="309"/>
      <c r="G41" s="309"/>
      <c r="H41" s="309"/>
      <c r="I41" s="309"/>
      <c r="J41" s="309"/>
      <c r="K41" s="309"/>
      <c r="L41" s="309"/>
      <c r="M41" s="309"/>
      <c r="N41" s="310"/>
      <c r="P41" s="195">
        <v>30</v>
      </c>
      <c r="Q41" s="308"/>
      <c r="R41" s="309"/>
      <c r="S41" s="309"/>
      <c r="T41" s="309"/>
      <c r="U41" s="309"/>
      <c r="V41" s="309"/>
      <c r="W41" s="309">
        <v>452155</v>
      </c>
      <c r="X41" s="309"/>
      <c r="Y41" s="309"/>
      <c r="Z41" s="309"/>
      <c r="AA41" s="309"/>
      <c r="AB41" s="309"/>
      <c r="AC41" s="310"/>
      <c r="AE41" s="195">
        <v>30</v>
      </c>
      <c r="AF41" s="308"/>
      <c r="AG41" s="309"/>
      <c r="AH41" s="309"/>
      <c r="AI41" s="309"/>
      <c r="AJ41" s="309"/>
      <c r="AK41" s="309"/>
      <c r="AL41" s="309"/>
      <c r="AM41" s="309"/>
      <c r="AN41" s="309"/>
      <c r="AO41" s="309"/>
      <c r="AP41" s="309"/>
      <c r="AQ41" s="309"/>
      <c r="AR41" s="310"/>
      <c r="AT41" s="195">
        <v>30</v>
      </c>
      <c r="AU41" s="308"/>
      <c r="AV41" s="309"/>
      <c r="AW41" s="309"/>
      <c r="AX41" s="309"/>
      <c r="AY41" s="309"/>
      <c r="AZ41" s="309"/>
      <c r="BA41" s="309">
        <v>476386.71084999997</v>
      </c>
      <c r="BB41" s="309"/>
      <c r="BC41" s="309"/>
      <c r="BD41" s="309"/>
      <c r="BE41" s="309"/>
      <c r="BF41" s="309"/>
      <c r="BG41" s="310"/>
    </row>
    <row r="42" spans="1:59">
      <c r="A42" s="195">
        <v>31</v>
      </c>
      <c r="B42" s="308"/>
      <c r="C42" s="309"/>
      <c r="D42" s="309"/>
      <c r="E42" s="309"/>
      <c r="F42" s="309"/>
      <c r="G42" s="309"/>
      <c r="H42" s="309"/>
      <c r="I42" s="309"/>
      <c r="J42" s="309"/>
      <c r="K42" s="309"/>
      <c r="L42" s="309"/>
      <c r="M42" s="309"/>
      <c r="N42" s="310"/>
      <c r="P42" s="195">
        <v>31</v>
      </c>
      <c r="Q42" s="308"/>
      <c r="R42" s="309"/>
      <c r="S42" s="309"/>
      <c r="T42" s="309"/>
      <c r="U42" s="309"/>
      <c r="V42" s="309"/>
      <c r="W42" s="309">
        <v>39406</v>
      </c>
      <c r="X42" s="309"/>
      <c r="Y42" s="309"/>
      <c r="Z42" s="309"/>
      <c r="AA42" s="309"/>
      <c r="AB42" s="309"/>
      <c r="AC42" s="310"/>
      <c r="AE42" s="195">
        <v>31</v>
      </c>
      <c r="AF42" s="308"/>
      <c r="AG42" s="309"/>
      <c r="AH42" s="309"/>
      <c r="AI42" s="309"/>
      <c r="AJ42" s="309"/>
      <c r="AK42" s="309"/>
      <c r="AL42" s="309"/>
      <c r="AM42" s="309"/>
      <c r="AN42" s="309"/>
      <c r="AO42" s="309"/>
      <c r="AP42" s="309"/>
      <c r="AQ42" s="309"/>
      <c r="AR42" s="310"/>
      <c r="AT42" s="195">
        <v>31</v>
      </c>
      <c r="AU42" s="308"/>
      <c r="AV42" s="309"/>
      <c r="AW42" s="309"/>
      <c r="AX42" s="309"/>
      <c r="AY42" s="309"/>
      <c r="AZ42" s="309"/>
      <c r="BA42" s="309">
        <v>203613.62747400001</v>
      </c>
      <c r="BB42" s="309">
        <v>814454.50989600003</v>
      </c>
      <c r="BC42" s="309"/>
      <c r="BD42" s="309"/>
      <c r="BE42" s="309"/>
      <c r="BF42" s="309"/>
      <c r="BG42" s="310"/>
    </row>
    <row r="43" spans="1:59">
      <c r="A43" s="195">
        <v>32</v>
      </c>
      <c r="B43" s="308"/>
      <c r="C43" s="309"/>
      <c r="D43" s="309"/>
      <c r="E43" s="309"/>
      <c r="F43" s="309"/>
      <c r="G43" s="309"/>
      <c r="H43" s="309"/>
      <c r="I43" s="309"/>
      <c r="J43" s="309"/>
      <c r="K43" s="309"/>
      <c r="L43" s="309"/>
      <c r="M43" s="309"/>
      <c r="N43" s="310"/>
      <c r="P43" s="195">
        <v>32</v>
      </c>
      <c r="Q43" s="308"/>
      <c r="R43" s="309"/>
      <c r="S43" s="309"/>
      <c r="T43" s="309"/>
      <c r="U43" s="309"/>
      <c r="V43" s="309"/>
      <c r="W43" s="309"/>
      <c r="X43" s="309"/>
      <c r="Y43" s="309"/>
      <c r="Z43" s="309"/>
      <c r="AA43" s="309"/>
      <c r="AB43" s="309"/>
      <c r="AC43" s="310"/>
      <c r="AE43" s="195">
        <v>32</v>
      </c>
      <c r="AF43" s="308"/>
      <c r="AG43" s="309"/>
      <c r="AH43" s="309"/>
      <c r="AI43" s="309"/>
      <c r="AJ43" s="309"/>
      <c r="AK43" s="309"/>
      <c r="AL43" s="309"/>
      <c r="AM43" s="309"/>
      <c r="AN43" s="309"/>
      <c r="AO43" s="309"/>
      <c r="AP43" s="309"/>
      <c r="AQ43" s="309"/>
      <c r="AR43" s="310"/>
      <c r="AT43" s="195">
        <v>32</v>
      </c>
      <c r="AU43" s="308"/>
      <c r="AV43" s="309"/>
      <c r="AW43" s="309"/>
      <c r="AX43" s="309"/>
      <c r="AY43" s="309"/>
      <c r="AZ43" s="309"/>
      <c r="BA43" s="309">
        <v>629658.06629999995</v>
      </c>
      <c r="BB43" s="309">
        <v>419772.0442</v>
      </c>
      <c r="BC43" s="309">
        <v>209886.0221</v>
      </c>
      <c r="BD43" s="309"/>
      <c r="BE43" s="309"/>
      <c r="BF43" s="309"/>
      <c r="BG43" s="310"/>
    </row>
    <row r="44" spans="1:59">
      <c r="A44" s="195">
        <v>33</v>
      </c>
      <c r="B44" s="308"/>
      <c r="C44" s="309"/>
      <c r="D44" s="309"/>
      <c r="E44" s="309"/>
      <c r="F44" s="309"/>
      <c r="G44" s="309"/>
      <c r="H44" s="309"/>
      <c r="I44" s="309"/>
      <c r="J44" s="309"/>
      <c r="K44" s="309"/>
      <c r="L44" s="309"/>
      <c r="M44" s="309"/>
      <c r="N44" s="310"/>
      <c r="P44" s="195">
        <v>33</v>
      </c>
      <c r="Q44" s="308"/>
      <c r="R44" s="309"/>
      <c r="S44" s="309"/>
      <c r="T44" s="309"/>
      <c r="U44" s="309"/>
      <c r="V44" s="309"/>
      <c r="W44" s="309"/>
      <c r="X44" s="309"/>
      <c r="Y44" s="309"/>
      <c r="Z44" s="309"/>
      <c r="AA44" s="309"/>
      <c r="AB44" s="309"/>
      <c r="AC44" s="310"/>
      <c r="AE44" s="195">
        <v>33</v>
      </c>
      <c r="AF44" s="308"/>
      <c r="AG44" s="309"/>
      <c r="AH44" s="309"/>
      <c r="AI44" s="309"/>
      <c r="AJ44" s="309"/>
      <c r="AK44" s="309"/>
      <c r="AL44" s="309"/>
      <c r="AM44" s="309"/>
      <c r="AN44" s="309"/>
      <c r="AO44" s="309"/>
      <c r="AP44" s="309"/>
      <c r="AQ44" s="309"/>
      <c r="AR44" s="310"/>
      <c r="AT44" s="195">
        <v>33</v>
      </c>
      <c r="AU44" s="308"/>
      <c r="AV44" s="309"/>
      <c r="AW44" s="309"/>
      <c r="AX44" s="309"/>
      <c r="AY44" s="309"/>
      <c r="AZ44" s="309"/>
      <c r="BA44" s="309">
        <v>956121.31469999999</v>
      </c>
      <c r="BB44" s="309">
        <v>573672.78882000002</v>
      </c>
      <c r="BC44" s="309">
        <v>382448.52587999997</v>
      </c>
      <c r="BD44" s="309"/>
      <c r="BE44" s="309"/>
      <c r="BF44" s="309"/>
      <c r="BG44" s="310"/>
    </row>
    <row r="45" spans="1:59">
      <c r="A45" s="195">
        <v>34</v>
      </c>
      <c r="B45" s="308"/>
      <c r="C45" s="309"/>
      <c r="D45" s="309"/>
      <c r="E45" s="309"/>
      <c r="F45" s="309"/>
      <c r="G45" s="309"/>
      <c r="H45" s="309"/>
      <c r="I45" s="309"/>
      <c r="J45" s="309"/>
      <c r="K45" s="309"/>
      <c r="L45" s="309"/>
      <c r="M45" s="309"/>
      <c r="N45" s="310"/>
      <c r="P45" s="195">
        <v>34</v>
      </c>
      <c r="Q45" s="308"/>
      <c r="R45" s="309"/>
      <c r="S45" s="309"/>
      <c r="T45" s="309"/>
      <c r="U45" s="309"/>
      <c r="V45" s="309"/>
      <c r="W45" s="309"/>
      <c r="X45" s="309"/>
      <c r="Y45" s="309"/>
      <c r="Z45" s="309"/>
      <c r="AA45" s="309"/>
      <c r="AB45" s="309"/>
      <c r="AC45" s="310"/>
      <c r="AE45" s="195">
        <v>34</v>
      </c>
      <c r="AF45" s="308"/>
      <c r="AG45" s="309"/>
      <c r="AH45" s="309"/>
      <c r="AI45" s="309"/>
      <c r="AJ45" s="309"/>
      <c r="AK45" s="309"/>
      <c r="AL45" s="309"/>
      <c r="AM45" s="309"/>
      <c r="AN45" s="309"/>
      <c r="AO45" s="309"/>
      <c r="AP45" s="309"/>
      <c r="AQ45" s="309"/>
      <c r="AR45" s="310"/>
      <c r="AT45" s="195">
        <v>34</v>
      </c>
      <c r="AU45" s="308"/>
      <c r="AV45" s="309"/>
      <c r="AW45" s="309"/>
      <c r="AX45" s="309"/>
      <c r="AY45" s="309"/>
      <c r="AZ45" s="309"/>
      <c r="BA45" s="309">
        <v>1372685.84406</v>
      </c>
      <c r="BB45" s="309">
        <v>228780.97401000001</v>
      </c>
      <c r="BC45" s="309">
        <v>457561.94802000001</v>
      </c>
      <c r="BD45" s="309">
        <v>228780.97401000001</v>
      </c>
      <c r="BE45" s="309"/>
      <c r="BF45" s="309"/>
      <c r="BG45" s="310"/>
    </row>
    <row r="46" spans="1:59">
      <c r="A46" s="195">
        <v>35</v>
      </c>
      <c r="B46" s="308"/>
      <c r="C46" s="309"/>
      <c r="D46" s="309"/>
      <c r="E46" s="309"/>
      <c r="F46" s="309"/>
      <c r="G46" s="309"/>
      <c r="H46" s="309"/>
      <c r="I46" s="309"/>
      <c r="J46" s="309"/>
      <c r="K46" s="309"/>
      <c r="L46" s="309"/>
      <c r="M46" s="309"/>
      <c r="N46" s="310"/>
      <c r="P46" s="195">
        <v>35</v>
      </c>
      <c r="Q46" s="308"/>
      <c r="R46" s="309"/>
      <c r="S46" s="309"/>
      <c r="T46" s="309"/>
      <c r="U46" s="309"/>
      <c r="V46" s="309"/>
      <c r="W46" s="309"/>
      <c r="X46" s="309"/>
      <c r="Y46" s="309"/>
      <c r="Z46" s="309"/>
      <c r="AA46" s="309"/>
      <c r="AB46" s="309"/>
      <c r="AC46" s="310"/>
      <c r="AE46" s="195">
        <v>35</v>
      </c>
      <c r="AF46" s="308"/>
      <c r="AG46" s="309"/>
      <c r="AH46" s="309"/>
      <c r="AI46" s="309"/>
      <c r="AJ46" s="309"/>
      <c r="AK46" s="309"/>
      <c r="AL46" s="309"/>
      <c r="AM46" s="309"/>
      <c r="AN46" s="309"/>
      <c r="AO46" s="309"/>
      <c r="AP46" s="309"/>
      <c r="AQ46" s="309"/>
      <c r="AR46" s="310"/>
      <c r="AT46" s="195">
        <v>35</v>
      </c>
      <c r="AU46" s="308"/>
      <c r="AV46" s="309"/>
      <c r="AW46" s="309"/>
      <c r="AX46" s="309"/>
      <c r="AY46" s="309"/>
      <c r="AZ46" s="309">
        <v>227956.51535857099</v>
      </c>
      <c r="BA46" s="309">
        <v>455913.03071714297</v>
      </c>
      <c r="BB46" s="309">
        <v>683869.54607571405</v>
      </c>
      <c r="BC46" s="309">
        <v>227956.51535857099</v>
      </c>
      <c r="BD46" s="309"/>
      <c r="BE46" s="309"/>
      <c r="BF46" s="309"/>
      <c r="BG46" s="310"/>
    </row>
    <row r="47" spans="1:59">
      <c r="A47" s="195">
        <v>36</v>
      </c>
      <c r="B47" s="308"/>
      <c r="C47" s="309"/>
      <c r="D47" s="309"/>
      <c r="E47" s="309"/>
      <c r="F47" s="309"/>
      <c r="G47" s="309"/>
      <c r="H47" s="309"/>
      <c r="I47" s="309"/>
      <c r="J47" s="309"/>
      <c r="K47" s="309"/>
      <c r="L47" s="309"/>
      <c r="M47" s="309"/>
      <c r="N47" s="310"/>
      <c r="P47" s="195">
        <v>36</v>
      </c>
      <c r="Q47" s="308"/>
      <c r="R47" s="309"/>
      <c r="S47" s="309"/>
      <c r="T47" s="309"/>
      <c r="U47" s="309"/>
      <c r="V47" s="309"/>
      <c r="W47" s="309"/>
      <c r="X47" s="309"/>
      <c r="Y47" s="309"/>
      <c r="Z47" s="309"/>
      <c r="AA47" s="309"/>
      <c r="AB47" s="309"/>
      <c r="AC47" s="310"/>
      <c r="AE47" s="195">
        <v>36</v>
      </c>
      <c r="AF47" s="308"/>
      <c r="AG47" s="309"/>
      <c r="AH47" s="309"/>
      <c r="AI47" s="309"/>
      <c r="AJ47" s="309"/>
      <c r="AK47" s="309"/>
      <c r="AL47" s="309"/>
      <c r="AM47" s="309"/>
      <c r="AN47" s="309"/>
      <c r="AO47" s="309"/>
      <c r="AP47" s="309"/>
      <c r="AQ47" s="309"/>
      <c r="AR47" s="310"/>
      <c r="AT47" s="195">
        <v>36</v>
      </c>
      <c r="AU47" s="308"/>
      <c r="AV47" s="309"/>
      <c r="AW47" s="309"/>
      <c r="AX47" s="309"/>
      <c r="AY47" s="309"/>
      <c r="AZ47" s="309"/>
      <c r="BA47" s="309">
        <v>222054.67134999999</v>
      </c>
      <c r="BB47" s="309"/>
      <c r="BC47" s="309">
        <v>444109.34269999998</v>
      </c>
      <c r="BD47" s="309">
        <v>444109.34269999998</v>
      </c>
      <c r="BE47" s="309"/>
      <c r="BF47" s="309"/>
      <c r="BG47" s="310"/>
    </row>
    <row r="48" spans="1:59">
      <c r="A48" s="195">
        <v>37</v>
      </c>
      <c r="B48" s="308"/>
      <c r="C48" s="309"/>
      <c r="D48" s="309"/>
      <c r="E48" s="309"/>
      <c r="F48" s="309"/>
      <c r="G48" s="309"/>
      <c r="H48" s="309"/>
      <c r="I48" s="309"/>
      <c r="J48" s="309"/>
      <c r="K48" s="309"/>
      <c r="L48" s="309"/>
      <c r="M48" s="309"/>
      <c r="N48" s="310"/>
      <c r="P48" s="195">
        <v>37</v>
      </c>
      <c r="Q48" s="308"/>
      <c r="R48" s="309"/>
      <c r="S48" s="309"/>
      <c r="T48" s="309"/>
      <c r="U48" s="309"/>
      <c r="V48" s="309"/>
      <c r="W48" s="309"/>
      <c r="X48" s="309"/>
      <c r="Y48" s="309"/>
      <c r="Z48" s="309"/>
      <c r="AA48" s="309"/>
      <c r="AB48" s="309"/>
      <c r="AC48" s="310"/>
      <c r="AE48" s="195">
        <v>37</v>
      </c>
      <c r="AF48" s="308"/>
      <c r="AG48" s="309"/>
      <c r="AH48" s="309"/>
      <c r="AI48" s="309"/>
      <c r="AJ48" s="309"/>
      <c r="AK48" s="309"/>
      <c r="AL48" s="309"/>
      <c r="AM48" s="309"/>
      <c r="AN48" s="309"/>
      <c r="AO48" s="309"/>
      <c r="AP48" s="309"/>
      <c r="AQ48" s="309"/>
      <c r="AR48" s="310"/>
      <c r="AT48" s="195">
        <v>37</v>
      </c>
      <c r="AU48" s="308"/>
      <c r="AV48" s="309"/>
      <c r="AW48" s="309"/>
      <c r="AX48" s="309"/>
      <c r="AY48" s="309"/>
      <c r="AZ48" s="309"/>
      <c r="BA48" s="309"/>
      <c r="BB48" s="309">
        <v>433707.01465000003</v>
      </c>
      <c r="BC48" s="309"/>
      <c r="BD48" s="309"/>
      <c r="BE48" s="309">
        <v>433707.01465000003</v>
      </c>
      <c r="BF48" s="309"/>
      <c r="BG48" s="310"/>
    </row>
    <row r="49" spans="1:59">
      <c r="A49" s="195">
        <v>38</v>
      </c>
      <c r="B49" s="308"/>
      <c r="C49" s="309"/>
      <c r="D49" s="309"/>
      <c r="E49" s="309"/>
      <c r="F49" s="309"/>
      <c r="G49" s="309"/>
      <c r="H49" s="309"/>
      <c r="I49" s="309"/>
      <c r="J49" s="309"/>
      <c r="K49" s="309"/>
      <c r="L49" s="309"/>
      <c r="M49" s="309"/>
      <c r="N49" s="310"/>
      <c r="P49" s="195">
        <v>38</v>
      </c>
      <c r="Q49" s="308"/>
      <c r="R49" s="309"/>
      <c r="S49" s="309"/>
      <c r="T49" s="309"/>
      <c r="U49" s="309"/>
      <c r="V49" s="309"/>
      <c r="W49" s="309"/>
      <c r="X49" s="309"/>
      <c r="Y49" s="309"/>
      <c r="Z49" s="309"/>
      <c r="AA49" s="309"/>
      <c r="AB49" s="309"/>
      <c r="AC49" s="310"/>
      <c r="AE49" s="195">
        <v>38</v>
      </c>
      <c r="AF49" s="308"/>
      <c r="AG49" s="309"/>
      <c r="AH49" s="309"/>
      <c r="AI49" s="309"/>
      <c r="AJ49" s="309"/>
      <c r="AK49" s="309"/>
      <c r="AL49" s="309"/>
      <c r="AM49" s="309"/>
      <c r="AN49" s="309"/>
      <c r="AO49" s="309"/>
      <c r="AP49" s="309"/>
      <c r="AQ49" s="309"/>
      <c r="AR49" s="310"/>
      <c r="AT49" s="195">
        <v>38</v>
      </c>
      <c r="AU49" s="308"/>
      <c r="AV49" s="309"/>
      <c r="AW49" s="309"/>
      <c r="AX49" s="309"/>
      <c r="AY49" s="309"/>
      <c r="AZ49" s="309"/>
      <c r="BA49" s="309">
        <v>438990.53750500001</v>
      </c>
      <c r="BB49" s="309"/>
      <c r="BC49" s="309"/>
      <c r="BD49" s="309">
        <v>438990.53750500001</v>
      </c>
      <c r="BE49" s="309"/>
      <c r="BF49" s="309"/>
      <c r="BG49" s="310"/>
    </row>
    <row r="50" spans="1:59">
      <c r="A50" s="195">
        <v>39</v>
      </c>
      <c r="B50" s="308"/>
      <c r="C50" s="309"/>
      <c r="D50" s="309"/>
      <c r="E50" s="309"/>
      <c r="F50" s="309"/>
      <c r="G50" s="309"/>
      <c r="H50" s="309"/>
      <c r="I50" s="309"/>
      <c r="J50" s="309"/>
      <c r="K50" s="309"/>
      <c r="L50" s="309"/>
      <c r="M50" s="309"/>
      <c r="N50" s="310"/>
      <c r="P50" s="195">
        <v>39</v>
      </c>
      <c r="Q50" s="308"/>
      <c r="R50" s="309"/>
      <c r="S50" s="309"/>
      <c r="T50" s="309"/>
      <c r="U50" s="309"/>
      <c r="V50" s="309"/>
      <c r="W50" s="309"/>
      <c r="X50" s="309"/>
      <c r="Y50" s="309"/>
      <c r="Z50" s="309"/>
      <c r="AA50" s="309"/>
      <c r="AB50" s="309"/>
      <c r="AC50" s="310"/>
      <c r="AE50" s="195">
        <v>39</v>
      </c>
      <c r="AF50" s="308"/>
      <c r="AG50" s="309"/>
      <c r="AH50" s="309"/>
      <c r="AI50" s="309"/>
      <c r="AJ50" s="309"/>
      <c r="AK50" s="309"/>
      <c r="AL50" s="309"/>
      <c r="AM50" s="309"/>
      <c r="AN50" s="309"/>
      <c r="AO50" s="309"/>
      <c r="AP50" s="309"/>
      <c r="AQ50" s="309"/>
      <c r="AR50" s="310"/>
      <c r="AT50" s="195">
        <v>39</v>
      </c>
      <c r="AU50" s="308"/>
      <c r="AV50" s="309"/>
      <c r="AW50" s="309"/>
      <c r="AX50" s="309"/>
      <c r="AY50" s="309"/>
      <c r="AZ50" s="309"/>
      <c r="BA50" s="309"/>
      <c r="BB50" s="309">
        <v>561644.3406</v>
      </c>
      <c r="BC50" s="309"/>
      <c r="BD50" s="309">
        <v>187214.78020000001</v>
      </c>
      <c r="BE50" s="309"/>
      <c r="BF50" s="309"/>
      <c r="BG50" s="310"/>
    </row>
    <row r="51" spans="1:59">
      <c r="A51" s="195">
        <v>40</v>
      </c>
      <c r="B51" s="308"/>
      <c r="C51" s="309"/>
      <c r="D51" s="309"/>
      <c r="E51" s="309"/>
      <c r="F51" s="309"/>
      <c r="G51" s="309"/>
      <c r="H51" s="309"/>
      <c r="I51" s="309"/>
      <c r="J51" s="309"/>
      <c r="K51" s="309"/>
      <c r="L51" s="309"/>
      <c r="M51" s="309"/>
      <c r="N51" s="310"/>
      <c r="P51" s="195">
        <v>40</v>
      </c>
      <c r="Q51" s="308"/>
      <c r="R51" s="309"/>
      <c r="S51" s="309"/>
      <c r="T51" s="309"/>
      <c r="U51" s="309"/>
      <c r="V51" s="309"/>
      <c r="W51" s="309"/>
      <c r="X51" s="309"/>
      <c r="Y51" s="309"/>
      <c r="Z51" s="309"/>
      <c r="AA51" s="309"/>
      <c r="AB51" s="309"/>
      <c r="AC51" s="310"/>
      <c r="AE51" s="195">
        <v>40</v>
      </c>
      <c r="AF51" s="308"/>
      <c r="AG51" s="309"/>
      <c r="AH51" s="309"/>
      <c r="AI51" s="309"/>
      <c r="AJ51" s="309"/>
      <c r="AK51" s="309"/>
      <c r="AL51" s="309"/>
      <c r="AM51" s="309"/>
      <c r="AN51" s="309"/>
      <c r="AO51" s="309"/>
      <c r="AP51" s="309"/>
      <c r="AQ51" s="309"/>
      <c r="AR51" s="310"/>
      <c r="AT51" s="195">
        <v>40</v>
      </c>
      <c r="AU51" s="308"/>
      <c r="AV51" s="309"/>
      <c r="AW51" s="309"/>
      <c r="AX51" s="309"/>
      <c r="AY51" s="309"/>
      <c r="AZ51" s="309"/>
      <c r="BA51" s="309"/>
      <c r="BB51" s="309">
        <v>215082.21568550001</v>
      </c>
      <c r="BC51" s="309"/>
      <c r="BD51" s="309"/>
      <c r="BE51" s="309"/>
      <c r="BF51" s="309">
        <v>215082.21568550001</v>
      </c>
      <c r="BG51" s="310"/>
    </row>
    <row r="52" spans="1:59">
      <c r="A52" s="195">
        <v>41</v>
      </c>
      <c r="B52" s="308"/>
      <c r="C52" s="309"/>
      <c r="D52" s="309"/>
      <c r="E52" s="309"/>
      <c r="F52" s="309"/>
      <c r="G52" s="309"/>
      <c r="H52" s="309"/>
      <c r="I52" s="309"/>
      <c r="J52" s="309"/>
      <c r="K52" s="309"/>
      <c r="L52" s="309"/>
      <c r="M52" s="309"/>
      <c r="N52" s="310"/>
      <c r="P52" s="195">
        <v>41</v>
      </c>
      <c r="Q52" s="308"/>
      <c r="R52" s="309"/>
      <c r="S52" s="309"/>
      <c r="T52" s="309"/>
      <c r="U52" s="309"/>
      <c r="V52" s="309"/>
      <c r="W52" s="309"/>
      <c r="X52" s="309"/>
      <c r="Y52" s="309"/>
      <c r="Z52" s="309"/>
      <c r="AA52" s="309"/>
      <c r="AB52" s="309"/>
      <c r="AC52" s="310"/>
      <c r="AE52" s="195">
        <v>41</v>
      </c>
      <c r="AF52" s="308"/>
      <c r="AG52" s="309"/>
      <c r="AH52" s="309"/>
      <c r="AI52" s="309"/>
      <c r="AJ52" s="309"/>
      <c r="AK52" s="309"/>
      <c r="AL52" s="309"/>
      <c r="AM52" s="309"/>
      <c r="AN52" s="309"/>
      <c r="AO52" s="309"/>
      <c r="AP52" s="309"/>
      <c r="AQ52" s="309"/>
      <c r="AR52" s="310"/>
      <c r="AT52" s="195">
        <v>41</v>
      </c>
      <c r="AU52" s="308"/>
      <c r="AV52" s="309"/>
      <c r="AW52" s="309"/>
      <c r="AX52" s="309"/>
      <c r="AY52" s="309"/>
      <c r="AZ52" s="309"/>
      <c r="BA52" s="309"/>
      <c r="BB52" s="309"/>
      <c r="BC52" s="309"/>
      <c r="BD52" s="309"/>
      <c r="BE52" s="309">
        <v>172822.58679</v>
      </c>
      <c r="BF52" s="309">
        <v>172822.58679</v>
      </c>
      <c r="BG52" s="310"/>
    </row>
    <row r="53" spans="1:59">
      <c r="A53" s="195">
        <v>42</v>
      </c>
      <c r="B53" s="308"/>
      <c r="C53" s="309"/>
      <c r="D53" s="309"/>
      <c r="E53" s="309"/>
      <c r="F53" s="309"/>
      <c r="G53" s="309"/>
      <c r="H53" s="309"/>
      <c r="I53" s="309"/>
      <c r="J53" s="309"/>
      <c r="K53" s="309"/>
      <c r="L53" s="309"/>
      <c r="M53" s="309"/>
      <c r="N53" s="310"/>
      <c r="P53" s="195">
        <v>42</v>
      </c>
      <c r="Q53" s="308"/>
      <c r="R53" s="309"/>
      <c r="S53" s="309"/>
      <c r="T53" s="309"/>
      <c r="U53" s="309"/>
      <c r="V53" s="309"/>
      <c r="W53" s="309"/>
      <c r="X53" s="309"/>
      <c r="Y53" s="309"/>
      <c r="Z53" s="309"/>
      <c r="AA53" s="309"/>
      <c r="AB53" s="309"/>
      <c r="AC53" s="310"/>
      <c r="AE53" s="195">
        <v>42</v>
      </c>
      <c r="AF53" s="308"/>
      <c r="AG53" s="309"/>
      <c r="AH53" s="309"/>
      <c r="AI53" s="309"/>
      <c r="AJ53" s="309"/>
      <c r="AK53" s="309"/>
      <c r="AL53" s="309"/>
      <c r="AM53" s="309"/>
      <c r="AN53" s="309"/>
      <c r="AO53" s="309"/>
      <c r="AP53" s="309"/>
      <c r="AQ53" s="309"/>
      <c r="AR53" s="310"/>
      <c r="AT53" s="195">
        <v>42</v>
      </c>
      <c r="AU53" s="308"/>
      <c r="AV53" s="309"/>
      <c r="AW53" s="309"/>
      <c r="AX53" s="309"/>
      <c r="AY53" s="309"/>
      <c r="AZ53" s="309"/>
      <c r="BA53" s="309"/>
      <c r="BB53" s="309"/>
      <c r="BC53" s="309">
        <v>269646.62537999998</v>
      </c>
      <c r="BD53" s="309"/>
      <c r="BE53" s="309"/>
      <c r="BF53" s="309">
        <v>269646.62537999998</v>
      </c>
      <c r="BG53" s="310"/>
    </row>
    <row r="54" spans="1:59">
      <c r="A54" s="195">
        <v>43</v>
      </c>
      <c r="B54" s="308"/>
      <c r="C54" s="309"/>
      <c r="D54" s="309"/>
      <c r="E54" s="309"/>
      <c r="F54" s="309"/>
      <c r="G54" s="309"/>
      <c r="H54" s="309"/>
      <c r="I54" s="309"/>
      <c r="J54" s="309"/>
      <c r="K54" s="309"/>
      <c r="L54" s="309"/>
      <c r="M54" s="309"/>
      <c r="N54" s="310"/>
      <c r="P54" s="195">
        <v>43</v>
      </c>
      <c r="Q54" s="308"/>
      <c r="R54" s="309"/>
      <c r="S54" s="309"/>
      <c r="T54" s="309"/>
      <c r="U54" s="309"/>
      <c r="V54" s="309"/>
      <c r="W54" s="309"/>
      <c r="X54" s="309"/>
      <c r="Y54" s="309"/>
      <c r="Z54" s="309"/>
      <c r="AA54" s="309"/>
      <c r="AB54" s="309"/>
      <c r="AC54" s="310"/>
      <c r="AE54" s="195">
        <v>43</v>
      </c>
      <c r="AF54" s="308"/>
      <c r="AG54" s="309"/>
      <c r="AH54" s="309"/>
      <c r="AI54" s="309"/>
      <c r="AJ54" s="309"/>
      <c r="AK54" s="309"/>
      <c r="AL54" s="309"/>
      <c r="AM54" s="309"/>
      <c r="AN54" s="309"/>
      <c r="AO54" s="309"/>
      <c r="AP54" s="309"/>
      <c r="AQ54" s="309"/>
      <c r="AR54" s="310"/>
      <c r="AT54" s="195">
        <v>43</v>
      </c>
      <c r="AU54" s="308"/>
      <c r="AV54" s="309"/>
      <c r="AW54" s="309"/>
      <c r="AX54" s="309"/>
      <c r="AY54" s="309"/>
      <c r="AZ54" s="309"/>
      <c r="BA54" s="309"/>
      <c r="BB54" s="309"/>
      <c r="BC54" s="309"/>
      <c r="BD54" s="309">
        <v>204342.89042000001</v>
      </c>
      <c r="BE54" s="309">
        <v>204342.89042000001</v>
      </c>
      <c r="BF54" s="309"/>
      <c r="BG54" s="310"/>
    </row>
    <row r="55" spans="1:59">
      <c r="A55" s="195">
        <v>44</v>
      </c>
      <c r="B55" s="308"/>
      <c r="C55" s="309"/>
      <c r="D55" s="309"/>
      <c r="E55" s="309"/>
      <c r="F55" s="309"/>
      <c r="G55" s="309"/>
      <c r="H55" s="309"/>
      <c r="I55" s="309"/>
      <c r="J55" s="309"/>
      <c r="K55" s="309"/>
      <c r="L55" s="309"/>
      <c r="M55" s="309"/>
      <c r="N55" s="310"/>
      <c r="P55" s="195">
        <v>44</v>
      </c>
      <c r="Q55" s="308"/>
      <c r="R55" s="309"/>
      <c r="S55" s="309"/>
      <c r="T55" s="309"/>
      <c r="U55" s="309"/>
      <c r="V55" s="309"/>
      <c r="W55" s="309"/>
      <c r="X55" s="309"/>
      <c r="Y55" s="309"/>
      <c r="Z55" s="309"/>
      <c r="AA55" s="309"/>
      <c r="AB55" s="309"/>
      <c r="AC55" s="310"/>
      <c r="AE55" s="195">
        <v>44</v>
      </c>
      <c r="AF55" s="308"/>
      <c r="AG55" s="309"/>
      <c r="AH55" s="309"/>
      <c r="AI55" s="309"/>
      <c r="AJ55" s="309"/>
      <c r="AK55" s="309"/>
      <c r="AL55" s="309"/>
      <c r="AM55" s="309"/>
      <c r="AN55" s="309"/>
      <c r="AO55" s="309"/>
      <c r="AP55" s="309"/>
      <c r="AQ55" s="309"/>
      <c r="AR55" s="310"/>
      <c r="AT55" s="195">
        <v>44</v>
      </c>
      <c r="AU55" s="308"/>
      <c r="AV55" s="309"/>
      <c r="AW55" s="309"/>
      <c r="AX55" s="309"/>
      <c r="AY55" s="309"/>
      <c r="AZ55" s="309"/>
      <c r="BA55" s="309"/>
      <c r="BB55" s="309"/>
      <c r="BC55" s="309"/>
      <c r="BD55" s="309">
        <v>288556.22895999998</v>
      </c>
      <c r="BE55" s="309"/>
      <c r="BF55" s="309"/>
      <c r="BG55" s="310"/>
    </row>
    <row r="56" spans="1:59">
      <c r="A56" s="195">
        <v>45</v>
      </c>
      <c r="B56" s="308"/>
      <c r="C56" s="309"/>
      <c r="D56" s="309"/>
      <c r="E56" s="309"/>
      <c r="F56" s="309"/>
      <c r="G56" s="309"/>
      <c r="H56" s="309"/>
      <c r="I56" s="309"/>
      <c r="J56" s="309"/>
      <c r="K56" s="309"/>
      <c r="L56" s="309"/>
      <c r="M56" s="309"/>
      <c r="N56" s="310"/>
      <c r="P56" s="195">
        <v>45</v>
      </c>
      <c r="Q56" s="308"/>
      <c r="R56" s="309"/>
      <c r="S56" s="309"/>
      <c r="T56" s="309"/>
      <c r="U56" s="309"/>
      <c r="V56" s="309"/>
      <c r="W56" s="309"/>
      <c r="X56" s="309"/>
      <c r="Y56" s="309"/>
      <c r="Z56" s="309"/>
      <c r="AA56" s="309"/>
      <c r="AB56" s="309"/>
      <c r="AC56" s="310"/>
      <c r="AE56" s="195">
        <v>45</v>
      </c>
      <c r="AF56" s="308"/>
      <c r="AG56" s="309"/>
      <c r="AH56" s="309"/>
      <c r="AI56" s="309"/>
      <c r="AJ56" s="309"/>
      <c r="AK56" s="309"/>
      <c r="AL56" s="309"/>
      <c r="AM56" s="309"/>
      <c r="AN56" s="309"/>
      <c r="AO56" s="309"/>
      <c r="AP56" s="309"/>
      <c r="AQ56" s="309"/>
      <c r="AR56" s="310"/>
      <c r="AT56" s="195">
        <v>45</v>
      </c>
      <c r="AU56" s="308"/>
      <c r="AV56" s="309"/>
      <c r="AW56" s="309"/>
      <c r="AX56" s="309"/>
      <c r="AY56" s="309"/>
      <c r="AZ56" s="309"/>
      <c r="BA56" s="309"/>
      <c r="BB56" s="309"/>
      <c r="BC56" s="309"/>
      <c r="BD56" s="309"/>
      <c r="BE56" s="309">
        <v>256544.07865333301</v>
      </c>
      <c r="BF56" s="309"/>
      <c r="BG56" s="310">
        <v>128272.039326667</v>
      </c>
    </row>
    <row r="57" spans="1:59">
      <c r="A57" s="195">
        <v>46</v>
      </c>
      <c r="B57" s="308"/>
      <c r="C57" s="309"/>
      <c r="D57" s="309"/>
      <c r="E57" s="309"/>
      <c r="F57" s="309"/>
      <c r="G57" s="309"/>
      <c r="H57" s="309"/>
      <c r="I57" s="309"/>
      <c r="J57" s="309"/>
      <c r="K57" s="309"/>
      <c r="L57" s="309"/>
      <c r="M57" s="309"/>
      <c r="N57" s="310"/>
      <c r="P57" s="195">
        <v>46</v>
      </c>
      <c r="Q57" s="308"/>
      <c r="R57" s="309"/>
      <c r="S57" s="309"/>
      <c r="T57" s="309"/>
      <c r="U57" s="309"/>
      <c r="V57" s="309"/>
      <c r="W57" s="309"/>
      <c r="X57" s="309"/>
      <c r="Y57" s="309"/>
      <c r="Z57" s="309"/>
      <c r="AA57" s="309"/>
      <c r="AB57" s="309"/>
      <c r="AC57" s="310"/>
      <c r="AE57" s="195">
        <v>46</v>
      </c>
      <c r="AF57" s="308"/>
      <c r="AG57" s="309"/>
      <c r="AH57" s="309"/>
      <c r="AI57" s="309"/>
      <c r="AJ57" s="309"/>
      <c r="AK57" s="309"/>
      <c r="AL57" s="309"/>
      <c r="AM57" s="309"/>
      <c r="AN57" s="309"/>
      <c r="AO57" s="309"/>
      <c r="AP57" s="309"/>
      <c r="AQ57" s="309"/>
      <c r="AR57" s="310"/>
      <c r="AT57" s="195">
        <v>46</v>
      </c>
      <c r="AU57" s="308"/>
      <c r="AV57" s="309"/>
      <c r="AW57" s="309"/>
      <c r="AX57" s="309"/>
      <c r="AY57" s="309"/>
      <c r="AZ57" s="309"/>
      <c r="BA57" s="309"/>
      <c r="BB57" s="309"/>
      <c r="BC57" s="309"/>
      <c r="BD57" s="309">
        <v>179484.52280999999</v>
      </c>
      <c r="BE57" s="309"/>
      <c r="BF57" s="309">
        <v>89742.261404999997</v>
      </c>
      <c r="BG57" s="310">
        <v>89742.261404999997</v>
      </c>
    </row>
    <row r="58" spans="1:59">
      <c r="A58" s="195">
        <v>47</v>
      </c>
      <c r="B58" s="308"/>
      <c r="C58" s="309"/>
      <c r="D58" s="309"/>
      <c r="E58" s="309"/>
      <c r="F58" s="309"/>
      <c r="G58" s="309"/>
      <c r="H58" s="309"/>
      <c r="I58" s="309"/>
      <c r="J58" s="309"/>
      <c r="K58" s="309"/>
      <c r="L58" s="309"/>
      <c r="M58" s="309"/>
      <c r="N58" s="310"/>
      <c r="P58" s="195">
        <v>47</v>
      </c>
      <c r="Q58" s="308"/>
      <c r="R58" s="309"/>
      <c r="S58" s="309"/>
      <c r="T58" s="309"/>
      <c r="U58" s="309"/>
      <c r="V58" s="309"/>
      <c r="W58" s="309"/>
      <c r="X58" s="309"/>
      <c r="Y58" s="309"/>
      <c r="Z58" s="309"/>
      <c r="AA58" s="309"/>
      <c r="AB58" s="309"/>
      <c r="AC58" s="310"/>
      <c r="AE58" s="195">
        <v>47</v>
      </c>
      <c r="AF58" s="308"/>
      <c r="AG58" s="309"/>
      <c r="AH58" s="309"/>
      <c r="AI58" s="309"/>
      <c r="AJ58" s="309"/>
      <c r="AK58" s="309"/>
      <c r="AL58" s="309"/>
      <c r="AM58" s="309"/>
      <c r="AN58" s="309"/>
      <c r="AO58" s="309"/>
      <c r="AP58" s="309"/>
      <c r="AQ58" s="309"/>
      <c r="AR58" s="310"/>
      <c r="AT58" s="195">
        <v>47</v>
      </c>
      <c r="AU58" s="308"/>
      <c r="AV58" s="309"/>
      <c r="AW58" s="309"/>
      <c r="AX58" s="309"/>
      <c r="AY58" s="309"/>
      <c r="AZ58" s="309"/>
      <c r="BA58" s="309"/>
      <c r="BB58" s="309"/>
      <c r="BC58" s="309"/>
      <c r="BD58" s="309">
        <v>92426.828080000007</v>
      </c>
      <c r="BE58" s="309"/>
      <c r="BF58" s="309"/>
      <c r="BG58" s="310">
        <v>184853.65616000001</v>
      </c>
    </row>
    <row r="59" spans="1:59">
      <c r="A59" s="195">
        <v>48</v>
      </c>
      <c r="B59" s="308"/>
      <c r="C59" s="309"/>
      <c r="D59" s="309"/>
      <c r="E59" s="309"/>
      <c r="F59" s="309"/>
      <c r="G59" s="309"/>
      <c r="H59" s="309"/>
      <c r="I59" s="309"/>
      <c r="J59" s="309"/>
      <c r="K59" s="309"/>
      <c r="L59" s="309"/>
      <c r="M59" s="309"/>
      <c r="N59" s="310"/>
      <c r="P59" s="195">
        <v>48</v>
      </c>
      <c r="Q59" s="308"/>
      <c r="R59" s="309"/>
      <c r="S59" s="309"/>
      <c r="T59" s="309"/>
      <c r="U59" s="309"/>
      <c r="V59" s="309"/>
      <c r="W59" s="309"/>
      <c r="X59" s="309"/>
      <c r="Y59" s="309"/>
      <c r="Z59" s="309"/>
      <c r="AA59" s="309"/>
      <c r="AB59" s="309"/>
      <c r="AC59" s="310"/>
      <c r="AE59" s="195">
        <v>48</v>
      </c>
      <c r="AF59" s="308"/>
      <c r="AG59" s="309"/>
      <c r="AH59" s="309"/>
      <c r="AI59" s="309"/>
      <c r="AJ59" s="309"/>
      <c r="AK59" s="309"/>
      <c r="AL59" s="309"/>
      <c r="AM59" s="309"/>
      <c r="AN59" s="309"/>
      <c r="AO59" s="309"/>
      <c r="AP59" s="309"/>
      <c r="AQ59" s="309"/>
      <c r="AR59" s="310"/>
      <c r="AT59" s="195">
        <v>48</v>
      </c>
      <c r="AU59" s="308"/>
      <c r="AV59" s="309"/>
      <c r="AW59" s="309"/>
      <c r="AX59" s="309"/>
      <c r="AY59" s="309"/>
      <c r="AZ59" s="309"/>
      <c r="BA59" s="309"/>
      <c r="BB59" s="309"/>
      <c r="BC59" s="309"/>
      <c r="BD59" s="309"/>
      <c r="BE59" s="309">
        <v>70714.138519999993</v>
      </c>
      <c r="BF59" s="309">
        <v>70714.138519999993</v>
      </c>
      <c r="BG59" s="310"/>
    </row>
    <row r="60" spans="1:59">
      <c r="A60" s="195">
        <v>49</v>
      </c>
      <c r="B60" s="308"/>
      <c r="C60" s="309"/>
      <c r="D60" s="309"/>
      <c r="E60" s="309"/>
      <c r="F60" s="309"/>
      <c r="G60" s="309"/>
      <c r="H60" s="309"/>
      <c r="I60" s="309"/>
      <c r="J60" s="309"/>
      <c r="K60" s="309"/>
      <c r="L60" s="309"/>
      <c r="M60" s="309"/>
      <c r="N60" s="310"/>
      <c r="P60" s="195">
        <v>49</v>
      </c>
      <c r="Q60" s="308"/>
      <c r="R60" s="309"/>
      <c r="S60" s="309"/>
      <c r="T60" s="309"/>
      <c r="U60" s="309"/>
      <c r="V60" s="309"/>
      <c r="W60" s="309"/>
      <c r="X60" s="309"/>
      <c r="Y60" s="309"/>
      <c r="Z60" s="309"/>
      <c r="AA60" s="309"/>
      <c r="AB60" s="309"/>
      <c r="AC60" s="310"/>
      <c r="AE60" s="195">
        <v>49</v>
      </c>
      <c r="AF60" s="308"/>
      <c r="AG60" s="309"/>
      <c r="AH60" s="309"/>
      <c r="AI60" s="309"/>
      <c r="AJ60" s="309"/>
      <c r="AK60" s="309"/>
      <c r="AL60" s="309"/>
      <c r="AM60" s="309"/>
      <c r="AN60" s="309"/>
      <c r="AO60" s="309"/>
      <c r="AP60" s="309"/>
      <c r="AQ60" s="309"/>
      <c r="AR60" s="310"/>
      <c r="AT60" s="195">
        <v>49</v>
      </c>
      <c r="AU60" s="308"/>
      <c r="AV60" s="309"/>
      <c r="AW60" s="309"/>
      <c r="AX60" s="309"/>
      <c r="AY60" s="309"/>
      <c r="AZ60" s="309"/>
      <c r="BA60" s="309"/>
      <c r="BB60" s="309"/>
      <c r="BC60" s="309"/>
      <c r="BD60" s="309"/>
      <c r="BE60" s="309"/>
      <c r="BF60" s="309"/>
      <c r="BG60" s="310">
        <v>178457.78069099999</v>
      </c>
    </row>
    <row r="61" spans="1:59">
      <c r="A61" s="195">
        <v>50</v>
      </c>
      <c r="B61" s="308"/>
      <c r="C61" s="309"/>
      <c r="D61" s="309"/>
      <c r="E61" s="309"/>
      <c r="F61" s="309"/>
      <c r="G61" s="309"/>
      <c r="H61" s="309"/>
      <c r="I61" s="309"/>
      <c r="J61" s="309"/>
      <c r="K61" s="309"/>
      <c r="L61" s="309"/>
      <c r="M61" s="309"/>
      <c r="N61" s="310"/>
      <c r="P61" s="195">
        <v>50</v>
      </c>
      <c r="Q61" s="308"/>
      <c r="R61" s="309"/>
      <c r="S61" s="309"/>
      <c r="T61" s="309"/>
      <c r="U61" s="309"/>
      <c r="V61" s="309"/>
      <c r="W61" s="309"/>
      <c r="X61" s="309"/>
      <c r="Y61" s="309"/>
      <c r="Z61" s="309"/>
      <c r="AA61" s="309"/>
      <c r="AB61" s="309"/>
      <c r="AC61" s="310"/>
      <c r="AE61" s="195">
        <v>50</v>
      </c>
      <c r="AF61" s="308"/>
      <c r="AG61" s="309"/>
      <c r="AH61" s="309"/>
      <c r="AI61" s="309"/>
      <c r="AJ61" s="309"/>
      <c r="AK61" s="309"/>
      <c r="AL61" s="309"/>
      <c r="AM61" s="309"/>
      <c r="AN61" s="309"/>
      <c r="AO61" s="309"/>
      <c r="AP61" s="309"/>
      <c r="AQ61" s="309"/>
      <c r="AR61" s="310"/>
      <c r="AT61" s="195">
        <v>50</v>
      </c>
      <c r="AU61" s="308"/>
      <c r="AV61" s="309"/>
      <c r="AW61" s="309"/>
      <c r="AX61" s="309"/>
      <c r="AY61" s="309"/>
      <c r="AZ61" s="309"/>
      <c r="BA61" s="309"/>
      <c r="BB61" s="309"/>
      <c r="BC61" s="309"/>
      <c r="BD61" s="309"/>
      <c r="BE61" s="309">
        <v>109012.22074999999</v>
      </c>
      <c r="BF61" s="309"/>
      <c r="BG61" s="310">
        <v>218024.44149999999</v>
      </c>
    </row>
    <row r="62" spans="1:59">
      <c r="A62" s="195">
        <v>51</v>
      </c>
      <c r="B62" s="308"/>
      <c r="C62" s="309"/>
      <c r="D62" s="309"/>
      <c r="E62" s="309"/>
      <c r="F62" s="309"/>
      <c r="G62" s="309"/>
      <c r="H62" s="309"/>
      <c r="I62" s="309"/>
      <c r="J62" s="309"/>
      <c r="K62" s="309"/>
      <c r="L62" s="309"/>
      <c r="M62" s="309"/>
      <c r="N62" s="310"/>
      <c r="P62" s="195">
        <v>51</v>
      </c>
      <c r="Q62" s="308"/>
      <c r="R62" s="309"/>
      <c r="S62" s="309"/>
      <c r="T62" s="309"/>
      <c r="U62" s="309"/>
      <c r="V62" s="309"/>
      <c r="W62" s="309"/>
      <c r="X62" s="309"/>
      <c r="Y62" s="309"/>
      <c r="Z62" s="309"/>
      <c r="AA62" s="309"/>
      <c r="AB62" s="309"/>
      <c r="AC62" s="310"/>
      <c r="AE62" s="195">
        <v>51</v>
      </c>
      <c r="AF62" s="308"/>
      <c r="AG62" s="309"/>
      <c r="AH62" s="309"/>
      <c r="AI62" s="309"/>
      <c r="AJ62" s="309"/>
      <c r="AK62" s="309"/>
      <c r="AL62" s="309"/>
      <c r="AM62" s="309"/>
      <c r="AN62" s="309"/>
      <c r="AO62" s="309"/>
      <c r="AP62" s="309"/>
      <c r="AQ62" s="309"/>
      <c r="AR62" s="310"/>
      <c r="AT62" s="195">
        <v>51</v>
      </c>
      <c r="AU62" s="308"/>
      <c r="AV62" s="309"/>
      <c r="AW62" s="309"/>
      <c r="AX62" s="309"/>
      <c r="AY62" s="309"/>
      <c r="AZ62" s="309"/>
      <c r="BA62" s="309"/>
      <c r="BB62" s="309"/>
      <c r="BC62" s="309"/>
      <c r="BD62" s="309"/>
      <c r="BE62" s="309"/>
      <c r="BF62" s="309"/>
      <c r="BG62" s="310">
        <v>52893</v>
      </c>
    </row>
    <row r="63" spans="1:59">
      <c r="A63" s="195">
        <v>52</v>
      </c>
      <c r="B63" s="308"/>
      <c r="C63" s="309"/>
      <c r="D63" s="309"/>
      <c r="E63" s="309"/>
      <c r="F63" s="309"/>
      <c r="G63" s="309"/>
      <c r="H63" s="309"/>
      <c r="I63" s="309"/>
      <c r="J63" s="309"/>
      <c r="K63" s="309"/>
      <c r="L63" s="309"/>
      <c r="M63" s="309"/>
      <c r="N63" s="310"/>
      <c r="P63" s="195">
        <v>52</v>
      </c>
      <c r="Q63" s="308"/>
      <c r="R63" s="309"/>
      <c r="S63" s="309"/>
      <c r="T63" s="309"/>
      <c r="U63" s="309"/>
      <c r="V63" s="309"/>
      <c r="W63" s="309"/>
      <c r="X63" s="309"/>
      <c r="Y63" s="309"/>
      <c r="Z63" s="309"/>
      <c r="AA63" s="309"/>
      <c r="AB63" s="309"/>
      <c r="AC63" s="310"/>
      <c r="AE63" s="195">
        <v>52</v>
      </c>
      <c r="AF63" s="308"/>
      <c r="AG63" s="309"/>
      <c r="AH63" s="309"/>
      <c r="AI63" s="309"/>
      <c r="AJ63" s="309"/>
      <c r="AK63" s="309"/>
      <c r="AL63" s="309"/>
      <c r="AM63" s="309"/>
      <c r="AN63" s="309"/>
      <c r="AO63" s="309"/>
      <c r="AP63" s="309"/>
      <c r="AQ63" s="309"/>
      <c r="AR63" s="310"/>
      <c r="AT63" s="195">
        <v>52</v>
      </c>
      <c r="AU63" s="308"/>
      <c r="AV63" s="309"/>
      <c r="AW63" s="309"/>
      <c r="AX63" s="309"/>
      <c r="AY63" s="309"/>
      <c r="AZ63" s="309"/>
      <c r="BA63" s="309"/>
      <c r="BB63" s="309"/>
      <c r="BC63" s="309"/>
      <c r="BD63" s="309"/>
      <c r="BE63" s="309"/>
      <c r="BF63" s="309"/>
      <c r="BG63" s="310">
        <v>21364</v>
      </c>
    </row>
    <row r="64" spans="1:59">
      <c r="A64" s="195">
        <v>53</v>
      </c>
      <c r="B64" s="308"/>
      <c r="C64" s="309"/>
      <c r="D64" s="309"/>
      <c r="E64" s="309"/>
      <c r="F64" s="309"/>
      <c r="G64" s="309"/>
      <c r="H64" s="309"/>
      <c r="I64" s="309"/>
      <c r="J64" s="309"/>
      <c r="K64" s="309"/>
      <c r="L64" s="309"/>
      <c r="M64" s="309"/>
      <c r="N64" s="310"/>
      <c r="P64" s="195">
        <v>53</v>
      </c>
      <c r="Q64" s="308"/>
      <c r="R64" s="309"/>
      <c r="S64" s="309"/>
      <c r="T64" s="309"/>
      <c r="U64" s="309"/>
      <c r="V64" s="309"/>
      <c r="W64" s="309"/>
      <c r="X64" s="309"/>
      <c r="Y64" s="309"/>
      <c r="Z64" s="309"/>
      <c r="AA64" s="309"/>
      <c r="AB64" s="309"/>
      <c r="AC64" s="310"/>
      <c r="AE64" s="195">
        <v>53</v>
      </c>
      <c r="AF64" s="308"/>
      <c r="AG64" s="309"/>
      <c r="AH64" s="309"/>
      <c r="AI64" s="309"/>
      <c r="AJ64" s="309"/>
      <c r="AK64" s="309"/>
      <c r="AL64" s="309"/>
      <c r="AM64" s="309"/>
      <c r="AN64" s="309"/>
      <c r="AO64" s="309"/>
      <c r="AP64" s="309"/>
      <c r="AQ64" s="309"/>
      <c r="AR64" s="310"/>
      <c r="AT64" s="195">
        <v>53</v>
      </c>
      <c r="AU64" s="308"/>
      <c r="AV64" s="309"/>
      <c r="AW64" s="309"/>
      <c r="AX64" s="309"/>
      <c r="AY64" s="309"/>
      <c r="AZ64" s="309"/>
      <c r="BA64" s="309"/>
      <c r="BB64" s="309"/>
      <c r="BC64" s="309"/>
      <c r="BD64" s="309"/>
      <c r="BE64" s="309"/>
      <c r="BF64" s="309"/>
      <c r="BG64" s="310">
        <v>77402</v>
      </c>
    </row>
    <row r="65" spans="1:59">
      <c r="A65" s="195">
        <v>54</v>
      </c>
      <c r="B65" s="308"/>
      <c r="C65" s="309"/>
      <c r="D65" s="309"/>
      <c r="E65" s="309"/>
      <c r="F65" s="309"/>
      <c r="G65" s="309"/>
      <c r="H65" s="309"/>
      <c r="I65" s="309"/>
      <c r="J65" s="309"/>
      <c r="K65" s="309"/>
      <c r="L65" s="309"/>
      <c r="M65" s="309"/>
      <c r="N65" s="310"/>
      <c r="P65" s="195">
        <v>54</v>
      </c>
      <c r="Q65" s="308"/>
      <c r="R65" s="309"/>
      <c r="S65" s="309"/>
      <c r="T65" s="309"/>
      <c r="U65" s="309"/>
      <c r="V65" s="309"/>
      <c r="W65" s="309"/>
      <c r="X65" s="309"/>
      <c r="Y65" s="309"/>
      <c r="Z65" s="309"/>
      <c r="AA65" s="309"/>
      <c r="AB65" s="309"/>
      <c r="AC65" s="310"/>
      <c r="AE65" s="195">
        <v>54</v>
      </c>
      <c r="AF65" s="308"/>
      <c r="AG65" s="309"/>
      <c r="AH65" s="309"/>
      <c r="AI65" s="309"/>
      <c r="AJ65" s="309"/>
      <c r="AK65" s="309"/>
      <c r="AL65" s="309"/>
      <c r="AM65" s="309"/>
      <c r="AN65" s="309"/>
      <c r="AO65" s="309"/>
      <c r="AP65" s="309"/>
      <c r="AQ65" s="309"/>
      <c r="AR65" s="310"/>
      <c r="AT65" s="195">
        <v>54</v>
      </c>
      <c r="AU65" s="308"/>
      <c r="AV65" s="309"/>
      <c r="AW65" s="309"/>
      <c r="AX65" s="309"/>
      <c r="AY65" s="309"/>
      <c r="AZ65" s="309"/>
      <c r="BA65" s="309"/>
      <c r="BB65" s="309"/>
      <c r="BC65" s="309"/>
      <c r="BD65" s="309"/>
      <c r="BE65" s="309"/>
      <c r="BF65" s="309"/>
      <c r="BG65" s="310">
        <v>70210.277040000001</v>
      </c>
    </row>
    <row r="66" spans="1:59">
      <c r="A66" s="195">
        <v>55</v>
      </c>
      <c r="B66" s="308"/>
      <c r="C66" s="309"/>
      <c r="D66" s="309"/>
      <c r="E66" s="309"/>
      <c r="F66" s="309"/>
      <c r="G66" s="309"/>
      <c r="H66" s="309"/>
      <c r="I66" s="309"/>
      <c r="J66" s="309"/>
      <c r="K66" s="309"/>
      <c r="L66" s="309"/>
      <c r="M66" s="309"/>
      <c r="N66" s="310"/>
      <c r="P66" s="195">
        <v>55</v>
      </c>
      <c r="Q66" s="308"/>
      <c r="R66" s="309"/>
      <c r="S66" s="309"/>
      <c r="T66" s="309"/>
      <c r="U66" s="309"/>
      <c r="V66" s="309"/>
      <c r="W66" s="309"/>
      <c r="X66" s="309"/>
      <c r="Y66" s="309"/>
      <c r="Z66" s="309"/>
      <c r="AA66" s="309"/>
      <c r="AB66" s="309"/>
      <c r="AC66" s="310"/>
      <c r="AE66" s="195">
        <v>55</v>
      </c>
      <c r="AF66" s="308"/>
      <c r="AG66" s="309"/>
      <c r="AH66" s="309"/>
      <c r="AI66" s="309"/>
      <c r="AJ66" s="309"/>
      <c r="AK66" s="309"/>
      <c r="AL66" s="309"/>
      <c r="AM66" s="309"/>
      <c r="AN66" s="309"/>
      <c r="AO66" s="309"/>
      <c r="AP66" s="309"/>
      <c r="AQ66" s="309"/>
      <c r="AR66" s="310"/>
      <c r="AT66" s="195">
        <v>55</v>
      </c>
      <c r="AU66" s="308"/>
      <c r="AV66" s="309"/>
      <c r="AW66" s="309"/>
      <c r="AX66" s="309"/>
      <c r="AY66" s="309"/>
      <c r="AZ66" s="309"/>
      <c r="BA66" s="309"/>
      <c r="BB66" s="309"/>
      <c r="BC66" s="309"/>
      <c r="BD66" s="309"/>
      <c r="BE66" s="309"/>
      <c r="BF66" s="309"/>
      <c r="BG66" s="310">
        <v>98288.277040000001</v>
      </c>
    </row>
    <row r="67" spans="1:59">
      <c r="A67" s="195">
        <v>56</v>
      </c>
      <c r="B67" s="308"/>
      <c r="C67" s="309"/>
      <c r="D67" s="309"/>
      <c r="E67" s="309"/>
      <c r="F67" s="309"/>
      <c r="G67" s="309"/>
      <c r="H67" s="309"/>
      <c r="I67" s="309"/>
      <c r="J67" s="309"/>
      <c r="K67" s="309"/>
      <c r="L67" s="309"/>
      <c r="M67" s="309"/>
      <c r="N67" s="310"/>
      <c r="P67" s="195">
        <v>56</v>
      </c>
      <c r="Q67" s="308"/>
      <c r="R67" s="309"/>
      <c r="S67" s="309"/>
      <c r="T67" s="309"/>
      <c r="U67" s="309"/>
      <c r="V67" s="309"/>
      <c r="W67" s="309"/>
      <c r="X67" s="309"/>
      <c r="Y67" s="309"/>
      <c r="Z67" s="309"/>
      <c r="AA67" s="309"/>
      <c r="AB67" s="309"/>
      <c r="AC67" s="310"/>
      <c r="AE67" s="195">
        <v>56</v>
      </c>
      <c r="AF67" s="308"/>
      <c r="AG67" s="309"/>
      <c r="AH67" s="309"/>
      <c r="AI67" s="309"/>
      <c r="AJ67" s="309"/>
      <c r="AK67" s="309"/>
      <c r="AL67" s="309"/>
      <c r="AM67" s="309"/>
      <c r="AN67" s="309"/>
      <c r="AO67" s="309"/>
      <c r="AP67" s="309"/>
      <c r="AQ67" s="309"/>
      <c r="AR67" s="310"/>
      <c r="AT67" s="195">
        <v>56</v>
      </c>
      <c r="AU67" s="308"/>
      <c r="AV67" s="309"/>
      <c r="AW67" s="309"/>
      <c r="AX67" s="309"/>
      <c r="AY67" s="309"/>
      <c r="AZ67" s="309"/>
      <c r="BA67" s="309"/>
      <c r="BB67" s="309"/>
      <c r="BC67" s="309"/>
      <c r="BD67" s="309"/>
      <c r="BE67" s="309"/>
      <c r="BF67" s="309"/>
      <c r="BG67" s="310">
        <v>102918.638521</v>
      </c>
    </row>
    <row r="68" spans="1:59">
      <c r="A68" s="195">
        <v>57</v>
      </c>
      <c r="B68" s="308"/>
      <c r="C68" s="309"/>
      <c r="D68" s="309"/>
      <c r="E68" s="309"/>
      <c r="F68" s="309"/>
      <c r="G68" s="309"/>
      <c r="H68" s="309"/>
      <c r="I68" s="309"/>
      <c r="J68" s="309"/>
      <c r="K68" s="309"/>
      <c r="L68" s="309"/>
      <c r="M68" s="309"/>
      <c r="N68" s="310"/>
      <c r="P68" s="195">
        <v>57</v>
      </c>
      <c r="Q68" s="308"/>
      <c r="R68" s="309"/>
      <c r="S68" s="309"/>
      <c r="T68" s="309"/>
      <c r="U68" s="309"/>
      <c r="V68" s="309"/>
      <c r="W68" s="309"/>
      <c r="X68" s="309"/>
      <c r="Y68" s="309"/>
      <c r="Z68" s="309"/>
      <c r="AA68" s="309"/>
      <c r="AB68" s="309"/>
      <c r="AC68" s="310"/>
      <c r="AE68" s="195">
        <v>57</v>
      </c>
      <c r="AF68" s="308"/>
      <c r="AG68" s="309"/>
      <c r="AH68" s="309"/>
      <c r="AI68" s="309"/>
      <c r="AJ68" s="309"/>
      <c r="AK68" s="309"/>
      <c r="AL68" s="309"/>
      <c r="AM68" s="309"/>
      <c r="AN68" s="309"/>
      <c r="AO68" s="309"/>
      <c r="AP68" s="309"/>
      <c r="AQ68" s="309"/>
      <c r="AR68" s="310"/>
      <c r="AT68" s="195">
        <v>57</v>
      </c>
      <c r="AU68" s="308"/>
      <c r="AV68" s="309"/>
      <c r="AW68" s="309"/>
      <c r="AX68" s="309"/>
      <c r="AY68" s="309"/>
      <c r="AZ68" s="309"/>
      <c r="BA68" s="309"/>
      <c r="BB68" s="309"/>
      <c r="BC68" s="309"/>
      <c r="BD68" s="309"/>
      <c r="BE68" s="309"/>
      <c r="BF68" s="309"/>
      <c r="BG68" s="310">
        <v>47502</v>
      </c>
    </row>
    <row r="69" spans="1:59">
      <c r="A69" s="195">
        <v>58</v>
      </c>
      <c r="B69" s="308"/>
      <c r="C69" s="309"/>
      <c r="D69" s="309"/>
      <c r="E69" s="309"/>
      <c r="F69" s="309"/>
      <c r="G69" s="309"/>
      <c r="H69" s="309"/>
      <c r="I69" s="309"/>
      <c r="J69" s="309"/>
      <c r="K69" s="309"/>
      <c r="L69" s="309"/>
      <c r="M69" s="309"/>
      <c r="N69" s="310"/>
      <c r="P69" s="195">
        <v>58</v>
      </c>
      <c r="Q69" s="308"/>
      <c r="R69" s="309"/>
      <c r="S69" s="309"/>
      <c r="T69" s="309"/>
      <c r="U69" s="309"/>
      <c r="V69" s="309"/>
      <c r="W69" s="309"/>
      <c r="X69" s="309"/>
      <c r="Y69" s="309"/>
      <c r="Z69" s="309"/>
      <c r="AA69" s="309"/>
      <c r="AB69" s="309"/>
      <c r="AC69" s="310"/>
      <c r="AE69" s="195">
        <v>58</v>
      </c>
      <c r="AF69" s="308"/>
      <c r="AG69" s="309"/>
      <c r="AH69" s="309"/>
      <c r="AI69" s="309"/>
      <c r="AJ69" s="309"/>
      <c r="AK69" s="309"/>
      <c r="AL69" s="309"/>
      <c r="AM69" s="309"/>
      <c r="AN69" s="309"/>
      <c r="AO69" s="309"/>
      <c r="AP69" s="309"/>
      <c r="AQ69" s="309"/>
      <c r="AR69" s="310"/>
      <c r="AT69" s="195">
        <v>58</v>
      </c>
      <c r="AU69" s="308"/>
      <c r="AV69" s="309"/>
      <c r="AW69" s="309"/>
      <c r="AX69" s="309"/>
      <c r="AY69" s="309"/>
      <c r="AZ69" s="309"/>
      <c r="BA69" s="309"/>
      <c r="BB69" s="309"/>
      <c r="BC69" s="309"/>
      <c r="BD69" s="309"/>
      <c r="BE69" s="309"/>
      <c r="BF69" s="309">
        <v>25041</v>
      </c>
      <c r="BG69" s="310"/>
    </row>
    <row r="70" spans="1:59">
      <c r="A70" s="195">
        <v>59</v>
      </c>
      <c r="B70" s="308"/>
      <c r="C70" s="309"/>
      <c r="D70" s="309"/>
      <c r="E70" s="309"/>
      <c r="F70" s="309"/>
      <c r="G70" s="309"/>
      <c r="H70" s="309"/>
      <c r="I70" s="309"/>
      <c r="J70" s="309"/>
      <c r="K70" s="309"/>
      <c r="L70" s="309"/>
      <c r="M70" s="309"/>
      <c r="N70" s="310"/>
      <c r="P70" s="195">
        <v>59</v>
      </c>
      <c r="Q70" s="308"/>
      <c r="R70" s="309"/>
      <c r="S70" s="309"/>
      <c r="T70" s="309"/>
      <c r="U70" s="309"/>
      <c r="V70" s="309"/>
      <c r="W70" s="309"/>
      <c r="X70" s="309"/>
      <c r="Y70" s="309"/>
      <c r="Z70" s="309"/>
      <c r="AA70" s="309"/>
      <c r="AB70" s="309"/>
      <c r="AC70" s="310"/>
      <c r="AE70" s="195">
        <v>59</v>
      </c>
      <c r="AF70" s="308"/>
      <c r="AG70" s="309"/>
      <c r="AH70" s="309"/>
      <c r="AI70" s="309"/>
      <c r="AJ70" s="309"/>
      <c r="AK70" s="309"/>
      <c r="AL70" s="309"/>
      <c r="AM70" s="309"/>
      <c r="AN70" s="309"/>
      <c r="AO70" s="309"/>
      <c r="AP70" s="309"/>
      <c r="AQ70" s="309"/>
      <c r="AR70" s="310"/>
      <c r="AT70" s="195">
        <v>59</v>
      </c>
      <c r="AU70" s="308"/>
      <c r="AV70" s="309"/>
      <c r="AW70" s="309"/>
      <c r="AX70" s="309"/>
      <c r="AY70" s="309"/>
      <c r="AZ70" s="309"/>
      <c r="BA70" s="309"/>
      <c r="BB70" s="309"/>
      <c r="BC70" s="309"/>
      <c r="BD70" s="309"/>
      <c r="BE70" s="309"/>
      <c r="BF70" s="309"/>
      <c r="BG70" s="310">
        <v>29488</v>
      </c>
    </row>
    <row r="71" spans="1:59">
      <c r="A71" s="195">
        <v>60</v>
      </c>
      <c r="B71" s="308"/>
      <c r="C71" s="309"/>
      <c r="D71" s="309"/>
      <c r="E71" s="309"/>
      <c r="F71" s="309"/>
      <c r="G71" s="309"/>
      <c r="H71" s="309"/>
      <c r="I71" s="309"/>
      <c r="J71" s="309"/>
      <c r="K71" s="309"/>
      <c r="L71" s="309"/>
      <c r="M71" s="309"/>
      <c r="N71" s="310"/>
      <c r="P71" s="195">
        <v>60</v>
      </c>
      <c r="Q71" s="308"/>
      <c r="R71" s="309"/>
      <c r="S71" s="309"/>
      <c r="T71" s="309"/>
      <c r="U71" s="309"/>
      <c r="V71" s="309"/>
      <c r="W71" s="309"/>
      <c r="X71" s="309"/>
      <c r="Y71" s="309"/>
      <c r="Z71" s="309"/>
      <c r="AA71" s="309"/>
      <c r="AB71" s="309"/>
      <c r="AC71" s="310"/>
      <c r="AE71" s="195">
        <v>60</v>
      </c>
      <c r="AF71" s="308"/>
      <c r="AG71" s="309"/>
      <c r="AH71" s="309"/>
      <c r="AI71" s="309"/>
      <c r="AJ71" s="309"/>
      <c r="AK71" s="309"/>
      <c r="AL71" s="309"/>
      <c r="AM71" s="309"/>
      <c r="AN71" s="309"/>
      <c r="AO71" s="309"/>
      <c r="AP71" s="309"/>
      <c r="AQ71" s="309"/>
      <c r="AR71" s="310"/>
      <c r="AT71" s="195">
        <v>60</v>
      </c>
      <c r="AU71" s="308"/>
      <c r="AV71" s="309"/>
      <c r="AW71" s="309"/>
      <c r="AX71" s="309"/>
      <c r="AY71" s="309"/>
      <c r="AZ71" s="309"/>
      <c r="BA71" s="309"/>
      <c r="BB71" s="309"/>
      <c r="BC71" s="309"/>
      <c r="BD71" s="309"/>
      <c r="BE71" s="309"/>
      <c r="BF71" s="309"/>
      <c r="BG71" s="310">
        <v>159255.55408</v>
      </c>
    </row>
    <row r="72" spans="1:59">
      <c r="A72" s="195">
        <v>61</v>
      </c>
      <c r="B72" s="308"/>
      <c r="C72" s="309"/>
      <c r="D72" s="309"/>
      <c r="E72" s="309"/>
      <c r="F72" s="309"/>
      <c r="G72" s="309"/>
      <c r="H72" s="309"/>
      <c r="I72" s="309"/>
      <c r="J72" s="309"/>
      <c r="K72" s="309"/>
      <c r="L72" s="309"/>
      <c r="M72" s="309"/>
      <c r="N72" s="310"/>
      <c r="P72" s="195">
        <v>61</v>
      </c>
      <c r="Q72" s="308"/>
      <c r="R72" s="309"/>
      <c r="S72" s="309"/>
      <c r="T72" s="309"/>
      <c r="U72" s="309"/>
      <c r="V72" s="309"/>
      <c r="W72" s="309"/>
      <c r="X72" s="309"/>
      <c r="Y72" s="309"/>
      <c r="Z72" s="309"/>
      <c r="AA72" s="309"/>
      <c r="AB72" s="309"/>
      <c r="AC72" s="310"/>
      <c r="AE72" s="195">
        <v>61</v>
      </c>
      <c r="AF72" s="308"/>
      <c r="AG72" s="309"/>
      <c r="AH72" s="309"/>
      <c r="AI72" s="309"/>
      <c r="AJ72" s="309"/>
      <c r="AK72" s="309"/>
      <c r="AL72" s="309"/>
      <c r="AM72" s="309"/>
      <c r="AN72" s="309"/>
      <c r="AO72" s="309"/>
      <c r="AP72" s="309"/>
      <c r="AQ72" s="309"/>
      <c r="AR72" s="310"/>
      <c r="AT72" s="195">
        <v>61</v>
      </c>
      <c r="AU72" s="308"/>
      <c r="AV72" s="309"/>
      <c r="AW72" s="309"/>
      <c r="AX72" s="309"/>
      <c r="AY72" s="309"/>
      <c r="AZ72" s="309"/>
      <c r="BA72" s="309"/>
      <c r="BB72" s="309"/>
      <c r="BC72" s="309"/>
      <c r="BD72" s="309"/>
      <c r="BE72" s="309"/>
      <c r="BF72" s="309"/>
      <c r="BG72" s="310">
        <v>9413</v>
      </c>
    </row>
    <row r="73" spans="1:59">
      <c r="A73" s="195">
        <v>62</v>
      </c>
      <c r="B73" s="308"/>
      <c r="C73" s="309"/>
      <c r="D73" s="309"/>
      <c r="E73" s="309"/>
      <c r="F73" s="309"/>
      <c r="G73" s="309"/>
      <c r="H73" s="309"/>
      <c r="I73" s="309"/>
      <c r="J73" s="309"/>
      <c r="K73" s="309"/>
      <c r="L73" s="309"/>
      <c r="M73" s="309"/>
      <c r="N73" s="310"/>
      <c r="P73" s="195">
        <v>62</v>
      </c>
      <c r="Q73" s="308"/>
      <c r="R73" s="309"/>
      <c r="S73" s="309"/>
      <c r="T73" s="309"/>
      <c r="U73" s="309"/>
      <c r="V73" s="309"/>
      <c r="W73" s="309"/>
      <c r="X73" s="309"/>
      <c r="Y73" s="309"/>
      <c r="Z73" s="309"/>
      <c r="AA73" s="309"/>
      <c r="AB73" s="309"/>
      <c r="AC73" s="310"/>
      <c r="AE73" s="195">
        <v>62</v>
      </c>
      <c r="AF73" s="308"/>
      <c r="AG73" s="309"/>
      <c r="AH73" s="309"/>
      <c r="AI73" s="309"/>
      <c r="AJ73" s="309"/>
      <c r="AK73" s="309"/>
      <c r="AL73" s="309"/>
      <c r="AM73" s="309"/>
      <c r="AN73" s="309"/>
      <c r="AO73" s="309"/>
      <c r="AP73" s="309"/>
      <c r="AQ73" s="309"/>
      <c r="AR73" s="310"/>
      <c r="AT73" s="195">
        <v>62</v>
      </c>
      <c r="AU73" s="308"/>
      <c r="AV73" s="309"/>
      <c r="AW73" s="309"/>
      <c r="AX73" s="309"/>
      <c r="AY73" s="309"/>
      <c r="AZ73" s="309"/>
      <c r="BA73" s="309"/>
      <c r="BB73" s="309"/>
      <c r="BC73" s="309"/>
      <c r="BD73" s="309"/>
      <c r="BE73" s="309"/>
      <c r="BF73" s="309"/>
      <c r="BG73" s="310">
        <v>22077</v>
      </c>
    </row>
    <row r="74" spans="1:59">
      <c r="A74" s="195">
        <v>63</v>
      </c>
      <c r="B74" s="308"/>
      <c r="C74" s="309"/>
      <c r="D74" s="309"/>
      <c r="E74" s="309"/>
      <c r="F74" s="309"/>
      <c r="G74" s="309"/>
      <c r="H74" s="309"/>
      <c r="I74" s="309"/>
      <c r="J74" s="309"/>
      <c r="K74" s="309"/>
      <c r="L74" s="309"/>
      <c r="M74" s="309"/>
      <c r="N74" s="310"/>
      <c r="P74" s="195">
        <v>63</v>
      </c>
      <c r="Q74" s="308"/>
      <c r="R74" s="309"/>
      <c r="S74" s="309"/>
      <c r="T74" s="309"/>
      <c r="U74" s="309"/>
      <c r="V74" s="309"/>
      <c r="W74" s="309"/>
      <c r="X74" s="309"/>
      <c r="Y74" s="309"/>
      <c r="Z74" s="309"/>
      <c r="AA74" s="309"/>
      <c r="AB74" s="309"/>
      <c r="AC74" s="310"/>
      <c r="AE74" s="195">
        <v>63</v>
      </c>
      <c r="AF74" s="308"/>
      <c r="AG74" s="309"/>
      <c r="AH74" s="309"/>
      <c r="AI74" s="309"/>
      <c r="AJ74" s="309"/>
      <c r="AK74" s="309"/>
      <c r="AL74" s="309"/>
      <c r="AM74" s="309"/>
      <c r="AN74" s="309"/>
      <c r="AO74" s="309"/>
      <c r="AP74" s="309"/>
      <c r="AQ74" s="309"/>
      <c r="AR74" s="310"/>
      <c r="AT74" s="195">
        <v>63</v>
      </c>
      <c r="AU74" s="308"/>
      <c r="AV74" s="309"/>
      <c r="AW74" s="309"/>
      <c r="AX74" s="309"/>
      <c r="AY74" s="309"/>
      <c r="AZ74" s="309"/>
      <c r="BA74" s="309"/>
      <c r="BB74" s="309"/>
      <c r="BC74" s="309"/>
      <c r="BD74" s="309"/>
      <c r="BE74" s="309"/>
      <c r="BF74" s="309"/>
      <c r="BG74" s="310">
        <v>8912</v>
      </c>
    </row>
    <row r="75" spans="1:59">
      <c r="A75" s="195">
        <v>64</v>
      </c>
      <c r="B75" s="308"/>
      <c r="C75" s="309"/>
      <c r="D75" s="309"/>
      <c r="E75" s="309"/>
      <c r="F75" s="309"/>
      <c r="G75" s="309"/>
      <c r="H75" s="309"/>
      <c r="I75" s="309"/>
      <c r="J75" s="309"/>
      <c r="K75" s="309"/>
      <c r="L75" s="309"/>
      <c r="M75" s="309"/>
      <c r="N75" s="310"/>
      <c r="P75" s="195">
        <v>64</v>
      </c>
      <c r="Q75" s="308"/>
      <c r="R75" s="309"/>
      <c r="S75" s="309"/>
      <c r="T75" s="309"/>
      <c r="U75" s="309"/>
      <c r="V75" s="309"/>
      <c r="W75" s="309"/>
      <c r="X75" s="309"/>
      <c r="Y75" s="309"/>
      <c r="Z75" s="309"/>
      <c r="AA75" s="309"/>
      <c r="AB75" s="309"/>
      <c r="AC75" s="310"/>
      <c r="AE75" s="195">
        <v>64</v>
      </c>
      <c r="AF75" s="308"/>
      <c r="AG75" s="309"/>
      <c r="AH75" s="309"/>
      <c r="AI75" s="309"/>
      <c r="AJ75" s="309"/>
      <c r="AK75" s="309"/>
      <c r="AL75" s="309"/>
      <c r="AM75" s="309"/>
      <c r="AN75" s="309"/>
      <c r="AO75" s="309"/>
      <c r="AP75" s="309"/>
      <c r="AQ75" s="309"/>
      <c r="AR75" s="310"/>
      <c r="AT75" s="195">
        <v>64</v>
      </c>
      <c r="AU75" s="308"/>
      <c r="AV75" s="309"/>
      <c r="AW75" s="309"/>
      <c r="AX75" s="309"/>
      <c r="AY75" s="309"/>
      <c r="AZ75" s="309"/>
      <c r="BA75" s="309"/>
      <c r="BB75" s="309"/>
      <c r="BC75" s="309"/>
      <c r="BD75" s="309"/>
      <c r="BE75" s="309"/>
      <c r="BF75" s="309"/>
      <c r="BG75" s="310"/>
    </row>
    <row r="76" spans="1:59">
      <c r="A76" s="195">
        <v>65</v>
      </c>
      <c r="B76" s="308"/>
      <c r="C76" s="309"/>
      <c r="D76" s="309"/>
      <c r="E76" s="309"/>
      <c r="F76" s="309"/>
      <c r="G76" s="309"/>
      <c r="H76" s="309"/>
      <c r="I76" s="309"/>
      <c r="J76" s="309"/>
      <c r="K76" s="309"/>
      <c r="L76" s="309"/>
      <c r="M76" s="309"/>
      <c r="N76" s="310"/>
      <c r="P76" s="195">
        <v>65</v>
      </c>
      <c r="Q76" s="308"/>
      <c r="R76" s="309"/>
      <c r="S76" s="309"/>
      <c r="T76" s="309"/>
      <c r="U76" s="309"/>
      <c r="V76" s="309"/>
      <c r="W76" s="309"/>
      <c r="X76" s="309"/>
      <c r="Y76" s="309"/>
      <c r="Z76" s="309"/>
      <c r="AA76" s="309"/>
      <c r="AB76" s="309"/>
      <c r="AC76" s="310"/>
      <c r="AE76" s="195">
        <v>65</v>
      </c>
      <c r="AF76" s="308"/>
      <c r="AG76" s="309"/>
      <c r="AH76" s="309"/>
      <c r="AI76" s="309"/>
      <c r="AJ76" s="309"/>
      <c r="AK76" s="309"/>
      <c r="AL76" s="309"/>
      <c r="AM76" s="309"/>
      <c r="AN76" s="309"/>
      <c r="AO76" s="309"/>
      <c r="AP76" s="309"/>
      <c r="AQ76" s="309"/>
      <c r="AR76" s="310"/>
      <c r="AT76" s="195">
        <v>65</v>
      </c>
      <c r="AU76" s="308"/>
      <c r="AV76" s="309"/>
      <c r="AW76" s="309"/>
      <c r="AX76" s="309"/>
      <c r="AY76" s="309"/>
      <c r="AZ76" s="309"/>
      <c r="BA76" s="309"/>
      <c r="BB76" s="309"/>
      <c r="BC76" s="309"/>
      <c r="BD76" s="309"/>
      <c r="BE76" s="309"/>
      <c r="BF76" s="309"/>
      <c r="BG76" s="310">
        <v>1782</v>
      </c>
    </row>
    <row r="77" spans="1:59">
      <c r="A77" s="195">
        <v>66</v>
      </c>
      <c r="B77" s="308"/>
      <c r="C77" s="309"/>
      <c r="D77" s="309"/>
      <c r="E77" s="309"/>
      <c r="F77" s="309"/>
      <c r="G77" s="309"/>
      <c r="H77" s="309"/>
      <c r="I77" s="309"/>
      <c r="J77" s="309"/>
      <c r="K77" s="309"/>
      <c r="L77" s="309"/>
      <c r="M77" s="309"/>
      <c r="N77" s="310"/>
      <c r="P77" s="195">
        <v>66</v>
      </c>
      <c r="Q77" s="308"/>
      <c r="R77" s="309"/>
      <c r="S77" s="309"/>
      <c r="T77" s="309"/>
      <c r="U77" s="309"/>
      <c r="V77" s="309"/>
      <c r="W77" s="309"/>
      <c r="X77" s="309"/>
      <c r="Y77" s="309"/>
      <c r="Z77" s="309"/>
      <c r="AA77" s="309"/>
      <c r="AB77" s="309"/>
      <c r="AC77" s="310"/>
      <c r="AE77" s="195">
        <v>66</v>
      </c>
      <c r="AF77" s="308"/>
      <c r="AG77" s="309"/>
      <c r="AH77" s="309"/>
      <c r="AI77" s="309"/>
      <c r="AJ77" s="309"/>
      <c r="AK77" s="309"/>
      <c r="AL77" s="309"/>
      <c r="AM77" s="309"/>
      <c r="AN77" s="309"/>
      <c r="AO77" s="309"/>
      <c r="AP77" s="309"/>
      <c r="AQ77" s="309"/>
      <c r="AR77" s="310"/>
      <c r="AT77" s="195">
        <v>66</v>
      </c>
      <c r="AU77" s="308"/>
      <c r="AV77" s="309"/>
      <c r="AW77" s="309"/>
      <c r="AX77" s="309"/>
      <c r="AY77" s="309"/>
      <c r="AZ77" s="309"/>
      <c r="BA77" s="309"/>
      <c r="BB77" s="309"/>
      <c r="BC77" s="309"/>
      <c r="BD77" s="309"/>
      <c r="BE77" s="309"/>
      <c r="BF77" s="309"/>
      <c r="BG77" s="310">
        <v>4253</v>
      </c>
    </row>
    <row r="78" spans="1:59">
      <c r="A78" s="195">
        <v>67</v>
      </c>
      <c r="B78" s="308"/>
      <c r="C78" s="309"/>
      <c r="D78" s="309"/>
      <c r="E78" s="309"/>
      <c r="F78" s="309"/>
      <c r="G78" s="309"/>
      <c r="H78" s="309"/>
      <c r="I78" s="309"/>
      <c r="J78" s="309"/>
      <c r="K78" s="309"/>
      <c r="L78" s="309"/>
      <c r="M78" s="309"/>
      <c r="N78" s="310"/>
      <c r="P78" s="195">
        <v>67</v>
      </c>
      <c r="Q78" s="308"/>
      <c r="R78" s="309"/>
      <c r="S78" s="309"/>
      <c r="T78" s="309"/>
      <c r="U78" s="309"/>
      <c r="V78" s="309"/>
      <c r="W78" s="309"/>
      <c r="X78" s="309"/>
      <c r="Y78" s="309"/>
      <c r="Z78" s="309"/>
      <c r="AA78" s="309"/>
      <c r="AB78" s="309"/>
      <c r="AC78" s="310"/>
      <c r="AE78" s="195">
        <v>67</v>
      </c>
      <c r="AF78" s="308"/>
      <c r="AG78" s="309"/>
      <c r="AH78" s="309"/>
      <c r="AI78" s="309"/>
      <c r="AJ78" s="309"/>
      <c r="AK78" s="309"/>
      <c r="AL78" s="309"/>
      <c r="AM78" s="309"/>
      <c r="AN78" s="309"/>
      <c r="AO78" s="309"/>
      <c r="AP78" s="309"/>
      <c r="AQ78" s="309"/>
      <c r="AR78" s="310"/>
      <c r="AT78" s="195">
        <v>67</v>
      </c>
      <c r="AU78" s="308"/>
      <c r="AV78" s="309"/>
      <c r="AW78" s="309"/>
      <c r="AX78" s="309"/>
      <c r="AY78" s="309"/>
      <c r="AZ78" s="309"/>
      <c r="BA78" s="309"/>
      <c r="BB78" s="309"/>
      <c r="BC78" s="309"/>
      <c r="BD78" s="309"/>
      <c r="BE78" s="309"/>
      <c r="BF78" s="309"/>
      <c r="BG78" s="310">
        <v>1782</v>
      </c>
    </row>
    <row r="79" spans="1:59">
      <c r="A79" s="195">
        <v>68</v>
      </c>
      <c r="B79" s="308"/>
      <c r="C79" s="309"/>
      <c r="D79" s="309"/>
      <c r="E79" s="309"/>
      <c r="F79" s="309"/>
      <c r="G79" s="309"/>
      <c r="H79" s="309"/>
      <c r="I79" s="309"/>
      <c r="J79" s="309"/>
      <c r="K79" s="309"/>
      <c r="L79" s="309"/>
      <c r="M79" s="309"/>
      <c r="N79" s="310"/>
      <c r="P79" s="195">
        <v>68</v>
      </c>
      <c r="Q79" s="308"/>
      <c r="R79" s="309"/>
      <c r="S79" s="309"/>
      <c r="T79" s="309"/>
      <c r="U79" s="309"/>
      <c r="V79" s="309"/>
      <c r="W79" s="309"/>
      <c r="X79" s="309"/>
      <c r="Y79" s="309"/>
      <c r="Z79" s="309"/>
      <c r="AA79" s="309"/>
      <c r="AB79" s="309"/>
      <c r="AC79" s="310"/>
      <c r="AE79" s="195">
        <v>68</v>
      </c>
      <c r="AF79" s="308"/>
      <c r="AG79" s="309"/>
      <c r="AH79" s="309"/>
      <c r="AI79" s="309"/>
      <c r="AJ79" s="309"/>
      <c r="AK79" s="309"/>
      <c r="AL79" s="309"/>
      <c r="AM79" s="309"/>
      <c r="AN79" s="309"/>
      <c r="AO79" s="309"/>
      <c r="AP79" s="309"/>
      <c r="AQ79" s="309"/>
      <c r="AR79" s="310"/>
      <c r="AT79" s="195">
        <v>68</v>
      </c>
      <c r="AU79" s="308"/>
      <c r="AV79" s="309"/>
      <c r="AW79" s="309"/>
      <c r="AX79" s="309"/>
      <c r="AY79" s="309"/>
      <c r="AZ79" s="309"/>
      <c r="BA79" s="309"/>
      <c r="BB79" s="309"/>
      <c r="BC79" s="309"/>
      <c r="BD79" s="309"/>
      <c r="BE79" s="309"/>
      <c r="BF79" s="309"/>
      <c r="BG79" s="310"/>
    </row>
    <row r="80" spans="1:59">
      <c r="A80" s="195">
        <v>69</v>
      </c>
      <c r="B80" s="308"/>
      <c r="C80" s="309"/>
      <c r="D80" s="309"/>
      <c r="E80" s="309"/>
      <c r="F80" s="309"/>
      <c r="G80" s="309"/>
      <c r="H80" s="309"/>
      <c r="I80" s="309"/>
      <c r="J80" s="309"/>
      <c r="K80" s="309"/>
      <c r="L80" s="309"/>
      <c r="M80" s="309"/>
      <c r="N80" s="310"/>
      <c r="P80" s="195">
        <v>69</v>
      </c>
      <c r="Q80" s="308"/>
      <c r="R80" s="309"/>
      <c r="S80" s="309"/>
      <c r="T80" s="309"/>
      <c r="U80" s="309"/>
      <c r="V80" s="309"/>
      <c r="W80" s="309"/>
      <c r="X80" s="309"/>
      <c r="Y80" s="309"/>
      <c r="Z80" s="309"/>
      <c r="AA80" s="309"/>
      <c r="AB80" s="309"/>
      <c r="AC80" s="310"/>
      <c r="AE80" s="195">
        <v>69</v>
      </c>
      <c r="AF80" s="308"/>
      <c r="AG80" s="309"/>
      <c r="AH80" s="309"/>
      <c r="AI80" s="309"/>
      <c r="AJ80" s="309"/>
      <c r="AK80" s="309"/>
      <c r="AL80" s="309"/>
      <c r="AM80" s="309"/>
      <c r="AN80" s="309"/>
      <c r="AO80" s="309"/>
      <c r="AP80" s="309"/>
      <c r="AQ80" s="309"/>
      <c r="AR80" s="310"/>
      <c r="AT80" s="195">
        <v>69</v>
      </c>
      <c r="AU80" s="308"/>
      <c r="AV80" s="309"/>
      <c r="AW80" s="309"/>
      <c r="AX80" s="309"/>
      <c r="AY80" s="309"/>
      <c r="AZ80" s="309"/>
      <c r="BA80" s="309"/>
      <c r="BB80" s="309"/>
      <c r="BC80" s="309"/>
      <c r="BD80" s="309"/>
      <c r="BE80" s="309"/>
      <c r="BF80" s="309"/>
      <c r="BG80" s="310"/>
    </row>
    <row r="81" spans="1:59">
      <c r="A81" s="195">
        <v>70</v>
      </c>
      <c r="B81" s="308"/>
      <c r="C81" s="309"/>
      <c r="D81" s="309"/>
      <c r="E81" s="309"/>
      <c r="F81" s="309"/>
      <c r="G81" s="309"/>
      <c r="H81" s="309"/>
      <c r="I81" s="309"/>
      <c r="J81" s="309"/>
      <c r="K81" s="309"/>
      <c r="L81" s="309"/>
      <c r="M81" s="309"/>
      <c r="N81" s="310"/>
      <c r="P81" s="195">
        <v>70</v>
      </c>
      <c r="Q81" s="308"/>
      <c r="R81" s="309"/>
      <c r="S81" s="309"/>
      <c r="T81" s="309"/>
      <c r="U81" s="309"/>
      <c r="V81" s="309"/>
      <c r="W81" s="309"/>
      <c r="X81" s="309"/>
      <c r="Y81" s="309"/>
      <c r="Z81" s="309"/>
      <c r="AA81" s="309"/>
      <c r="AB81" s="309"/>
      <c r="AC81" s="310"/>
      <c r="AE81" s="195">
        <v>70</v>
      </c>
      <c r="AF81" s="308"/>
      <c r="AG81" s="309"/>
      <c r="AH81" s="309"/>
      <c r="AI81" s="309"/>
      <c r="AJ81" s="309"/>
      <c r="AK81" s="309"/>
      <c r="AL81" s="309"/>
      <c r="AM81" s="309"/>
      <c r="AN81" s="309"/>
      <c r="AO81" s="309"/>
      <c r="AP81" s="309"/>
      <c r="AQ81" s="309"/>
      <c r="AR81" s="310"/>
      <c r="AT81" s="195">
        <v>70</v>
      </c>
      <c r="AU81" s="308"/>
      <c r="AV81" s="309"/>
      <c r="AW81" s="309"/>
      <c r="AX81" s="309"/>
      <c r="AY81" s="309"/>
      <c r="AZ81" s="309"/>
      <c r="BA81" s="309"/>
      <c r="BB81" s="309"/>
      <c r="BC81" s="309"/>
      <c r="BD81" s="309"/>
      <c r="BE81" s="309"/>
      <c r="BF81" s="309"/>
      <c r="BG81" s="310"/>
    </row>
    <row r="82" spans="1:59">
      <c r="A82" s="195">
        <v>71</v>
      </c>
      <c r="B82" s="308"/>
      <c r="C82" s="309"/>
      <c r="D82" s="309"/>
      <c r="E82" s="309"/>
      <c r="F82" s="309"/>
      <c r="G82" s="309"/>
      <c r="H82" s="309"/>
      <c r="I82" s="309"/>
      <c r="J82" s="309"/>
      <c r="K82" s="309"/>
      <c r="L82" s="309"/>
      <c r="M82" s="309"/>
      <c r="N82" s="310"/>
      <c r="P82" s="195">
        <v>71</v>
      </c>
      <c r="Q82" s="308"/>
      <c r="R82" s="309"/>
      <c r="S82" s="309"/>
      <c r="T82" s="309"/>
      <c r="U82" s="309"/>
      <c r="V82" s="309"/>
      <c r="W82" s="309"/>
      <c r="X82" s="309"/>
      <c r="Y82" s="309"/>
      <c r="Z82" s="309"/>
      <c r="AA82" s="309"/>
      <c r="AB82" s="309"/>
      <c r="AC82" s="310"/>
      <c r="AE82" s="195">
        <v>71</v>
      </c>
      <c r="AF82" s="308"/>
      <c r="AG82" s="309"/>
      <c r="AH82" s="309"/>
      <c r="AI82" s="309"/>
      <c r="AJ82" s="309"/>
      <c r="AK82" s="309"/>
      <c r="AL82" s="309"/>
      <c r="AM82" s="309"/>
      <c r="AN82" s="309"/>
      <c r="AO82" s="309"/>
      <c r="AP82" s="309"/>
      <c r="AQ82" s="309"/>
      <c r="AR82" s="310"/>
      <c r="AT82" s="195">
        <v>71</v>
      </c>
      <c r="AU82" s="308"/>
      <c r="AV82" s="309"/>
      <c r="AW82" s="309"/>
      <c r="AX82" s="309"/>
      <c r="AY82" s="309"/>
      <c r="AZ82" s="309"/>
      <c r="BA82" s="309"/>
      <c r="BB82" s="309"/>
      <c r="BC82" s="309"/>
      <c r="BD82" s="309"/>
      <c r="BE82" s="309"/>
      <c r="BF82" s="309"/>
      <c r="BG82" s="310"/>
    </row>
    <row r="83" spans="1:59">
      <c r="A83" s="195">
        <v>72</v>
      </c>
      <c r="B83" s="308"/>
      <c r="C83" s="309"/>
      <c r="D83" s="309"/>
      <c r="E83" s="309"/>
      <c r="F83" s="309"/>
      <c r="G83" s="309"/>
      <c r="H83" s="309"/>
      <c r="I83" s="309"/>
      <c r="J83" s="309"/>
      <c r="K83" s="309"/>
      <c r="L83" s="309"/>
      <c r="M83" s="309"/>
      <c r="N83" s="310"/>
      <c r="P83" s="195">
        <v>72</v>
      </c>
      <c r="Q83" s="308"/>
      <c r="R83" s="309"/>
      <c r="S83" s="309"/>
      <c r="T83" s="309"/>
      <c r="U83" s="309"/>
      <c r="V83" s="309"/>
      <c r="W83" s="309"/>
      <c r="X83" s="309"/>
      <c r="Y83" s="309"/>
      <c r="Z83" s="309"/>
      <c r="AA83" s="309"/>
      <c r="AB83" s="309"/>
      <c r="AC83" s="310"/>
      <c r="AE83" s="195">
        <v>72</v>
      </c>
      <c r="AF83" s="308"/>
      <c r="AG83" s="309"/>
      <c r="AH83" s="309"/>
      <c r="AI83" s="309"/>
      <c r="AJ83" s="309"/>
      <c r="AK83" s="309"/>
      <c r="AL83" s="309"/>
      <c r="AM83" s="309"/>
      <c r="AN83" s="309"/>
      <c r="AO83" s="309"/>
      <c r="AP83" s="309"/>
      <c r="AQ83" s="309"/>
      <c r="AR83" s="310"/>
      <c r="AT83" s="195">
        <v>72</v>
      </c>
      <c r="AU83" s="308"/>
      <c r="AV83" s="309"/>
      <c r="AW83" s="309"/>
      <c r="AX83" s="309"/>
      <c r="AY83" s="309"/>
      <c r="AZ83" s="309"/>
      <c r="BA83" s="309"/>
      <c r="BB83" s="309"/>
      <c r="BC83" s="309"/>
      <c r="BD83" s="309"/>
      <c r="BE83" s="309"/>
      <c r="BF83" s="309"/>
      <c r="BG83" s="310"/>
    </row>
    <row r="84" spans="1:59">
      <c r="A84" s="195">
        <v>73</v>
      </c>
      <c r="B84" s="308"/>
      <c r="C84" s="309"/>
      <c r="D84" s="309"/>
      <c r="E84" s="309"/>
      <c r="F84" s="309"/>
      <c r="G84" s="309"/>
      <c r="H84" s="309"/>
      <c r="I84" s="309"/>
      <c r="J84" s="309"/>
      <c r="K84" s="309"/>
      <c r="L84" s="309"/>
      <c r="M84" s="309"/>
      <c r="N84" s="310"/>
      <c r="P84" s="195">
        <v>73</v>
      </c>
      <c r="Q84" s="308"/>
      <c r="R84" s="309"/>
      <c r="S84" s="309"/>
      <c r="T84" s="309"/>
      <c r="U84" s="309"/>
      <c r="V84" s="309"/>
      <c r="W84" s="309"/>
      <c r="X84" s="309"/>
      <c r="Y84" s="309"/>
      <c r="Z84" s="309"/>
      <c r="AA84" s="309"/>
      <c r="AB84" s="309"/>
      <c r="AC84" s="310"/>
      <c r="AE84" s="195">
        <v>73</v>
      </c>
      <c r="AF84" s="308"/>
      <c r="AG84" s="309"/>
      <c r="AH84" s="309"/>
      <c r="AI84" s="309"/>
      <c r="AJ84" s="309"/>
      <c r="AK84" s="309"/>
      <c r="AL84" s="309"/>
      <c r="AM84" s="309"/>
      <c r="AN84" s="309"/>
      <c r="AO84" s="309"/>
      <c r="AP84" s="309"/>
      <c r="AQ84" s="309"/>
      <c r="AR84" s="310"/>
      <c r="AT84" s="195">
        <v>73</v>
      </c>
      <c r="AU84" s="308"/>
      <c r="AV84" s="309"/>
      <c r="AW84" s="309"/>
      <c r="AX84" s="309"/>
      <c r="AY84" s="309"/>
      <c r="AZ84" s="309"/>
      <c r="BA84" s="309"/>
      <c r="BB84" s="309"/>
      <c r="BC84" s="309"/>
      <c r="BD84" s="309"/>
      <c r="BE84" s="309"/>
      <c r="BF84" s="309"/>
      <c r="BG84" s="310"/>
    </row>
    <row r="85" spans="1:59">
      <c r="A85" s="195">
        <v>74</v>
      </c>
      <c r="B85" s="308"/>
      <c r="C85" s="309"/>
      <c r="D85" s="309"/>
      <c r="E85" s="309"/>
      <c r="F85" s="309"/>
      <c r="G85" s="309"/>
      <c r="H85" s="309"/>
      <c r="I85" s="309"/>
      <c r="J85" s="309"/>
      <c r="K85" s="309"/>
      <c r="L85" s="309"/>
      <c r="M85" s="309"/>
      <c r="N85" s="310"/>
      <c r="P85" s="195">
        <v>74</v>
      </c>
      <c r="Q85" s="308"/>
      <c r="R85" s="309"/>
      <c r="S85" s="309"/>
      <c r="T85" s="309"/>
      <c r="U85" s="309"/>
      <c r="V85" s="309"/>
      <c r="W85" s="309"/>
      <c r="X85" s="309"/>
      <c r="Y85" s="309"/>
      <c r="Z85" s="309"/>
      <c r="AA85" s="309"/>
      <c r="AB85" s="309"/>
      <c r="AC85" s="310"/>
      <c r="AE85" s="195">
        <v>74</v>
      </c>
      <c r="AF85" s="308"/>
      <c r="AG85" s="309"/>
      <c r="AH85" s="309"/>
      <c r="AI85" s="309"/>
      <c r="AJ85" s="309"/>
      <c r="AK85" s="309"/>
      <c r="AL85" s="309"/>
      <c r="AM85" s="309"/>
      <c r="AN85" s="309"/>
      <c r="AO85" s="309"/>
      <c r="AP85" s="309"/>
      <c r="AQ85" s="309"/>
      <c r="AR85" s="310"/>
      <c r="AT85" s="195">
        <v>74</v>
      </c>
      <c r="AU85" s="308"/>
      <c r="AV85" s="309"/>
      <c r="AW85" s="309"/>
      <c r="AX85" s="309"/>
      <c r="AY85" s="309"/>
      <c r="AZ85" s="309"/>
      <c r="BA85" s="309"/>
      <c r="BB85" s="309"/>
      <c r="BC85" s="309"/>
      <c r="BD85" s="309"/>
      <c r="BE85" s="309"/>
      <c r="BF85" s="309"/>
      <c r="BG85" s="310"/>
    </row>
    <row r="86" spans="1:59">
      <c r="A86" s="195">
        <v>75</v>
      </c>
      <c r="B86" s="308"/>
      <c r="C86" s="309"/>
      <c r="D86" s="309"/>
      <c r="E86" s="309"/>
      <c r="F86" s="309"/>
      <c r="G86" s="309"/>
      <c r="H86" s="309"/>
      <c r="I86" s="309"/>
      <c r="J86" s="309"/>
      <c r="K86" s="309"/>
      <c r="L86" s="309"/>
      <c r="M86" s="309"/>
      <c r="N86" s="310"/>
      <c r="P86" s="195">
        <v>75</v>
      </c>
      <c r="Q86" s="308"/>
      <c r="R86" s="309"/>
      <c r="S86" s="309"/>
      <c r="T86" s="309"/>
      <c r="U86" s="309"/>
      <c r="V86" s="309"/>
      <c r="W86" s="309"/>
      <c r="X86" s="309"/>
      <c r="Y86" s="309"/>
      <c r="Z86" s="309"/>
      <c r="AA86" s="309"/>
      <c r="AB86" s="309"/>
      <c r="AC86" s="310"/>
      <c r="AE86" s="195">
        <v>75</v>
      </c>
      <c r="AF86" s="308"/>
      <c r="AG86" s="309"/>
      <c r="AH86" s="309"/>
      <c r="AI86" s="309"/>
      <c r="AJ86" s="309"/>
      <c r="AK86" s="309"/>
      <c r="AL86" s="309"/>
      <c r="AM86" s="309"/>
      <c r="AN86" s="309"/>
      <c r="AO86" s="309"/>
      <c r="AP86" s="309"/>
      <c r="AQ86" s="309"/>
      <c r="AR86" s="310"/>
      <c r="AT86" s="195">
        <v>75</v>
      </c>
      <c r="AU86" s="308"/>
      <c r="AV86" s="309"/>
      <c r="AW86" s="309"/>
      <c r="AX86" s="309"/>
      <c r="AY86" s="309"/>
      <c r="AZ86" s="309"/>
      <c r="BA86" s="309"/>
      <c r="BB86" s="309"/>
      <c r="BC86" s="309"/>
      <c r="BD86" s="309"/>
      <c r="BE86" s="309"/>
      <c r="BF86" s="309"/>
      <c r="BG86" s="310"/>
    </row>
    <row r="87" spans="1:59">
      <c r="A87" s="195">
        <v>76</v>
      </c>
      <c r="B87" s="308"/>
      <c r="C87" s="309"/>
      <c r="D87" s="309"/>
      <c r="E87" s="309"/>
      <c r="F87" s="309"/>
      <c r="G87" s="309"/>
      <c r="H87" s="309"/>
      <c r="I87" s="309"/>
      <c r="J87" s="309"/>
      <c r="K87" s="309"/>
      <c r="L87" s="309"/>
      <c r="M87" s="309"/>
      <c r="N87" s="310"/>
      <c r="P87" s="195">
        <v>76</v>
      </c>
      <c r="Q87" s="308"/>
      <c r="R87" s="309"/>
      <c r="S87" s="309"/>
      <c r="T87" s="309"/>
      <c r="U87" s="309"/>
      <c r="V87" s="309"/>
      <c r="W87" s="309"/>
      <c r="X87" s="309"/>
      <c r="Y87" s="309"/>
      <c r="Z87" s="309"/>
      <c r="AA87" s="309"/>
      <c r="AB87" s="309"/>
      <c r="AC87" s="310"/>
      <c r="AE87" s="195">
        <v>76</v>
      </c>
      <c r="AF87" s="308"/>
      <c r="AG87" s="309"/>
      <c r="AH87" s="309"/>
      <c r="AI87" s="309"/>
      <c r="AJ87" s="309"/>
      <c r="AK87" s="309"/>
      <c r="AL87" s="309"/>
      <c r="AM87" s="309"/>
      <c r="AN87" s="309"/>
      <c r="AO87" s="309"/>
      <c r="AP87" s="309"/>
      <c r="AQ87" s="309"/>
      <c r="AR87" s="310"/>
      <c r="AT87" s="195">
        <v>76</v>
      </c>
      <c r="AU87" s="308"/>
      <c r="AV87" s="309"/>
      <c r="AW87" s="309"/>
      <c r="AX87" s="309"/>
      <c r="AY87" s="309"/>
      <c r="AZ87" s="309"/>
      <c r="BA87" s="309"/>
      <c r="BB87" s="309"/>
      <c r="BC87" s="309"/>
      <c r="BD87" s="309"/>
      <c r="BE87" s="309"/>
      <c r="BF87" s="309"/>
      <c r="BG87" s="310"/>
    </row>
    <row r="88" spans="1:59">
      <c r="A88" s="195">
        <v>77</v>
      </c>
      <c r="B88" s="308"/>
      <c r="C88" s="309"/>
      <c r="D88" s="309"/>
      <c r="E88" s="309"/>
      <c r="F88" s="309"/>
      <c r="G88" s="309"/>
      <c r="H88" s="309"/>
      <c r="I88" s="309"/>
      <c r="J88" s="309"/>
      <c r="K88" s="309"/>
      <c r="L88" s="309"/>
      <c r="M88" s="309"/>
      <c r="N88" s="310"/>
      <c r="P88" s="195">
        <v>77</v>
      </c>
      <c r="Q88" s="308"/>
      <c r="R88" s="309"/>
      <c r="S88" s="309"/>
      <c r="T88" s="309"/>
      <c r="U88" s="309"/>
      <c r="V88" s="309"/>
      <c r="W88" s="309"/>
      <c r="X88" s="309"/>
      <c r="Y88" s="309"/>
      <c r="Z88" s="309"/>
      <c r="AA88" s="309"/>
      <c r="AB88" s="309"/>
      <c r="AC88" s="310"/>
      <c r="AE88" s="195">
        <v>77</v>
      </c>
      <c r="AF88" s="308"/>
      <c r="AG88" s="309"/>
      <c r="AH88" s="309"/>
      <c r="AI88" s="309"/>
      <c r="AJ88" s="309"/>
      <c r="AK88" s="309"/>
      <c r="AL88" s="309"/>
      <c r="AM88" s="309"/>
      <c r="AN88" s="309"/>
      <c r="AO88" s="309"/>
      <c r="AP88" s="309"/>
      <c r="AQ88" s="309"/>
      <c r="AR88" s="310"/>
      <c r="AT88" s="195">
        <v>77</v>
      </c>
      <c r="AU88" s="308"/>
      <c r="AV88" s="309"/>
      <c r="AW88" s="309"/>
      <c r="AX88" s="309"/>
      <c r="AY88" s="309"/>
      <c r="AZ88" s="309"/>
      <c r="BA88" s="309"/>
      <c r="BB88" s="309"/>
      <c r="BC88" s="309"/>
      <c r="BD88" s="309"/>
      <c r="BE88" s="309"/>
      <c r="BF88" s="309"/>
      <c r="BG88" s="310"/>
    </row>
    <row r="89" spans="1:59">
      <c r="A89" s="195">
        <v>78</v>
      </c>
      <c r="B89" s="308"/>
      <c r="C89" s="309"/>
      <c r="D89" s="309"/>
      <c r="E89" s="309"/>
      <c r="F89" s="309"/>
      <c r="G89" s="309"/>
      <c r="H89" s="309"/>
      <c r="I89" s="309"/>
      <c r="J89" s="309"/>
      <c r="K89" s="309"/>
      <c r="L89" s="309"/>
      <c r="M89" s="309"/>
      <c r="N89" s="310"/>
      <c r="P89" s="195">
        <v>78</v>
      </c>
      <c r="Q89" s="308"/>
      <c r="R89" s="309"/>
      <c r="S89" s="309"/>
      <c r="T89" s="309"/>
      <c r="U89" s="309"/>
      <c r="V89" s="309"/>
      <c r="W89" s="309"/>
      <c r="X89" s="309"/>
      <c r="Y89" s="309"/>
      <c r="Z89" s="309"/>
      <c r="AA89" s="309"/>
      <c r="AB89" s="309"/>
      <c r="AC89" s="310"/>
      <c r="AE89" s="195">
        <v>78</v>
      </c>
      <c r="AF89" s="308"/>
      <c r="AG89" s="309"/>
      <c r="AH89" s="309"/>
      <c r="AI89" s="309"/>
      <c r="AJ89" s="309"/>
      <c r="AK89" s="309"/>
      <c r="AL89" s="309"/>
      <c r="AM89" s="309"/>
      <c r="AN89" s="309"/>
      <c r="AO89" s="309"/>
      <c r="AP89" s="309"/>
      <c r="AQ89" s="309"/>
      <c r="AR89" s="310"/>
      <c r="AT89" s="195">
        <v>78</v>
      </c>
      <c r="AU89" s="308"/>
      <c r="AV89" s="309"/>
      <c r="AW89" s="309"/>
      <c r="AX89" s="309"/>
      <c r="AY89" s="309"/>
      <c r="AZ89" s="309"/>
      <c r="BA89" s="309"/>
      <c r="BB89" s="309"/>
      <c r="BC89" s="309"/>
      <c r="BD89" s="309"/>
      <c r="BE89" s="309"/>
      <c r="BF89" s="309"/>
      <c r="BG89" s="310"/>
    </row>
    <row r="90" spans="1:59">
      <c r="A90" s="195">
        <v>79</v>
      </c>
      <c r="B90" s="308"/>
      <c r="C90" s="309"/>
      <c r="D90" s="309"/>
      <c r="E90" s="309"/>
      <c r="F90" s="309"/>
      <c r="G90" s="309"/>
      <c r="H90" s="309"/>
      <c r="I90" s="309"/>
      <c r="J90" s="309"/>
      <c r="K90" s="309"/>
      <c r="L90" s="309"/>
      <c r="M90" s="309"/>
      <c r="N90" s="310"/>
      <c r="P90" s="195">
        <v>79</v>
      </c>
      <c r="Q90" s="308"/>
      <c r="R90" s="309"/>
      <c r="S90" s="309"/>
      <c r="T90" s="309"/>
      <c r="U90" s="309"/>
      <c r="V90" s="309"/>
      <c r="W90" s="309"/>
      <c r="X90" s="309"/>
      <c r="Y90" s="309"/>
      <c r="Z90" s="309"/>
      <c r="AA90" s="309"/>
      <c r="AB90" s="309"/>
      <c r="AC90" s="310"/>
      <c r="AE90" s="195">
        <v>79</v>
      </c>
      <c r="AF90" s="308"/>
      <c r="AG90" s="309"/>
      <c r="AH90" s="309"/>
      <c r="AI90" s="309"/>
      <c r="AJ90" s="309"/>
      <c r="AK90" s="309"/>
      <c r="AL90" s="309"/>
      <c r="AM90" s="309"/>
      <c r="AN90" s="309"/>
      <c r="AO90" s="309"/>
      <c r="AP90" s="309"/>
      <c r="AQ90" s="309"/>
      <c r="AR90" s="310"/>
      <c r="AT90" s="195">
        <v>79</v>
      </c>
      <c r="AU90" s="308"/>
      <c r="AV90" s="309"/>
      <c r="AW90" s="309"/>
      <c r="AX90" s="309"/>
      <c r="AY90" s="309"/>
      <c r="AZ90" s="309"/>
      <c r="BA90" s="309"/>
      <c r="BB90" s="309"/>
      <c r="BC90" s="309"/>
      <c r="BD90" s="309"/>
      <c r="BE90" s="309"/>
      <c r="BF90" s="309"/>
      <c r="BG90" s="310"/>
    </row>
    <row r="91" spans="1:59">
      <c r="A91" s="195">
        <v>80</v>
      </c>
      <c r="B91" s="308"/>
      <c r="C91" s="309"/>
      <c r="D91" s="309"/>
      <c r="E91" s="309"/>
      <c r="F91" s="309"/>
      <c r="G91" s="309"/>
      <c r="H91" s="309"/>
      <c r="I91" s="309"/>
      <c r="J91" s="309"/>
      <c r="K91" s="309"/>
      <c r="L91" s="309"/>
      <c r="M91" s="309"/>
      <c r="N91" s="310"/>
      <c r="P91" s="195">
        <v>80</v>
      </c>
      <c r="Q91" s="308"/>
      <c r="R91" s="309"/>
      <c r="S91" s="309"/>
      <c r="T91" s="309"/>
      <c r="U91" s="309"/>
      <c r="V91" s="309"/>
      <c r="W91" s="309"/>
      <c r="X91" s="309"/>
      <c r="Y91" s="309"/>
      <c r="Z91" s="309"/>
      <c r="AA91" s="309"/>
      <c r="AB91" s="309"/>
      <c r="AC91" s="310"/>
      <c r="AE91" s="195">
        <v>80</v>
      </c>
      <c r="AF91" s="308"/>
      <c r="AG91" s="309"/>
      <c r="AH91" s="309"/>
      <c r="AI91" s="309"/>
      <c r="AJ91" s="309"/>
      <c r="AK91" s="309"/>
      <c r="AL91" s="309"/>
      <c r="AM91" s="309"/>
      <c r="AN91" s="309"/>
      <c r="AO91" s="309"/>
      <c r="AP91" s="309"/>
      <c r="AQ91" s="309"/>
      <c r="AR91" s="310"/>
      <c r="AT91" s="195">
        <v>80</v>
      </c>
      <c r="AU91" s="308"/>
      <c r="AV91" s="309"/>
      <c r="AW91" s="309"/>
      <c r="AX91" s="309"/>
      <c r="AY91" s="309"/>
      <c r="AZ91" s="309"/>
      <c r="BA91" s="309"/>
      <c r="BB91" s="309"/>
      <c r="BC91" s="309"/>
      <c r="BD91" s="309"/>
      <c r="BE91" s="309"/>
      <c r="BF91" s="309"/>
      <c r="BG91" s="310"/>
    </row>
    <row r="92" spans="1:59">
      <c r="A92" s="195">
        <v>81</v>
      </c>
      <c r="B92" s="308"/>
      <c r="C92" s="309"/>
      <c r="D92" s="309"/>
      <c r="E92" s="309"/>
      <c r="F92" s="309"/>
      <c r="G92" s="309"/>
      <c r="H92" s="309"/>
      <c r="I92" s="309"/>
      <c r="J92" s="309"/>
      <c r="K92" s="309"/>
      <c r="L92" s="309"/>
      <c r="M92" s="309"/>
      <c r="N92" s="310"/>
      <c r="P92" s="195">
        <v>81</v>
      </c>
      <c r="Q92" s="308"/>
      <c r="R92" s="309"/>
      <c r="S92" s="309"/>
      <c r="T92" s="309"/>
      <c r="U92" s="309"/>
      <c r="V92" s="309"/>
      <c r="W92" s="309"/>
      <c r="X92" s="309"/>
      <c r="Y92" s="309"/>
      <c r="Z92" s="309"/>
      <c r="AA92" s="309"/>
      <c r="AB92" s="309"/>
      <c r="AC92" s="310"/>
      <c r="AE92" s="195">
        <v>81</v>
      </c>
      <c r="AF92" s="308"/>
      <c r="AG92" s="309"/>
      <c r="AH92" s="309"/>
      <c r="AI92" s="309"/>
      <c r="AJ92" s="309"/>
      <c r="AK92" s="309"/>
      <c r="AL92" s="309"/>
      <c r="AM92" s="309"/>
      <c r="AN92" s="309"/>
      <c r="AO92" s="309"/>
      <c r="AP92" s="309"/>
      <c r="AQ92" s="309"/>
      <c r="AR92" s="310"/>
      <c r="AT92" s="195">
        <v>81</v>
      </c>
      <c r="AU92" s="308"/>
      <c r="AV92" s="309"/>
      <c r="AW92" s="309"/>
      <c r="AX92" s="309"/>
      <c r="AY92" s="309"/>
      <c r="AZ92" s="309"/>
      <c r="BA92" s="309"/>
      <c r="BB92" s="309"/>
      <c r="BC92" s="309"/>
      <c r="BD92" s="309"/>
      <c r="BE92" s="309"/>
      <c r="BF92" s="309"/>
      <c r="BG92" s="310"/>
    </row>
    <row r="93" spans="1:59">
      <c r="A93" s="195">
        <v>82</v>
      </c>
      <c r="B93" s="308"/>
      <c r="C93" s="309"/>
      <c r="D93" s="309"/>
      <c r="E93" s="309"/>
      <c r="F93" s="309"/>
      <c r="G93" s="309"/>
      <c r="H93" s="309"/>
      <c r="I93" s="309"/>
      <c r="J93" s="309"/>
      <c r="K93" s="309"/>
      <c r="L93" s="309"/>
      <c r="M93" s="309"/>
      <c r="N93" s="310"/>
      <c r="P93" s="195">
        <v>82</v>
      </c>
      <c r="Q93" s="308"/>
      <c r="R93" s="309"/>
      <c r="S93" s="309"/>
      <c r="T93" s="309"/>
      <c r="U93" s="309"/>
      <c r="V93" s="309"/>
      <c r="W93" s="309"/>
      <c r="X93" s="309"/>
      <c r="Y93" s="309"/>
      <c r="Z93" s="309"/>
      <c r="AA93" s="309"/>
      <c r="AB93" s="309"/>
      <c r="AC93" s="310"/>
      <c r="AE93" s="195">
        <v>82</v>
      </c>
      <c r="AF93" s="308"/>
      <c r="AG93" s="309"/>
      <c r="AH93" s="309"/>
      <c r="AI93" s="309"/>
      <c r="AJ93" s="309"/>
      <c r="AK93" s="309"/>
      <c r="AL93" s="309"/>
      <c r="AM93" s="309"/>
      <c r="AN93" s="309"/>
      <c r="AO93" s="309"/>
      <c r="AP93" s="309"/>
      <c r="AQ93" s="309"/>
      <c r="AR93" s="310"/>
      <c r="AT93" s="195">
        <v>82</v>
      </c>
      <c r="AU93" s="308"/>
      <c r="AV93" s="309"/>
      <c r="AW93" s="309"/>
      <c r="AX93" s="309"/>
      <c r="AY93" s="309"/>
      <c r="AZ93" s="309"/>
      <c r="BA93" s="309"/>
      <c r="BB93" s="309"/>
      <c r="BC93" s="309"/>
      <c r="BD93" s="309"/>
      <c r="BE93" s="309"/>
      <c r="BF93" s="309"/>
      <c r="BG93" s="310"/>
    </row>
    <row r="94" spans="1:59">
      <c r="A94" s="195">
        <v>83</v>
      </c>
      <c r="B94" s="308"/>
      <c r="C94" s="309"/>
      <c r="D94" s="309"/>
      <c r="E94" s="309"/>
      <c r="F94" s="309"/>
      <c r="G94" s="309"/>
      <c r="H94" s="309"/>
      <c r="I94" s="309"/>
      <c r="J94" s="309"/>
      <c r="K94" s="309"/>
      <c r="L94" s="309"/>
      <c r="M94" s="309"/>
      <c r="N94" s="310"/>
      <c r="P94" s="195">
        <v>83</v>
      </c>
      <c r="Q94" s="308"/>
      <c r="R94" s="309"/>
      <c r="S94" s="309"/>
      <c r="T94" s="309"/>
      <c r="U94" s="309"/>
      <c r="V94" s="309"/>
      <c r="W94" s="309"/>
      <c r="X94" s="309"/>
      <c r="Y94" s="309"/>
      <c r="Z94" s="309"/>
      <c r="AA94" s="309"/>
      <c r="AB94" s="309"/>
      <c r="AC94" s="310"/>
      <c r="AE94" s="195">
        <v>83</v>
      </c>
      <c r="AF94" s="308"/>
      <c r="AG94" s="309"/>
      <c r="AH94" s="309"/>
      <c r="AI94" s="309"/>
      <c r="AJ94" s="309"/>
      <c r="AK94" s="309"/>
      <c r="AL94" s="309"/>
      <c r="AM94" s="309"/>
      <c r="AN94" s="309"/>
      <c r="AO94" s="309"/>
      <c r="AP94" s="309"/>
      <c r="AQ94" s="309"/>
      <c r="AR94" s="310"/>
      <c r="AT94" s="195">
        <v>83</v>
      </c>
      <c r="AU94" s="308"/>
      <c r="AV94" s="309"/>
      <c r="AW94" s="309"/>
      <c r="AX94" s="309"/>
      <c r="AY94" s="309"/>
      <c r="AZ94" s="309"/>
      <c r="BA94" s="309"/>
      <c r="BB94" s="309"/>
      <c r="BC94" s="309"/>
      <c r="BD94" s="309"/>
      <c r="BE94" s="309"/>
      <c r="BF94" s="309"/>
      <c r="BG94" s="310"/>
    </row>
    <row r="95" spans="1:59">
      <c r="A95" s="195">
        <v>84</v>
      </c>
      <c r="B95" s="308"/>
      <c r="C95" s="309"/>
      <c r="D95" s="309"/>
      <c r="E95" s="309"/>
      <c r="F95" s="309"/>
      <c r="G95" s="309"/>
      <c r="H95" s="309"/>
      <c r="I95" s="309"/>
      <c r="J95" s="309"/>
      <c r="K95" s="309"/>
      <c r="L95" s="309"/>
      <c r="M95" s="309"/>
      <c r="N95" s="310"/>
      <c r="P95" s="195">
        <v>84</v>
      </c>
      <c r="Q95" s="308"/>
      <c r="R95" s="309"/>
      <c r="S95" s="309"/>
      <c r="T95" s="309"/>
      <c r="U95" s="309"/>
      <c r="V95" s="309"/>
      <c r="W95" s="309"/>
      <c r="X95" s="309"/>
      <c r="Y95" s="309"/>
      <c r="Z95" s="309"/>
      <c r="AA95" s="309"/>
      <c r="AB95" s="309"/>
      <c r="AC95" s="310"/>
      <c r="AE95" s="195">
        <v>84</v>
      </c>
      <c r="AF95" s="308"/>
      <c r="AG95" s="309"/>
      <c r="AH95" s="309"/>
      <c r="AI95" s="309"/>
      <c r="AJ95" s="309"/>
      <c r="AK95" s="309"/>
      <c r="AL95" s="309"/>
      <c r="AM95" s="309"/>
      <c r="AN95" s="309"/>
      <c r="AO95" s="309"/>
      <c r="AP95" s="309"/>
      <c r="AQ95" s="309"/>
      <c r="AR95" s="310"/>
      <c r="AT95" s="195">
        <v>84</v>
      </c>
      <c r="AU95" s="308"/>
      <c r="AV95" s="309"/>
      <c r="AW95" s="309"/>
      <c r="AX95" s="309"/>
      <c r="AY95" s="309"/>
      <c r="AZ95" s="309"/>
      <c r="BA95" s="309"/>
      <c r="BB95" s="309"/>
      <c r="BC95" s="309"/>
      <c r="BD95" s="309"/>
      <c r="BE95" s="309"/>
      <c r="BF95" s="309"/>
      <c r="BG95" s="310"/>
    </row>
    <row r="96" spans="1:59">
      <c r="A96" s="195">
        <v>85</v>
      </c>
      <c r="B96" s="308"/>
      <c r="C96" s="309"/>
      <c r="D96" s="309"/>
      <c r="E96" s="309"/>
      <c r="F96" s="309"/>
      <c r="G96" s="309"/>
      <c r="H96" s="309"/>
      <c r="I96" s="309"/>
      <c r="J96" s="309"/>
      <c r="K96" s="309"/>
      <c r="L96" s="309"/>
      <c r="M96" s="309"/>
      <c r="N96" s="310"/>
      <c r="P96" s="195">
        <v>85</v>
      </c>
      <c r="Q96" s="308"/>
      <c r="R96" s="309"/>
      <c r="S96" s="309"/>
      <c r="T96" s="309"/>
      <c r="U96" s="309"/>
      <c r="V96" s="309"/>
      <c r="W96" s="309"/>
      <c r="X96" s="309"/>
      <c r="Y96" s="309"/>
      <c r="Z96" s="309"/>
      <c r="AA96" s="309"/>
      <c r="AB96" s="309"/>
      <c r="AC96" s="310"/>
      <c r="AE96" s="195">
        <v>85</v>
      </c>
      <c r="AF96" s="308"/>
      <c r="AG96" s="309"/>
      <c r="AH96" s="309"/>
      <c r="AI96" s="309"/>
      <c r="AJ96" s="309"/>
      <c r="AK96" s="309"/>
      <c r="AL96" s="309"/>
      <c r="AM96" s="309"/>
      <c r="AN96" s="309"/>
      <c r="AO96" s="309"/>
      <c r="AP96" s="309"/>
      <c r="AQ96" s="309"/>
      <c r="AR96" s="310"/>
      <c r="AT96" s="195">
        <v>85</v>
      </c>
      <c r="AU96" s="308"/>
      <c r="AV96" s="309"/>
      <c r="AW96" s="309"/>
      <c r="AX96" s="309"/>
      <c r="AY96" s="309"/>
      <c r="AZ96" s="309"/>
      <c r="BA96" s="309"/>
      <c r="BB96" s="309"/>
      <c r="BC96" s="309"/>
      <c r="BD96" s="309"/>
      <c r="BE96" s="309"/>
      <c r="BF96" s="309"/>
      <c r="BG96" s="310"/>
    </row>
    <row r="97" spans="1:59">
      <c r="A97" s="195">
        <v>86</v>
      </c>
      <c r="B97" s="308"/>
      <c r="C97" s="309"/>
      <c r="D97" s="309"/>
      <c r="E97" s="309"/>
      <c r="F97" s="309"/>
      <c r="G97" s="309"/>
      <c r="H97" s="309"/>
      <c r="I97" s="309"/>
      <c r="J97" s="309"/>
      <c r="K97" s="309"/>
      <c r="L97" s="309"/>
      <c r="M97" s="309"/>
      <c r="N97" s="310"/>
      <c r="P97" s="195">
        <v>86</v>
      </c>
      <c r="Q97" s="308"/>
      <c r="R97" s="309"/>
      <c r="S97" s="309"/>
      <c r="T97" s="309"/>
      <c r="U97" s="309"/>
      <c r="V97" s="309"/>
      <c r="W97" s="309"/>
      <c r="X97" s="309"/>
      <c r="Y97" s="309"/>
      <c r="Z97" s="309"/>
      <c r="AA97" s="309"/>
      <c r="AB97" s="309"/>
      <c r="AC97" s="310"/>
      <c r="AE97" s="195">
        <v>86</v>
      </c>
      <c r="AF97" s="308"/>
      <c r="AG97" s="309"/>
      <c r="AH97" s="309"/>
      <c r="AI97" s="309"/>
      <c r="AJ97" s="309"/>
      <c r="AK97" s="309"/>
      <c r="AL97" s="309"/>
      <c r="AM97" s="309"/>
      <c r="AN97" s="309"/>
      <c r="AO97" s="309"/>
      <c r="AP97" s="309"/>
      <c r="AQ97" s="309"/>
      <c r="AR97" s="310"/>
      <c r="AT97" s="195">
        <v>86</v>
      </c>
      <c r="AU97" s="308"/>
      <c r="AV97" s="309"/>
      <c r="AW97" s="309"/>
      <c r="AX97" s="309"/>
      <c r="AY97" s="309"/>
      <c r="AZ97" s="309"/>
      <c r="BA97" s="309"/>
      <c r="BB97" s="309"/>
      <c r="BC97" s="309"/>
      <c r="BD97" s="309"/>
      <c r="BE97" s="309"/>
      <c r="BF97" s="309"/>
      <c r="BG97" s="310"/>
    </row>
    <row r="98" spans="1:59">
      <c r="A98" s="195">
        <v>87</v>
      </c>
      <c r="B98" s="308"/>
      <c r="C98" s="309"/>
      <c r="D98" s="309"/>
      <c r="E98" s="309"/>
      <c r="F98" s="309"/>
      <c r="G98" s="309"/>
      <c r="H98" s="309"/>
      <c r="I98" s="309"/>
      <c r="J98" s="309"/>
      <c r="K98" s="309"/>
      <c r="L98" s="309"/>
      <c r="M98" s="309"/>
      <c r="N98" s="310"/>
      <c r="P98" s="195">
        <v>87</v>
      </c>
      <c r="Q98" s="308"/>
      <c r="R98" s="309"/>
      <c r="S98" s="309"/>
      <c r="T98" s="309"/>
      <c r="U98" s="309"/>
      <c r="V98" s="309"/>
      <c r="W98" s="309"/>
      <c r="X98" s="309"/>
      <c r="Y98" s="309"/>
      <c r="Z98" s="309"/>
      <c r="AA98" s="309"/>
      <c r="AB98" s="309"/>
      <c r="AC98" s="310"/>
      <c r="AE98" s="195">
        <v>87</v>
      </c>
      <c r="AF98" s="308"/>
      <c r="AG98" s="309"/>
      <c r="AH98" s="309"/>
      <c r="AI98" s="309"/>
      <c r="AJ98" s="309"/>
      <c r="AK98" s="309"/>
      <c r="AL98" s="309"/>
      <c r="AM98" s="309"/>
      <c r="AN98" s="309"/>
      <c r="AO98" s="309"/>
      <c r="AP98" s="309"/>
      <c r="AQ98" s="309"/>
      <c r="AR98" s="310"/>
      <c r="AT98" s="195">
        <v>87</v>
      </c>
      <c r="AU98" s="308"/>
      <c r="AV98" s="309"/>
      <c r="AW98" s="309"/>
      <c r="AX98" s="309"/>
      <c r="AY98" s="309"/>
      <c r="AZ98" s="309"/>
      <c r="BA98" s="309"/>
      <c r="BB98" s="309"/>
      <c r="BC98" s="309"/>
      <c r="BD98" s="309"/>
      <c r="BE98" s="309"/>
      <c r="BF98" s="309"/>
      <c r="BG98" s="310"/>
    </row>
    <row r="99" spans="1:59">
      <c r="A99" s="195">
        <v>88</v>
      </c>
      <c r="B99" s="308"/>
      <c r="C99" s="309"/>
      <c r="D99" s="309"/>
      <c r="E99" s="309"/>
      <c r="F99" s="309"/>
      <c r="G99" s="309"/>
      <c r="H99" s="309"/>
      <c r="I99" s="309"/>
      <c r="J99" s="309"/>
      <c r="K99" s="309"/>
      <c r="L99" s="309"/>
      <c r="M99" s="309"/>
      <c r="N99" s="310"/>
      <c r="P99" s="195">
        <v>88</v>
      </c>
      <c r="Q99" s="308"/>
      <c r="R99" s="309"/>
      <c r="S99" s="309"/>
      <c r="T99" s="309"/>
      <c r="U99" s="309"/>
      <c r="V99" s="309"/>
      <c r="W99" s="309"/>
      <c r="X99" s="309"/>
      <c r="Y99" s="309"/>
      <c r="Z99" s="309"/>
      <c r="AA99" s="309"/>
      <c r="AB99" s="309"/>
      <c r="AC99" s="310"/>
      <c r="AE99" s="195">
        <v>88</v>
      </c>
      <c r="AF99" s="308"/>
      <c r="AG99" s="309"/>
      <c r="AH99" s="309"/>
      <c r="AI99" s="309"/>
      <c r="AJ99" s="309"/>
      <c r="AK99" s="309"/>
      <c r="AL99" s="309"/>
      <c r="AM99" s="309"/>
      <c r="AN99" s="309"/>
      <c r="AO99" s="309"/>
      <c r="AP99" s="309"/>
      <c r="AQ99" s="309"/>
      <c r="AR99" s="310"/>
      <c r="AT99" s="195">
        <v>88</v>
      </c>
      <c r="AU99" s="308"/>
      <c r="AV99" s="309"/>
      <c r="AW99" s="309"/>
      <c r="AX99" s="309"/>
      <c r="AY99" s="309"/>
      <c r="AZ99" s="309"/>
      <c r="BA99" s="309"/>
      <c r="BB99" s="309"/>
      <c r="BC99" s="309"/>
      <c r="BD99" s="309"/>
      <c r="BE99" s="309"/>
      <c r="BF99" s="309"/>
      <c r="BG99" s="310"/>
    </row>
    <row r="100" spans="1:59">
      <c r="A100" s="195">
        <v>89</v>
      </c>
      <c r="B100" s="308"/>
      <c r="C100" s="309"/>
      <c r="D100" s="309"/>
      <c r="E100" s="309"/>
      <c r="F100" s="309"/>
      <c r="G100" s="309"/>
      <c r="H100" s="309"/>
      <c r="I100" s="309"/>
      <c r="J100" s="309"/>
      <c r="K100" s="309"/>
      <c r="L100" s="309"/>
      <c r="M100" s="309"/>
      <c r="N100" s="310"/>
      <c r="P100" s="195">
        <v>89</v>
      </c>
      <c r="Q100" s="308"/>
      <c r="R100" s="309"/>
      <c r="S100" s="309"/>
      <c r="T100" s="309"/>
      <c r="U100" s="309"/>
      <c r="V100" s="309"/>
      <c r="W100" s="309"/>
      <c r="X100" s="309"/>
      <c r="Y100" s="309"/>
      <c r="Z100" s="309"/>
      <c r="AA100" s="309"/>
      <c r="AB100" s="309"/>
      <c r="AC100" s="310"/>
      <c r="AE100" s="195">
        <v>89</v>
      </c>
      <c r="AF100" s="308"/>
      <c r="AG100" s="309"/>
      <c r="AH100" s="309"/>
      <c r="AI100" s="309"/>
      <c r="AJ100" s="309"/>
      <c r="AK100" s="309"/>
      <c r="AL100" s="309"/>
      <c r="AM100" s="309"/>
      <c r="AN100" s="309"/>
      <c r="AO100" s="309"/>
      <c r="AP100" s="309"/>
      <c r="AQ100" s="309"/>
      <c r="AR100" s="310"/>
      <c r="AT100" s="195">
        <v>89</v>
      </c>
      <c r="AU100" s="308"/>
      <c r="AV100" s="309"/>
      <c r="AW100" s="309"/>
      <c r="AX100" s="309"/>
      <c r="AY100" s="309"/>
      <c r="AZ100" s="309"/>
      <c r="BA100" s="309"/>
      <c r="BB100" s="309"/>
      <c r="BC100" s="309"/>
      <c r="BD100" s="309"/>
      <c r="BE100" s="309"/>
      <c r="BF100" s="309"/>
      <c r="BG100" s="310"/>
    </row>
    <row r="101" spans="1:59">
      <c r="A101" s="195">
        <v>90</v>
      </c>
      <c r="B101" s="308"/>
      <c r="C101" s="309"/>
      <c r="D101" s="309"/>
      <c r="E101" s="309"/>
      <c r="F101" s="309"/>
      <c r="G101" s="309"/>
      <c r="H101" s="309"/>
      <c r="I101" s="309"/>
      <c r="J101" s="309"/>
      <c r="K101" s="309"/>
      <c r="L101" s="309"/>
      <c r="M101" s="309"/>
      <c r="N101" s="310"/>
      <c r="P101" s="195">
        <v>90</v>
      </c>
      <c r="Q101" s="308"/>
      <c r="R101" s="309"/>
      <c r="S101" s="309"/>
      <c r="T101" s="309"/>
      <c r="U101" s="309"/>
      <c r="V101" s="309"/>
      <c r="W101" s="309"/>
      <c r="X101" s="309"/>
      <c r="Y101" s="309"/>
      <c r="Z101" s="309"/>
      <c r="AA101" s="309"/>
      <c r="AB101" s="309"/>
      <c r="AC101" s="310"/>
      <c r="AE101" s="195">
        <v>90</v>
      </c>
      <c r="AF101" s="308"/>
      <c r="AG101" s="309"/>
      <c r="AH101" s="309"/>
      <c r="AI101" s="309"/>
      <c r="AJ101" s="309"/>
      <c r="AK101" s="309"/>
      <c r="AL101" s="309"/>
      <c r="AM101" s="309"/>
      <c r="AN101" s="309"/>
      <c r="AO101" s="309"/>
      <c r="AP101" s="309"/>
      <c r="AQ101" s="309"/>
      <c r="AR101" s="310"/>
      <c r="AT101" s="195">
        <v>90</v>
      </c>
      <c r="AU101" s="308"/>
      <c r="AV101" s="309"/>
      <c r="AW101" s="309"/>
      <c r="AX101" s="309"/>
      <c r="AY101" s="309"/>
      <c r="AZ101" s="309"/>
      <c r="BA101" s="309"/>
      <c r="BB101" s="309"/>
      <c r="BC101" s="309"/>
      <c r="BD101" s="309"/>
      <c r="BE101" s="309"/>
      <c r="BF101" s="309"/>
      <c r="BG101" s="310"/>
    </row>
    <row r="102" spans="1:59">
      <c r="A102" s="195">
        <v>91</v>
      </c>
      <c r="B102" s="308"/>
      <c r="C102" s="309"/>
      <c r="D102" s="309"/>
      <c r="E102" s="309"/>
      <c r="F102" s="309"/>
      <c r="G102" s="309"/>
      <c r="H102" s="309"/>
      <c r="I102" s="309"/>
      <c r="J102" s="309"/>
      <c r="K102" s="309"/>
      <c r="L102" s="309"/>
      <c r="M102" s="309"/>
      <c r="N102" s="310"/>
      <c r="P102" s="195">
        <v>91</v>
      </c>
      <c r="Q102" s="308"/>
      <c r="R102" s="309"/>
      <c r="S102" s="309"/>
      <c r="T102" s="309"/>
      <c r="U102" s="309"/>
      <c r="V102" s="309"/>
      <c r="W102" s="309"/>
      <c r="X102" s="309"/>
      <c r="Y102" s="309"/>
      <c r="Z102" s="309"/>
      <c r="AA102" s="309"/>
      <c r="AB102" s="309"/>
      <c r="AC102" s="310"/>
      <c r="AE102" s="195">
        <v>91</v>
      </c>
      <c r="AF102" s="308"/>
      <c r="AG102" s="309"/>
      <c r="AH102" s="309"/>
      <c r="AI102" s="309"/>
      <c r="AJ102" s="309"/>
      <c r="AK102" s="309"/>
      <c r="AL102" s="309"/>
      <c r="AM102" s="309"/>
      <c r="AN102" s="309"/>
      <c r="AO102" s="309"/>
      <c r="AP102" s="309"/>
      <c r="AQ102" s="309"/>
      <c r="AR102" s="310"/>
      <c r="AT102" s="195">
        <v>91</v>
      </c>
      <c r="AU102" s="308"/>
      <c r="AV102" s="309"/>
      <c r="AW102" s="309"/>
      <c r="AX102" s="309"/>
      <c r="AY102" s="309"/>
      <c r="AZ102" s="309"/>
      <c r="BA102" s="309"/>
      <c r="BB102" s="309"/>
      <c r="BC102" s="309"/>
      <c r="BD102" s="309"/>
      <c r="BE102" s="309"/>
      <c r="BF102" s="309"/>
      <c r="BG102" s="310"/>
    </row>
    <row r="103" spans="1:59">
      <c r="A103" s="195">
        <v>92</v>
      </c>
      <c r="B103" s="308"/>
      <c r="C103" s="309"/>
      <c r="D103" s="309"/>
      <c r="E103" s="309"/>
      <c r="F103" s="309"/>
      <c r="G103" s="309"/>
      <c r="H103" s="309"/>
      <c r="I103" s="309"/>
      <c r="J103" s="309"/>
      <c r="K103" s="309"/>
      <c r="L103" s="309"/>
      <c r="M103" s="309"/>
      <c r="N103" s="310"/>
      <c r="P103" s="195">
        <v>92</v>
      </c>
      <c r="Q103" s="308"/>
      <c r="R103" s="309"/>
      <c r="S103" s="309"/>
      <c r="T103" s="309"/>
      <c r="U103" s="309"/>
      <c r="V103" s="309"/>
      <c r="W103" s="309"/>
      <c r="X103" s="309"/>
      <c r="Y103" s="309"/>
      <c r="Z103" s="309"/>
      <c r="AA103" s="309"/>
      <c r="AB103" s="309"/>
      <c r="AC103" s="310"/>
      <c r="AE103" s="195">
        <v>92</v>
      </c>
      <c r="AF103" s="308"/>
      <c r="AG103" s="309"/>
      <c r="AH103" s="309"/>
      <c r="AI103" s="309"/>
      <c r="AJ103" s="309"/>
      <c r="AK103" s="309"/>
      <c r="AL103" s="309"/>
      <c r="AM103" s="309"/>
      <c r="AN103" s="309"/>
      <c r="AO103" s="309"/>
      <c r="AP103" s="309"/>
      <c r="AQ103" s="309"/>
      <c r="AR103" s="310"/>
      <c r="AT103" s="195">
        <v>92</v>
      </c>
      <c r="AU103" s="308"/>
      <c r="AV103" s="309"/>
      <c r="AW103" s="309"/>
      <c r="AX103" s="309"/>
      <c r="AY103" s="309"/>
      <c r="AZ103" s="309"/>
      <c r="BA103" s="309"/>
      <c r="BB103" s="309"/>
      <c r="BC103" s="309"/>
      <c r="BD103" s="309"/>
      <c r="BE103" s="309"/>
      <c r="BF103" s="309"/>
      <c r="BG103" s="310"/>
    </row>
    <row r="104" spans="1:59">
      <c r="A104" s="195">
        <v>93</v>
      </c>
      <c r="B104" s="308"/>
      <c r="C104" s="309"/>
      <c r="D104" s="309"/>
      <c r="E104" s="309"/>
      <c r="F104" s="309"/>
      <c r="G104" s="309"/>
      <c r="H104" s="309"/>
      <c r="I104" s="309"/>
      <c r="J104" s="309"/>
      <c r="K104" s="309"/>
      <c r="L104" s="309"/>
      <c r="M104" s="309"/>
      <c r="N104" s="310"/>
      <c r="P104" s="195">
        <v>93</v>
      </c>
      <c r="Q104" s="308"/>
      <c r="R104" s="309"/>
      <c r="S104" s="309"/>
      <c r="T104" s="309"/>
      <c r="U104" s="309"/>
      <c r="V104" s="309"/>
      <c r="W104" s="309"/>
      <c r="X104" s="309"/>
      <c r="Y104" s="309"/>
      <c r="Z104" s="309"/>
      <c r="AA104" s="309"/>
      <c r="AB104" s="309"/>
      <c r="AC104" s="310"/>
      <c r="AE104" s="195">
        <v>93</v>
      </c>
      <c r="AF104" s="308"/>
      <c r="AG104" s="309"/>
      <c r="AH104" s="309"/>
      <c r="AI104" s="309"/>
      <c r="AJ104" s="309"/>
      <c r="AK104" s="309"/>
      <c r="AL104" s="309"/>
      <c r="AM104" s="309"/>
      <c r="AN104" s="309"/>
      <c r="AO104" s="309"/>
      <c r="AP104" s="309"/>
      <c r="AQ104" s="309"/>
      <c r="AR104" s="310"/>
      <c r="AT104" s="195">
        <v>93</v>
      </c>
      <c r="AU104" s="308"/>
      <c r="AV104" s="309"/>
      <c r="AW104" s="309"/>
      <c r="AX104" s="309"/>
      <c r="AY104" s="309"/>
      <c r="AZ104" s="309"/>
      <c r="BA104" s="309"/>
      <c r="BB104" s="309"/>
      <c r="BC104" s="309"/>
      <c r="BD104" s="309"/>
      <c r="BE104" s="309"/>
      <c r="BF104" s="309"/>
      <c r="BG104" s="310"/>
    </row>
    <row r="105" spans="1:59">
      <c r="A105" s="195">
        <v>94</v>
      </c>
      <c r="B105" s="308"/>
      <c r="C105" s="309"/>
      <c r="D105" s="309"/>
      <c r="E105" s="309"/>
      <c r="F105" s="309"/>
      <c r="G105" s="309"/>
      <c r="H105" s="309"/>
      <c r="I105" s="309"/>
      <c r="J105" s="309"/>
      <c r="K105" s="309"/>
      <c r="L105" s="309"/>
      <c r="M105" s="309"/>
      <c r="N105" s="310"/>
      <c r="P105" s="195">
        <v>94</v>
      </c>
      <c r="Q105" s="308"/>
      <c r="R105" s="309"/>
      <c r="S105" s="309"/>
      <c r="T105" s="309"/>
      <c r="U105" s="309"/>
      <c r="V105" s="309"/>
      <c r="W105" s="309"/>
      <c r="X105" s="309"/>
      <c r="Y105" s="309"/>
      <c r="Z105" s="309"/>
      <c r="AA105" s="309"/>
      <c r="AB105" s="309"/>
      <c r="AC105" s="310"/>
      <c r="AE105" s="195">
        <v>94</v>
      </c>
      <c r="AF105" s="308"/>
      <c r="AG105" s="309"/>
      <c r="AH105" s="309"/>
      <c r="AI105" s="309"/>
      <c r="AJ105" s="309"/>
      <c r="AK105" s="309"/>
      <c r="AL105" s="309"/>
      <c r="AM105" s="309"/>
      <c r="AN105" s="309"/>
      <c r="AO105" s="309"/>
      <c r="AP105" s="309"/>
      <c r="AQ105" s="309"/>
      <c r="AR105" s="310"/>
      <c r="AT105" s="195">
        <v>94</v>
      </c>
      <c r="AU105" s="308"/>
      <c r="AV105" s="309"/>
      <c r="AW105" s="309"/>
      <c r="AX105" s="309"/>
      <c r="AY105" s="309"/>
      <c r="AZ105" s="309"/>
      <c r="BA105" s="309"/>
      <c r="BB105" s="309"/>
      <c r="BC105" s="309"/>
      <c r="BD105" s="309"/>
      <c r="BE105" s="309"/>
      <c r="BF105" s="309"/>
      <c r="BG105" s="310"/>
    </row>
    <row r="106" spans="1:59">
      <c r="A106" s="195">
        <v>95</v>
      </c>
      <c r="B106" s="308"/>
      <c r="C106" s="309"/>
      <c r="D106" s="309"/>
      <c r="E106" s="309"/>
      <c r="F106" s="309"/>
      <c r="G106" s="309"/>
      <c r="H106" s="309"/>
      <c r="I106" s="309"/>
      <c r="J106" s="309"/>
      <c r="K106" s="309"/>
      <c r="L106" s="309"/>
      <c r="M106" s="309"/>
      <c r="N106" s="310"/>
      <c r="P106" s="195">
        <v>95</v>
      </c>
      <c r="Q106" s="308"/>
      <c r="R106" s="309"/>
      <c r="S106" s="309"/>
      <c r="T106" s="309"/>
      <c r="U106" s="309"/>
      <c r="V106" s="309"/>
      <c r="W106" s="309"/>
      <c r="X106" s="309"/>
      <c r="Y106" s="309"/>
      <c r="Z106" s="309"/>
      <c r="AA106" s="309"/>
      <c r="AB106" s="309"/>
      <c r="AC106" s="310"/>
      <c r="AE106" s="195">
        <v>95</v>
      </c>
      <c r="AF106" s="308"/>
      <c r="AG106" s="309"/>
      <c r="AH106" s="309"/>
      <c r="AI106" s="309"/>
      <c r="AJ106" s="309"/>
      <c r="AK106" s="309"/>
      <c r="AL106" s="309"/>
      <c r="AM106" s="309"/>
      <c r="AN106" s="309"/>
      <c r="AO106" s="309"/>
      <c r="AP106" s="309"/>
      <c r="AQ106" s="309"/>
      <c r="AR106" s="310"/>
      <c r="AT106" s="195">
        <v>95</v>
      </c>
      <c r="AU106" s="308"/>
      <c r="AV106" s="309"/>
      <c r="AW106" s="309"/>
      <c r="AX106" s="309"/>
      <c r="AY106" s="309"/>
      <c r="AZ106" s="309"/>
      <c r="BA106" s="309"/>
      <c r="BB106" s="309"/>
      <c r="BC106" s="309"/>
      <c r="BD106" s="309"/>
      <c r="BE106" s="309"/>
      <c r="BF106" s="309"/>
      <c r="BG106" s="310"/>
    </row>
    <row r="107" spans="1:59">
      <c r="A107" s="195">
        <v>96</v>
      </c>
      <c r="B107" s="308"/>
      <c r="C107" s="309"/>
      <c r="D107" s="309"/>
      <c r="E107" s="309"/>
      <c r="F107" s="309"/>
      <c r="G107" s="309"/>
      <c r="H107" s="309"/>
      <c r="I107" s="309"/>
      <c r="J107" s="309"/>
      <c r="K107" s="309"/>
      <c r="L107" s="309"/>
      <c r="M107" s="309"/>
      <c r="N107" s="310"/>
      <c r="P107" s="195">
        <v>96</v>
      </c>
      <c r="Q107" s="308"/>
      <c r="R107" s="309"/>
      <c r="S107" s="309"/>
      <c r="T107" s="309"/>
      <c r="U107" s="309"/>
      <c r="V107" s="309"/>
      <c r="W107" s="309"/>
      <c r="X107" s="309"/>
      <c r="Y107" s="309"/>
      <c r="Z107" s="309"/>
      <c r="AA107" s="309"/>
      <c r="AB107" s="309"/>
      <c r="AC107" s="310"/>
      <c r="AE107" s="195">
        <v>96</v>
      </c>
      <c r="AF107" s="308"/>
      <c r="AG107" s="309"/>
      <c r="AH107" s="309"/>
      <c r="AI107" s="309"/>
      <c r="AJ107" s="309"/>
      <c r="AK107" s="309"/>
      <c r="AL107" s="309"/>
      <c r="AM107" s="309"/>
      <c r="AN107" s="309"/>
      <c r="AO107" s="309"/>
      <c r="AP107" s="309"/>
      <c r="AQ107" s="309"/>
      <c r="AR107" s="310"/>
      <c r="AT107" s="195">
        <v>96</v>
      </c>
      <c r="AU107" s="308"/>
      <c r="AV107" s="309"/>
      <c r="AW107" s="309"/>
      <c r="AX107" s="309"/>
      <c r="AY107" s="309"/>
      <c r="AZ107" s="309"/>
      <c r="BA107" s="309"/>
      <c r="BB107" s="309"/>
      <c r="BC107" s="309"/>
      <c r="BD107" s="309"/>
      <c r="BE107" s="309"/>
      <c r="BF107" s="309"/>
      <c r="BG107" s="310"/>
    </row>
    <row r="108" spans="1:59">
      <c r="A108" s="195">
        <v>97</v>
      </c>
      <c r="B108" s="308"/>
      <c r="C108" s="309"/>
      <c r="D108" s="309"/>
      <c r="E108" s="309"/>
      <c r="F108" s="309"/>
      <c r="G108" s="309"/>
      <c r="H108" s="309"/>
      <c r="I108" s="309"/>
      <c r="J108" s="309"/>
      <c r="K108" s="309"/>
      <c r="L108" s="309"/>
      <c r="M108" s="309"/>
      <c r="N108" s="310"/>
      <c r="P108" s="195">
        <v>97</v>
      </c>
      <c r="Q108" s="308"/>
      <c r="R108" s="309"/>
      <c r="S108" s="309"/>
      <c r="T108" s="309"/>
      <c r="U108" s="309"/>
      <c r="V108" s="309"/>
      <c r="W108" s="309"/>
      <c r="X108" s="309"/>
      <c r="Y108" s="309"/>
      <c r="Z108" s="309"/>
      <c r="AA108" s="309"/>
      <c r="AB108" s="309"/>
      <c r="AC108" s="310"/>
      <c r="AE108" s="195">
        <v>97</v>
      </c>
      <c r="AF108" s="308"/>
      <c r="AG108" s="309"/>
      <c r="AH108" s="309"/>
      <c r="AI108" s="309"/>
      <c r="AJ108" s="309"/>
      <c r="AK108" s="309"/>
      <c r="AL108" s="309"/>
      <c r="AM108" s="309"/>
      <c r="AN108" s="309"/>
      <c r="AO108" s="309"/>
      <c r="AP108" s="309"/>
      <c r="AQ108" s="309"/>
      <c r="AR108" s="310"/>
      <c r="AT108" s="195">
        <v>97</v>
      </c>
      <c r="AU108" s="308"/>
      <c r="AV108" s="309"/>
      <c r="AW108" s="309"/>
      <c r="AX108" s="309"/>
      <c r="AY108" s="309"/>
      <c r="AZ108" s="309"/>
      <c r="BA108" s="309"/>
      <c r="BB108" s="309"/>
      <c r="BC108" s="309"/>
      <c r="BD108" s="309"/>
      <c r="BE108" s="309"/>
      <c r="BF108" s="309"/>
      <c r="BG108" s="310"/>
    </row>
    <row r="109" spans="1:59">
      <c r="A109" s="195">
        <v>98</v>
      </c>
      <c r="B109" s="308"/>
      <c r="C109" s="309"/>
      <c r="D109" s="309"/>
      <c r="E109" s="309"/>
      <c r="F109" s="309"/>
      <c r="G109" s="309"/>
      <c r="H109" s="309"/>
      <c r="I109" s="309"/>
      <c r="J109" s="309"/>
      <c r="K109" s="309"/>
      <c r="L109" s="309"/>
      <c r="M109" s="309"/>
      <c r="N109" s="310"/>
      <c r="P109" s="195">
        <v>98</v>
      </c>
      <c r="Q109" s="308"/>
      <c r="R109" s="309"/>
      <c r="S109" s="309"/>
      <c r="T109" s="309"/>
      <c r="U109" s="309"/>
      <c r="V109" s="309"/>
      <c r="W109" s="309"/>
      <c r="X109" s="309"/>
      <c r="Y109" s="309"/>
      <c r="Z109" s="309"/>
      <c r="AA109" s="309"/>
      <c r="AB109" s="309"/>
      <c r="AC109" s="310"/>
      <c r="AE109" s="195">
        <v>98</v>
      </c>
      <c r="AF109" s="308"/>
      <c r="AG109" s="309"/>
      <c r="AH109" s="309"/>
      <c r="AI109" s="309"/>
      <c r="AJ109" s="309"/>
      <c r="AK109" s="309"/>
      <c r="AL109" s="309"/>
      <c r="AM109" s="309"/>
      <c r="AN109" s="309"/>
      <c r="AO109" s="309"/>
      <c r="AP109" s="309"/>
      <c r="AQ109" s="309"/>
      <c r="AR109" s="310"/>
      <c r="AT109" s="195">
        <v>98</v>
      </c>
      <c r="AU109" s="308"/>
      <c r="AV109" s="309"/>
      <c r="AW109" s="309"/>
      <c r="AX109" s="309"/>
      <c r="AY109" s="309"/>
      <c r="AZ109" s="309"/>
      <c r="BA109" s="309"/>
      <c r="BB109" s="309"/>
      <c r="BC109" s="309"/>
      <c r="BD109" s="309"/>
      <c r="BE109" s="309"/>
      <c r="BF109" s="309"/>
      <c r="BG109" s="310"/>
    </row>
    <row r="110" spans="1:59">
      <c r="A110" s="195">
        <v>99</v>
      </c>
      <c r="B110" s="308"/>
      <c r="C110" s="309"/>
      <c r="D110" s="309"/>
      <c r="E110" s="309"/>
      <c r="F110" s="309"/>
      <c r="G110" s="309"/>
      <c r="H110" s="309"/>
      <c r="I110" s="309"/>
      <c r="J110" s="309"/>
      <c r="K110" s="309"/>
      <c r="L110" s="309"/>
      <c r="M110" s="309"/>
      <c r="N110" s="310"/>
      <c r="P110" s="195">
        <v>99</v>
      </c>
      <c r="Q110" s="308"/>
      <c r="R110" s="309"/>
      <c r="S110" s="309"/>
      <c r="T110" s="309"/>
      <c r="U110" s="309"/>
      <c r="V110" s="309"/>
      <c r="W110" s="309"/>
      <c r="X110" s="309"/>
      <c r="Y110" s="309"/>
      <c r="Z110" s="309"/>
      <c r="AA110" s="309"/>
      <c r="AB110" s="309"/>
      <c r="AC110" s="310"/>
      <c r="AE110" s="195">
        <v>99</v>
      </c>
      <c r="AF110" s="308"/>
      <c r="AG110" s="309"/>
      <c r="AH110" s="309"/>
      <c r="AI110" s="309"/>
      <c r="AJ110" s="309"/>
      <c r="AK110" s="309"/>
      <c r="AL110" s="309"/>
      <c r="AM110" s="309"/>
      <c r="AN110" s="309"/>
      <c r="AO110" s="309"/>
      <c r="AP110" s="309"/>
      <c r="AQ110" s="309"/>
      <c r="AR110" s="310"/>
      <c r="AT110" s="195">
        <v>99</v>
      </c>
      <c r="AU110" s="308"/>
      <c r="AV110" s="309"/>
      <c r="AW110" s="309"/>
      <c r="AX110" s="309"/>
      <c r="AY110" s="309"/>
      <c r="AZ110" s="309"/>
      <c r="BA110" s="309"/>
      <c r="BB110" s="309"/>
      <c r="BC110" s="309"/>
      <c r="BD110" s="309"/>
      <c r="BE110" s="309"/>
      <c r="BF110" s="309"/>
      <c r="BG110" s="310"/>
    </row>
    <row r="111" spans="1:59">
      <c r="A111" s="196">
        <v>100</v>
      </c>
      <c r="B111" s="311"/>
      <c r="C111" s="312"/>
      <c r="D111" s="312"/>
      <c r="E111" s="312"/>
      <c r="F111" s="312"/>
      <c r="G111" s="312"/>
      <c r="H111" s="312"/>
      <c r="I111" s="312"/>
      <c r="J111" s="312"/>
      <c r="K111" s="312"/>
      <c r="L111" s="312"/>
      <c r="M111" s="312"/>
      <c r="N111" s="313"/>
      <c r="P111" s="196">
        <v>100</v>
      </c>
      <c r="Q111" s="311"/>
      <c r="R111" s="312"/>
      <c r="S111" s="312"/>
      <c r="T111" s="312"/>
      <c r="U111" s="312"/>
      <c r="V111" s="312"/>
      <c r="W111" s="312"/>
      <c r="X111" s="312"/>
      <c r="Y111" s="312"/>
      <c r="Z111" s="312"/>
      <c r="AA111" s="312"/>
      <c r="AB111" s="312"/>
      <c r="AC111" s="313"/>
      <c r="AE111" s="196">
        <v>100</v>
      </c>
      <c r="AF111" s="311"/>
      <c r="AG111" s="312"/>
      <c r="AH111" s="312"/>
      <c r="AI111" s="312"/>
      <c r="AJ111" s="312"/>
      <c r="AK111" s="312"/>
      <c r="AL111" s="312"/>
      <c r="AM111" s="312"/>
      <c r="AN111" s="312"/>
      <c r="AO111" s="312"/>
      <c r="AP111" s="312"/>
      <c r="AQ111" s="312"/>
      <c r="AR111" s="313"/>
      <c r="AT111" s="196">
        <v>100</v>
      </c>
      <c r="AU111" s="311"/>
      <c r="AV111" s="312"/>
      <c r="AW111" s="312"/>
      <c r="AX111" s="312"/>
      <c r="AY111" s="312"/>
      <c r="AZ111" s="312"/>
      <c r="BA111" s="312"/>
      <c r="BB111" s="312"/>
      <c r="BC111" s="312"/>
      <c r="BD111" s="312"/>
      <c r="BE111" s="312"/>
      <c r="BF111" s="312"/>
      <c r="BG111" s="313"/>
    </row>
    <row r="112" spans="1:59" ht="13.5" thickBot="1">
      <c r="A112" s="197" t="s">
        <v>30</v>
      </c>
      <c r="B112" s="198">
        <f>SUM(B12:B111)</f>
        <v>181100.88949999999</v>
      </c>
      <c r="C112" s="199">
        <f t="shared" ref="C112:M112" si="0">SUM(C12:C111)</f>
        <v>271651.33426999999</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3496814.1283100001</v>
      </c>
      <c r="S112" s="199">
        <f t="shared" si="1"/>
        <v>2462940.6329799998</v>
      </c>
      <c r="T112" s="199">
        <f t="shared" si="1"/>
        <v>0</v>
      </c>
      <c r="U112" s="199">
        <f t="shared" si="1"/>
        <v>5529557</v>
      </c>
      <c r="V112" s="199">
        <f t="shared" si="1"/>
        <v>1454239</v>
      </c>
      <c r="W112" s="199">
        <f t="shared" si="1"/>
        <v>491561</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143366</v>
      </c>
      <c r="AX112" s="199">
        <f t="shared" si="3"/>
        <v>143366</v>
      </c>
      <c r="AY112" s="199">
        <f t="shared" si="3"/>
        <v>215049</v>
      </c>
      <c r="AZ112" s="199">
        <f t="shared" si="3"/>
        <v>385333.07922857103</v>
      </c>
      <c r="BA112" s="199">
        <f t="shared" si="3"/>
        <v>4755423.8029561434</v>
      </c>
      <c r="BB112" s="199">
        <f t="shared" si="3"/>
        <v>3930983.4339372143</v>
      </c>
      <c r="BC112" s="199">
        <f t="shared" si="3"/>
        <v>1991608.9794385708</v>
      </c>
      <c r="BD112" s="199">
        <f t="shared" si="3"/>
        <v>2063906.1046849997</v>
      </c>
      <c r="BE112" s="199">
        <f t="shared" si="3"/>
        <v>1247142.9297833331</v>
      </c>
      <c r="BF112" s="199">
        <f t="shared" si="3"/>
        <v>843048.82778050005</v>
      </c>
      <c r="BG112" s="200">
        <f>SUM(BG12:BG111)</f>
        <v>1506890.9257636669</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1:BH2 A7:BH113 A5:G6 K5:BH6 A4:BH4 A3:G3 K3:BH3">
    <cfRule type="expression" dxfId="13" priority="1" stopIfTrue="1">
      <formula>CELL("Protect",A1)=1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G112"/>
  <sheetViews>
    <sheetView workbookViewId="0">
      <selection activeCell="G5" sqref="G5:J5"/>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7" t="str">
        <f>'START HERE'!F6</f>
        <v>Chile</v>
      </c>
      <c r="C3" s="388"/>
      <c r="D3" s="378"/>
      <c r="E3" s="177"/>
      <c r="F3" s="30" t="s">
        <v>39</v>
      </c>
      <c r="G3" s="374" t="str">
        <f>'LEN F2'!F3</f>
        <v>Fleet 2 South-Central Chile</v>
      </c>
      <c r="H3" s="375"/>
      <c r="I3" s="375"/>
      <c r="J3" s="376"/>
      <c r="K3" s="177"/>
    </row>
    <row r="4" spans="1:59" ht="15.75">
      <c r="A4" s="12" t="s">
        <v>19</v>
      </c>
      <c r="B4" s="377" t="str">
        <f>'START HERE'!F5</f>
        <v>Jack mackerel</v>
      </c>
      <c r="C4" s="388"/>
      <c r="D4" s="378"/>
      <c r="E4" s="177"/>
      <c r="F4" s="13"/>
      <c r="G4" s="314"/>
      <c r="H4" s="315"/>
      <c r="I4" s="316"/>
      <c r="J4" s="317"/>
      <c r="K4" s="177"/>
    </row>
    <row r="5" spans="1:59" ht="18">
      <c r="A5" s="12" t="s">
        <v>13</v>
      </c>
      <c r="B5" s="389">
        <f>'START HERE'!K3</f>
        <v>2019</v>
      </c>
      <c r="C5" s="390"/>
      <c r="D5" s="391"/>
      <c r="E5" s="177"/>
      <c r="F5" s="34" t="s">
        <v>40</v>
      </c>
      <c r="G5" s="379" t="s">
        <v>143</v>
      </c>
      <c r="H5" s="380"/>
      <c r="I5" s="380"/>
      <c r="J5" s="381"/>
      <c r="K5" s="177"/>
    </row>
    <row r="6" spans="1:59" ht="16.5" thickBot="1">
      <c r="A6" s="12"/>
      <c r="B6" s="71"/>
      <c r="C6" s="72"/>
      <c r="D6" s="6"/>
      <c r="F6" s="34" t="s">
        <v>14</v>
      </c>
      <c r="G6" s="382">
        <f>'START HERE'!$F8</f>
        <v>42615</v>
      </c>
      <c r="H6" s="383"/>
      <c r="I6" s="383"/>
      <c r="J6" s="384"/>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92" t="s">
        <v>53</v>
      </c>
      <c r="C9" s="392"/>
      <c r="D9" s="392"/>
      <c r="E9" s="392"/>
      <c r="F9" s="392"/>
      <c r="G9" s="392"/>
      <c r="H9" s="392"/>
      <c r="I9" s="392"/>
      <c r="J9" s="392"/>
      <c r="K9" s="392"/>
      <c r="L9" s="392"/>
      <c r="M9" s="392"/>
      <c r="N9" s="393"/>
      <c r="P9" s="191"/>
      <c r="Q9" s="392" t="s">
        <v>31</v>
      </c>
      <c r="R9" s="392"/>
      <c r="S9" s="392"/>
      <c r="T9" s="392"/>
      <c r="U9" s="392"/>
      <c r="V9" s="392"/>
      <c r="W9" s="392"/>
      <c r="X9" s="392"/>
      <c r="Y9" s="392"/>
      <c r="Z9" s="392"/>
      <c r="AA9" s="392"/>
      <c r="AB9" s="392"/>
      <c r="AC9" s="393"/>
      <c r="AE9" s="191"/>
      <c r="AF9" s="392" t="s">
        <v>32</v>
      </c>
      <c r="AG9" s="392"/>
      <c r="AH9" s="392"/>
      <c r="AI9" s="392"/>
      <c r="AJ9" s="392"/>
      <c r="AK9" s="392"/>
      <c r="AL9" s="392"/>
      <c r="AM9" s="392"/>
      <c r="AN9" s="392"/>
      <c r="AO9" s="392"/>
      <c r="AP9" s="392"/>
      <c r="AQ9" s="392"/>
      <c r="AR9" s="393"/>
      <c r="AT9" s="191"/>
      <c r="AU9" s="392" t="s">
        <v>33</v>
      </c>
      <c r="AV9" s="392"/>
      <c r="AW9" s="392"/>
      <c r="AX9" s="392"/>
      <c r="AY9" s="392"/>
      <c r="AZ9" s="392"/>
      <c r="BA9" s="392"/>
      <c r="BB9" s="392"/>
      <c r="BC9" s="392"/>
      <c r="BD9" s="392"/>
      <c r="BE9" s="392"/>
      <c r="BF9" s="392"/>
      <c r="BG9" s="393"/>
    </row>
    <row r="10" spans="1:59">
      <c r="A10" s="192" t="str">
        <f>'START HERE'!$F$13</f>
        <v>fork length</v>
      </c>
      <c r="B10" s="385" t="s">
        <v>79</v>
      </c>
      <c r="C10" s="386"/>
      <c r="D10" s="386"/>
      <c r="E10" s="386"/>
      <c r="F10" s="386"/>
      <c r="G10" s="386"/>
      <c r="H10" s="386"/>
      <c r="I10" s="386"/>
      <c r="J10" s="386"/>
      <c r="K10" s="386"/>
      <c r="L10" s="386"/>
      <c r="M10" s="386"/>
      <c r="N10" s="387"/>
      <c r="P10" s="192" t="str">
        <f>A10</f>
        <v>fork length</v>
      </c>
      <c r="Q10" s="385" t="s">
        <v>79</v>
      </c>
      <c r="R10" s="386"/>
      <c r="S10" s="386"/>
      <c r="T10" s="386"/>
      <c r="U10" s="386"/>
      <c r="V10" s="386"/>
      <c r="W10" s="386"/>
      <c r="X10" s="386"/>
      <c r="Y10" s="386"/>
      <c r="Z10" s="386"/>
      <c r="AA10" s="386"/>
      <c r="AB10" s="386"/>
      <c r="AC10" s="387"/>
      <c r="AE10" s="192" t="str">
        <f>A10</f>
        <v>fork length</v>
      </c>
      <c r="AF10" s="385" t="s">
        <v>79</v>
      </c>
      <c r="AG10" s="386"/>
      <c r="AH10" s="386"/>
      <c r="AI10" s="386"/>
      <c r="AJ10" s="386"/>
      <c r="AK10" s="386"/>
      <c r="AL10" s="386"/>
      <c r="AM10" s="386"/>
      <c r="AN10" s="386"/>
      <c r="AO10" s="386"/>
      <c r="AP10" s="386"/>
      <c r="AQ10" s="386"/>
      <c r="AR10" s="387"/>
      <c r="AT10" s="192" t="str">
        <f>A10</f>
        <v>fork length</v>
      </c>
      <c r="AU10" s="385" t="s">
        <v>79</v>
      </c>
      <c r="AV10" s="386"/>
      <c r="AW10" s="386"/>
      <c r="AX10" s="386"/>
      <c r="AY10" s="386"/>
      <c r="AZ10" s="386"/>
      <c r="BA10" s="386"/>
      <c r="BB10" s="386"/>
      <c r="BC10" s="386"/>
      <c r="BD10" s="386"/>
      <c r="BE10" s="386"/>
      <c r="BF10" s="386"/>
      <c r="BG10" s="387"/>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5"/>
      <c r="C12" s="306"/>
      <c r="D12" s="306"/>
      <c r="E12" s="306"/>
      <c r="F12" s="306"/>
      <c r="G12" s="306"/>
      <c r="H12" s="306"/>
      <c r="I12" s="306"/>
      <c r="J12" s="306"/>
      <c r="K12" s="306"/>
      <c r="L12" s="306"/>
      <c r="M12" s="306"/>
      <c r="N12" s="307"/>
      <c r="P12" s="195">
        <v>1</v>
      </c>
      <c r="Q12" s="305"/>
      <c r="R12" s="306"/>
      <c r="S12" s="306"/>
      <c r="T12" s="306"/>
      <c r="U12" s="306"/>
      <c r="V12" s="306"/>
      <c r="W12" s="306"/>
      <c r="X12" s="306"/>
      <c r="Y12" s="306"/>
      <c r="Z12" s="306"/>
      <c r="AA12" s="306"/>
      <c r="AB12" s="306"/>
      <c r="AC12" s="307"/>
      <c r="AE12" s="195">
        <v>1</v>
      </c>
      <c r="AF12" s="305"/>
      <c r="AG12" s="306"/>
      <c r="AH12" s="306"/>
      <c r="AI12" s="306"/>
      <c r="AJ12" s="306"/>
      <c r="AK12" s="306"/>
      <c r="AL12" s="306"/>
      <c r="AM12" s="306"/>
      <c r="AN12" s="306"/>
      <c r="AO12" s="306"/>
      <c r="AP12" s="306"/>
      <c r="AQ12" s="306"/>
      <c r="AR12" s="307"/>
      <c r="AT12" s="195">
        <v>1</v>
      </c>
      <c r="AU12" s="305"/>
      <c r="AV12" s="306"/>
      <c r="AW12" s="306"/>
      <c r="AX12" s="306"/>
      <c r="AY12" s="306"/>
      <c r="AZ12" s="306"/>
      <c r="BA12" s="306"/>
      <c r="BB12" s="306"/>
      <c r="BC12" s="306"/>
      <c r="BD12" s="306"/>
      <c r="BE12" s="306"/>
      <c r="BF12" s="306"/>
      <c r="BG12" s="307"/>
    </row>
    <row r="13" spans="1:59">
      <c r="A13" s="195">
        <v>2</v>
      </c>
      <c r="B13" s="308"/>
      <c r="C13" s="309"/>
      <c r="D13" s="309"/>
      <c r="E13" s="309"/>
      <c r="F13" s="309"/>
      <c r="G13" s="309"/>
      <c r="H13" s="309"/>
      <c r="I13" s="309"/>
      <c r="J13" s="309"/>
      <c r="K13" s="309"/>
      <c r="L13" s="309"/>
      <c r="M13" s="309"/>
      <c r="N13" s="310"/>
      <c r="P13" s="195">
        <v>2</v>
      </c>
      <c r="Q13" s="308"/>
      <c r="R13" s="309"/>
      <c r="S13" s="309"/>
      <c r="T13" s="309"/>
      <c r="U13" s="309"/>
      <c r="V13" s="309"/>
      <c r="W13" s="309"/>
      <c r="X13" s="309"/>
      <c r="Y13" s="309"/>
      <c r="Z13" s="309"/>
      <c r="AA13" s="309"/>
      <c r="AB13" s="309"/>
      <c r="AC13" s="310"/>
      <c r="AE13" s="195">
        <v>2</v>
      </c>
      <c r="AF13" s="308"/>
      <c r="AG13" s="309"/>
      <c r="AH13" s="309"/>
      <c r="AI13" s="309"/>
      <c r="AJ13" s="309"/>
      <c r="AK13" s="309"/>
      <c r="AL13" s="309"/>
      <c r="AM13" s="309"/>
      <c r="AN13" s="309"/>
      <c r="AO13" s="309"/>
      <c r="AP13" s="309"/>
      <c r="AQ13" s="309"/>
      <c r="AR13" s="310"/>
      <c r="AT13" s="195">
        <v>2</v>
      </c>
      <c r="AU13" s="308"/>
      <c r="AV13" s="309"/>
      <c r="AW13" s="309"/>
      <c r="AX13" s="309"/>
      <c r="AY13" s="309"/>
      <c r="AZ13" s="309"/>
      <c r="BA13" s="309"/>
      <c r="BB13" s="309"/>
      <c r="BC13" s="309"/>
      <c r="BD13" s="309"/>
      <c r="BE13" s="309"/>
      <c r="BF13" s="309"/>
      <c r="BG13" s="310"/>
    </row>
    <row r="14" spans="1:59">
      <c r="A14" s="195">
        <v>3</v>
      </c>
      <c r="B14" s="308"/>
      <c r="C14" s="309"/>
      <c r="D14" s="309"/>
      <c r="E14" s="309"/>
      <c r="F14" s="309"/>
      <c r="G14" s="309"/>
      <c r="H14" s="309"/>
      <c r="I14" s="309"/>
      <c r="J14" s="309"/>
      <c r="K14" s="309"/>
      <c r="L14" s="309"/>
      <c r="M14" s="309"/>
      <c r="N14" s="310"/>
      <c r="P14" s="195">
        <v>3</v>
      </c>
      <c r="Q14" s="308"/>
      <c r="R14" s="309"/>
      <c r="S14" s="309"/>
      <c r="T14" s="309"/>
      <c r="U14" s="309"/>
      <c r="V14" s="309"/>
      <c r="W14" s="309"/>
      <c r="X14" s="309"/>
      <c r="Y14" s="309"/>
      <c r="Z14" s="309"/>
      <c r="AA14" s="309"/>
      <c r="AB14" s="309"/>
      <c r="AC14" s="310"/>
      <c r="AE14" s="195">
        <v>3</v>
      </c>
      <c r="AF14" s="308"/>
      <c r="AG14" s="309"/>
      <c r="AH14" s="309"/>
      <c r="AI14" s="309"/>
      <c r="AJ14" s="309"/>
      <c r="AK14" s="309"/>
      <c r="AL14" s="309"/>
      <c r="AM14" s="309"/>
      <c r="AN14" s="309"/>
      <c r="AO14" s="309"/>
      <c r="AP14" s="309"/>
      <c r="AQ14" s="309"/>
      <c r="AR14" s="310"/>
      <c r="AT14" s="195">
        <v>3</v>
      </c>
      <c r="AU14" s="308"/>
      <c r="AV14" s="309"/>
      <c r="AW14" s="309"/>
      <c r="AX14" s="309"/>
      <c r="AY14" s="309"/>
      <c r="AZ14" s="309"/>
      <c r="BA14" s="309"/>
      <c r="BB14" s="309"/>
      <c r="BC14" s="309"/>
      <c r="BD14" s="309"/>
      <c r="BE14" s="309"/>
      <c r="BF14" s="309"/>
      <c r="BG14" s="310"/>
    </row>
    <row r="15" spans="1:59">
      <c r="A15" s="195">
        <v>4</v>
      </c>
      <c r="B15" s="308"/>
      <c r="C15" s="309"/>
      <c r="D15" s="309"/>
      <c r="E15" s="309"/>
      <c r="F15" s="309"/>
      <c r="G15" s="309"/>
      <c r="H15" s="309"/>
      <c r="I15" s="309"/>
      <c r="J15" s="309"/>
      <c r="K15" s="309"/>
      <c r="L15" s="309"/>
      <c r="M15" s="309"/>
      <c r="N15" s="310"/>
      <c r="P15" s="195">
        <v>4</v>
      </c>
      <c r="Q15" s="308"/>
      <c r="R15" s="309"/>
      <c r="S15" s="309"/>
      <c r="T15" s="309"/>
      <c r="U15" s="309"/>
      <c r="V15" s="309"/>
      <c r="W15" s="309"/>
      <c r="X15" s="309"/>
      <c r="Y15" s="309"/>
      <c r="Z15" s="309"/>
      <c r="AA15" s="309"/>
      <c r="AB15" s="309"/>
      <c r="AC15" s="310"/>
      <c r="AE15" s="195">
        <v>4</v>
      </c>
      <c r="AF15" s="308"/>
      <c r="AG15" s="309"/>
      <c r="AH15" s="309"/>
      <c r="AI15" s="309"/>
      <c r="AJ15" s="309"/>
      <c r="AK15" s="309"/>
      <c r="AL15" s="309"/>
      <c r="AM15" s="309"/>
      <c r="AN15" s="309"/>
      <c r="AO15" s="309"/>
      <c r="AP15" s="309"/>
      <c r="AQ15" s="309"/>
      <c r="AR15" s="310"/>
      <c r="AT15" s="195">
        <v>4</v>
      </c>
      <c r="AU15" s="308"/>
      <c r="AV15" s="309"/>
      <c r="AW15" s="309"/>
      <c r="AX15" s="309"/>
      <c r="AY15" s="309"/>
      <c r="AZ15" s="309"/>
      <c r="BA15" s="309"/>
      <c r="BB15" s="309"/>
      <c r="BC15" s="309"/>
      <c r="BD15" s="309"/>
      <c r="BE15" s="309"/>
      <c r="BF15" s="309"/>
      <c r="BG15" s="310"/>
    </row>
    <row r="16" spans="1:59">
      <c r="A16" s="195">
        <v>5</v>
      </c>
      <c r="B16" s="308"/>
      <c r="C16" s="309"/>
      <c r="D16" s="309"/>
      <c r="E16" s="309"/>
      <c r="F16" s="309"/>
      <c r="G16" s="309"/>
      <c r="H16" s="309"/>
      <c r="I16" s="309"/>
      <c r="J16" s="309"/>
      <c r="K16" s="309"/>
      <c r="L16" s="309"/>
      <c r="M16" s="309"/>
      <c r="N16" s="310"/>
      <c r="P16" s="195">
        <v>5</v>
      </c>
      <c r="Q16" s="308"/>
      <c r="R16" s="309"/>
      <c r="S16" s="309"/>
      <c r="T16" s="309"/>
      <c r="U16" s="309"/>
      <c r="V16" s="309"/>
      <c r="W16" s="309"/>
      <c r="X16" s="309"/>
      <c r="Y16" s="309"/>
      <c r="Z16" s="309"/>
      <c r="AA16" s="309"/>
      <c r="AB16" s="309"/>
      <c r="AC16" s="310"/>
      <c r="AE16" s="195">
        <v>5</v>
      </c>
      <c r="AF16" s="308"/>
      <c r="AG16" s="309"/>
      <c r="AH16" s="309"/>
      <c r="AI16" s="309"/>
      <c r="AJ16" s="309"/>
      <c r="AK16" s="309"/>
      <c r="AL16" s="309"/>
      <c r="AM16" s="309"/>
      <c r="AN16" s="309"/>
      <c r="AO16" s="309"/>
      <c r="AP16" s="309"/>
      <c r="AQ16" s="309"/>
      <c r="AR16" s="310"/>
      <c r="AT16" s="195">
        <v>5</v>
      </c>
      <c r="AU16" s="308"/>
      <c r="AV16" s="309"/>
      <c r="AW16" s="309"/>
      <c r="AX16" s="309"/>
      <c r="AY16" s="309"/>
      <c r="AZ16" s="309"/>
      <c r="BA16" s="309"/>
      <c r="BB16" s="309"/>
      <c r="BC16" s="309"/>
      <c r="BD16" s="309"/>
      <c r="BE16" s="309"/>
      <c r="BF16" s="309"/>
      <c r="BG16" s="310"/>
    </row>
    <row r="17" spans="1:59">
      <c r="A17" s="195">
        <v>6</v>
      </c>
      <c r="B17" s="308"/>
      <c r="C17" s="309"/>
      <c r="D17" s="309"/>
      <c r="E17" s="309"/>
      <c r="F17" s="309"/>
      <c r="G17" s="309"/>
      <c r="H17" s="309"/>
      <c r="I17" s="309"/>
      <c r="J17" s="309"/>
      <c r="K17" s="309"/>
      <c r="L17" s="309"/>
      <c r="M17" s="309"/>
      <c r="N17" s="310"/>
      <c r="P17" s="195">
        <v>6</v>
      </c>
      <c r="Q17" s="308"/>
      <c r="R17" s="309"/>
      <c r="S17" s="309"/>
      <c r="T17" s="309"/>
      <c r="U17" s="309"/>
      <c r="V17" s="309"/>
      <c r="W17" s="309"/>
      <c r="X17" s="309"/>
      <c r="Y17" s="309"/>
      <c r="Z17" s="309"/>
      <c r="AA17" s="309"/>
      <c r="AB17" s="309"/>
      <c r="AC17" s="310"/>
      <c r="AE17" s="195">
        <v>6</v>
      </c>
      <c r="AF17" s="308"/>
      <c r="AG17" s="309"/>
      <c r="AH17" s="309"/>
      <c r="AI17" s="309"/>
      <c r="AJ17" s="309"/>
      <c r="AK17" s="309"/>
      <c r="AL17" s="309"/>
      <c r="AM17" s="309"/>
      <c r="AN17" s="309"/>
      <c r="AO17" s="309"/>
      <c r="AP17" s="309"/>
      <c r="AQ17" s="309"/>
      <c r="AR17" s="310"/>
      <c r="AT17" s="195">
        <v>6</v>
      </c>
      <c r="AU17" s="308"/>
      <c r="AV17" s="309"/>
      <c r="AW17" s="309"/>
      <c r="AX17" s="309"/>
      <c r="AY17" s="309"/>
      <c r="AZ17" s="309"/>
      <c r="BA17" s="309"/>
      <c r="BB17" s="309"/>
      <c r="BC17" s="309"/>
      <c r="BD17" s="309"/>
      <c r="BE17" s="309"/>
      <c r="BF17" s="309"/>
      <c r="BG17" s="310"/>
    </row>
    <row r="18" spans="1:59">
      <c r="A18" s="195">
        <v>7</v>
      </c>
      <c r="B18" s="308"/>
      <c r="C18" s="309"/>
      <c r="D18" s="309"/>
      <c r="E18" s="309"/>
      <c r="F18" s="309"/>
      <c r="G18" s="309"/>
      <c r="H18" s="309"/>
      <c r="I18" s="309"/>
      <c r="J18" s="309"/>
      <c r="K18" s="309"/>
      <c r="L18" s="309"/>
      <c r="M18" s="309"/>
      <c r="N18" s="310"/>
      <c r="P18" s="195">
        <v>7</v>
      </c>
      <c r="Q18" s="308"/>
      <c r="R18" s="309"/>
      <c r="S18" s="309"/>
      <c r="T18" s="309"/>
      <c r="U18" s="309"/>
      <c r="V18" s="309"/>
      <c r="W18" s="309"/>
      <c r="X18" s="309"/>
      <c r="Y18" s="309"/>
      <c r="Z18" s="309"/>
      <c r="AA18" s="309"/>
      <c r="AB18" s="309"/>
      <c r="AC18" s="310"/>
      <c r="AE18" s="195">
        <v>7</v>
      </c>
      <c r="AF18" s="308"/>
      <c r="AG18" s="309"/>
      <c r="AH18" s="309"/>
      <c r="AI18" s="309"/>
      <c r="AJ18" s="309"/>
      <c r="AK18" s="309"/>
      <c r="AL18" s="309"/>
      <c r="AM18" s="309"/>
      <c r="AN18" s="309"/>
      <c r="AO18" s="309"/>
      <c r="AP18" s="309"/>
      <c r="AQ18" s="309"/>
      <c r="AR18" s="310"/>
      <c r="AT18" s="195">
        <v>7</v>
      </c>
      <c r="AU18" s="308"/>
      <c r="AV18" s="309"/>
      <c r="AW18" s="309"/>
      <c r="AX18" s="309"/>
      <c r="AY18" s="309"/>
      <c r="AZ18" s="309"/>
      <c r="BA18" s="309"/>
      <c r="BB18" s="309"/>
      <c r="BC18" s="309"/>
      <c r="BD18" s="309"/>
      <c r="BE18" s="309"/>
      <c r="BF18" s="309"/>
      <c r="BG18" s="310"/>
    </row>
    <row r="19" spans="1:59">
      <c r="A19" s="195">
        <v>8</v>
      </c>
      <c r="B19" s="308">
        <v>20516.599429999998</v>
      </c>
      <c r="C19" s="309"/>
      <c r="D19" s="309"/>
      <c r="E19" s="309"/>
      <c r="F19" s="309"/>
      <c r="G19" s="309"/>
      <c r="H19" s="309"/>
      <c r="I19" s="309"/>
      <c r="J19" s="309"/>
      <c r="K19" s="309"/>
      <c r="L19" s="309"/>
      <c r="M19" s="309"/>
      <c r="N19" s="310"/>
      <c r="P19" s="195">
        <v>8</v>
      </c>
      <c r="Q19" s="308"/>
      <c r="R19" s="309"/>
      <c r="S19" s="309"/>
      <c r="T19" s="309"/>
      <c r="U19" s="309"/>
      <c r="V19" s="309"/>
      <c r="W19" s="309"/>
      <c r="X19" s="309"/>
      <c r="Y19" s="309"/>
      <c r="Z19" s="309"/>
      <c r="AA19" s="309"/>
      <c r="AB19" s="309"/>
      <c r="AC19" s="310"/>
      <c r="AE19" s="195">
        <v>8</v>
      </c>
      <c r="AF19" s="308"/>
      <c r="AG19" s="309"/>
      <c r="AH19" s="309"/>
      <c r="AI19" s="309"/>
      <c r="AJ19" s="309"/>
      <c r="AK19" s="309"/>
      <c r="AL19" s="309"/>
      <c r="AM19" s="309"/>
      <c r="AN19" s="309"/>
      <c r="AO19" s="309"/>
      <c r="AP19" s="309"/>
      <c r="AQ19" s="309"/>
      <c r="AR19" s="310"/>
      <c r="AT19" s="195">
        <v>8</v>
      </c>
      <c r="AU19" s="308"/>
      <c r="AV19" s="309"/>
      <c r="AW19" s="309"/>
      <c r="AX19" s="309"/>
      <c r="AY19" s="309"/>
      <c r="AZ19" s="309"/>
      <c r="BA19" s="309"/>
      <c r="BB19" s="309"/>
      <c r="BC19" s="309"/>
      <c r="BD19" s="309"/>
      <c r="BE19" s="309"/>
      <c r="BF19" s="309"/>
      <c r="BG19" s="310"/>
    </row>
    <row r="20" spans="1:59">
      <c r="A20" s="195">
        <v>9</v>
      </c>
      <c r="B20" s="308"/>
      <c r="C20" s="309">
        <v>25645.74928</v>
      </c>
      <c r="D20" s="309"/>
      <c r="E20" s="309"/>
      <c r="F20" s="309"/>
      <c r="G20" s="309"/>
      <c r="H20" s="309"/>
      <c r="I20" s="309"/>
      <c r="J20" s="309"/>
      <c r="K20" s="309"/>
      <c r="L20" s="309"/>
      <c r="M20" s="309"/>
      <c r="N20" s="310"/>
      <c r="P20" s="195">
        <v>9</v>
      </c>
      <c r="Q20" s="308"/>
      <c r="R20" s="309"/>
      <c r="S20" s="309"/>
      <c r="T20" s="309"/>
      <c r="U20" s="309"/>
      <c r="V20" s="309"/>
      <c r="W20" s="309"/>
      <c r="X20" s="309"/>
      <c r="Y20" s="309"/>
      <c r="Z20" s="309"/>
      <c r="AA20" s="309"/>
      <c r="AB20" s="309"/>
      <c r="AC20" s="310"/>
      <c r="AE20" s="195">
        <v>9</v>
      </c>
      <c r="AF20" s="308"/>
      <c r="AG20" s="309"/>
      <c r="AH20" s="309"/>
      <c r="AI20" s="309"/>
      <c r="AJ20" s="309"/>
      <c r="AK20" s="309"/>
      <c r="AL20" s="309"/>
      <c r="AM20" s="309"/>
      <c r="AN20" s="309"/>
      <c r="AO20" s="309"/>
      <c r="AP20" s="309"/>
      <c r="AQ20" s="309"/>
      <c r="AR20" s="310"/>
      <c r="AT20" s="195">
        <v>9</v>
      </c>
      <c r="AU20" s="308"/>
      <c r="AV20" s="309"/>
      <c r="AW20" s="309"/>
      <c r="AX20" s="309"/>
      <c r="AY20" s="309"/>
      <c r="AZ20" s="309"/>
      <c r="BA20" s="309"/>
      <c r="BB20" s="309"/>
      <c r="BC20" s="309"/>
      <c r="BD20" s="309"/>
      <c r="BE20" s="309"/>
      <c r="BF20" s="309"/>
      <c r="BG20" s="310"/>
    </row>
    <row r="21" spans="1:59">
      <c r="A21" s="195">
        <v>10</v>
      </c>
      <c r="B21" s="308"/>
      <c r="C21" s="309">
        <v>72767.348759999993</v>
      </c>
      <c r="D21" s="309"/>
      <c r="E21" s="309"/>
      <c r="F21" s="309"/>
      <c r="G21" s="309"/>
      <c r="H21" s="309"/>
      <c r="I21" s="309"/>
      <c r="J21" s="309"/>
      <c r="K21" s="309"/>
      <c r="L21" s="309"/>
      <c r="M21" s="309"/>
      <c r="N21" s="310"/>
      <c r="P21" s="195">
        <v>10</v>
      </c>
      <c r="Q21" s="308"/>
      <c r="R21" s="309"/>
      <c r="S21" s="309"/>
      <c r="T21" s="309"/>
      <c r="U21" s="309"/>
      <c r="V21" s="309"/>
      <c r="W21" s="309"/>
      <c r="X21" s="309"/>
      <c r="Y21" s="309"/>
      <c r="Z21" s="309"/>
      <c r="AA21" s="309"/>
      <c r="AB21" s="309"/>
      <c r="AC21" s="310"/>
      <c r="AE21" s="195">
        <v>10</v>
      </c>
      <c r="AF21" s="308"/>
      <c r="AG21" s="309"/>
      <c r="AH21" s="309"/>
      <c r="AI21" s="309"/>
      <c r="AJ21" s="309"/>
      <c r="AK21" s="309"/>
      <c r="AL21" s="309"/>
      <c r="AM21" s="309"/>
      <c r="AN21" s="309"/>
      <c r="AO21" s="309"/>
      <c r="AP21" s="309"/>
      <c r="AQ21" s="309"/>
      <c r="AR21" s="310"/>
      <c r="AT21" s="195">
        <v>10</v>
      </c>
      <c r="AU21" s="308"/>
      <c r="AV21" s="309"/>
      <c r="AW21" s="309"/>
      <c r="AX21" s="309"/>
      <c r="AY21" s="309"/>
      <c r="AZ21" s="309"/>
      <c r="BA21" s="309"/>
      <c r="BB21" s="309"/>
      <c r="BC21" s="309"/>
      <c r="BD21" s="309"/>
      <c r="BE21" s="309"/>
      <c r="BF21" s="309"/>
      <c r="BG21" s="310"/>
    </row>
    <row r="22" spans="1:59">
      <c r="A22" s="195">
        <v>11</v>
      </c>
      <c r="B22" s="308"/>
      <c r="C22" s="309">
        <v>169575.12265599999</v>
      </c>
      <c r="D22" s="309"/>
      <c r="E22" s="309"/>
      <c r="F22" s="309"/>
      <c r="G22" s="309"/>
      <c r="H22" s="309"/>
      <c r="I22" s="309"/>
      <c r="J22" s="309"/>
      <c r="K22" s="309"/>
      <c r="L22" s="309"/>
      <c r="M22" s="309"/>
      <c r="N22" s="310"/>
      <c r="P22" s="195">
        <v>11</v>
      </c>
      <c r="Q22" s="308"/>
      <c r="R22" s="309"/>
      <c r="S22" s="309"/>
      <c r="T22" s="309"/>
      <c r="U22" s="309"/>
      <c r="V22" s="309"/>
      <c r="W22" s="309"/>
      <c r="X22" s="309"/>
      <c r="Y22" s="309"/>
      <c r="Z22" s="309"/>
      <c r="AA22" s="309"/>
      <c r="AB22" s="309"/>
      <c r="AC22" s="310"/>
      <c r="AE22" s="195">
        <v>11</v>
      </c>
      <c r="AF22" s="308"/>
      <c r="AG22" s="309"/>
      <c r="AH22" s="309"/>
      <c r="AI22" s="309"/>
      <c r="AJ22" s="309"/>
      <c r="AK22" s="309"/>
      <c r="AL22" s="309"/>
      <c r="AM22" s="309"/>
      <c r="AN22" s="309"/>
      <c r="AO22" s="309"/>
      <c r="AP22" s="309"/>
      <c r="AQ22" s="309"/>
      <c r="AR22" s="310"/>
      <c r="AT22" s="195">
        <v>11</v>
      </c>
      <c r="AU22" s="308"/>
      <c r="AV22" s="309"/>
      <c r="AW22" s="309"/>
      <c r="AX22" s="309"/>
      <c r="AY22" s="309"/>
      <c r="AZ22" s="309"/>
      <c r="BA22" s="309"/>
      <c r="BB22" s="309"/>
      <c r="BC22" s="309"/>
      <c r="BD22" s="309"/>
      <c r="BE22" s="309"/>
      <c r="BF22" s="309"/>
      <c r="BG22" s="310"/>
    </row>
    <row r="23" spans="1:59">
      <c r="A23" s="195">
        <v>12</v>
      </c>
      <c r="B23" s="308"/>
      <c r="C23" s="309">
        <v>224390.446856</v>
      </c>
      <c r="D23" s="309"/>
      <c r="E23" s="309"/>
      <c r="F23" s="309"/>
      <c r="G23" s="309"/>
      <c r="H23" s="309"/>
      <c r="I23" s="309"/>
      <c r="J23" s="309"/>
      <c r="K23" s="309"/>
      <c r="L23" s="309"/>
      <c r="M23" s="309"/>
      <c r="N23" s="310"/>
      <c r="P23" s="195">
        <v>12</v>
      </c>
      <c r="Q23" s="308"/>
      <c r="R23" s="309"/>
      <c r="S23" s="309"/>
      <c r="T23" s="309"/>
      <c r="U23" s="309"/>
      <c r="V23" s="309"/>
      <c r="W23" s="309"/>
      <c r="X23" s="309"/>
      <c r="Y23" s="309"/>
      <c r="Z23" s="309"/>
      <c r="AA23" s="309"/>
      <c r="AB23" s="309"/>
      <c r="AC23" s="310"/>
      <c r="AE23" s="195">
        <v>12</v>
      </c>
      <c r="AF23" s="308"/>
      <c r="AG23" s="309"/>
      <c r="AH23" s="309"/>
      <c r="AI23" s="309"/>
      <c r="AJ23" s="309"/>
      <c r="AK23" s="309"/>
      <c r="AL23" s="309"/>
      <c r="AM23" s="309"/>
      <c r="AN23" s="309"/>
      <c r="AO23" s="309"/>
      <c r="AP23" s="309"/>
      <c r="AQ23" s="309"/>
      <c r="AR23" s="310"/>
      <c r="AT23" s="195">
        <v>12</v>
      </c>
      <c r="AU23" s="308"/>
      <c r="AV23" s="309"/>
      <c r="AW23" s="309"/>
      <c r="AX23" s="309"/>
      <c r="AY23" s="309"/>
      <c r="AZ23" s="309"/>
      <c r="BA23" s="309"/>
      <c r="BB23" s="309"/>
      <c r="BC23" s="309"/>
      <c r="BD23" s="309"/>
      <c r="BE23" s="309"/>
      <c r="BF23" s="309"/>
      <c r="BG23" s="310"/>
    </row>
    <row r="24" spans="1:59">
      <c r="A24" s="195">
        <v>13</v>
      </c>
      <c r="B24" s="308"/>
      <c r="C24" s="309"/>
      <c r="D24" s="309">
        <v>274076.6213</v>
      </c>
      <c r="E24" s="309"/>
      <c r="F24" s="309"/>
      <c r="G24" s="309"/>
      <c r="H24" s="309"/>
      <c r="I24" s="309"/>
      <c r="J24" s="309"/>
      <c r="K24" s="309"/>
      <c r="L24" s="309"/>
      <c r="M24" s="309"/>
      <c r="N24" s="310"/>
      <c r="P24" s="195">
        <v>13</v>
      </c>
      <c r="Q24" s="308"/>
      <c r="R24" s="309"/>
      <c r="S24" s="309"/>
      <c r="T24" s="309"/>
      <c r="U24" s="309"/>
      <c r="V24" s="309"/>
      <c r="W24" s="309"/>
      <c r="X24" s="309"/>
      <c r="Y24" s="309"/>
      <c r="Z24" s="309"/>
      <c r="AA24" s="309"/>
      <c r="AB24" s="309"/>
      <c r="AC24" s="310"/>
      <c r="AE24" s="195">
        <v>13</v>
      </c>
      <c r="AF24" s="308"/>
      <c r="AG24" s="309"/>
      <c r="AH24" s="309"/>
      <c r="AI24" s="309"/>
      <c r="AJ24" s="309"/>
      <c r="AK24" s="309"/>
      <c r="AL24" s="309"/>
      <c r="AM24" s="309"/>
      <c r="AN24" s="309"/>
      <c r="AO24" s="309"/>
      <c r="AP24" s="309"/>
      <c r="AQ24" s="309"/>
      <c r="AR24" s="310"/>
      <c r="AT24" s="195">
        <v>13</v>
      </c>
      <c r="AU24" s="308"/>
      <c r="AV24" s="309"/>
      <c r="AW24" s="309"/>
      <c r="AX24" s="309"/>
      <c r="AY24" s="309"/>
      <c r="AZ24" s="309"/>
      <c r="BA24" s="309"/>
      <c r="BB24" s="309"/>
      <c r="BC24" s="309"/>
      <c r="BD24" s="309"/>
      <c r="BE24" s="309"/>
      <c r="BF24" s="309"/>
      <c r="BG24" s="310"/>
    </row>
    <row r="25" spans="1:59">
      <c r="A25" s="195">
        <v>14</v>
      </c>
      <c r="B25" s="308"/>
      <c r="C25" s="309"/>
      <c r="D25" s="309"/>
      <c r="E25" s="309"/>
      <c r="F25" s="309"/>
      <c r="G25" s="309"/>
      <c r="H25" s="309"/>
      <c r="I25" s="309"/>
      <c r="J25" s="309"/>
      <c r="K25" s="309"/>
      <c r="L25" s="309"/>
      <c r="M25" s="309"/>
      <c r="N25" s="310"/>
      <c r="P25" s="195">
        <v>14</v>
      </c>
      <c r="Q25" s="308"/>
      <c r="R25" s="309"/>
      <c r="S25" s="309"/>
      <c r="T25" s="309"/>
      <c r="U25" s="309"/>
      <c r="V25" s="309"/>
      <c r="W25" s="309"/>
      <c r="X25" s="309"/>
      <c r="Y25" s="309"/>
      <c r="Z25" s="309"/>
      <c r="AA25" s="309"/>
      <c r="AB25" s="309"/>
      <c r="AC25" s="310"/>
      <c r="AE25" s="195">
        <v>14</v>
      </c>
      <c r="AF25" s="308"/>
      <c r="AG25" s="309"/>
      <c r="AH25" s="309"/>
      <c r="AI25" s="309"/>
      <c r="AJ25" s="309"/>
      <c r="AK25" s="309"/>
      <c r="AL25" s="309"/>
      <c r="AM25" s="309"/>
      <c r="AN25" s="309"/>
      <c r="AO25" s="309"/>
      <c r="AP25" s="309"/>
      <c r="AQ25" s="309"/>
      <c r="AR25" s="310"/>
      <c r="AT25" s="195">
        <v>14</v>
      </c>
      <c r="AU25" s="308"/>
      <c r="AV25" s="309"/>
      <c r="AW25" s="309"/>
      <c r="AX25" s="309"/>
      <c r="AY25" s="309"/>
      <c r="AZ25" s="309"/>
      <c r="BA25" s="309"/>
      <c r="BB25" s="309"/>
      <c r="BC25" s="309"/>
      <c r="BD25" s="309"/>
      <c r="BE25" s="309"/>
      <c r="BF25" s="309"/>
      <c r="BG25" s="310"/>
    </row>
    <row r="26" spans="1:59">
      <c r="A26" s="195">
        <v>15</v>
      </c>
      <c r="B26" s="308"/>
      <c r="C26" s="309"/>
      <c r="D26" s="309"/>
      <c r="E26" s="309"/>
      <c r="F26" s="309"/>
      <c r="G26" s="309"/>
      <c r="H26" s="309"/>
      <c r="I26" s="309"/>
      <c r="J26" s="309"/>
      <c r="K26" s="309"/>
      <c r="L26" s="309"/>
      <c r="M26" s="309"/>
      <c r="N26" s="310"/>
      <c r="P26" s="195">
        <v>15</v>
      </c>
      <c r="Q26" s="308"/>
      <c r="R26" s="309"/>
      <c r="S26" s="309"/>
      <c r="T26" s="309"/>
      <c r="U26" s="309"/>
      <c r="V26" s="309"/>
      <c r="W26" s="309"/>
      <c r="X26" s="309"/>
      <c r="Y26" s="309"/>
      <c r="Z26" s="309"/>
      <c r="AA26" s="309"/>
      <c r="AB26" s="309"/>
      <c r="AC26" s="310"/>
      <c r="AE26" s="195">
        <v>15</v>
      </c>
      <c r="AF26" s="308"/>
      <c r="AG26" s="309"/>
      <c r="AH26" s="309"/>
      <c r="AI26" s="309"/>
      <c r="AJ26" s="309"/>
      <c r="AK26" s="309"/>
      <c r="AL26" s="309"/>
      <c r="AM26" s="309"/>
      <c r="AN26" s="309"/>
      <c r="AO26" s="309"/>
      <c r="AP26" s="309"/>
      <c r="AQ26" s="309"/>
      <c r="AR26" s="310"/>
      <c r="AT26" s="195">
        <v>15</v>
      </c>
      <c r="AU26" s="308"/>
      <c r="AV26" s="309"/>
      <c r="AW26" s="309"/>
      <c r="AX26" s="309"/>
      <c r="AY26" s="309"/>
      <c r="AZ26" s="309"/>
      <c r="BA26" s="309"/>
      <c r="BB26" s="309"/>
      <c r="BC26" s="309"/>
      <c r="BD26" s="309"/>
      <c r="BE26" s="309"/>
      <c r="BF26" s="309"/>
      <c r="BG26" s="310"/>
    </row>
    <row r="27" spans="1:59">
      <c r="A27" s="195">
        <v>16</v>
      </c>
      <c r="B27" s="308"/>
      <c r="C27" s="309"/>
      <c r="D27" s="309"/>
      <c r="E27" s="309"/>
      <c r="F27" s="309"/>
      <c r="G27" s="309"/>
      <c r="H27" s="309"/>
      <c r="I27" s="309"/>
      <c r="J27" s="309"/>
      <c r="K27" s="309"/>
      <c r="L27" s="309"/>
      <c r="M27" s="309"/>
      <c r="N27" s="310"/>
      <c r="P27" s="195">
        <v>16</v>
      </c>
      <c r="Q27" s="308"/>
      <c r="R27" s="309"/>
      <c r="S27" s="309"/>
      <c r="T27" s="309"/>
      <c r="U27" s="309"/>
      <c r="V27" s="309"/>
      <c r="W27" s="309"/>
      <c r="X27" s="309"/>
      <c r="Y27" s="309"/>
      <c r="Z27" s="309"/>
      <c r="AA27" s="309"/>
      <c r="AB27" s="309"/>
      <c r="AC27" s="310"/>
      <c r="AE27" s="195">
        <v>16</v>
      </c>
      <c r="AF27" s="308"/>
      <c r="AG27" s="309"/>
      <c r="AH27" s="309"/>
      <c r="AI27" s="309"/>
      <c r="AJ27" s="309"/>
      <c r="AK27" s="309"/>
      <c r="AL27" s="309"/>
      <c r="AM27" s="309"/>
      <c r="AN27" s="309"/>
      <c r="AO27" s="309"/>
      <c r="AP27" s="309"/>
      <c r="AQ27" s="309"/>
      <c r="AR27" s="310"/>
      <c r="AT27" s="195">
        <v>16</v>
      </c>
      <c r="AU27" s="308"/>
      <c r="AV27" s="309"/>
      <c r="AW27" s="309"/>
      <c r="AX27" s="309"/>
      <c r="AY27" s="309"/>
      <c r="AZ27" s="309"/>
      <c r="BA27" s="309"/>
      <c r="BB27" s="309"/>
      <c r="BC27" s="309"/>
      <c r="BD27" s="309"/>
      <c r="BE27" s="309"/>
      <c r="BF27" s="309"/>
      <c r="BG27" s="310"/>
    </row>
    <row r="28" spans="1:59">
      <c r="A28" s="195">
        <v>17</v>
      </c>
      <c r="B28" s="308"/>
      <c r="C28" s="309"/>
      <c r="D28" s="309"/>
      <c r="E28" s="309"/>
      <c r="F28" s="309"/>
      <c r="G28" s="309"/>
      <c r="H28" s="309"/>
      <c r="I28" s="309"/>
      <c r="J28" s="309"/>
      <c r="K28" s="309"/>
      <c r="L28" s="309"/>
      <c r="M28" s="309"/>
      <c r="N28" s="310"/>
      <c r="P28" s="195">
        <v>17</v>
      </c>
      <c r="Q28" s="308"/>
      <c r="R28" s="309"/>
      <c r="S28" s="309"/>
      <c r="T28" s="309"/>
      <c r="U28" s="309"/>
      <c r="V28" s="309"/>
      <c r="W28" s="309"/>
      <c r="X28" s="309"/>
      <c r="Y28" s="309"/>
      <c r="Z28" s="309"/>
      <c r="AA28" s="309"/>
      <c r="AB28" s="309"/>
      <c r="AC28" s="310"/>
      <c r="AE28" s="195">
        <v>17</v>
      </c>
      <c r="AF28" s="308"/>
      <c r="AG28" s="309"/>
      <c r="AH28" s="309"/>
      <c r="AI28" s="309"/>
      <c r="AJ28" s="309"/>
      <c r="AK28" s="309"/>
      <c r="AL28" s="309"/>
      <c r="AM28" s="309"/>
      <c r="AN28" s="309"/>
      <c r="AO28" s="309"/>
      <c r="AP28" s="309"/>
      <c r="AQ28" s="309"/>
      <c r="AR28" s="310"/>
      <c r="AT28" s="195">
        <v>17</v>
      </c>
      <c r="AU28" s="308"/>
      <c r="AV28" s="309"/>
      <c r="AW28" s="309"/>
      <c r="AX28" s="309"/>
      <c r="AY28" s="309"/>
      <c r="AZ28" s="309"/>
      <c r="BA28" s="309"/>
      <c r="BB28" s="309"/>
      <c r="BC28" s="309"/>
      <c r="BD28" s="309"/>
      <c r="BE28" s="309"/>
      <c r="BF28" s="309"/>
      <c r="BG28" s="310"/>
    </row>
    <row r="29" spans="1:59">
      <c r="A29" s="195">
        <v>18</v>
      </c>
      <c r="B29" s="308"/>
      <c r="C29" s="309"/>
      <c r="D29" s="309"/>
      <c r="E29" s="309"/>
      <c r="F29" s="309"/>
      <c r="G29" s="309"/>
      <c r="H29" s="309"/>
      <c r="I29" s="309"/>
      <c r="J29" s="309"/>
      <c r="K29" s="309"/>
      <c r="L29" s="309"/>
      <c r="M29" s="309"/>
      <c r="N29" s="310"/>
      <c r="P29" s="195">
        <v>18</v>
      </c>
      <c r="Q29" s="308"/>
      <c r="R29" s="309"/>
      <c r="S29" s="309"/>
      <c r="T29" s="309"/>
      <c r="U29" s="309"/>
      <c r="V29" s="309"/>
      <c r="W29" s="309"/>
      <c r="X29" s="309"/>
      <c r="Y29" s="309"/>
      <c r="Z29" s="309"/>
      <c r="AA29" s="309"/>
      <c r="AB29" s="309"/>
      <c r="AC29" s="310"/>
      <c r="AE29" s="195">
        <v>18</v>
      </c>
      <c r="AF29" s="308"/>
      <c r="AG29" s="309"/>
      <c r="AH29" s="309"/>
      <c r="AI29" s="309"/>
      <c r="AJ29" s="309"/>
      <c r="AK29" s="309"/>
      <c r="AL29" s="309"/>
      <c r="AM29" s="309"/>
      <c r="AN29" s="309"/>
      <c r="AO29" s="309"/>
      <c r="AP29" s="309"/>
      <c r="AQ29" s="309"/>
      <c r="AR29" s="310"/>
      <c r="AT29" s="195">
        <v>18</v>
      </c>
      <c r="AU29" s="308"/>
      <c r="AV29" s="309"/>
      <c r="AW29" s="309"/>
      <c r="AX29" s="309"/>
      <c r="AY29" s="309"/>
      <c r="AZ29" s="309"/>
      <c r="BA29" s="309"/>
      <c r="BB29" s="309"/>
      <c r="BC29" s="309"/>
      <c r="BD29" s="309"/>
      <c r="BE29" s="309"/>
      <c r="BF29" s="309"/>
      <c r="BG29" s="310"/>
    </row>
    <row r="30" spans="1:59">
      <c r="A30" s="195">
        <v>19</v>
      </c>
      <c r="B30" s="308"/>
      <c r="C30" s="309"/>
      <c r="D30" s="309">
        <v>12692</v>
      </c>
      <c r="E30" s="309"/>
      <c r="F30" s="309"/>
      <c r="G30" s="309"/>
      <c r="H30" s="309"/>
      <c r="I30" s="309"/>
      <c r="J30" s="309"/>
      <c r="K30" s="309"/>
      <c r="L30" s="309"/>
      <c r="M30" s="309"/>
      <c r="N30" s="310"/>
      <c r="P30" s="195">
        <v>19</v>
      </c>
      <c r="Q30" s="308"/>
      <c r="R30" s="309"/>
      <c r="S30" s="309"/>
      <c r="T30" s="309"/>
      <c r="U30" s="309"/>
      <c r="V30" s="309"/>
      <c r="W30" s="309"/>
      <c r="X30" s="309"/>
      <c r="Y30" s="309"/>
      <c r="Z30" s="309"/>
      <c r="AA30" s="309"/>
      <c r="AB30" s="309"/>
      <c r="AC30" s="310"/>
      <c r="AE30" s="195">
        <v>19</v>
      </c>
      <c r="AF30" s="308"/>
      <c r="AG30" s="309"/>
      <c r="AH30" s="309"/>
      <c r="AI30" s="309"/>
      <c r="AJ30" s="309"/>
      <c r="AK30" s="309"/>
      <c r="AL30" s="309"/>
      <c r="AM30" s="309"/>
      <c r="AN30" s="309"/>
      <c r="AO30" s="309"/>
      <c r="AP30" s="309"/>
      <c r="AQ30" s="309"/>
      <c r="AR30" s="310"/>
      <c r="AT30" s="195">
        <v>19</v>
      </c>
      <c r="AU30" s="308"/>
      <c r="AV30" s="309"/>
      <c r="AW30" s="309"/>
      <c r="AX30" s="309"/>
      <c r="AY30" s="309"/>
      <c r="AZ30" s="309"/>
      <c r="BA30" s="309"/>
      <c r="BB30" s="309"/>
      <c r="BC30" s="309"/>
      <c r="BD30" s="309"/>
      <c r="BE30" s="309"/>
      <c r="BF30" s="309"/>
      <c r="BG30" s="310"/>
    </row>
    <row r="31" spans="1:59">
      <c r="A31" s="195">
        <v>20</v>
      </c>
      <c r="B31" s="308"/>
      <c r="C31" s="309"/>
      <c r="D31" s="309"/>
      <c r="E31" s="309">
        <v>39956</v>
      </c>
      <c r="F31" s="309"/>
      <c r="G31" s="309"/>
      <c r="H31" s="309"/>
      <c r="I31" s="309"/>
      <c r="J31" s="309"/>
      <c r="K31" s="309"/>
      <c r="L31" s="309"/>
      <c r="M31" s="309"/>
      <c r="N31" s="310"/>
      <c r="P31" s="195">
        <v>20</v>
      </c>
      <c r="Q31" s="308"/>
      <c r="R31" s="309"/>
      <c r="S31" s="309"/>
      <c r="T31" s="309"/>
      <c r="U31" s="309"/>
      <c r="V31" s="309"/>
      <c r="W31" s="309"/>
      <c r="X31" s="309"/>
      <c r="Y31" s="309"/>
      <c r="Z31" s="309"/>
      <c r="AA31" s="309"/>
      <c r="AB31" s="309"/>
      <c r="AC31" s="310"/>
      <c r="AE31" s="195">
        <v>20</v>
      </c>
      <c r="AF31" s="308"/>
      <c r="AG31" s="309"/>
      <c r="AH31" s="309"/>
      <c r="AI31" s="309"/>
      <c r="AJ31" s="309"/>
      <c r="AK31" s="309"/>
      <c r="AL31" s="309"/>
      <c r="AM31" s="309"/>
      <c r="AN31" s="309"/>
      <c r="AO31" s="309"/>
      <c r="AP31" s="309"/>
      <c r="AQ31" s="309"/>
      <c r="AR31" s="310"/>
      <c r="AT31" s="195">
        <v>20</v>
      </c>
      <c r="AU31" s="308"/>
      <c r="AV31" s="309"/>
      <c r="AW31" s="309"/>
      <c r="AX31" s="309"/>
      <c r="AY31" s="309"/>
      <c r="AZ31" s="309"/>
      <c r="BA31" s="309"/>
      <c r="BB31" s="309"/>
      <c r="BC31" s="309"/>
      <c r="BD31" s="309"/>
      <c r="BE31" s="309"/>
      <c r="BF31" s="309"/>
      <c r="BG31" s="310"/>
    </row>
    <row r="32" spans="1:59">
      <c r="A32" s="195">
        <v>21</v>
      </c>
      <c r="B32" s="308"/>
      <c r="C32" s="309"/>
      <c r="D32" s="309"/>
      <c r="E32" s="309">
        <v>97048.333333333299</v>
      </c>
      <c r="F32" s="309">
        <v>582290</v>
      </c>
      <c r="G32" s="309">
        <v>194096.66666666701</v>
      </c>
      <c r="H32" s="309"/>
      <c r="I32" s="309"/>
      <c r="J32" s="309"/>
      <c r="K32" s="309"/>
      <c r="L32" s="309"/>
      <c r="M32" s="309"/>
      <c r="N32" s="310"/>
      <c r="P32" s="195">
        <v>21</v>
      </c>
      <c r="Q32" s="308"/>
      <c r="R32" s="309"/>
      <c r="S32" s="309"/>
      <c r="T32" s="309"/>
      <c r="U32" s="309"/>
      <c r="V32" s="309"/>
      <c r="W32" s="309"/>
      <c r="X32" s="309"/>
      <c r="Y32" s="309"/>
      <c r="Z32" s="309"/>
      <c r="AA32" s="309"/>
      <c r="AB32" s="309"/>
      <c r="AC32" s="310"/>
      <c r="AE32" s="195">
        <v>21</v>
      </c>
      <c r="AF32" s="308"/>
      <c r="AG32" s="309"/>
      <c r="AH32" s="309"/>
      <c r="AI32" s="309"/>
      <c r="AJ32" s="309"/>
      <c r="AK32" s="309"/>
      <c r="AL32" s="309"/>
      <c r="AM32" s="309"/>
      <c r="AN32" s="309"/>
      <c r="AO32" s="309"/>
      <c r="AP32" s="309"/>
      <c r="AQ32" s="309"/>
      <c r="AR32" s="310"/>
      <c r="AT32" s="195">
        <v>21</v>
      </c>
      <c r="AU32" s="308"/>
      <c r="AV32" s="309"/>
      <c r="AW32" s="309"/>
      <c r="AX32" s="309"/>
      <c r="AY32" s="309"/>
      <c r="AZ32" s="309"/>
      <c r="BA32" s="309"/>
      <c r="BB32" s="309"/>
      <c r="BC32" s="309"/>
      <c r="BD32" s="309"/>
      <c r="BE32" s="309"/>
      <c r="BF32" s="309"/>
      <c r="BG32" s="310"/>
    </row>
    <row r="33" spans="1:59">
      <c r="A33" s="195">
        <v>22</v>
      </c>
      <c r="B33" s="308"/>
      <c r="C33" s="309"/>
      <c r="D33" s="309"/>
      <c r="E33" s="309"/>
      <c r="F33" s="309">
        <v>1458320.6837500001</v>
      </c>
      <c r="G33" s="309">
        <v>208331.52625</v>
      </c>
      <c r="H33" s="309"/>
      <c r="I33" s="309"/>
      <c r="J33" s="309"/>
      <c r="K33" s="309"/>
      <c r="L33" s="309"/>
      <c r="M33" s="309"/>
      <c r="N33" s="310"/>
      <c r="P33" s="195">
        <v>22</v>
      </c>
      <c r="Q33" s="308"/>
      <c r="R33" s="309"/>
      <c r="S33" s="309"/>
      <c r="T33" s="309">
        <v>1652</v>
      </c>
      <c r="U33" s="309"/>
      <c r="V33" s="309"/>
      <c r="W33" s="309"/>
      <c r="X33" s="309"/>
      <c r="Y33" s="309"/>
      <c r="Z33" s="309"/>
      <c r="AA33" s="309"/>
      <c r="AB33" s="309"/>
      <c r="AC33" s="310"/>
      <c r="AE33" s="195">
        <v>22</v>
      </c>
      <c r="AF33" s="308"/>
      <c r="AG33" s="309"/>
      <c r="AH33" s="309"/>
      <c r="AI33" s="309"/>
      <c r="AJ33" s="309"/>
      <c r="AK33" s="309"/>
      <c r="AL33" s="309"/>
      <c r="AM33" s="309"/>
      <c r="AN33" s="309"/>
      <c r="AO33" s="309"/>
      <c r="AP33" s="309"/>
      <c r="AQ33" s="309"/>
      <c r="AR33" s="310"/>
      <c r="AT33" s="195">
        <v>22</v>
      </c>
      <c r="AU33" s="308"/>
      <c r="AV33" s="309"/>
      <c r="AW33" s="309"/>
      <c r="AX33" s="309"/>
      <c r="AY33" s="309"/>
      <c r="AZ33" s="309"/>
      <c r="BA33" s="309"/>
      <c r="BB33" s="309"/>
      <c r="BC33" s="309"/>
      <c r="BD33" s="309"/>
      <c r="BE33" s="309"/>
      <c r="BF33" s="309"/>
      <c r="BG33" s="310"/>
    </row>
    <row r="34" spans="1:59">
      <c r="A34" s="195">
        <v>23</v>
      </c>
      <c r="B34" s="308"/>
      <c r="C34" s="309"/>
      <c r="D34" s="309"/>
      <c r="E34" s="309">
        <v>324634.11619047599</v>
      </c>
      <c r="F34" s="309">
        <v>1217377.93571429</v>
      </c>
      <c r="G34" s="309">
        <v>162317.058095238</v>
      </c>
      <c r="H34" s="309"/>
      <c r="I34" s="309"/>
      <c r="J34" s="309"/>
      <c r="K34" s="309"/>
      <c r="L34" s="309"/>
      <c r="M34" s="309"/>
      <c r="N34" s="310"/>
      <c r="P34" s="195">
        <v>23</v>
      </c>
      <c r="Q34" s="308"/>
      <c r="R34" s="309"/>
      <c r="S34" s="309"/>
      <c r="T34" s="309">
        <v>85238.03</v>
      </c>
      <c r="U34" s="309"/>
      <c r="V34" s="309"/>
      <c r="W34" s="309"/>
      <c r="X34" s="309"/>
      <c r="Y34" s="309"/>
      <c r="Z34" s="309"/>
      <c r="AA34" s="309"/>
      <c r="AB34" s="309"/>
      <c r="AC34" s="310"/>
      <c r="AE34" s="195">
        <v>23</v>
      </c>
      <c r="AF34" s="308"/>
      <c r="AG34" s="309"/>
      <c r="AH34" s="309"/>
      <c r="AI34" s="309">
        <v>20983.87</v>
      </c>
      <c r="AJ34" s="309"/>
      <c r="AK34" s="309"/>
      <c r="AL34" s="309"/>
      <c r="AM34" s="309"/>
      <c r="AN34" s="309"/>
      <c r="AO34" s="309"/>
      <c r="AP34" s="309"/>
      <c r="AQ34" s="309"/>
      <c r="AR34" s="310"/>
      <c r="AT34" s="195">
        <v>23</v>
      </c>
      <c r="AU34" s="308"/>
      <c r="AV34" s="309"/>
      <c r="AW34" s="309"/>
      <c r="AX34" s="309"/>
      <c r="AY34" s="309"/>
      <c r="AZ34" s="309"/>
      <c r="BA34" s="309"/>
      <c r="BB34" s="309"/>
      <c r="BC34" s="309"/>
      <c r="BD34" s="309"/>
      <c r="BE34" s="309"/>
      <c r="BF34" s="309"/>
      <c r="BG34" s="310"/>
    </row>
    <row r="35" spans="1:59">
      <c r="A35" s="195">
        <v>24</v>
      </c>
      <c r="B35" s="308"/>
      <c r="C35" s="309"/>
      <c r="D35" s="309"/>
      <c r="E35" s="309">
        <v>72233.745624999996</v>
      </c>
      <c r="F35" s="309">
        <v>794571.20187500003</v>
      </c>
      <c r="G35" s="309">
        <v>288934.98249999998</v>
      </c>
      <c r="H35" s="309"/>
      <c r="I35" s="309"/>
      <c r="J35" s="309"/>
      <c r="K35" s="309"/>
      <c r="L35" s="309"/>
      <c r="M35" s="309"/>
      <c r="N35" s="310"/>
      <c r="P35" s="195">
        <v>24</v>
      </c>
      <c r="Q35" s="308"/>
      <c r="R35" s="309"/>
      <c r="S35" s="309"/>
      <c r="T35" s="309"/>
      <c r="U35" s="309">
        <v>200235.54</v>
      </c>
      <c r="V35" s="309"/>
      <c r="W35" s="309"/>
      <c r="X35" s="309"/>
      <c r="Y35" s="309"/>
      <c r="Z35" s="309"/>
      <c r="AA35" s="309"/>
      <c r="AB35" s="309"/>
      <c r="AC35" s="310"/>
      <c r="AE35" s="195">
        <v>24</v>
      </c>
      <c r="AF35" s="308"/>
      <c r="AG35" s="309"/>
      <c r="AH35" s="309"/>
      <c r="AI35" s="309"/>
      <c r="AJ35" s="309"/>
      <c r="AK35" s="309">
        <v>1233.5</v>
      </c>
      <c r="AL35" s="309">
        <v>1233.5</v>
      </c>
      <c r="AM35" s="309"/>
      <c r="AN35" s="309"/>
      <c r="AO35" s="309"/>
      <c r="AP35" s="309"/>
      <c r="AQ35" s="309"/>
      <c r="AR35" s="310"/>
      <c r="AT35" s="195">
        <v>24</v>
      </c>
      <c r="AU35" s="308"/>
      <c r="AV35" s="309"/>
      <c r="AW35" s="309"/>
      <c r="AX35" s="309"/>
      <c r="AY35" s="309"/>
      <c r="AZ35" s="309"/>
      <c r="BA35" s="309"/>
      <c r="BB35" s="309"/>
      <c r="BC35" s="309"/>
      <c r="BD35" s="309"/>
      <c r="BE35" s="309"/>
      <c r="BF35" s="309"/>
      <c r="BG35" s="310"/>
    </row>
    <row r="36" spans="1:59">
      <c r="A36" s="195">
        <v>25</v>
      </c>
      <c r="B36" s="308"/>
      <c r="C36" s="309"/>
      <c r="D36" s="309"/>
      <c r="E36" s="309">
        <v>147810.003529412</v>
      </c>
      <c r="F36" s="309">
        <v>1773720.04235294</v>
      </c>
      <c r="G36" s="309">
        <v>591240.01411764696</v>
      </c>
      <c r="H36" s="309"/>
      <c r="I36" s="309"/>
      <c r="J36" s="309"/>
      <c r="K36" s="309"/>
      <c r="L36" s="309"/>
      <c r="M36" s="309"/>
      <c r="N36" s="310"/>
      <c r="P36" s="195">
        <v>25</v>
      </c>
      <c r="Q36" s="308"/>
      <c r="R36" s="309"/>
      <c r="S36" s="309"/>
      <c r="T36" s="309"/>
      <c r="U36" s="309">
        <v>188090.83499999999</v>
      </c>
      <c r="V36" s="309">
        <v>62696.945</v>
      </c>
      <c r="W36" s="309"/>
      <c r="X36" s="309"/>
      <c r="Y36" s="309"/>
      <c r="Z36" s="309"/>
      <c r="AA36" s="309"/>
      <c r="AB36" s="309"/>
      <c r="AC36" s="310"/>
      <c r="AE36" s="195">
        <v>25</v>
      </c>
      <c r="AF36" s="308"/>
      <c r="AG36" s="309"/>
      <c r="AH36" s="309"/>
      <c r="AI36" s="309"/>
      <c r="AJ36" s="309">
        <v>10874.8575</v>
      </c>
      <c r="AK36" s="309">
        <v>21749.715</v>
      </c>
      <c r="AL36" s="309">
        <v>10874.8575</v>
      </c>
      <c r="AM36" s="309"/>
      <c r="AN36" s="309"/>
      <c r="AO36" s="309"/>
      <c r="AP36" s="309"/>
      <c r="AQ36" s="309"/>
      <c r="AR36" s="310"/>
      <c r="AT36" s="195">
        <v>25</v>
      </c>
      <c r="AU36" s="308"/>
      <c r="AV36" s="309"/>
      <c r="AW36" s="309"/>
      <c r="AX36" s="309"/>
      <c r="AY36" s="309">
        <v>55021.04</v>
      </c>
      <c r="AZ36" s="309">
        <v>55021.04</v>
      </c>
      <c r="BA36" s="309"/>
      <c r="BB36" s="309"/>
      <c r="BC36" s="309"/>
      <c r="BD36" s="309"/>
      <c r="BE36" s="309"/>
      <c r="BF36" s="309"/>
      <c r="BG36" s="310"/>
    </row>
    <row r="37" spans="1:59">
      <c r="A37" s="195">
        <v>26</v>
      </c>
      <c r="B37" s="308"/>
      <c r="C37" s="309"/>
      <c r="D37" s="309"/>
      <c r="E37" s="309">
        <v>429744.72828079999</v>
      </c>
      <c r="F37" s="309">
        <v>2363596.0055443998</v>
      </c>
      <c r="G37" s="309">
        <v>2578468.3696848</v>
      </c>
      <c r="H37" s="309"/>
      <c r="I37" s="309"/>
      <c r="J37" s="309"/>
      <c r="K37" s="309"/>
      <c r="L37" s="309"/>
      <c r="M37" s="309"/>
      <c r="N37" s="310"/>
      <c r="P37" s="195">
        <v>26</v>
      </c>
      <c r="Q37" s="308"/>
      <c r="R37" s="309"/>
      <c r="S37" s="309"/>
      <c r="T37" s="309"/>
      <c r="U37" s="309">
        <v>241439.69666666701</v>
      </c>
      <c r="V37" s="309">
        <v>87796.253333333298</v>
      </c>
      <c r="W37" s="309"/>
      <c r="X37" s="309"/>
      <c r="Y37" s="309"/>
      <c r="Z37" s="309"/>
      <c r="AA37" s="309"/>
      <c r="AB37" s="309"/>
      <c r="AC37" s="310"/>
      <c r="AE37" s="195">
        <v>26</v>
      </c>
      <c r="AF37" s="308"/>
      <c r="AG37" s="309"/>
      <c r="AH37" s="309"/>
      <c r="AI37" s="309"/>
      <c r="AJ37" s="309">
        <v>10176.4866666667</v>
      </c>
      <c r="AK37" s="309">
        <v>35617.703333333302</v>
      </c>
      <c r="AL37" s="309">
        <v>15264.73</v>
      </c>
      <c r="AM37" s="309"/>
      <c r="AN37" s="309"/>
      <c r="AO37" s="309"/>
      <c r="AP37" s="309"/>
      <c r="AQ37" s="309"/>
      <c r="AR37" s="310"/>
      <c r="AT37" s="195">
        <v>26</v>
      </c>
      <c r="AU37" s="308"/>
      <c r="AV37" s="309"/>
      <c r="AW37" s="309"/>
      <c r="AX37" s="309"/>
      <c r="AY37" s="309">
        <v>110138.373333333</v>
      </c>
      <c r="AZ37" s="309">
        <v>55069.186666666697</v>
      </c>
      <c r="BA37" s="309">
        <v>55069.186666666697</v>
      </c>
      <c r="BB37" s="309">
        <v>110138.373333333</v>
      </c>
      <c r="BC37" s="309"/>
      <c r="BD37" s="309"/>
      <c r="BE37" s="309"/>
      <c r="BF37" s="309"/>
      <c r="BG37" s="310"/>
    </row>
    <row r="38" spans="1:59">
      <c r="A38" s="195">
        <v>27</v>
      </c>
      <c r="B38" s="308"/>
      <c r="C38" s="309"/>
      <c r="D38" s="309"/>
      <c r="E38" s="309">
        <v>855686.96170212806</v>
      </c>
      <c r="F38" s="309">
        <v>8129026.1361702103</v>
      </c>
      <c r="G38" s="309">
        <v>9840400.0595744699</v>
      </c>
      <c r="H38" s="309">
        <v>1283530.44255319</v>
      </c>
      <c r="I38" s="309"/>
      <c r="J38" s="309"/>
      <c r="K38" s="309"/>
      <c r="L38" s="309"/>
      <c r="M38" s="309"/>
      <c r="N38" s="310"/>
      <c r="P38" s="195">
        <v>27</v>
      </c>
      <c r="Q38" s="308"/>
      <c r="R38" s="309"/>
      <c r="S38" s="309"/>
      <c r="T38" s="309"/>
      <c r="U38" s="309">
        <v>375702.795454545</v>
      </c>
      <c r="V38" s="309">
        <v>413273.07500000001</v>
      </c>
      <c r="W38" s="309"/>
      <c r="X38" s="309">
        <v>37570.279545454498</v>
      </c>
      <c r="Y38" s="309"/>
      <c r="Z38" s="309"/>
      <c r="AA38" s="309"/>
      <c r="AB38" s="309"/>
      <c r="AC38" s="310"/>
      <c r="AE38" s="195">
        <v>27</v>
      </c>
      <c r="AF38" s="308"/>
      <c r="AG38" s="309"/>
      <c r="AH38" s="309"/>
      <c r="AI38" s="309">
        <v>3101.1286666666701</v>
      </c>
      <c r="AJ38" s="309">
        <v>27910.157999999999</v>
      </c>
      <c r="AK38" s="309">
        <v>15505.643333333301</v>
      </c>
      <c r="AL38" s="309"/>
      <c r="AM38" s="309"/>
      <c r="AN38" s="309"/>
      <c r="AO38" s="309"/>
      <c r="AP38" s="309"/>
      <c r="AQ38" s="309"/>
      <c r="AR38" s="310"/>
      <c r="AT38" s="195">
        <v>27</v>
      </c>
      <c r="AU38" s="308"/>
      <c r="AV38" s="309"/>
      <c r="AW38" s="309"/>
      <c r="AX38" s="309"/>
      <c r="AY38" s="309">
        <v>38341.813333333303</v>
      </c>
      <c r="AZ38" s="309">
        <v>38341.813333333303</v>
      </c>
      <c r="BA38" s="309">
        <v>115025.44</v>
      </c>
      <c r="BB38" s="309">
        <v>38341.813333333303</v>
      </c>
      <c r="BC38" s="309"/>
      <c r="BD38" s="309"/>
      <c r="BE38" s="309"/>
      <c r="BF38" s="309"/>
      <c r="BG38" s="310"/>
    </row>
    <row r="39" spans="1:59">
      <c r="A39" s="195">
        <v>28</v>
      </c>
      <c r="B39" s="308"/>
      <c r="C39" s="309"/>
      <c r="D39" s="309"/>
      <c r="E39" s="309"/>
      <c r="F39" s="309">
        <v>14794126.655727301</v>
      </c>
      <c r="G39" s="309">
        <v>27122565.535500001</v>
      </c>
      <c r="H39" s="309">
        <v>10684647.029136401</v>
      </c>
      <c r="I39" s="309">
        <v>1643791.85063636</v>
      </c>
      <c r="J39" s="309"/>
      <c r="K39" s="309"/>
      <c r="L39" s="309"/>
      <c r="M39" s="309"/>
      <c r="N39" s="310"/>
      <c r="P39" s="195">
        <v>28</v>
      </c>
      <c r="Q39" s="308"/>
      <c r="R39" s="309"/>
      <c r="S39" s="309"/>
      <c r="T39" s="309"/>
      <c r="U39" s="309">
        <v>339800.48269230803</v>
      </c>
      <c r="V39" s="309">
        <v>985421.39980769204</v>
      </c>
      <c r="W39" s="309">
        <v>407760.57923076901</v>
      </c>
      <c r="X39" s="309">
        <v>33980.0482692308</v>
      </c>
      <c r="Y39" s="309"/>
      <c r="Z39" s="309"/>
      <c r="AA39" s="309"/>
      <c r="AB39" s="309"/>
      <c r="AC39" s="310"/>
      <c r="AE39" s="195">
        <v>28</v>
      </c>
      <c r="AF39" s="308"/>
      <c r="AG39" s="309"/>
      <c r="AH39" s="309"/>
      <c r="AI39" s="309"/>
      <c r="AJ39" s="309">
        <v>55075.226666666698</v>
      </c>
      <c r="AK39" s="309">
        <v>16522.567999999999</v>
      </c>
      <c r="AL39" s="309">
        <v>5507.5226666666704</v>
      </c>
      <c r="AM39" s="309">
        <v>5507.5226666666704</v>
      </c>
      <c r="AN39" s="309"/>
      <c r="AO39" s="309"/>
      <c r="AP39" s="309"/>
      <c r="AQ39" s="309"/>
      <c r="AR39" s="310"/>
      <c r="AT39" s="195">
        <v>28</v>
      </c>
      <c r="AU39" s="308"/>
      <c r="AV39" s="309"/>
      <c r="AW39" s="309"/>
      <c r="AX39" s="309"/>
      <c r="AY39" s="309"/>
      <c r="AZ39" s="309">
        <v>101073.31</v>
      </c>
      <c r="BA39" s="309"/>
      <c r="BB39" s="309"/>
      <c r="BC39" s="309"/>
      <c r="BD39" s="309"/>
      <c r="BE39" s="309"/>
      <c r="BF39" s="309"/>
      <c r="BG39" s="310"/>
    </row>
    <row r="40" spans="1:59">
      <c r="A40" s="195">
        <v>29</v>
      </c>
      <c r="B40" s="308"/>
      <c r="C40" s="309"/>
      <c r="D40" s="309"/>
      <c r="E40" s="309"/>
      <c r="F40" s="309">
        <v>25926396.550039001</v>
      </c>
      <c r="G40" s="309">
        <v>39453212.141363598</v>
      </c>
      <c r="H40" s="309">
        <v>14654050.223935099</v>
      </c>
      <c r="I40" s="309">
        <v>6763407.7956623398</v>
      </c>
      <c r="J40" s="309"/>
      <c r="K40" s="309"/>
      <c r="L40" s="309"/>
      <c r="M40" s="309"/>
      <c r="N40" s="310"/>
      <c r="P40" s="195">
        <v>29</v>
      </c>
      <c r="Q40" s="308"/>
      <c r="R40" s="309"/>
      <c r="S40" s="309"/>
      <c r="T40" s="309"/>
      <c r="U40" s="309">
        <v>455162.89066666702</v>
      </c>
      <c r="V40" s="309">
        <v>3072349.5120000001</v>
      </c>
      <c r="W40" s="309">
        <v>2503395.8986666701</v>
      </c>
      <c r="X40" s="309">
        <v>568953.61333333305</v>
      </c>
      <c r="Y40" s="309">
        <v>227581.44533333299</v>
      </c>
      <c r="Z40" s="309"/>
      <c r="AA40" s="309"/>
      <c r="AB40" s="309"/>
      <c r="AC40" s="310"/>
      <c r="AE40" s="195">
        <v>29</v>
      </c>
      <c r="AF40" s="308"/>
      <c r="AG40" s="309"/>
      <c r="AH40" s="309"/>
      <c r="AI40" s="309"/>
      <c r="AJ40" s="309">
        <v>66085.684999999998</v>
      </c>
      <c r="AK40" s="309">
        <v>66085.684999999998</v>
      </c>
      <c r="AL40" s="309">
        <v>66085.684999999998</v>
      </c>
      <c r="AM40" s="309">
        <v>66085.684999999998</v>
      </c>
      <c r="AN40" s="309"/>
      <c r="AO40" s="309"/>
      <c r="AP40" s="309"/>
      <c r="AQ40" s="309"/>
      <c r="AR40" s="310"/>
      <c r="AT40" s="195">
        <v>29</v>
      </c>
      <c r="AU40" s="308"/>
      <c r="AV40" s="309"/>
      <c r="AW40" s="309"/>
      <c r="AX40" s="309"/>
      <c r="AY40" s="309">
        <v>34906.114999999998</v>
      </c>
      <c r="AZ40" s="309">
        <v>34906.114999999998</v>
      </c>
      <c r="BA40" s="309"/>
      <c r="BB40" s="309"/>
      <c r="BC40" s="309"/>
      <c r="BD40" s="309"/>
      <c r="BE40" s="309"/>
      <c r="BF40" s="309"/>
      <c r="BG40" s="310"/>
    </row>
    <row r="41" spans="1:59">
      <c r="A41" s="195">
        <v>30</v>
      </c>
      <c r="B41" s="308"/>
      <c r="C41" s="309"/>
      <c r="D41" s="309"/>
      <c r="E41" s="309"/>
      <c r="F41" s="309">
        <v>11814551.139142901</v>
      </c>
      <c r="G41" s="309">
        <v>26254558.086984102</v>
      </c>
      <c r="H41" s="309">
        <v>35443653.417428598</v>
      </c>
      <c r="I41" s="309">
        <v>9189095.3304444402</v>
      </c>
      <c r="J41" s="309"/>
      <c r="K41" s="309"/>
      <c r="L41" s="309"/>
      <c r="M41" s="309"/>
      <c r="N41" s="310"/>
      <c r="P41" s="195">
        <v>30</v>
      </c>
      <c r="Q41" s="308"/>
      <c r="R41" s="309"/>
      <c r="S41" s="309"/>
      <c r="T41" s="309"/>
      <c r="U41" s="309">
        <v>2400258.1291304398</v>
      </c>
      <c r="V41" s="309">
        <v>6000645.3228260903</v>
      </c>
      <c r="W41" s="309">
        <v>6800731.3658695696</v>
      </c>
      <c r="X41" s="309">
        <v>2400258.1291304398</v>
      </c>
      <c r="Y41" s="309">
        <v>400043.02152173902</v>
      </c>
      <c r="Z41" s="309"/>
      <c r="AA41" s="309">
        <v>400043.02152173902</v>
      </c>
      <c r="AB41" s="309"/>
      <c r="AC41" s="310"/>
      <c r="AE41" s="195">
        <v>30</v>
      </c>
      <c r="AF41" s="308"/>
      <c r="AG41" s="309"/>
      <c r="AH41" s="309"/>
      <c r="AI41" s="309"/>
      <c r="AJ41" s="309"/>
      <c r="AK41" s="309">
        <v>521855.67200000002</v>
      </c>
      <c r="AL41" s="309">
        <v>260927.83600000001</v>
      </c>
      <c r="AM41" s="309">
        <v>521855.67200000002</v>
      </c>
      <c r="AN41" s="309"/>
      <c r="AO41" s="309"/>
      <c r="AP41" s="309"/>
      <c r="AQ41" s="309"/>
      <c r="AR41" s="310"/>
      <c r="AT41" s="195">
        <v>30</v>
      </c>
      <c r="AU41" s="308"/>
      <c r="AV41" s="309"/>
      <c r="AW41" s="309"/>
      <c r="AX41" s="309"/>
      <c r="AY41" s="309"/>
      <c r="AZ41" s="309">
        <v>34901.811666666697</v>
      </c>
      <c r="BA41" s="309">
        <v>69803.623333333293</v>
      </c>
      <c r="BB41" s="309">
        <v>34901.811666666697</v>
      </c>
      <c r="BC41" s="309">
        <v>69803.623333333293</v>
      </c>
      <c r="BD41" s="309"/>
      <c r="BE41" s="309"/>
      <c r="BF41" s="309"/>
      <c r="BG41" s="310"/>
    </row>
    <row r="42" spans="1:59">
      <c r="A42" s="195">
        <v>31</v>
      </c>
      <c r="B42" s="308"/>
      <c r="C42" s="309"/>
      <c r="D42" s="309"/>
      <c r="E42" s="309"/>
      <c r="F42" s="309">
        <v>8344736.3828108096</v>
      </c>
      <c r="G42" s="309">
        <v>11126315.177081101</v>
      </c>
      <c r="H42" s="309">
        <v>23643419.751297299</v>
      </c>
      <c r="I42" s="309">
        <v>6953946.9856756805</v>
      </c>
      <c r="J42" s="309">
        <v>1390789.3971351399</v>
      </c>
      <c r="K42" s="309"/>
      <c r="L42" s="309"/>
      <c r="M42" s="309"/>
      <c r="N42" s="310"/>
      <c r="P42" s="195">
        <v>31</v>
      </c>
      <c r="Q42" s="308"/>
      <c r="R42" s="309"/>
      <c r="S42" s="309"/>
      <c r="T42" s="309"/>
      <c r="U42" s="309">
        <v>840848.576</v>
      </c>
      <c r="V42" s="309">
        <v>5045091.4560000002</v>
      </c>
      <c r="W42" s="309">
        <v>10090182.912</v>
      </c>
      <c r="X42" s="309">
        <v>7567637.1840000004</v>
      </c>
      <c r="Y42" s="309">
        <v>1681697.152</v>
      </c>
      <c r="Z42" s="309"/>
      <c r="AA42" s="309"/>
      <c r="AB42" s="309"/>
      <c r="AC42" s="310"/>
      <c r="AE42" s="195">
        <v>31</v>
      </c>
      <c r="AF42" s="308"/>
      <c r="AG42" s="309"/>
      <c r="AH42" s="309"/>
      <c r="AI42" s="309"/>
      <c r="AJ42" s="309"/>
      <c r="AK42" s="309"/>
      <c r="AL42" s="309">
        <v>1219919.85416667</v>
      </c>
      <c r="AM42" s="309">
        <v>1463903.825</v>
      </c>
      <c r="AN42" s="309">
        <v>243983.97083333301</v>
      </c>
      <c r="AO42" s="309"/>
      <c r="AP42" s="309"/>
      <c r="AQ42" s="309"/>
      <c r="AR42" s="310"/>
      <c r="AT42" s="195">
        <v>31</v>
      </c>
      <c r="AU42" s="308"/>
      <c r="AV42" s="309"/>
      <c r="AW42" s="309"/>
      <c r="AX42" s="309"/>
      <c r="AY42" s="309"/>
      <c r="AZ42" s="309">
        <v>85324.876470588206</v>
      </c>
      <c r="BA42" s="309">
        <v>341299.505882353</v>
      </c>
      <c r="BB42" s="309">
        <v>170649.752941176</v>
      </c>
      <c r="BC42" s="309">
        <v>85324.876470588206</v>
      </c>
      <c r="BD42" s="309">
        <v>42662.438235294103</v>
      </c>
      <c r="BE42" s="309"/>
      <c r="BF42" s="309"/>
      <c r="BG42" s="310"/>
    </row>
    <row r="43" spans="1:59">
      <c r="A43" s="195">
        <v>32</v>
      </c>
      <c r="B43" s="308"/>
      <c r="C43" s="309"/>
      <c r="D43" s="309"/>
      <c r="E43" s="309"/>
      <c r="F43" s="309"/>
      <c r="G43" s="309">
        <v>9563016.6943181809</v>
      </c>
      <c r="H43" s="309">
        <v>12295307.1784091</v>
      </c>
      <c r="I43" s="309">
        <v>5464580.9681818197</v>
      </c>
      <c r="J43" s="309">
        <v>2732290.4840909098</v>
      </c>
      <c r="K43" s="309"/>
      <c r="L43" s="309"/>
      <c r="M43" s="309"/>
      <c r="N43" s="310"/>
      <c r="P43" s="195">
        <v>32</v>
      </c>
      <c r="Q43" s="308"/>
      <c r="R43" s="309"/>
      <c r="S43" s="309"/>
      <c r="T43" s="309"/>
      <c r="U43" s="309"/>
      <c r="V43" s="309">
        <v>736760.811842105</v>
      </c>
      <c r="W43" s="309">
        <v>6630847.30657895</v>
      </c>
      <c r="X43" s="309">
        <v>10314651.365789499</v>
      </c>
      <c r="Y43" s="309">
        <v>7367608.1184210498</v>
      </c>
      <c r="Z43" s="309">
        <v>2947043.24736842</v>
      </c>
      <c r="AA43" s="309"/>
      <c r="AB43" s="309"/>
      <c r="AC43" s="310"/>
      <c r="AE43" s="195">
        <v>32</v>
      </c>
      <c r="AF43" s="308"/>
      <c r="AG43" s="309"/>
      <c r="AH43" s="309"/>
      <c r="AI43" s="309"/>
      <c r="AJ43" s="309"/>
      <c r="AK43" s="309">
        <v>252594.19076923101</v>
      </c>
      <c r="AL43" s="309">
        <v>1010376.7630769199</v>
      </c>
      <c r="AM43" s="309">
        <v>757782.57230769203</v>
      </c>
      <c r="AN43" s="309">
        <v>1010376.7630769199</v>
      </c>
      <c r="AO43" s="309">
        <v>252594.19076923101</v>
      </c>
      <c r="AP43" s="309"/>
      <c r="AQ43" s="309"/>
      <c r="AR43" s="310"/>
      <c r="AT43" s="195">
        <v>32</v>
      </c>
      <c r="AU43" s="308"/>
      <c r="AV43" s="309"/>
      <c r="AW43" s="309"/>
      <c r="AX43" s="309"/>
      <c r="AY43" s="309"/>
      <c r="AZ43" s="309">
        <v>250302.336774194</v>
      </c>
      <c r="BA43" s="309">
        <v>250302.336774194</v>
      </c>
      <c r="BB43" s="309">
        <v>500604.67354838701</v>
      </c>
      <c r="BC43" s="309">
        <v>292019.39290322602</v>
      </c>
      <c r="BD43" s="309"/>
      <c r="BE43" s="309"/>
      <c r="BF43" s="309"/>
      <c r="BG43" s="310"/>
    </row>
    <row r="44" spans="1:59">
      <c r="A44" s="195">
        <v>33</v>
      </c>
      <c r="B44" s="308"/>
      <c r="C44" s="309"/>
      <c r="D44" s="309"/>
      <c r="E44" s="309"/>
      <c r="F44" s="309"/>
      <c r="G44" s="309">
        <v>5299181.2488749996</v>
      </c>
      <c r="H44" s="309">
        <v>8831968.7481249999</v>
      </c>
      <c r="I44" s="309">
        <v>12364756.247375</v>
      </c>
      <c r="J44" s="309">
        <v>1766393.7496249999</v>
      </c>
      <c r="K44" s="309"/>
      <c r="L44" s="309"/>
      <c r="M44" s="309"/>
      <c r="N44" s="310"/>
      <c r="P44" s="195">
        <v>33</v>
      </c>
      <c r="Q44" s="308"/>
      <c r="R44" s="309"/>
      <c r="S44" s="309"/>
      <c r="T44" s="309"/>
      <c r="U44" s="309"/>
      <c r="V44" s="309">
        <v>3529571.06</v>
      </c>
      <c r="W44" s="309">
        <v>2647178.2949999999</v>
      </c>
      <c r="X44" s="309">
        <v>13235891.475</v>
      </c>
      <c r="Y44" s="309">
        <v>5294356.59</v>
      </c>
      <c r="Z44" s="309">
        <v>2647178.2949999999</v>
      </c>
      <c r="AA44" s="309">
        <v>882392.76500000001</v>
      </c>
      <c r="AB44" s="309"/>
      <c r="AC44" s="310"/>
      <c r="AE44" s="195">
        <v>33</v>
      </c>
      <c r="AF44" s="308"/>
      <c r="AG44" s="309"/>
      <c r="AH44" s="309"/>
      <c r="AI44" s="309"/>
      <c r="AJ44" s="309"/>
      <c r="AK44" s="309">
        <v>222559.547692308</v>
      </c>
      <c r="AL44" s="309">
        <v>667678.64307692298</v>
      </c>
      <c r="AM44" s="309">
        <v>1335357.2861538499</v>
      </c>
      <c r="AN44" s="309">
        <v>667678.64307692298</v>
      </c>
      <c r="AO44" s="309"/>
      <c r="AP44" s="309"/>
      <c r="AQ44" s="309"/>
      <c r="AR44" s="310"/>
      <c r="AT44" s="195">
        <v>33</v>
      </c>
      <c r="AU44" s="308"/>
      <c r="AV44" s="309"/>
      <c r="AW44" s="309"/>
      <c r="AX44" s="309"/>
      <c r="AY44" s="309"/>
      <c r="AZ44" s="309">
        <v>134702.726326531</v>
      </c>
      <c r="BA44" s="309">
        <v>718414.54040816298</v>
      </c>
      <c r="BB44" s="309">
        <v>1032720.90183673</v>
      </c>
      <c r="BC44" s="309">
        <v>269405.45265306102</v>
      </c>
      <c r="BD44" s="309">
        <v>44900.908775510201</v>
      </c>
      <c r="BE44" s="309"/>
      <c r="BF44" s="309"/>
      <c r="BG44" s="310"/>
    </row>
    <row r="45" spans="1:59">
      <c r="A45" s="195">
        <v>34</v>
      </c>
      <c r="B45" s="308"/>
      <c r="C45" s="309"/>
      <c r="D45" s="309"/>
      <c r="E45" s="309"/>
      <c r="F45" s="309"/>
      <c r="G45" s="309"/>
      <c r="H45" s="309">
        <v>10193793.8308235</v>
      </c>
      <c r="I45" s="309">
        <v>10193793.8308235</v>
      </c>
      <c r="J45" s="309">
        <v>6795862.5538823502</v>
      </c>
      <c r="K45" s="309">
        <v>1698965.6384705901</v>
      </c>
      <c r="L45" s="309"/>
      <c r="M45" s="309"/>
      <c r="N45" s="310"/>
      <c r="P45" s="195">
        <v>34</v>
      </c>
      <c r="Q45" s="308"/>
      <c r="R45" s="309"/>
      <c r="S45" s="309"/>
      <c r="T45" s="309"/>
      <c r="U45" s="309"/>
      <c r="V45" s="309">
        <v>5592147.2163157901</v>
      </c>
      <c r="W45" s="309">
        <v>6524171.7523684204</v>
      </c>
      <c r="X45" s="309">
        <v>17708466.184999999</v>
      </c>
      <c r="Y45" s="309">
        <v>932024.53605263098</v>
      </c>
      <c r="Z45" s="309">
        <v>1864049.0721052601</v>
      </c>
      <c r="AA45" s="309">
        <v>2796073.6081578899</v>
      </c>
      <c r="AB45" s="309"/>
      <c r="AC45" s="310"/>
      <c r="AE45" s="195">
        <v>34</v>
      </c>
      <c r="AF45" s="308"/>
      <c r="AG45" s="309"/>
      <c r="AH45" s="309"/>
      <c r="AI45" s="309"/>
      <c r="AJ45" s="309"/>
      <c r="AK45" s="309">
        <v>474019.12</v>
      </c>
      <c r="AL45" s="309">
        <v>711028.68</v>
      </c>
      <c r="AM45" s="309">
        <v>711028.68</v>
      </c>
      <c r="AN45" s="309">
        <v>1185047.8</v>
      </c>
      <c r="AO45" s="309">
        <v>711028.68</v>
      </c>
      <c r="AP45" s="309"/>
      <c r="AQ45" s="309"/>
      <c r="AR45" s="310"/>
      <c r="AT45" s="195">
        <v>34</v>
      </c>
      <c r="AU45" s="308"/>
      <c r="AV45" s="309"/>
      <c r="AW45" s="309"/>
      <c r="AX45" s="309"/>
      <c r="AY45" s="309"/>
      <c r="AZ45" s="309">
        <v>89220.669830508501</v>
      </c>
      <c r="BA45" s="309">
        <v>802986.02847457596</v>
      </c>
      <c r="BB45" s="309">
        <v>1159868.70779661</v>
      </c>
      <c r="BC45" s="309">
        <v>446103.34915254201</v>
      </c>
      <c r="BD45" s="309">
        <v>89220.669830508501</v>
      </c>
      <c r="BE45" s="309">
        <v>44610.3349152542</v>
      </c>
      <c r="BF45" s="309"/>
      <c r="BG45" s="310"/>
    </row>
    <row r="46" spans="1:59">
      <c r="A46" s="195">
        <v>35</v>
      </c>
      <c r="B46" s="308"/>
      <c r="C46" s="309"/>
      <c r="D46" s="309"/>
      <c r="E46" s="309"/>
      <c r="F46" s="309"/>
      <c r="G46" s="309"/>
      <c r="H46" s="309">
        <v>4741973.0777647104</v>
      </c>
      <c r="I46" s="309">
        <v>14225919.2332941</v>
      </c>
      <c r="J46" s="309">
        <v>7903288.46294118</v>
      </c>
      <c r="K46" s="309"/>
      <c r="L46" s="309"/>
      <c r="M46" s="309"/>
      <c r="N46" s="310"/>
      <c r="P46" s="195">
        <v>35</v>
      </c>
      <c r="Q46" s="308"/>
      <c r="R46" s="309"/>
      <c r="S46" s="309"/>
      <c r="T46" s="309"/>
      <c r="U46" s="309"/>
      <c r="V46" s="309">
        <v>992234.212553191</v>
      </c>
      <c r="W46" s="309">
        <v>9922342.1255319193</v>
      </c>
      <c r="X46" s="309">
        <v>26790323.738936201</v>
      </c>
      <c r="Y46" s="309">
        <v>5953405.2753191497</v>
      </c>
      <c r="Z46" s="309">
        <v>1984468.4251063799</v>
      </c>
      <c r="AA46" s="309">
        <v>992234.212553191</v>
      </c>
      <c r="AB46" s="309"/>
      <c r="AC46" s="310"/>
      <c r="AE46" s="195">
        <v>35</v>
      </c>
      <c r="AF46" s="308"/>
      <c r="AG46" s="309"/>
      <c r="AH46" s="309"/>
      <c r="AI46" s="309"/>
      <c r="AJ46" s="309"/>
      <c r="AK46" s="309"/>
      <c r="AL46" s="309">
        <v>681676.60210526304</v>
      </c>
      <c r="AM46" s="309">
        <v>1704191.50526316</v>
      </c>
      <c r="AN46" s="309">
        <v>2045029.8063157899</v>
      </c>
      <c r="AO46" s="309">
        <v>2045029.8063157899</v>
      </c>
      <c r="AP46" s="309"/>
      <c r="AQ46" s="309"/>
      <c r="AR46" s="310"/>
      <c r="AT46" s="195">
        <v>35</v>
      </c>
      <c r="AU46" s="308"/>
      <c r="AV46" s="309"/>
      <c r="AW46" s="309"/>
      <c r="AX46" s="309"/>
      <c r="AY46" s="309"/>
      <c r="AZ46" s="309">
        <v>176812.87849056601</v>
      </c>
      <c r="BA46" s="309">
        <v>795657.95320754696</v>
      </c>
      <c r="BB46" s="309">
        <v>928267.61207547202</v>
      </c>
      <c r="BC46" s="309">
        <v>397828.97660377302</v>
      </c>
      <c r="BD46" s="309"/>
      <c r="BE46" s="309">
        <v>44203.219622641504</v>
      </c>
      <c r="BF46" s="309"/>
      <c r="BG46" s="310"/>
    </row>
    <row r="47" spans="1:59">
      <c r="A47" s="195">
        <v>36</v>
      </c>
      <c r="B47" s="308"/>
      <c r="C47" s="309"/>
      <c r="D47" s="309"/>
      <c r="E47" s="309"/>
      <c r="F47" s="309"/>
      <c r="G47" s="309"/>
      <c r="H47" s="309">
        <v>3534481.97657143</v>
      </c>
      <c r="I47" s="309">
        <v>5301722.9648571396</v>
      </c>
      <c r="J47" s="309">
        <v>7952584.4472857099</v>
      </c>
      <c r="K47" s="309">
        <v>1767240.9882857101</v>
      </c>
      <c r="L47" s="309"/>
      <c r="M47" s="309"/>
      <c r="N47" s="310"/>
      <c r="P47" s="195">
        <v>36</v>
      </c>
      <c r="Q47" s="308"/>
      <c r="R47" s="309"/>
      <c r="S47" s="309"/>
      <c r="T47" s="309"/>
      <c r="U47" s="309"/>
      <c r="V47" s="309"/>
      <c r="W47" s="309">
        <v>8574314.7577777803</v>
      </c>
      <c r="X47" s="309">
        <v>11789682.791944399</v>
      </c>
      <c r="Y47" s="309">
        <v>7502525.4130555596</v>
      </c>
      <c r="Z47" s="309">
        <v>7502525.4130555596</v>
      </c>
      <c r="AA47" s="309">
        <v>2143578.68944444</v>
      </c>
      <c r="AB47" s="309">
        <v>1071789.34472222</v>
      </c>
      <c r="AC47" s="310"/>
      <c r="AE47" s="195">
        <v>36</v>
      </c>
      <c r="AF47" s="308"/>
      <c r="AG47" s="309"/>
      <c r="AH47" s="309"/>
      <c r="AI47" s="309"/>
      <c r="AJ47" s="309"/>
      <c r="AK47" s="309">
        <v>282214.19068965502</v>
      </c>
      <c r="AL47" s="309">
        <v>564428.38137931004</v>
      </c>
      <c r="AM47" s="309">
        <v>2822141.9068965502</v>
      </c>
      <c r="AN47" s="309">
        <v>2257713.5255172402</v>
      </c>
      <c r="AO47" s="309">
        <v>1693285.1441379299</v>
      </c>
      <c r="AP47" s="309">
        <v>564428.38137931004</v>
      </c>
      <c r="AQ47" s="309"/>
      <c r="AR47" s="310"/>
      <c r="AT47" s="195">
        <v>36</v>
      </c>
      <c r="AU47" s="308"/>
      <c r="AV47" s="309"/>
      <c r="AW47" s="309"/>
      <c r="AX47" s="309"/>
      <c r="AY47" s="309"/>
      <c r="AZ47" s="309"/>
      <c r="BA47" s="309">
        <v>212644.29021276601</v>
      </c>
      <c r="BB47" s="309">
        <v>1382187.88638298</v>
      </c>
      <c r="BC47" s="309">
        <v>478449.652978723</v>
      </c>
      <c r="BD47" s="309">
        <v>372127.50787233998</v>
      </c>
      <c r="BE47" s="309"/>
      <c r="BF47" s="309">
        <v>53161.072553191501</v>
      </c>
      <c r="BG47" s="310"/>
    </row>
    <row r="48" spans="1:59">
      <c r="A48" s="195">
        <v>37</v>
      </c>
      <c r="B48" s="308"/>
      <c r="C48" s="309"/>
      <c r="D48" s="309"/>
      <c r="E48" s="309"/>
      <c r="F48" s="309"/>
      <c r="G48" s="309"/>
      <c r="H48" s="309">
        <v>1360908.7660714299</v>
      </c>
      <c r="I48" s="309">
        <v>5897271.3196428604</v>
      </c>
      <c r="J48" s="309">
        <v>3629090.0428571398</v>
      </c>
      <c r="K48" s="309">
        <v>1360908.7660714299</v>
      </c>
      <c r="L48" s="309">
        <v>453636.255357143</v>
      </c>
      <c r="M48" s="309"/>
      <c r="N48" s="310"/>
      <c r="P48" s="195">
        <v>37</v>
      </c>
      <c r="Q48" s="308"/>
      <c r="R48" s="309"/>
      <c r="S48" s="309"/>
      <c r="T48" s="309"/>
      <c r="U48" s="309"/>
      <c r="V48" s="309"/>
      <c r="W48" s="309">
        <v>3054638.0671875002</v>
      </c>
      <c r="X48" s="309">
        <v>9163914.2015624996</v>
      </c>
      <c r="Y48" s="309">
        <v>11200339.5796875</v>
      </c>
      <c r="Z48" s="309">
        <v>7127488.8234374998</v>
      </c>
      <c r="AA48" s="309">
        <v>2036425.378125</v>
      </c>
      <c r="AB48" s="309"/>
      <c r="AC48" s="310"/>
      <c r="AE48" s="195">
        <v>37</v>
      </c>
      <c r="AF48" s="308"/>
      <c r="AG48" s="309"/>
      <c r="AH48" s="309"/>
      <c r="AI48" s="309"/>
      <c r="AJ48" s="309"/>
      <c r="AK48" s="309"/>
      <c r="AL48" s="309"/>
      <c r="AM48" s="309">
        <v>2039772.1108333301</v>
      </c>
      <c r="AN48" s="309">
        <v>3205356.1741666701</v>
      </c>
      <c r="AO48" s="309">
        <v>874188.04749999999</v>
      </c>
      <c r="AP48" s="309">
        <v>582792.03166666697</v>
      </c>
      <c r="AQ48" s="309">
        <v>291396.01583333302</v>
      </c>
      <c r="AR48" s="310"/>
      <c r="AT48" s="195">
        <v>37</v>
      </c>
      <c r="AU48" s="308"/>
      <c r="AV48" s="309"/>
      <c r="AW48" s="309"/>
      <c r="AX48" s="309"/>
      <c r="AY48" s="309"/>
      <c r="AZ48" s="309"/>
      <c r="BA48" s="309">
        <v>695474.59384615405</v>
      </c>
      <c r="BB48" s="309">
        <v>1004574.41333333</v>
      </c>
      <c r="BC48" s="309">
        <v>1159124.3230769199</v>
      </c>
      <c r="BD48" s="309">
        <v>77274.954871794893</v>
      </c>
      <c r="BE48" s="309">
        <v>77274.954871794893</v>
      </c>
      <c r="BF48" s="309"/>
      <c r="BG48" s="310"/>
    </row>
    <row r="49" spans="1:59">
      <c r="A49" s="195">
        <v>38</v>
      </c>
      <c r="B49" s="308"/>
      <c r="C49" s="309"/>
      <c r="D49" s="309"/>
      <c r="E49" s="309"/>
      <c r="F49" s="309"/>
      <c r="G49" s="309"/>
      <c r="H49" s="309">
        <v>1824420.0158181801</v>
      </c>
      <c r="I49" s="309">
        <v>1824420.0158181801</v>
      </c>
      <c r="J49" s="309">
        <v>5473260.0474545397</v>
      </c>
      <c r="K49" s="309">
        <v>912210.00790909096</v>
      </c>
      <c r="L49" s="309"/>
      <c r="M49" s="309"/>
      <c r="N49" s="310"/>
      <c r="P49" s="195">
        <v>38</v>
      </c>
      <c r="Q49" s="308"/>
      <c r="R49" s="309"/>
      <c r="S49" s="309"/>
      <c r="T49" s="309"/>
      <c r="U49" s="309"/>
      <c r="V49" s="309"/>
      <c r="W49" s="309">
        <v>5016919.96</v>
      </c>
      <c r="X49" s="309">
        <v>6020303.9519999996</v>
      </c>
      <c r="Y49" s="309">
        <v>8027071.9359999998</v>
      </c>
      <c r="Z49" s="309">
        <v>5016919.96</v>
      </c>
      <c r="AA49" s="309">
        <v>1003383.992</v>
      </c>
      <c r="AB49" s="309"/>
      <c r="AC49" s="310"/>
      <c r="AE49" s="195">
        <v>38</v>
      </c>
      <c r="AF49" s="308"/>
      <c r="AG49" s="309"/>
      <c r="AH49" s="309"/>
      <c r="AI49" s="309"/>
      <c r="AJ49" s="309"/>
      <c r="AK49" s="309"/>
      <c r="AL49" s="309">
        <v>270625.69439999998</v>
      </c>
      <c r="AM49" s="309">
        <v>1082502.7775999999</v>
      </c>
      <c r="AN49" s="309">
        <v>2435631.2496000002</v>
      </c>
      <c r="AO49" s="309">
        <v>2165005.5551999998</v>
      </c>
      <c r="AP49" s="309">
        <v>270625.69439999998</v>
      </c>
      <c r="AQ49" s="309">
        <v>541251.38879999996</v>
      </c>
      <c r="AR49" s="310"/>
      <c r="AT49" s="195">
        <v>38</v>
      </c>
      <c r="AU49" s="308"/>
      <c r="AV49" s="309"/>
      <c r="AW49" s="309"/>
      <c r="AX49" s="309"/>
      <c r="AY49" s="309"/>
      <c r="AZ49" s="309">
        <v>123415.55821428599</v>
      </c>
      <c r="BA49" s="309"/>
      <c r="BB49" s="309">
        <v>740493.34928571398</v>
      </c>
      <c r="BC49" s="309">
        <v>1357571.14035714</v>
      </c>
      <c r="BD49" s="309">
        <v>740493.34928571398</v>
      </c>
      <c r="BE49" s="309">
        <v>493662.23285714298</v>
      </c>
      <c r="BF49" s="309"/>
      <c r="BG49" s="310"/>
    </row>
    <row r="50" spans="1:59">
      <c r="A50" s="195">
        <v>39</v>
      </c>
      <c r="B50" s="308"/>
      <c r="C50" s="309"/>
      <c r="D50" s="309"/>
      <c r="E50" s="309"/>
      <c r="F50" s="309"/>
      <c r="G50" s="309"/>
      <c r="H50" s="309"/>
      <c r="I50" s="309">
        <v>2664446.17597222</v>
      </c>
      <c r="J50" s="309">
        <v>5328892.35194444</v>
      </c>
      <c r="K50" s="309">
        <v>532889.23519444396</v>
      </c>
      <c r="L50" s="309">
        <v>1065778.47038889</v>
      </c>
      <c r="M50" s="309"/>
      <c r="N50" s="310"/>
      <c r="P50" s="195">
        <v>39</v>
      </c>
      <c r="Q50" s="308"/>
      <c r="R50" s="309"/>
      <c r="S50" s="309"/>
      <c r="T50" s="309"/>
      <c r="U50" s="309"/>
      <c r="V50" s="309"/>
      <c r="W50" s="309">
        <v>986350.88294117595</v>
      </c>
      <c r="X50" s="309">
        <v>1972701.76588235</v>
      </c>
      <c r="Y50" s="309">
        <v>3945403.5317647099</v>
      </c>
      <c r="Z50" s="309">
        <v>2959052.6488235299</v>
      </c>
      <c r="AA50" s="309">
        <v>5918105.2976470599</v>
      </c>
      <c r="AB50" s="309">
        <v>986350.88294117595</v>
      </c>
      <c r="AC50" s="310"/>
      <c r="AE50" s="195">
        <v>39</v>
      </c>
      <c r="AF50" s="308"/>
      <c r="AG50" s="309"/>
      <c r="AH50" s="309"/>
      <c r="AI50" s="309"/>
      <c r="AJ50" s="309"/>
      <c r="AK50" s="309"/>
      <c r="AL50" s="309"/>
      <c r="AM50" s="309">
        <v>1072457.37894737</v>
      </c>
      <c r="AN50" s="309">
        <v>857965.90315789497</v>
      </c>
      <c r="AO50" s="309">
        <v>1501440.33052632</v>
      </c>
      <c r="AP50" s="309">
        <v>643474.42736842099</v>
      </c>
      <c r="AQ50" s="309"/>
      <c r="AR50" s="310"/>
      <c r="AT50" s="195">
        <v>39</v>
      </c>
      <c r="AU50" s="308"/>
      <c r="AV50" s="309"/>
      <c r="AW50" s="309"/>
      <c r="AX50" s="309"/>
      <c r="AY50" s="309"/>
      <c r="AZ50" s="309"/>
      <c r="BA50" s="309">
        <v>186027.69470588199</v>
      </c>
      <c r="BB50" s="309">
        <v>558083.08411764703</v>
      </c>
      <c r="BC50" s="309">
        <v>1302193.8629411799</v>
      </c>
      <c r="BD50" s="309">
        <v>558083.08411764703</v>
      </c>
      <c r="BE50" s="309">
        <v>186027.69470588199</v>
      </c>
      <c r="BF50" s="309">
        <v>372055.38941176498</v>
      </c>
      <c r="BG50" s="310"/>
    </row>
    <row r="51" spans="1:59">
      <c r="A51" s="195">
        <v>40</v>
      </c>
      <c r="B51" s="308"/>
      <c r="C51" s="309"/>
      <c r="D51" s="309"/>
      <c r="E51" s="309"/>
      <c r="F51" s="309"/>
      <c r="G51" s="309"/>
      <c r="H51" s="309">
        <v>618679.941666667</v>
      </c>
      <c r="I51" s="309">
        <v>618679.941666667</v>
      </c>
      <c r="J51" s="309">
        <v>2474719.7666666699</v>
      </c>
      <c r="K51" s="309">
        <v>618679.941666667</v>
      </c>
      <c r="L51" s="309">
        <v>3093399.7083333302</v>
      </c>
      <c r="M51" s="309"/>
      <c r="N51" s="310"/>
      <c r="P51" s="195">
        <v>40</v>
      </c>
      <c r="Q51" s="308"/>
      <c r="R51" s="309"/>
      <c r="S51" s="309"/>
      <c r="T51" s="309"/>
      <c r="U51" s="309"/>
      <c r="V51" s="309"/>
      <c r="W51" s="309"/>
      <c r="X51" s="309">
        <v>2810710.9615384601</v>
      </c>
      <c r="Y51" s="309">
        <v>2810710.9615384601</v>
      </c>
      <c r="Z51" s="309">
        <v>3747614.6153846201</v>
      </c>
      <c r="AA51" s="309">
        <v>1873807.3076923101</v>
      </c>
      <c r="AB51" s="309">
        <v>936903.65384615399</v>
      </c>
      <c r="AC51" s="310"/>
      <c r="AE51" s="195">
        <v>40</v>
      </c>
      <c r="AF51" s="308"/>
      <c r="AG51" s="309"/>
      <c r="AH51" s="309"/>
      <c r="AI51" s="309"/>
      <c r="AJ51" s="309"/>
      <c r="AK51" s="309"/>
      <c r="AL51" s="309">
        <v>222071.24</v>
      </c>
      <c r="AM51" s="309">
        <v>666213.72</v>
      </c>
      <c r="AN51" s="309">
        <v>1110356.2</v>
      </c>
      <c r="AO51" s="309">
        <v>1110356.2</v>
      </c>
      <c r="AP51" s="309">
        <v>1110356.2</v>
      </c>
      <c r="AQ51" s="309"/>
      <c r="AR51" s="310"/>
      <c r="AT51" s="195">
        <v>40</v>
      </c>
      <c r="AU51" s="308"/>
      <c r="AV51" s="309"/>
      <c r="AW51" s="309"/>
      <c r="AX51" s="309"/>
      <c r="AY51" s="309"/>
      <c r="AZ51" s="309"/>
      <c r="BA51" s="309"/>
      <c r="BB51" s="309">
        <v>191306.87</v>
      </c>
      <c r="BC51" s="309">
        <v>956534.35</v>
      </c>
      <c r="BD51" s="309">
        <v>573920.61</v>
      </c>
      <c r="BE51" s="309">
        <v>573920.61</v>
      </c>
      <c r="BF51" s="309">
        <v>191306.87</v>
      </c>
      <c r="BG51" s="310"/>
    </row>
    <row r="52" spans="1:59">
      <c r="A52" s="195">
        <v>41</v>
      </c>
      <c r="B52" s="308"/>
      <c r="C52" s="309"/>
      <c r="D52" s="309"/>
      <c r="E52" s="309"/>
      <c r="F52" s="309"/>
      <c r="G52" s="309"/>
      <c r="H52" s="309"/>
      <c r="I52" s="309">
        <v>1244328.9783749999</v>
      </c>
      <c r="J52" s="309">
        <v>622164.48918749997</v>
      </c>
      <c r="K52" s="309">
        <v>2488657.9567499999</v>
      </c>
      <c r="L52" s="309"/>
      <c r="M52" s="309">
        <v>622164.48918749997</v>
      </c>
      <c r="N52" s="310"/>
      <c r="P52" s="195">
        <v>41</v>
      </c>
      <c r="Q52" s="308"/>
      <c r="R52" s="309"/>
      <c r="S52" s="309"/>
      <c r="T52" s="309"/>
      <c r="U52" s="309"/>
      <c r="V52" s="309"/>
      <c r="W52" s="309"/>
      <c r="X52" s="309">
        <v>3191520.2250000001</v>
      </c>
      <c r="Y52" s="309"/>
      <c r="Z52" s="309">
        <v>3191520.2250000001</v>
      </c>
      <c r="AA52" s="309">
        <v>2127680.15</v>
      </c>
      <c r="AB52" s="309"/>
      <c r="AC52" s="310"/>
      <c r="AE52" s="195">
        <v>41</v>
      </c>
      <c r="AF52" s="308"/>
      <c r="AG52" s="309"/>
      <c r="AH52" s="309"/>
      <c r="AI52" s="309"/>
      <c r="AJ52" s="309"/>
      <c r="AK52" s="309"/>
      <c r="AL52" s="309"/>
      <c r="AM52" s="309">
        <v>712076.86714285705</v>
      </c>
      <c r="AN52" s="309">
        <v>237358.95571428601</v>
      </c>
      <c r="AO52" s="309">
        <v>1186794.7785714299</v>
      </c>
      <c r="AP52" s="309">
        <v>474717.91142857098</v>
      </c>
      <c r="AQ52" s="309">
        <v>474717.91142857098</v>
      </c>
      <c r="AR52" s="310">
        <v>237358.95571428601</v>
      </c>
      <c r="AT52" s="195">
        <v>41</v>
      </c>
      <c r="AU52" s="308"/>
      <c r="AV52" s="309"/>
      <c r="AW52" s="309"/>
      <c r="AX52" s="309"/>
      <c r="AY52" s="309"/>
      <c r="AZ52" s="309"/>
      <c r="BA52" s="309"/>
      <c r="BB52" s="309">
        <v>384705.28714285698</v>
      </c>
      <c r="BC52" s="309">
        <v>512940.38285714301</v>
      </c>
      <c r="BD52" s="309">
        <v>641175.47857142903</v>
      </c>
      <c r="BE52" s="309">
        <v>128235.095714286</v>
      </c>
      <c r="BF52" s="309">
        <v>128235.095714286</v>
      </c>
      <c r="BG52" s="310"/>
    </row>
    <row r="53" spans="1:59">
      <c r="A53" s="195">
        <v>42</v>
      </c>
      <c r="B53" s="308"/>
      <c r="C53" s="309"/>
      <c r="D53" s="309"/>
      <c r="E53" s="309"/>
      <c r="F53" s="309"/>
      <c r="G53" s="309"/>
      <c r="H53" s="309"/>
      <c r="I53" s="309"/>
      <c r="J53" s="309">
        <v>2251442.96</v>
      </c>
      <c r="K53" s="309">
        <v>2251442.96</v>
      </c>
      <c r="L53" s="309"/>
      <c r="M53" s="309"/>
      <c r="N53" s="310"/>
      <c r="P53" s="195">
        <v>42</v>
      </c>
      <c r="Q53" s="308"/>
      <c r="R53" s="309"/>
      <c r="S53" s="309"/>
      <c r="T53" s="309"/>
      <c r="U53" s="309"/>
      <c r="V53" s="309"/>
      <c r="W53" s="309"/>
      <c r="X53" s="309"/>
      <c r="Y53" s="309">
        <v>2133349.0425</v>
      </c>
      <c r="Z53" s="309">
        <v>2133349.0425</v>
      </c>
      <c r="AA53" s="309">
        <v>711116.34750000003</v>
      </c>
      <c r="AB53" s="309">
        <v>711116.34750000003</v>
      </c>
      <c r="AC53" s="310"/>
      <c r="AE53" s="195">
        <v>42</v>
      </c>
      <c r="AF53" s="308"/>
      <c r="AG53" s="309"/>
      <c r="AH53" s="309"/>
      <c r="AI53" s="309"/>
      <c r="AJ53" s="309"/>
      <c r="AK53" s="309"/>
      <c r="AL53" s="309"/>
      <c r="AM53" s="309">
        <v>206672.13923076901</v>
      </c>
      <c r="AN53" s="309">
        <v>413344.27846153802</v>
      </c>
      <c r="AO53" s="309">
        <v>826688.55692307698</v>
      </c>
      <c r="AP53" s="309">
        <v>826688.55692307698</v>
      </c>
      <c r="AQ53" s="309">
        <v>413344.27846153802</v>
      </c>
      <c r="AR53" s="310"/>
      <c r="AT53" s="195">
        <v>42</v>
      </c>
      <c r="AU53" s="308"/>
      <c r="AV53" s="309"/>
      <c r="AW53" s="309"/>
      <c r="AX53" s="309"/>
      <c r="AY53" s="309"/>
      <c r="AZ53" s="309"/>
      <c r="BA53" s="309"/>
      <c r="BB53" s="309"/>
      <c r="BC53" s="309">
        <v>492708.81363636401</v>
      </c>
      <c r="BD53" s="309">
        <v>197083.52545454499</v>
      </c>
      <c r="BE53" s="309">
        <v>394167.05090909102</v>
      </c>
      <c r="BF53" s="309"/>
      <c r="BG53" s="310"/>
    </row>
    <row r="54" spans="1:59">
      <c r="A54" s="195">
        <v>43</v>
      </c>
      <c r="B54" s="308"/>
      <c r="C54" s="309"/>
      <c r="D54" s="309"/>
      <c r="E54" s="309"/>
      <c r="F54" s="309"/>
      <c r="G54" s="309"/>
      <c r="H54" s="309"/>
      <c r="I54" s="309"/>
      <c r="J54" s="309"/>
      <c r="K54" s="309">
        <v>3198936.07</v>
      </c>
      <c r="L54" s="309"/>
      <c r="M54" s="309"/>
      <c r="N54" s="310"/>
      <c r="P54" s="195">
        <v>43</v>
      </c>
      <c r="Q54" s="308"/>
      <c r="R54" s="309"/>
      <c r="S54" s="309"/>
      <c r="T54" s="309"/>
      <c r="U54" s="309"/>
      <c r="V54" s="309"/>
      <c r="W54" s="309">
        <v>966333.11</v>
      </c>
      <c r="X54" s="309">
        <v>966333.11</v>
      </c>
      <c r="Y54" s="309"/>
      <c r="Z54" s="309"/>
      <c r="AA54" s="309">
        <v>1932666.22</v>
      </c>
      <c r="AB54" s="309"/>
      <c r="AC54" s="310"/>
      <c r="AE54" s="195">
        <v>43</v>
      </c>
      <c r="AF54" s="308"/>
      <c r="AG54" s="309"/>
      <c r="AH54" s="309"/>
      <c r="AI54" s="309"/>
      <c r="AJ54" s="309"/>
      <c r="AK54" s="309"/>
      <c r="AL54" s="309"/>
      <c r="AM54" s="309">
        <v>192798.27249999999</v>
      </c>
      <c r="AN54" s="309">
        <v>385596.54499999998</v>
      </c>
      <c r="AO54" s="309">
        <v>578394.8175</v>
      </c>
      <c r="AP54" s="309">
        <v>578394.8175</v>
      </c>
      <c r="AQ54" s="309">
        <v>578394.8175</v>
      </c>
      <c r="AR54" s="310"/>
      <c r="AT54" s="195">
        <v>43</v>
      </c>
      <c r="AU54" s="308"/>
      <c r="AV54" s="309"/>
      <c r="AW54" s="309"/>
      <c r="AX54" s="309"/>
      <c r="AY54" s="309"/>
      <c r="AZ54" s="309"/>
      <c r="BA54" s="309"/>
      <c r="BB54" s="309"/>
      <c r="BC54" s="309">
        <v>340947.82545454497</v>
      </c>
      <c r="BD54" s="309">
        <v>511421.73818181799</v>
      </c>
      <c r="BE54" s="309"/>
      <c r="BF54" s="309">
        <v>85236.956363636404</v>
      </c>
      <c r="BG54" s="310"/>
    </row>
    <row r="55" spans="1:59">
      <c r="A55" s="195">
        <v>44</v>
      </c>
      <c r="B55" s="308"/>
      <c r="C55" s="309"/>
      <c r="D55" s="309"/>
      <c r="E55" s="309"/>
      <c r="F55" s="309"/>
      <c r="G55" s="309"/>
      <c r="H55" s="309"/>
      <c r="I55" s="309"/>
      <c r="J55" s="309"/>
      <c r="K55" s="309">
        <v>1175788.865</v>
      </c>
      <c r="L55" s="309"/>
      <c r="M55" s="309">
        <v>1175788.865</v>
      </c>
      <c r="N55" s="310"/>
      <c r="P55" s="195">
        <v>44</v>
      </c>
      <c r="Q55" s="308"/>
      <c r="R55" s="309"/>
      <c r="S55" s="309"/>
      <c r="T55" s="309"/>
      <c r="U55" s="309"/>
      <c r="V55" s="309"/>
      <c r="W55" s="309"/>
      <c r="X55" s="309"/>
      <c r="Y55" s="309"/>
      <c r="Z55" s="309">
        <v>1939593.63</v>
      </c>
      <c r="AA55" s="309">
        <v>646531.21</v>
      </c>
      <c r="AB55" s="309"/>
      <c r="AC55" s="310"/>
      <c r="AE55" s="195">
        <v>44</v>
      </c>
      <c r="AF55" s="308"/>
      <c r="AG55" s="309"/>
      <c r="AH55" s="309"/>
      <c r="AI55" s="309"/>
      <c r="AJ55" s="309"/>
      <c r="AK55" s="309"/>
      <c r="AL55" s="309"/>
      <c r="AM55" s="309">
        <v>190710.454</v>
      </c>
      <c r="AN55" s="309">
        <v>381420.908</v>
      </c>
      <c r="AO55" s="309">
        <v>953552.27</v>
      </c>
      <c r="AP55" s="309">
        <v>190710.454</v>
      </c>
      <c r="AQ55" s="309">
        <v>190710.454</v>
      </c>
      <c r="AR55" s="310"/>
      <c r="AT55" s="195">
        <v>44</v>
      </c>
      <c r="AU55" s="308"/>
      <c r="AV55" s="309"/>
      <c r="AW55" s="309"/>
      <c r="AX55" s="309"/>
      <c r="AY55" s="309"/>
      <c r="AZ55" s="309"/>
      <c r="BA55" s="309"/>
      <c r="BB55" s="309"/>
      <c r="BC55" s="309">
        <v>76071.1371428571</v>
      </c>
      <c r="BD55" s="309">
        <v>228213.41142857101</v>
      </c>
      <c r="BE55" s="309">
        <v>152142.274285714</v>
      </c>
      <c r="BF55" s="309">
        <v>76071.1371428571</v>
      </c>
      <c r="BG55" s="310"/>
    </row>
    <row r="56" spans="1:59">
      <c r="A56" s="195">
        <v>45</v>
      </c>
      <c r="B56" s="308"/>
      <c r="C56" s="309"/>
      <c r="D56" s="309"/>
      <c r="E56" s="309"/>
      <c r="F56" s="309"/>
      <c r="G56" s="309"/>
      <c r="H56" s="309"/>
      <c r="I56" s="309"/>
      <c r="J56" s="309"/>
      <c r="K56" s="309"/>
      <c r="L56" s="309">
        <v>1392858.41</v>
      </c>
      <c r="M56" s="309"/>
      <c r="N56" s="310"/>
      <c r="P56" s="195">
        <v>45</v>
      </c>
      <c r="Q56" s="308"/>
      <c r="R56" s="309"/>
      <c r="S56" s="309"/>
      <c r="T56" s="309"/>
      <c r="U56" s="309"/>
      <c r="V56" s="309"/>
      <c r="W56" s="309"/>
      <c r="X56" s="309"/>
      <c r="Y56" s="309">
        <v>907103.16</v>
      </c>
      <c r="Z56" s="309"/>
      <c r="AA56" s="309">
        <v>907103.16</v>
      </c>
      <c r="AB56" s="309"/>
      <c r="AC56" s="310"/>
      <c r="AE56" s="195">
        <v>45</v>
      </c>
      <c r="AF56" s="308"/>
      <c r="AG56" s="309"/>
      <c r="AH56" s="309"/>
      <c r="AI56" s="309"/>
      <c r="AJ56" s="309"/>
      <c r="AK56" s="309"/>
      <c r="AL56" s="309"/>
      <c r="AM56" s="309"/>
      <c r="AN56" s="309">
        <v>182599.14499999999</v>
      </c>
      <c r="AO56" s="309">
        <v>365198.29</v>
      </c>
      <c r="AP56" s="309">
        <v>730396.58</v>
      </c>
      <c r="AQ56" s="309">
        <v>182599.14499999999</v>
      </c>
      <c r="AR56" s="310"/>
      <c r="AT56" s="195">
        <v>45</v>
      </c>
      <c r="AU56" s="308"/>
      <c r="AV56" s="309"/>
      <c r="AW56" s="309"/>
      <c r="AX56" s="309"/>
      <c r="AY56" s="309"/>
      <c r="AZ56" s="309"/>
      <c r="BA56" s="309"/>
      <c r="BB56" s="309"/>
      <c r="BC56" s="309"/>
      <c r="BD56" s="309">
        <v>225825.82500000001</v>
      </c>
      <c r="BE56" s="309"/>
      <c r="BF56" s="309">
        <v>75275.274999999994</v>
      </c>
      <c r="BG56" s="310"/>
    </row>
    <row r="57" spans="1:59">
      <c r="A57" s="195">
        <v>46</v>
      </c>
      <c r="B57" s="308"/>
      <c r="C57" s="309"/>
      <c r="D57" s="309"/>
      <c r="E57" s="309"/>
      <c r="F57" s="309"/>
      <c r="G57" s="309"/>
      <c r="H57" s="309"/>
      <c r="I57" s="309"/>
      <c r="J57" s="309"/>
      <c r="K57" s="309"/>
      <c r="L57" s="309"/>
      <c r="M57" s="309"/>
      <c r="N57" s="310">
        <v>860574.2</v>
      </c>
      <c r="P57" s="195">
        <v>46</v>
      </c>
      <c r="Q57" s="308"/>
      <c r="R57" s="309"/>
      <c r="S57" s="309"/>
      <c r="T57" s="309"/>
      <c r="U57" s="309"/>
      <c r="V57" s="309"/>
      <c r="W57" s="309"/>
      <c r="X57" s="309"/>
      <c r="Y57" s="309"/>
      <c r="Z57" s="309"/>
      <c r="AA57" s="309">
        <v>800650.42</v>
      </c>
      <c r="AB57" s="309"/>
      <c r="AC57" s="310"/>
      <c r="AE57" s="195">
        <v>46</v>
      </c>
      <c r="AF57" s="308"/>
      <c r="AG57" s="309"/>
      <c r="AH57" s="309"/>
      <c r="AI57" s="309"/>
      <c r="AJ57" s="309"/>
      <c r="AK57" s="309"/>
      <c r="AL57" s="309"/>
      <c r="AM57" s="309"/>
      <c r="AN57" s="309">
        <v>394166.39571428602</v>
      </c>
      <c r="AO57" s="309">
        <v>262777.59714285698</v>
      </c>
      <c r="AP57" s="309">
        <v>262777.59714285698</v>
      </c>
      <c r="AQ57" s="309"/>
      <c r="AR57" s="310"/>
      <c r="AT57" s="195">
        <v>46</v>
      </c>
      <c r="AU57" s="308"/>
      <c r="AV57" s="309"/>
      <c r="AW57" s="309"/>
      <c r="AX57" s="309"/>
      <c r="AY57" s="309"/>
      <c r="AZ57" s="309"/>
      <c r="BA57" s="309"/>
      <c r="BB57" s="309"/>
      <c r="BC57" s="309"/>
      <c r="BD57" s="309">
        <v>146053.625</v>
      </c>
      <c r="BE57" s="309"/>
      <c r="BF57" s="309">
        <v>73026.8125</v>
      </c>
      <c r="BG57" s="310">
        <v>73026.8125</v>
      </c>
    </row>
    <row r="58" spans="1:59">
      <c r="A58" s="195">
        <v>47</v>
      </c>
      <c r="B58" s="308"/>
      <c r="C58" s="309"/>
      <c r="D58" s="309"/>
      <c r="E58" s="309"/>
      <c r="F58" s="309"/>
      <c r="G58" s="309"/>
      <c r="H58" s="309"/>
      <c r="I58" s="309"/>
      <c r="J58" s="309"/>
      <c r="K58" s="309"/>
      <c r="L58" s="309"/>
      <c r="M58" s="309">
        <v>764564.41</v>
      </c>
      <c r="N58" s="310"/>
      <c r="P58" s="195">
        <v>47</v>
      </c>
      <c r="Q58" s="308"/>
      <c r="R58" s="309"/>
      <c r="S58" s="309"/>
      <c r="T58" s="309"/>
      <c r="U58" s="309"/>
      <c r="V58" s="309"/>
      <c r="W58" s="309"/>
      <c r="X58" s="309"/>
      <c r="Y58" s="309"/>
      <c r="Z58" s="309">
        <v>228792.3</v>
      </c>
      <c r="AA58" s="309"/>
      <c r="AB58" s="309"/>
      <c r="AC58" s="310"/>
      <c r="AE58" s="195">
        <v>47</v>
      </c>
      <c r="AF58" s="308"/>
      <c r="AG58" s="309"/>
      <c r="AH58" s="309"/>
      <c r="AI58" s="309"/>
      <c r="AJ58" s="309"/>
      <c r="AK58" s="309"/>
      <c r="AL58" s="309"/>
      <c r="AM58" s="309"/>
      <c r="AN58" s="309">
        <v>156475.67499999999</v>
      </c>
      <c r="AO58" s="309">
        <v>312951.34999999998</v>
      </c>
      <c r="AP58" s="309">
        <v>156475.67499999999</v>
      </c>
      <c r="AQ58" s="309"/>
      <c r="AR58" s="310"/>
      <c r="AT58" s="195">
        <v>47</v>
      </c>
      <c r="AU58" s="308"/>
      <c r="AV58" s="309"/>
      <c r="AW58" s="309"/>
      <c r="AX58" s="309"/>
      <c r="AY58" s="309"/>
      <c r="AZ58" s="309"/>
      <c r="BA58" s="309"/>
      <c r="BB58" s="309"/>
      <c r="BC58" s="309"/>
      <c r="BD58" s="309"/>
      <c r="BE58" s="309">
        <v>64280.246666666702</v>
      </c>
      <c r="BF58" s="309">
        <v>64280.246666666702</v>
      </c>
      <c r="BG58" s="310">
        <v>64280.246666666702</v>
      </c>
    </row>
    <row r="59" spans="1:59">
      <c r="A59" s="195">
        <v>48</v>
      </c>
      <c r="B59" s="308"/>
      <c r="C59" s="309"/>
      <c r="D59" s="309"/>
      <c r="E59" s="309"/>
      <c r="F59" s="309"/>
      <c r="G59" s="309"/>
      <c r="H59" s="309"/>
      <c r="I59" s="309"/>
      <c r="J59" s="309"/>
      <c r="K59" s="309"/>
      <c r="L59" s="309">
        <v>233756.26</v>
      </c>
      <c r="M59" s="309"/>
      <c r="N59" s="310"/>
      <c r="P59" s="195">
        <v>48</v>
      </c>
      <c r="Q59" s="308"/>
      <c r="R59" s="309"/>
      <c r="S59" s="309"/>
      <c r="T59" s="309"/>
      <c r="U59" s="309"/>
      <c r="V59" s="309"/>
      <c r="W59" s="309"/>
      <c r="X59" s="309"/>
      <c r="Y59" s="309"/>
      <c r="Z59" s="309">
        <v>197957.92</v>
      </c>
      <c r="AA59" s="309"/>
      <c r="AB59" s="309"/>
      <c r="AC59" s="310"/>
      <c r="AE59" s="195">
        <v>48</v>
      </c>
      <c r="AF59" s="308"/>
      <c r="AG59" s="309"/>
      <c r="AH59" s="309"/>
      <c r="AI59" s="309"/>
      <c r="AJ59" s="309"/>
      <c r="AK59" s="309"/>
      <c r="AL59" s="309"/>
      <c r="AM59" s="309"/>
      <c r="AN59" s="309"/>
      <c r="AO59" s="309">
        <v>114619.50333333301</v>
      </c>
      <c r="AP59" s="309">
        <v>229239.006666667</v>
      </c>
      <c r="AQ59" s="309"/>
      <c r="AR59" s="310"/>
      <c r="AT59" s="195">
        <v>48</v>
      </c>
      <c r="AU59" s="308"/>
      <c r="AV59" s="309"/>
      <c r="AW59" s="309"/>
      <c r="AX59" s="309"/>
      <c r="AY59" s="309"/>
      <c r="AZ59" s="309"/>
      <c r="BA59" s="309"/>
      <c r="BB59" s="309"/>
      <c r="BC59" s="309"/>
      <c r="BD59" s="309"/>
      <c r="BE59" s="309">
        <v>143738.67333333299</v>
      </c>
      <c r="BF59" s="309">
        <v>71869.336666666699</v>
      </c>
      <c r="BG59" s="310"/>
    </row>
    <row r="60" spans="1:59">
      <c r="A60" s="195">
        <v>49</v>
      </c>
      <c r="B60" s="308"/>
      <c r="C60" s="309"/>
      <c r="D60" s="309"/>
      <c r="E60" s="309"/>
      <c r="F60" s="309"/>
      <c r="G60" s="309"/>
      <c r="H60" s="309"/>
      <c r="I60" s="309"/>
      <c r="J60" s="309"/>
      <c r="K60" s="309"/>
      <c r="L60" s="309"/>
      <c r="M60" s="309">
        <v>257586.17</v>
      </c>
      <c r="N60" s="310"/>
      <c r="P60" s="195">
        <v>49</v>
      </c>
      <c r="Q60" s="308"/>
      <c r="R60" s="309"/>
      <c r="S60" s="309"/>
      <c r="T60" s="309"/>
      <c r="U60" s="309"/>
      <c r="V60" s="309"/>
      <c r="W60" s="309"/>
      <c r="X60" s="309"/>
      <c r="Y60" s="309"/>
      <c r="Z60" s="309"/>
      <c r="AA60" s="309"/>
      <c r="AB60" s="309"/>
      <c r="AC60" s="310"/>
      <c r="AE60" s="195">
        <v>49</v>
      </c>
      <c r="AF60" s="308"/>
      <c r="AG60" s="309"/>
      <c r="AH60" s="309"/>
      <c r="AI60" s="309"/>
      <c r="AJ60" s="309"/>
      <c r="AK60" s="309"/>
      <c r="AL60" s="309"/>
      <c r="AM60" s="309"/>
      <c r="AN60" s="309"/>
      <c r="AO60" s="309"/>
      <c r="AP60" s="309">
        <v>230742.79</v>
      </c>
      <c r="AQ60" s="309"/>
      <c r="AR60" s="310"/>
      <c r="AT60" s="195">
        <v>49</v>
      </c>
      <c r="AU60" s="308"/>
      <c r="AV60" s="309"/>
      <c r="AW60" s="309"/>
      <c r="AX60" s="309"/>
      <c r="AY60" s="309"/>
      <c r="AZ60" s="309"/>
      <c r="BA60" s="309"/>
      <c r="BB60" s="309"/>
      <c r="BC60" s="309"/>
      <c r="BD60" s="309"/>
      <c r="BE60" s="309"/>
      <c r="BF60" s="309"/>
      <c r="BG60" s="310">
        <v>111851.02</v>
      </c>
    </row>
    <row r="61" spans="1:59">
      <c r="A61" s="195">
        <v>50</v>
      </c>
      <c r="B61" s="308"/>
      <c r="C61" s="309"/>
      <c r="D61" s="309"/>
      <c r="E61" s="309"/>
      <c r="F61" s="309"/>
      <c r="G61" s="309"/>
      <c r="H61" s="309"/>
      <c r="I61" s="309"/>
      <c r="J61" s="309"/>
      <c r="K61" s="309"/>
      <c r="L61" s="309"/>
      <c r="M61" s="309">
        <v>272956.64</v>
      </c>
      <c r="N61" s="310"/>
      <c r="P61" s="195">
        <v>50</v>
      </c>
      <c r="Q61" s="308"/>
      <c r="R61" s="309"/>
      <c r="S61" s="309"/>
      <c r="T61" s="309"/>
      <c r="U61" s="309"/>
      <c r="V61" s="309"/>
      <c r="W61" s="309"/>
      <c r="X61" s="309"/>
      <c r="Y61" s="309"/>
      <c r="Z61" s="309"/>
      <c r="AA61" s="309"/>
      <c r="AB61" s="309">
        <v>75348.47</v>
      </c>
      <c r="AC61" s="310"/>
      <c r="AE61" s="195">
        <v>50</v>
      </c>
      <c r="AF61" s="308"/>
      <c r="AG61" s="309"/>
      <c r="AH61" s="309"/>
      <c r="AI61" s="309"/>
      <c r="AJ61" s="309"/>
      <c r="AK61" s="309"/>
      <c r="AL61" s="309"/>
      <c r="AM61" s="309"/>
      <c r="AN61" s="309">
        <v>175524.38</v>
      </c>
      <c r="AO61" s="309"/>
      <c r="AP61" s="309"/>
      <c r="AQ61" s="309"/>
      <c r="AR61" s="310"/>
      <c r="AT61" s="195">
        <v>50</v>
      </c>
      <c r="AU61" s="308"/>
      <c r="AV61" s="309"/>
      <c r="AW61" s="309"/>
      <c r="AX61" s="309"/>
      <c r="AY61" s="309"/>
      <c r="AZ61" s="309"/>
      <c r="BA61" s="309"/>
      <c r="BB61" s="309"/>
      <c r="BC61" s="309"/>
      <c r="BD61" s="309"/>
      <c r="BE61" s="309"/>
      <c r="BF61" s="309">
        <v>66413.87</v>
      </c>
      <c r="BG61" s="310"/>
    </row>
    <row r="62" spans="1:59">
      <c r="A62" s="195">
        <v>51</v>
      </c>
      <c r="B62" s="308"/>
      <c r="C62" s="309"/>
      <c r="D62" s="309"/>
      <c r="E62" s="309"/>
      <c r="F62" s="309"/>
      <c r="G62" s="309"/>
      <c r="H62" s="309"/>
      <c r="I62" s="309"/>
      <c r="J62" s="309"/>
      <c r="K62" s="309"/>
      <c r="L62" s="309">
        <v>290582.96000000002</v>
      </c>
      <c r="M62" s="309"/>
      <c r="N62" s="310"/>
      <c r="P62" s="195">
        <v>51</v>
      </c>
      <c r="Q62" s="308"/>
      <c r="R62" s="309"/>
      <c r="S62" s="309"/>
      <c r="T62" s="309"/>
      <c r="U62" s="309"/>
      <c r="V62" s="309"/>
      <c r="W62" s="309"/>
      <c r="X62" s="309"/>
      <c r="Y62" s="309"/>
      <c r="Z62" s="309"/>
      <c r="AA62" s="309"/>
      <c r="AB62" s="309"/>
      <c r="AC62" s="310"/>
      <c r="AE62" s="195">
        <v>51</v>
      </c>
      <c r="AF62" s="308"/>
      <c r="AG62" s="309"/>
      <c r="AH62" s="309"/>
      <c r="AI62" s="309"/>
      <c r="AJ62" s="309"/>
      <c r="AK62" s="309"/>
      <c r="AL62" s="309"/>
      <c r="AM62" s="309"/>
      <c r="AN62" s="309"/>
      <c r="AO62" s="309"/>
      <c r="AP62" s="309"/>
      <c r="AQ62" s="309"/>
      <c r="AR62" s="310">
        <v>127455.97</v>
      </c>
      <c r="AT62" s="195">
        <v>51</v>
      </c>
      <c r="AU62" s="308"/>
      <c r="AV62" s="309"/>
      <c r="AW62" s="309"/>
      <c r="AX62" s="309"/>
      <c r="AY62" s="309"/>
      <c r="AZ62" s="309"/>
      <c r="BA62" s="309"/>
      <c r="BB62" s="309"/>
      <c r="BC62" s="309"/>
      <c r="BD62" s="309"/>
      <c r="BE62" s="309"/>
      <c r="BF62" s="309">
        <v>31283.64</v>
      </c>
      <c r="BG62" s="310"/>
    </row>
    <row r="63" spans="1:59">
      <c r="A63" s="195">
        <v>52</v>
      </c>
      <c r="B63" s="308"/>
      <c r="C63" s="309"/>
      <c r="D63" s="309"/>
      <c r="E63" s="309"/>
      <c r="F63" s="309"/>
      <c r="G63" s="309"/>
      <c r="H63" s="309"/>
      <c r="I63" s="309"/>
      <c r="J63" s="309"/>
      <c r="K63" s="309"/>
      <c r="L63" s="309"/>
      <c r="M63" s="309"/>
      <c r="N63" s="310"/>
      <c r="P63" s="195">
        <v>52</v>
      </c>
      <c r="Q63" s="308"/>
      <c r="R63" s="309"/>
      <c r="S63" s="309"/>
      <c r="T63" s="309"/>
      <c r="U63" s="309"/>
      <c r="V63" s="309"/>
      <c r="W63" s="309"/>
      <c r="X63" s="309"/>
      <c r="Y63" s="309"/>
      <c r="Z63" s="309"/>
      <c r="AA63" s="309"/>
      <c r="AB63" s="309"/>
      <c r="AC63" s="310"/>
      <c r="AE63" s="195">
        <v>52</v>
      </c>
      <c r="AF63" s="308"/>
      <c r="AG63" s="309"/>
      <c r="AH63" s="309"/>
      <c r="AI63" s="309"/>
      <c r="AJ63" s="309"/>
      <c r="AK63" s="309"/>
      <c r="AL63" s="309"/>
      <c r="AM63" s="309"/>
      <c r="AN63" s="309"/>
      <c r="AO63" s="309">
        <v>128463.27</v>
      </c>
      <c r="AP63" s="309"/>
      <c r="AQ63" s="309"/>
      <c r="AR63" s="310"/>
      <c r="AT63" s="195">
        <v>52</v>
      </c>
      <c r="AU63" s="308"/>
      <c r="AV63" s="309"/>
      <c r="AW63" s="309"/>
      <c r="AX63" s="309"/>
      <c r="AY63" s="309"/>
      <c r="AZ63" s="309"/>
      <c r="BA63" s="309"/>
      <c r="BB63" s="309"/>
      <c r="BC63" s="309"/>
      <c r="BD63" s="309"/>
      <c r="BE63" s="309"/>
      <c r="BF63" s="309">
        <v>10522.74</v>
      </c>
      <c r="BG63" s="310"/>
    </row>
    <row r="64" spans="1:59">
      <c r="A64" s="195">
        <v>53</v>
      </c>
      <c r="B64" s="308"/>
      <c r="C64" s="309"/>
      <c r="D64" s="309"/>
      <c r="E64" s="309"/>
      <c r="F64" s="309"/>
      <c r="G64" s="309"/>
      <c r="H64" s="309"/>
      <c r="I64" s="309"/>
      <c r="J64" s="309"/>
      <c r="K64" s="309"/>
      <c r="L64" s="309"/>
      <c r="M64" s="309"/>
      <c r="N64" s="310"/>
      <c r="P64" s="195">
        <v>53</v>
      </c>
      <c r="Q64" s="308"/>
      <c r="R64" s="309"/>
      <c r="S64" s="309"/>
      <c r="T64" s="309"/>
      <c r="U64" s="309"/>
      <c r="V64" s="309"/>
      <c r="W64" s="309"/>
      <c r="X64" s="309"/>
      <c r="Y64" s="309"/>
      <c r="Z64" s="309"/>
      <c r="AA64" s="309"/>
      <c r="AB64" s="309"/>
      <c r="AC64" s="310"/>
      <c r="AE64" s="195">
        <v>53</v>
      </c>
      <c r="AF64" s="308"/>
      <c r="AG64" s="309"/>
      <c r="AH64" s="309"/>
      <c r="AI64" s="309"/>
      <c r="AJ64" s="309"/>
      <c r="AK64" s="309"/>
      <c r="AL64" s="309"/>
      <c r="AM64" s="309"/>
      <c r="AN64" s="309"/>
      <c r="AO64" s="309"/>
      <c r="AP64" s="309"/>
      <c r="AQ64" s="309"/>
      <c r="AR64" s="310">
        <v>39130.160000000003</v>
      </c>
      <c r="AT64" s="195">
        <v>53</v>
      </c>
      <c r="AU64" s="308"/>
      <c r="AV64" s="309"/>
      <c r="AW64" s="309"/>
      <c r="AX64" s="309"/>
      <c r="AY64" s="309"/>
      <c r="AZ64" s="309"/>
      <c r="BA64" s="309"/>
      <c r="BB64" s="309"/>
      <c r="BC64" s="309"/>
      <c r="BD64" s="309"/>
      <c r="BE64" s="309"/>
      <c r="BF64" s="309"/>
      <c r="BG64" s="310"/>
    </row>
    <row r="65" spans="1:59">
      <c r="A65" s="195">
        <v>54</v>
      </c>
      <c r="B65" s="308"/>
      <c r="C65" s="309"/>
      <c r="D65" s="309"/>
      <c r="E65" s="309"/>
      <c r="F65" s="309"/>
      <c r="G65" s="309"/>
      <c r="H65" s="309"/>
      <c r="I65" s="309"/>
      <c r="J65" s="309"/>
      <c r="K65" s="309"/>
      <c r="L65" s="309"/>
      <c r="M65" s="309"/>
      <c r="N65" s="310">
        <v>58901.54</v>
      </c>
      <c r="P65" s="195">
        <v>54</v>
      </c>
      <c r="Q65" s="308"/>
      <c r="R65" s="309"/>
      <c r="S65" s="309"/>
      <c r="T65" s="309"/>
      <c r="U65" s="309"/>
      <c r="V65" s="309"/>
      <c r="W65" s="309"/>
      <c r="X65" s="309"/>
      <c r="Y65" s="309"/>
      <c r="Z65" s="309"/>
      <c r="AA65" s="309"/>
      <c r="AB65" s="309"/>
      <c r="AC65" s="310"/>
      <c r="AE65" s="195">
        <v>54</v>
      </c>
      <c r="AF65" s="308"/>
      <c r="AG65" s="309"/>
      <c r="AH65" s="309"/>
      <c r="AI65" s="309"/>
      <c r="AJ65" s="309"/>
      <c r="AK65" s="309"/>
      <c r="AL65" s="309"/>
      <c r="AM65" s="309"/>
      <c r="AN65" s="309"/>
      <c r="AO65" s="309"/>
      <c r="AP65" s="309"/>
      <c r="AQ65" s="309"/>
      <c r="AR65" s="310"/>
      <c r="AT65" s="195">
        <v>54</v>
      </c>
      <c r="AU65" s="308"/>
      <c r="AV65" s="309"/>
      <c r="AW65" s="309"/>
      <c r="AX65" s="309"/>
      <c r="AY65" s="309"/>
      <c r="AZ65" s="309"/>
      <c r="BA65" s="309"/>
      <c r="BB65" s="309"/>
      <c r="BC65" s="309"/>
      <c r="BD65" s="309"/>
      <c r="BE65" s="309"/>
      <c r="BF65" s="309"/>
      <c r="BG65" s="310"/>
    </row>
    <row r="66" spans="1:59">
      <c r="A66" s="195">
        <v>55</v>
      </c>
      <c r="B66" s="308"/>
      <c r="C66" s="309"/>
      <c r="D66" s="309"/>
      <c r="E66" s="309"/>
      <c r="F66" s="309"/>
      <c r="G66" s="309"/>
      <c r="H66" s="309"/>
      <c r="I66" s="309"/>
      <c r="J66" s="309"/>
      <c r="K66" s="309"/>
      <c r="L66" s="309"/>
      <c r="M66" s="309"/>
      <c r="N66" s="310">
        <v>248579.69</v>
      </c>
      <c r="P66" s="195">
        <v>55</v>
      </c>
      <c r="Q66" s="308"/>
      <c r="R66" s="309"/>
      <c r="S66" s="309"/>
      <c r="T66" s="309"/>
      <c r="U66" s="309"/>
      <c r="V66" s="309"/>
      <c r="W66" s="309"/>
      <c r="X66" s="309"/>
      <c r="Y66" s="309"/>
      <c r="Z66" s="309"/>
      <c r="AA66" s="309"/>
      <c r="AB66" s="309"/>
      <c r="AC66" s="310"/>
      <c r="AE66" s="195">
        <v>55</v>
      </c>
      <c r="AF66" s="308"/>
      <c r="AG66" s="309"/>
      <c r="AH66" s="309"/>
      <c r="AI66" s="309"/>
      <c r="AJ66" s="309"/>
      <c r="AK66" s="309"/>
      <c r="AL66" s="309"/>
      <c r="AM66" s="309"/>
      <c r="AN66" s="309"/>
      <c r="AO66" s="309"/>
      <c r="AP66" s="309"/>
      <c r="AQ66" s="309"/>
      <c r="AR66" s="310">
        <v>5492.97</v>
      </c>
      <c r="AT66" s="195">
        <v>55</v>
      </c>
      <c r="AU66" s="308"/>
      <c r="AV66" s="309"/>
      <c r="AW66" s="309"/>
      <c r="AX66" s="309"/>
      <c r="AY66" s="309"/>
      <c r="AZ66" s="309"/>
      <c r="BA66" s="309"/>
      <c r="BB66" s="309"/>
      <c r="BC66" s="309"/>
      <c r="BD66" s="309"/>
      <c r="BE66" s="309"/>
      <c r="BF66" s="309"/>
      <c r="BG66" s="310">
        <v>7769.82</v>
      </c>
    </row>
    <row r="67" spans="1:59">
      <c r="A67" s="195">
        <v>56</v>
      </c>
      <c r="B67" s="308"/>
      <c r="C67" s="309"/>
      <c r="D67" s="309"/>
      <c r="E67" s="309"/>
      <c r="F67" s="309"/>
      <c r="G67" s="309"/>
      <c r="H67" s="309"/>
      <c r="I67" s="309"/>
      <c r="J67" s="309"/>
      <c r="K67" s="309"/>
      <c r="L67" s="309"/>
      <c r="M67" s="309"/>
      <c r="N67" s="310">
        <v>217214.7</v>
      </c>
      <c r="P67" s="195">
        <v>56</v>
      </c>
      <c r="Q67" s="308"/>
      <c r="R67" s="309"/>
      <c r="S67" s="309"/>
      <c r="T67" s="309"/>
      <c r="U67" s="309"/>
      <c r="V67" s="309"/>
      <c r="W67" s="309"/>
      <c r="X67" s="309"/>
      <c r="Y67" s="309"/>
      <c r="Z67" s="309"/>
      <c r="AA67" s="309"/>
      <c r="AB67" s="309"/>
      <c r="AC67" s="310"/>
      <c r="AE67" s="195">
        <v>56</v>
      </c>
      <c r="AF67" s="308"/>
      <c r="AG67" s="309"/>
      <c r="AH67" s="309"/>
      <c r="AI67" s="309"/>
      <c r="AJ67" s="309"/>
      <c r="AK67" s="309"/>
      <c r="AL67" s="309"/>
      <c r="AM67" s="309"/>
      <c r="AN67" s="309"/>
      <c r="AO67" s="309"/>
      <c r="AP67" s="309"/>
      <c r="AQ67" s="309"/>
      <c r="AR67" s="310"/>
      <c r="AT67" s="195">
        <v>56</v>
      </c>
      <c r="AU67" s="308"/>
      <c r="AV67" s="309"/>
      <c r="AW67" s="309"/>
      <c r="AX67" s="309"/>
      <c r="AY67" s="309"/>
      <c r="AZ67" s="309"/>
      <c r="BA67" s="309"/>
      <c r="BB67" s="309"/>
      <c r="BC67" s="309"/>
      <c r="BD67" s="309"/>
      <c r="BE67" s="309"/>
      <c r="BF67" s="309"/>
      <c r="BG67" s="310"/>
    </row>
    <row r="68" spans="1:59">
      <c r="A68" s="195">
        <v>57</v>
      </c>
      <c r="B68" s="308"/>
      <c r="C68" s="309"/>
      <c r="D68" s="309"/>
      <c r="E68" s="309"/>
      <c r="F68" s="309"/>
      <c r="G68" s="309"/>
      <c r="H68" s="309"/>
      <c r="I68" s="309"/>
      <c r="J68" s="309"/>
      <c r="K68" s="309"/>
      <c r="L68" s="309"/>
      <c r="M68" s="309"/>
      <c r="N68" s="310"/>
      <c r="P68" s="195">
        <v>57</v>
      </c>
      <c r="Q68" s="308"/>
      <c r="R68" s="309"/>
      <c r="S68" s="309"/>
      <c r="T68" s="309"/>
      <c r="U68" s="309"/>
      <c r="V68" s="309"/>
      <c r="W68" s="309"/>
      <c r="X68" s="309"/>
      <c r="Y68" s="309"/>
      <c r="Z68" s="309"/>
      <c r="AA68" s="309"/>
      <c r="AB68" s="309"/>
      <c r="AC68" s="310"/>
      <c r="AE68" s="195">
        <v>57</v>
      </c>
      <c r="AF68" s="308"/>
      <c r="AG68" s="309"/>
      <c r="AH68" s="309"/>
      <c r="AI68" s="309"/>
      <c r="AJ68" s="309"/>
      <c r="AK68" s="309"/>
      <c r="AL68" s="309"/>
      <c r="AM68" s="309"/>
      <c r="AN68" s="309"/>
      <c r="AO68" s="309"/>
      <c r="AP68" s="309"/>
      <c r="AQ68" s="309"/>
      <c r="AR68" s="310">
        <v>20776.61</v>
      </c>
      <c r="AT68" s="195">
        <v>57</v>
      </c>
      <c r="AU68" s="308"/>
      <c r="AV68" s="309"/>
      <c r="AW68" s="309"/>
      <c r="AX68" s="309"/>
      <c r="AY68" s="309"/>
      <c r="AZ68" s="309"/>
      <c r="BA68" s="309"/>
      <c r="BB68" s="309"/>
      <c r="BC68" s="309"/>
      <c r="BD68" s="309"/>
      <c r="BE68" s="309"/>
      <c r="BF68" s="309"/>
      <c r="BG68" s="310">
        <v>16922.66</v>
      </c>
    </row>
    <row r="69" spans="1:59">
      <c r="A69" s="195">
        <v>58</v>
      </c>
      <c r="B69" s="308"/>
      <c r="C69" s="309"/>
      <c r="D69" s="309"/>
      <c r="E69" s="309"/>
      <c r="F69" s="309"/>
      <c r="G69" s="309"/>
      <c r="H69" s="309"/>
      <c r="I69" s="309"/>
      <c r="J69" s="309"/>
      <c r="K69" s="309"/>
      <c r="L69" s="309"/>
      <c r="M69" s="309"/>
      <c r="N69" s="310"/>
      <c r="P69" s="195">
        <v>58</v>
      </c>
      <c r="Q69" s="308"/>
      <c r="R69" s="309"/>
      <c r="S69" s="309"/>
      <c r="T69" s="309"/>
      <c r="U69" s="309"/>
      <c r="V69" s="309"/>
      <c r="W69" s="309"/>
      <c r="X69" s="309"/>
      <c r="Y69" s="309"/>
      <c r="Z69" s="309"/>
      <c r="AA69" s="309"/>
      <c r="AB69" s="309"/>
      <c r="AC69" s="310"/>
      <c r="AE69" s="195">
        <v>58</v>
      </c>
      <c r="AF69" s="308"/>
      <c r="AG69" s="309"/>
      <c r="AH69" s="309"/>
      <c r="AI69" s="309"/>
      <c r="AJ69" s="309"/>
      <c r="AK69" s="309"/>
      <c r="AL69" s="309"/>
      <c r="AM69" s="309"/>
      <c r="AN69" s="309"/>
      <c r="AO69" s="309"/>
      <c r="AP69" s="309"/>
      <c r="AQ69" s="309"/>
      <c r="AR69" s="310"/>
      <c r="AT69" s="195">
        <v>58</v>
      </c>
      <c r="AU69" s="308"/>
      <c r="AV69" s="309"/>
      <c r="AW69" s="309"/>
      <c r="AX69" s="309"/>
      <c r="AY69" s="309"/>
      <c r="AZ69" s="309"/>
      <c r="BA69" s="309"/>
      <c r="BB69" s="309"/>
      <c r="BC69" s="309"/>
      <c r="BD69" s="309"/>
      <c r="BE69" s="309"/>
      <c r="BF69" s="309"/>
      <c r="BG69" s="310"/>
    </row>
    <row r="70" spans="1:59">
      <c r="A70" s="195">
        <v>59</v>
      </c>
      <c r="B70" s="308"/>
      <c r="C70" s="309"/>
      <c r="D70" s="309"/>
      <c r="E70" s="309"/>
      <c r="F70" s="309"/>
      <c r="G70" s="309"/>
      <c r="H70" s="309"/>
      <c r="I70" s="309"/>
      <c r="J70" s="309"/>
      <c r="K70" s="309"/>
      <c r="L70" s="309"/>
      <c r="M70" s="309"/>
      <c r="N70" s="310"/>
      <c r="P70" s="195">
        <v>59</v>
      </c>
      <c r="Q70" s="308"/>
      <c r="R70" s="309"/>
      <c r="S70" s="309"/>
      <c r="T70" s="309"/>
      <c r="U70" s="309"/>
      <c r="V70" s="309"/>
      <c r="W70" s="309"/>
      <c r="X70" s="309"/>
      <c r="Y70" s="309"/>
      <c r="Z70" s="309"/>
      <c r="AA70" s="309"/>
      <c r="AB70" s="309"/>
      <c r="AC70" s="310"/>
      <c r="AE70" s="195">
        <v>59</v>
      </c>
      <c r="AF70" s="308"/>
      <c r="AG70" s="309"/>
      <c r="AH70" s="309"/>
      <c r="AI70" s="309"/>
      <c r="AJ70" s="309"/>
      <c r="AK70" s="309"/>
      <c r="AL70" s="309"/>
      <c r="AM70" s="309"/>
      <c r="AN70" s="309"/>
      <c r="AO70" s="309"/>
      <c r="AP70" s="309"/>
      <c r="AQ70" s="309"/>
      <c r="AR70" s="310"/>
      <c r="AT70" s="195">
        <v>59</v>
      </c>
      <c r="AU70" s="308"/>
      <c r="AV70" s="309"/>
      <c r="AW70" s="309"/>
      <c r="AX70" s="309"/>
      <c r="AY70" s="309"/>
      <c r="AZ70" s="309"/>
      <c r="BA70" s="309"/>
      <c r="BB70" s="309"/>
      <c r="BC70" s="309"/>
      <c r="BD70" s="309"/>
      <c r="BE70" s="309"/>
      <c r="BF70" s="309"/>
      <c r="BG70" s="310">
        <v>11353.08</v>
      </c>
    </row>
    <row r="71" spans="1:59">
      <c r="A71" s="195">
        <v>60</v>
      </c>
      <c r="B71" s="308"/>
      <c r="C71" s="309"/>
      <c r="D71" s="309"/>
      <c r="E71" s="309"/>
      <c r="F71" s="309"/>
      <c r="G71" s="309"/>
      <c r="H71" s="309"/>
      <c r="I71" s="309"/>
      <c r="J71" s="309"/>
      <c r="K71" s="309"/>
      <c r="L71" s="309"/>
      <c r="M71" s="309"/>
      <c r="N71" s="310"/>
      <c r="P71" s="195">
        <v>60</v>
      </c>
      <c r="Q71" s="308"/>
      <c r="R71" s="309"/>
      <c r="S71" s="309"/>
      <c r="T71" s="309"/>
      <c r="U71" s="309"/>
      <c r="V71" s="309"/>
      <c r="W71" s="309"/>
      <c r="X71" s="309"/>
      <c r="Y71" s="309"/>
      <c r="Z71" s="309"/>
      <c r="AA71" s="309"/>
      <c r="AB71" s="309"/>
      <c r="AC71" s="310"/>
      <c r="AE71" s="195">
        <v>60</v>
      </c>
      <c r="AF71" s="308"/>
      <c r="AG71" s="309"/>
      <c r="AH71" s="309"/>
      <c r="AI71" s="309"/>
      <c r="AJ71" s="309"/>
      <c r="AK71" s="309"/>
      <c r="AL71" s="309"/>
      <c r="AM71" s="309"/>
      <c r="AN71" s="309"/>
      <c r="AO71" s="309"/>
      <c r="AP71" s="309"/>
      <c r="AQ71" s="309"/>
      <c r="AR71" s="310"/>
      <c r="AT71" s="195">
        <v>60</v>
      </c>
      <c r="AU71" s="308"/>
      <c r="AV71" s="309"/>
      <c r="AW71" s="309"/>
      <c r="AX71" s="309"/>
      <c r="AY71" s="309"/>
      <c r="AZ71" s="309"/>
      <c r="BA71" s="309"/>
      <c r="BB71" s="309"/>
      <c r="BC71" s="309"/>
      <c r="BD71" s="309"/>
      <c r="BE71" s="309"/>
      <c r="BF71" s="309"/>
      <c r="BG71" s="310"/>
    </row>
    <row r="72" spans="1:59">
      <c r="A72" s="195">
        <v>61</v>
      </c>
      <c r="B72" s="308"/>
      <c r="C72" s="309"/>
      <c r="D72" s="309"/>
      <c r="E72" s="309"/>
      <c r="F72" s="309"/>
      <c r="G72" s="309"/>
      <c r="H72" s="309"/>
      <c r="I72" s="309"/>
      <c r="J72" s="309"/>
      <c r="K72" s="309"/>
      <c r="L72" s="309"/>
      <c r="M72" s="309"/>
      <c r="N72" s="310">
        <v>235184.47</v>
      </c>
      <c r="P72" s="195">
        <v>61</v>
      </c>
      <c r="Q72" s="308"/>
      <c r="R72" s="309"/>
      <c r="S72" s="309"/>
      <c r="T72" s="309"/>
      <c r="U72" s="309"/>
      <c r="V72" s="309"/>
      <c r="W72" s="309"/>
      <c r="X72" s="309"/>
      <c r="Y72" s="309"/>
      <c r="Z72" s="309"/>
      <c r="AA72" s="309"/>
      <c r="AB72" s="309"/>
      <c r="AC72" s="310"/>
      <c r="AE72" s="195">
        <v>61</v>
      </c>
      <c r="AF72" s="308"/>
      <c r="AG72" s="309"/>
      <c r="AH72" s="309"/>
      <c r="AI72" s="309"/>
      <c r="AJ72" s="309"/>
      <c r="AK72" s="309"/>
      <c r="AL72" s="309"/>
      <c r="AM72" s="309"/>
      <c r="AN72" s="309"/>
      <c r="AO72" s="309"/>
      <c r="AP72" s="309"/>
      <c r="AQ72" s="309"/>
      <c r="AR72" s="310">
        <v>6239.65</v>
      </c>
      <c r="AT72" s="195">
        <v>61</v>
      </c>
      <c r="AU72" s="308"/>
      <c r="AV72" s="309"/>
      <c r="AW72" s="309"/>
      <c r="AX72" s="309"/>
      <c r="AY72" s="309"/>
      <c r="AZ72" s="309"/>
      <c r="BA72" s="309"/>
      <c r="BB72" s="309"/>
      <c r="BC72" s="309"/>
      <c r="BD72" s="309"/>
      <c r="BE72" s="309"/>
      <c r="BF72" s="309"/>
      <c r="BG72" s="310"/>
    </row>
    <row r="73" spans="1:59">
      <c r="A73" s="195">
        <v>62</v>
      </c>
      <c r="B73" s="308"/>
      <c r="C73" s="309"/>
      <c r="D73" s="309"/>
      <c r="E73" s="309"/>
      <c r="F73" s="309"/>
      <c r="G73" s="309"/>
      <c r="H73" s="309"/>
      <c r="I73" s="309"/>
      <c r="J73" s="309"/>
      <c r="K73" s="309"/>
      <c r="L73" s="309"/>
      <c r="M73" s="309"/>
      <c r="N73" s="310"/>
      <c r="P73" s="195">
        <v>62</v>
      </c>
      <c r="Q73" s="308"/>
      <c r="R73" s="309"/>
      <c r="S73" s="309"/>
      <c r="T73" s="309"/>
      <c r="U73" s="309"/>
      <c r="V73" s="309"/>
      <c r="W73" s="309"/>
      <c r="X73" s="309"/>
      <c r="Y73" s="309"/>
      <c r="Z73" s="309"/>
      <c r="AA73" s="309"/>
      <c r="AB73" s="309"/>
      <c r="AC73" s="310"/>
      <c r="AE73" s="195">
        <v>62</v>
      </c>
      <c r="AF73" s="308"/>
      <c r="AG73" s="309"/>
      <c r="AH73" s="309"/>
      <c r="AI73" s="309"/>
      <c r="AJ73" s="309"/>
      <c r="AK73" s="309"/>
      <c r="AL73" s="309"/>
      <c r="AM73" s="309"/>
      <c r="AN73" s="309"/>
      <c r="AO73" s="309"/>
      <c r="AP73" s="309"/>
      <c r="AQ73" s="309"/>
      <c r="AR73" s="310"/>
      <c r="AT73" s="195">
        <v>62</v>
      </c>
      <c r="AU73" s="308"/>
      <c r="AV73" s="309"/>
      <c r="AW73" s="309"/>
      <c r="AX73" s="309"/>
      <c r="AY73" s="309"/>
      <c r="AZ73" s="309"/>
      <c r="BA73" s="309"/>
      <c r="BB73" s="309"/>
      <c r="BC73" s="309"/>
      <c r="BD73" s="309"/>
      <c r="BE73" s="309"/>
      <c r="BF73" s="309"/>
      <c r="BG73" s="310"/>
    </row>
    <row r="74" spans="1:59">
      <c r="A74" s="195">
        <v>63</v>
      </c>
      <c r="B74" s="308"/>
      <c r="C74" s="309"/>
      <c r="D74" s="309"/>
      <c r="E74" s="309"/>
      <c r="F74" s="309"/>
      <c r="G74" s="309"/>
      <c r="H74" s="309"/>
      <c r="I74" s="309"/>
      <c r="J74" s="309"/>
      <c r="K74" s="309"/>
      <c r="L74" s="309"/>
      <c r="M74" s="309"/>
      <c r="N74" s="310"/>
      <c r="P74" s="195">
        <v>63</v>
      </c>
      <c r="Q74" s="308"/>
      <c r="R74" s="309"/>
      <c r="S74" s="309"/>
      <c r="T74" s="309"/>
      <c r="U74" s="309"/>
      <c r="V74" s="309"/>
      <c r="W74" s="309"/>
      <c r="X74" s="309"/>
      <c r="Y74" s="309"/>
      <c r="Z74" s="309"/>
      <c r="AA74" s="309"/>
      <c r="AB74" s="309"/>
      <c r="AC74" s="310"/>
      <c r="AE74" s="195">
        <v>63</v>
      </c>
      <c r="AF74" s="308"/>
      <c r="AG74" s="309"/>
      <c r="AH74" s="309"/>
      <c r="AI74" s="309"/>
      <c r="AJ74" s="309"/>
      <c r="AK74" s="309"/>
      <c r="AL74" s="309"/>
      <c r="AM74" s="309"/>
      <c r="AN74" s="309"/>
      <c r="AO74" s="309"/>
      <c r="AP74" s="309"/>
      <c r="AQ74" s="309"/>
      <c r="AR74" s="310"/>
      <c r="AT74" s="195">
        <v>63</v>
      </c>
      <c r="AU74" s="308"/>
      <c r="AV74" s="309"/>
      <c r="AW74" s="309"/>
      <c r="AX74" s="309"/>
      <c r="AY74" s="309"/>
      <c r="AZ74" s="309"/>
      <c r="BA74" s="309"/>
      <c r="BB74" s="309"/>
      <c r="BC74" s="309"/>
      <c r="BD74" s="309"/>
      <c r="BE74" s="309"/>
      <c r="BF74" s="309"/>
      <c r="BG74" s="310"/>
    </row>
    <row r="75" spans="1:59">
      <c r="A75" s="195">
        <v>64</v>
      </c>
      <c r="B75" s="308"/>
      <c r="C75" s="309"/>
      <c r="D75" s="309"/>
      <c r="E75" s="309"/>
      <c r="F75" s="309"/>
      <c r="G75" s="309"/>
      <c r="H75" s="309"/>
      <c r="I75" s="309"/>
      <c r="J75" s="309"/>
      <c r="K75" s="309"/>
      <c r="L75" s="309"/>
      <c r="M75" s="309"/>
      <c r="N75" s="310"/>
      <c r="P75" s="195">
        <v>64</v>
      </c>
      <c r="Q75" s="308"/>
      <c r="R75" s="309"/>
      <c r="S75" s="309"/>
      <c r="T75" s="309"/>
      <c r="U75" s="309"/>
      <c r="V75" s="309"/>
      <c r="W75" s="309"/>
      <c r="X75" s="309"/>
      <c r="Y75" s="309"/>
      <c r="Z75" s="309"/>
      <c r="AA75" s="309"/>
      <c r="AB75" s="309"/>
      <c r="AC75" s="310"/>
      <c r="AE75" s="195">
        <v>64</v>
      </c>
      <c r="AF75" s="308"/>
      <c r="AG75" s="309"/>
      <c r="AH75" s="309"/>
      <c r="AI75" s="309"/>
      <c r="AJ75" s="309"/>
      <c r="AK75" s="309"/>
      <c r="AL75" s="309"/>
      <c r="AM75" s="309"/>
      <c r="AN75" s="309"/>
      <c r="AO75" s="309"/>
      <c r="AP75" s="309"/>
      <c r="AQ75" s="309"/>
      <c r="AR75" s="310"/>
      <c r="AT75" s="195">
        <v>64</v>
      </c>
      <c r="AU75" s="308"/>
      <c r="AV75" s="309"/>
      <c r="AW75" s="309"/>
      <c r="AX75" s="309"/>
      <c r="AY75" s="309"/>
      <c r="AZ75" s="309"/>
      <c r="BA75" s="309"/>
      <c r="BB75" s="309"/>
      <c r="BC75" s="309"/>
      <c r="BD75" s="309"/>
      <c r="BE75" s="309"/>
      <c r="BF75" s="309"/>
      <c r="BG75" s="310"/>
    </row>
    <row r="76" spans="1:59">
      <c r="A76" s="195">
        <v>65</v>
      </c>
      <c r="B76" s="308"/>
      <c r="C76" s="309"/>
      <c r="D76" s="309"/>
      <c r="E76" s="309"/>
      <c r="F76" s="309"/>
      <c r="G76" s="309"/>
      <c r="H76" s="309"/>
      <c r="I76" s="309"/>
      <c r="J76" s="309"/>
      <c r="K76" s="309"/>
      <c r="L76" s="309"/>
      <c r="M76" s="309"/>
      <c r="N76" s="310"/>
      <c r="P76" s="195">
        <v>65</v>
      </c>
      <c r="Q76" s="308"/>
      <c r="R76" s="309"/>
      <c r="S76" s="309"/>
      <c r="T76" s="309"/>
      <c r="U76" s="309"/>
      <c r="V76" s="309"/>
      <c r="W76" s="309"/>
      <c r="X76" s="309"/>
      <c r="Y76" s="309"/>
      <c r="Z76" s="309"/>
      <c r="AA76" s="309"/>
      <c r="AB76" s="309"/>
      <c r="AC76" s="310"/>
      <c r="AE76" s="195">
        <v>65</v>
      </c>
      <c r="AF76" s="308"/>
      <c r="AG76" s="309"/>
      <c r="AH76" s="309"/>
      <c r="AI76" s="309"/>
      <c r="AJ76" s="309"/>
      <c r="AK76" s="309"/>
      <c r="AL76" s="309"/>
      <c r="AM76" s="309"/>
      <c r="AN76" s="309"/>
      <c r="AO76" s="309"/>
      <c r="AP76" s="309"/>
      <c r="AQ76" s="309"/>
      <c r="AR76" s="310"/>
      <c r="AT76" s="195">
        <v>65</v>
      </c>
      <c r="AU76" s="308"/>
      <c r="AV76" s="309"/>
      <c r="AW76" s="309"/>
      <c r="AX76" s="309"/>
      <c r="AY76" s="309"/>
      <c r="AZ76" s="309"/>
      <c r="BA76" s="309"/>
      <c r="BB76" s="309"/>
      <c r="BC76" s="309"/>
      <c r="BD76" s="309"/>
      <c r="BE76" s="309"/>
      <c r="BF76" s="309"/>
      <c r="BG76" s="310"/>
    </row>
    <row r="77" spans="1:59">
      <c r="A77" s="195">
        <v>66</v>
      </c>
      <c r="B77" s="308"/>
      <c r="C77" s="309"/>
      <c r="D77" s="309"/>
      <c r="E77" s="309"/>
      <c r="F77" s="309"/>
      <c r="G77" s="309"/>
      <c r="H77" s="309"/>
      <c r="I77" s="309"/>
      <c r="J77" s="309"/>
      <c r="K77" s="309"/>
      <c r="L77" s="309"/>
      <c r="M77" s="309"/>
      <c r="N77" s="310"/>
      <c r="P77" s="195">
        <v>66</v>
      </c>
      <c r="Q77" s="308"/>
      <c r="R77" s="309"/>
      <c r="S77" s="309"/>
      <c r="T77" s="309"/>
      <c r="U77" s="309"/>
      <c r="V77" s="309"/>
      <c r="W77" s="309"/>
      <c r="X77" s="309"/>
      <c r="Y77" s="309"/>
      <c r="Z77" s="309"/>
      <c r="AA77" s="309"/>
      <c r="AB77" s="309"/>
      <c r="AC77" s="310"/>
      <c r="AE77" s="195">
        <v>66</v>
      </c>
      <c r="AF77" s="308"/>
      <c r="AG77" s="309"/>
      <c r="AH77" s="309"/>
      <c r="AI77" s="309"/>
      <c r="AJ77" s="309"/>
      <c r="AK77" s="309"/>
      <c r="AL77" s="309"/>
      <c r="AM77" s="309"/>
      <c r="AN77" s="309"/>
      <c r="AO77" s="309"/>
      <c r="AP77" s="309"/>
      <c r="AQ77" s="309"/>
      <c r="AR77" s="310"/>
      <c r="AT77" s="195">
        <v>66</v>
      </c>
      <c r="AU77" s="308"/>
      <c r="AV77" s="309"/>
      <c r="AW77" s="309"/>
      <c r="AX77" s="309"/>
      <c r="AY77" s="309"/>
      <c r="AZ77" s="309"/>
      <c r="BA77" s="309"/>
      <c r="BB77" s="309"/>
      <c r="BC77" s="309"/>
      <c r="BD77" s="309"/>
      <c r="BE77" s="309"/>
      <c r="BF77" s="309"/>
      <c r="BG77" s="310"/>
    </row>
    <row r="78" spans="1:59">
      <c r="A78" s="195">
        <v>67</v>
      </c>
      <c r="B78" s="308"/>
      <c r="C78" s="309"/>
      <c r="D78" s="309"/>
      <c r="E78" s="309"/>
      <c r="F78" s="309"/>
      <c r="G78" s="309"/>
      <c r="H78" s="309"/>
      <c r="I78" s="309"/>
      <c r="J78" s="309"/>
      <c r="K78" s="309"/>
      <c r="L78" s="309"/>
      <c r="M78" s="309"/>
      <c r="N78" s="310"/>
      <c r="P78" s="195">
        <v>67</v>
      </c>
      <c r="Q78" s="308"/>
      <c r="R78" s="309"/>
      <c r="S78" s="309"/>
      <c r="T78" s="309"/>
      <c r="U78" s="309"/>
      <c r="V78" s="309"/>
      <c r="W78" s="309"/>
      <c r="X78" s="309"/>
      <c r="Y78" s="309"/>
      <c r="Z78" s="309"/>
      <c r="AA78" s="309"/>
      <c r="AB78" s="309"/>
      <c r="AC78" s="310"/>
      <c r="AE78" s="195">
        <v>67</v>
      </c>
      <c r="AF78" s="308"/>
      <c r="AG78" s="309"/>
      <c r="AH78" s="309"/>
      <c r="AI78" s="309"/>
      <c r="AJ78" s="309"/>
      <c r="AK78" s="309"/>
      <c r="AL78" s="309"/>
      <c r="AM78" s="309"/>
      <c r="AN78" s="309"/>
      <c r="AO78" s="309"/>
      <c r="AP78" s="309"/>
      <c r="AQ78" s="309"/>
      <c r="AR78" s="310"/>
      <c r="AT78" s="195">
        <v>67</v>
      </c>
      <c r="AU78" s="308"/>
      <c r="AV78" s="309"/>
      <c r="AW78" s="309"/>
      <c r="AX78" s="309"/>
      <c r="AY78" s="309"/>
      <c r="AZ78" s="309"/>
      <c r="BA78" s="309"/>
      <c r="BB78" s="309"/>
      <c r="BC78" s="309"/>
      <c r="BD78" s="309"/>
      <c r="BE78" s="309"/>
      <c r="BF78" s="309"/>
      <c r="BG78" s="310"/>
    </row>
    <row r="79" spans="1:59">
      <c r="A79" s="195">
        <v>68</v>
      </c>
      <c r="B79" s="308"/>
      <c r="C79" s="309"/>
      <c r="D79" s="309"/>
      <c r="E79" s="309"/>
      <c r="F79" s="309"/>
      <c r="G79" s="309"/>
      <c r="H79" s="309"/>
      <c r="I79" s="309"/>
      <c r="J79" s="309"/>
      <c r="K79" s="309"/>
      <c r="L79" s="309"/>
      <c r="M79" s="309"/>
      <c r="N79" s="310"/>
      <c r="P79" s="195">
        <v>68</v>
      </c>
      <c r="Q79" s="308"/>
      <c r="R79" s="309"/>
      <c r="S79" s="309"/>
      <c r="T79" s="309"/>
      <c r="U79" s="309"/>
      <c r="V79" s="309"/>
      <c r="W79" s="309"/>
      <c r="X79" s="309"/>
      <c r="Y79" s="309"/>
      <c r="Z79" s="309"/>
      <c r="AA79" s="309"/>
      <c r="AB79" s="309"/>
      <c r="AC79" s="310"/>
      <c r="AE79" s="195">
        <v>68</v>
      </c>
      <c r="AF79" s="308"/>
      <c r="AG79" s="309"/>
      <c r="AH79" s="309"/>
      <c r="AI79" s="309"/>
      <c r="AJ79" s="309"/>
      <c r="AK79" s="309"/>
      <c r="AL79" s="309"/>
      <c r="AM79" s="309"/>
      <c r="AN79" s="309"/>
      <c r="AO79" s="309"/>
      <c r="AP79" s="309"/>
      <c r="AQ79" s="309"/>
      <c r="AR79" s="310"/>
      <c r="AT79" s="195">
        <v>68</v>
      </c>
      <c r="AU79" s="308"/>
      <c r="AV79" s="309"/>
      <c r="AW79" s="309"/>
      <c r="AX79" s="309"/>
      <c r="AY79" s="309"/>
      <c r="AZ79" s="309"/>
      <c r="BA79" s="309"/>
      <c r="BB79" s="309"/>
      <c r="BC79" s="309"/>
      <c r="BD79" s="309"/>
      <c r="BE79" s="309"/>
      <c r="BF79" s="309"/>
      <c r="BG79" s="310"/>
    </row>
    <row r="80" spans="1:59">
      <c r="A80" s="195">
        <v>69</v>
      </c>
      <c r="B80" s="308"/>
      <c r="C80" s="309"/>
      <c r="D80" s="309"/>
      <c r="E80" s="309"/>
      <c r="F80" s="309"/>
      <c r="G80" s="309"/>
      <c r="H80" s="309"/>
      <c r="I80" s="309"/>
      <c r="J80" s="309"/>
      <c r="K80" s="309"/>
      <c r="L80" s="309"/>
      <c r="M80" s="309"/>
      <c r="N80" s="310"/>
      <c r="P80" s="195">
        <v>69</v>
      </c>
      <c r="Q80" s="308"/>
      <c r="R80" s="309"/>
      <c r="S80" s="309"/>
      <c r="T80" s="309"/>
      <c r="U80" s="309"/>
      <c r="V80" s="309"/>
      <c r="W80" s="309"/>
      <c r="X80" s="309"/>
      <c r="Y80" s="309"/>
      <c r="Z80" s="309"/>
      <c r="AA80" s="309"/>
      <c r="AB80" s="309"/>
      <c r="AC80" s="310"/>
      <c r="AE80" s="195">
        <v>69</v>
      </c>
      <c r="AF80" s="308"/>
      <c r="AG80" s="309"/>
      <c r="AH80" s="309"/>
      <c r="AI80" s="309"/>
      <c r="AJ80" s="309"/>
      <c r="AK80" s="309"/>
      <c r="AL80" s="309"/>
      <c r="AM80" s="309"/>
      <c r="AN80" s="309"/>
      <c r="AO80" s="309"/>
      <c r="AP80" s="309"/>
      <c r="AQ80" s="309"/>
      <c r="AR80" s="310"/>
      <c r="AT80" s="195">
        <v>69</v>
      </c>
      <c r="AU80" s="308"/>
      <c r="AV80" s="309"/>
      <c r="AW80" s="309"/>
      <c r="AX80" s="309"/>
      <c r="AY80" s="309"/>
      <c r="AZ80" s="309"/>
      <c r="BA80" s="309"/>
      <c r="BB80" s="309"/>
      <c r="BC80" s="309"/>
      <c r="BD80" s="309"/>
      <c r="BE80" s="309"/>
      <c r="BF80" s="309"/>
      <c r="BG80" s="310"/>
    </row>
    <row r="81" spans="1:59">
      <c r="A81" s="195">
        <v>70</v>
      </c>
      <c r="B81" s="308"/>
      <c r="C81" s="309"/>
      <c r="D81" s="309"/>
      <c r="E81" s="309"/>
      <c r="F81" s="309"/>
      <c r="G81" s="309"/>
      <c r="H81" s="309"/>
      <c r="I81" s="309"/>
      <c r="J81" s="309"/>
      <c r="K81" s="309"/>
      <c r="L81" s="309"/>
      <c r="M81" s="309"/>
      <c r="N81" s="310"/>
      <c r="P81" s="195">
        <v>70</v>
      </c>
      <c r="Q81" s="308"/>
      <c r="R81" s="309"/>
      <c r="S81" s="309"/>
      <c r="T81" s="309"/>
      <c r="U81" s="309"/>
      <c r="V81" s="309"/>
      <c r="W81" s="309"/>
      <c r="X81" s="309"/>
      <c r="Y81" s="309"/>
      <c r="Z81" s="309"/>
      <c r="AA81" s="309"/>
      <c r="AB81" s="309"/>
      <c r="AC81" s="310"/>
      <c r="AE81" s="195">
        <v>70</v>
      </c>
      <c r="AF81" s="308"/>
      <c r="AG81" s="309"/>
      <c r="AH81" s="309"/>
      <c r="AI81" s="309"/>
      <c r="AJ81" s="309"/>
      <c r="AK81" s="309"/>
      <c r="AL81" s="309"/>
      <c r="AM81" s="309"/>
      <c r="AN81" s="309"/>
      <c r="AO81" s="309"/>
      <c r="AP81" s="309"/>
      <c r="AQ81" s="309"/>
      <c r="AR81" s="310"/>
      <c r="AT81" s="195">
        <v>70</v>
      </c>
      <c r="AU81" s="308"/>
      <c r="AV81" s="309"/>
      <c r="AW81" s="309"/>
      <c r="AX81" s="309"/>
      <c r="AY81" s="309"/>
      <c r="AZ81" s="309"/>
      <c r="BA81" s="309"/>
      <c r="BB81" s="309"/>
      <c r="BC81" s="309"/>
      <c r="BD81" s="309"/>
      <c r="BE81" s="309"/>
      <c r="BF81" s="309"/>
      <c r="BG81" s="310"/>
    </row>
    <row r="82" spans="1:59">
      <c r="A82" s="195">
        <v>71</v>
      </c>
      <c r="B82" s="308"/>
      <c r="C82" s="309"/>
      <c r="D82" s="309"/>
      <c r="E82" s="309"/>
      <c r="F82" s="309"/>
      <c r="G82" s="309"/>
      <c r="H82" s="309"/>
      <c r="I82" s="309"/>
      <c r="J82" s="309"/>
      <c r="K82" s="309"/>
      <c r="L82" s="309"/>
      <c r="M82" s="309"/>
      <c r="N82" s="310"/>
      <c r="P82" s="195">
        <v>71</v>
      </c>
      <c r="Q82" s="308"/>
      <c r="R82" s="309"/>
      <c r="S82" s="309"/>
      <c r="T82" s="309"/>
      <c r="U82" s="309"/>
      <c r="V82" s="309"/>
      <c r="W82" s="309"/>
      <c r="X82" s="309"/>
      <c r="Y82" s="309"/>
      <c r="Z82" s="309"/>
      <c r="AA82" s="309"/>
      <c r="AB82" s="309"/>
      <c r="AC82" s="310"/>
      <c r="AE82" s="195">
        <v>71</v>
      </c>
      <c r="AF82" s="308"/>
      <c r="AG82" s="309"/>
      <c r="AH82" s="309"/>
      <c r="AI82" s="309"/>
      <c r="AJ82" s="309"/>
      <c r="AK82" s="309"/>
      <c r="AL82" s="309"/>
      <c r="AM82" s="309"/>
      <c r="AN82" s="309"/>
      <c r="AO82" s="309"/>
      <c r="AP82" s="309"/>
      <c r="AQ82" s="309"/>
      <c r="AR82" s="310"/>
      <c r="AT82" s="195">
        <v>71</v>
      </c>
      <c r="AU82" s="308"/>
      <c r="AV82" s="309"/>
      <c r="AW82" s="309"/>
      <c r="AX82" s="309"/>
      <c r="AY82" s="309"/>
      <c r="AZ82" s="309"/>
      <c r="BA82" s="309"/>
      <c r="BB82" s="309"/>
      <c r="BC82" s="309"/>
      <c r="BD82" s="309"/>
      <c r="BE82" s="309"/>
      <c r="BF82" s="309"/>
      <c r="BG82" s="310"/>
    </row>
    <row r="83" spans="1:59">
      <c r="A83" s="195">
        <v>72</v>
      </c>
      <c r="B83" s="308"/>
      <c r="C83" s="309"/>
      <c r="D83" s="309"/>
      <c r="E83" s="309"/>
      <c r="F83" s="309"/>
      <c r="G83" s="309"/>
      <c r="H83" s="309"/>
      <c r="I83" s="309"/>
      <c r="J83" s="309"/>
      <c r="K83" s="309"/>
      <c r="L83" s="309"/>
      <c r="M83" s="309"/>
      <c r="N83" s="310"/>
      <c r="P83" s="195">
        <v>72</v>
      </c>
      <c r="Q83" s="308"/>
      <c r="R83" s="309"/>
      <c r="S83" s="309"/>
      <c r="T83" s="309"/>
      <c r="U83" s="309"/>
      <c r="V83" s="309"/>
      <c r="W83" s="309"/>
      <c r="X83" s="309"/>
      <c r="Y83" s="309"/>
      <c r="Z83" s="309"/>
      <c r="AA83" s="309"/>
      <c r="AB83" s="309"/>
      <c r="AC83" s="310"/>
      <c r="AE83" s="195">
        <v>72</v>
      </c>
      <c r="AF83" s="308"/>
      <c r="AG83" s="309"/>
      <c r="AH83" s="309"/>
      <c r="AI83" s="309"/>
      <c r="AJ83" s="309"/>
      <c r="AK83" s="309"/>
      <c r="AL83" s="309"/>
      <c r="AM83" s="309"/>
      <c r="AN83" s="309"/>
      <c r="AO83" s="309"/>
      <c r="AP83" s="309"/>
      <c r="AQ83" s="309"/>
      <c r="AR83" s="310"/>
      <c r="AT83" s="195">
        <v>72</v>
      </c>
      <c r="AU83" s="308"/>
      <c r="AV83" s="309"/>
      <c r="AW83" s="309"/>
      <c r="AX83" s="309"/>
      <c r="AY83" s="309"/>
      <c r="AZ83" s="309"/>
      <c r="BA83" s="309"/>
      <c r="BB83" s="309"/>
      <c r="BC83" s="309"/>
      <c r="BD83" s="309"/>
      <c r="BE83" s="309"/>
      <c r="BF83" s="309"/>
      <c r="BG83" s="310"/>
    </row>
    <row r="84" spans="1:59">
      <c r="A84" s="195">
        <v>73</v>
      </c>
      <c r="B84" s="308"/>
      <c r="C84" s="309"/>
      <c r="D84" s="309"/>
      <c r="E84" s="309"/>
      <c r="F84" s="309"/>
      <c r="G84" s="309"/>
      <c r="H84" s="309"/>
      <c r="I84" s="309"/>
      <c r="J84" s="309"/>
      <c r="K84" s="309"/>
      <c r="L84" s="309"/>
      <c r="M84" s="309"/>
      <c r="N84" s="310"/>
      <c r="P84" s="195">
        <v>73</v>
      </c>
      <c r="Q84" s="308"/>
      <c r="R84" s="309"/>
      <c r="S84" s="309"/>
      <c r="T84" s="309"/>
      <c r="U84" s="309"/>
      <c r="V84" s="309"/>
      <c r="W84" s="309"/>
      <c r="X84" s="309"/>
      <c r="Y84" s="309"/>
      <c r="Z84" s="309"/>
      <c r="AA84" s="309"/>
      <c r="AB84" s="309"/>
      <c r="AC84" s="310"/>
      <c r="AE84" s="195">
        <v>73</v>
      </c>
      <c r="AF84" s="308"/>
      <c r="AG84" s="309"/>
      <c r="AH84" s="309"/>
      <c r="AI84" s="309"/>
      <c r="AJ84" s="309"/>
      <c r="AK84" s="309"/>
      <c r="AL84" s="309"/>
      <c r="AM84" s="309"/>
      <c r="AN84" s="309"/>
      <c r="AO84" s="309"/>
      <c r="AP84" s="309"/>
      <c r="AQ84" s="309"/>
      <c r="AR84" s="310"/>
      <c r="AT84" s="195">
        <v>73</v>
      </c>
      <c r="AU84" s="308"/>
      <c r="AV84" s="309"/>
      <c r="AW84" s="309"/>
      <c r="AX84" s="309"/>
      <c r="AY84" s="309"/>
      <c r="AZ84" s="309"/>
      <c r="BA84" s="309"/>
      <c r="BB84" s="309"/>
      <c r="BC84" s="309"/>
      <c r="BD84" s="309"/>
      <c r="BE84" s="309"/>
      <c r="BF84" s="309"/>
      <c r="BG84" s="310"/>
    </row>
    <row r="85" spans="1:59">
      <c r="A85" s="195">
        <v>74</v>
      </c>
      <c r="B85" s="308"/>
      <c r="C85" s="309"/>
      <c r="D85" s="309"/>
      <c r="E85" s="309"/>
      <c r="F85" s="309"/>
      <c r="G85" s="309"/>
      <c r="H85" s="309"/>
      <c r="I85" s="309"/>
      <c r="J85" s="309"/>
      <c r="K85" s="309"/>
      <c r="L85" s="309"/>
      <c r="M85" s="309"/>
      <c r="N85" s="310"/>
      <c r="P85" s="195">
        <v>74</v>
      </c>
      <c r="Q85" s="308"/>
      <c r="R85" s="309"/>
      <c r="S85" s="309"/>
      <c r="T85" s="309"/>
      <c r="U85" s="309"/>
      <c r="V85" s="309"/>
      <c r="W85" s="309"/>
      <c r="X85" s="309"/>
      <c r="Y85" s="309"/>
      <c r="Z85" s="309"/>
      <c r="AA85" s="309"/>
      <c r="AB85" s="309"/>
      <c r="AC85" s="310"/>
      <c r="AE85" s="195">
        <v>74</v>
      </c>
      <c r="AF85" s="308"/>
      <c r="AG85" s="309"/>
      <c r="AH85" s="309"/>
      <c r="AI85" s="309"/>
      <c r="AJ85" s="309"/>
      <c r="AK85" s="309"/>
      <c r="AL85" s="309"/>
      <c r="AM85" s="309"/>
      <c r="AN85" s="309"/>
      <c r="AO85" s="309"/>
      <c r="AP85" s="309"/>
      <c r="AQ85" s="309"/>
      <c r="AR85" s="310"/>
      <c r="AT85" s="195">
        <v>74</v>
      </c>
      <c r="AU85" s="308"/>
      <c r="AV85" s="309"/>
      <c r="AW85" s="309"/>
      <c r="AX85" s="309"/>
      <c r="AY85" s="309"/>
      <c r="AZ85" s="309"/>
      <c r="BA85" s="309"/>
      <c r="BB85" s="309"/>
      <c r="BC85" s="309"/>
      <c r="BD85" s="309"/>
      <c r="BE85" s="309"/>
      <c r="BF85" s="309"/>
      <c r="BG85" s="310"/>
    </row>
    <row r="86" spans="1:59">
      <c r="A86" s="195">
        <v>75</v>
      </c>
      <c r="B86" s="308"/>
      <c r="C86" s="309"/>
      <c r="D86" s="309"/>
      <c r="E86" s="309"/>
      <c r="F86" s="309"/>
      <c r="G86" s="309"/>
      <c r="H86" s="309"/>
      <c r="I86" s="309"/>
      <c r="J86" s="309"/>
      <c r="K86" s="309"/>
      <c r="L86" s="309"/>
      <c r="M86" s="309"/>
      <c r="N86" s="310"/>
      <c r="P86" s="195">
        <v>75</v>
      </c>
      <c r="Q86" s="308"/>
      <c r="R86" s="309"/>
      <c r="S86" s="309"/>
      <c r="T86" s="309"/>
      <c r="U86" s="309"/>
      <c r="V86" s="309"/>
      <c r="W86" s="309"/>
      <c r="X86" s="309"/>
      <c r="Y86" s="309"/>
      <c r="Z86" s="309"/>
      <c r="AA86" s="309"/>
      <c r="AB86" s="309"/>
      <c r="AC86" s="310"/>
      <c r="AE86" s="195">
        <v>75</v>
      </c>
      <c r="AF86" s="308"/>
      <c r="AG86" s="309"/>
      <c r="AH86" s="309"/>
      <c r="AI86" s="309"/>
      <c r="AJ86" s="309"/>
      <c r="AK86" s="309"/>
      <c r="AL86" s="309"/>
      <c r="AM86" s="309"/>
      <c r="AN86" s="309"/>
      <c r="AO86" s="309"/>
      <c r="AP86" s="309"/>
      <c r="AQ86" s="309"/>
      <c r="AR86" s="310"/>
      <c r="AT86" s="195">
        <v>75</v>
      </c>
      <c r="AU86" s="308"/>
      <c r="AV86" s="309"/>
      <c r="AW86" s="309"/>
      <c r="AX86" s="309"/>
      <c r="AY86" s="309"/>
      <c r="AZ86" s="309"/>
      <c r="BA86" s="309"/>
      <c r="BB86" s="309"/>
      <c r="BC86" s="309"/>
      <c r="BD86" s="309"/>
      <c r="BE86" s="309"/>
      <c r="BF86" s="309"/>
      <c r="BG86" s="310"/>
    </row>
    <row r="87" spans="1:59">
      <c r="A87" s="195">
        <v>76</v>
      </c>
      <c r="B87" s="308"/>
      <c r="C87" s="309"/>
      <c r="D87" s="309"/>
      <c r="E87" s="309"/>
      <c r="F87" s="309"/>
      <c r="G87" s="309"/>
      <c r="H87" s="309"/>
      <c r="I87" s="309"/>
      <c r="J87" s="309"/>
      <c r="K87" s="309"/>
      <c r="L87" s="309"/>
      <c r="M87" s="309"/>
      <c r="N87" s="310"/>
      <c r="P87" s="195">
        <v>76</v>
      </c>
      <c r="Q87" s="308"/>
      <c r="R87" s="309"/>
      <c r="S87" s="309"/>
      <c r="T87" s="309"/>
      <c r="U87" s="309"/>
      <c r="V87" s="309"/>
      <c r="W87" s="309"/>
      <c r="X87" s="309"/>
      <c r="Y87" s="309"/>
      <c r="Z87" s="309"/>
      <c r="AA87" s="309"/>
      <c r="AB87" s="309"/>
      <c r="AC87" s="310"/>
      <c r="AE87" s="195">
        <v>76</v>
      </c>
      <c r="AF87" s="308"/>
      <c r="AG87" s="309"/>
      <c r="AH87" s="309"/>
      <c r="AI87" s="309"/>
      <c r="AJ87" s="309"/>
      <c r="AK87" s="309"/>
      <c r="AL87" s="309"/>
      <c r="AM87" s="309"/>
      <c r="AN87" s="309"/>
      <c r="AO87" s="309"/>
      <c r="AP87" s="309"/>
      <c r="AQ87" s="309"/>
      <c r="AR87" s="310"/>
      <c r="AT87" s="195">
        <v>76</v>
      </c>
      <c r="AU87" s="308"/>
      <c r="AV87" s="309"/>
      <c r="AW87" s="309"/>
      <c r="AX87" s="309"/>
      <c r="AY87" s="309"/>
      <c r="AZ87" s="309"/>
      <c r="BA87" s="309"/>
      <c r="BB87" s="309"/>
      <c r="BC87" s="309"/>
      <c r="BD87" s="309"/>
      <c r="BE87" s="309"/>
      <c r="BF87" s="309"/>
      <c r="BG87" s="310"/>
    </row>
    <row r="88" spans="1:59">
      <c r="A88" s="195">
        <v>77</v>
      </c>
      <c r="B88" s="308"/>
      <c r="C88" s="309"/>
      <c r="D88" s="309"/>
      <c r="E88" s="309"/>
      <c r="F88" s="309"/>
      <c r="G88" s="309"/>
      <c r="H88" s="309"/>
      <c r="I88" s="309"/>
      <c r="J88" s="309"/>
      <c r="K88" s="309"/>
      <c r="L88" s="309"/>
      <c r="M88" s="309"/>
      <c r="N88" s="310"/>
      <c r="P88" s="195">
        <v>77</v>
      </c>
      <c r="Q88" s="308"/>
      <c r="R88" s="309"/>
      <c r="S88" s="309"/>
      <c r="T88" s="309"/>
      <c r="U88" s="309"/>
      <c r="V88" s="309"/>
      <c r="W88" s="309"/>
      <c r="X88" s="309"/>
      <c r="Y88" s="309"/>
      <c r="Z88" s="309"/>
      <c r="AA88" s="309"/>
      <c r="AB88" s="309"/>
      <c r="AC88" s="310"/>
      <c r="AE88" s="195">
        <v>77</v>
      </c>
      <c r="AF88" s="308"/>
      <c r="AG88" s="309"/>
      <c r="AH88" s="309"/>
      <c r="AI88" s="309"/>
      <c r="AJ88" s="309"/>
      <c r="AK88" s="309"/>
      <c r="AL88" s="309"/>
      <c r="AM88" s="309"/>
      <c r="AN88" s="309"/>
      <c r="AO88" s="309"/>
      <c r="AP88" s="309"/>
      <c r="AQ88" s="309"/>
      <c r="AR88" s="310"/>
      <c r="AT88" s="195">
        <v>77</v>
      </c>
      <c r="AU88" s="308"/>
      <c r="AV88" s="309"/>
      <c r="AW88" s="309"/>
      <c r="AX88" s="309"/>
      <c r="AY88" s="309"/>
      <c r="AZ88" s="309"/>
      <c r="BA88" s="309"/>
      <c r="BB88" s="309"/>
      <c r="BC88" s="309"/>
      <c r="BD88" s="309"/>
      <c r="BE88" s="309"/>
      <c r="BF88" s="309"/>
      <c r="BG88" s="310"/>
    </row>
    <row r="89" spans="1:59">
      <c r="A89" s="195">
        <v>78</v>
      </c>
      <c r="B89" s="308"/>
      <c r="C89" s="309"/>
      <c r="D89" s="309"/>
      <c r="E89" s="309"/>
      <c r="F89" s="309"/>
      <c r="G89" s="309"/>
      <c r="H89" s="309"/>
      <c r="I89" s="309"/>
      <c r="J89" s="309"/>
      <c r="K89" s="309"/>
      <c r="L89" s="309"/>
      <c r="M89" s="309"/>
      <c r="N89" s="310"/>
      <c r="P89" s="195">
        <v>78</v>
      </c>
      <c r="Q89" s="308"/>
      <c r="R89" s="309"/>
      <c r="S89" s="309"/>
      <c r="T89" s="309"/>
      <c r="U89" s="309"/>
      <c r="V89" s="309"/>
      <c r="W89" s="309"/>
      <c r="X89" s="309"/>
      <c r="Y89" s="309"/>
      <c r="Z89" s="309"/>
      <c r="AA89" s="309"/>
      <c r="AB89" s="309"/>
      <c r="AC89" s="310"/>
      <c r="AE89" s="195">
        <v>78</v>
      </c>
      <c r="AF89" s="308"/>
      <c r="AG89" s="309"/>
      <c r="AH89" s="309"/>
      <c r="AI89" s="309"/>
      <c r="AJ89" s="309"/>
      <c r="AK89" s="309"/>
      <c r="AL89" s="309"/>
      <c r="AM89" s="309"/>
      <c r="AN89" s="309"/>
      <c r="AO89" s="309"/>
      <c r="AP89" s="309"/>
      <c r="AQ89" s="309"/>
      <c r="AR89" s="310"/>
      <c r="AT89" s="195">
        <v>78</v>
      </c>
      <c r="AU89" s="308"/>
      <c r="AV89" s="309"/>
      <c r="AW89" s="309"/>
      <c r="AX89" s="309"/>
      <c r="AY89" s="309"/>
      <c r="AZ89" s="309"/>
      <c r="BA89" s="309"/>
      <c r="BB89" s="309"/>
      <c r="BC89" s="309"/>
      <c r="BD89" s="309"/>
      <c r="BE89" s="309"/>
      <c r="BF89" s="309"/>
      <c r="BG89" s="310"/>
    </row>
    <row r="90" spans="1:59">
      <c r="A90" s="195">
        <v>79</v>
      </c>
      <c r="B90" s="308"/>
      <c r="C90" s="309"/>
      <c r="D90" s="309"/>
      <c r="E90" s="309"/>
      <c r="F90" s="309"/>
      <c r="G90" s="309"/>
      <c r="H90" s="309"/>
      <c r="I90" s="309"/>
      <c r="J90" s="309"/>
      <c r="K90" s="309"/>
      <c r="L90" s="309"/>
      <c r="M90" s="309"/>
      <c r="N90" s="310"/>
      <c r="P90" s="195">
        <v>79</v>
      </c>
      <c r="Q90" s="308"/>
      <c r="R90" s="309"/>
      <c r="S90" s="309"/>
      <c r="T90" s="309"/>
      <c r="U90" s="309"/>
      <c r="V90" s="309"/>
      <c r="W90" s="309"/>
      <c r="X90" s="309"/>
      <c r="Y90" s="309"/>
      <c r="Z90" s="309"/>
      <c r="AA90" s="309"/>
      <c r="AB90" s="309"/>
      <c r="AC90" s="310"/>
      <c r="AE90" s="195">
        <v>79</v>
      </c>
      <c r="AF90" s="308"/>
      <c r="AG90" s="309"/>
      <c r="AH90" s="309"/>
      <c r="AI90" s="309"/>
      <c r="AJ90" s="309"/>
      <c r="AK90" s="309"/>
      <c r="AL90" s="309"/>
      <c r="AM90" s="309"/>
      <c r="AN90" s="309"/>
      <c r="AO90" s="309"/>
      <c r="AP90" s="309"/>
      <c r="AQ90" s="309"/>
      <c r="AR90" s="310"/>
      <c r="AT90" s="195">
        <v>79</v>
      </c>
      <c r="AU90" s="308"/>
      <c r="AV90" s="309"/>
      <c r="AW90" s="309"/>
      <c r="AX90" s="309"/>
      <c r="AY90" s="309"/>
      <c r="AZ90" s="309"/>
      <c r="BA90" s="309"/>
      <c r="BB90" s="309"/>
      <c r="BC90" s="309"/>
      <c r="BD90" s="309"/>
      <c r="BE90" s="309"/>
      <c r="BF90" s="309"/>
      <c r="BG90" s="310"/>
    </row>
    <row r="91" spans="1:59">
      <c r="A91" s="195">
        <v>80</v>
      </c>
      <c r="B91" s="308"/>
      <c r="C91" s="309"/>
      <c r="D91" s="309"/>
      <c r="E91" s="309"/>
      <c r="F91" s="309"/>
      <c r="G91" s="309"/>
      <c r="H91" s="309"/>
      <c r="I91" s="309"/>
      <c r="J91" s="309"/>
      <c r="K91" s="309"/>
      <c r="L91" s="309"/>
      <c r="M91" s="309"/>
      <c r="N91" s="310"/>
      <c r="P91" s="195">
        <v>80</v>
      </c>
      <c r="Q91" s="308"/>
      <c r="R91" s="309"/>
      <c r="S91" s="309"/>
      <c r="T91" s="309"/>
      <c r="U91" s="309"/>
      <c r="V91" s="309"/>
      <c r="W91" s="309"/>
      <c r="X91" s="309"/>
      <c r="Y91" s="309"/>
      <c r="Z91" s="309"/>
      <c r="AA91" s="309"/>
      <c r="AB91" s="309"/>
      <c r="AC91" s="310"/>
      <c r="AE91" s="195">
        <v>80</v>
      </c>
      <c r="AF91" s="308"/>
      <c r="AG91" s="309"/>
      <c r="AH91" s="309"/>
      <c r="AI91" s="309"/>
      <c r="AJ91" s="309"/>
      <c r="AK91" s="309"/>
      <c r="AL91" s="309"/>
      <c r="AM91" s="309"/>
      <c r="AN91" s="309"/>
      <c r="AO91" s="309"/>
      <c r="AP91" s="309"/>
      <c r="AQ91" s="309"/>
      <c r="AR91" s="310"/>
      <c r="AT91" s="195">
        <v>80</v>
      </c>
      <c r="AU91" s="308"/>
      <c r="AV91" s="309"/>
      <c r="AW91" s="309"/>
      <c r="AX91" s="309"/>
      <c r="AY91" s="309"/>
      <c r="AZ91" s="309"/>
      <c r="BA91" s="309"/>
      <c r="BB91" s="309"/>
      <c r="BC91" s="309"/>
      <c r="BD91" s="309"/>
      <c r="BE91" s="309"/>
      <c r="BF91" s="309"/>
      <c r="BG91" s="310"/>
    </row>
    <row r="92" spans="1:59">
      <c r="A92" s="195">
        <v>81</v>
      </c>
      <c r="B92" s="308"/>
      <c r="C92" s="309"/>
      <c r="D92" s="309"/>
      <c r="E92" s="309"/>
      <c r="F92" s="309"/>
      <c r="G92" s="309"/>
      <c r="H92" s="309"/>
      <c r="I92" s="309"/>
      <c r="J92" s="309"/>
      <c r="K92" s="309"/>
      <c r="L92" s="309"/>
      <c r="M92" s="309"/>
      <c r="N92" s="310"/>
      <c r="P92" s="195">
        <v>81</v>
      </c>
      <c r="Q92" s="308"/>
      <c r="R92" s="309"/>
      <c r="S92" s="309"/>
      <c r="T92" s="309"/>
      <c r="U92" s="309"/>
      <c r="V92" s="309"/>
      <c r="W92" s="309"/>
      <c r="X92" s="309"/>
      <c r="Y92" s="309"/>
      <c r="Z92" s="309"/>
      <c r="AA92" s="309"/>
      <c r="AB92" s="309"/>
      <c r="AC92" s="310"/>
      <c r="AE92" s="195">
        <v>81</v>
      </c>
      <c r="AF92" s="308"/>
      <c r="AG92" s="309"/>
      <c r="AH92" s="309"/>
      <c r="AI92" s="309"/>
      <c r="AJ92" s="309"/>
      <c r="AK92" s="309"/>
      <c r="AL92" s="309"/>
      <c r="AM92" s="309"/>
      <c r="AN92" s="309"/>
      <c r="AO92" s="309"/>
      <c r="AP92" s="309"/>
      <c r="AQ92" s="309"/>
      <c r="AR92" s="310"/>
      <c r="AT92" s="195">
        <v>81</v>
      </c>
      <c r="AU92" s="308"/>
      <c r="AV92" s="309"/>
      <c r="AW92" s="309"/>
      <c r="AX92" s="309"/>
      <c r="AY92" s="309"/>
      <c r="AZ92" s="309"/>
      <c r="BA92" s="309"/>
      <c r="BB92" s="309"/>
      <c r="BC92" s="309"/>
      <c r="BD92" s="309"/>
      <c r="BE92" s="309"/>
      <c r="BF92" s="309"/>
      <c r="BG92" s="310"/>
    </row>
    <row r="93" spans="1:59">
      <c r="A93" s="195">
        <v>82</v>
      </c>
      <c r="B93" s="308"/>
      <c r="C93" s="309"/>
      <c r="D93" s="309"/>
      <c r="E93" s="309"/>
      <c r="F93" s="309"/>
      <c r="G93" s="309"/>
      <c r="H93" s="309"/>
      <c r="I93" s="309"/>
      <c r="J93" s="309"/>
      <c r="K93" s="309"/>
      <c r="L93" s="309"/>
      <c r="M93" s="309"/>
      <c r="N93" s="310"/>
      <c r="P93" s="195">
        <v>82</v>
      </c>
      <c r="Q93" s="308"/>
      <c r="R93" s="309"/>
      <c r="S93" s="309"/>
      <c r="T93" s="309"/>
      <c r="U93" s="309"/>
      <c r="V93" s="309"/>
      <c r="W93" s="309"/>
      <c r="X93" s="309"/>
      <c r="Y93" s="309"/>
      <c r="Z93" s="309"/>
      <c r="AA93" s="309"/>
      <c r="AB93" s="309"/>
      <c r="AC93" s="310"/>
      <c r="AE93" s="195">
        <v>82</v>
      </c>
      <c r="AF93" s="308"/>
      <c r="AG93" s="309"/>
      <c r="AH93" s="309"/>
      <c r="AI93" s="309"/>
      <c r="AJ93" s="309"/>
      <c r="AK93" s="309"/>
      <c r="AL93" s="309"/>
      <c r="AM93" s="309"/>
      <c r="AN93" s="309"/>
      <c r="AO93" s="309"/>
      <c r="AP93" s="309"/>
      <c r="AQ93" s="309"/>
      <c r="AR93" s="310"/>
      <c r="AT93" s="195">
        <v>82</v>
      </c>
      <c r="AU93" s="308"/>
      <c r="AV93" s="309"/>
      <c r="AW93" s="309"/>
      <c r="AX93" s="309"/>
      <c r="AY93" s="309"/>
      <c r="AZ93" s="309"/>
      <c r="BA93" s="309"/>
      <c r="BB93" s="309"/>
      <c r="BC93" s="309"/>
      <c r="BD93" s="309"/>
      <c r="BE93" s="309"/>
      <c r="BF93" s="309"/>
      <c r="BG93" s="310"/>
    </row>
    <row r="94" spans="1:59">
      <c r="A94" s="195">
        <v>83</v>
      </c>
      <c r="B94" s="308"/>
      <c r="C94" s="309"/>
      <c r="D94" s="309"/>
      <c r="E94" s="309"/>
      <c r="F94" s="309"/>
      <c r="G94" s="309"/>
      <c r="H94" s="309"/>
      <c r="I94" s="309"/>
      <c r="J94" s="309"/>
      <c r="K94" s="309"/>
      <c r="L94" s="309"/>
      <c r="M94" s="309"/>
      <c r="N94" s="310"/>
      <c r="P94" s="195">
        <v>83</v>
      </c>
      <c r="Q94" s="308"/>
      <c r="R94" s="309"/>
      <c r="S94" s="309"/>
      <c r="T94" s="309"/>
      <c r="U94" s="309"/>
      <c r="V94" s="309"/>
      <c r="W94" s="309"/>
      <c r="X94" s="309"/>
      <c r="Y94" s="309"/>
      <c r="Z94" s="309"/>
      <c r="AA94" s="309"/>
      <c r="AB94" s="309"/>
      <c r="AC94" s="310"/>
      <c r="AE94" s="195">
        <v>83</v>
      </c>
      <c r="AF94" s="308"/>
      <c r="AG94" s="309"/>
      <c r="AH94" s="309"/>
      <c r="AI94" s="309"/>
      <c r="AJ94" s="309"/>
      <c r="AK94" s="309"/>
      <c r="AL94" s="309"/>
      <c r="AM94" s="309"/>
      <c r="AN94" s="309"/>
      <c r="AO94" s="309"/>
      <c r="AP94" s="309"/>
      <c r="AQ94" s="309"/>
      <c r="AR94" s="310"/>
      <c r="AT94" s="195">
        <v>83</v>
      </c>
      <c r="AU94" s="308"/>
      <c r="AV94" s="309"/>
      <c r="AW94" s="309"/>
      <c r="AX94" s="309"/>
      <c r="AY94" s="309"/>
      <c r="AZ94" s="309"/>
      <c r="BA94" s="309"/>
      <c r="BB94" s="309"/>
      <c r="BC94" s="309"/>
      <c r="BD94" s="309"/>
      <c r="BE94" s="309"/>
      <c r="BF94" s="309"/>
      <c r="BG94" s="310"/>
    </row>
    <row r="95" spans="1:59">
      <c r="A95" s="195">
        <v>84</v>
      </c>
      <c r="B95" s="308"/>
      <c r="C95" s="309"/>
      <c r="D95" s="309"/>
      <c r="E95" s="309"/>
      <c r="F95" s="309"/>
      <c r="G95" s="309"/>
      <c r="H95" s="309"/>
      <c r="I95" s="309"/>
      <c r="J95" s="309"/>
      <c r="K95" s="309"/>
      <c r="L95" s="309"/>
      <c r="M95" s="309"/>
      <c r="N95" s="310"/>
      <c r="P95" s="195">
        <v>84</v>
      </c>
      <c r="Q95" s="308"/>
      <c r="R95" s="309"/>
      <c r="S95" s="309"/>
      <c r="T95" s="309"/>
      <c r="U95" s="309"/>
      <c r="V95" s="309"/>
      <c r="W95" s="309"/>
      <c r="X95" s="309"/>
      <c r="Y95" s="309"/>
      <c r="Z95" s="309"/>
      <c r="AA95" s="309"/>
      <c r="AB95" s="309"/>
      <c r="AC95" s="310"/>
      <c r="AE95" s="195">
        <v>84</v>
      </c>
      <c r="AF95" s="308"/>
      <c r="AG95" s="309"/>
      <c r="AH95" s="309"/>
      <c r="AI95" s="309"/>
      <c r="AJ95" s="309"/>
      <c r="AK95" s="309"/>
      <c r="AL95" s="309"/>
      <c r="AM95" s="309"/>
      <c r="AN95" s="309"/>
      <c r="AO95" s="309"/>
      <c r="AP95" s="309"/>
      <c r="AQ95" s="309"/>
      <c r="AR95" s="310"/>
      <c r="AT95" s="195">
        <v>84</v>
      </c>
      <c r="AU95" s="308"/>
      <c r="AV95" s="309"/>
      <c r="AW95" s="309"/>
      <c r="AX95" s="309"/>
      <c r="AY95" s="309"/>
      <c r="AZ95" s="309"/>
      <c r="BA95" s="309"/>
      <c r="BB95" s="309"/>
      <c r="BC95" s="309"/>
      <c r="BD95" s="309"/>
      <c r="BE95" s="309"/>
      <c r="BF95" s="309"/>
      <c r="BG95" s="310"/>
    </row>
    <row r="96" spans="1:59">
      <c r="A96" s="195">
        <v>85</v>
      </c>
      <c r="B96" s="308"/>
      <c r="C96" s="309"/>
      <c r="D96" s="309"/>
      <c r="E96" s="309"/>
      <c r="F96" s="309"/>
      <c r="G96" s="309"/>
      <c r="H96" s="309"/>
      <c r="I96" s="309"/>
      <c r="J96" s="309"/>
      <c r="K96" s="309"/>
      <c r="L96" s="309"/>
      <c r="M96" s="309"/>
      <c r="N96" s="310"/>
      <c r="P96" s="195">
        <v>85</v>
      </c>
      <c r="Q96" s="308"/>
      <c r="R96" s="309"/>
      <c r="S96" s="309"/>
      <c r="T96" s="309"/>
      <c r="U96" s="309"/>
      <c r="V96" s="309"/>
      <c r="W96" s="309"/>
      <c r="X96" s="309"/>
      <c r="Y96" s="309"/>
      <c r="Z96" s="309"/>
      <c r="AA96" s="309"/>
      <c r="AB96" s="309"/>
      <c r="AC96" s="310"/>
      <c r="AE96" s="195">
        <v>85</v>
      </c>
      <c r="AF96" s="308"/>
      <c r="AG96" s="309"/>
      <c r="AH96" s="309"/>
      <c r="AI96" s="309"/>
      <c r="AJ96" s="309"/>
      <c r="AK96" s="309"/>
      <c r="AL96" s="309"/>
      <c r="AM96" s="309"/>
      <c r="AN96" s="309"/>
      <c r="AO96" s="309"/>
      <c r="AP96" s="309"/>
      <c r="AQ96" s="309"/>
      <c r="AR96" s="310"/>
      <c r="AT96" s="195">
        <v>85</v>
      </c>
      <c r="AU96" s="308"/>
      <c r="AV96" s="309"/>
      <c r="AW96" s="309"/>
      <c r="AX96" s="309"/>
      <c r="AY96" s="309"/>
      <c r="AZ96" s="309"/>
      <c r="BA96" s="309"/>
      <c r="BB96" s="309"/>
      <c r="BC96" s="309"/>
      <c r="BD96" s="309"/>
      <c r="BE96" s="309"/>
      <c r="BF96" s="309"/>
      <c r="BG96" s="310"/>
    </row>
    <row r="97" spans="1:59">
      <c r="A97" s="195">
        <v>86</v>
      </c>
      <c r="B97" s="308"/>
      <c r="C97" s="309"/>
      <c r="D97" s="309"/>
      <c r="E97" s="309"/>
      <c r="F97" s="309"/>
      <c r="G97" s="309"/>
      <c r="H97" s="309"/>
      <c r="I97" s="309"/>
      <c r="J97" s="309"/>
      <c r="K97" s="309"/>
      <c r="L97" s="309"/>
      <c r="M97" s="309"/>
      <c r="N97" s="310"/>
      <c r="P97" s="195">
        <v>86</v>
      </c>
      <c r="Q97" s="308"/>
      <c r="R97" s="309"/>
      <c r="S97" s="309"/>
      <c r="T97" s="309"/>
      <c r="U97" s="309"/>
      <c r="V97" s="309"/>
      <c r="W97" s="309"/>
      <c r="X97" s="309"/>
      <c r="Y97" s="309"/>
      <c r="Z97" s="309"/>
      <c r="AA97" s="309"/>
      <c r="AB97" s="309"/>
      <c r="AC97" s="310"/>
      <c r="AE97" s="195">
        <v>86</v>
      </c>
      <c r="AF97" s="308"/>
      <c r="AG97" s="309"/>
      <c r="AH97" s="309"/>
      <c r="AI97" s="309"/>
      <c r="AJ97" s="309"/>
      <c r="AK97" s="309"/>
      <c r="AL97" s="309"/>
      <c r="AM97" s="309"/>
      <c r="AN97" s="309"/>
      <c r="AO97" s="309"/>
      <c r="AP97" s="309"/>
      <c r="AQ97" s="309"/>
      <c r="AR97" s="310"/>
      <c r="AT97" s="195">
        <v>86</v>
      </c>
      <c r="AU97" s="308"/>
      <c r="AV97" s="309"/>
      <c r="AW97" s="309"/>
      <c r="AX97" s="309"/>
      <c r="AY97" s="309"/>
      <c r="AZ97" s="309"/>
      <c r="BA97" s="309"/>
      <c r="BB97" s="309"/>
      <c r="BC97" s="309"/>
      <c r="BD97" s="309"/>
      <c r="BE97" s="309"/>
      <c r="BF97" s="309"/>
      <c r="BG97" s="310"/>
    </row>
    <row r="98" spans="1:59">
      <c r="A98" s="195">
        <v>87</v>
      </c>
      <c r="B98" s="308"/>
      <c r="C98" s="309"/>
      <c r="D98" s="309"/>
      <c r="E98" s="309"/>
      <c r="F98" s="309"/>
      <c r="G98" s="309"/>
      <c r="H98" s="309"/>
      <c r="I98" s="309"/>
      <c r="J98" s="309"/>
      <c r="K98" s="309"/>
      <c r="L98" s="309"/>
      <c r="M98" s="309"/>
      <c r="N98" s="310"/>
      <c r="P98" s="195">
        <v>87</v>
      </c>
      <c r="Q98" s="308"/>
      <c r="R98" s="309"/>
      <c r="S98" s="309"/>
      <c r="T98" s="309"/>
      <c r="U98" s="309"/>
      <c r="V98" s="309"/>
      <c r="W98" s="309"/>
      <c r="X98" s="309"/>
      <c r="Y98" s="309"/>
      <c r="Z98" s="309"/>
      <c r="AA98" s="309"/>
      <c r="AB98" s="309"/>
      <c r="AC98" s="310"/>
      <c r="AE98" s="195">
        <v>87</v>
      </c>
      <c r="AF98" s="308"/>
      <c r="AG98" s="309"/>
      <c r="AH98" s="309"/>
      <c r="AI98" s="309"/>
      <c r="AJ98" s="309"/>
      <c r="AK98" s="309"/>
      <c r="AL98" s="309"/>
      <c r="AM98" s="309"/>
      <c r="AN98" s="309"/>
      <c r="AO98" s="309"/>
      <c r="AP98" s="309"/>
      <c r="AQ98" s="309"/>
      <c r="AR98" s="310"/>
      <c r="AT98" s="195">
        <v>87</v>
      </c>
      <c r="AU98" s="308"/>
      <c r="AV98" s="309"/>
      <c r="AW98" s="309"/>
      <c r="AX98" s="309"/>
      <c r="AY98" s="309"/>
      <c r="AZ98" s="309"/>
      <c r="BA98" s="309"/>
      <c r="BB98" s="309"/>
      <c r="BC98" s="309"/>
      <c r="BD98" s="309"/>
      <c r="BE98" s="309"/>
      <c r="BF98" s="309"/>
      <c r="BG98" s="310"/>
    </row>
    <row r="99" spans="1:59">
      <c r="A99" s="195">
        <v>88</v>
      </c>
      <c r="B99" s="308"/>
      <c r="C99" s="309"/>
      <c r="D99" s="309"/>
      <c r="E99" s="309"/>
      <c r="F99" s="309"/>
      <c r="G99" s="309"/>
      <c r="H99" s="309"/>
      <c r="I99" s="309"/>
      <c r="J99" s="309"/>
      <c r="K99" s="309"/>
      <c r="L99" s="309"/>
      <c r="M99" s="309"/>
      <c r="N99" s="310"/>
      <c r="P99" s="195">
        <v>88</v>
      </c>
      <c r="Q99" s="308"/>
      <c r="R99" s="309"/>
      <c r="S99" s="309"/>
      <c r="T99" s="309"/>
      <c r="U99" s="309"/>
      <c r="V99" s="309"/>
      <c r="W99" s="309"/>
      <c r="X99" s="309"/>
      <c r="Y99" s="309"/>
      <c r="Z99" s="309"/>
      <c r="AA99" s="309"/>
      <c r="AB99" s="309"/>
      <c r="AC99" s="310"/>
      <c r="AE99" s="195">
        <v>88</v>
      </c>
      <c r="AF99" s="308"/>
      <c r="AG99" s="309"/>
      <c r="AH99" s="309"/>
      <c r="AI99" s="309"/>
      <c r="AJ99" s="309"/>
      <c r="AK99" s="309"/>
      <c r="AL99" s="309"/>
      <c r="AM99" s="309"/>
      <c r="AN99" s="309"/>
      <c r="AO99" s="309"/>
      <c r="AP99" s="309"/>
      <c r="AQ99" s="309"/>
      <c r="AR99" s="310"/>
      <c r="AT99" s="195">
        <v>88</v>
      </c>
      <c r="AU99" s="308"/>
      <c r="AV99" s="309"/>
      <c r="AW99" s="309"/>
      <c r="AX99" s="309"/>
      <c r="AY99" s="309"/>
      <c r="AZ99" s="309"/>
      <c r="BA99" s="309"/>
      <c r="BB99" s="309"/>
      <c r="BC99" s="309"/>
      <c r="BD99" s="309"/>
      <c r="BE99" s="309"/>
      <c r="BF99" s="309"/>
      <c r="BG99" s="310"/>
    </row>
    <row r="100" spans="1:59">
      <c r="A100" s="195">
        <v>89</v>
      </c>
      <c r="B100" s="308"/>
      <c r="C100" s="309"/>
      <c r="D100" s="309"/>
      <c r="E100" s="309"/>
      <c r="F100" s="309"/>
      <c r="G100" s="309"/>
      <c r="H100" s="309"/>
      <c r="I100" s="309"/>
      <c r="J100" s="309"/>
      <c r="K100" s="309"/>
      <c r="L100" s="309"/>
      <c r="M100" s="309"/>
      <c r="N100" s="310"/>
      <c r="P100" s="195">
        <v>89</v>
      </c>
      <c r="Q100" s="308"/>
      <c r="R100" s="309"/>
      <c r="S100" s="309"/>
      <c r="T100" s="309"/>
      <c r="U100" s="309"/>
      <c r="V100" s="309"/>
      <c r="W100" s="309"/>
      <c r="X100" s="309"/>
      <c r="Y100" s="309"/>
      <c r="Z100" s="309"/>
      <c r="AA100" s="309"/>
      <c r="AB100" s="309"/>
      <c r="AC100" s="310"/>
      <c r="AE100" s="195">
        <v>89</v>
      </c>
      <c r="AF100" s="308"/>
      <c r="AG100" s="309"/>
      <c r="AH100" s="309"/>
      <c r="AI100" s="309"/>
      <c r="AJ100" s="309"/>
      <c r="AK100" s="309"/>
      <c r="AL100" s="309"/>
      <c r="AM100" s="309"/>
      <c r="AN100" s="309"/>
      <c r="AO100" s="309"/>
      <c r="AP100" s="309"/>
      <c r="AQ100" s="309"/>
      <c r="AR100" s="310"/>
      <c r="AT100" s="195">
        <v>89</v>
      </c>
      <c r="AU100" s="308"/>
      <c r="AV100" s="309"/>
      <c r="AW100" s="309"/>
      <c r="AX100" s="309"/>
      <c r="AY100" s="309"/>
      <c r="AZ100" s="309"/>
      <c r="BA100" s="309"/>
      <c r="BB100" s="309"/>
      <c r="BC100" s="309"/>
      <c r="BD100" s="309"/>
      <c r="BE100" s="309"/>
      <c r="BF100" s="309"/>
      <c r="BG100" s="310"/>
    </row>
    <row r="101" spans="1:59">
      <c r="A101" s="195">
        <v>90</v>
      </c>
      <c r="B101" s="308"/>
      <c r="C101" s="309"/>
      <c r="D101" s="309"/>
      <c r="E101" s="309"/>
      <c r="F101" s="309"/>
      <c r="G101" s="309"/>
      <c r="H101" s="309"/>
      <c r="I101" s="309"/>
      <c r="J101" s="309"/>
      <c r="K101" s="309"/>
      <c r="L101" s="309"/>
      <c r="M101" s="309"/>
      <c r="N101" s="310"/>
      <c r="P101" s="195">
        <v>90</v>
      </c>
      <c r="Q101" s="308"/>
      <c r="R101" s="309"/>
      <c r="S101" s="309"/>
      <c r="T101" s="309"/>
      <c r="U101" s="309"/>
      <c r="V101" s="309"/>
      <c r="W101" s="309"/>
      <c r="X101" s="309"/>
      <c r="Y101" s="309"/>
      <c r="Z101" s="309"/>
      <c r="AA101" s="309"/>
      <c r="AB101" s="309"/>
      <c r="AC101" s="310"/>
      <c r="AE101" s="195">
        <v>90</v>
      </c>
      <c r="AF101" s="308"/>
      <c r="AG101" s="309"/>
      <c r="AH101" s="309"/>
      <c r="AI101" s="309"/>
      <c r="AJ101" s="309"/>
      <c r="AK101" s="309"/>
      <c r="AL101" s="309"/>
      <c r="AM101" s="309"/>
      <c r="AN101" s="309"/>
      <c r="AO101" s="309"/>
      <c r="AP101" s="309"/>
      <c r="AQ101" s="309"/>
      <c r="AR101" s="310"/>
      <c r="AT101" s="195">
        <v>90</v>
      </c>
      <c r="AU101" s="308"/>
      <c r="AV101" s="309"/>
      <c r="AW101" s="309"/>
      <c r="AX101" s="309"/>
      <c r="AY101" s="309"/>
      <c r="AZ101" s="309"/>
      <c r="BA101" s="309"/>
      <c r="BB101" s="309"/>
      <c r="BC101" s="309"/>
      <c r="BD101" s="309"/>
      <c r="BE101" s="309"/>
      <c r="BF101" s="309"/>
      <c r="BG101" s="310"/>
    </row>
    <row r="102" spans="1:59">
      <c r="A102" s="195">
        <v>91</v>
      </c>
      <c r="B102" s="308"/>
      <c r="C102" s="309"/>
      <c r="D102" s="309"/>
      <c r="E102" s="309"/>
      <c r="F102" s="309"/>
      <c r="G102" s="309"/>
      <c r="H102" s="309"/>
      <c r="I102" s="309"/>
      <c r="J102" s="309"/>
      <c r="K102" s="309"/>
      <c r="L102" s="309"/>
      <c r="M102" s="309"/>
      <c r="N102" s="310"/>
      <c r="P102" s="195">
        <v>91</v>
      </c>
      <c r="Q102" s="308"/>
      <c r="R102" s="309"/>
      <c r="S102" s="309"/>
      <c r="T102" s="309"/>
      <c r="U102" s="309"/>
      <c r="V102" s="309"/>
      <c r="W102" s="309"/>
      <c r="X102" s="309"/>
      <c r="Y102" s="309"/>
      <c r="Z102" s="309"/>
      <c r="AA102" s="309"/>
      <c r="AB102" s="309"/>
      <c r="AC102" s="310"/>
      <c r="AE102" s="195">
        <v>91</v>
      </c>
      <c r="AF102" s="308"/>
      <c r="AG102" s="309"/>
      <c r="AH102" s="309"/>
      <c r="AI102" s="309"/>
      <c r="AJ102" s="309"/>
      <c r="AK102" s="309"/>
      <c r="AL102" s="309"/>
      <c r="AM102" s="309"/>
      <c r="AN102" s="309"/>
      <c r="AO102" s="309"/>
      <c r="AP102" s="309"/>
      <c r="AQ102" s="309"/>
      <c r="AR102" s="310"/>
      <c r="AT102" s="195">
        <v>91</v>
      </c>
      <c r="AU102" s="308"/>
      <c r="AV102" s="309"/>
      <c r="AW102" s="309"/>
      <c r="AX102" s="309"/>
      <c r="AY102" s="309"/>
      <c r="AZ102" s="309"/>
      <c r="BA102" s="309"/>
      <c r="BB102" s="309"/>
      <c r="BC102" s="309"/>
      <c r="BD102" s="309"/>
      <c r="BE102" s="309"/>
      <c r="BF102" s="309"/>
      <c r="BG102" s="310"/>
    </row>
    <row r="103" spans="1:59">
      <c r="A103" s="195">
        <v>92</v>
      </c>
      <c r="B103" s="308"/>
      <c r="C103" s="309"/>
      <c r="D103" s="309"/>
      <c r="E103" s="309"/>
      <c r="F103" s="309"/>
      <c r="G103" s="309"/>
      <c r="H103" s="309"/>
      <c r="I103" s="309"/>
      <c r="J103" s="309"/>
      <c r="K103" s="309"/>
      <c r="L103" s="309"/>
      <c r="M103" s="309"/>
      <c r="N103" s="310"/>
      <c r="P103" s="195">
        <v>92</v>
      </c>
      <c r="Q103" s="308"/>
      <c r="R103" s="309"/>
      <c r="S103" s="309"/>
      <c r="T103" s="309"/>
      <c r="U103" s="309"/>
      <c r="V103" s="309"/>
      <c r="W103" s="309"/>
      <c r="X103" s="309"/>
      <c r="Y103" s="309"/>
      <c r="Z103" s="309"/>
      <c r="AA103" s="309"/>
      <c r="AB103" s="309"/>
      <c r="AC103" s="310"/>
      <c r="AE103" s="195">
        <v>92</v>
      </c>
      <c r="AF103" s="308"/>
      <c r="AG103" s="309"/>
      <c r="AH103" s="309"/>
      <c r="AI103" s="309"/>
      <c r="AJ103" s="309"/>
      <c r="AK103" s="309"/>
      <c r="AL103" s="309"/>
      <c r="AM103" s="309"/>
      <c r="AN103" s="309"/>
      <c r="AO103" s="309"/>
      <c r="AP103" s="309"/>
      <c r="AQ103" s="309"/>
      <c r="AR103" s="310"/>
      <c r="AT103" s="195">
        <v>92</v>
      </c>
      <c r="AU103" s="308"/>
      <c r="AV103" s="309"/>
      <c r="AW103" s="309"/>
      <c r="AX103" s="309"/>
      <c r="AY103" s="309"/>
      <c r="AZ103" s="309"/>
      <c r="BA103" s="309"/>
      <c r="BB103" s="309"/>
      <c r="BC103" s="309"/>
      <c r="BD103" s="309"/>
      <c r="BE103" s="309"/>
      <c r="BF103" s="309"/>
      <c r="BG103" s="310"/>
    </row>
    <row r="104" spans="1:59">
      <c r="A104" s="195">
        <v>93</v>
      </c>
      <c r="B104" s="308"/>
      <c r="C104" s="309"/>
      <c r="D104" s="309"/>
      <c r="E104" s="309"/>
      <c r="F104" s="309"/>
      <c r="G104" s="309"/>
      <c r="H104" s="309"/>
      <c r="I104" s="309"/>
      <c r="J104" s="309"/>
      <c r="K104" s="309"/>
      <c r="L104" s="309"/>
      <c r="M104" s="309"/>
      <c r="N104" s="310"/>
      <c r="P104" s="195">
        <v>93</v>
      </c>
      <c r="Q104" s="308"/>
      <c r="R104" s="309"/>
      <c r="S104" s="309"/>
      <c r="T104" s="309"/>
      <c r="U104" s="309"/>
      <c r="V104" s="309"/>
      <c r="W104" s="309"/>
      <c r="X104" s="309"/>
      <c r="Y104" s="309"/>
      <c r="Z104" s="309"/>
      <c r="AA104" s="309"/>
      <c r="AB104" s="309"/>
      <c r="AC104" s="310"/>
      <c r="AE104" s="195">
        <v>93</v>
      </c>
      <c r="AF104" s="308"/>
      <c r="AG104" s="309"/>
      <c r="AH104" s="309"/>
      <c r="AI104" s="309"/>
      <c r="AJ104" s="309"/>
      <c r="AK104" s="309"/>
      <c r="AL104" s="309"/>
      <c r="AM104" s="309"/>
      <c r="AN104" s="309"/>
      <c r="AO104" s="309"/>
      <c r="AP104" s="309"/>
      <c r="AQ104" s="309"/>
      <c r="AR104" s="310"/>
      <c r="AT104" s="195">
        <v>93</v>
      </c>
      <c r="AU104" s="308"/>
      <c r="AV104" s="309"/>
      <c r="AW104" s="309"/>
      <c r="AX104" s="309"/>
      <c r="AY104" s="309"/>
      <c r="AZ104" s="309"/>
      <c r="BA104" s="309"/>
      <c r="BB104" s="309"/>
      <c r="BC104" s="309"/>
      <c r="BD104" s="309"/>
      <c r="BE104" s="309"/>
      <c r="BF104" s="309"/>
      <c r="BG104" s="310"/>
    </row>
    <row r="105" spans="1:59">
      <c r="A105" s="195">
        <v>94</v>
      </c>
      <c r="B105" s="308"/>
      <c r="C105" s="309"/>
      <c r="D105" s="309"/>
      <c r="E105" s="309"/>
      <c r="F105" s="309"/>
      <c r="G105" s="309"/>
      <c r="H105" s="309"/>
      <c r="I105" s="309"/>
      <c r="J105" s="309"/>
      <c r="K105" s="309"/>
      <c r="L105" s="309"/>
      <c r="M105" s="309"/>
      <c r="N105" s="310"/>
      <c r="P105" s="195">
        <v>94</v>
      </c>
      <c r="Q105" s="308"/>
      <c r="R105" s="309"/>
      <c r="S105" s="309"/>
      <c r="T105" s="309"/>
      <c r="U105" s="309"/>
      <c r="V105" s="309"/>
      <c r="W105" s="309"/>
      <c r="X105" s="309"/>
      <c r="Y105" s="309"/>
      <c r="Z105" s="309"/>
      <c r="AA105" s="309"/>
      <c r="AB105" s="309"/>
      <c r="AC105" s="310"/>
      <c r="AE105" s="195">
        <v>94</v>
      </c>
      <c r="AF105" s="308"/>
      <c r="AG105" s="309"/>
      <c r="AH105" s="309"/>
      <c r="AI105" s="309"/>
      <c r="AJ105" s="309"/>
      <c r="AK105" s="309"/>
      <c r="AL105" s="309"/>
      <c r="AM105" s="309"/>
      <c r="AN105" s="309"/>
      <c r="AO105" s="309"/>
      <c r="AP105" s="309"/>
      <c r="AQ105" s="309"/>
      <c r="AR105" s="310"/>
      <c r="AT105" s="195">
        <v>94</v>
      </c>
      <c r="AU105" s="308"/>
      <c r="AV105" s="309"/>
      <c r="AW105" s="309"/>
      <c r="AX105" s="309"/>
      <c r="AY105" s="309"/>
      <c r="AZ105" s="309"/>
      <c r="BA105" s="309"/>
      <c r="BB105" s="309"/>
      <c r="BC105" s="309"/>
      <c r="BD105" s="309"/>
      <c r="BE105" s="309"/>
      <c r="BF105" s="309"/>
      <c r="BG105" s="310"/>
    </row>
    <row r="106" spans="1:59">
      <c r="A106" s="195">
        <v>95</v>
      </c>
      <c r="B106" s="308"/>
      <c r="C106" s="309"/>
      <c r="D106" s="309"/>
      <c r="E106" s="309"/>
      <c r="F106" s="309"/>
      <c r="G106" s="309"/>
      <c r="H106" s="309"/>
      <c r="I106" s="309"/>
      <c r="J106" s="309"/>
      <c r="K106" s="309"/>
      <c r="L106" s="309"/>
      <c r="M106" s="309"/>
      <c r="N106" s="310"/>
      <c r="P106" s="195">
        <v>95</v>
      </c>
      <c r="Q106" s="308"/>
      <c r="R106" s="309"/>
      <c r="S106" s="309"/>
      <c r="T106" s="309"/>
      <c r="U106" s="309"/>
      <c r="V106" s="309"/>
      <c r="W106" s="309"/>
      <c r="X106" s="309"/>
      <c r="Y106" s="309"/>
      <c r="Z106" s="309"/>
      <c r="AA106" s="309"/>
      <c r="AB106" s="309"/>
      <c r="AC106" s="310"/>
      <c r="AE106" s="195">
        <v>95</v>
      </c>
      <c r="AF106" s="308"/>
      <c r="AG106" s="309"/>
      <c r="AH106" s="309"/>
      <c r="AI106" s="309"/>
      <c r="AJ106" s="309"/>
      <c r="AK106" s="309"/>
      <c r="AL106" s="309"/>
      <c r="AM106" s="309"/>
      <c r="AN106" s="309"/>
      <c r="AO106" s="309"/>
      <c r="AP106" s="309"/>
      <c r="AQ106" s="309"/>
      <c r="AR106" s="310"/>
      <c r="AT106" s="195">
        <v>95</v>
      </c>
      <c r="AU106" s="308"/>
      <c r="AV106" s="309"/>
      <c r="AW106" s="309"/>
      <c r="AX106" s="309"/>
      <c r="AY106" s="309"/>
      <c r="AZ106" s="309"/>
      <c r="BA106" s="309"/>
      <c r="BB106" s="309"/>
      <c r="BC106" s="309"/>
      <c r="BD106" s="309"/>
      <c r="BE106" s="309"/>
      <c r="BF106" s="309"/>
      <c r="BG106" s="310"/>
    </row>
    <row r="107" spans="1:59">
      <c r="A107" s="195">
        <v>96</v>
      </c>
      <c r="B107" s="308"/>
      <c r="C107" s="309"/>
      <c r="D107" s="309"/>
      <c r="E107" s="309"/>
      <c r="F107" s="309"/>
      <c r="G107" s="309"/>
      <c r="H107" s="309"/>
      <c r="I107" s="309"/>
      <c r="J107" s="309"/>
      <c r="K107" s="309"/>
      <c r="L107" s="309"/>
      <c r="M107" s="309"/>
      <c r="N107" s="310"/>
      <c r="P107" s="195">
        <v>96</v>
      </c>
      <c r="Q107" s="308"/>
      <c r="R107" s="309"/>
      <c r="S107" s="309"/>
      <c r="T107" s="309"/>
      <c r="U107" s="309"/>
      <c r="V107" s="309"/>
      <c r="W107" s="309"/>
      <c r="X107" s="309"/>
      <c r="Y107" s="309"/>
      <c r="Z107" s="309"/>
      <c r="AA107" s="309"/>
      <c r="AB107" s="309"/>
      <c r="AC107" s="310"/>
      <c r="AE107" s="195">
        <v>96</v>
      </c>
      <c r="AF107" s="308"/>
      <c r="AG107" s="309"/>
      <c r="AH107" s="309"/>
      <c r="AI107" s="309"/>
      <c r="AJ107" s="309"/>
      <c r="AK107" s="309"/>
      <c r="AL107" s="309"/>
      <c r="AM107" s="309"/>
      <c r="AN107" s="309"/>
      <c r="AO107" s="309"/>
      <c r="AP107" s="309"/>
      <c r="AQ107" s="309"/>
      <c r="AR107" s="310"/>
      <c r="AT107" s="195">
        <v>96</v>
      </c>
      <c r="AU107" s="308"/>
      <c r="AV107" s="309"/>
      <c r="AW107" s="309"/>
      <c r="AX107" s="309"/>
      <c r="AY107" s="309"/>
      <c r="AZ107" s="309"/>
      <c r="BA107" s="309"/>
      <c r="BB107" s="309"/>
      <c r="BC107" s="309"/>
      <c r="BD107" s="309"/>
      <c r="BE107" s="309"/>
      <c r="BF107" s="309"/>
      <c r="BG107" s="310"/>
    </row>
    <row r="108" spans="1:59">
      <c r="A108" s="195">
        <v>97</v>
      </c>
      <c r="B108" s="308"/>
      <c r="C108" s="309"/>
      <c r="D108" s="309"/>
      <c r="E108" s="309"/>
      <c r="F108" s="309"/>
      <c r="G108" s="309"/>
      <c r="H108" s="309"/>
      <c r="I108" s="309"/>
      <c r="J108" s="309"/>
      <c r="K108" s="309"/>
      <c r="L108" s="309"/>
      <c r="M108" s="309"/>
      <c r="N108" s="310"/>
      <c r="P108" s="195">
        <v>97</v>
      </c>
      <c r="Q108" s="308"/>
      <c r="R108" s="309"/>
      <c r="S108" s="309"/>
      <c r="T108" s="309"/>
      <c r="U108" s="309"/>
      <c r="V108" s="309"/>
      <c r="W108" s="309"/>
      <c r="X108" s="309"/>
      <c r="Y108" s="309"/>
      <c r="Z108" s="309"/>
      <c r="AA108" s="309"/>
      <c r="AB108" s="309"/>
      <c r="AC108" s="310"/>
      <c r="AE108" s="195">
        <v>97</v>
      </c>
      <c r="AF108" s="308"/>
      <c r="AG108" s="309"/>
      <c r="AH108" s="309"/>
      <c r="AI108" s="309"/>
      <c r="AJ108" s="309"/>
      <c r="AK108" s="309"/>
      <c r="AL108" s="309"/>
      <c r="AM108" s="309"/>
      <c r="AN108" s="309"/>
      <c r="AO108" s="309"/>
      <c r="AP108" s="309"/>
      <c r="AQ108" s="309"/>
      <c r="AR108" s="310"/>
      <c r="AT108" s="195">
        <v>97</v>
      </c>
      <c r="AU108" s="308"/>
      <c r="AV108" s="309"/>
      <c r="AW108" s="309"/>
      <c r="AX108" s="309"/>
      <c r="AY108" s="309"/>
      <c r="AZ108" s="309"/>
      <c r="BA108" s="309"/>
      <c r="BB108" s="309"/>
      <c r="BC108" s="309"/>
      <c r="BD108" s="309"/>
      <c r="BE108" s="309"/>
      <c r="BF108" s="309"/>
      <c r="BG108" s="310"/>
    </row>
    <row r="109" spans="1:59">
      <c r="A109" s="195">
        <v>98</v>
      </c>
      <c r="B109" s="308"/>
      <c r="C109" s="309"/>
      <c r="D109" s="309"/>
      <c r="E109" s="309"/>
      <c r="F109" s="309"/>
      <c r="G109" s="309"/>
      <c r="H109" s="309"/>
      <c r="I109" s="309"/>
      <c r="J109" s="309"/>
      <c r="K109" s="309"/>
      <c r="L109" s="309"/>
      <c r="M109" s="309"/>
      <c r="N109" s="310"/>
      <c r="P109" s="195">
        <v>98</v>
      </c>
      <c r="Q109" s="308"/>
      <c r="R109" s="309"/>
      <c r="S109" s="309"/>
      <c r="T109" s="309"/>
      <c r="U109" s="309"/>
      <c r="V109" s="309"/>
      <c r="W109" s="309"/>
      <c r="X109" s="309"/>
      <c r="Y109" s="309"/>
      <c r="Z109" s="309"/>
      <c r="AA109" s="309"/>
      <c r="AB109" s="309"/>
      <c r="AC109" s="310"/>
      <c r="AE109" s="195">
        <v>98</v>
      </c>
      <c r="AF109" s="308"/>
      <c r="AG109" s="309"/>
      <c r="AH109" s="309"/>
      <c r="AI109" s="309"/>
      <c r="AJ109" s="309"/>
      <c r="AK109" s="309"/>
      <c r="AL109" s="309"/>
      <c r="AM109" s="309"/>
      <c r="AN109" s="309"/>
      <c r="AO109" s="309"/>
      <c r="AP109" s="309"/>
      <c r="AQ109" s="309"/>
      <c r="AR109" s="310"/>
      <c r="AT109" s="195">
        <v>98</v>
      </c>
      <c r="AU109" s="308"/>
      <c r="AV109" s="309"/>
      <c r="AW109" s="309"/>
      <c r="AX109" s="309"/>
      <c r="AY109" s="309"/>
      <c r="AZ109" s="309"/>
      <c r="BA109" s="309"/>
      <c r="BB109" s="309"/>
      <c r="BC109" s="309"/>
      <c r="BD109" s="309"/>
      <c r="BE109" s="309"/>
      <c r="BF109" s="309"/>
      <c r="BG109" s="310"/>
    </row>
    <row r="110" spans="1:59">
      <c r="A110" s="195">
        <v>99</v>
      </c>
      <c r="B110" s="308"/>
      <c r="C110" s="309"/>
      <c r="D110" s="309"/>
      <c r="E110" s="309"/>
      <c r="F110" s="309"/>
      <c r="G110" s="309"/>
      <c r="H110" s="309"/>
      <c r="I110" s="309"/>
      <c r="J110" s="309"/>
      <c r="K110" s="309"/>
      <c r="L110" s="309"/>
      <c r="M110" s="309"/>
      <c r="N110" s="310"/>
      <c r="P110" s="195">
        <v>99</v>
      </c>
      <c r="Q110" s="308"/>
      <c r="R110" s="309"/>
      <c r="S110" s="309"/>
      <c r="T110" s="309"/>
      <c r="U110" s="309"/>
      <c r="V110" s="309"/>
      <c r="W110" s="309"/>
      <c r="X110" s="309"/>
      <c r="Y110" s="309"/>
      <c r="Z110" s="309"/>
      <c r="AA110" s="309"/>
      <c r="AB110" s="309"/>
      <c r="AC110" s="310"/>
      <c r="AE110" s="195">
        <v>99</v>
      </c>
      <c r="AF110" s="308"/>
      <c r="AG110" s="309"/>
      <c r="AH110" s="309"/>
      <c r="AI110" s="309"/>
      <c r="AJ110" s="309"/>
      <c r="AK110" s="309"/>
      <c r="AL110" s="309"/>
      <c r="AM110" s="309"/>
      <c r="AN110" s="309"/>
      <c r="AO110" s="309"/>
      <c r="AP110" s="309"/>
      <c r="AQ110" s="309"/>
      <c r="AR110" s="310"/>
      <c r="AT110" s="195">
        <v>99</v>
      </c>
      <c r="AU110" s="308"/>
      <c r="AV110" s="309"/>
      <c r="AW110" s="309"/>
      <c r="AX110" s="309"/>
      <c r="AY110" s="309"/>
      <c r="AZ110" s="309"/>
      <c r="BA110" s="309"/>
      <c r="BB110" s="309"/>
      <c r="BC110" s="309"/>
      <c r="BD110" s="309"/>
      <c r="BE110" s="309"/>
      <c r="BF110" s="309"/>
      <c r="BG110" s="310"/>
    </row>
    <row r="111" spans="1:59">
      <c r="A111" s="196">
        <v>100</v>
      </c>
      <c r="B111" s="311"/>
      <c r="C111" s="312"/>
      <c r="D111" s="312"/>
      <c r="E111" s="312"/>
      <c r="F111" s="312"/>
      <c r="G111" s="312"/>
      <c r="H111" s="312"/>
      <c r="I111" s="312"/>
      <c r="J111" s="312"/>
      <c r="K111" s="312"/>
      <c r="L111" s="312"/>
      <c r="M111" s="312"/>
      <c r="N111" s="313"/>
      <c r="P111" s="196">
        <v>100</v>
      </c>
      <c r="Q111" s="311"/>
      <c r="R111" s="312"/>
      <c r="S111" s="312"/>
      <c r="T111" s="312"/>
      <c r="U111" s="312"/>
      <c r="V111" s="312"/>
      <c r="W111" s="312"/>
      <c r="X111" s="312"/>
      <c r="Y111" s="312"/>
      <c r="Z111" s="312"/>
      <c r="AA111" s="312"/>
      <c r="AB111" s="312"/>
      <c r="AC111" s="313"/>
      <c r="AE111" s="196">
        <v>100</v>
      </c>
      <c r="AF111" s="311"/>
      <c r="AG111" s="312"/>
      <c r="AH111" s="312"/>
      <c r="AI111" s="312"/>
      <c r="AJ111" s="312"/>
      <c r="AK111" s="312"/>
      <c r="AL111" s="312"/>
      <c r="AM111" s="312"/>
      <c r="AN111" s="312"/>
      <c r="AO111" s="312"/>
      <c r="AP111" s="312"/>
      <c r="AQ111" s="312"/>
      <c r="AR111" s="313"/>
      <c r="AT111" s="196">
        <v>100</v>
      </c>
      <c r="AU111" s="311"/>
      <c r="AV111" s="312"/>
      <c r="AW111" s="312"/>
      <c r="AX111" s="312"/>
      <c r="AY111" s="312"/>
      <c r="AZ111" s="312"/>
      <c r="BA111" s="312"/>
      <c r="BB111" s="312"/>
      <c r="BC111" s="312"/>
      <c r="BD111" s="312"/>
      <c r="BE111" s="312"/>
      <c r="BF111" s="312"/>
      <c r="BG111" s="313"/>
    </row>
    <row r="112" spans="1:59" ht="13.5" thickBot="1">
      <c r="A112" s="197" t="s">
        <v>30</v>
      </c>
      <c r="B112" s="198">
        <f>SUM(B12:B111)</f>
        <v>20516.599429999998</v>
      </c>
      <c r="C112" s="199">
        <f t="shared" ref="C112:M112" si="0">SUM(C12:C111)</f>
        <v>492378.66755199997</v>
      </c>
      <c r="D112" s="199">
        <f t="shared" si="0"/>
        <v>286768.6213</v>
      </c>
      <c r="E112" s="199">
        <f t="shared" si="0"/>
        <v>1967113.8886611494</v>
      </c>
      <c r="F112" s="199">
        <f t="shared" si="0"/>
        <v>77198712.733126864</v>
      </c>
      <c r="G112" s="199">
        <f t="shared" si="0"/>
        <v>132682637.56101078</v>
      </c>
      <c r="H112" s="199">
        <f t="shared" si="0"/>
        <v>129110834.39960058</v>
      </c>
      <c r="I112" s="199">
        <f t="shared" si="0"/>
        <v>84350161.638425305</v>
      </c>
      <c r="J112" s="199">
        <f t="shared" si="0"/>
        <v>48320778.753070578</v>
      </c>
      <c r="K112" s="199">
        <f t="shared" si="0"/>
        <v>16005720.429347934</v>
      </c>
      <c r="L112" s="199">
        <f t="shared" si="0"/>
        <v>6530012.0640793629</v>
      </c>
      <c r="M112" s="199">
        <f t="shared" si="0"/>
        <v>3093060.5741874999</v>
      </c>
      <c r="N112" s="200">
        <f>SUM(N12:N111)</f>
        <v>1620454.5999999999</v>
      </c>
      <c r="O112" s="174"/>
      <c r="P112" s="197" t="s">
        <v>30</v>
      </c>
      <c r="Q112" s="198">
        <f>SUM(Q12:Q111)</f>
        <v>0</v>
      </c>
      <c r="R112" s="199">
        <f t="shared" ref="R112:AB112" si="1">SUM(R12:R111)</f>
        <v>0</v>
      </c>
      <c r="S112" s="199">
        <f t="shared" si="1"/>
        <v>0</v>
      </c>
      <c r="T112" s="199">
        <f t="shared" si="1"/>
        <v>86890.03</v>
      </c>
      <c r="U112" s="199">
        <f t="shared" si="1"/>
        <v>5041538.9456106266</v>
      </c>
      <c r="V112" s="199">
        <f t="shared" si="1"/>
        <v>26517987.264678203</v>
      </c>
      <c r="W112" s="199">
        <f t="shared" si="1"/>
        <v>64125167.013152763</v>
      </c>
      <c r="X112" s="199">
        <f t="shared" si="1"/>
        <v>114572899.02693184</v>
      </c>
      <c r="Y112" s="199">
        <f t="shared" si="1"/>
        <v>58383219.763194121</v>
      </c>
      <c r="Z112" s="199">
        <f t="shared" si="1"/>
        <v>43487553.617781274</v>
      </c>
      <c r="AA112" s="199">
        <f t="shared" si="1"/>
        <v>25171791.779641632</v>
      </c>
      <c r="AB112" s="199">
        <f t="shared" si="1"/>
        <v>3781508.6990095503</v>
      </c>
      <c r="AC112" s="200">
        <f>SUM(AC12:AC111)</f>
        <v>0</v>
      </c>
      <c r="AE112" s="197" t="s">
        <v>30</v>
      </c>
      <c r="AF112" s="198">
        <f>SUM(AF12:AF111)</f>
        <v>0</v>
      </c>
      <c r="AG112" s="199">
        <f t="shared" ref="AG112:AQ112" si="2">SUM(AG12:AG111)</f>
        <v>0</v>
      </c>
      <c r="AH112" s="199">
        <f t="shared" si="2"/>
        <v>0</v>
      </c>
      <c r="AI112" s="199">
        <f t="shared" si="2"/>
        <v>24084.99866666667</v>
      </c>
      <c r="AJ112" s="199">
        <f t="shared" si="2"/>
        <v>170122.41383333341</v>
      </c>
      <c r="AK112" s="199">
        <f t="shared" si="2"/>
        <v>1909957.5358178606</v>
      </c>
      <c r="AL112" s="199">
        <f t="shared" si="2"/>
        <v>5707699.9893717533</v>
      </c>
      <c r="AM112" s="199">
        <f t="shared" si="2"/>
        <v>15551058.375542246</v>
      </c>
      <c r="AN112" s="199">
        <f t="shared" si="2"/>
        <v>17345626.318634879</v>
      </c>
      <c r="AO112" s="199">
        <f t="shared" si="2"/>
        <v>15082368.387919966</v>
      </c>
      <c r="AP112" s="199">
        <f t="shared" si="2"/>
        <v>6851820.1234755684</v>
      </c>
      <c r="AQ112" s="199">
        <f t="shared" si="2"/>
        <v>2672414.0110234418</v>
      </c>
      <c r="AR112" s="200">
        <f>SUM(AR12:AR111)</f>
        <v>436454.31571428606</v>
      </c>
      <c r="AT112" s="197" t="s">
        <v>30</v>
      </c>
      <c r="AU112" s="198">
        <f>SUM(AU12:AU111)</f>
        <v>0</v>
      </c>
      <c r="AV112" s="199">
        <f t="shared" ref="AV112:BF112" si="3">SUM(AV12:AV111)</f>
        <v>0</v>
      </c>
      <c r="AW112" s="199">
        <f t="shared" si="3"/>
        <v>0</v>
      </c>
      <c r="AX112" s="199">
        <f t="shared" si="3"/>
        <v>0</v>
      </c>
      <c r="AY112" s="199">
        <f t="shared" si="3"/>
        <v>238407.3416666663</v>
      </c>
      <c r="AZ112" s="199">
        <f t="shared" si="3"/>
        <v>1179092.3227733406</v>
      </c>
      <c r="BA112" s="199">
        <f t="shared" si="3"/>
        <v>4242705.1935116341</v>
      </c>
      <c r="BB112" s="199">
        <f t="shared" si="3"/>
        <v>8236844.5367942369</v>
      </c>
      <c r="BC112" s="199">
        <f t="shared" si="3"/>
        <v>8237027.1595613956</v>
      </c>
      <c r="BD112" s="199">
        <f t="shared" si="3"/>
        <v>4448457.1266251719</v>
      </c>
      <c r="BE112" s="199">
        <f t="shared" si="3"/>
        <v>2302262.3878818061</v>
      </c>
      <c r="BF112" s="199">
        <f t="shared" si="3"/>
        <v>1298738.4420190691</v>
      </c>
      <c r="BG112" s="200">
        <f>SUM(BG12:BG111)</f>
        <v>285203.63916666672</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1:BH2 A7:BH113 A5:G6 K5:BH6 A4:BH4 A3:G3 K3:BH3">
    <cfRule type="expression" dxfId="12" priority="1" stopIfTrue="1">
      <formula>CELL("Protect",A1)=1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G112"/>
  <sheetViews>
    <sheetView workbookViewId="0">
      <selection activeCell="A10" sqref="A10:AT10"/>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7" t="str">
        <f>'START HERE'!F6</f>
        <v>Chile</v>
      </c>
      <c r="C3" s="388"/>
      <c r="D3" s="378"/>
      <c r="E3" s="177"/>
      <c r="F3" s="30" t="s">
        <v>39</v>
      </c>
      <c r="G3" s="374" t="str">
        <f>'LEN F3'!F3</f>
        <v>Fleet 3 Peru &amp; Equador</v>
      </c>
      <c r="H3" s="375"/>
      <c r="I3" s="375"/>
      <c r="J3" s="376"/>
      <c r="K3" s="177"/>
    </row>
    <row r="4" spans="1:59" ht="15.75">
      <c r="A4" s="12" t="s">
        <v>19</v>
      </c>
      <c r="B4" s="377" t="str">
        <f>'START HERE'!F5</f>
        <v>Jack mackerel</v>
      </c>
      <c r="C4" s="388"/>
      <c r="D4" s="378"/>
      <c r="E4" s="177"/>
      <c r="F4" s="13"/>
      <c r="G4" s="314"/>
      <c r="H4" s="315"/>
      <c r="I4" s="316"/>
      <c r="J4" s="317"/>
      <c r="K4" s="177"/>
    </row>
    <row r="5" spans="1:59" ht="18">
      <c r="A5" s="12" t="s">
        <v>13</v>
      </c>
      <c r="B5" s="389">
        <f>'START HERE'!K3</f>
        <v>2019</v>
      </c>
      <c r="C5" s="390"/>
      <c r="D5" s="391"/>
      <c r="E5" s="177"/>
      <c r="F5" s="34" t="s">
        <v>40</v>
      </c>
      <c r="G5" s="379" t="s">
        <v>116</v>
      </c>
      <c r="H5" s="380"/>
      <c r="I5" s="380"/>
      <c r="J5" s="381"/>
      <c r="K5" s="177"/>
    </row>
    <row r="6" spans="1:59" ht="16.5" thickBot="1">
      <c r="A6" s="12"/>
      <c r="B6" s="71"/>
      <c r="C6" s="72"/>
      <c r="D6" s="6"/>
      <c r="F6" s="34" t="s">
        <v>14</v>
      </c>
      <c r="G6" s="382">
        <f>'START HERE'!$F8</f>
        <v>42615</v>
      </c>
      <c r="H6" s="383"/>
      <c r="I6" s="383"/>
      <c r="J6" s="384"/>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92" t="s">
        <v>53</v>
      </c>
      <c r="C9" s="392"/>
      <c r="D9" s="392"/>
      <c r="E9" s="392"/>
      <c r="F9" s="392"/>
      <c r="G9" s="392"/>
      <c r="H9" s="392"/>
      <c r="I9" s="392"/>
      <c r="J9" s="392"/>
      <c r="K9" s="392"/>
      <c r="L9" s="392"/>
      <c r="M9" s="392"/>
      <c r="N9" s="393"/>
      <c r="P9" s="191"/>
      <c r="Q9" s="392" t="s">
        <v>31</v>
      </c>
      <c r="R9" s="392"/>
      <c r="S9" s="392"/>
      <c r="T9" s="392"/>
      <c r="U9" s="392"/>
      <c r="V9" s="392"/>
      <c r="W9" s="392"/>
      <c r="X9" s="392"/>
      <c r="Y9" s="392"/>
      <c r="Z9" s="392"/>
      <c r="AA9" s="392"/>
      <c r="AB9" s="392"/>
      <c r="AC9" s="393"/>
      <c r="AE9" s="191"/>
      <c r="AF9" s="392" t="s">
        <v>32</v>
      </c>
      <c r="AG9" s="392"/>
      <c r="AH9" s="392"/>
      <c r="AI9" s="392"/>
      <c r="AJ9" s="392"/>
      <c r="AK9" s="392"/>
      <c r="AL9" s="392"/>
      <c r="AM9" s="392"/>
      <c r="AN9" s="392"/>
      <c r="AO9" s="392"/>
      <c r="AP9" s="392"/>
      <c r="AQ9" s="392"/>
      <c r="AR9" s="393"/>
      <c r="AT9" s="191"/>
      <c r="AU9" s="392" t="s">
        <v>33</v>
      </c>
      <c r="AV9" s="392"/>
      <c r="AW9" s="392"/>
      <c r="AX9" s="392"/>
      <c r="AY9" s="392"/>
      <c r="AZ9" s="392"/>
      <c r="BA9" s="392"/>
      <c r="BB9" s="392"/>
      <c r="BC9" s="392"/>
      <c r="BD9" s="392"/>
      <c r="BE9" s="392"/>
      <c r="BF9" s="392"/>
      <c r="BG9" s="393"/>
    </row>
    <row r="10" spans="1:59">
      <c r="A10" s="192" t="str">
        <f>'START HERE'!$F$13</f>
        <v>fork length</v>
      </c>
      <c r="B10" s="385" t="s">
        <v>79</v>
      </c>
      <c r="C10" s="386"/>
      <c r="D10" s="386"/>
      <c r="E10" s="386"/>
      <c r="F10" s="386"/>
      <c r="G10" s="386"/>
      <c r="H10" s="386"/>
      <c r="I10" s="386"/>
      <c r="J10" s="386"/>
      <c r="K10" s="386"/>
      <c r="L10" s="386"/>
      <c r="M10" s="386"/>
      <c r="N10" s="387"/>
      <c r="P10" s="192" t="str">
        <f>A10</f>
        <v>fork length</v>
      </c>
      <c r="Q10" s="385" t="s">
        <v>79</v>
      </c>
      <c r="R10" s="386"/>
      <c r="S10" s="386"/>
      <c r="T10" s="386"/>
      <c r="U10" s="386"/>
      <c r="V10" s="386"/>
      <c r="W10" s="386"/>
      <c r="X10" s="386"/>
      <c r="Y10" s="386"/>
      <c r="Z10" s="386"/>
      <c r="AA10" s="386"/>
      <c r="AB10" s="386"/>
      <c r="AC10" s="387"/>
      <c r="AE10" s="192" t="str">
        <f>A10</f>
        <v>fork length</v>
      </c>
      <c r="AF10" s="385" t="s">
        <v>79</v>
      </c>
      <c r="AG10" s="386"/>
      <c r="AH10" s="386"/>
      <c r="AI10" s="386"/>
      <c r="AJ10" s="386"/>
      <c r="AK10" s="386"/>
      <c r="AL10" s="386"/>
      <c r="AM10" s="386"/>
      <c r="AN10" s="386"/>
      <c r="AO10" s="386"/>
      <c r="AP10" s="386"/>
      <c r="AQ10" s="386"/>
      <c r="AR10" s="387"/>
      <c r="AT10" s="192" t="str">
        <f>A10</f>
        <v>fork length</v>
      </c>
      <c r="AU10" s="385" t="s">
        <v>79</v>
      </c>
      <c r="AV10" s="386"/>
      <c r="AW10" s="386"/>
      <c r="AX10" s="386"/>
      <c r="AY10" s="386"/>
      <c r="AZ10" s="386"/>
      <c r="BA10" s="386"/>
      <c r="BB10" s="386"/>
      <c r="BC10" s="386"/>
      <c r="BD10" s="386"/>
      <c r="BE10" s="386"/>
      <c r="BF10" s="386"/>
      <c r="BG10" s="387"/>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5"/>
      <c r="C12" s="306"/>
      <c r="D12" s="306"/>
      <c r="E12" s="306"/>
      <c r="F12" s="306"/>
      <c r="G12" s="306"/>
      <c r="H12" s="306"/>
      <c r="I12" s="306"/>
      <c r="J12" s="306"/>
      <c r="K12" s="306"/>
      <c r="L12" s="306"/>
      <c r="M12" s="306"/>
      <c r="N12" s="307"/>
      <c r="P12" s="195">
        <v>1</v>
      </c>
      <c r="Q12" s="305"/>
      <c r="R12" s="306"/>
      <c r="S12" s="306"/>
      <c r="T12" s="306"/>
      <c r="U12" s="306"/>
      <c r="V12" s="306"/>
      <c r="W12" s="306"/>
      <c r="X12" s="306"/>
      <c r="Y12" s="306"/>
      <c r="Z12" s="306"/>
      <c r="AA12" s="306"/>
      <c r="AB12" s="306"/>
      <c r="AC12" s="307"/>
      <c r="AE12" s="195">
        <v>1</v>
      </c>
      <c r="AF12" s="305"/>
      <c r="AG12" s="306"/>
      <c r="AH12" s="306"/>
      <c r="AI12" s="306"/>
      <c r="AJ12" s="306"/>
      <c r="AK12" s="306"/>
      <c r="AL12" s="306"/>
      <c r="AM12" s="306"/>
      <c r="AN12" s="306"/>
      <c r="AO12" s="306"/>
      <c r="AP12" s="306"/>
      <c r="AQ12" s="306"/>
      <c r="AR12" s="307"/>
      <c r="AT12" s="195">
        <v>1</v>
      </c>
      <c r="AU12" s="305"/>
      <c r="AV12" s="306"/>
      <c r="AW12" s="306"/>
      <c r="AX12" s="306"/>
      <c r="AY12" s="306"/>
      <c r="AZ12" s="306"/>
      <c r="BA12" s="306"/>
      <c r="BB12" s="306"/>
      <c r="BC12" s="306"/>
      <c r="BD12" s="306"/>
      <c r="BE12" s="306"/>
      <c r="BF12" s="306"/>
      <c r="BG12" s="307"/>
    </row>
    <row r="13" spans="1:59">
      <c r="A13" s="195">
        <v>2</v>
      </c>
      <c r="B13" s="308"/>
      <c r="C13" s="309"/>
      <c r="D13" s="309"/>
      <c r="E13" s="309"/>
      <c r="F13" s="309"/>
      <c r="G13" s="309"/>
      <c r="H13" s="309"/>
      <c r="I13" s="309"/>
      <c r="J13" s="309"/>
      <c r="K13" s="309"/>
      <c r="L13" s="309"/>
      <c r="M13" s="309"/>
      <c r="N13" s="310"/>
      <c r="P13" s="195">
        <v>2</v>
      </c>
      <c r="Q13" s="308"/>
      <c r="R13" s="309"/>
      <c r="S13" s="309"/>
      <c r="T13" s="309"/>
      <c r="U13" s="309"/>
      <c r="V13" s="309"/>
      <c r="W13" s="309"/>
      <c r="X13" s="309"/>
      <c r="Y13" s="309"/>
      <c r="Z13" s="309"/>
      <c r="AA13" s="309"/>
      <c r="AB13" s="309"/>
      <c r="AC13" s="310"/>
      <c r="AE13" s="195">
        <v>2</v>
      </c>
      <c r="AF13" s="308"/>
      <c r="AG13" s="309"/>
      <c r="AH13" s="309"/>
      <c r="AI13" s="309"/>
      <c r="AJ13" s="309"/>
      <c r="AK13" s="309"/>
      <c r="AL13" s="309"/>
      <c r="AM13" s="309"/>
      <c r="AN13" s="309"/>
      <c r="AO13" s="309"/>
      <c r="AP13" s="309"/>
      <c r="AQ13" s="309"/>
      <c r="AR13" s="310"/>
      <c r="AT13" s="195">
        <v>2</v>
      </c>
      <c r="AU13" s="308"/>
      <c r="AV13" s="309"/>
      <c r="AW13" s="309"/>
      <c r="AX13" s="309"/>
      <c r="AY13" s="309"/>
      <c r="AZ13" s="309"/>
      <c r="BA13" s="309"/>
      <c r="BB13" s="309"/>
      <c r="BC13" s="309"/>
      <c r="BD13" s="309"/>
      <c r="BE13" s="309"/>
      <c r="BF13" s="309"/>
      <c r="BG13" s="310"/>
    </row>
    <row r="14" spans="1:59">
      <c r="A14" s="195">
        <v>3</v>
      </c>
      <c r="B14" s="308"/>
      <c r="C14" s="309"/>
      <c r="D14" s="309"/>
      <c r="E14" s="309"/>
      <c r="F14" s="309"/>
      <c r="G14" s="309"/>
      <c r="H14" s="309"/>
      <c r="I14" s="309"/>
      <c r="J14" s="309"/>
      <c r="K14" s="309"/>
      <c r="L14" s="309"/>
      <c r="M14" s="309"/>
      <c r="N14" s="310"/>
      <c r="P14" s="195">
        <v>3</v>
      </c>
      <c r="Q14" s="308"/>
      <c r="R14" s="309"/>
      <c r="S14" s="309"/>
      <c r="T14" s="309"/>
      <c r="U14" s="309"/>
      <c r="V14" s="309"/>
      <c r="W14" s="309"/>
      <c r="X14" s="309"/>
      <c r="Y14" s="309"/>
      <c r="Z14" s="309"/>
      <c r="AA14" s="309"/>
      <c r="AB14" s="309"/>
      <c r="AC14" s="310"/>
      <c r="AE14" s="195">
        <v>3</v>
      </c>
      <c r="AF14" s="308"/>
      <c r="AG14" s="309"/>
      <c r="AH14" s="309"/>
      <c r="AI14" s="309"/>
      <c r="AJ14" s="309"/>
      <c r="AK14" s="309"/>
      <c r="AL14" s="309"/>
      <c r="AM14" s="309"/>
      <c r="AN14" s="309"/>
      <c r="AO14" s="309"/>
      <c r="AP14" s="309"/>
      <c r="AQ14" s="309"/>
      <c r="AR14" s="310"/>
      <c r="AT14" s="195">
        <v>3</v>
      </c>
      <c r="AU14" s="308"/>
      <c r="AV14" s="309"/>
      <c r="AW14" s="309"/>
      <c r="AX14" s="309"/>
      <c r="AY14" s="309"/>
      <c r="AZ14" s="309"/>
      <c r="BA14" s="309"/>
      <c r="BB14" s="309"/>
      <c r="BC14" s="309"/>
      <c r="BD14" s="309"/>
      <c r="BE14" s="309"/>
      <c r="BF14" s="309"/>
      <c r="BG14" s="310"/>
    </row>
    <row r="15" spans="1:59">
      <c r="A15" s="195">
        <v>4</v>
      </c>
      <c r="B15" s="308"/>
      <c r="C15" s="309"/>
      <c r="D15" s="309"/>
      <c r="E15" s="309"/>
      <c r="F15" s="309"/>
      <c r="G15" s="309"/>
      <c r="H15" s="309"/>
      <c r="I15" s="309"/>
      <c r="J15" s="309"/>
      <c r="K15" s="309"/>
      <c r="L15" s="309"/>
      <c r="M15" s="309"/>
      <c r="N15" s="310"/>
      <c r="P15" s="195">
        <v>4</v>
      </c>
      <c r="Q15" s="308"/>
      <c r="R15" s="309"/>
      <c r="S15" s="309"/>
      <c r="T15" s="309"/>
      <c r="U15" s="309"/>
      <c r="V15" s="309"/>
      <c r="W15" s="309"/>
      <c r="X15" s="309"/>
      <c r="Y15" s="309"/>
      <c r="Z15" s="309"/>
      <c r="AA15" s="309"/>
      <c r="AB15" s="309"/>
      <c r="AC15" s="310"/>
      <c r="AE15" s="195">
        <v>4</v>
      </c>
      <c r="AF15" s="308"/>
      <c r="AG15" s="309"/>
      <c r="AH15" s="309"/>
      <c r="AI15" s="309"/>
      <c r="AJ15" s="309"/>
      <c r="AK15" s="309"/>
      <c r="AL15" s="309"/>
      <c r="AM15" s="309"/>
      <c r="AN15" s="309"/>
      <c r="AO15" s="309"/>
      <c r="AP15" s="309"/>
      <c r="AQ15" s="309"/>
      <c r="AR15" s="310"/>
      <c r="AT15" s="195">
        <v>4</v>
      </c>
      <c r="AU15" s="308"/>
      <c r="AV15" s="309"/>
      <c r="AW15" s="309"/>
      <c r="AX15" s="309"/>
      <c r="AY15" s="309"/>
      <c r="AZ15" s="309"/>
      <c r="BA15" s="309"/>
      <c r="BB15" s="309"/>
      <c r="BC15" s="309"/>
      <c r="BD15" s="309"/>
      <c r="BE15" s="309"/>
      <c r="BF15" s="309"/>
      <c r="BG15" s="310"/>
    </row>
    <row r="16" spans="1:59">
      <c r="A16" s="195">
        <v>5</v>
      </c>
      <c r="B16" s="308"/>
      <c r="C16" s="309"/>
      <c r="D16" s="309"/>
      <c r="E16" s="309"/>
      <c r="F16" s="309"/>
      <c r="G16" s="309"/>
      <c r="H16" s="309"/>
      <c r="I16" s="309"/>
      <c r="J16" s="309"/>
      <c r="K16" s="309"/>
      <c r="L16" s="309"/>
      <c r="M16" s="309"/>
      <c r="N16" s="310"/>
      <c r="P16" s="195">
        <v>5</v>
      </c>
      <c r="Q16" s="308"/>
      <c r="R16" s="309"/>
      <c r="S16" s="309"/>
      <c r="T16" s="309"/>
      <c r="U16" s="309"/>
      <c r="V16" s="309"/>
      <c r="W16" s="309"/>
      <c r="X16" s="309"/>
      <c r="Y16" s="309"/>
      <c r="Z16" s="309"/>
      <c r="AA16" s="309"/>
      <c r="AB16" s="309"/>
      <c r="AC16" s="310"/>
      <c r="AE16" s="195">
        <v>5</v>
      </c>
      <c r="AF16" s="308"/>
      <c r="AG16" s="309"/>
      <c r="AH16" s="309"/>
      <c r="AI16" s="309"/>
      <c r="AJ16" s="309"/>
      <c r="AK16" s="309"/>
      <c r="AL16" s="309"/>
      <c r="AM16" s="309"/>
      <c r="AN16" s="309"/>
      <c r="AO16" s="309"/>
      <c r="AP16" s="309"/>
      <c r="AQ16" s="309"/>
      <c r="AR16" s="310"/>
      <c r="AT16" s="195">
        <v>5</v>
      </c>
      <c r="AU16" s="308"/>
      <c r="AV16" s="309"/>
      <c r="AW16" s="309"/>
      <c r="AX16" s="309"/>
      <c r="AY16" s="309"/>
      <c r="AZ16" s="309"/>
      <c r="BA16" s="309"/>
      <c r="BB16" s="309"/>
      <c r="BC16" s="309"/>
      <c r="BD16" s="309"/>
      <c r="BE16" s="309"/>
      <c r="BF16" s="309"/>
      <c r="BG16" s="310"/>
    </row>
    <row r="17" spans="1:59">
      <c r="A17" s="195">
        <v>6</v>
      </c>
      <c r="B17" s="308"/>
      <c r="C17" s="309"/>
      <c r="D17" s="309"/>
      <c r="E17" s="309"/>
      <c r="F17" s="309"/>
      <c r="G17" s="309"/>
      <c r="H17" s="309"/>
      <c r="I17" s="309"/>
      <c r="J17" s="309"/>
      <c r="K17" s="309"/>
      <c r="L17" s="309"/>
      <c r="M17" s="309"/>
      <c r="N17" s="310"/>
      <c r="P17" s="195">
        <v>6</v>
      </c>
      <c r="Q17" s="308"/>
      <c r="R17" s="309"/>
      <c r="S17" s="309"/>
      <c r="T17" s="309"/>
      <c r="U17" s="309"/>
      <c r="V17" s="309"/>
      <c r="W17" s="309"/>
      <c r="X17" s="309"/>
      <c r="Y17" s="309"/>
      <c r="Z17" s="309"/>
      <c r="AA17" s="309"/>
      <c r="AB17" s="309"/>
      <c r="AC17" s="310"/>
      <c r="AE17" s="195">
        <v>6</v>
      </c>
      <c r="AF17" s="308"/>
      <c r="AG17" s="309"/>
      <c r="AH17" s="309"/>
      <c r="AI17" s="309"/>
      <c r="AJ17" s="309"/>
      <c r="AK17" s="309"/>
      <c r="AL17" s="309"/>
      <c r="AM17" s="309"/>
      <c r="AN17" s="309"/>
      <c r="AO17" s="309"/>
      <c r="AP17" s="309"/>
      <c r="AQ17" s="309"/>
      <c r="AR17" s="310"/>
      <c r="AT17" s="195">
        <v>6</v>
      </c>
      <c r="AU17" s="308"/>
      <c r="AV17" s="309"/>
      <c r="AW17" s="309"/>
      <c r="AX17" s="309"/>
      <c r="AY17" s="309"/>
      <c r="AZ17" s="309"/>
      <c r="BA17" s="309"/>
      <c r="BB17" s="309"/>
      <c r="BC17" s="309"/>
      <c r="BD17" s="309"/>
      <c r="BE17" s="309"/>
      <c r="BF17" s="309"/>
      <c r="BG17" s="310"/>
    </row>
    <row r="18" spans="1:59">
      <c r="A18" s="195">
        <v>7</v>
      </c>
      <c r="B18" s="308"/>
      <c r="C18" s="309"/>
      <c r="D18" s="309"/>
      <c r="E18" s="309"/>
      <c r="F18" s="309"/>
      <c r="G18" s="309"/>
      <c r="H18" s="309"/>
      <c r="I18" s="309"/>
      <c r="J18" s="309"/>
      <c r="K18" s="309"/>
      <c r="L18" s="309"/>
      <c r="M18" s="309"/>
      <c r="N18" s="310"/>
      <c r="P18" s="195">
        <v>7</v>
      </c>
      <c r="Q18" s="308"/>
      <c r="R18" s="309"/>
      <c r="S18" s="309"/>
      <c r="T18" s="309"/>
      <c r="U18" s="309"/>
      <c r="V18" s="309"/>
      <c r="W18" s="309"/>
      <c r="X18" s="309"/>
      <c r="Y18" s="309"/>
      <c r="Z18" s="309"/>
      <c r="AA18" s="309"/>
      <c r="AB18" s="309"/>
      <c r="AC18" s="310"/>
      <c r="AE18" s="195">
        <v>7</v>
      </c>
      <c r="AF18" s="308"/>
      <c r="AG18" s="309"/>
      <c r="AH18" s="309"/>
      <c r="AI18" s="309"/>
      <c r="AJ18" s="309"/>
      <c r="AK18" s="309"/>
      <c r="AL18" s="309"/>
      <c r="AM18" s="309"/>
      <c r="AN18" s="309"/>
      <c r="AO18" s="309"/>
      <c r="AP18" s="309"/>
      <c r="AQ18" s="309"/>
      <c r="AR18" s="310"/>
      <c r="AT18" s="195">
        <v>7</v>
      </c>
      <c r="AU18" s="308"/>
      <c r="AV18" s="309"/>
      <c r="AW18" s="309"/>
      <c r="AX18" s="309"/>
      <c r="AY18" s="309"/>
      <c r="AZ18" s="309"/>
      <c r="BA18" s="309"/>
      <c r="BB18" s="309"/>
      <c r="BC18" s="309"/>
      <c r="BD18" s="309"/>
      <c r="BE18" s="309"/>
      <c r="BF18" s="309"/>
      <c r="BG18" s="310"/>
    </row>
    <row r="19" spans="1:59">
      <c r="A19" s="195">
        <v>8</v>
      </c>
      <c r="B19" s="308"/>
      <c r="C19" s="309"/>
      <c r="D19" s="309"/>
      <c r="E19" s="309"/>
      <c r="F19" s="309"/>
      <c r="G19" s="309"/>
      <c r="H19" s="309"/>
      <c r="I19" s="309"/>
      <c r="J19" s="309"/>
      <c r="K19" s="309"/>
      <c r="L19" s="309"/>
      <c r="M19" s="309"/>
      <c r="N19" s="310"/>
      <c r="P19" s="195">
        <v>8</v>
      </c>
      <c r="Q19" s="308"/>
      <c r="R19" s="309"/>
      <c r="S19" s="309"/>
      <c r="T19" s="309"/>
      <c r="U19" s="309"/>
      <c r="V19" s="309"/>
      <c r="W19" s="309"/>
      <c r="X19" s="309"/>
      <c r="Y19" s="309"/>
      <c r="Z19" s="309"/>
      <c r="AA19" s="309"/>
      <c r="AB19" s="309"/>
      <c r="AC19" s="310"/>
      <c r="AE19" s="195">
        <v>8</v>
      </c>
      <c r="AF19" s="308"/>
      <c r="AG19" s="309"/>
      <c r="AH19" s="309"/>
      <c r="AI19" s="309"/>
      <c r="AJ19" s="309"/>
      <c r="AK19" s="309"/>
      <c r="AL19" s="309"/>
      <c r="AM19" s="309"/>
      <c r="AN19" s="309"/>
      <c r="AO19" s="309"/>
      <c r="AP19" s="309"/>
      <c r="AQ19" s="309"/>
      <c r="AR19" s="310"/>
      <c r="AT19" s="195">
        <v>8</v>
      </c>
      <c r="AU19" s="308"/>
      <c r="AV19" s="309"/>
      <c r="AW19" s="309"/>
      <c r="AX19" s="309"/>
      <c r="AY19" s="309"/>
      <c r="AZ19" s="309"/>
      <c r="BA19" s="309"/>
      <c r="BB19" s="309"/>
      <c r="BC19" s="309"/>
      <c r="BD19" s="309"/>
      <c r="BE19" s="309"/>
      <c r="BF19" s="309"/>
      <c r="BG19" s="310"/>
    </row>
    <row r="20" spans="1:59">
      <c r="A20" s="195">
        <v>9</v>
      </c>
      <c r="B20" s="308"/>
      <c r="C20" s="309"/>
      <c r="D20" s="309"/>
      <c r="E20" s="309"/>
      <c r="F20" s="309"/>
      <c r="G20" s="309"/>
      <c r="H20" s="309"/>
      <c r="I20" s="309"/>
      <c r="J20" s="309"/>
      <c r="K20" s="309"/>
      <c r="L20" s="309"/>
      <c r="M20" s="309"/>
      <c r="N20" s="310"/>
      <c r="P20" s="195">
        <v>9</v>
      </c>
      <c r="Q20" s="308"/>
      <c r="R20" s="309"/>
      <c r="S20" s="309"/>
      <c r="T20" s="309"/>
      <c r="U20" s="309"/>
      <c r="V20" s="309"/>
      <c r="W20" s="309"/>
      <c r="X20" s="309"/>
      <c r="Y20" s="309"/>
      <c r="Z20" s="309"/>
      <c r="AA20" s="309"/>
      <c r="AB20" s="309"/>
      <c r="AC20" s="310"/>
      <c r="AE20" s="195">
        <v>9</v>
      </c>
      <c r="AF20" s="308"/>
      <c r="AG20" s="309"/>
      <c r="AH20" s="309"/>
      <c r="AI20" s="309"/>
      <c r="AJ20" s="309"/>
      <c r="AK20" s="309"/>
      <c r="AL20" s="309"/>
      <c r="AM20" s="309"/>
      <c r="AN20" s="309"/>
      <c r="AO20" s="309"/>
      <c r="AP20" s="309"/>
      <c r="AQ20" s="309"/>
      <c r="AR20" s="310"/>
      <c r="AT20" s="195">
        <v>9</v>
      </c>
      <c r="AU20" s="308"/>
      <c r="AV20" s="309"/>
      <c r="AW20" s="309"/>
      <c r="AX20" s="309"/>
      <c r="AY20" s="309"/>
      <c r="AZ20" s="309"/>
      <c r="BA20" s="309"/>
      <c r="BB20" s="309"/>
      <c r="BC20" s="309"/>
      <c r="BD20" s="309"/>
      <c r="BE20" s="309"/>
      <c r="BF20" s="309"/>
      <c r="BG20" s="310"/>
    </row>
    <row r="21" spans="1:59">
      <c r="A21" s="195">
        <v>10</v>
      </c>
      <c r="B21" s="308"/>
      <c r="C21" s="309"/>
      <c r="D21" s="309"/>
      <c r="E21" s="309"/>
      <c r="F21" s="309"/>
      <c r="G21" s="309"/>
      <c r="H21" s="309"/>
      <c r="I21" s="309"/>
      <c r="J21" s="309"/>
      <c r="K21" s="309"/>
      <c r="L21" s="309"/>
      <c r="M21" s="309"/>
      <c r="N21" s="310"/>
      <c r="P21" s="195">
        <v>10</v>
      </c>
      <c r="Q21" s="308"/>
      <c r="R21" s="309"/>
      <c r="S21" s="309"/>
      <c r="T21" s="309"/>
      <c r="U21" s="309"/>
      <c r="V21" s="309"/>
      <c r="W21" s="309"/>
      <c r="X21" s="309"/>
      <c r="Y21" s="309"/>
      <c r="Z21" s="309"/>
      <c r="AA21" s="309"/>
      <c r="AB21" s="309"/>
      <c r="AC21" s="310"/>
      <c r="AE21" s="195">
        <v>10</v>
      </c>
      <c r="AF21" s="308"/>
      <c r="AG21" s="309"/>
      <c r="AH21" s="309"/>
      <c r="AI21" s="309"/>
      <c r="AJ21" s="309"/>
      <c r="AK21" s="309"/>
      <c r="AL21" s="309"/>
      <c r="AM21" s="309"/>
      <c r="AN21" s="309"/>
      <c r="AO21" s="309"/>
      <c r="AP21" s="309"/>
      <c r="AQ21" s="309"/>
      <c r="AR21" s="310"/>
      <c r="AT21" s="195">
        <v>10</v>
      </c>
      <c r="AU21" s="308"/>
      <c r="AV21" s="309"/>
      <c r="AW21" s="309"/>
      <c r="AX21" s="309"/>
      <c r="AY21" s="309"/>
      <c r="AZ21" s="309"/>
      <c r="BA21" s="309"/>
      <c r="BB21" s="309"/>
      <c r="BC21" s="309"/>
      <c r="BD21" s="309"/>
      <c r="BE21" s="309"/>
      <c r="BF21" s="309"/>
      <c r="BG21" s="310"/>
    </row>
    <row r="22" spans="1:59">
      <c r="A22" s="195">
        <v>11</v>
      </c>
      <c r="B22" s="308"/>
      <c r="C22" s="309"/>
      <c r="D22" s="309"/>
      <c r="E22" s="309"/>
      <c r="F22" s="309"/>
      <c r="G22" s="309"/>
      <c r="H22" s="309"/>
      <c r="I22" s="309"/>
      <c r="J22" s="309"/>
      <c r="K22" s="309"/>
      <c r="L22" s="309"/>
      <c r="M22" s="309"/>
      <c r="N22" s="310"/>
      <c r="P22" s="195">
        <v>11</v>
      </c>
      <c r="Q22" s="308"/>
      <c r="R22" s="309"/>
      <c r="S22" s="309"/>
      <c r="T22" s="309"/>
      <c r="U22" s="309"/>
      <c r="V22" s="309"/>
      <c r="W22" s="309"/>
      <c r="X22" s="309"/>
      <c r="Y22" s="309"/>
      <c r="Z22" s="309"/>
      <c r="AA22" s="309"/>
      <c r="AB22" s="309"/>
      <c r="AC22" s="310"/>
      <c r="AE22" s="195">
        <v>11</v>
      </c>
      <c r="AF22" s="308"/>
      <c r="AG22" s="309"/>
      <c r="AH22" s="309"/>
      <c r="AI22" s="309"/>
      <c r="AJ22" s="309"/>
      <c r="AK22" s="309"/>
      <c r="AL22" s="309"/>
      <c r="AM22" s="309"/>
      <c r="AN22" s="309"/>
      <c r="AO22" s="309"/>
      <c r="AP22" s="309"/>
      <c r="AQ22" s="309"/>
      <c r="AR22" s="310"/>
      <c r="AT22" s="195">
        <v>11</v>
      </c>
      <c r="AU22" s="308"/>
      <c r="AV22" s="309"/>
      <c r="AW22" s="309"/>
      <c r="AX22" s="309"/>
      <c r="AY22" s="309"/>
      <c r="AZ22" s="309"/>
      <c r="BA22" s="309"/>
      <c r="BB22" s="309"/>
      <c r="BC22" s="309"/>
      <c r="BD22" s="309"/>
      <c r="BE22" s="309"/>
      <c r="BF22" s="309"/>
      <c r="BG22" s="310"/>
    </row>
    <row r="23" spans="1:59">
      <c r="A23" s="195">
        <v>12</v>
      </c>
      <c r="B23" s="308"/>
      <c r="C23" s="309"/>
      <c r="D23" s="309"/>
      <c r="E23" s="309"/>
      <c r="F23" s="309"/>
      <c r="G23" s="309"/>
      <c r="H23" s="309"/>
      <c r="I23" s="309"/>
      <c r="J23" s="309"/>
      <c r="K23" s="309"/>
      <c r="L23" s="309"/>
      <c r="M23" s="309"/>
      <c r="N23" s="310"/>
      <c r="P23" s="195">
        <v>12</v>
      </c>
      <c r="Q23" s="308"/>
      <c r="R23" s="309"/>
      <c r="S23" s="309"/>
      <c r="T23" s="309"/>
      <c r="U23" s="309"/>
      <c r="V23" s="309"/>
      <c r="W23" s="309"/>
      <c r="X23" s="309"/>
      <c r="Y23" s="309"/>
      <c r="Z23" s="309"/>
      <c r="AA23" s="309"/>
      <c r="AB23" s="309"/>
      <c r="AC23" s="310"/>
      <c r="AE23" s="195">
        <v>12</v>
      </c>
      <c r="AF23" s="308"/>
      <c r="AG23" s="309"/>
      <c r="AH23" s="309"/>
      <c r="AI23" s="309"/>
      <c r="AJ23" s="309"/>
      <c r="AK23" s="309"/>
      <c r="AL23" s="309"/>
      <c r="AM23" s="309"/>
      <c r="AN23" s="309"/>
      <c r="AO23" s="309"/>
      <c r="AP23" s="309"/>
      <c r="AQ23" s="309"/>
      <c r="AR23" s="310"/>
      <c r="AT23" s="195">
        <v>12</v>
      </c>
      <c r="AU23" s="308"/>
      <c r="AV23" s="309"/>
      <c r="AW23" s="309"/>
      <c r="AX23" s="309"/>
      <c r="AY23" s="309"/>
      <c r="AZ23" s="309"/>
      <c r="BA23" s="309"/>
      <c r="BB23" s="309"/>
      <c r="BC23" s="309"/>
      <c r="BD23" s="309"/>
      <c r="BE23" s="309"/>
      <c r="BF23" s="309"/>
      <c r="BG23" s="310"/>
    </row>
    <row r="24" spans="1:59">
      <c r="A24" s="195">
        <v>13</v>
      </c>
      <c r="B24" s="308"/>
      <c r="C24" s="309"/>
      <c r="D24" s="309"/>
      <c r="E24" s="309"/>
      <c r="F24" s="309"/>
      <c r="G24" s="309"/>
      <c r="H24" s="309"/>
      <c r="I24" s="309"/>
      <c r="J24" s="309"/>
      <c r="K24" s="309"/>
      <c r="L24" s="309"/>
      <c r="M24" s="309"/>
      <c r="N24" s="310"/>
      <c r="P24" s="195">
        <v>13</v>
      </c>
      <c r="Q24" s="308"/>
      <c r="R24" s="309"/>
      <c r="S24" s="309"/>
      <c r="T24" s="309"/>
      <c r="U24" s="309"/>
      <c r="V24" s="309"/>
      <c r="W24" s="309"/>
      <c r="X24" s="309"/>
      <c r="Y24" s="309"/>
      <c r="Z24" s="309"/>
      <c r="AA24" s="309"/>
      <c r="AB24" s="309"/>
      <c r="AC24" s="310"/>
      <c r="AE24" s="195">
        <v>13</v>
      </c>
      <c r="AF24" s="308"/>
      <c r="AG24" s="309"/>
      <c r="AH24" s="309"/>
      <c r="AI24" s="309"/>
      <c r="AJ24" s="309"/>
      <c r="AK24" s="309"/>
      <c r="AL24" s="309"/>
      <c r="AM24" s="309"/>
      <c r="AN24" s="309"/>
      <c r="AO24" s="309"/>
      <c r="AP24" s="309"/>
      <c r="AQ24" s="309"/>
      <c r="AR24" s="310"/>
      <c r="AT24" s="195">
        <v>13</v>
      </c>
      <c r="AU24" s="308"/>
      <c r="AV24" s="309"/>
      <c r="AW24" s="309"/>
      <c r="AX24" s="309"/>
      <c r="AY24" s="309"/>
      <c r="AZ24" s="309"/>
      <c r="BA24" s="309"/>
      <c r="BB24" s="309"/>
      <c r="BC24" s="309"/>
      <c r="BD24" s="309"/>
      <c r="BE24" s="309"/>
      <c r="BF24" s="309"/>
      <c r="BG24" s="310"/>
    </row>
    <row r="25" spans="1:59">
      <c r="A25" s="195">
        <v>14</v>
      </c>
      <c r="B25" s="308"/>
      <c r="C25" s="309"/>
      <c r="D25" s="309"/>
      <c r="E25" s="309"/>
      <c r="F25" s="309"/>
      <c r="G25" s="309"/>
      <c r="H25" s="309"/>
      <c r="I25" s="309"/>
      <c r="J25" s="309"/>
      <c r="K25" s="309"/>
      <c r="L25" s="309"/>
      <c r="M25" s="309"/>
      <c r="N25" s="310"/>
      <c r="P25" s="195">
        <v>14</v>
      </c>
      <c r="Q25" s="308"/>
      <c r="R25" s="309"/>
      <c r="S25" s="309"/>
      <c r="T25" s="309"/>
      <c r="U25" s="309"/>
      <c r="V25" s="309"/>
      <c r="W25" s="309"/>
      <c r="X25" s="309"/>
      <c r="Y25" s="309"/>
      <c r="Z25" s="309"/>
      <c r="AA25" s="309"/>
      <c r="AB25" s="309"/>
      <c r="AC25" s="310"/>
      <c r="AE25" s="195">
        <v>14</v>
      </c>
      <c r="AF25" s="308"/>
      <c r="AG25" s="309"/>
      <c r="AH25" s="309"/>
      <c r="AI25" s="309"/>
      <c r="AJ25" s="309"/>
      <c r="AK25" s="309"/>
      <c r="AL25" s="309"/>
      <c r="AM25" s="309"/>
      <c r="AN25" s="309"/>
      <c r="AO25" s="309"/>
      <c r="AP25" s="309"/>
      <c r="AQ25" s="309"/>
      <c r="AR25" s="310"/>
      <c r="AT25" s="195">
        <v>14</v>
      </c>
      <c r="AU25" s="308"/>
      <c r="AV25" s="309"/>
      <c r="AW25" s="309"/>
      <c r="AX25" s="309"/>
      <c r="AY25" s="309"/>
      <c r="AZ25" s="309"/>
      <c r="BA25" s="309"/>
      <c r="BB25" s="309"/>
      <c r="BC25" s="309"/>
      <c r="BD25" s="309"/>
      <c r="BE25" s="309"/>
      <c r="BF25" s="309"/>
      <c r="BG25" s="310"/>
    </row>
    <row r="26" spans="1:59">
      <c r="A26" s="195">
        <v>15</v>
      </c>
      <c r="B26" s="308"/>
      <c r="C26" s="309"/>
      <c r="D26" s="309"/>
      <c r="E26" s="309"/>
      <c r="F26" s="309"/>
      <c r="G26" s="309"/>
      <c r="H26" s="309"/>
      <c r="I26" s="309"/>
      <c r="J26" s="309"/>
      <c r="K26" s="309"/>
      <c r="L26" s="309"/>
      <c r="M26" s="309"/>
      <c r="N26" s="310"/>
      <c r="P26" s="195">
        <v>15</v>
      </c>
      <c r="Q26" s="308"/>
      <c r="R26" s="309"/>
      <c r="S26" s="309"/>
      <c r="T26" s="309"/>
      <c r="U26" s="309"/>
      <c r="V26" s="309"/>
      <c r="W26" s="309"/>
      <c r="X26" s="309"/>
      <c r="Y26" s="309"/>
      <c r="Z26" s="309"/>
      <c r="AA26" s="309"/>
      <c r="AB26" s="309"/>
      <c r="AC26" s="310"/>
      <c r="AE26" s="195">
        <v>15</v>
      </c>
      <c r="AF26" s="308"/>
      <c r="AG26" s="309"/>
      <c r="AH26" s="309"/>
      <c r="AI26" s="309"/>
      <c r="AJ26" s="309"/>
      <c r="AK26" s="309"/>
      <c r="AL26" s="309"/>
      <c r="AM26" s="309"/>
      <c r="AN26" s="309"/>
      <c r="AO26" s="309"/>
      <c r="AP26" s="309"/>
      <c r="AQ26" s="309"/>
      <c r="AR26" s="310"/>
      <c r="AT26" s="195">
        <v>15</v>
      </c>
      <c r="AU26" s="308"/>
      <c r="AV26" s="309"/>
      <c r="AW26" s="309"/>
      <c r="AX26" s="309"/>
      <c r="AY26" s="309"/>
      <c r="AZ26" s="309"/>
      <c r="BA26" s="309"/>
      <c r="BB26" s="309"/>
      <c r="BC26" s="309"/>
      <c r="BD26" s="309"/>
      <c r="BE26" s="309"/>
      <c r="BF26" s="309"/>
      <c r="BG26" s="310"/>
    </row>
    <row r="27" spans="1:59">
      <c r="A27" s="195">
        <v>16</v>
      </c>
      <c r="B27" s="308"/>
      <c r="C27" s="309"/>
      <c r="D27" s="309"/>
      <c r="E27" s="309"/>
      <c r="F27" s="309"/>
      <c r="G27" s="309"/>
      <c r="H27" s="309"/>
      <c r="I27" s="309"/>
      <c r="J27" s="309"/>
      <c r="K27" s="309"/>
      <c r="L27" s="309"/>
      <c r="M27" s="309"/>
      <c r="N27" s="310"/>
      <c r="P27" s="195">
        <v>16</v>
      </c>
      <c r="Q27" s="308"/>
      <c r="R27" s="309"/>
      <c r="S27" s="309"/>
      <c r="T27" s="309"/>
      <c r="U27" s="309"/>
      <c r="V27" s="309"/>
      <c r="W27" s="309"/>
      <c r="X27" s="309"/>
      <c r="Y27" s="309"/>
      <c r="Z27" s="309"/>
      <c r="AA27" s="309"/>
      <c r="AB27" s="309"/>
      <c r="AC27" s="310"/>
      <c r="AE27" s="195">
        <v>16</v>
      </c>
      <c r="AF27" s="308"/>
      <c r="AG27" s="309"/>
      <c r="AH27" s="309"/>
      <c r="AI27" s="309"/>
      <c r="AJ27" s="309"/>
      <c r="AK27" s="309"/>
      <c r="AL27" s="309"/>
      <c r="AM27" s="309"/>
      <c r="AN27" s="309"/>
      <c r="AO27" s="309"/>
      <c r="AP27" s="309"/>
      <c r="AQ27" s="309"/>
      <c r="AR27" s="310"/>
      <c r="AT27" s="195">
        <v>16</v>
      </c>
      <c r="AU27" s="308"/>
      <c r="AV27" s="309"/>
      <c r="AW27" s="309"/>
      <c r="AX27" s="309"/>
      <c r="AY27" s="309"/>
      <c r="AZ27" s="309"/>
      <c r="BA27" s="309"/>
      <c r="BB27" s="309"/>
      <c r="BC27" s="309"/>
      <c r="BD27" s="309"/>
      <c r="BE27" s="309"/>
      <c r="BF27" s="309"/>
      <c r="BG27" s="310"/>
    </row>
    <row r="28" spans="1:59">
      <c r="A28" s="195">
        <v>17</v>
      </c>
      <c r="B28" s="308"/>
      <c r="C28" s="309"/>
      <c r="D28" s="309"/>
      <c r="E28" s="309"/>
      <c r="F28" s="309"/>
      <c r="G28" s="309"/>
      <c r="H28" s="309"/>
      <c r="I28" s="309"/>
      <c r="J28" s="309"/>
      <c r="K28" s="309"/>
      <c r="L28" s="309"/>
      <c r="M28" s="309"/>
      <c r="N28" s="310"/>
      <c r="P28" s="195">
        <v>17</v>
      </c>
      <c r="Q28" s="308"/>
      <c r="R28" s="309"/>
      <c r="S28" s="309"/>
      <c r="T28" s="309"/>
      <c r="U28" s="309"/>
      <c r="V28" s="309"/>
      <c r="W28" s="309"/>
      <c r="X28" s="309"/>
      <c r="Y28" s="309"/>
      <c r="Z28" s="309"/>
      <c r="AA28" s="309"/>
      <c r="AB28" s="309"/>
      <c r="AC28" s="310"/>
      <c r="AE28" s="195">
        <v>17</v>
      </c>
      <c r="AF28" s="308"/>
      <c r="AG28" s="309"/>
      <c r="AH28" s="309"/>
      <c r="AI28" s="309"/>
      <c r="AJ28" s="309"/>
      <c r="AK28" s="309"/>
      <c r="AL28" s="309"/>
      <c r="AM28" s="309"/>
      <c r="AN28" s="309"/>
      <c r="AO28" s="309"/>
      <c r="AP28" s="309"/>
      <c r="AQ28" s="309"/>
      <c r="AR28" s="310"/>
      <c r="AT28" s="195">
        <v>17</v>
      </c>
      <c r="AU28" s="308"/>
      <c r="AV28" s="309"/>
      <c r="AW28" s="309"/>
      <c r="AX28" s="309"/>
      <c r="AY28" s="309"/>
      <c r="AZ28" s="309"/>
      <c r="BA28" s="309"/>
      <c r="BB28" s="309"/>
      <c r="BC28" s="309"/>
      <c r="BD28" s="309"/>
      <c r="BE28" s="309"/>
      <c r="BF28" s="309"/>
      <c r="BG28" s="310"/>
    </row>
    <row r="29" spans="1:59">
      <c r="A29" s="195">
        <v>18</v>
      </c>
      <c r="B29" s="308"/>
      <c r="C29" s="309"/>
      <c r="D29" s="309"/>
      <c r="E29" s="309"/>
      <c r="F29" s="309"/>
      <c r="G29" s="309"/>
      <c r="H29" s="309"/>
      <c r="I29" s="309"/>
      <c r="J29" s="309"/>
      <c r="K29" s="309"/>
      <c r="L29" s="309"/>
      <c r="M29" s="309"/>
      <c r="N29" s="310"/>
      <c r="P29" s="195">
        <v>18</v>
      </c>
      <c r="Q29" s="308"/>
      <c r="R29" s="309"/>
      <c r="S29" s="309"/>
      <c r="T29" s="309"/>
      <c r="U29" s="309"/>
      <c r="V29" s="309"/>
      <c r="W29" s="309"/>
      <c r="X29" s="309"/>
      <c r="Y29" s="309"/>
      <c r="Z29" s="309"/>
      <c r="AA29" s="309"/>
      <c r="AB29" s="309"/>
      <c r="AC29" s="310"/>
      <c r="AE29" s="195">
        <v>18</v>
      </c>
      <c r="AF29" s="308"/>
      <c r="AG29" s="309"/>
      <c r="AH29" s="309"/>
      <c r="AI29" s="309"/>
      <c r="AJ29" s="309"/>
      <c r="AK29" s="309"/>
      <c r="AL29" s="309"/>
      <c r="AM29" s="309"/>
      <c r="AN29" s="309"/>
      <c r="AO29" s="309"/>
      <c r="AP29" s="309"/>
      <c r="AQ29" s="309"/>
      <c r="AR29" s="310"/>
      <c r="AT29" s="195">
        <v>18</v>
      </c>
      <c r="AU29" s="308"/>
      <c r="AV29" s="309"/>
      <c r="AW29" s="309"/>
      <c r="AX29" s="309"/>
      <c r="AY29" s="309"/>
      <c r="AZ29" s="309"/>
      <c r="BA29" s="309"/>
      <c r="BB29" s="309"/>
      <c r="BC29" s="309"/>
      <c r="BD29" s="309"/>
      <c r="BE29" s="309"/>
      <c r="BF29" s="309"/>
      <c r="BG29" s="310"/>
    </row>
    <row r="30" spans="1:59">
      <c r="A30" s="195">
        <v>19</v>
      </c>
      <c r="B30" s="308"/>
      <c r="C30" s="309"/>
      <c r="D30" s="309"/>
      <c r="E30" s="309"/>
      <c r="F30" s="309"/>
      <c r="G30" s="309"/>
      <c r="H30" s="309"/>
      <c r="I30" s="309"/>
      <c r="J30" s="309"/>
      <c r="K30" s="309"/>
      <c r="L30" s="309"/>
      <c r="M30" s="309"/>
      <c r="N30" s="310"/>
      <c r="P30" s="195">
        <v>19</v>
      </c>
      <c r="Q30" s="308"/>
      <c r="R30" s="309"/>
      <c r="S30" s="309"/>
      <c r="T30" s="309"/>
      <c r="U30" s="309"/>
      <c r="V30" s="309"/>
      <c r="W30" s="309"/>
      <c r="X30" s="309"/>
      <c r="Y30" s="309"/>
      <c r="Z30" s="309"/>
      <c r="AA30" s="309"/>
      <c r="AB30" s="309"/>
      <c r="AC30" s="310"/>
      <c r="AE30" s="195">
        <v>19</v>
      </c>
      <c r="AF30" s="308"/>
      <c r="AG30" s="309"/>
      <c r="AH30" s="309"/>
      <c r="AI30" s="309"/>
      <c r="AJ30" s="309"/>
      <c r="AK30" s="309"/>
      <c r="AL30" s="309"/>
      <c r="AM30" s="309"/>
      <c r="AN30" s="309"/>
      <c r="AO30" s="309"/>
      <c r="AP30" s="309"/>
      <c r="AQ30" s="309"/>
      <c r="AR30" s="310"/>
      <c r="AT30" s="195">
        <v>19</v>
      </c>
      <c r="AU30" s="308"/>
      <c r="AV30" s="309"/>
      <c r="AW30" s="309"/>
      <c r="AX30" s="309"/>
      <c r="AY30" s="309"/>
      <c r="AZ30" s="309"/>
      <c r="BA30" s="309"/>
      <c r="BB30" s="309"/>
      <c r="BC30" s="309"/>
      <c r="BD30" s="309"/>
      <c r="BE30" s="309"/>
      <c r="BF30" s="309"/>
      <c r="BG30" s="310"/>
    </row>
    <row r="31" spans="1:59">
      <c r="A31" s="195">
        <v>20</v>
      </c>
      <c r="B31" s="308"/>
      <c r="C31" s="309"/>
      <c r="D31" s="309"/>
      <c r="E31" s="309"/>
      <c r="F31" s="309"/>
      <c r="G31" s="309"/>
      <c r="H31" s="309"/>
      <c r="I31" s="309"/>
      <c r="J31" s="309"/>
      <c r="K31" s="309"/>
      <c r="L31" s="309"/>
      <c r="M31" s="309"/>
      <c r="N31" s="310"/>
      <c r="P31" s="195">
        <v>20</v>
      </c>
      <c r="Q31" s="308"/>
      <c r="R31" s="309"/>
      <c r="S31" s="309"/>
      <c r="T31" s="309"/>
      <c r="U31" s="309"/>
      <c r="V31" s="309"/>
      <c r="W31" s="309"/>
      <c r="X31" s="309"/>
      <c r="Y31" s="309"/>
      <c r="Z31" s="309"/>
      <c r="AA31" s="309"/>
      <c r="AB31" s="309"/>
      <c r="AC31" s="310"/>
      <c r="AE31" s="195">
        <v>20</v>
      </c>
      <c r="AF31" s="308"/>
      <c r="AG31" s="309"/>
      <c r="AH31" s="309"/>
      <c r="AI31" s="309"/>
      <c r="AJ31" s="309"/>
      <c r="AK31" s="309"/>
      <c r="AL31" s="309"/>
      <c r="AM31" s="309"/>
      <c r="AN31" s="309"/>
      <c r="AO31" s="309"/>
      <c r="AP31" s="309"/>
      <c r="AQ31" s="309"/>
      <c r="AR31" s="310"/>
      <c r="AT31" s="195">
        <v>20</v>
      </c>
      <c r="AU31" s="308"/>
      <c r="AV31" s="309"/>
      <c r="AW31" s="309"/>
      <c r="AX31" s="309"/>
      <c r="AY31" s="309"/>
      <c r="AZ31" s="309"/>
      <c r="BA31" s="309"/>
      <c r="BB31" s="309"/>
      <c r="BC31" s="309"/>
      <c r="BD31" s="309"/>
      <c r="BE31" s="309"/>
      <c r="BF31" s="309"/>
      <c r="BG31" s="310"/>
    </row>
    <row r="32" spans="1:59">
      <c r="A32" s="195">
        <v>21</v>
      </c>
      <c r="B32" s="308"/>
      <c r="C32" s="309"/>
      <c r="D32" s="309"/>
      <c r="E32" s="309"/>
      <c r="F32" s="309"/>
      <c r="G32" s="309"/>
      <c r="H32" s="309"/>
      <c r="I32" s="309"/>
      <c r="J32" s="309"/>
      <c r="K32" s="309"/>
      <c r="L32" s="309"/>
      <c r="M32" s="309"/>
      <c r="N32" s="310"/>
      <c r="P32" s="195">
        <v>21</v>
      </c>
      <c r="Q32" s="308"/>
      <c r="R32" s="309"/>
      <c r="S32" s="309"/>
      <c r="T32" s="309"/>
      <c r="U32" s="309"/>
      <c r="V32" s="309"/>
      <c r="W32" s="309"/>
      <c r="X32" s="309"/>
      <c r="Y32" s="309"/>
      <c r="Z32" s="309"/>
      <c r="AA32" s="309"/>
      <c r="AB32" s="309"/>
      <c r="AC32" s="310"/>
      <c r="AE32" s="195">
        <v>21</v>
      </c>
      <c r="AF32" s="308"/>
      <c r="AG32" s="309"/>
      <c r="AH32" s="309"/>
      <c r="AI32" s="309"/>
      <c r="AJ32" s="309"/>
      <c r="AK32" s="309"/>
      <c r="AL32" s="309"/>
      <c r="AM32" s="309"/>
      <c r="AN32" s="309"/>
      <c r="AO32" s="309"/>
      <c r="AP32" s="309"/>
      <c r="AQ32" s="309"/>
      <c r="AR32" s="310"/>
      <c r="AT32" s="195">
        <v>21</v>
      </c>
      <c r="AU32" s="308"/>
      <c r="AV32" s="309"/>
      <c r="AW32" s="309"/>
      <c r="AX32" s="309"/>
      <c r="AY32" s="309"/>
      <c r="AZ32" s="309"/>
      <c r="BA32" s="309"/>
      <c r="BB32" s="309"/>
      <c r="BC32" s="309"/>
      <c r="BD32" s="309"/>
      <c r="BE32" s="309"/>
      <c r="BF32" s="309"/>
      <c r="BG32" s="310"/>
    </row>
    <row r="33" spans="1:59">
      <c r="A33" s="195">
        <v>22</v>
      </c>
      <c r="B33" s="308"/>
      <c r="C33" s="309"/>
      <c r="D33" s="309"/>
      <c r="E33" s="309"/>
      <c r="F33" s="309"/>
      <c r="G33" s="309"/>
      <c r="H33" s="309"/>
      <c r="I33" s="309"/>
      <c r="J33" s="309"/>
      <c r="K33" s="309"/>
      <c r="L33" s="309"/>
      <c r="M33" s="309"/>
      <c r="N33" s="310"/>
      <c r="P33" s="195">
        <v>22</v>
      </c>
      <c r="Q33" s="308"/>
      <c r="R33" s="309"/>
      <c r="S33" s="309"/>
      <c r="T33" s="309"/>
      <c r="U33" s="309"/>
      <c r="V33" s="309"/>
      <c r="W33" s="309"/>
      <c r="X33" s="309"/>
      <c r="Y33" s="309"/>
      <c r="Z33" s="309"/>
      <c r="AA33" s="309"/>
      <c r="AB33" s="309"/>
      <c r="AC33" s="310"/>
      <c r="AE33" s="195">
        <v>22</v>
      </c>
      <c r="AF33" s="308"/>
      <c r="AG33" s="309"/>
      <c r="AH33" s="309"/>
      <c r="AI33" s="309"/>
      <c r="AJ33" s="309"/>
      <c r="AK33" s="309"/>
      <c r="AL33" s="309"/>
      <c r="AM33" s="309"/>
      <c r="AN33" s="309"/>
      <c r="AO33" s="309"/>
      <c r="AP33" s="309"/>
      <c r="AQ33" s="309"/>
      <c r="AR33" s="310"/>
      <c r="AT33" s="195">
        <v>22</v>
      </c>
      <c r="AU33" s="308"/>
      <c r="AV33" s="309"/>
      <c r="AW33" s="309"/>
      <c r="AX33" s="309"/>
      <c r="AY33" s="309"/>
      <c r="AZ33" s="309"/>
      <c r="BA33" s="309"/>
      <c r="BB33" s="309"/>
      <c r="BC33" s="309"/>
      <c r="BD33" s="309"/>
      <c r="BE33" s="309"/>
      <c r="BF33" s="309"/>
      <c r="BG33" s="310"/>
    </row>
    <row r="34" spans="1:59">
      <c r="A34" s="195">
        <v>23</v>
      </c>
      <c r="B34" s="308"/>
      <c r="C34" s="309"/>
      <c r="D34" s="309"/>
      <c r="E34" s="309"/>
      <c r="F34" s="309"/>
      <c r="G34" s="309"/>
      <c r="H34" s="309"/>
      <c r="I34" s="309"/>
      <c r="J34" s="309"/>
      <c r="K34" s="309"/>
      <c r="L34" s="309"/>
      <c r="M34" s="309"/>
      <c r="N34" s="310"/>
      <c r="P34" s="195">
        <v>23</v>
      </c>
      <c r="Q34" s="308"/>
      <c r="R34" s="309"/>
      <c r="S34" s="309"/>
      <c r="T34" s="309"/>
      <c r="U34" s="309"/>
      <c r="V34" s="309"/>
      <c r="W34" s="309"/>
      <c r="X34" s="309"/>
      <c r="Y34" s="309"/>
      <c r="Z34" s="309"/>
      <c r="AA34" s="309"/>
      <c r="AB34" s="309"/>
      <c r="AC34" s="310"/>
      <c r="AE34" s="195">
        <v>23</v>
      </c>
      <c r="AF34" s="308"/>
      <c r="AG34" s="309"/>
      <c r="AH34" s="309"/>
      <c r="AI34" s="309"/>
      <c r="AJ34" s="309"/>
      <c r="AK34" s="309"/>
      <c r="AL34" s="309"/>
      <c r="AM34" s="309"/>
      <c r="AN34" s="309"/>
      <c r="AO34" s="309"/>
      <c r="AP34" s="309"/>
      <c r="AQ34" s="309"/>
      <c r="AR34" s="310"/>
      <c r="AT34" s="195">
        <v>23</v>
      </c>
      <c r="AU34" s="308"/>
      <c r="AV34" s="309"/>
      <c r="AW34" s="309"/>
      <c r="AX34" s="309"/>
      <c r="AY34" s="309"/>
      <c r="AZ34" s="309"/>
      <c r="BA34" s="309"/>
      <c r="BB34" s="309"/>
      <c r="BC34" s="309"/>
      <c r="BD34" s="309"/>
      <c r="BE34" s="309"/>
      <c r="BF34" s="309"/>
      <c r="BG34" s="310"/>
    </row>
    <row r="35" spans="1:59">
      <c r="A35" s="195">
        <v>24</v>
      </c>
      <c r="B35" s="308"/>
      <c r="C35" s="309"/>
      <c r="D35" s="309"/>
      <c r="E35" s="309"/>
      <c r="F35" s="309"/>
      <c r="G35" s="309"/>
      <c r="H35" s="309"/>
      <c r="I35" s="309"/>
      <c r="J35" s="309"/>
      <c r="K35" s="309"/>
      <c r="L35" s="309"/>
      <c r="M35" s="309"/>
      <c r="N35" s="310"/>
      <c r="P35" s="195">
        <v>24</v>
      </c>
      <c r="Q35" s="308"/>
      <c r="R35" s="309"/>
      <c r="S35" s="309"/>
      <c r="T35" s="309"/>
      <c r="U35" s="309"/>
      <c r="V35" s="309"/>
      <c r="W35" s="309"/>
      <c r="X35" s="309"/>
      <c r="Y35" s="309"/>
      <c r="Z35" s="309"/>
      <c r="AA35" s="309"/>
      <c r="AB35" s="309"/>
      <c r="AC35" s="310"/>
      <c r="AE35" s="195">
        <v>24</v>
      </c>
      <c r="AF35" s="308"/>
      <c r="AG35" s="309"/>
      <c r="AH35" s="309"/>
      <c r="AI35" s="309"/>
      <c r="AJ35" s="309"/>
      <c r="AK35" s="309"/>
      <c r="AL35" s="309"/>
      <c r="AM35" s="309"/>
      <c r="AN35" s="309"/>
      <c r="AO35" s="309"/>
      <c r="AP35" s="309"/>
      <c r="AQ35" s="309"/>
      <c r="AR35" s="310"/>
      <c r="AT35" s="195">
        <v>24</v>
      </c>
      <c r="AU35" s="308"/>
      <c r="AV35" s="309"/>
      <c r="AW35" s="309"/>
      <c r="AX35" s="309"/>
      <c r="AY35" s="309"/>
      <c r="AZ35" s="309"/>
      <c r="BA35" s="309"/>
      <c r="BB35" s="309"/>
      <c r="BC35" s="309"/>
      <c r="BD35" s="309"/>
      <c r="BE35" s="309"/>
      <c r="BF35" s="309"/>
      <c r="BG35" s="310"/>
    </row>
    <row r="36" spans="1:59">
      <c r="A36" s="195">
        <v>25</v>
      </c>
      <c r="B36" s="308"/>
      <c r="C36" s="309"/>
      <c r="D36" s="309"/>
      <c r="E36" s="309"/>
      <c r="F36" s="309"/>
      <c r="G36" s="309"/>
      <c r="H36" s="309"/>
      <c r="I36" s="309"/>
      <c r="J36" s="309"/>
      <c r="K36" s="309"/>
      <c r="L36" s="309"/>
      <c r="M36" s="309"/>
      <c r="N36" s="310"/>
      <c r="P36" s="195">
        <v>25</v>
      </c>
      <c r="Q36" s="308"/>
      <c r="R36" s="309"/>
      <c r="S36" s="309"/>
      <c r="T36" s="309"/>
      <c r="U36" s="309"/>
      <c r="V36" s="309"/>
      <c r="W36" s="309"/>
      <c r="X36" s="309"/>
      <c r="Y36" s="309"/>
      <c r="Z36" s="309"/>
      <c r="AA36" s="309"/>
      <c r="AB36" s="309"/>
      <c r="AC36" s="310"/>
      <c r="AE36" s="195">
        <v>25</v>
      </c>
      <c r="AF36" s="308"/>
      <c r="AG36" s="309"/>
      <c r="AH36" s="309"/>
      <c r="AI36" s="309"/>
      <c r="AJ36" s="309"/>
      <c r="AK36" s="309"/>
      <c r="AL36" s="309"/>
      <c r="AM36" s="309"/>
      <c r="AN36" s="309"/>
      <c r="AO36" s="309"/>
      <c r="AP36" s="309"/>
      <c r="AQ36" s="309"/>
      <c r="AR36" s="310"/>
      <c r="AT36" s="195">
        <v>25</v>
      </c>
      <c r="AU36" s="308"/>
      <c r="AV36" s="309"/>
      <c r="AW36" s="309"/>
      <c r="AX36" s="309"/>
      <c r="AY36" s="309"/>
      <c r="AZ36" s="309"/>
      <c r="BA36" s="309"/>
      <c r="BB36" s="309"/>
      <c r="BC36" s="309"/>
      <c r="BD36" s="309"/>
      <c r="BE36" s="309"/>
      <c r="BF36" s="309"/>
      <c r="BG36" s="310"/>
    </row>
    <row r="37" spans="1:59">
      <c r="A37" s="195">
        <v>26</v>
      </c>
      <c r="B37" s="308"/>
      <c r="C37" s="309"/>
      <c r="D37" s="309"/>
      <c r="E37" s="309"/>
      <c r="F37" s="309"/>
      <c r="G37" s="309"/>
      <c r="H37" s="309"/>
      <c r="I37" s="309"/>
      <c r="J37" s="309"/>
      <c r="K37" s="309"/>
      <c r="L37" s="309"/>
      <c r="M37" s="309"/>
      <c r="N37" s="310"/>
      <c r="P37" s="195">
        <v>26</v>
      </c>
      <c r="Q37" s="308"/>
      <c r="R37" s="309"/>
      <c r="S37" s="309"/>
      <c r="T37" s="309"/>
      <c r="U37" s="309"/>
      <c r="V37" s="309"/>
      <c r="W37" s="309"/>
      <c r="X37" s="309"/>
      <c r="Y37" s="309"/>
      <c r="Z37" s="309"/>
      <c r="AA37" s="309"/>
      <c r="AB37" s="309"/>
      <c r="AC37" s="310"/>
      <c r="AE37" s="195">
        <v>26</v>
      </c>
      <c r="AF37" s="308"/>
      <c r="AG37" s="309"/>
      <c r="AH37" s="309"/>
      <c r="AI37" s="309"/>
      <c r="AJ37" s="309"/>
      <c r="AK37" s="309"/>
      <c r="AL37" s="309"/>
      <c r="AM37" s="309"/>
      <c r="AN37" s="309"/>
      <c r="AO37" s="309"/>
      <c r="AP37" s="309"/>
      <c r="AQ37" s="309"/>
      <c r="AR37" s="310"/>
      <c r="AT37" s="195">
        <v>26</v>
      </c>
      <c r="AU37" s="308"/>
      <c r="AV37" s="309"/>
      <c r="AW37" s="309"/>
      <c r="AX37" s="309"/>
      <c r="AY37" s="309"/>
      <c r="AZ37" s="309"/>
      <c r="BA37" s="309"/>
      <c r="BB37" s="309"/>
      <c r="BC37" s="309"/>
      <c r="BD37" s="309"/>
      <c r="BE37" s="309"/>
      <c r="BF37" s="309"/>
      <c r="BG37" s="310"/>
    </row>
    <row r="38" spans="1:59">
      <c r="A38" s="195">
        <v>27</v>
      </c>
      <c r="B38" s="308"/>
      <c r="C38" s="309"/>
      <c r="D38" s="309"/>
      <c r="E38" s="309"/>
      <c r="F38" s="309"/>
      <c r="G38" s="309"/>
      <c r="H38" s="309"/>
      <c r="I38" s="309"/>
      <c r="J38" s="309"/>
      <c r="K38" s="309"/>
      <c r="L38" s="309"/>
      <c r="M38" s="309"/>
      <c r="N38" s="310"/>
      <c r="P38" s="195">
        <v>27</v>
      </c>
      <c r="Q38" s="308"/>
      <c r="R38" s="309"/>
      <c r="S38" s="309"/>
      <c r="T38" s="309"/>
      <c r="U38" s="309"/>
      <c r="V38" s="309"/>
      <c r="W38" s="309"/>
      <c r="X38" s="309"/>
      <c r="Y38" s="309"/>
      <c r="Z38" s="309"/>
      <c r="AA38" s="309"/>
      <c r="AB38" s="309"/>
      <c r="AC38" s="310"/>
      <c r="AE38" s="195">
        <v>27</v>
      </c>
      <c r="AF38" s="308"/>
      <c r="AG38" s="309"/>
      <c r="AH38" s="309"/>
      <c r="AI38" s="309"/>
      <c r="AJ38" s="309"/>
      <c r="AK38" s="309"/>
      <c r="AL38" s="309"/>
      <c r="AM38" s="309"/>
      <c r="AN38" s="309"/>
      <c r="AO38" s="309"/>
      <c r="AP38" s="309"/>
      <c r="AQ38" s="309"/>
      <c r="AR38" s="310"/>
      <c r="AT38" s="195">
        <v>27</v>
      </c>
      <c r="AU38" s="308"/>
      <c r="AV38" s="309"/>
      <c r="AW38" s="309"/>
      <c r="AX38" s="309"/>
      <c r="AY38" s="309"/>
      <c r="AZ38" s="309"/>
      <c r="BA38" s="309"/>
      <c r="BB38" s="309"/>
      <c r="BC38" s="309"/>
      <c r="BD38" s="309"/>
      <c r="BE38" s="309"/>
      <c r="BF38" s="309"/>
      <c r="BG38" s="310"/>
    </row>
    <row r="39" spans="1:59">
      <c r="A39" s="195">
        <v>28</v>
      </c>
      <c r="B39" s="308"/>
      <c r="C39" s="309"/>
      <c r="D39" s="309"/>
      <c r="E39" s="309"/>
      <c r="F39" s="309"/>
      <c r="G39" s="309"/>
      <c r="H39" s="309"/>
      <c r="I39" s="309"/>
      <c r="J39" s="309"/>
      <c r="K39" s="309"/>
      <c r="L39" s="309"/>
      <c r="M39" s="309"/>
      <c r="N39" s="310"/>
      <c r="P39" s="195">
        <v>28</v>
      </c>
      <c r="Q39" s="308"/>
      <c r="R39" s="309"/>
      <c r="S39" s="309"/>
      <c r="T39" s="309"/>
      <c r="U39" s="309"/>
      <c r="V39" s="309"/>
      <c r="W39" s="309"/>
      <c r="X39" s="309"/>
      <c r="Y39" s="309"/>
      <c r="Z39" s="309"/>
      <c r="AA39" s="309"/>
      <c r="AB39" s="309"/>
      <c r="AC39" s="310"/>
      <c r="AE39" s="195">
        <v>28</v>
      </c>
      <c r="AF39" s="308"/>
      <c r="AG39" s="309"/>
      <c r="AH39" s="309"/>
      <c r="AI39" s="309"/>
      <c r="AJ39" s="309"/>
      <c r="AK39" s="309"/>
      <c r="AL39" s="309"/>
      <c r="AM39" s="309"/>
      <c r="AN39" s="309"/>
      <c r="AO39" s="309"/>
      <c r="AP39" s="309"/>
      <c r="AQ39" s="309"/>
      <c r="AR39" s="310"/>
      <c r="AT39" s="195">
        <v>28</v>
      </c>
      <c r="AU39" s="308"/>
      <c r="AV39" s="309"/>
      <c r="AW39" s="309"/>
      <c r="AX39" s="309"/>
      <c r="AY39" s="309"/>
      <c r="AZ39" s="309"/>
      <c r="BA39" s="309"/>
      <c r="BB39" s="309"/>
      <c r="BC39" s="309"/>
      <c r="BD39" s="309"/>
      <c r="BE39" s="309"/>
      <c r="BF39" s="309"/>
      <c r="BG39" s="310"/>
    </row>
    <row r="40" spans="1:59">
      <c r="A40" s="195">
        <v>29</v>
      </c>
      <c r="B40" s="308"/>
      <c r="C40" s="309"/>
      <c r="D40" s="309"/>
      <c r="E40" s="309"/>
      <c r="F40" s="309"/>
      <c r="G40" s="309"/>
      <c r="H40" s="309"/>
      <c r="I40" s="309"/>
      <c r="J40" s="309"/>
      <c r="K40" s="309"/>
      <c r="L40" s="309"/>
      <c r="M40" s="309"/>
      <c r="N40" s="310"/>
      <c r="P40" s="195">
        <v>29</v>
      </c>
      <c r="Q40" s="308"/>
      <c r="R40" s="309"/>
      <c r="S40" s="309"/>
      <c r="T40" s="309"/>
      <c r="U40" s="309"/>
      <c r="V40" s="309"/>
      <c r="W40" s="309"/>
      <c r="X40" s="309"/>
      <c r="Y40" s="309"/>
      <c r="Z40" s="309"/>
      <c r="AA40" s="309"/>
      <c r="AB40" s="309"/>
      <c r="AC40" s="310"/>
      <c r="AE40" s="195">
        <v>29</v>
      </c>
      <c r="AF40" s="308"/>
      <c r="AG40" s="309"/>
      <c r="AH40" s="309"/>
      <c r="AI40" s="309"/>
      <c r="AJ40" s="309"/>
      <c r="AK40" s="309"/>
      <c r="AL40" s="309"/>
      <c r="AM40" s="309"/>
      <c r="AN40" s="309"/>
      <c r="AO40" s="309"/>
      <c r="AP40" s="309"/>
      <c r="AQ40" s="309"/>
      <c r="AR40" s="310"/>
      <c r="AT40" s="195">
        <v>29</v>
      </c>
      <c r="AU40" s="308"/>
      <c r="AV40" s="309"/>
      <c r="AW40" s="309"/>
      <c r="AX40" s="309"/>
      <c r="AY40" s="309"/>
      <c r="AZ40" s="309"/>
      <c r="BA40" s="309"/>
      <c r="BB40" s="309"/>
      <c r="BC40" s="309"/>
      <c r="BD40" s="309"/>
      <c r="BE40" s="309"/>
      <c r="BF40" s="309"/>
      <c r="BG40" s="310"/>
    </row>
    <row r="41" spans="1:59">
      <c r="A41" s="195">
        <v>30</v>
      </c>
      <c r="B41" s="308"/>
      <c r="C41" s="309"/>
      <c r="D41" s="309"/>
      <c r="E41" s="309"/>
      <c r="F41" s="309"/>
      <c r="G41" s="309"/>
      <c r="H41" s="309"/>
      <c r="I41" s="309"/>
      <c r="J41" s="309"/>
      <c r="K41" s="309"/>
      <c r="L41" s="309"/>
      <c r="M41" s="309"/>
      <c r="N41" s="310"/>
      <c r="P41" s="195">
        <v>30</v>
      </c>
      <c r="Q41" s="308"/>
      <c r="R41" s="309"/>
      <c r="S41" s="309"/>
      <c r="T41" s="309"/>
      <c r="U41" s="309"/>
      <c r="V41" s="309"/>
      <c r="W41" s="309"/>
      <c r="X41" s="309"/>
      <c r="Y41" s="309"/>
      <c r="Z41" s="309"/>
      <c r="AA41" s="309"/>
      <c r="AB41" s="309"/>
      <c r="AC41" s="310"/>
      <c r="AE41" s="195">
        <v>30</v>
      </c>
      <c r="AF41" s="308"/>
      <c r="AG41" s="309"/>
      <c r="AH41" s="309"/>
      <c r="AI41" s="309"/>
      <c r="AJ41" s="309"/>
      <c r="AK41" s="309"/>
      <c r="AL41" s="309"/>
      <c r="AM41" s="309"/>
      <c r="AN41" s="309"/>
      <c r="AO41" s="309"/>
      <c r="AP41" s="309"/>
      <c r="AQ41" s="309"/>
      <c r="AR41" s="310"/>
      <c r="AT41" s="195">
        <v>30</v>
      </c>
      <c r="AU41" s="308"/>
      <c r="AV41" s="309"/>
      <c r="AW41" s="309"/>
      <c r="AX41" s="309"/>
      <c r="AY41" s="309"/>
      <c r="AZ41" s="309"/>
      <c r="BA41" s="309"/>
      <c r="BB41" s="309"/>
      <c r="BC41" s="309"/>
      <c r="BD41" s="309"/>
      <c r="BE41" s="309"/>
      <c r="BF41" s="309"/>
      <c r="BG41" s="310"/>
    </row>
    <row r="42" spans="1:59">
      <c r="A42" s="195">
        <v>31</v>
      </c>
      <c r="B42" s="308"/>
      <c r="C42" s="309"/>
      <c r="D42" s="309"/>
      <c r="E42" s="309"/>
      <c r="F42" s="309"/>
      <c r="G42" s="309"/>
      <c r="H42" s="309"/>
      <c r="I42" s="309"/>
      <c r="J42" s="309"/>
      <c r="K42" s="309"/>
      <c r="L42" s="309"/>
      <c r="M42" s="309"/>
      <c r="N42" s="310"/>
      <c r="P42" s="195">
        <v>31</v>
      </c>
      <c r="Q42" s="308"/>
      <c r="R42" s="309"/>
      <c r="S42" s="309"/>
      <c r="T42" s="309"/>
      <c r="U42" s="309"/>
      <c r="V42" s="309"/>
      <c r="W42" s="309"/>
      <c r="X42" s="309"/>
      <c r="Y42" s="309"/>
      <c r="Z42" s="309"/>
      <c r="AA42" s="309"/>
      <c r="AB42" s="309"/>
      <c r="AC42" s="310"/>
      <c r="AE42" s="195">
        <v>31</v>
      </c>
      <c r="AF42" s="308"/>
      <c r="AG42" s="309"/>
      <c r="AH42" s="309"/>
      <c r="AI42" s="309"/>
      <c r="AJ42" s="309"/>
      <c r="AK42" s="309"/>
      <c r="AL42" s="309"/>
      <c r="AM42" s="309"/>
      <c r="AN42" s="309"/>
      <c r="AO42" s="309"/>
      <c r="AP42" s="309"/>
      <c r="AQ42" s="309"/>
      <c r="AR42" s="310"/>
      <c r="AT42" s="195">
        <v>31</v>
      </c>
      <c r="AU42" s="308"/>
      <c r="AV42" s="309"/>
      <c r="AW42" s="309"/>
      <c r="AX42" s="309"/>
      <c r="AY42" s="309"/>
      <c r="AZ42" s="309"/>
      <c r="BA42" s="309"/>
      <c r="BB42" s="309"/>
      <c r="BC42" s="309"/>
      <c r="BD42" s="309"/>
      <c r="BE42" s="309"/>
      <c r="BF42" s="309"/>
      <c r="BG42" s="310"/>
    </row>
    <row r="43" spans="1:59">
      <c r="A43" s="195">
        <v>32</v>
      </c>
      <c r="B43" s="308"/>
      <c r="C43" s="309"/>
      <c r="D43" s="309"/>
      <c r="E43" s="309"/>
      <c r="F43" s="309"/>
      <c r="G43" s="309"/>
      <c r="H43" s="309"/>
      <c r="I43" s="309"/>
      <c r="J43" s="309"/>
      <c r="K43" s="309"/>
      <c r="L43" s="309"/>
      <c r="M43" s="309"/>
      <c r="N43" s="310"/>
      <c r="P43" s="195">
        <v>32</v>
      </c>
      <c r="Q43" s="308"/>
      <c r="R43" s="309"/>
      <c r="S43" s="309"/>
      <c r="T43" s="309"/>
      <c r="U43" s="309"/>
      <c r="V43" s="309"/>
      <c r="W43" s="309"/>
      <c r="X43" s="309"/>
      <c r="Y43" s="309"/>
      <c r="Z43" s="309"/>
      <c r="AA43" s="309"/>
      <c r="AB43" s="309"/>
      <c r="AC43" s="310"/>
      <c r="AE43" s="195">
        <v>32</v>
      </c>
      <c r="AF43" s="308"/>
      <c r="AG43" s="309"/>
      <c r="AH43" s="309"/>
      <c r="AI43" s="309"/>
      <c r="AJ43" s="309"/>
      <c r="AK43" s="309"/>
      <c r="AL43" s="309"/>
      <c r="AM43" s="309"/>
      <c r="AN43" s="309"/>
      <c r="AO43" s="309"/>
      <c r="AP43" s="309"/>
      <c r="AQ43" s="309"/>
      <c r="AR43" s="310"/>
      <c r="AT43" s="195">
        <v>32</v>
      </c>
      <c r="AU43" s="308"/>
      <c r="AV43" s="309"/>
      <c r="AW43" s="309"/>
      <c r="AX43" s="309"/>
      <c r="AY43" s="309"/>
      <c r="AZ43" s="309"/>
      <c r="BA43" s="309"/>
      <c r="BB43" s="309"/>
      <c r="BC43" s="309"/>
      <c r="BD43" s="309"/>
      <c r="BE43" s="309"/>
      <c r="BF43" s="309"/>
      <c r="BG43" s="310"/>
    </row>
    <row r="44" spans="1:59">
      <c r="A44" s="195">
        <v>33</v>
      </c>
      <c r="B44" s="308"/>
      <c r="C44" s="309"/>
      <c r="D44" s="309"/>
      <c r="E44" s="309"/>
      <c r="F44" s="309"/>
      <c r="G44" s="309"/>
      <c r="H44" s="309"/>
      <c r="I44" s="309"/>
      <c r="J44" s="309"/>
      <c r="K44" s="309"/>
      <c r="L44" s="309"/>
      <c r="M44" s="309"/>
      <c r="N44" s="310"/>
      <c r="P44" s="195">
        <v>33</v>
      </c>
      <c r="Q44" s="308"/>
      <c r="R44" s="309"/>
      <c r="S44" s="309"/>
      <c r="T44" s="309"/>
      <c r="U44" s="309"/>
      <c r="V44" s="309"/>
      <c r="W44" s="309"/>
      <c r="X44" s="309"/>
      <c r="Y44" s="309"/>
      <c r="Z44" s="309"/>
      <c r="AA44" s="309"/>
      <c r="AB44" s="309"/>
      <c r="AC44" s="310"/>
      <c r="AE44" s="195">
        <v>33</v>
      </c>
      <c r="AF44" s="308"/>
      <c r="AG44" s="309"/>
      <c r="AH44" s="309"/>
      <c r="AI44" s="309"/>
      <c r="AJ44" s="309"/>
      <c r="AK44" s="309"/>
      <c r="AL44" s="309"/>
      <c r="AM44" s="309"/>
      <c r="AN44" s="309"/>
      <c r="AO44" s="309"/>
      <c r="AP44" s="309"/>
      <c r="AQ44" s="309"/>
      <c r="AR44" s="310"/>
      <c r="AT44" s="195">
        <v>33</v>
      </c>
      <c r="AU44" s="308"/>
      <c r="AV44" s="309"/>
      <c r="AW44" s="309"/>
      <c r="AX44" s="309"/>
      <c r="AY44" s="309"/>
      <c r="AZ44" s="309"/>
      <c r="BA44" s="309"/>
      <c r="BB44" s="309"/>
      <c r="BC44" s="309"/>
      <c r="BD44" s="309"/>
      <c r="BE44" s="309"/>
      <c r="BF44" s="309"/>
      <c r="BG44" s="310"/>
    </row>
    <row r="45" spans="1:59">
      <c r="A45" s="195">
        <v>34</v>
      </c>
      <c r="B45" s="308"/>
      <c r="C45" s="309"/>
      <c r="D45" s="309"/>
      <c r="E45" s="309"/>
      <c r="F45" s="309"/>
      <c r="G45" s="309"/>
      <c r="H45" s="309"/>
      <c r="I45" s="309"/>
      <c r="J45" s="309"/>
      <c r="K45" s="309"/>
      <c r="L45" s="309"/>
      <c r="M45" s="309"/>
      <c r="N45" s="310"/>
      <c r="P45" s="195">
        <v>34</v>
      </c>
      <c r="Q45" s="308"/>
      <c r="R45" s="309"/>
      <c r="S45" s="309"/>
      <c r="T45" s="309"/>
      <c r="U45" s="309"/>
      <c r="V45" s="309"/>
      <c r="W45" s="309"/>
      <c r="X45" s="309"/>
      <c r="Y45" s="309"/>
      <c r="Z45" s="309"/>
      <c r="AA45" s="309"/>
      <c r="AB45" s="309"/>
      <c r="AC45" s="310"/>
      <c r="AE45" s="195">
        <v>34</v>
      </c>
      <c r="AF45" s="308"/>
      <c r="AG45" s="309"/>
      <c r="AH45" s="309"/>
      <c r="AI45" s="309"/>
      <c r="AJ45" s="309"/>
      <c r="AK45" s="309"/>
      <c r="AL45" s="309"/>
      <c r="AM45" s="309"/>
      <c r="AN45" s="309"/>
      <c r="AO45" s="309"/>
      <c r="AP45" s="309"/>
      <c r="AQ45" s="309"/>
      <c r="AR45" s="310"/>
      <c r="AT45" s="195">
        <v>34</v>
      </c>
      <c r="AU45" s="308"/>
      <c r="AV45" s="309"/>
      <c r="AW45" s="309"/>
      <c r="AX45" s="309"/>
      <c r="AY45" s="309"/>
      <c r="AZ45" s="309"/>
      <c r="BA45" s="309"/>
      <c r="BB45" s="309"/>
      <c r="BC45" s="309"/>
      <c r="BD45" s="309"/>
      <c r="BE45" s="309"/>
      <c r="BF45" s="309"/>
      <c r="BG45" s="310"/>
    </row>
    <row r="46" spans="1:59">
      <c r="A46" s="195">
        <v>35</v>
      </c>
      <c r="B46" s="308"/>
      <c r="C46" s="309"/>
      <c r="D46" s="309"/>
      <c r="E46" s="309"/>
      <c r="F46" s="309"/>
      <c r="G46" s="309"/>
      <c r="H46" s="309"/>
      <c r="I46" s="309"/>
      <c r="J46" s="309"/>
      <c r="K46" s="309"/>
      <c r="L46" s="309"/>
      <c r="M46" s="309"/>
      <c r="N46" s="310"/>
      <c r="P46" s="195">
        <v>35</v>
      </c>
      <c r="Q46" s="308"/>
      <c r="R46" s="309"/>
      <c r="S46" s="309"/>
      <c r="T46" s="309"/>
      <c r="U46" s="309"/>
      <c r="V46" s="309"/>
      <c r="W46" s="309"/>
      <c r="X46" s="309"/>
      <c r="Y46" s="309"/>
      <c r="Z46" s="309"/>
      <c r="AA46" s="309"/>
      <c r="AB46" s="309"/>
      <c r="AC46" s="310"/>
      <c r="AE46" s="195">
        <v>35</v>
      </c>
      <c r="AF46" s="308"/>
      <c r="AG46" s="309"/>
      <c r="AH46" s="309"/>
      <c r="AI46" s="309"/>
      <c r="AJ46" s="309"/>
      <c r="AK46" s="309"/>
      <c r="AL46" s="309"/>
      <c r="AM46" s="309"/>
      <c r="AN46" s="309"/>
      <c r="AO46" s="309"/>
      <c r="AP46" s="309"/>
      <c r="AQ46" s="309"/>
      <c r="AR46" s="310"/>
      <c r="AT46" s="195">
        <v>35</v>
      </c>
      <c r="AU46" s="308"/>
      <c r="AV46" s="309"/>
      <c r="AW46" s="309"/>
      <c r="AX46" s="309"/>
      <c r="AY46" s="309"/>
      <c r="AZ46" s="309"/>
      <c r="BA46" s="309"/>
      <c r="BB46" s="309"/>
      <c r="BC46" s="309"/>
      <c r="BD46" s="309"/>
      <c r="BE46" s="309"/>
      <c r="BF46" s="309"/>
      <c r="BG46" s="310"/>
    </row>
    <row r="47" spans="1:59">
      <c r="A47" s="195">
        <v>36</v>
      </c>
      <c r="B47" s="308"/>
      <c r="C47" s="309"/>
      <c r="D47" s="309"/>
      <c r="E47" s="309"/>
      <c r="F47" s="309"/>
      <c r="G47" s="309"/>
      <c r="H47" s="309"/>
      <c r="I47" s="309"/>
      <c r="J47" s="309"/>
      <c r="K47" s="309"/>
      <c r="L47" s="309"/>
      <c r="M47" s="309"/>
      <c r="N47" s="310"/>
      <c r="P47" s="195">
        <v>36</v>
      </c>
      <c r="Q47" s="308"/>
      <c r="R47" s="309"/>
      <c r="S47" s="309"/>
      <c r="T47" s="309"/>
      <c r="U47" s="309"/>
      <c r="V47" s="309"/>
      <c r="W47" s="309"/>
      <c r="X47" s="309"/>
      <c r="Y47" s="309"/>
      <c r="Z47" s="309"/>
      <c r="AA47" s="309"/>
      <c r="AB47" s="309"/>
      <c r="AC47" s="310"/>
      <c r="AE47" s="195">
        <v>36</v>
      </c>
      <c r="AF47" s="308"/>
      <c r="AG47" s="309"/>
      <c r="AH47" s="309"/>
      <c r="AI47" s="309"/>
      <c r="AJ47" s="309"/>
      <c r="AK47" s="309"/>
      <c r="AL47" s="309"/>
      <c r="AM47" s="309"/>
      <c r="AN47" s="309"/>
      <c r="AO47" s="309"/>
      <c r="AP47" s="309"/>
      <c r="AQ47" s="309"/>
      <c r="AR47" s="310"/>
      <c r="AT47" s="195">
        <v>36</v>
      </c>
      <c r="AU47" s="308"/>
      <c r="AV47" s="309"/>
      <c r="AW47" s="309"/>
      <c r="AX47" s="309"/>
      <c r="AY47" s="309"/>
      <c r="AZ47" s="309"/>
      <c r="BA47" s="309"/>
      <c r="BB47" s="309"/>
      <c r="BC47" s="309"/>
      <c r="BD47" s="309"/>
      <c r="BE47" s="309"/>
      <c r="BF47" s="309"/>
      <c r="BG47" s="310"/>
    </row>
    <row r="48" spans="1:59">
      <c r="A48" s="195">
        <v>37</v>
      </c>
      <c r="B48" s="308"/>
      <c r="C48" s="309"/>
      <c r="D48" s="309"/>
      <c r="E48" s="309"/>
      <c r="F48" s="309"/>
      <c r="G48" s="309"/>
      <c r="H48" s="309"/>
      <c r="I48" s="309"/>
      <c r="J48" s="309"/>
      <c r="K48" s="309"/>
      <c r="L48" s="309"/>
      <c r="M48" s="309"/>
      <c r="N48" s="310"/>
      <c r="P48" s="195">
        <v>37</v>
      </c>
      <c r="Q48" s="308"/>
      <c r="R48" s="309"/>
      <c r="S48" s="309"/>
      <c r="T48" s="309"/>
      <c r="U48" s="309"/>
      <c r="V48" s="309"/>
      <c r="W48" s="309"/>
      <c r="X48" s="309"/>
      <c r="Y48" s="309"/>
      <c r="Z48" s="309"/>
      <c r="AA48" s="309"/>
      <c r="AB48" s="309"/>
      <c r="AC48" s="310"/>
      <c r="AE48" s="195">
        <v>37</v>
      </c>
      <c r="AF48" s="308"/>
      <c r="AG48" s="309"/>
      <c r="AH48" s="309"/>
      <c r="AI48" s="309"/>
      <c r="AJ48" s="309"/>
      <c r="AK48" s="309"/>
      <c r="AL48" s="309"/>
      <c r="AM48" s="309"/>
      <c r="AN48" s="309"/>
      <c r="AO48" s="309"/>
      <c r="AP48" s="309"/>
      <c r="AQ48" s="309"/>
      <c r="AR48" s="310"/>
      <c r="AT48" s="195">
        <v>37</v>
      </c>
      <c r="AU48" s="308"/>
      <c r="AV48" s="309"/>
      <c r="AW48" s="309"/>
      <c r="AX48" s="309"/>
      <c r="AY48" s="309"/>
      <c r="AZ48" s="309"/>
      <c r="BA48" s="309"/>
      <c r="BB48" s="309"/>
      <c r="BC48" s="309"/>
      <c r="BD48" s="309"/>
      <c r="BE48" s="309"/>
      <c r="BF48" s="309"/>
      <c r="BG48" s="310"/>
    </row>
    <row r="49" spans="1:59">
      <c r="A49" s="195">
        <v>38</v>
      </c>
      <c r="B49" s="308"/>
      <c r="C49" s="309"/>
      <c r="D49" s="309"/>
      <c r="E49" s="309"/>
      <c r="F49" s="309"/>
      <c r="G49" s="309"/>
      <c r="H49" s="309"/>
      <c r="I49" s="309"/>
      <c r="J49" s="309"/>
      <c r="K49" s="309"/>
      <c r="L49" s="309"/>
      <c r="M49" s="309"/>
      <c r="N49" s="310"/>
      <c r="P49" s="195">
        <v>38</v>
      </c>
      <c r="Q49" s="308"/>
      <c r="R49" s="309"/>
      <c r="S49" s="309"/>
      <c r="T49" s="309"/>
      <c r="U49" s="309"/>
      <c r="V49" s="309"/>
      <c r="W49" s="309"/>
      <c r="X49" s="309"/>
      <c r="Y49" s="309"/>
      <c r="Z49" s="309"/>
      <c r="AA49" s="309"/>
      <c r="AB49" s="309"/>
      <c r="AC49" s="310"/>
      <c r="AE49" s="195">
        <v>38</v>
      </c>
      <c r="AF49" s="308"/>
      <c r="AG49" s="309"/>
      <c r="AH49" s="309"/>
      <c r="AI49" s="309"/>
      <c r="AJ49" s="309"/>
      <c r="AK49" s="309"/>
      <c r="AL49" s="309"/>
      <c r="AM49" s="309"/>
      <c r="AN49" s="309"/>
      <c r="AO49" s="309"/>
      <c r="AP49" s="309"/>
      <c r="AQ49" s="309"/>
      <c r="AR49" s="310"/>
      <c r="AT49" s="195">
        <v>38</v>
      </c>
      <c r="AU49" s="308"/>
      <c r="AV49" s="309"/>
      <c r="AW49" s="309"/>
      <c r="AX49" s="309"/>
      <c r="AY49" s="309"/>
      <c r="AZ49" s="309"/>
      <c r="BA49" s="309"/>
      <c r="BB49" s="309"/>
      <c r="BC49" s="309"/>
      <c r="BD49" s="309"/>
      <c r="BE49" s="309"/>
      <c r="BF49" s="309"/>
      <c r="BG49" s="310"/>
    </row>
    <row r="50" spans="1:59">
      <c r="A50" s="195">
        <v>39</v>
      </c>
      <c r="B50" s="308"/>
      <c r="C50" s="309"/>
      <c r="D50" s="309"/>
      <c r="E50" s="309"/>
      <c r="F50" s="309"/>
      <c r="G50" s="309"/>
      <c r="H50" s="309"/>
      <c r="I50" s="309"/>
      <c r="J50" s="309"/>
      <c r="K50" s="309"/>
      <c r="L50" s="309"/>
      <c r="M50" s="309"/>
      <c r="N50" s="310"/>
      <c r="P50" s="195">
        <v>39</v>
      </c>
      <c r="Q50" s="308"/>
      <c r="R50" s="309"/>
      <c r="S50" s="309"/>
      <c r="T50" s="309"/>
      <c r="U50" s="309"/>
      <c r="V50" s="309"/>
      <c r="W50" s="309"/>
      <c r="X50" s="309"/>
      <c r="Y50" s="309"/>
      <c r="Z50" s="309"/>
      <c r="AA50" s="309"/>
      <c r="AB50" s="309"/>
      <c r="AC50" s="310"/>
      <c r="AE50" s="195">
        <v>39</v>
      </c>
      <c r="AF50" s="308"/>
      <c r="AG50" s="309"/>
      <c r="AH50" s="309"/>
      <c r="AI50" s="309"/>
      <c r="AJ50" s="309"/>
      <c r="AK50" s="309"/>
      <c r="AL50" s="309"/>
      <c r="AM50" s="309"/>
      <c r="AN50" s="309"/>
      <c r="AO50" s="309"/>
      <c r="AP50" s="309"/>
      <c r="AQ50" s="309"/>
      <c r="AR50" s="310"/>
      <c r="AT50" s="195">
        <v>39</v>
      </c>
      <c r="AU50" s="308"/>
      <c r="AV50" s="309"/>
      <c r="AW50" s="309"/>
      <c r="AX50" s="309"/>
      <c r="AY50" s="309"/>
      <c r="AZ50" s="309"/>
      <c r="BA50" s="309"/>
      <c r="BB50" s="309"/>
      <c r="BC50" s="309"/>
      <c r="BD50" s="309"/>
      <c r="BE50" s="309"/>
      <c r="BF50" s="309"/>
      <c r="BG50" s="310"/>
    </row>
    <row r="51" spans="1:59">
      <c r="A51" s="195">
        <v>40</v>
      </c>
      <c r="B51" s="308"/>
      <c r="C51" s="309"/>
      <c r="D51" s="309"/>
      <c r="E51" s="309"/>
      <c r="F51" s="309"/>
      <c r="G51" s="309"/>
      <c r="H51" s="309"/>
      <c r="I51" s="309"/>
      <c r="J51" s="309"/>
      <c r="K51" s="309"/>
      <c r="L51" s="309"/>
      <c r="M51" s="309"/>
      <c r="N51" s="310"/>
      <c r="P51" s="195">
        <v>40</v>
      </c>
      <c r="Q51" s="308"/>
      <c r="R51" s="309"/>
      <c r="S51" s="309"/>
      <c r="T51" s="309"/>
      <c r="U51" s="309"/>
      <c r="V51" s="309"/>
      <c r="W51" s="309"/>
      <c r="X51" s="309"/>
      <c r="Y51" s="309"/>
      <c r="Z51" s="309"/>
      <c r="AA51" s="309"/>
      <c r="AB51" s="309"/>
      <c r="AC51" s="310"/>
      <c r="AE51" s="195">
        <v>40</v>
      </c>
      <c r="AF51" s="308"/>
      <c r="AG51" s="309"/>
      <c r="AH51" s="309"/>
      <c r="AI51" s="309"/>
      <c r="AJ51" s="309"/>
      <c r="AK51" s="309"/>
      <c r="AL51" s="309"/>
      <c r="AM51" s="309"/>
      <c r="AN51" s="309"/>
      <c r="AO51" s="309"/>
      <c r="AP51" s="309"/>
      <c r="AQ51" s="309"/>
      <c r="AR51" s="310"/>
      <c r="AT51" s="195">
        <v>40</v>
      </c>
      <c r="AU51" s="308"/>
      <c r="AV51" s="309"/>
      <c r="AW51" s="309"/>
      <c r="AX51" s="309"/>
      <c r="AY51" s="309"/>
      <c r="AZ51" s="309"/>
      <c r="BA51" s="309"/>
      <c r="BB51" s="309"/>
      <c r="BC51" s="309"/>
      <c r="BD51" s="309"/>
      <c r="BE51" s="309"/>
      <c r="BF51" s="309"/>
      <c r="BG51" s="310"/>
    </row>
    <row r="52" spans="1:59">
      <c r="A52" s="195">
        <v>41</v>
      </c>
      <c r="B52" s="308"/>
      <c r="C52" s="309"/>
      <c r="D52" s="309"/>
      <c r="E52" s="309"/>
      <c r="F52" s="309"/>
      <c r="G52" s="309"/>
      <c r="H52" s="309"/>
      <c r="I52" s="309"/>
      <c r="J52" s="309"/>
      <c r="K52" s="309"/>
      <c r="L52" s="309"/>
      <c r="M52" s="309"/>
      <c r="N52" s="310"/>
      <c r="P52" s="195">
        <v>41</v>
      </c>
      <c r="Q52" s="308"/>
      <c r="R52" s="309"/>
      <c r="S52" s="309"/>
      <c r="T52" s="309"/>
      <c r="U52" s="309"/>
      <c r="V52" s="309"/>
      <c r="W52" s="309"/>
      <c r="X52" s="309"/>
      <c r="Y52" s="309"/>
      <c r="Z52" s="309"/>
      <c r="AA52" s="309"/>
      <c r="AB52" s="309"/>
      <c r="AC52" s="310"/>
      <c r="AE52" s="195">
        <v>41</v>
      </c>
      <c r="AF52" s="308"/>
      <c r="AG52" s="309"/>
      <c r="AH52" s="309"/>
      <c r="AI52" s="309"/>
      <c r="AJ52" s="309"/>
      <c r="AK52" s="309"/>
      <c r="AL52" s="309"/>
      <c r="AM52" s="309"/>
      <c r="AN52" s="309"/>
      <c r="AO52" s="309"/>
      <c r="AP52" s="309"/>
      <c r="AQ52" s="309"/>
      <c r="AR52" s="310"/>
      <c r="AT52" s="195">
        <v>41</v>
      </c>
      <c r="AU52" s="308"/>
      <c r="AV52" s="309"/>
      <c r="AW52" s="309"/>
      <c r="AX52" s="309"/>
      <c r="AY52" s="309"/>
      <c r="AZ52" s="309"/>
      <c r="BA52" s="309"/>
      <c r="BB52" s="309"/>
      <c r="BC52" s="309"/>
      <c r="BD52" s="309"/>
      <c r="BE52" s="309"/>
      <c r="BF52" s="309"/>
      <c r="BG52" s="310"/>
    </row>
    <row r="53" spans="1:59">
      <c r="A53" s="195">
        <v>42</v>
      </c>
      <c r="B53" s="308"/>
      <c r="C53" s="309"/>
      <c r="D53" s="309"/>
      <c r="E53" s="309"/>
      <c r="F53" s="309"/>
      <c r="G53" s="309"/>
      <c r="H53" s="309"/>
      <c r="I53" s="309"/>
      <c r="J53" s="309"/>
      <c r="K53" s="309"/>
      <c r="L53" s="309"/>
      <c r="M53" s="309"/>
      <c r="N53" s="310"/>
      <c r="P53" s="195">
        <v>42</v>
      </c>
      <c r="Q53" s="308"/>
      <c r="R53" s="309"/>
      <c r="S53" s="309"/>
      <c r="T53" s="309"/>
      <c r="U53" s="309"/>
      <c r="V53" s="309"/>
      <c r="W53" s="309"/>
      <c r="X53" s="309"/>
      <c r="Y53" s="309"/>
      <c r="Z53" s="309"/>
      <c r="AA53" s="309"/>
      <c r="AB53" s="309"/>
      <c r="AC53" s="310"/>
      <c r="AE53" s="195">
        <v>42</v>
      </c>
      <c r="AF53" s="308"/>
      <c r="AG53" s="309"/>
      <c r="AH53" s="309"/>
      <c r="AI53" s="309"/>
      <c r="AJ53" s="309"/>
      <c r="AK53" s="309"/>
      <c r="AL53" s="309"/>
      <c r="AM53" s="309"/>
      <c r="AN53" s="309"/>
      <c r="AO53" s="309"/>
      <c r="AP53" s="309"/>
      <c r="AQ53" s="309"/>
      <c r="AR53" s="310"/>
      <c r="AT53" s="195">
        <v>42</v>
      </c>
      <c r="AU53" s="308"/>
      <c r="AV53" s="309"/>
      <c r="AW53" s="309"/>
      <c r="AX53" s="309"/>
      <c r="AY53" s="309"/>
      <c r="AZ53" s="309"/>
      <c r="BA53" s="309"/>
      <c r="BB53" s="309"/>
      <c r="BC53" s="309"/>
      <c r="BD53" s="309"/>
      <c r="BE53" s="309"/>
      <c r="BF53" s="309"/>
      <c r="BG53" s="310"/>
    </row>
    <row r="54" spans="1:59">
      <c r="A54" s="195">
        <v>43</v>
      </c>
      <c r="B54" s="308"/>
      <c r="C54" s="309"/>
      <c r="D54" s="309"/>
      <c r="E54" s="309"/>
      <c r="F54" s="309"/>
      <c r="G54" s="309"/>
      <c r="H54" s="309"/>
      <c r="I54" s="309"/>
      <c r="J54" s="309"/>
      <c r="K54" s="309"/>
      <c r="L54" s="309"/>
      <c r="M54" s="309"/>
      <c r="N54" s="310"/>
      <c r="P54" s="195">
        <v>43</v>
      </c>
      <c r="Q54" s="308"/>
      <c r="R54" s="309"/>
      <c r="S54" s="309"/>
      <c r="T54" s="309"/>
      <c r="U54" s="309"/>
      <c r="V54" s="309"/>
      <c r="W54" s="309"/>
      <c r="X54" s="309"/>
      <c r="Y54" s="309"/>
      <c r="Z54" s="309"/>
      <c r="AA54" s="309"/>
      <c r="AB54" s="309"/>
      <c r="AC54" s="310"/>
      <c r="AE54" s="195">
        <v>43</v>
      </c>
      <c r="AF54" s="308"/>
      <c r="AG54" s="309"/>
      <c r="AH54" s="309"/>
      <c r="AI54" s="309"/>
      <c r="AJ54" s="309"/>
      <c r="AK54" s="309"/>
      <c r="AL54" s="309"/>
      <c r="AM54" s="309"/>
      <c r="AN54" s="309"/>
      <c r="AO54" s="309"/>
      <c r="AP54" s="309"/>
      <c r="AQ54" s="309"/>
      <c r="AR54" s="310"/>
      <c r="AT54" s="195">
        <v>43</v>
      </c>
      <c r="AU54" s="308"/>
      <c r="AV54" s="309"/>
      <c r="AW54" s="309"/>
      <c r="AX54" s="309"/>
      <c r="AY54" s="309"/>
      <c r="AZ54" s="309"/>
      <c r="BA54" s="309"/>
      <c r="BB54" s="309"/>
      <c r="BC54" s="309"/>
      <c r="BD54" s="309"/>
      <c r="BE54" s="309"/>
      <c r="BF54" s="309"/>
      <c r="BG54" s="310"/>
    </row>
    <row r="55" spans="1:59">
      <c r="A55" s="195">
        <v>44</v>
      </c>
      <c r="B55" s="308"/>
      <c r="C55" s="309"/>
      <c r="D55" s="309"/>
      <c r="E55" s="309"/>
      <c r="F55" s="309"/>
      <c r="G55" s="309"/>
      <c r="H55" s="309"/>
      <c r="I55" s="309"/>
      <c r="J55" s="309"/>
      <c r="K55" s="309"/>
      <c r="L55" s="309"/>
      <c r="M55" s="309"/>
      <c r="N55" s="310"/>
      <c r="P55" s="195">
        <v>44</v>
      </c>
      <c r="Q55" s="308"/>
      <c r="R55" s="309"/>
      <c r="S55" s="309"/>
      <c r="T55" s="309"/>
      <c r="U55" s="309"/>
      <c r="V55" s="309"/>
      <c r="W55" s="309"/>
      <c r="X55" s="309"/>
      <c r="Y55" s="309"/>
      <c r="Z55" s="309"/>
      <c r="AA55" s="309"/>
      <c r="AB55" s="309"/>
      <c r="AC55" s="310"/>
      <c r="AE55" s="195">
        <v>44</v>
      </c>
      <c r="AF55" s="308"/>
      <c r="AG55" s="309"/>
      <c r="AH55" s="309"/>
      <c r="AI55" s="309"/>
      <c r="AJ55" s="309"/>
      <c r="AK55" s="309"/>
      <c r="AL55" s="309"/>
      <c r="AM55" s="309"/>
      <c r="AN55" s="309"/>
      <c r="AO55" s="309"/>
      <c r="AP55" s="309"/>
      <c r="AQ55" s="309"/>
      <c r="AR55" s="310"/>
      <c r="AT55" s="195">
        <v>44</v>
      </c>
      <c r="AU55" s="308"/>
      <c r="AV55" s="309"/>
      <c r="AW55" s="309"/>
      <c r="AX55" s="309"/>
      <c r="AY55" s="309"/>
      <c r="AZ55" s="309"/>
      <c r="BA55" s="309"/>
      <c r="BB55" s="309"/>
      <c r="BC55" s="309"/>
      <c r="BD55" s="309"/>
      <c r="BE55" s="309"/>
      <c r="BF55" s="309"/>
      <c r="BG55" s="310"/>
    </row>
    <row r="56" spans="1:59">
      <c r="A56" s="195">
        <v>45</v>
      </c>
      <c r="B56" s="308"/>
      <c r="C56" s="309"/>
      <c r="D56" s="309"/>
      <c r="E56" s="309"/>
      <c r="F56" s="309"/>
      <c r="G56" s="309"/>
      <c r="H56" s="309"/>
      <c r="I56" s="309"/>
      <c r="J56" s="309"/>
      <c r="K56" s="309"/>
      <c r="L56" s="309"/>
      <c r="M56" s="309"/>
      <c r="N56" s="310"/>
      <c r="P56" s="195">
        <v>45</v>
      </c>
      <c r="Q56" s="308"/>
      <c r="R56" s="309"/>
      <c r="S56" s="309"/>
      <c r="T56" s="309"/>
      <c r="U56" s="309"/>
      <c r="V56" s="309"/>
      <c r="W56" s="309"/>
      <c r="X56" s="309"/>
      <c r="Y56" s="309"/>
      <c r="Z56" s="309"/>
      <c r="AA56" s="309"/>
      <c r="AB56" s="309"/>
      <c r="AC56" s="310"/>
      <c r="AE56" s="195">
        <v>45</v>
      </c>
      <c r="AF56" s="308"/>
      <c r="AG56" s="309"/>
      <c r="AH56" s="309"/>
      <c r="AI56" s="309"/>
      <c r="AJ56" s="309"/>
      <c r="AK56" s="309"/>
      <c r="AL56" s="309"/>
      <c r="AM56" s="309"/>
      <c r="AN56" s="309"/>
      <c r="AO56" s="309"/>
      <c r="AP56" s="309"/>
      <c r="AQ56" s="309"/>
      <c r="AR56" s="310"/>
      <c r="AT56" s="195">
        <v>45</v>
      </c>
      <c r="AU56" s="308"/>
      <c r="AV56" s="309"/>
      <c r="AW56" s="309"/>
      <c r="AX56" s="309"/>
      <c r="AY56" s="309"/>
      <c r="AZ56" s="309"/>
      <c r="BA56" s="309"/>
      <c r="BB56" s="309"/>
      <c r="BC56" s="309"/>
      <c r="BD56" s="309"/>
      <c r="BE56" s="309"/>
      <c r="BF56" s="309"/>
      <c r="BG56" s="310"/>
    </row>
    <row r="57" spans="1:59">
      <c r="A57" s="195">
        <v>46</v>
      </c>
      <c r="B57" s="308"/>
      <c r="C57" s="309"/>
      <c r="D57" s="309"/>
      <c r="E57" s="309"/>
      <c r="F57" s="309"/>
      <c r="G57" s="309"/>
      <c r="H57" s="309"/>
      <c r="I57" s="309"/>
      <c r="J57" s="309"/>
      <c r="K57" s="309"/>
      <c r="L57" s="309"/>
      <c r="M57" s="309"/>
      <c r="N57" s="310"/>
      <c r="P57" s="195">
        <v>46</v>
      </c>
      <c r="Q57" s="308"/>
      <c r="R57" s="309"/>
      <c r="S57" s="309"/>
      <c r="T57" s="309"/>
      <c r="U57" s="309"/>
      <c r="V57" s="309"/>
      <c r="W57" s="309"/>
      <c r="X57" s="309"/>
      <c r="Y57" s="309"/>
      <c r="Z57" s="309"/>
      <c r="AA57" s="309"/>
      <c r="AB57" s="309"/>
      <c r="AC57" s="310"/>
      <c r="AE57" s="195">
        <v>46</v>
      </c>
      <c r="AF57" s="308"/>
      <c r="AG57" s="309"/>
      <c r="AH57" s="309"/>
      <c r="AI57" s="309"/>
      <c r="AJ57" s="309"/>
      <c r="AK57" s="309"/>
      <c r="AL57" s="309"/>
      <c r="AM57" s="309"/>
      <c r="AN57" s="309"/>
      <c r="AO57" s="309"/>
      <c r="AP57" s="309"/>
      <c r="AQ57" s="309"/>
      <c r="AR57" s="310"/>
      <c r="AT57" s="195">
        <v>46</v>
      </c>
      <c r="AU57" s="308"/>
      <c r="AV57" s="309"/>
      <c r="AW57" s="309"/>
      <c r="AX57" s="309"/>
      <c r="AY57" s="309"/>
      <c r="AZ57" s="309"/>
      <c r="BA57" s="309"/>
      <c r="BB57" s="309"/>
      <c r="BC57" s="309"/>
      <c r="BD57" s="309"/>
      <c r="BE57" s="309"/>
      <c r="BF57" s="309"/>
      <c r="BG57" s="310"/>
    </row>
    <row r="58" spans="1:59">
      <c r="A58" s="195">
        <v>47</v>
      </c>
      <c r="B58" s="308"/>
      <c r="C58" s="309"/>
      <c r="D58" s="309"/>
      <c r="E58" s="309"/>
      <c r="F58" s="309"/>
      <c r="G58" s="309"/>
      <c r="H58" s="309"/>
      <c r="I58" s="309"/>
      <c r="J58" s="309"/>
      <c r="K58" s="309"/>
      <c r="L58" s="309"/>
      <c r="M58" s="309"/>
      <c r="N58" s="310"/>
      <c r="P58" s="195">
        <v>47</v>
      </c>
      <c r="Q58" s="308"/>
      <c r="R58" s="309"/>
      <c r="S58" s="309"/>
      <c r="T58" s="309"/>
      <c r="U58" s="309"/>
      <c r="V58" s="309"/>
      <c r="W58" s="309"/>
      <c r="X58" s="309"/>
      <c r="Y58" s="309"/>
      <c r="Z58" s="309"/>
      <c r="AA58" s="309"/>
      <c r="AB58" s="309"/>
      <c r="AC58" s="310"/>
      <c r="AE58" s="195">
        <v>47</v>
      </c>
      <c r="AF58" s="308"/>
      <c r="AG58" s="309"/>
      <c r="AH58" s="309"/>
      <c r="AI58" s="309"/>
      <c r="AJ58" s="309"/>
      <c r="AK58" s="309"/>
      <c r="AL58" s="309"/>
      <c r="AM58" s="309"/>
      <c r="AN58" s="309"/>
      <c r="AO58" s="309"/>
      <c r="AP58" s="309"/>
      <c r="AQ58" s="309"/>
      <c r="AR58" s="310"/>
      <c r="AT58" s="195">
        <v>47</v>
      </c>
      <c r="AU58" s="308"/>
      <c r="AV58" s="309"/>
      <c r="AW58" s="309"/>
      <c r="AX58" s="309"/>
      <c r="AY58" s="309"/>
      <c r="AZ58" s="309"/>
      <c r="BA58" s="309"/>
      <c r="BB58" s="309"/>
      <c r="BC58" s="309"/>
      <c r="BD58" s="309"/>
      <c r="BE58" s="309"/>
      <c r="BF58" s="309"/>
      <c r="BG58" s="310"/>
    </row>
    <row r="59" spans="1:59">
      <c r="A59" s="195">
        <v>48</v>
      </c>
      <c r="B59" s="308"/>
      <c r="C59" s="309"/>
      <c r="D59" s="309"/>
      <c r="E59" s="309"/>
      <c r="F59" s="309"/>
      <c r="G59" s="309"/>
      <c r="H59" s="309"/>
      <c r="I59" s="309"/>
      <c r="J59" s="309"/>
      <c r="K59" s="309"/>
      <c r="L59" s="309"/>
      <c r="M59" s="309"/>
      <c r="N59" s="310"/>
      <c r="P59" s="195">
        <v>48</v>
      </c>
      <c r="Q59" s="308"/>
      <c r="R59" s="309"/>
      <c r="S59" s="309"/>
      <c r="T59" s="309"/>
      <c r="U59" s="309"/>
      <c r="V59" s="309"/>
      <c r="W59" s="309"/>
      <c r="X59" s="309"/>
      <c r="Y59" s="309"/>
      <c r="Z59" s="309"/>
      <c r="AA59" s="309"/>
      <c r="AB59" s="309"/>
      <c r="AC59" s="310"/>
      <c r="AE59" s="195">
        <v>48</v>
      </c>
      <c r="AF59" s="308"/>
      <c r="AG59" s="309"/>
      <c r="AH59" s="309"/>
      <c r="AI59" s="309"/>
      <c r="AJ59" s="309"/>
      <c r="AK59" s="309"/>
      <c r="AL59" s="309"/>
      <c r="AM59" s="309"/>
      <c r="AN59" s="309"/>
      <c r="AO59" s="309"/>
      <c r="AP59" s="309"/>
      <c r="AQ59" s="309"/>
      <c r="AR59" s="310"/>
      <c r="AT59" s="195">
        <v>48</v>
      </c>
      <c r="AU59" s="308"/>
      <c r="AV59" s="309"/>
      <c r="AW59" s="309"/>
      <c r="AX59" s="309"/>
      <c r="AY59" s="309"/>
      <c r="AZ59" s="309"/>
      <c r="BA59" s="309"/>
      <c r="BB59" s="309"/>
      <c r="BC59" s="309"/>
      <c r="BD59" s="309"/>
      <c r="BE59" s="309"/>
      <c r="BF59" s="309"/>
      <c r="BG59" s="310"/>
    </row>
    <row r="60" spans="1:59">
      <c r="A60" s="195">
        <v>49</v>
      </c>
      <c r="B60" s="308"/>
      <c r="C60" s="309"/>
      <c r="D60" s="309"/>
      <c r="E60" s="309"/>
      <c r="F60" s="309"/>
      <c r="G60" s="309"/>
      <c r="H60" s="309"/>
      <c r="I60" s="309"/>
      <c r="J60" s="309"/>
      <c r="K60" s="309"/>
      <c r="L60" s="309"/>
      <c r="M60" s="309"/>
      <c r="N60" s="310"/>
      <c r="P60" s="195">
        <v>49</v>
      </c>
      <c r="Q60" s="308"/>
      <c r="R60" s="309"/>
      <c r="S60" s="309"/>
      <c r="T60" s="309"/>
      <c r="U60" s="309"/>
      <c r="V60" s="309"/>
      <c r="W60" s="309"/>
      <c r="X60" s="309"/>
      <c r="Y60" s="309"/>
      <c r="Z60" s="309"/>
      <c r="AA60" s="309"/>
      <c r="AB60" s="309"/>
      <c r="AC60" s="310"/>
      <c r="AE60" s="195">
        <v>49</v>
      </c>
      <c r="AF60" s="308"/>
      <c r="AG60" s="309"/>
      <c r="AH60" s="309"/>
      <c r="AI60" s="309"/>
      <c r="AJ60" s="309"/>
      <c r="AK60" s="309"/>
      <c r="AL60" s="309"/>
      <c r="AM60" s="309"/>
      <c r="AN60" s="309"/>
      <c r="AO60" s="309"/>
      <c r="AP60" s="309"/>
      <c r="AQ60" s="309"/>
      <c r="AR60" s="310"/>
      <c r="AT60" s="195">
        <v>49</v>
      </c>
      <c r="AU60" s="308"/>
      <c r="AV60" s="309"/>
      <c r="AW60" s="309"/>
      <c r="AX60" s="309"/>
      <c r="AY60" s="309"/>
      <c r="AZ60" s="309"/>
      <c r="BA60" s="309"/>
      <c r="BB60" s="309"/>
      <c r="BC60" s="309"/>
      <c r="BD60" s="309"/>
      <c r="BE60" s="309"/>
      <c r="BF60" s="309"/>
      <c r="BG60" s="310"/>
    </row>
    <row r="61" spans="1:59">
      <c r="A61" s="195">
        <v>50</v>
      </c>
      <c r="B61" s="308"/>
      <c r="C61" s="309"/>
      <c r="D61" s="309"/>
      <c r="E61" s="309"/>
      <c r="F61" s="309"/>
      <c r="G61" s="309"/>
      <c r="H61" s="309"/>
      <c r="I61" s="309"/>
      <c r="J61" s="309"/>
      <c r="K61" s="309"/>
      <c r="L61" s="309"/>
      <c r="M61" s="309"/>
      <c r="N61" s="310"/>
      <c r="P61" s="195">
        <v>50</v>
      </c>
      <c r="Q61" s="308"/>
      <c r="R61" s="309"/>
      <c r="S61" s="309"/>
      <c r="T61" s="309"/>
      <c r="U61" s="309"/>
      <c r="V61" s="309"/>
      <c r="W61" s="309"/>
      <c r="X61" s="309"/>
      <c r="Y61" s="309"/>
      <c r="Z61" s="309"/>
      <c r="AA61" s="309"/>
      <c r="AB61" s="309"/>
      <c r="AC61" s="310"/>
      <c r="AE61" s="195">
        <v>50</v>
      </c>
      <c r="AF61" s="308"/>
      <c r="AG61" s="309"/>
      <c r="AH61" s="309"/>
      <c r="AI61" s="309"/>
      <c r="AJ61" s="309"/>
      <c r="AK61" s="309"/>
      <c r="AL61" s="309"/>
      <c r="AM61" s="309"/>
      <c r="AN61" s="309"/>
      <c r="AO61" s="309"/>
      <c r="AP61" s="309"/>
      <c r="AQ61" s="309"/>
      <c r="AR61" s="310"/>
      <c r="AT61" s="195">
        <v>50</v>
      </c>
      <c r="AU61" s="308"/>
      <c r="AV61" s="309"/>
      <c r="AW61" s="309"/>
      <c r="AX61" s="309"/>
      <c r="AY61" s="309"/>
      <c r="AZ61" s="309"/>
      <c r="BA61" s="309"/>
      <c r="BB61" s="309"/>
      <c r="BC61" s="309"/>
      <c r="BD61" s="309"/>
      <c r="BE61" s="309"/>
      <c r="BF61" s="309"/>
      <c r="BG61" s="310"/>
    </row>
    <row r="62" spans="1:59">
      <c r="A62" s="195">
        <v>51</v>
      </c>
      <c r="B62" s="308"/>
      <c r="C62" s="309"/>
      <c r="D62" s="309"/>
      <c r="E62" s="309"/>
      <c r="F62" s="309"/>
      <c r="G62" s="309"/>
      <c r="H62" s="309"/>
      <c r="I62" s="309"/>
      <c r="J62" s="309"/>
      <c r="K62" s="309"/>
      <c r="L62" s="309"/>
      <c r="M62" s="309"/>
      <c r="N62" s="310"/>
      <c r="P62" s="195">
        <v>51</v>
      </c>
      <c r="Q62" s="308"/>
      <c r="R62" s="309"/>
      <c r="S62" s="309"/>
      <c r="T62" s="309"/>
      <c r="U62" s="309"/>
      <c r="V62" s="309"/>
      <c r="W62" s="309"/>
      <c r="X62" s="309"/>
      <c r="Y62" s="309"/>
      <c r="Z62" s="309"/>
      <c r="AA62" s="309"/>
      <c r="AB62" s="309"/>
      <c r="AC62" s="310"/>
      <c r="AE62" s="195">
        <v>51</v>
      </c>
      <c r="AF62" s="308"/>
      <c r="AG62" s="309"/>
      <c r="AH62" s="309"/>
      <c r="AI62" s="309"/>
      <c r="AJ62" s="309"/>
      <c r="AK62" s="309"/>
      <c r="AL62" s="309"/>
      <c r="AM62" s="309"/>
      <c r="AN62" s="309"/>
      <c r="AO62" s="309"/>
      <c r="AP62" s="309"/>
      <c r="AQ62" s="309"/>
      <c r="AR62" s="310"/>
      <c r="AT62" s="195">
        <v>51</v>
      </c>
      <c r="AU62" s="308"/>
      <c r="AV62" s="309"/>
      <c r="AW62" s="309"/>
      <c r="AX62" s="309"/>
      <c r="AY62" s="309"/>
      <c r="AZ62" s="309"/>
      <c r="BA62" s="309"/>
      <c r="BB62" s="309"/>
      <c r="BC62" s="309"/>
      <c r="BD62" s="309"/>
      <c r="BE62" s="309"/>
      <c r="BF62" s="309"/>
      <c r="BG62" s="310"/>
    </row>
    <row r="63" spans="1:59">
      <c r="A63" s="195">
        <v>52</v>
      </c>
      <c r="B63" s="308"/>
      <c r="C63" s="309"/>
      <c r="D63" s="309"/>
      <c r="E63" s="309"/>
      <c r="F63" s="309"/>
      <c r="G63" s="309"/>
      <c r="H63" s="309"/>
      <c r="I63" s="309"/>
      <c r="J63" s="309"/>
      <c r="K63" s="309"/>
      <c r="L63" s="309"/>
      <c r="M63" s="309"/>
      <c r="N63" s="310"/>
      <c r="P63" s="195">
        <v>52</v>
      </c>
      <c r="Q63" s="308"/>
      <c r="R63" s="309"/>
      <c r="S63" s="309"/>
      <c r="T63" s="309"/>
      <c r="U63" s="309"/>
      <c r="V63" s="309"/>
      <c r="W63" s="309"/>
      <c r="X63" s="309"/>
      <c r="Y63" s="309"/>
      <c r="Z63" s="309"/>
      <c r="AA63" s="309"/>
      <c r="AB63" s="309"/>
      <c r="AC63" s="310"/>
      <c r="AE63" s="195">
        <v>52</v>
      </c>
      <c r="AF63" s="308"/>
      <c r="AG63" s="309"/>
      <c r="AH63" s="309"/>
      <c r="AI63" s="309"/>
      <c r="AJ63" s="309"/>
      <c r="AK63" s="309"/>
      <c r="AL63" s="309"/>
      <c r="AM63" s="309"/>
      <c r="AN63" s="309"/>
      <c r="AO63" s="309"/>
      <c r="AP63" s="309"/>
      <c r="AQ63" s="309"/>
      <c r="AR63" s="310"/>
      <c r="AT63" s="195">
        <v>52</v>
      </c>
      <c r="AU63" s="308"/>
      <c r="AV63" s="309"/>
      <c r="AW63" s="309"/>
      <c r="AX63" s="309"/>
      <c r="AY63" s="309"/>
      <c r="AZ63" s="309"/>
      <c r="BA63" s="309"/>
      <c r="BB63" s="309"/>
      <c r="BC63" s="309"/>
      <c r="BD63" s="309"/>
      <c r="BE63" s="309"/>
      <c r="BF63" s="309"/>
      <c r="BG63" s="310"/>
    </row>
    <row r="64" spans="1:59">
      <c r="A64" s="195">
        <v>53</v>
      </c>
      <c r="B64" s="308"/>
      <c r="C64" s="309"/>
      <c r="D64" s="309"/>
      <c r="E64" s="309"/>
      <c r="F64" s="309"/>
      <c r="G64" s="309"/>
      <c r="H64" s="309"/>
      <c r="I64" s="309"/>
      <c r="J64" s="309"/>
      <c r="K64" s="309"/>
      <c r="L64" s="309"/>
      <c r="M64" s="309"/>
      <c r="N64" s="310"/>
      <c r="P64" s="195">
        <v>53</v>
      </c>
      <c r="Q64" s="308"/>
      <c r="R64" s="309"/>
      <c r="S64" s="309"/>
      <c r="T64" s="309"/>
      <c r="U64" s="309"/>
      <c r="V64" s="309"/>
      <c r="W64" s="309"/>
      <c r="X64" s="309"/>
      <c r="Y64" s="309"/>
      <c r="Z64" s="309"/>
      <c r="AA64" s="309"/>
      <c r="AB64" s="309"/>
      <c r="AC64" s="310"/>
      <c r="AE64" s="195">
        <v>53</v>
      </c>
      <c r="AF64" s="308"/>
      <c r="AG64" s="309"/>
      <c r="AH64" s="309"/>
      <c r="AI64" s="309"/>
      <c r="AJ64" s="309"/>
      <c r="AK64" s="309"/>
      <c r="AL64" s="309"/>
      <c r="AM64" s="309"/>
      <c r="AN64" s="309"/>
      <c r="AO64" s="309"/>
      <c r="AP64" s="309"/>
      <c r="AQ64" s="309"/>
      <c r="AR64" s="310"/>
      <c r="AT64" s="195">
        <v>53</v>
      </c>
      <c r="AU64" s="308"/>
      <c r="AV64" s="309"/>
      <c r="AW64" s="309"/>
      <c r="AX64" s="309"/>
      <c r="AY64" s="309"/>
      <c r="AZ64" s="309"/>
      <c r="BA64" s="309"/>
      <c r="BB64" s="309"/>
      <c r="BC64" s="309"/>
      <c r="BD64" s="309"/>
      <c r="BE64" s="309"/>
      <c r="BF64" s="309"/>
      <c r="BG64" s="310"/>
    </row>
    <row r="65" spans="1:59">
      <c r="A65" s="195">
        <v>54</v>
      </c>
      <c r="B65" s="308"/>
      <c r="C65" s="309"/>
      <c r="D65" s="309"/>
      <c r="E65" s="309"/>
      <c r="F65" s="309"/>
      <c r="G65" s="309"/>
      <c r="H65" s="309"/>
      <c r="I65" s="309"/>
      <c r="J65" s="309"/>
      <c r="K65" s="309"/>
      <c r="L65" s="309"/>
      <c r="M65" s="309"/>
      <c r="N65" s="310"/>
      <c r="P65" s="195">
        <v>54</v>
      </c>
      <c r="Q65" s="308"/>
      <c r="R65" s="309"/>
      <c r="S65" s="309"/>
      <c r="T65" s="309"/>
      <c r="U65" s="309"/>
      <c r="V65" s="309"/>
      <c r="W65" s="309"/>
      <c r="X65" s="309"/>
      <c r="Y65" s="309"/>
      <c r="Z65" s="309"/>
      <c r="AA65" s="309"/>
      <c r="AB65" s="309"/>
      <c r="AC65" s="310"/>
      <c r="AE65" s="195">
        <v>54</v>
      </c>
      <c r="AF65" s="308"/>
      <c r="AG65" s="309"/>
      <c r="AH65" s="309"/>
      <c r="AI65" s="309"/>
      <c r="AJ65" s="309"/>
      <c r="AK65" s="309"/>
      <c r="AL65" s="309"/>
      <c r="AM65" s="309"/>
      <c r="AN65" s="309"/>
      <c r="AO65" s="309"/>
      <c r="AP65" s="309"/>
      <c r="AQ65" s="309"/>
      <c r="AR65" s="310"/>
      <c r="AT65" s="195">
        <v>54</v>
      </c>
      <c r="AU65" s="308"/>
      <c r="AV65" s="309"/>
      <c r="AW65" s="309"/>
      <c r="AX65" s="309"/>
      <c r="AY65" s="309"/>
      <c r="AZ65" s="309"/>
      <c r="BA65" s="309"/>
      <c r="BB65" s="309"/>
      <c r="BC65" s="309"/>
      <c r="BD65" s="309"/>
      <c r="BE65" s="309"/>
      <c r="BF65" s="309"/>
      <c r="BG65" s="310"/>
    </row>
    <row r="66" spans="1:59">
      <c r="A66" s="195">
        <v>55</v>
      </c>
      <c r="B66" s="308"/>
      <c r="C66" s="309"/>
      <c r="D66" s="309"/>
      <c r="E66" s="309"/>
      <c r="F66" s="309"/>
      <c r="G66" s="309"/>
      <c r="H66" s="309"/>
      <c r="I66" s="309"/>
      <c r="J66" s="309"/>
      <c r="K66" s="309"/>
      <c r="L66" s="309"/>
      <c r="M66" s="309"/>
      <c r="N66" s="310"/>
      <c r="P66" s="195">
        <v>55</v>
      </c>
      <c r="Q66" s="308"/>
      <c r="R66" s="309"/>
      <c r="S66" s="309"/>
      <c r="T66" s="309"/>
      <c r="U66" s="309"/>
      <c r="V66" s="309"/>
      <c r="W66" s="309"/>
      <c r="X66" s="309"/>
      <c r="Y66" s="309"/>
      <c r="Z66" s="309"/>
      <c r="AA66" s="309"/>
      <c r="AB66" s="309"/>
      <c r="AC66" s="310"/>
      <c r="AE66" s="195">
        <v>55</v>
      </c>
      <c r="AF66" s="308"/>
      <c r="AG66" s="309"/>
      <c r="AH66" s="309"/>
      <c r="AI66" s="309"/>
      <c r="AJ66" s="309"/>
      <c r="AK66" s="309"/>
      <c r="AL66" s="309"/>
      <c r="AM66" s="309"/>
      <c r="AN66" s="309"/>
      <c r="AO66" s="309"/>
      <c r="AP66" s="309"/>
      <c r="AQ66" s="309"/>
      <c r="AR66" s="310"/>
      <c r="AT66" s="195">
        <v>55</v>
      </c>
      <c r="AU66" s="308"/>
      <c r="AV66" s="309"/>
      <c r="AW66" s="309"/>
      <c r="AX66" s="309"/>
      <c r="AY66" s="309"/>
      <c r="AZ66" s="309"/>
      <c r="BA66" s="309"/>
      <c r="BB66" s="309"/>
      <c r="BC66" s="309"/>
      <c r="BD66" s="309"/>
      <c r="BE66" s="309"/>
      <c r="BF66" s="309"/>
      <c r="BG66" s="310"/>
    </row>
    <row r="67" spans="1:59">
      <c r="A67" s="195">
        <v>56</v>
      </c>
      <c r="B67" s="308"/>
      <c r="C67" s="309"/>
      <c r="D67" s="309"/>
      <c r="E67" s="309"/>
      <c r="F67" s="309"/>
      <c r="G67" s="309"/>
      <c r="H67" s="309"/>
      <c r="I67" s="309"/>
      <c r="J67" s="309"/>
      <c r="K67" s="309"/>
      <c r="L67" s="309"/>
      <c r="M67" s="309"/>
      <c r="N67" s="310"/>
      <c r="P67" s="195">
        <v>56</v>
      </c>
      <c r="Q67" s="308"/>
      <c r="R67" s="309"/>
      <c r="S67" s="309"/>
      <c r="T67" s="309"/>
      <c r="U67" s="309"/>
      <c r="V67" s="309"/>
      <c r="W67" s="309"/>
      <c r="X67" s="309"/>
      <c r="Y67" s="309"/>
      <c r="Z67" s="309"/>
      <c r="AA67" s="309"/>
      <c r="AB67" s="309"/>
      <c r="AC67" s="310"/>
      <c r="AE67" s="195">
        <v>56</v>
      </c>
      <c r="AF67" s="308"/>
      <c r="AG67" s="309"/>
      <c r="AH67" s="309"/>
      <c r="AI67" s="309"/>
      <c r="AJ67" s="309"/>
      <c r="AK67" s="309"/>
      <c r="AL67" s="309"/>
      <c r="AM67" s="309"/>
      <c r="AN67" s="309"/>
      <c r="AO67" s="309"/>
      <c r="AP67" s="309"/>
      <c r="AQ67" s="309"/>
      <c r="AR67" s="310"/>
      <c r="AT67" s="195">
        <v>56</v>
      </c>
      <c r="AU67" s="308"/>
      <c r="AV67" s="309"/>
      <c r="AW67" s="309"/>
      <c r="AX67" s="309"/>
      <c r="AY67" s="309"/>
      <c r="AZ67" s="309"/>
      <c r="BA67" s="309"/>
      <c r="BB67" s="309"/>
      <c r="BC67" s="309"/>
      <c r="BD67" s="309"/>
      <c r="BE67" s="309"/>
      <c r="BF67" s="309"/>
      <c r="BG67" s="310"/>
    </row>
    <row r="68" spans="1:59">
      <c r="A68" s="195">
        <v>57</v>
      </c>
      <c r="B68" s="308"/>
      <c r="C68" s="309"/>
      <c r="D68" s="309"/>
      <c r="E68" s="309"/>
      <c r="F68" s="309"/>
      <c r="G68" s="309"/>
      <c r="H68" s="309"/>
      <c r="I68" s="309"/>
      <c r="J68" s="309"/>
      <c r="K68" s="309"/>
      <c r="L68" s="309"/>
      <c r="M68" s="309"/>
      <c r="N68" s="310"/>
      <c r="P68" s="195">
        <v>57</v>
      </c>
      <c r="Q68" s="308"/>
      <c r="R68" s="309"/>
      <c r="S68" s="309"/>
      <c r="T68" s="309"/>
      <c r="U68" s="309"/>
      <c r="V68" s="309"/>
      <c r="W68" s="309"/>
      <c r="X68" s="309"/>
      <c r="Y68" s="309"/>
      <c r="Z68" s="309"/>
      <c r="AA68" s="309"/>
      <c r="AB68" s="309"/>
      <c r="AC68" s="310"/>
      <c r="AE68" s="195">
        <v>57</v>
      </c>
      <c r="AF68" s="308"/>
      <c r="AG68" s="309"/>
      <c r="AH68" s="309"/>
      <c r="AI68" s="309"/>
      <c r="AJ68" s="309"/>
      <c r="AK68" s="309"/>
      <c r="AL68" s="309"/>
      <c r="AM68" s="309"/>
      <c r="AN68" s="309"/>
      <c r="AO68" s="309"/>
      <c r="AP68" s="309"/>
      <c r="AQ68" s="309"/>
      <c r="AR68" s="310"/>
      <c r="AT68" s="195">
        <v>57</v>
      </c>
      <c r="AU68" s="308"/>
      <c r="AV68" s="309"/>
      <c r="AW68" s="309"/>
      <c r="AX68" s="309"/>
      <c r="AY68" s="309"/>
      <c r="AZ68" s="309"/>
      <c r="BA68" s="309"/>
      <c r="BB68" s="309"/>
      <c r="BC68" s="309"/>
      <c r="BD68" s="309"/>
      <c r="BE68" s="309"/>
      <c r="BF68" s="309"/>
      <c r="BG68" s="310"/>
    </row>
    <row r="69" spans="1:59">
      <c r="A69" s="195">
        <v>58</v>
      </c>
      <c r="B69" s="308"/>
      <c r="C69" s="309"/>
      <c r="D69" s="309"/>
      <c r="E69" s="309"/>
      <c r="F69" s="309"/>
      <c r="G69" s="309"/>
      <c r="H69" s="309"/>
      <c r="I69" s="309"/>
      <c r="J69" s="309"/>
      <c r="K69" s="309"/>
      <c r="L69" s="309"/>
      <c r="M69" s="309"/>
      <c r="N69" s="310"/>
      <c r="P69" s="195">
        <v>58</v>
      </c>
      <c r="Q69" s="308"/>
      <c r="R69" s="309"/>
      <c r="S69" s="309"/>
      <c r="T69" s="309"/>
      <c r="U69" s="309"/>
      <c r="V69" s="309"/>
      <c r="W69" s="309"/>
      <c r="X69" s="309"/>
      <c r="Y69" s="309"/>
      <c r="Z69" s="309"/>
      <c r="AA69" s="309"/>
      <c r="AB69" s="309"/>
      <c r="AC69" s="310"/>
      <c r="AE69" s="195">
        <v>58</v>
      </c>
      <c r="AF69" s="308"/>
      <c r="AG69" s="309"/>
      <c r="AH69" s="309"/>
      <c r="AI69" s="309"/>
      <c r="AJ69" s="309"/>
      <c r="AK69" s="309"/>
      <c r="AL69" s="309"/>
      <c r="AM69" s="309"/>
      <c r="AN69" s="309"/>
      <c r="AO69" s="309"/>
      <c r="AP69" s="309"/>
      <c r="AQ69" s="309"/>
      <c r="AR69" s="310"/>
      <c r="AT69" s="195">
        <v>58</v>
      </c>
      <c r="AU69" s="308"/>
      <c r="AV69" s="309"/>
      <c r="AW69" s="309"/>
      <c r="AX69" s="309"/>
      <c r="AY69" s="309"/>
      <c r="AZ69" s="309"/>
      <c r="BA69" s="309"/>
      <c r="BB69" s="309"/>
      <c r="BC69" s="309"/>
      <c r="BD69" s="309"/>
      <c r="BE69" s="309"/>
      <c r="BF69" s="309"/>
      <c r="BG69" s="310"/>
    </row>
    <row r="70" spans="1:59">
      <c r="A70" s="195">
        <v>59</v>
      </c>
      <c r="B70" s="308"/>
      <c r="C70" s="309"/>
      <c r="D70" s="309"/>
      <c r="E70" s="309"/>
      <c r="F70" s="309"/>
      <c r="G70" s="309"/>
      <c r="H70" s="309"/>
      <c r="I70" s="309"/>
      <c r="J70" s="309"/>
      <c r="K70" s="309"/>
      <c r="L70" s="309"/>
      <c r="M70" s="309"/>
      <c r="N70" s="310"/>
      <c r="P70" s="195">
        <v>59</v>
      </c>
      <c r="Q70" s="308"/>
      <c r="R70" s="309"/>
      <c r="S70" s="309"/>
      <c r="T70" s="309"/>
      <c r="U70" s="309"/>
      <c r="V70" s="309"/>
      <c r="W70" s="309"/>
      <c r="X70" s="309"/>
      <c r="Y70" s="309"/>
      <c r="Z70" s="309"/>
      <c r="AA70" s="309"/>
      <c r="AB70" s="309"/>
      <c r="AC70" s="310"/>
      <c r="AE70" s="195">
        <v>59</v>
      </c>
      <c r="AF70" s="308"/>
      <c r="AG70" s="309"/>
      <c r="AH70" s="309"/>
      <c r="AI70" s="309"/>
      <c r="AJ70" s="309"/>
      <c r="AK70" s="309"/>
      <c r="AL70" s="309"/>
      <c r="AM70" s="309"/>
      <c r="AN70" s="309"/>
      <c r="AO70" s="309"/>
      <c r="AP70" s="309"/>
      <c r="AQ70" s="309"/>
      <c r="AR70" s="310"/>
      <c r="AT70" s="195">
        <v>59</v>
      </c>
      <c r="AU70" s="308"/>
      <c r="AV70" s="309"/>
      <c r="AW70" s="309"/>
      <c r="AX70" s="309"/>
      <c r="AY70" s="309"/>
      <c r="AZ70" s="309"/>
      <c r="BA70" s="309"/>
      <c r="BB70" s="309"/>
      <c r="BC70" s="309"/>
      <c r="BD70" s="309"/>
      <c r="BE70" s="309"/>
      <c r="BF70" s="309"/>
      <c r="BG70" s="310"/>
    </row>
    <row r="71" spans="1:59">
      <c r="A71" s="195">
        <v>60</v>
      </c>
      <c r="B71" s="308"/>
      <c r="C71" s="309"/>
      <c r="D71" s="309"/>
      <c r="E71" s="309"/>
      <c r="F71" s="309"/>
      <c r="G71" s="309"/>
      <c r="H71" s="309"/>
      <c r="I71" s="309"/>
      <c r="J71" s="309"/>
      <c r="K71" s="309"/>
      <c r="L71" s="309"/>
      <c r="M71" s="309"/>
      <c r="N71" s="310"/>
      <c r="P71" s="195">
        <v>60</v>
      </c>
      <c r="Q71" s="308"/>
      <c r="R71" s="309"/>
      <c r="S71" s="309"/>
      <c r="T71" s="309"/>
      <c r="U71" s="309"/>
      <c r="V71" s="309"/>
      <c r="W71" s="309"/>
      <c r="X71" s="309"/>
      <c r="Y71" s="309"/>
      <c r="Z71" s="309"/>
      <c r="AA71" s="309"/>
      <c r="AB71" s="309"/>
      <c r="AC71" s="310"/>
      <c r="AE71" s="195">
        <v>60</v>
      </c>
      <c r="AF71" s="308"/>
      <c r="AG71" s="309"/>
      <c r="AH71" s="309"/>
      <c r="AI71" s="309"/>
      <c r="AJ71" s="309"/>
      <c r="AK71" s="309"/>
      <c r="AL71" s="309"/>
      <c r="AM71" s="309"/>
      <c r="AN71" s="309"/>
      <c r="AO71" s="309"/>
      <c r="AP71" s="309"/>
      <c r="AQ71" s="309"/>
      <c r="AR71" s="310"/>
      <c r="AT71" s="195">
        <v>60</v>
      </c>
      <c r="AU71" s="308"/>
      <c r="AV71" s="309"/>
      <c r="AW71" s="309"/>
      <c r="AX71" s="309"/>
      <c r="AY71" s="309"/>
      <c r="AZ71" s="309"/>
      <c r="BA71" s="309"/>
      <c r="BB71" s="309"/>
      <c r="BC71" s="309"/>
      <c r="BD71" s="309"/>
      <c r="BE71" s="309"/>
      <c r="BF71" s="309"/>
      <c r="BG71" s="310"/>
    </row>
    <row r="72" spans="1:59">
      <c r="A72" s="195">
        <v>61</v>
      </c>
      <c r="B72" s="308"/>
      <c r="C72" s="309"/>
      <c r="D72" s="309"/>
      <c r="E72" s="309"/>
      <c r="F72" s="309"/>
      <c r="G72" s="309"/>
      <c r="H72" s="309"/>
      <c r="I72" s="309"/>
      <c r="J72" s="309"/>
      <c r="K72" s="309"/>
      <c r="L72" s="309"/>
      <c r="M72" s="309"/>
      <c r="N72" s="310"/>
      <c r="P72" s="195">
        <v>61</v>
      </c>
      <c r="Q72" s="308"/>
      <c r="R72" s="309"/>
      <c r="S72" s="309"/>
      <c r="T72" s="309"/>
      <c r="U72" s="309"/>
      <c r="V72" s="309"/>
      <c r="W72" s="309"/>
      <c r="X72" s="309"/>
      <c r="Y72" s="309"/>
      <c r="Z72" s="309"/>
      <c r="AA72" s="309"/>
      <c r="AB72" s="309"/>
      <c r="AC72" s="310"/>
      <c r="AE72" s="195">
        <v>61</v>
      </c>
      <c r="AF72" s="308"/>
      <c r="AG72" s="309"/>
      <c r="AH72" s="309"/>
      <c r="AI72" s="309"/>
      <c r="AJ72" s="309"/>
      <c r="AK72" s="309"/>
      <c r="AL72" s="309"/>
      <c r="AM72" s="309"/>
      <c r="AN72" s="309"/>
      <c r="AO72" s="309"/>
      <c r="AP72" s="309"/>
      <c r="AQ72" s="309"/>
      <c r="AR72" s="310"/>
      <c r="AT72" s="195">
        <v>61</v>
      </c>
      <c r="AU72" s="308"/>
      <c r="AV72" s="309"/>
      <c r="AW72" s="309"/>
      <c r="AX72" s="309"/>
      <c r="AY72" s="309"/>
      <c r="AZ72" s="309"/>
      <c r="BA72" s="309"/>
      <c r="BB72" s="309"/>
      <c r="BC72" s="309"/>
      <c r="BD72" s="309"/>
      <c r="BE72" s="309"/>
      <c r="BF72" s="309"/>
      <c r="BG72" s="310"/>
    </row>
    <row r="73" spans="1:59">
      <c r="A73" s="195">
        <v>62</v>
      </c>
      <c r="B73" s="308"/>
      <c r="C73" s="309"/>
      <c r="D73" s="309"/>
      <c r="E73" s="309"/>
      <c r="F73" s="309"/>
      <c r="G73" s="309"/>
      <c r="H73" s="309"/>
      <c r="I73" s="309"/>
      <c r="J73" s="309"/>
      <c r="K73" s="309"/>
      <c r="L73" s="309"/>
      <c r="M73" s="309"/>
      <c r="N73" s="310"/>
      <c r="P73" s="195">
        <v>62</v>
      </c>
      <c r="Q73" s="308"/>
      <c r="R73" s="309"/>
      <c r="S73" s="309"/>
      <c r="T73" s="309"/>
      <c r="U73" s="309"/>
      <c r="V73" s="309"/>
      <c r="W73" s="309"/>
      <c r="X73" s="309"/>
      <c r="Y73" s="309"/>
      <c r="Z73" s="309"/>
      <c r="AA73" s="309"/>
      <c r="AB73" s="309"/>
      <c r="AC73" s="310"/>
      <c r="AE73" s="195">
        <v>62</v>
      </c>
      <c r="AF73" s="308"/>
      <c r="AG73" s="309"/>
      <c r="AH73" s="309"/>
      <c r="AI73" s="309"/>
      <c r="AJ73" s="309"/>
      <c r="AK73" s="309"/>
      <c r="AL73" s="309"/>
      <c r="AM73" s="309"/>
      <c r="AN73" s="309"/>
      <c r="AO73" s="309"/>
      <c r="AP73" s="309"/>
      <c r="AQ73" s="309"/>
      <c r="AR73" s="310"/>
      <c r="AT73" s="195">
        <v>62</v>
      </c>
      <c r="AU73" s="308"/>
      <c r="AV73" s="309"/>
      <c r="AW73" s="309"/>
      <c r="AX73" s="309"/>
      <c r="AY73" s="309"/>
      <c r="AZ73" s="309"/>
      <c r="BA73" s="309"/>
      <c r="BB73" s="309"/>
      <c r="BC73" s="309"/>
      <c r="BD73" s="309"/>
      <c r="BE73" s="309"/>
      <c r="BF73" s="309"/>
      <c r="BG73" s="310"/>
    </row>
    <row r="74" spans="1:59">
      <c r="A74" s="195">
        <v>63</v>
      </c>
      <c r="B74" s="308"/>
      <c r="C74" s="309"/>
      <c r="D74" s="309"/>
      <c r="E74" s="309"/>
      <c r="F74" s="309"/>
      <c r="G74" s="309"/>
      <c r="H74" s="309"/>
      <c r="I74" s="309"/>
      <c r="J74" s="309"/>
      <c r="K74" s="309"/>
      <c r="L74" s="309"/>
      <c r="M74" s="309"/>
      <c r="N74" s="310"/>
      <c r="P74" s="195">
        <v>63</v>
      </c>
      <c r="Q74" s="308"/>
      <c r="R74" s="309"/>
      <c r="S74" s="309"/>
      <c r="T74" s="309"/>
      <c r="U74" s="309"/>
      <c r="V74" s="309"/>
      <c r="W74" s="309"/>
      <c r="X74" s="309"/>
      <c r="Y74" s="309"/>
      <c r="Z74" s="309"/>
      <c r="AA74" s="309"/>
      <c r="AB74" s="309"/>
      <c r="AC74" s="310"/>
      <c r="AE74" s="195">
        <v>63</v>
      </c>
      <c r="AF74" s="308"/>
      <c r="AG74" s="309"/>
      <c r="AH74" s="309"/>
      <c r="AI74" s="309"/>
      <c r="AJ74" s="309"/>
      <c r="AK74" s="309"/>
      <c r="AL74" s="309"/>
      <c r="AM74" s="309"/>
      <c r="AN74" s="309"/>
      <c r="AO74" s="309"/>
      <c r="AP74" s="309"/>
      <c r="AQ74" s="309"/>
      <c r="AR74" s="310"/>
      <c r="AT74" s="195">
        <v>63</v>
      </c>
      <c r="AU74" s="308"/>
      <c r="AV74" s="309"/>
      <c r="AW74" s="309"/>
      <c r="AX74" s="309"/>
      <c r="AY74" s="309"/>
      <c r="AZ74" s="309"/>
      <c r="BA74" s="309"/>
      <c r="BB74" s="309"/>
      <c r="BC74" s="309"/>
      <c r="BD74" s="309"/>
      <c r="BE74" s="309"/>
      <c r="BF74" s="309"/>
      <c r="BG74" s="310"/>
    </row>
    <row r="75" spans="1:59">
      <c r="A75" s="195">
        <v>64</v>
      </c>
      <c r="B75" s="308"/>
      <c r="C75" s="309"/>
      <c r="D75" s="309"/>
      <c r="E75" s="309"/>
      <c r="F75" s="309"/>
      <c r="G75" s="309"/>
      <c r="H75" s="309"/>
      <c r="I75" s="309"/>
      <c r="J75" s="309"/>
      <c r="K75" s="309"/>
      <c r="L75" s="309"/>
      <c r="M75" s="309"/>
      <c r="N75" s="310"/>
      <c r="P75" s="195">
        <v>64</v>
      </c>
      <c r="Q75" s="308"/>
      <c r="R75" s="309"/>
      <c r="S75" s="309"/>
      <c r="T75" s="309"/>
      <c r="U75" s="309"/>
      <c r="V75" s="309"/>
      <c r="W75" s="309"/>
      <c r="X75" s="309"/>
      <c r="Y75" s="309"/>
      <c r="Z75" s="309"/>
      <c r="AA75" s="309"/>
      <c r="AB75" s="309"/>
      <c r="AC75" s="310"/>
      <c r="AE75" s="195">
        <v>64</v>
      </c>
      <c r="AF75" s="308"/>
      <c r="AG75" s="309"/>
      <c r="AH75" s="309"/>
      <c r="AI75" s="309"/>
      <c r="AJ75" s="309"/>
      <c r="AK75" s="309"/>
      <c r="AL75" s="309"/>
      <c r="AM75" s="309"/>
      <c r="AN75" s="309"/>
      <c r="AO75" s="309"/>
      <c r="AP75" s="309"/>
      <c r="AQ75" s="309"/>
      <c r="AR75" s="310"/>
      <c r="AT75" s="195">
        <v>64</v>
      </c>
      <c r="AU75" s="308"/>
      <c r="AV75" s="309"/>
      <c r="AW75" s="309"/>
      <c r="AX75" s="309"/>
      <c r="AY75" s="309"/>
      <c r="AZ75" s="309"/>
      <c r="BA75" s="309"/>
      <c r="BB75" s="309"/>
      <c r="BC75" s="309"/>
      <c r="BD75" s="309"/>
      <c r="BE75" s="309"/>
      <c r="BF75" s="309"/>
      <c r="BG75" s="310"/>
    </row>
    <row r="76" spans="1:59">
      <c r="A76" s="195">
        <v>65</v>
      </c>
      <c r="B76" s="308"/>
      <c r="C76" s="309"/>
      <c r="D76" s="309"/>
      <c r="E76" s="309"/>
      <c r="F76" s="309"/>
      <c r="G76" s="309"/>
      <c r="H76" s="309"/>
      <c r="I76" s="309"/>
      <c r="J76" s="309"/>
      <c r="K76" s="309"/>
      <c r="L76" s="309"/>
      <c r="M76" s="309"/>
      <c r="N76" s="310"/>
      <c r="P76" s="195">
        <v>65</v>
      </c>
      <c r="Q76" s="308"/>
      <c r="R76" s="309"/>
      <c r="S76" s="309"/>
      <c r="T76" s="309"/>
      <c r="U76" s="309"/>
      <c r="V76" s="309"/>
      <c r="W76" s="309"/>
      <c r="X76" s="309"/>
      <c r="Y76" s="309"/>
      <c r="Z76" s="309"/>
      <c r="AA76" s="309"/>
      <c r="AB76" s="309"/>
      <c r="AC76" s="310"/>
      <c r="AE76" s="195">
        <v>65</v>
      </c>
      <c r="AF76" s="308"/>
      <c r="AG76" s="309"/>
      <c r="AH76" s="309"/>
      <c r="AI76" s="309"/>
      <c r="AJ76" s="309"/>
      <c r="AK76" s="309"/>
      <c r="AL76" s="309"/>
      <c r="AM76" s="309"/>
      <c r="AN76" s="309"/>
      <c r="AO76" s="309"/>
      <c r="AP76" s="309"/>
      <c r="AQ76" s="309"/>
      <c r="AR76" s="310"/>
      <c r="AT76" s="195">
        <v>65</v>
      </c>
      <c r="AU76" s="308"/>
      <c r="AV76" s="309"/>
      <c r="AW76" s="309"/>
      <c r="AX76" s="309"/>
      <c r="AY76" s="309"/>
      <c r="AZ76" s="309"/>
      <c r="BA76" s="309"/>
      <c r="BB76" s="309"/>
      <c r="BC76" s="309"/>
      <c r="BD76" s="309"/>
      <c r="BE76" s="309"/>
      <c r="BF76" s="309"/>
      <c r="BG76" s="310"/>
    </row>
    <row r="77" spans="1:59">
      <c r="A77" s="195">
        <v>66</v>
      </c>
      <c r="B77" s="308"/>
      <c r="C77" s="309"/>
      <c r="D77" s="309"/>
      <c r="E77" s="309"/>
      <c r="F77" s="309"/>
      <c r="G77" s="309"/>
      <c r="H77" s="309"/>
      <c r="I77" s="309"/>
      <c r="J77" s="309"/>
      <c r="K77" s="309"/>
      <c r="L77" s="309"/>
      <c r="M77" s="309"/>
      <c r="N77" s="310"/>
      <c r="P77" s="195">
        <v>66</v>
      </c>
      <c r="Q77" s="308"/>
      <c r="R77" s="309"/>
      <c r="S77" s="309"/>
      <c r="T77" s="309"/>
      <c r="U77" s="309"/>
      <c r="V77" s="309"/>
      <c r="W77" s="309"/>
      <c r="X77" s="309"/>
      <c r="Y77" s="309"/>
      <c r="Z77" s="309"/>
      <c r="AA77" s="309"/>
      <c r="AB77" s="309"/>
      <c r="AC77" s="310"/>
      <c r="AE77" s="195">
        <v>66</v>
      </c>
      <c r="AF77" s="308"/>
      <c r="AG77" s="309"/>
      <c r="AH77" s="309"/>
      <c r="AI77" s="309"/>
      <c r="AJ77" s="309"/>
      <c r="AK77" s="309"/>
      <c r="AL77" s="309"/>
      <c r="AM77" s="309"/>
      <c r="AN77" s="309"/>
      <c r="AO77" s="309"/>
      <c r="AP77" s="309"/>
      <c r="AQ77" s="309"/>
      <c r="AR77" s="310"/>
      <c r="AT77" s="195">
        <v>66</v>
      </c>
      <c r="AU77" s="308"/>
      <c r="AV77" s="309"/>
      <c r="AW77" s="309"/>
      <c r="AX77" s="309"/>
      <c r="AY77" s="309"/>
      <c r="AZ77" s="309"/>
      <c r="BA77" s="309"/>
      <c r="BB77" s="309"/>
      <c r="BC77" s="309"/>
      <c r="BD77" s="309"/>
      <c r="BE77" s="309"/>
      <c r="BF77" s="309"/>
      <c r="BG77" s="310"/>
    </row>
    <row r="78" spans="1:59">
      <c r="A78" s="195">
        <v>67</v>
      </c>
      <c r="B78" s="308"/>
      <c r="C78" s="309"/>
      <c r="D78" s="309"/>
      <c r="E78" s="309"/>
      <c r="F78" s="309"/>
      <c r="G78" s="309"/>
      <c r="H78" s="309"/>
      <c r="I78" s="309"/>
      <c r="J78" s="309"/>
      <c r="K78" s="309"/>
      <c r="L78" s="309"/>
      <c r="M78" s="309"/>
      <c r="N78" s="310"/>
      <c r="P78" s="195">
        <v>67</v>
      </c>
      <c r="Q78" s="308"/>
      <c r="R78" s="309"/>
      <c r="S78" s="309"/>
      <c r="T78" s="309"/>
      <c r="U78" s="309"/>
      <c r="V78" s="309"/>
      <c r="W78" s="309"/>
      <c r="X78" s="309"/>
      <c r="Y78" s="309"/>
      <c r="Z78" s="309"/>
      <c r="AA78" s="309"/>
      <c r="AB78" s="309"/>
      <c r="AC78" s="310"/>
      <c r="AE78" s="195">
        <v>67</v>
      </c>
      <c r="AF78" s="308"/>
      <c r="AG78" s="309"/>
      <c r="AH78" s="309"/>
      <c r="AI78" s="309"/>
      <c r="AJ78" s="309"/>
      <c r="AK78" s="309"/>
      <c r="AL78" s="309"/>
      <c r="AM78" s="309"/>
      <c r="AN78" s="309"/>
      <c r="AO78" s="309"/>
      <c r="AP78" s="309"/>
      <c r="AQ78" s="309"/>
      <c r="AR78" s="310"/>
      <c r="AT78" s="195">
        <v>67</v>
      </c>
      <c r="AU78" s="308"/>
      <c r="AV78" s="309"/>
      <c r="AW78" s="309"/>
      <c r="AX78" s="309"/>
      <c r="AY78" s="309"/>
      <c r="AZ78" s="309"/>
      <c r="BA78" s="309"/>
      <c r="BB78" s="309"/>
      <c r="BC78" s="309"/>
      <c r="BD78" s="309"/>
      <c r="BE78" s="309"/>
      <c r="BF78" s="309"/>
      <c r="BG78" s="310"/>
    </row>
    <row r="79" spans="1:59">
      <c r="A79" s="195">
        <v>68</v>
      </c>
      <c r="B79" s="308"/>
      <c r="C79" s="309"/>
      <c r="D79" s="309"/>
      <c r="E79" s="309"/>
      <c r="F79" s="309"/>
      <c r="G79" s="309"/>
      <c r="H79" s="309"/>
      <c r="I79" s="309"/>
      <c r="J79" s="309"/>
      <c r="K79" s="309"/>
      <c r="L79" s="309"/>
      <c r="M79" s="309"/>
      <c r="N79" s="310"/>
      <c r="P79" s="195">
        <v>68</v>
      </c>
      <c r="Q79" s="308"/>
      <c r="R79" s="309"/>
      <c r="S79" s="309"/>
      <c r="T79" s="309"/>
      <c r="U79" s="309"/>
      <c r="V79" s="309"/>
      <c r="W79" s="309"/>
      <c r="X79" s="309"/>
      <c r="Y79" s="309"/>
      <c r="Z79" s="309"/>
      <c r="AA79" s="309"/>
      <c r="AB79" s="309"/>
      <c r="AC79" s="310"/>
      <c r="AE79" s="195">
        <v>68</v>
      </c>
      <c r="AF79" s="308"/>
      <c r="AG79" s="309"/>
      <c r="AH79" s="309"/>
      <c r="AI79" s="309"/>
      <c r="AJ79" s="309"/>
      <c r="AK79" s="309"/>
      <c r="AL79" s="309"/>
      <c r="AM79" s="309"/>
      <c r="AN79" s="309"/>
      <c r="AO79" s="309"/>
      <c r="AP79" s="309"/>
      <c r="AQ79" s="309"/>
      <c r="AR79" s="310"/>
      <c r="AT79" s="195">
        <v>68</v>
      </c>
      <c r="AU79" s="308"/>
      <c r="AV79" s="309"/>
      <c r="AW79" s="309"/>
      <c r="AX79" s="309"/>
      <c r="AY79" s="309"/>
      <c r="AZ79" s="309"/>
      <c r="BA79" s="309"/>
      <c r="BB79" s="309"/>
      <c r="BC79" s="309"/>
      <c r="BD79" s="309"/>
      <c r="BE79" s="309"/>
      <c r="BF79" s="309"/>
      <c r="BG79" s="310"/>
    </row>
    <row r="80" spans="1:59">
      <c r="A80" s="195">
        <v>69</v>
      </c>
      <c r="B80" s="308"/>
      <c r="C80" s="309"/>
      <c r="D80" s="309"/>
      <c r="E80" s="309"/>
      <c r="F80" s="309"/>
      <c r="G80" s="309"/>
      <c r="H80" s="309"/>
      <c r="I80" s="309"/>
      <c r="J80" s="309"/>
      <c r="K80" s="309"/>
      <c r="L80" s="309"/>
      <c r="M80" s="309"/>
      <c r="N80" s="310"/>
      <c r="P80" s="195">
        <v>69</v>
      </c>
      <c r="Q80" s="308"/>
      <c r="R80" s="309"/>
      <c r="S80" s="309"/>
      <c r="T80" s="309"/>
      <c r="U80" s="309"/>
      <c r="V80" s="309"/>
      <c r="W80" s="309"/>
      <c r="X80" s="309"/>
      <c r="Y80" s="309"/>
      <c r="Z80" s="309"/>
      <c r="AA80" s="309"/>
      <c r="AB80" s="309"/>
      <c r="AC80" s="310"/>
      <c r="AE80" s="195">
        <v>69</v>
      </c>
      <c r="AF80" s="308"/>
      <c r="AG80" s="309"/>
      <c r="AH80" s="309"/>
      <c r="AI80" s="309"/>
      <c r="AJ80" s="309"/>
      <c r="AK80" s="309"/>
      <c r="AL80" s="309"/>
      <c r="AM80" s="309"/>
      <c r="AN80" s="309"/>
      <c r="AO80" s="309"/>
      <c r="AP80" s="309"/>
      <c r="AQ80" s="309"/>
      <c r="AR80" s="310"/>
      <c r="AT80" s="195">
        <v>69</v>
      </c>
      <c r="AU80" s="308"/>
      <c r="AV80" s="309"/>
      <c r="AW80" s="309"/>
      <c r="AX80" s="309"/>
      <c r="AY80" s="309"/>
      <c r="AZ80" s="309"/>
      <c r="BA80" s="309"/>
      <c r="BB80" s="309"/>
      <c r="BC80" s="309"/>
      <c r="BD80" s="309"/>
      <c r="BE80" s="309"/>
      <c r="BF80" s="309"/>
      <c r="BG80" s="310"/>
    </row>
    <row r="81" spans="1:59">
      <c r="A81" s="195">
        <v>70</v>
      </c>
      <c r="B81" s="308"/>
      <c r="C81" s="309"/>
      <c r="D81" s="309"/>
      <c r="E81" s="309"/>
      <c r="F81" s="309"/>
      <c r="G81" s="309"/>
      <c r="H81" s="309"/>
      <c r="I81" s="309"/>
      <c r="J81" s="309"/>
      <c r="K81" s="309"/>
      <c r="L81" s="309"/>
      <c r="M81" s="309"/>
      <c r="N81" s="310"/>
      <c r="P81" s="195">
        <v>70</v>
      </c>
      <c r="Q81" s="308"/>
      <c r="R81" s="309"/>
      <c r="S81" s="309"/>
      <c r="T81" s="309"/>
      <c r="U81" s="309"/>
      <c r="V81" s="309"/>
      <c r="W81" s="309"/>
      <c r="X81" s="309"/>
      <c r="Y81" s="309"/>
      <c r="Z81" s="309"/>
      <c r="AA81" s="309"/>
      <c r="AB81" s="309"/>
      <c r="AC81" s="310"/>
      <c r="AE81" s="195">
        <v>70</v>
      </c>
      <c r="AF81" s="308"/>
      <c r="AG81" s="309"/>
      <c r="AH81" s="309"/>
      <c r="AI81" s="309"/>
      <c r="AJ81" s="309"/>
      <c r="AK81" s="309"/>
      <c r="AL81" s="309"/>
      <c r="AM81" s="309"/>
      <c r="AN81" s="309"/>
      <c r="AO81" s="309"/>
      <c r="AP81" s="309"/>
      <c r="AQ81" s="309"/>
      <c r="AR81" s="310"/>
      <c r="AT81" s="195">
        <v>70</v>
      </c>
      <c r="AU81" s="308"/>
      <c r="AV81" s="309"/>
      <c r="AW81" s="309"/>
      <c r="AX81" s="309"/>
      <c r="AY81" s="309"/>
      <c r="AZ81" s="309"/>
      <c r="BA81" s="309"/>
      <c r="BB81" s="309"/>
      <c r="BC81" s="309"/>
      <c r="BD81" s="309"/>
      <c r="BE81" s="309"/>
      <c r="BF81" s="309"/>
      <c r="BG81" s="310"/>
    </row>
    <row r="82" spans="1:59">
      <c r="A82" s="195">
        <v>71</v>
      </c>
      <c r="B82" s="308"/>
      <c r="C82" s="309"/>
      <c r="D82" s="309"/>
      <c r="E82" s="309"/>
      <c r="F82" s="309"/>
      <c r="G82" s="309"/>
      <c r="H82" s="309"/>
      <c r="I82" s="309"/>
      <c r="J82" s="309"/>
      <c r="K82" s="309"/>
      <c r="L82" s="309"/>
      <c r="M82" s="309"/>
      <c r="N82" s="310"/>
      <c r="P82" s="195">
        <v>71</v>
      </c>
      <c r="Q82" s="308"/>
      <c r="R82" s="309"/>
      <c r="S82" s="309"/>
      <c r="T82" s="309"/>
      <c r="U82" s="309"/>
      <c r="V82" s="309"/>
      <c r="W82" s="309"/>
      <c r="X82" s="309"/>
      <c r="Y82" s="309"/>
      <c r="Z82" s="309"/>
      <c r="AA82" s="309"/>
      <c r="AB82" s="309"/>
      <c r="AC82" s="310"/>
      <c r="AE82" s="195">
        <v>71</v>
      </c>
      <c r="AF82" s="308"/>
      <c r="AG82" s="309"/>
      <c r="AH82" s="309"/>
      <c r="AI82" s="309"/>
      <c r="AJ82" s="309"/>
      <c r="AK82" s="309"/>
      <c r="AL82" s="309"/>
      <c r="AM82" s="309"/>
      <c r="AN82" s="309"/>
      <c r="AO82" s="309"/>
      <c r="AP82" s="309"/>
      <c r="AQ82" s="309"/>
      <c r="AR82" s="310"/>
      <c r="AT82" s="195">
        <v>71</v>
      </c>
      <c r="AU82" s="308"/>
      <c r="AV82" s="309"/>
      <c r="AW82" s="309"/>
      <c r="AX82" s="309"/>
      <c r="AY82" s="309"/>
      <c r="AZ82" s="309"/>
      <c r="BA82" s="309"/>
      <c r="BB82" s="309"/>
      <c r="BC82" s="309"/>
      <c r="BD82" s="309"/>
      <c r="BE82" s="309"/>
      <c r="BF82" s="309"/>
      <c r="BG82" s="310"/>
    </row>
    <row r="83" spans="1:59">
      <c r="A83" s="195">
        <v>72</v>
      </c>
      <c r="B83" s="308"/>
      <c r="C83" s="309"/>
      <c r="D83" s="309"/>
      <c r="E83" s="309"/>
      <c r="F83" s="309"/>
      <c r="G83" s="309"/>
      <c r="H83" s="309"/>
      <c r="I83" s="309"/>
      <c r="J83" s="309"/>
      <c r="K83" s="309"/>
      <c r="L83" s="309"/>
      <c r="M83" s="309"/>
      <c r="N83" s="310"/>
      <c r="P83" s="195">
        <v>72</v>
      </c>
      <c r="Q83" s="308"/>
      <c r="R83" s="309"/>
      <c r="S83" s="309"/>
      <c r="T83" s="309"/>
      <c r="U83" s="309"/>
      <c r="V83" s="309"/>
      <c r="W83" s="309"/>
      <c r="X83" s="309"/>
      <c r="Y83" s="309"/>
      <c r="Z83" s="309"/>
      <c r="AA83" s="309"/>
      <c r="AB83" s="309"/>
      <c r="AC83" s="310"/>
      <c r="AE83" s="195">
        <v>72</v>
      </c>
      <c r="AF83" s="308"/>
      <c r="AG83" s="309"/>
      <c r="AH83" s="309"/>
      <c r="AI83" s="309"/>
      <c r="AJ83" s="309"/>
      <c r="AK83" s="309"/>
      <c r="AL83" s="309"/>
      <c r="AM83" s="309"/>
      <c r="AN83" s="309"/>
      <c r="AO83" s="309"/>
      <c r="AP83" s="309"/>
      <c r="AQ83" s="309"/>
      <c r="AR83" s="310"/>
      <c r="AT83" s="195">
        <v>72</v>
      </c>
      <c r="AU83" s="308"/>
      <c r="AV83" s="309"/>
      <c r="AW83" s="309"/>
      <c r="AX83" s="309"/>
      <c r="AY83" s="309"/>
      <c r="AZ83" s="309"/>
      <c r="BA83" s="309"/>
      <c r="BB83" s="309"/>
      <c r="BC83" s="309"/>
      <c r="BD83" s="309"/>
      <c r="BE83" s="309"/>
      <c r="BF83" s="309"/>
      <c r="BG83" s="310"/>
    </row>
    <row r="84" spans="1:59">
      <c r="A84" s="195">
        <v>73</v>
      </c>
      <c r="B84" s="308"/>
      <c r="C84" s="309"/>
      <c r="D84" s="309"/>
      <c r="E84" s="309"/>
      <c r="F84" s="309"/>
      <c r="G84" s="309"/>
      <c r="H84" s="309"/>
      <c r="I84" s="309"/>
      <c r="J84" s="309"/>
      <c r="K84" s="309"/>
      <c r="L84" s="309"/>
      <c r="M84" s="309"/>
      <c r="N84" s="310"/>
      <c r="P84" s="195">
        <v>73</v>
      </c>
      <c r="Q84" s="308"/>
      <c r="R84" s="309"/>
      <c r="S84" s="309"/>
      <c r="T84" s="309"/>
      <c r="U84" s="309"/>
      <c r="V84" s="309"/>
      <c r="W84" s="309"/>
      <c r="X84" s="309"/>
      <c r="Y84" s="309"/>
      <c r="Z84" s="309"/>
      <c r="AA84" s="309"/>
      <c r="AB84" s="309"/>
      <c r="AC84" s="310"/>
      <c r="AE84" s="195">
        <v>73</v>
      </c>
      <c r="AF84" s="308"/>
      <c r="AG84" s="309"/>
      <c r="AH84" s="309"/>
      <c r="AI84" s="309"/>
      <c r="AJ84" s="309"/>
      <c r="AK84" s="309"/>
      <c r="AL84" s="309"/>
      <c r="AM84" s="309"/>
      <c r="AN84" s="309"/>
      <c r="AO84" s="309"/>
      <c r="AP84" s="309"/>
      <c r="AQ84" s="309"/>
      <c r="AR84" s="310"/>
      <c r="AT84" s="195">
        <v>73</v>
      </c>
      <c r="AU84" s="308"/>
      <c r="AV84" s="309"/>
      <c r="AW84" s="309"/>
      <c r="AX84" s="309"/>
      <c r="AY84" s="309"/>
      <c r="AZ84" s="309"/>
      <c r="BA84" s="309"/>
      <c r="BB84" s="309"/>
      <c r="BC84" s="309"/>
      <c r="BD84" s="309"/>
      <c r="BE84" s="309"/>
      <c r="BF84" s="309"/>
      <c r="BG84" s="310"/>
    </row>
    <row r="85" spans="1:59">
      <c r="A85" s="195">
        <v>74</v>
      </c>
      <c r="B85" s="308"/>
      <c r="C85" s="309"/>
      <c r="D85" s="309"/>
      <c r="E85" s="309"/>
      <c r="F85" s="309"/>
      <c r="G85" s="309"/>
      <c r="H85" s="309"/>
      <c r="I85" s="309"/>
      <c r="J85" s="309"/>
      <c r="K85" s="309"/>
      <c r="L85" s="309"/>
      <c r="M85" s="309"/>
      <c r="N85" s="310"/>
      <c r="P85" s="195">
        <v>74</v>
      </c>
      <c r="Q85" s="308"/>
      <c r="R85" s="309"/>
      <c r="S85" s="309"/>
      <c r="T85" s="309"/>
      <c r="U85" s="309"/>
      <c r="V85" s="309"/>
      <c r="W85" s="309"/>
      <c r="X85" s="309"/>
      <c r="Y85" s="309"/>
      <c r="Z85" s="309"/>
      <c r="AA85" s="309"/>
      <c r="AB85" s="309"/>
      <c r="AC85" s="310"/>
      <c r="AE85" s="195">
        <v>74</v>
      </c>
      <c r="AF85" s="308"/>
      <c r="AG85" s="309"/>
      <c r="AH85" s="309"/>
      <c r="AI85" s="309"/>
      <c r="AJ85" s="309"/>
      <c r="AK85" s="309"/>
      <c r="AL85" s="309"/>
      <c r="AM85" s="309"/>
      <c r="AN85" s="309"/>
      <c r="AO85" s="309"/>
      <c r="AP85" s="309"/>
      <c r="AQ85" s="309"/>
      <c r="AR85" s="310"/>
      <c r="AT85" s="195">
        <v>74</v>
      </c>
      <c r="AU85" s="308"/>
      <c r="AV85" s="309"/>
      <c r="AW85" s="309"/>
      <c r="AX85" s="309"/>
      <c r="AY85" s="309"/>
      <c r="AZ85" s="309"/>
      <c r="BA85" s="309"/>
      <c r="BB85" s="309"/>
      <c r="BC85" s="309"/>
      <c r="BD85" s="309"/>
      <c r="BE85" s="309"/>
      <c r="BF85" s="309"/>
      <c r="BG85" s="310"/>
    </row>
    <row r="86" spans="1:59">
      <c r="A86" s="195">
        <v>75</v>
      </c>
      <c r="B86" s="308"/>
      <c r="C86" s="309"/>
      <c r="D86" s="309"/>
      <c r="E86" s="309"/>
      <c r="F86" s="309"/>
      <c r="G86" s="309"/>
      <c r="H86" s="309"/>
      <c r="I86" s="309"/>
      <c r="J86" s="309"/>
      <c r="K86" s="309"/>
      <c r="L86" s="309"/>
      <c r="M86" s="309"/>
      <c r="N86" s="310"/>
      <c r="P86" s="195">
        <v>75</v>
      </c>
      <c r="Q86" s="308"/>
      <c r="R86" s="309"/>
      <c r="S86" s="309"/>
      <c r="T86" s="309"/>
      <c r="U86" s="309"/>
      <c r="V86" s="309"/>
      <c r="W86" s="309"/>
      <c r="X86" s="309"/>
      <c r="Y86" s="309"/>
      <c r="Z86" s="309"/>
      <c r="AA86" s="309"/>
      <c r="AB86" s="309"/>
      <c r="AC86" s="310"/>
      <c r="AE86" s="195">
        <v>75</v>
      </c>
      <c r="AF86" s="308"/>
      <c r="AG86" s="309"/>
      <c r="AH86" s="309"/>
      <c r="AI86" s="309"/>
      <c r="AJ86" s="309"/>
      <c r="AK86" s="309"/>
      <c r="AL86" s="309"/>
      <c r="AM86" s="309"/>
      <c r="AN86" s="309"/>
      <c r="AO86" s="309"/>
      <c r="AP86" s="309"/>
      <c r="AQ86" s="309"/>
      <c r="AR86" s="310"/>
      <c r="AT86" s="195">
        <v>75</v>
      </c>
      <c r="AU86" s="308"/>
      <c r="AV86" s="309"/>
      <c r="AW86" s="309"/>
      <c r="AX86" s="309"/>
      <c r="AY86" s="309"/>
      <c r="AZ86" s="309"/>
      <c r="BA86" s="309"/>
      <c r="BB86" s="309"/>
      <c r="BC86" s="309"/>
      <c r="BD86" s="309"/>
      <c r="BE86" s="309"/>
      <c r="BF86" s="309"/>
      <c r="BG86" s="310"/>
    </row>
    <row r="87" spans="1:59">
      <c r="A87" s="195">
        <v>76</v>
      </c>
      <c r="B87" s="308"/>
      <c r="C87" s="309"/>
      <c r="D87" s="309"/>
      <c r="E87" s="309"/>
      <c r="F87" s="309"/>
      <c r="G87" s="309"/>
      <c r="H87" s="309"/>
      <c r="I87" s="309"/>
      <c r="J87" s="309"/>
      <c r="K87" s="309"/>
      <c r="L87" s="309"/>
      <c r="M87" s="309"/>
      <c r="N87" s="310"/>
      <c r="P87" s="195">
        <v>76</v>
      </c>
      <c r="Q87" s="308"/>
      <c r="R87" s="309"/>
      <c r="S87" s="309"/>
      <c r="T87" s="309"/>
      <c r="U87" s="309"/>
      <c r="V87" s="309"/>
      <c r="W87" s="309"/>
      <c r="X87" s="309"/>
      <c r="Y87" s="309"/>
      <c r="Z87" s="309"/>
      <c r="AA87" s="309"/>
      <c r="AB87" s="309"/>
      <c r="AC87" s="310"/>
      <c r="AE87" s="195">
        <v>76</v>
      </c>
      <c r="AF87" s="308"/>
      <c r="AG87" s="309"/>
      <c r="AH87" s="309"/>
      <c r="AI87" s="309"/>
      <c r="AJ87" s="309"/>
      <c r="AK87" s="309"/>
      <c r="AL87" s="309"/>
      <c r="AM87" s="309"/>
      <c r="AN87" s="309"/>
      <c r="AO87" s="309"/>
      <c r="AP87" s="309"/>
      <c r="AQ87" s="309"/>
      <c r="AR87" s="310"/>
      <c r="AT87" s="195">
        <v>76</v>
      </c>
      <c r="AU87" s="308"/>
      <c r="AV87" s="309"/>
      <c r="AW87" s="309"/>
      <c r="AX87" s="309"/>
      <c r="AY87" s="309"/>
      <c r="AZ87" s="309"/>
      <c r="BA87" s="309"/>
      <c r="BB87" s="309"/>
      <c r="BC87" s="309"/>
      <c r="BD87" s="309"/>
      <c r="BE87" s="309"/>
      <c r="BF87" s="309"/>
      <c r="BG87" s="310"/>
    </row>
    <row r="88" spans="1:59">
      <c r="A88" s="195">
        <v>77</v>
      </c>
      <c r="B88" s="308"/>
      <c r="C88" s="309"/>
      <c r="D88" s="309"/>
      <c r="E88" s="309"/>
      <c r="F88" s="309"/>
      <c r="G88" s="309"/>
      <c r="H88" s="309"/>
      <c r="I88" s="309"/>
      <c r="J88" s="309"/>
      <c r="K88" s="309"/>
      <c r="L88" s="309"/>
      <c r="M88" s="309"/>
      <c r="N88" s="310"/>
      <c r="P88" s="195">
        <v>77</v>
      </c>
      <c r="Q88" s="308"/>
      <c r="R88" s="309"/>
      <c r="S88" s="309"/>
      <c r="T88" s="309"/>
      <c r="U88" s="309"/>
      <c r="V88" s="309"/>
      <c r="W88" s="309"/>
      <c r="X88" s="309"/>
      <c r="Y88" s="309"/>
      <c r="Z88" s="309"/>
      <c r="AA88" s="309"/>
      <c r="AB88" s="309"/>
      <c r="AC88" s="310"/>
      <c r="AE88" s="195">
        <v>77</v>
      </c>
      <c r="AF88" s="308"/>
      <c r="AG88" s="309"/>
      <c r="AH88" s="309"/>
      <c r="AI88" s="309"/>
      <c r="AJ88" s="309"/>
      <c r="AK88" s="309"/>
      <c r="AL88" s="309"/>
      <c r="AM88" s="309"/>
      <c r="AN88" s="309"/>
      <c r="AO88" s="309"/>
      <c r="AP88" s="309"/>
      <c r="AQ88" s="309"/>
      <c r="AR88" s="310"/>
      <c r="AT88" s="195">
        <v>77</v>
      </c>
      <c r="AU88" s="308"/>
      <c r="AV88" s="309"/>
      <c r="AW88" s="309"/>
      <c r="AX88" s="309"/>
      <c r="AY88" s="309"/>
      <c r="AZ88" s="309"/>
      <c r="BA88" s="309"/>
      <c r="BB88" s="309"/>
      <c r="BC88" s="309"/>
      <c r="BD88" s="309"/>
      <c r="BE88" s="309"/>
      <c r="BF88" s="309"/>
      <c r="BG88" s="310"/>
    </row>
    <row r="89" spans="1:59">
      <c r="A89" s="195">
        <v>78</v>
      </c>
      <c r="B89" s="308"/>
      <c r="C89" s="309"/>
      <c r="D89" s="309"/>
      <c r="E89" s="309"/>
      <c r="F89" s="309"/>
      <c r="G89" s="309"/>
      <c r="H89" s="309"/>
      <c r="I89" s="309"/>
      <c r="J89" s="309"/>
      <c r="K89" s="309"/>
      <c r="L89" s="309"/>
      <c r="M89" s="309"/>
      <c r="N89" s="310"/>
      <c r="P89" s="195">
        <v>78</v>
      </c>
      <c r="Q89" s="308"/>
      <c r="R89" s="309"/>
      <c r="S89" s="309"/>
      <c r="T89" s="309"/>
      <c r="U89" s="309"/>
      <c r="V89" s="309"/>
      <c r="W89" s="309"/>
      <c r="X89" s="309"/>
      <c r="Y89" s="309"/>
      <c r="Z89" s="309"/>
      <c r="AA89" s="309"/>
      <c r="AB89" s="309"/>
      <c r="AC89" s="310"/>
      <c r="AE89" s="195">
        <v>78</v>
      </c>
      <c r="AF89" s="308"/>
      <c r="AG89" s="309"/>
      <c r="AH89" s="309"/>
      <c r="AI89" s="309"/>
      <c r="AJ89" s="309"/>
      <c r="AK89" s="309"/>
      <c r="AL89" s="309"/>
      <c r="AM89" s="309"/>
      <c r="AN89" s="309"/>
      <c r="AO89" s="309"/>
      <c r="AP89" s="309"/>
      <c r="AQ89" s="309"/>
      <c r="AR89" s="310"/>
      <c r="AT89" s="195">
        <v>78</v>
      </c>
      <c r="AU89" s="308"/>
      <c r="AV89" s="309"/>
      <c r="AW89" s="309"/>
      <c r="AX89" s="309"/>
      <c r="AY89" s="309"/>
      <c r="AZ89" s="309"/>
      <c r="BA89" s="309"/>
      <c r="BB89" s="309"/>
      <c r="BC89" s="309"/>
      <c r="BD89" s="309"/>
      <c r="BE89" s="309"/>
      <c r="BF89" s="309"/>
      <c r="BG89" s="310"/>
    </row>
    <row r="90" spans="1:59">
      <c r="A90" s="195">
        <v>79</v>
      </c>
      <c r="B90" s="308"/>
      <c r="C90" s="309"/>
      <c r="D90" s="309"/>
      <c r="E90" s="309"/>
      <c r="F90" s="309"/>
      <c r="G90" s="309"/>
      <c r="H90" s="309"/>
      <c r="I90" s="309"/>
      <c r="J90" s="309"/>
      <c r="K90" s="309"/>
      <c r="L90" s="309"/>
      <c r="M90" s="309"/>
      <c r="N90" s="310"/>
      <c r="P90" s="195">
        <v>79</v>
      </c>
      <c r="Q90" s="308"/>
      <c r="R90" s="309"/>
      <c r="S90" s="309"/>
      <c r="T90" s="309"/>
      <c r="U90" s="309"/>
      <c r="V90" s="309"/>
      <c r="W90" s="309"/>
      <c r="X90" s="309"/>
      <c r="Y90" s="309"/>
      <c r="Z90" s="309"/>
      <c r="AA90" s="309"/>
      <c r="AB90" s="309"/>
      <c r="AC90" s="310"/>
      <c r="AE90" s="195">
        <v>79</v>
      </c>
      <c r="AF90" s="308"/>
      <c r="AG90" s="309"/>
      <c r="AH90" s="309"/>
      <c r="AI90" s="309"/>
      <c r="AJ90" s="309"/>
      <c r="AK90" s="309"/>
      <c r="AL90" s="309"/>
      <c r="AM90" s="309"/>
      <c r="AN90" s="309"/>
      <c r="AO90" s="309"/>
      <c r="AP90" s="309"/>
      <c r="AQ90" s="309"/>
      <c r="AR90" s="310"/>
      <c r="AT90" s="195">
        <v>79</v>
      </c>
      <c r="AU90" s="308"/>
      <c r="AV90" s="309"/>
      <c r="AW90" s="309"/>
      <c r="AX90" s="309"/>
      <c r="AY90" s="309"/>
      <c r="AZ90" s="309"/>
      <c r="BA90" s="309"/>
      <c r="BB90" s="309"/>
      <c r="BC90" s="309"/>
      <c r="BD90" s="309"/>
      <c r="BE90" s="309"/>
      <c r="BF90" s="309"/>
      <c r="BG90" s="310"/>
    </row>
    <row r="91" spans="1:59">
      <c r="A91" s="195">
        <v>80</v>
      </c>
      <c r="B91" s="308"/>
      <c r="C91" s="309"/>
      <c r="D91" s="309"/>
      <c r="E91" s="309"/>
      <c r="F91" s="309"/>
      <c r="G91" s="309"/>
      <c r="H91" s="309"/>
      <c r="I91" s="309"/>
      <c r="J91" s="309"/>
      <c r="K91" s="309"/>
      <c r="L91" s="309"/>
      <c r="M91" s="309"/>
      <c r="N91" s="310"/>
      <c r="P91" s="195">
        <v>80</v>
      </c>
      <c r="Q91" s="308"/>
      <c r="R91" s="309"/>
      <c r="S91" s="309"/>
      <c r="T91" s="309"/>
      <c r="U91" s="309"/>
      <c r="V91" s="309"/>
      <c r="W91" s="309"/>
      <c r="X91" s="309"/>
      <c r="Y91" s="309"/>
      <c r="Z91" s="309"/>
      <c r="AA91" s="309"/>
      <c r="AB91" s="309"/>
      <c r="AC91" s="310"/>
      <c r="AE91" s="195">
        <v>80</v>
      </c>
      <c r="AF91" s="308"/>
      <c r="AG91" s="309"/>
      <c r="AH91" s="309"/>
      <c r="AI91" s="309"/>
      <c r="AJ91" s="309"/>
      <c r="AK91" s="309"/>
      <c r="AL91" s="309"/>
      <c r="AM91" s="309"/>
      <c r="AN91" s="309"/>
      <c r="AO91" s="309"/>
      <c r="AP91" s="309"/>
      <c r="AQ91" s="309"/>
      <c r="AR91" s="310"/>
      <c r="AT91" s="195">
        <v>80</v>
      </c>
      <c r="AU91" s="308"/>
      <c r="AV91" s="309"/>
      <c r="AW91" s="309"/>
      <c r="AX91" s="309"/>
      <c r="AY91" s="309"/>
      <c r="AZ91" s="309"/>
      <c r="BA91" s="309"/>
      <c r="BB91" s="309"/>
      <c r="BC91" s="309"/>
      <c r="BD91" s="309"/>
      <c r="BE91" s="309"/>
      <c r="BF91" s="309"/>
      <c r="BG91" s="310"/>
    </row>
    <row r="92" spans="1:59">
      <c r="A92" s="195">
        <v>81</v>
      </c>
      <c r="B92" s="308"/>
      <c r="C92" s="309"/>
      <c r="D92" s="309"/>
      <c r="E92" s="309"/>
      <c r="F92" s="309"/>
      <c r="G92" s="309"/>
      <c r="H92" s="309"/>
      <c r="I92" s="309"/>
      <c r="J92" s="309"/>
      <c r="K92" s="309"/>
      <c r="L92" s="309"/>
      <c r="M92" s="309"/>
      <c r="N92" s="310"/>
      <c r="P92" s="195">
        <v>81</v>
      </c>
      <c r="Q92" s="308"/>
      <c r="R92" s="309"/>
      <c r="S92" s="309"/>
      <c r="T92" s="309"/>
      <c r="U92" s="309"/>
      <c r="V92" s="309"/>
      <c r="W92" s="309"/>
      <c r="X92" s="309"/>
      <c r="Y92" s="309"/>
      <c r="Z92" s="309"/>
      <c r="AA92" s="309"/>
      <c r="AB92" s="309"/>
      <c r="AC92" s="310"/>
      <c r="AE92" s="195">
        <v>81</v>
      </c>
      <c r="AF92" s="308"/>
      <c r="AG92" s="309"/>
      <c r="AH92" s="309"/>
      <c r="AI92" s="309"/>
      <c r="AJ92" s="309"/>
      <c r="AK92" s="309"/>
      <c r="AL92" s="309"/>
      <c r="AM92" s="309"/>
      <c r="AN92" s="309"/>
      <c r="AO92" s="309"/>
      <c r="AP92" s="309"/>
      <c r="AQ92" s="309"/>
      <c r="AR92" s="310"/>
      <c r="AT92" s="195">
        <v>81</v>
      </c>
      <c r="AU92" s="308"/>
      <c r="AV92" s="309"/>
      <c r="AW92" s="309"/>
      <c r="AX92" s="309"/>
      <c r="AY92" s="309"/>
      <c r="AZ92" s="309"/>
      <c r="BA92" s="309"/>
      <c r="BB92" s="309"/>
      <c r="BC92" s="309"/>
      <c r="BD92" s="309"/>
      <c r="BE92" s="309"/>
      <c r="BF92" s="309"/>
      <c r="BG92" s="310"/>
    </row>
    <row r="93" spans="1:59">
      <c r="A93" s="195">
        <v>82</v>
      </c>
      <c r="B93" s="308"/>
      <c r="C93" s="309"/>
      <c r="D93" s="309"/>
      <c r="E93" s="309"/>
      <c r="F93" s="309"/>
      <c r="G93" s="309"/>
      <c r="H93" s="309"/>
      <c r="I93" s="309"/>
      <c r="J93" s="309"/>
      <c r="K93" s="309"/>
      <c r="L93" s="309"/>
      <c r="M93" s="309"/>
      <c r="N93" s="310"/>
      <c r="P93" s="195">
        <v>82</v>
      </c>
      <c r="Q93" s="308"/>
      <c r="R93" s="309"/>
      <c r="S93" s="309"/>
      <c r="T93" s="309"/>
      <c r="U93" s="309"/>
      <c r="V93" s="309"/>
      <c r="W93" s="309"/>
      <c r="X93" s="309"/>
      <c r="Y93" s="309"/>
      <c r="Z93" s="309"/>
      <c r="AA93" s="309"/>
      <c r="AB93" s="309"/>
      <c r="AC93" s="310"/>
      <c r="AE93" s="195">
        <v>82</v>
      </c>
      <c r="AF93" s="308"/>
      <c r="AG93" s="309"/>
      <c r="AH93" s="309"/>
      <c r="AI93" s="309"/>
      <c r="AJ93" s="309"/>
      <c r="AK93" s="309"/>
      <c r="AL93" s="309"/>
      <c r="AM93" s="309"/>
      <c r="AN93" s="309"/>
      <c r="AO93" s="309"/>
      <c r="AP93" s="309"/>
      <c r="AQ93" s="309"/>
      <c r="AR93" s="310"/>
      <c r="AT93" s="195">
        <v>82</v>
      </c>
      <c r="AU93" s="308"/>
      <c r="AV93" s="309"/>
      <c r="AW93" s="309"/>
      <c r="AX93" s="309"/>
      <c r="AY93" s="309"/>
      <c r="AZ93" s="309"/>
      <c r="BA93" s="309"/>
      <c r="BB93" s="309"/>
      <c r="BC93" s="309"/>
      <c r="BD93" s="309"/>
      <c r="BE93" s="309"/>
      <c r="BF93" s="309"/>
      <c r="BG93" s="310"/>
    </row>
    <row r="94" spans="1:59">
      <c r="A94" s="195">
        <v>83</v>
      </c>
      <c r="B94" s="308"/>
      <c r="C94" s="309"/>
      <c r="D94" s="309"/>
      <c r="E94" s="309"/>
      <c r="F94" s="309"/>
      <c r="G94" s="309"/>
      <c r="H94" s="309"/>
      <c r="I94" s="309"/>
      <c r="J94" s="309"/>
      <c r="K94" s="309"/>
      <c r="L94" s="309"/>
      <c r="M94" s="309"/>
      <c r="N94" s="310"/>
      <c r="P94" s="195">
        <v>83</v>
      </c>
      <c r="Q94" s="308"/>
      <c r="R94" s="309"/>
      <c r="S94" s="309"/>
      <c r="T94" s="309"/>
      <c r="U94" s="309"/>
      <c r="V94" s="309"/>
      <c r="W94" s="309"/>
      <c r="X94" s="309"/>
      <c r="Y94" s="309"/>
      <c r="Z94" s="309"/>
      <c r="AA94" s="309"/>
      <c r="AB94" s="309"/>
      <c r="AC94" s="310"/>
      <c r="AE94" s="195">
        <v>83</v>
      </c>
      <c r="AF94" s="308"/>
      <c r="AG94" s="309"/>
      <c r="AH94" s="309"/>
      <c r="AI94" s="309"/>
      <c r="AJ94" s="309"/>
      <c r="AK94" s="309"/>
      <c r="AL94" s="309"/>
      <c r="AM94" s="309"/>
      <c r="AN94" s="309"/>
      <c r="AO94" s="309"/>
      <c r="AP94" s="309"/>
      <c r="AQ94" s="309"/>
      <c r="AR94" s="310"/>
      <c r="AT94" s="195">
        <v>83</v>
      </c>
      <c r="AU94" s="308"/>
      <c r="AV94" s="309"/>
      <c r="AW94" s="309"/>
      <c r="AX94" s="309"/>
      <c r="AY94" s="309"/>
      <c r="AZ94" s="309"/>
      <c r="BA94" s="309"/>
      <c r="BB94" s="309"/>
      <c r="BC94" s="309"/>
      <c r="BD94" s="309"/>
      <c r="BE94" s="309"/>
      <c r="BF94" s="309"/>
      <c r="BG94" s="310"/>
    </row>
    <row r="95" spans="1:59">
      <c r="A95" s="195">
        <v>84</v>
      </c>
      <c r="B95" s="308"/>
      <c r="C95" s="309"/>
      <c r="D95" s="309"/>
      <c r="E95" s="309"/>
      <c r="F95" s="309"/>
      <c r="G95" s="309"/>
      <c r="H95" s="309"/>
      <c r="I95" s="309"/>
      <c r="J95" s="309"/>
      <c r="K95" s="309"/>
      <c r="L95" s="309"/>
      <c r="M95" s="309"/>
      <c r="N95" s="310"/>
      <c r="P95" s="195">
        <v>84</v>
      </c>
      <c r="Q95" s="308"/>
      <c r="R95" s="309"/>
      <c r="S95" s="309"/>
      <c r="T95" s="309"/>
      <c r="U95" s="309"/>
      <c r="V95" s="309"/>
      <c r="W95" s="309"/>
      <c r="X95" s="309"/>
      <c r="Y95" s="309"/>
      <c r="Z95" s="309"/>
      <c r="AA95" s="309"/>
      <c r="AB95" s="309"/>
      <c r="AC95" s="310"/>
      <c r="AE95" s="195">
        <v>84</v>
      </c>
      <c r="AF95" s="308"/>
      <c r="AG95" s="309"/>
      <c r="AH95" s="309"/>
      <c r="AI95" s="309"/>
      <c r="AJ95" s="309"/>
      <c r="AK95" s="309"/>
      <c r="AL95" s="309"/>
      <c r="AM95" s="309"/>
      <c r="AN95" s="309"/>
      <c r="AO95" s="309"/>
      <c r="AP95" s="309"/>
      <c r="AQ95" s="309"/>
      <c r="AR95" s="310"/>
      <c r="AT95" s="195">
        <v>84</v>
      </c>
      <c r="AU95" s="308"/>
      <c r="AV95" s="309"/>
      <c r="AW95" s="309"/>
      <c r="AX95" s="309"/>
      <c r="AY95" s="309"/>
      <c r="AZ95" s="309"/>
      <c r="BA95" s="309"/>
      <c r="BB95" s="309"/>
      <c r="BC95" s="309"/>
      <c r="BD95" s="309"/>
      <c r="BE95" s="309"/>
      <c r="BF95" s="309"/>
      <c r="BG95" s="310"/>
    </row>
    <row r="96" spans="1:59">
      <c r="A96" s="195">
        <v>85</v>
      </c>
      <c r="B96" s="308"/>
      <c r="C96" s="309"/>
      <c r="D96" s="309"/>
      <c r="E96" s="309"/>
      <c r="F96" s="309"/>
      <c r="G96" s="309"/>
      <c r="H96" s="309"/>
      <c r="I96" s="309"/>
      <c r="J96" s="309"/>
      <c r="K96" s="309"/>
      <c r="L96" s="309"/>
      <c r="M96" s="309"/>
      <c r="N96" s="310"/>
      <c r="P96" s="195">
        <v>85</v>
      </c>
      <c r="Q96" s="308"/>
      <c r="R96" s="309"/>
      <c r="S96" s="309"/>
      <c r="T96" s="309"/>
      <c r="U96" s="309"/>
      <c r="V96" s="309"/>
      <c r="W96" s="309"/>
      <c r="X96" s="309"/>
      <c r="Y96" s="309"/>
      <c r="Z96" s="309"/>
      <c r="AA96" s="309"/>
      <c r="AB96" s="309"/>
      <c r="AC96" s="310"/>
      <c r="AE96" s="195">
        <v>85</v>
      </c>
      <c r="AF96" s="308"/>
      <c r="AG96" s="309"/>
      <c r="AH96" s="309"/>
      <c r="AI96" s="309"/>
      <c r="AJ96" s="309"/>
      <c r="AK96" s="309"/>
      <c r="AL96" s="309"/>
      <c r="AM96" s="309"/>
      <c r="AN96" s="309"/>
      <c r="AO96" s="309"/>
      <c r="AP96" s="309"/>
      <c r="AQ96" s="309"/>
      <c r="AR96" s="310"/>
      <c r="AT96" s="195">
        <v>85</v>
      </c>
      <c r="AU96" s="308"/>
      <c r="AV96" s="309"/>
      <c r="AW96" s="309"/>
      <c r="AX96" s="309"/>
      <c r="AY96" s="309"/>
      <c r="AZ96" s="309"/>
      <c r="BA96" s="309"/>
      <c r="BB96" s="309"/>
      <c r="BC96" s="309"/>
      <c r="BD96" s="309"/>
      <c r="BE96" s="309"/>
      <c r="BF96" s="309"/>
      <c r="BG96" s="310"/>
    </row>
    <row r="97" spans="1:59">
      <c r="A97" s="195">
        <v>86</v>
      </c>
      <c r="B97" s="308"/>
      <c r="C97" s="309"/>
      <c r="D97" s="309"/>
      <c r="E97" s="309"/>
      <c r="F97" s="309"/>
      <c r="G97" s="309"/>
      <c r="H97" s="309"/>
      <c r="I97" s="309"/>
      <c r="J97" s="309"/>
      <c r="K97" s="309"/>
      <c r="L97" s="309"/>
      <c r="M97" s="309"/>
      <c r="N97" s="310"/>
      <c r="P97" s="195">
        <v>86</v>
      </c>
      <c r="Q97" s="308"/>
      <c r="R97" s="309"/>
      <c r="S97" s="309"/>
      <c r="T97" s="309"/>
      <c r="U97" s="309"/>
      <c r="V97" s="309"/>
      <c r="W97" s="309"/>
      <c r="X97" s="309"/>
      <c r="Y97" s="309"/>
      <c r="Z97" s="309"/>
      <c r="AA97" s="309"/>
      <c r="AB97" s="309"/>
      <c r="AC97" s="310"/>
      <c r="AE97" s="195">
        <v>86</v>
      </c>
      <c r="AF97" s="308"/>
      <c r="AG97" s="309"/>
      <c r="AH97" s="309"/>
      <c r="AI97" s="309"/>
      <c r="AJ97" s="309"/>
      <c r="AK97" s="309"/>
      <c r="AL97" s="309"/>
      <c r="AM97" s="309"/>
      <c r="AN97" s="309"/>
      <c r="AO97" s="309"/>
      <c r="AP97" s="309"/>
      <c r="AQ97" s="309"/>
      <c r="AR97" s="310"/>
      <c r="AT97" s="195">
        <v>86</v>
      </c>
      <c r="AU97" s="308"/>
      <c r="AV97" s="309"/>
      <c r="AW97" s="309"/>
      <c r="AX97" s="309"/>
      <c r="AY97" s="309"/>
      <c r="AZ97" s="309"/>
      <c r="BA97" s="309"/>
      <c r="BB97" s="309"/>
      <c r="BC97" s="309"/>
      <c r="BD97" s="309"/>
      <c r="BE97" s="309"/>
      <c r="BF97" s="309"/>
      <c r="BG97" s="310"/>
    </row>
    <row r="98" spans="1:59">
      <c r="A98" s="195">
        <v>87</v>
      </c>
      <c r="B98" s="308"/>
      <c r="C98" s="309"/>
      <c r="D98" s="309"/>
      <c r="E98" s="309"/>
      <c r="F98" s="309"/>
      <c r="G98" s="309"/>
      <c r="H98" s="309"/>
      <c r="I98" s="309"/>
      <c r="J98" s="309"/>
      <c r="K98" s="309"/>
      <c r="L98" s="309"/>
      <c r="M98" s="309"/>
      <c r="N98" s="310"/>
      <c r="P98" s="195">
        <v>87</v>
      </c>
      <c r="Q98" s="308"/>
      <c r="R98" s="309"/>
      <c r="S98" s="309"/>
      <c r="T98" s="309"/>
      <c r="U98" s="309"/>
      <c r="V98" s="309"/>
      <c r="W98" s="309"/>
      <c r="X98" s="309"/>
      <c r="Y98" s="309"/>
      <c r="Z98" s="309"/>
      <c r="AA98" s="309"/>
      <c r="AB98" s="309"/>
      <c r="AC98" s="310"/>
      <c r="AE98" s="195">
        <v>87</v>
      </c>
      <c r="AF98" s="308"/>
      <c r="AG98" s="309"/>
      <c r="AH98" s="309"/>
      <c r="AI98" s="309"/>
      <c r="AJ98" s="309"/>
      <c r="AK98" s="309"/>
      <c r="AL98" s="309"/>
      <c r="AM98" s="309"/>
      <c r="AN98" s="309"/>
      <c r="AO98" s="309"/>
      <c r="AP98" s="309"/>
      <c r="AQ98" s="309"/>
      <c r="AR98" s="310"/>
      <c r="AT98" s="195">
        <v>87</v>
      </c>
      <c r="AU98" s="308"/>
      <c r="AV98" s="309"/>
      <c r="AW98" s="309"/>
      <c r="AX98" s="309"/>
      <c r="AY98" s="309"/>
      <c r="AZ98" s="309"/>
      <c r="BA98" s="309"/>
      <c r="BB98" s="309"/>
      <c r="BC98" s="309"/>
      <c r="BD98" s="309"/>
      <c r="BE98" s="309"/>
      <c r="BF98" s="309"/>
      <c r="BG98" s="310"/>
    </row>
    <row r="99" spans="1:59">
      <c r="A99" s="195">
        <v>88</v>
      </c>
      <c r="B99" s="308"/>
      <c r="C99" s="309"/>
      <c r="D99" s="309"/>
      <c r="E99" s="309"/>
      <c r="F99" s="309"/>
      <c r="G99" s="309"/>
      <c r="H99" s="309"/>
      <c r="I99" s="309"/>
      <c r="J99" s="309"/>
      <c r="K99" s="309"/>
      <c r="L99" s="309"/>
      <c r="M99" s="309"/>
      <c r="N99" s="310"/>
      <c r="P99" s="195">
        <v>88</v>
      </c>
      <c r="Q99" s="308"/>
      <c r="R99" s="309"/>
      <c r="S99" s="309"/>
      <c r="T99" s="309"/>
      <c r="U99" s="309"/>
      <c r="V99" s="309"/>
      <c r="W99" s="309"/>
      <c r="X99" s="309"/>
      <c r="Y99" s="309"/>
      <c r="Z99" s="309"/>
      <c r="AA99" s="309"/>
      <c r="AB99" s="309"/>
      <c r="AC99" s="310"/>
      <c r="AE99" s="195">
        <v>88</v>
      </c>
      <c r="AF99" s="308"/>
      <c r="AG99" s="309"/>
      <c r="AH99" s="309"/>
      <c r="AI99" s="309"/>
      <c r="AJ99" s="309"/>
      <c r="AK99" s="309"/>
      <c r="AL99" s="309"/>
      <c r="AM99" s="309"/>
      <c r="AN99" s="309"/>
      <c r="AO99" s="309"/>
      <c r="AP99" s="309"/>
      <c r="AQ99" s="309"/>
      <c r="AR99" s="310"/>
      <c r="AT99" s="195">
        <v>88</v>
      </c>
      <c r="AU99" s="308"/>
      <c r="AV99" s="309"/>
      <c r="AW99" s="309"/>
      <c r="AX99" s="309"/>
      <c r="AY99" s="309"/>
      <c r="AZ99" s="309"/>
      <c r="BA99" s="309"/>
      <c r="BB99" s="309"/>
      <c r="BC99" s="309"/>
      <c r="BD99" s="309"/>
      <c r="BE99" s="309"/>
      <c r="BF99" s="309"/>
      <c r="BG99" s="310"/>
    </row>
    <row r="100" spans="1:59">
      <c r="A100" s="195">
        <v>89</v>
      </c>
      <c r="B100" s="308"/>
      <c r="C100" s="309"/>
      <c r="D100" s="309"/>
      <c r="E100" s="309"/>
      <c r="F100" s="309"/>
      <c r="G100" s="309"/>
      <c r="H100" s="309"/>
      <c r="I100" s="309"/>
      <c r="J100" s="309"/>
      <c r="K100" s="309"/>
      <c r="L100" s="309"/>
      <c r="M100" s="309"/>
      <c r="N100" s="310"/>
      <c r="P100" s="195">
        <v>89</v>
      </c>
      <c r="Q100" s="308"/>
      <c r="R100" s="309"/>
      <c r="S100" s="309"/>
      <c r="T100" s="309"/>
      <c r="U100" s="309"/>
      <c r="V100" s="309"/>
      <c r="W100" s="309"/>
      <c r="X100" s="309"/>
      <c r="Y100" s="309"/>
      <c r="Z100" s="309"/>
      <c r="AA100" s="309"/>
      <c r="AB100" s="309"/>
      <c r="AC100" s="310"/>
      <c r="AE100" s="195">
        <v>89</v>
      </c>
      <c r="AF100" s="308"/>
      <c r="AG100" s="309"/>
      <c r="AH100" s="309"/>
      <c r="AI100" s="309"/>
      <c r="AJ100" s="309"/>
      <c r="AK100" s="309"/>
      <c r="AL100" s="309"/>
      <c r="AM100" s="309"/>
      <c r="AN100" s="309"/>
      <c r="AO100" s="309"/>
      <c r="AP100" s="309"/>
      <c r="AQ100" s="309"/>
      <c r="AR100" s="310"/>
      <c r="AT100" s="195">
        <v>89</v>
      </c>
      <c r="AU100" s="308"/>
      <c r="AV100" s="309"/>
      <c r="AW100" s="309"/>
      <c r="AX100" s="309"/>
      <c r="AY100" s="309"/>
      <c r="AZ100" s="309"/>
      <c r="BA100" s="309"/>
      <c r="BB100" s="309"/>
      <c r="BC100" s="309"/>
      <c r="BD100" s="309"/>
      <c r="BE100" s="309"/>
      <c r="BF100" s="309"/>
      <c r="BG100" s="310"/>
    </row>
    <row r="101" spans="1:59">
      <c r="A101" s="195">
        <v>90</v>
      </c>
      <c r="B101" s="308"/>
      <c r="C101" s="309"/>
      <c r="D101" s="309"/>
      <c r="E101" s="309"/>
      <c r="F101" s="309"/>
      <c r="G101" s="309"/>
      <c r="H101" s="309"/>
      <c r="I101" s="309"/>
      <c r="J101" s="309"/>
      <c r="K101" s="309"/>
      <c r="L101" s="309"/>
      <c r="M101" s="309"/>
      <c r="N101" s="310"/>
      <c r="P101" s="195">
        <v>90</v>
      </c>
      <c r="Q101" s="308"/>
      <c r="R101" s="309"/>
      <c r="S101" s="309"/>
      <c r="T101" s="309"/>
      <c r="U101" s="309"/>
      <c r="V101" s="309"/>
      <c r="W101" s="309"/>
      <c r="X101" s="309"/>
      <c r="Y101" s="309"/>
      <c r="Z101" s="309"/>
      <c r="AA101" s="309"/>
      <c r="AB101" s="309"/>
      <c r="AC101" s="310"/>
      <c r="AE101" s="195">
        <v>90</v>
      </c>
      <c r="AF101" s="308"/>
      <c r="AG101" s="309"/>
      <c r="AH101" s="309"/>
      <c r="AI101" s="309"/>
      <c r="AJ101" s="309"/>
      <c r="AK101" s="309"/>
      <c r="AL101" s="309"/>
      <c r="AM101" s="309"/>
      <c r="AN101" s="309"/>
      <c r="AO101" s="309"/>
      <c r="AP101" s="309"/>
      <c r="AQ101" s="309"/>
      <c r="AR101" s="310"/>
      <c r="AT101" s="195">
        <v>90</v>
      </c>
      <c r="AU101" s="308"/>
      <c r="AV101" s="309"/>
      <c r="AW101" s="309"/>
      <c r="AX101" s="309"/>
      <c r="AY101" s="309"/>
      <c r="AZ101" s="309"/>
      <c r="BA101" s="309"/>
      <c r="BB101" s="309"/>
      <c r="BC101" s="309"/>
      <c r="BD101" s="309"/>
      <c r="BE101" s="309"/>
      <c r="BF101" s="309"/>
      <c r="BG101" s="310"/>
    </row>
    <row r="102" spans="1:59">
      <c r="A102" s="195">
        <v>91</v>
      </c>
      <c r="B102" s="308"/>
      <c r="C102" s="309"/>
      <c r="D102" s="309"/>
      <c r="E102" s="309"/>
      <c r="F102" s="309"/>
      <c r="G102" s="309"/>
      <c r="H102" s="309"/>
      <c r="I102" s="309"/>
      <c r="J102" s="309"/>
      <c r="K102" s="309"/>
      <c r="L102" s="309"/>
      <c r="M102" s="309"/>
      <c r="N102" s="310"/>
      <c r="P102" s="195">
        <v>91</v>
      </c>
      <c r="Q102" s="308"/>
      <c r="R102" s="309"/>
      <c r="S102" s="309"/>
      <c r="T102" s="309"/>
      <c r="U102" s="309"/>
      <c r="V102" s="309"/>
      <c r="W102" s="309"/>
      <c r="X102" s="309"/>
      <c r="Y102" s="309"/>
      <c r="Z102" s="309"/>
      <c r="AA102" s="309"/>
      <c r="AB102" s="309"/>
      <c r="AC102" s="310"/>
      <c r="AE102" s="195">
        <v>91</v>
      </c>
      <c r="AF102" s="308"/>
      <c r="AG102" s="309"/>
      <c r="AH102" s="309"/>
      <c r="AI102" s="309"/>
      <c r="AJ102" s="309"/>
      <c r="AK102" s="309"/>
      <c r="AL102" s="309"/>
      <c r="AM102" s="309"/>
      <c r="AN102" s="309"/>
      <c r="AO102" s="309"/>
      <c r="AP102" s="309"/>
      <c r="AQ102" s="309"/>
      <c r="AR102" s="310"/>
      <c r="AT102" s="195">
        <v>91</v>
      </c>
      <c r="AU102" s="308"/>
      <c r="AV102" s="309"/>
      <c r="AW102" s="309"/>
      <c r="AX102" s="309"/>
      <c r="AY102" s="309"/>
      <c r="AZ102" s="309"/>
      <c r="BA102" s="309"/>
      <c r="BB102" s="309"/>
      <c r="BC102" s="309"/>
      <c r="BD102" s="309"/>
      <c r="BE102" s="309"/>
      <c r="BF102" s="309"/>
      <c r="BG102" s="310"/>
    </row>
    <row r="103" spans="1:59">
      <c r="A103" s="195">
        <v>92</v>
      </c>
      <c r="B103" s="308"/>
      <c r="C103" s="309"/>
      <c r="D103" s="309"/>
      <c r="E103" s="309"/>
      <c r="F103" s="309"/>
      <c r="G103" s="309"/>
      <c r="H103" s="309"/>
      <c r="I103" s="309"/>
      <c r="J103" s="309"/>
      <c r="K103" s="309"/>
      <c r="L103" s="309"/>
      <c r="M103" s="309"/>
      <c r="N103" s="310"/>
      <c r="P103" s="195">
        <v>92</v>
      </c>
      <c r="Q103" s="308"/>
      <c r="R103" s="309"/>
      <c r="S103" s="309"/>
      <c r="T103" s="309"/>
      <c r="U103" s="309"/>
      <c r="V103" s="309"/>
      <c r="W103" s="309"/>
      <c r="X103" s="309"/>
      <c r="Y103" s="309"/>
      <c r="Z103" s="309"/>
      <c r="AA103" s="309"/>
      <c r="AB103" s="309"/>
      <c r="AC103" s="310"/>
      <c r="AE103" s="195">
        <v>92</v>
      </c>
      <c r="AF103" s="308"/>
      <c r="AG103" s="309"/>
      <c r="AH103" s="309"/>
      <c r="AI103" s="309"/>
      <c r="AJ103" s="309"/>
      <c r="AK103" s="309"/>
      <c r="AL103" s="309"/>
      <c r="AM103" s="309"/>
      <c r="AN103" s="309"/>
      <c r="AO103" s="309"/>
      <c r="AP103" s="309"/>
      <c r="AQ103" s="309"/>
      <c r="AR103" s="310"/>
      <c r="AT103" s="195">
        <v>92</v>
      </c>
      <c r="AU103" s="308"/>
      <c r="AV103" s="309"/>
      <c r="AW103" s="309"/>
      <c r="AX103" s="309"/>
      <c r="AY103" s="309"/>
      <c r="AZ103" s="309"/>
      <c r="BA103" s="309"/>
      <c r="BB103" s="309"/>
      <c r="BC103" s="309"/>
      <c r="BD103" s="309"/>
      <c r="BE103" s="309"/>
      <c r="BF103" s="309"/>
      <c r="BG103" s="310"/>
    </row>
    <row r="104" spans="1:59">
      <c r="A104" s="195">
        <v>93</v>
      </c>
      <c r="B104" s="308"/>
      <c r="C104" s="309"/>
      <c r="D104" s="309"/>
      <c r="E104" s="309"/>
      <c r="F104" s="309"/>
      <c r="G104" s="309"/>
      <c r="H104" s="309"/>
      <c r="I104" s="309"/>
      <c r="J104" s="309"/>
      <c r="K104" s="309"/>
      <c r="L104" s="309"/>
      <c r="M104" s="309"/>
      <c r="N104" s="310"/>
      <c r="P104" s="195">
        <v>93</v>
      </c>
      <c r="Q104" s="308"/>
      <c r="R104" s="309"/>
      <c r="S104" s="309"/>
      <c r="T104" s="309"/>
      <c r="U104" s="309"/>
      <c r="V104" s="309"/>
      <c r="W104" s="309"/>
      <c r="X104" s="309"/>
      <c r="Y104" s="309"/>
      <c r="Z104" s="309"/>
      <c r="AA104" s="309"/>
      <c r="AB104" s="309"/>
      <c r="AC104" s="310"/>
      <c r="AE104" s="195">
        <v>93</v>
      </c>
      <c r="AF104" s="308"/>
      <c r="AG104" s="309"/>
      <c r="AH104" s="309"/>
      <c r="AI104" s="309"/>
      <c r="AJ104" s="309"/>
      <c r="AK104" s="309"/>
      <c r="AL104" s="309"/>
      <c r="AM104" s="309"/>
      <c r="AN104" s="309"/>
      <c r="AO104" s="309"/>
      <c r="AP104" s="309"/>
      <c r="AQ104" s="309"/>
      <c r="AR104" s="310"/>
      <c r="AT104" s="195">
        <v>93</v>
      </c>
      <c r="AU104" s="308"/>
      <c r="AV104" s="309"/>
      <c r="AW104" s="309"/>
      <c r="AX104" s="309"/>
      <c r="AY104" s="309"/>
      <c r="AZ104" s="309"/>
      <c r="BA104" s="309"/>
      <c r="BB104" s="309"/>
      <c r="BC104" s="309"/>
      <c r="BD104" s="309"/>
      <c r="BE104" s="309"/>
      <c r="BF104" s="309"/>
      <c r="BG104" s="310"/>
    </row>
    <row r="105" spans="1:59">
      <c r="A105" s="195">
        <v>94</v>
      </c>
      <c r="B105" s="308"/>
      <c r="C105" s="309"/>
      <c r="D105" s="309"/>
      <c r="E105" s="309"/>
      <c r="F105" s="309"/>
      <c r="G105" s="309"/>
      <c r="H105" s="309"/>
      <c r="I105" s="309"/>
      <c r="J105" s="309"/>
      <c r="K105" s="309"/>
      <c r="L105" s="309"/>
      <c r="M105" s="309"/>
      <c r="N105" s="310"/>
      <c r="P105" s="195">
        <v>94</v>
      </c>
      <c r="Q105" s="308"/>
      <c r="R105" s="309"/>
      <c r="S105" s="309"/>
      <c r="T105" s="309"/>
      <c r="U105" s="309"/>
      <c r="V105" s="309"/>
      <c r="W105" s="309"/>
      <c r="X105" s="309"/>
      <c r="Y105" s="309"/>
      <c r="Z105" s="309"/>
      <c r="AA105" s="309"/>
      <c r="AB105" s="309"/>
      <c r="AC105" s="310"/>
      <c r="AE105" s="195">
        <v>94</v>
      </c>
      <c r="AF105" s="308"/>
      <c r="AG105" s="309"/>
      <c r="AH105" s="309"/>
      <c r="AI105" s="309"/>
      <c r="AJ105" s="309"/>
      <c r="AK105" s="309"/>
      <c r="AL105" s="309"/>
      <c r="AM105" s="309"/>
      <c r="AN105" s="309"/>
      <c r="AO105" s="309"/>
      <c r="AP105" s="309"/>
      <c r="AQ105" s="309"/>
      <c r="AR105" s="310"/>
      <c r="AT105" s="195">
        <v>94</v>
      </c>
      <c r="AU105" s="308"/>
      <c r="AV105" s="309"/>
      <c r="AW105" s="309"/>
      <c r="AX105" s="309"/>
      <c r="AY105" s="309"/>
      <c r="AZ105" s="309"/>
      <c r="BA105" s="309"/>
      <c r="BB105" s="309"/>
      <c r="BC105" s="309"/>
      <c r="BD105" s="309"/>
      <c r="BE105" s="309"/>
      <c r="BF105" s="309"/>
      <c r="BG105" s="310"/>
    </row>
    <row r="106" spans="1:59">
      <c r="A106" s="195">
        <v>95</v>
      </c>
      <c r="B106" s="308"/>
      <c r="C106" s="309"/>
      <c r="D106" s="309"/>
      <c r="E106" s="309"/>
      <c r="F106" s="309"/>
      <c r="G106" s="309"/>
      <c r="H106" s="309"/>
      <c r="I106" s="309"/>
      <c r="J106" s="309"/>
      <c r="K106" s="309"/>
      <c r="L106" s="309"/>
      <c r="M106" s="309"/>
      <c r="N106" s="310"/>
      <c r="P106" s="195">
        <v>95</v>
      </c>
      <c r="Q106" s="308"/>
      <c r="R106" s="309"/>
      <c r="S106" s="309"/>
      <c r="T106" s="309"/>
      <c r="U106" s="309"/>
      <c r="V106" s="309"/>
      <c r="W106" s="309"/>
      <c r="X106" s="309"/>
      <c r="Y106" s="309"/>
      <c r="Z106" s="309"/>
      <c r="AA106" s="309"/>
      <c r="AB106" s="309"/>
      <c r="AC106" s="310"/>
      <c r="AE106" s="195">
        <v>95</v>
      </c>
      <c r="AF106" s="308"/>
      <c r="AG106" s="309"/>
      <c r="AH106" s="309"/>
      <c r="AI106" s="309"/>
      <c r="AJ106" s="309"/>
      <c r="AK106" s="309"/>
      <c r="AL106" s="309"/>
      <c r="AM106" s="309"/>
      <c r="AN106" s="309"/>
      <c r="AO106" s="309"/>
      <c r="AP106" s="309"/>
      <c r="AQ106" s="309"/>
      <c r="AR106" s="310"/>
      <c r="AT106" s="195">
        <v>95</v>
      </c>
      <c r="AU106" s="308"/>
      <c r="AV106" s="309"/>
      <c r="AW106" s="309"/>
      <c r="AX106" s="309"/>
      <c r="AY106" s="309"/>
      <c r="AZ106" s="309"/>
      <c r="BA106" s="309"/>
      <c r="BB106" s="309"/>
      <c r="BC106" s="309"/>
      <c r="BD106" s="309"/>
      <c r="BE106" s="309"/>
      <c r="BF106" s="309"/>
      <c r="BG106" s="310"/>
    </row>
    <row r="107" spans="1:59">
      <c r="A107" s="195">
        <v>96</v>
      </c>
      <c r="B107" s="308"/>
      <c r="C107" s="309"/>
      <c r="D107" s="309"/>
      <c r="E107" s="309"/>
      <c r="F107" s="309"/>
      <c r="G107" s="309"/>
      <c r="H107" s="309"/>
      <c r="I107" s="309"/>
      <c r="J107" s="309"/>
      <c r="K107" s="309"/>
      <c r="L107" s="309"/>
      <c r="M107" s="309"/>
      <c r="N107" s="310"/>
      <c r="P107" s="195">
        <v>96</v>
      </c>
      <c r="Q107" s="308"/>
      <c r="R107" s="309"/>
      <c r="S107" s="309"/>
      <c r="T107" s="309"/>
      <c r="U107" s="309"/>
      <c r="V107" s="309"/>
      <c r="W107" s="309"/>
      <c r="X107" s="309"/>
      <c r="Y107" s="309"/>
      <c r="Z107" s="309"/>
      <c r="AA107" s="309"/>
      <c r="AB107" s="309"/>
      <c r="AC107" s="310"/>
      <c r="AE107" s="195">
        <v>96</v>
      </c>
      <c r="AF107" s="308"/>
      <c r="AG107" s="309"/>
      <c r="AH107" s="309"/>
      <c r="AI107" s="309"/>
      <c r="AJ107" s="309"/>
      <c r="AK107" s="309"/>
      <c r="AL107" s="309"/>
      <c r="AM107" s="309"/>
      <c r="AN107" s="309"/>
      <c r="AO107" s="309"/>
      <c r="AP107" s="309"/>
      <c r="AQ107" s="309"/>
      <c r="AR107" s="310"/>
      <c r="AT107" s="195">
        <v>96</v>
      </c>
      <c r="AU107" s="308"/>
      <c r="AV107" s="309"/>
      <c r="AW107" s="309"/>
      <c r="AX107" s="309"/>
      <c r="AY107" s="309"/>
      <c r="AZ107" s="309"/>
      <c r="BA107" s="309"/>
      <c r="BB107" s="309"/>
      <c r="BC107" s="309"/>
      <c r="BD107" s="309"/>
      <c r="BE107" s="309"/>
      <c r="BF107" s="309"/>
      <c r="BG107" s="310"/>
    </row>
    <row r="108" spans="1:59">
      <c r="A108" s="195">
        <v>97</v>
      </c>
      <c r="B108" s="308"/>
      <c r="C108" s="309"/>
      <c r="D108" s="309"/>
      <c r="E108" s="309"/>
      <c r="F108" s="309"/>
      <c r="G108" s="309"/>
      <c r="H108" s="309"/>
      <c r="I108" s="309"/>
      <c r="J108" s="309"/>
      <c r="K108" s="309"/>
      <c r="L108" s="309"/>
      <c r="M108" s="309"/>
      <c r="N108" s="310"/>
      <c r="P108" s="195">
        <v>97</v>
      </c>
      <c r="Q108" s="308"/>
      <c r="R108" s="309"/>
      <c r="S108" s="309"/>
      <c r="T108" s="309"/>
      <c r="U108" s="309"/>
      <c r="V108" s="309"/>
      <c r="W108" s="309"/>
      <c r="X108" s="309"/>
      <c r="Y108" s="309"/>
      <c r="Z108" s="309"/>
      <c r="AA108" s="309"/>
      <c r="AB108" s="309"/>
      <c r="AC108" s="310"/>
      <c r="AE108" s="195">
        <v>97</v>
      </c>
      <c r="AF108" s="308"/>
      <c r="AG108" s="309"/>
      <c r="AH108" s="309"/>
      <c r="AI108" s="309"/>
      <c r="AJ108" s="309"/>
      <c r="AK108" s="309"/>
      <c r="AL108" s="309"/>
      <c r="AM108" s="309"/>
      <c r="AN108" s="309"/>
      <c r="AO108" s="309"/>
      <c r="AP108" s="309"/>
      <c r="AQ108" s="309"/>
      <c r="AR108" s="310"/>
      <c r="AT108" s="195">
        <v>97</v>
      </c>
      <c r="AU108" s="308"/>
      <c r="AV108" s="309"/>
      <c r="AW108" s="309"/>
      <c r="AX108" s="309"/>
      <c r="AY108" s="309"/>
      <c r="AZ108" s="309"/>
      <c r="BA108" s="309"/>
      <c r="BB108" s="309"/>
      <c r="BC108" s="309"/>
      <c r="BD108" s="309"/>
      <c r="BE108" s="309"/>
      <c r="BF108" s="309"/>
      <c r="BG108" s="310"/>
    </row>
    <row r="109" spans="1:59">
      <c r="A109" s="195">
        <v>98</v>
      </c>
      <c r="B109" s="308"/>
      <c r="C109" s="309"/>
      <c r="D109" s="309"/>
      <c r="E109" s="309"/>
      <c r="F109" s="309"/>
      <c r="G109" s="309"/>
      <c r="H109" s="309"/>
      <c r="I109" s="309"/>
      <c r="J109" s="309"/>
      <c r="K109" s="309"/>
      <c r="L109" s="309"/>
      <c r="M109" s="309"/>
      <c r="N109" s="310"/>
      <c r="P109" s="195">
        <v>98</v>
      </c>
      <c r="Q109" s="308"/>
      <c r="R109" s="309"/>
      <c r="S109" s="309"/>
      <c r="T109" s="309"/>
      <c r="U109" s="309"/>
      <c r="V109" s="309"/>
      <c r="W109" s="309"/>
      <c r="X109" s="309"/>
      <c r="Y109" s="309"/>
      <c r="Z109" s="309"/>
      <c r="AA109" s="309"/>
      <c r="AB109" s="309"/>
      <c r="AC109" s="310"/>
      <c r="AE109" s="195">
        <v>98</v>
      </c>
      <c r="AF109" s="308"/>
      <c r="AG109" s="309"/>
      <c r="AH109" s="309"/>
      <c r="AI109" s="309"/>
      <c r="AJ109" s="309"/>
      <c r="AK109" s="309"/>
      <c r="AL109" s="309"/>
      <c r="AM109" s="309"/>
      <c r="AN109" s="309"/>
      <c r="AO109" s="309"/>
      <c r="AP109" s="309"/>
      <c r="AQ109" s="309"/>
      <c r="AR109" s="310"/>
      <c r="AT109" s="195">
        <v>98</v>
      </c>
      <c r="AU109" s="308"/>
      <c r="AV109" s="309"/>
      <c r="AW109" s="309"/>
      <c r="AX109" s="309"/>
      <c r="AY109" s="309"/>
      <c r="AZ109" s="309"/>
      <c r="BA109" s="309"/>
      <c r="BB109" s="309"/>
      <c r="BC109" s="309"/>
      <c r="BD109" s="309"/>
      <c r="BE109" s="309"/>
      <c r="BF109" s="309"/>
      <c r="BG109" s="310"/>
    </row>
    <row r="110" spans="1:59">
      <c r="A110" s="195">
        <v>99</v>
      </c>
      <c r="B110" s="308"/>
      <c r="C110" s="309"/>
      <c r="D110" s="309"/>
      <c r="E110" s="309"/>
      <c r="F110" s="309"/>
      <c r="G110" s="309"/>
      <c r="H110" s="309"/>
      <c r="I110" s="309"/>
      <c r="J110" s="309"/>
      <c r="K110" s="309"/>
      <c r="L110" s="309"/>
      <c r="M110" s="309"/>
      <c r="N110" s="310"/>
      <c r="P110" s="195">
        <v>99</v>
      </c>
      <c r="Q110" s="308"/>
      <c r="R110" s="309"/>
      <c r="S110" s="309"/>
      <c r="T110" s="309"/>
      <c r="U110" s="309"/>
      <c r="V110" s="309"/>
      <c r="W110" s="309"/>
      <c r="X110" s="309"/>
      <c r="Y110" s="309"/>
      <c r="Z110" s="309"/>
      <c r="AA110" s="309"/>
      <c r="AB110" s="309"/>
      <c r="AC110" s="310"/>
      <c r="AE110" s="195">
        <v>99</v>
      </c>
      <c r="AF110" s="308"/>
      <c r="AG110" s="309"/>
      <c r="AH110" s="309"/>
      <c r="AI110" s="309"/>
      <c r="AJ110" s="309"/>
      <c r="AK110" s="309"/>
      <c r="AL110" s="309"/>
      <c r="AM110" s="309"/>
      <c r="AN110" s="309"/>
      <c r="AO110" s="309"/>
      <c r="AP110" s="309"/>
      <c r="AQ110" s="309"/>
      <c r="AR110" s="310"/>
      <c r="AT110" s="195">
        <v>99</v>
      </c>
      <c r="AU110" s="308"/>
      <c r="AV110" s="309"/>
      <c r="AW110" s="309"/>
      <c r="AX110" s="309"/>
      <c r="AY110" s="309"/>
      <c r="AZ110" s="309"/>
      <c r="BA110" s="309"/>
      <c r="BB110" s="309"/>
      <c r="BC110" s="309"/>
      <c r="BD110" s="309"/>
      <c r="BE110" s="309"/>
      <c r="BF110" s="309"/>
      <c r="BG110" s="310"/>
    </row>
    <row r="111" spans="1:59">
      <c r="A111" s="196">
        <v>100</v>
      </c>
      <c r="B111" s="311"/>
      <c r="C111" s="312"/>
      <c r="D111" s="312"/>
      <c r="E111" s="312"/>
      <c r="F111" s="312"/>
      <c r="G111" s="312"/>
      <c r="H111" s="312"/>
      <c r="I111" s="312"/>
      <c r="J111" s="312"/>
      <c r="K111" s="312"/>
      <c r="L111" s="312"/>
      <c r="M111" s="312"/>
      <c r="N111" s="313"/>
      <c r="P111" s="196">
        <v>100</v>
      </c>
      <c r="Q111" s="311"/>
      <c r="R111" s="312"/>
      <c r="S111" s="312"/>
      <c r="T111" s="312"/>
      <c r="U111" s="312"/>
      <c r="V111" s="312"/>
      <c r="W111" s="312"/>
      <c r="X111" s="312"/>
      <c r="Y111" s="312"/>
      <c r="Z111" s="312"/>
      <c r="AA111" s="312"/>
      <c r="AB111" s="312"/>
      <c r="AC111" s="313"/>
      <c r="AE111" s="196">
        <v>100</v>
      </c>
      <c r="AF111" s="311"/>
      <c r="AG111" s="312"/>
      <c r="AH111" s="312"/>
      <c r="AI111" s="312"/>
      <c r="AJ111" s="312"/>
      <c r="AK111" s="312"/>
      <c r="AL111" s="312"/>
      <c r="AM111" s="312"/>
      <c r="AN111" s="312"/>
      <c r="AO111" s="312"/>
      <c r="AP111" s="312"/>
      <c r="AQ111" s="312"/>
      <c r="AR111" s="313"/>
      <c r="AT111" s="196">
        <v>100</v>
      </c>
      <c r="AU111" s="311"/>
      <c r="AV111" s="312"/>
      <c r="AW111" s="312"/>
      <c r="AX111" s="312"/>
      <c r="AY111" s="312"/>
      <c r="AZ111" s="312"/>
      <c r="BA111" s="312"/>
      <c r="BB111" s="312"/>
      <c r="BC111" s="312"/>
      <c r="BD111" s="312"/>
      <c r="BE111" s="312"/>
      <c r="BF111" s="312"/>
      <c r="BG111" s="313"/>
    </row>
    <row r="112" spans="1:59" ht="13.5"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1:BH2 A7:BH113 A5:G6 K5:BH6 A4:BH4 A3:G3 K3:BH3">
    <cfRule type="expression" dxfId="11" priority="1" stopIfTrue="1">
      <formula>CELL("Protect",A1)=1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G112"/>
  <sheetViews>
    <sheetView workbookViewId="0">
      <selection activeCell="A10" sqref="A10:AT10"/>
    </sheetView>
  </sheetViews>
  <sheetFormatPr defaultColWidth="8.7109375"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59" ht="18">
      <c r="A1" s="33" t="s">
        <v>115</v>
      </c>
      <c r="B1" s="6"/>
      <c r="C1" s="4"/>
      <c r="D1" s="6"/>
      <c r="E1" s="6"/>
      <c r="F1" s="6"/>
      <c r="G1" s="6"/>
      <c r="H1" s="6"/>
      <c r="I1" s="6"/>
      <c r="J1" s="177"/>
      <c r="K1" s="177"/>
    </row>
    <row r="2" spans="1:59" ht="16.5" thickBot="1">
      <c r="A2" s="260" t="s">
        <v>114</v>
      </c>
      <c r="B2" s="6"/>
      <c r="C2" s="11"/>
      <c r="D2" s="6"/>
      <c r="E2" s="6"/>
      <c r="F2" s="6"/>
      <c r="G2" s="6"/>
      <c r="H2" s="6"/>
      <c r="I2" s="6"/>
      <c r="J2" s="177"/>
      <c r="K2" s="177"/>
    </row>
    <row r="3" spans="1:59" ht="16.5" thickBot="1">
      <c r="A3" s="258" t="s">
        <v>106</v>
      </c>
      <c r="B3" s="377" t="str">
        <f>'START HERE'!F6</f>
        <v>Chile</v>
      </c>
      <c r="C3" s="388"/>
      <c r="D3" s="378"/>
      <c r="E3" s="177"/>
      <c r="F3" s="30" t="s">
        <v>39</v>
      </c>
      <c r="G3" s="374" t="str">
        <f>'LEN F4'!F3</f>
        <v>Fleet 4 Offshore</v>
      </c>
      <c r="H3" s="375"/>
      <c r="I3" s="375"/>
      <c r="J3" s="376"/>
      <c r="K3" s="177"/>
    </row>
    <row r="4" spans="1:59" ht="15.75">
      <c r="A4" s="12" t="s">
        <v>19</v>
      </c>
      <c r="B4" s="377" t="str">
        <f>'START HERE'!F5</f>
        <v>Jack mackerel</v>
      </c>
      <c r="C4" s="388"/>
      <c r="D4" s="378"/>
      <c r="E4" s="177"/>
      <c r="F4" s="13"/>
      <c r="G4" s="314"/>
      <c r="H4" s="315"/>
      <c r="I4" s="316"/>
      <c r="J4" s="317"/>
      <c r="K4" s="177"/>
    </row>
    <row r="5" spans="1:59" ht="18">
      <c r="A5" s="12" t="s">
        <v>13</v>
      </c>
      <c r="B5" s="389">
        <f>'START HERE'!K3</f>
        <v>2019</v>
      </c>
      <c r="C5" s="390"/>
      <c r="D5" s="391"/>
      <c r="E5" s="177"/>
      <c r="F5" s="34" t="s">
        <v>40</v>
      </c>
      <c r="G5" s="379" t="s">
        <v>116</v>
      </c>
      <c r="H5" s="380"/>
      <c r="I5" s="380"/>
      <c r="J5" s="381"/>
      <c r="K5" s="177"/>
    </row>
    <row r="6" spans="1:59" ht="16.5" thickBot="1">
      <c r="A6" s="12"/>
      <c r="B6" s="71"/>
      <c r="C6" s="72"/>
      <c r="D6" s="6"/>
      <c r="F6" s="34" t="s">
        <v>14</v>
      </c>
      <c r="G6" s="382">
        <f>'START HERE'!$F8</f>
        <v>42615</v>
      </c>
      <c r="H6" s="383"/>
      <c r="I6" s="383"/>
      <c r="J6" s="384"/>
      <c r="K6" s="177"/>
    </row>
    <row r="7" spans="1:59">
      <c r="A7" s="6"/>
      <c r="B7" s="6"/>
      <c r="C7" s="6"/>
      <c r="D7" s="6"/>
      <c r="E7" s="6"/>
      <c r="F7" s="6"/>
      <c r="G7" s="6"/>
      <c r="H7" s="6"/>
      <c r="I7" s="6"/>
      <c r="J7" s="177"/>
      <c r="K7" s="177"/>
    </row>
    <row r="8" spans="1:59" ht="13.5" thickBot="1">
      <c r="A8" s="6"/>
      <c r="B8" s="6"/>
      <c r="C8" s="6"/>
      <c r="D8" s="6"/>
      <c r="E8" s="6"/>
      <c r="F8" s="6"/>
      <c r="G8" s="6"/>
      <c r="H8" s="6"/>
      <c r="I8" s="6"/>
      <c r="J8" s="177"/>
      <c r="K8" s="177"/>
    </row>
    <row r="9" spans="1:59" ht="15.75">
      <c r="A9" s="191"/>
      <c r="B9" s="392" t="s">
        <v>53</v>
      </c>
      <c r="C9" s="392"/>
      <c r="D9" s="392"/>
      <c r="E9" s="392"/>
      <c r="F9" s="392"/>
      <c r="G9" s="392"/>
      <c r="H9" s="392"/>
      <c r="I9" s="392"/>
      <c r="J9" s="392"/>
      <c r="K9" s="392"/>
      <c r="L9" s="392"/>
      <c r="M9" s="392"/>
      <c r="N9" s="393"/>
      <c r="P9" s="191"/>
      <c r="Q9" s="392" t="s">
        <v>31</v>
      </c>
      <c r="R9" s="392"/>
      <c r="S9" s="392"/>
      <c r="T9" s="392"/>
      <c r="U9" s="392"/>
      <c r="V9" s="392"/>
      <c r="W9" s="392"/>
      <c r="X9" s="392"/>
      <c r="Y9" s="392"/>
      <c r="Z9" s="392"/>
      <c r="AA9" s="392"/>
      <c r="AB9" s="392"/>
      <c r="AC9" s="393"/>
      <c r="AE9" s="191"/>
      <c r="AF9" s="392" t="s">
        <v>32</v>
      </c>
      <c r="AG9" s="392"/>
      <c r="AH9" s="392"/>
      <c r="AI9" s="392"/>
      <c r="AJ9" s="392"/>
      <c r="AK9" s="392"/>
      <c r="AL9" s="392"/>
      <c r="AM9" s="392"/>
      <c r="AN9" s="392"/>
      <c r="AO9" s="392"/>
      <c r="AP9" s="392"/>
      <c r="AQ9" s="392"/>
      <c r="AR9" s="393"/>
      <c r="AT9" s="191"/>
      <c r="AU9" s="392" t="s">
        <v>33</v>
      </c>
      <c r="AV9" s="392"/>
      <c r="AW9" s="392"/>
      <c r="AX9" s="392"/>
      <c r="AY9" s="392"/>
      <c r="AZ9" s="392"/>
      <c r="BA9" s="392"/>
      <c r="BB9" s="392"/>
      <c r="BC9" s="392"/>
      <c r="BD9" s="392"/>
      <c r="BE9" s="392"/>
      <c r="BF9" s="392"/>
      <c r="BG9" s="393"/>
    </row>
    <row r="10" spans="1:59">
      <c r="A10" s="192" t="str">
        <f>'START HERE'!$F$13</f>
        <v>fork length</v>
      </c>
      <c r="B10" s="385" t="s">
        <v>79</v>
      </c>
      <c r="C10" s="386"/>
      <c r="D10" s="386"/>
      <c r="E10" s="386"/>
      <c r="F10" s="386"/>
      <c r="G10" s="386"/>
      <c r="H10" s="386"/>
      <c r="I10" s="386"/>
      <c r="J10" s="386"/>
      <c r="K10" s="386"/>
      <c r="L10" s="386"/>
      <c r="M10" s="386"/>
      <c r="N10" s="387"/>
      <c r="P10" s="192" t="str">
        <f>A10</f>
        <v>fork length</v>
      </c>
      <c r="Q10" s="385" t="s">
        <v>79</v>
      </c>
      <c r="R10" s="386"/>
      <c r="S10" s="386"/>
      <c r="T10" s="386"/>
      <c r="U10" s="386"/>
      <c r="V10" s="386"/>
      <c r="W10" s="386"/>
      <c r="X10" s="386"/>
      <c r="Y10" s="386"/>
      <c r="Z10" s="386"/>
      <c r="AA10" s="386"/>
      <c r="AB10" s="386"/>
      <c r="AC10" s="387"/>
      <c r="AE10" s="192" t="str">
        <f>A10</f>
        <v>fork length</v>
      </c>
      <c r="AF10" s="385" t="s">
        <v>79</v>
      </c>
      <c r="AG10" s="386"/>
      <c r="AH10" s="386"/>
      <c r="AI10" s="386"/>
      <c r="AJ10" s="386"/>
      <c r="AK10" s="386"/>
      <c r="AL10" s="386"/>
      <c r="AM10" s="386"/>
      <c r="AN10" s="386"/>
      <c r="AO10" s="386"/>
      <c r="AP10" s="386"/>
      <c r="AQ10" s="386"/>
      <c r="AR10" s="387"/>
      <c r="AT10" s="192" t="str">
        <f>A10</f>
        <v>fork length</v>
      </c>
      <c r="AU10" s="385" t="s">
        <v>79</v>
      </c>
      <c r="AV10" s="386"/>
      <c r="AW10" s="386"/>
      <c r="AX10" s="386"/>
      <c r="AY10" s="386"/>
      <c r="AZ10" s="386"/>
      <c r="BA10" s="386"/>
      <c r="BB10" s="386"/>
      <c r="BC10" s="386"/>
      <c r="BD10" s="386"/>
      <c r="BE10" s="386"/>
      <c r="BF10" s="386"/>
      <c r="BG10" s="387"/>
    </row>
    <row r="11" spans="1:59">
      <c r="A11" s="193" t="s">
        <v>43</v>
      </c>
      <c r="B11" s="189">
        <v>0</v>
      </c>
      <c r="C11" s="190">
        <v>1</v>
      </c>
      <c r="D11" s="190">
        <v>2</v>
      </c>
      <c r="E11" s="190">
        <v>3</v>
      </c>
      <c r="F11" s="190">
        <v>4</v>
      </c>
      <c r="G11" s="190">
        <v>5</v>
      </c>
      <c r="H11" s="190">
        <v>6</v>
      </c>
      <c r="I11" s="190">
        <v>7</v>
      </c>
      <c r="J11" s="190">
        <v>8</v>
      </c>
      <c r="K11" s="190">
        <v>9</v>
      </c>
      <c r="L11" s="190">
        <v>10</v>
      </c>
      <c r="M11" s="190">
        <v>11</v>
      </c>
      <c r="N11" s="194">
        <v>12</v>
      </c>
      <c r="P11" s="193" t="s">
        <v>43</v>
      </c>
      <c r="Q11" s="189">
        <v>0</v>
      </c>
      <c r="R11" s="190">
        <v>1</v>
      </c>
      <c r="S11" s="190">
        <v>2</v>
      </c>
      <c r="T11" s="190">
        <v>3</v>
      </c>
      <c r="U11" s="190">
        <v>4</v>
      </c>
      <c r="V11" s="190">
        <v>5</v>
      </c>
      <c r="W11" s="190">
        <v>6</v>
      </c>
      <c r="X11" s="190">
        <v>7</v>
      </c>
      <c r="Y11" s="190">
        <v>8</v>
      </c>
      <c r="Z11" s="190">
        <v>9</v>
      </c>
      <c r="AA11" s="190">
        <v>10</v>
      </c>
      <c r="AB11" s="190">
        <v>11</v>
      </c>
      <c r="AC11" s="194">
        <v>12</v>
      </c>
      <c r="AE11" s="193" t="s">
        <v>43</v>
      </c>
      <c r="AF11" s="189">
        <v>0</v>
      </c>
      <c r="AG11" s="190">
        <v>1</v>
      </c>
      <c r="AH11" s="190">
        <v>2</v>
      </c>
      <c r="AI11" s="190">
        <v>3</v>
      </c>
      <c r="AJ11" s="190">
        <v>4</v>
      </c>
      <c r="AK11" s="190">
        <v>5</v>
      </c>
      <c r="AL11" s="190">
        <v>6</v>
      </c>
      <c r="AM11" s="190">
        <v>7</v>
      </c>
      <c r="AN11" s="190">
        <v>8</v>
      </c>
      <c r="AO11" s="190">
        <v>9</v>
      </c>
      <c r="AP11" s="190">
        <v>10</v>
      </c>
      <c r="AQ11" s="190">
        <v>11</v>
      </c>
      <c r="AR11" s="194">
        <v>12</v>
      </c>
      <c r="AT11" s="193" t="s">
        <v>43</v>
      </c>
      <c r="AU11" s="189">
        <v>0</v>
      </c>
      <c r="AV11" s="190">
        <v>1</v>
      </c>
      <c r="AW11" s="190">
        <v>2</v>
      </c>
      <c r="AX11" s="190">
        <v>3</v>
      </c>
      <c r="AY11" s="190">
        <v>4</v>
      </c>
      <c r="AZ11" s="190">
        <v>5</v>
      </c>
      <c r="BA11" s="190">
        <v>6</v>
      </c>
      <c r="BB11" s="190">
        <v>7</v>
      </c>
      <c r="BC11" s="190">
        <v>8</v>
      </c>
      <c r="BD11" s="190">
        <v>9</v>
      </c>
      <c r="BE11" s="190">
        <v>10</v>
      </c>
      <c r="BF11" s="190">
        <v>11</v>
      </c>
      <c r="BG11" s="194">
        <v>12</v>
      </c>
    </row>
    <row r="12" spans="1:59">
      <c r="A12" s="195">
        <v>1</v>
      </c>
      <c r="B12" s="305"/>
      <c r="C12" s="306"/>
      <c r="D12" s="306"/>
      <c r="E12" s="306"/>
      <c r="F12" s="306"/>
      <c r="G12" s="306"/>
      <c r="H12" s="306"/>
      <c r="I12" s="306"/>
      <c r="J12" s="306"/>
      <c r="K12" s="306"/>
      <c r="L12" s="306"/>
      <c r="M12" s="306"/>
      <c r="N12" s="307"/>
      <c r="P12" s="195">
        <v>1</v>
      </c>
      <c r="Q12" s="305"/>
      <c r="R12" s="306"/>
      <c r="S12" s="306"/>
      <c r="T12" s="306"/>
      <c r="U12" s="306"/>
      <c r="V12" s="306"/>
      <c r="W12" s="306"/>
      <c r="X12" s="306"/>
      <c r="Y12" s="306"/>
      <c r="Z12" s="306"/>
      <c r="AA12" s="306"/>
      <c r="AB12" s="306"/>
      <c r="AC12" s="307"/>
      <c r="AE12" s="195">
        <v>1</v>
      </c>
      <c r="AF12" s="305"/>
      <c r="AG12" s="306"/>
      <c r="AH12" s="306"/>
      <c r="AI12" s="306"/>
      <c r="AJ12" s="306"/>
      <c r="AK12" s="306"/>
      <c r="AL12" s="306"/>
      <c r="AM12" s="306"/>
      <c r="AN12" s="306"/>
      <c r="AO12" s="306"/>
      <c r="AP12" s="306"/>
      <c r="AQ12" s="306"/>
      <c r="AR12" s="307"/>
      <c r="AT12" s="195">
        <v>1</v>
      </c>
      <c r="AU12" s="305"/>
      <c r="AV12" s="306"/>
      <c r="AW12" s="306"/>
      <c r="AX12" s="306"/>
      <c r="AY12" s="306"/>
      <c r="AZ12" s="306"/>
      <c r="BA12" s="306"/>
      <c r="BB12" s="306"/>
      <c r="BC12" s="306"/>
      <c r="BD12" s="306"/>
      <c r="BE12" s="306"/>
      <c r="BF12" s="306"/>
      <c r="BG12" s="307"/>
    </row>
    <row r="13" spans="1:59">
      <c r="A13" s="195">
        <v>2</v>
      </c>
      <c r="B13" s="308"/>
      <c r="C13" s="309"/>
      <c r="D13" s="309"/>
      <c r="E13" s="309"/>
      <c r="F13" s="309"/>
      <c r="G13" s="309"/>
      <c r="H13" s="309"/>
      <c r="I13" s="309"/>
      <c r="J13" s="309"/>
      <c r="K13" s="309"/>
      <c r="L13" s="309"/>
      <c r="M13" s="309"/>
      <c r="N13" s="310"/>
      <c r="P13" s="195">
        <v>2</v>
      </c>
      <c r="Q13" s="308"/>
      <c r="R13" s="309"/>
      <c r="S13" s="309"/>
      <c r="T13" s="309"/>
      <c r="U13" s="309"/>
      <c r="V13" s="309"/>
      <c r="W13" s="309"/>
      <c r="X13" s="309"/>
      <c r="Y13" s="309"/>
      <c r="Z13" s="309"/>
      <c r="AA13" s="309"/>
      <c r="AB13" s="309"/>
      <c r="AC13" s="310"/>
      <c r="AE13" s="195">
        <v>2</v>
      </c>
      <c r="AF13" s="308"/>
      <c r="AG13" s="309"/>
      <c r="AH13" s="309"/>
      <c r="AI13" s="309"/>
      <c r="AJ13" s="309"/>
      <c r="AK13" s="309"/>
      <c r="AL13" s="309"/>
      <c r="AM13" s="309"/>
      <c r="AN13" s="309"/>
      <c r="AO13" s="309"/>
      <c r="AP13" s="309"/>
      <c r="AQ13" s="309"/>
      <c r="AR13" s="310"/>
      <c r="AT13" s="195">
        <v>2</v>
      </c>
      <c r="AU13" s="308"/>
      <c r="AV13" s="309"/>
      <c r="AW13" s="309"/>
      <c r="AX13" s="309"/>
      <c r="AY13" s="309"/>
      <c r="AZ13" s="309"/>
      <c r="BA13" s="309"/>
      <c r="BB13" s="309"/>
      <c r="BC13" s="309"/>
      <c r="BD13" s="309"/>
      <c r="BE13" s="309"/>
      <c r="BF13" s="309"/>
      <c r="BG13" s="310"/>
    </row>
    <row r="14" spans="1:59">
      <c r="A14" s="195">
        <v>3</v>
      </c>
      <c r="B14" s="308"/>
      <c r="C14" s="309"/>
      <c r="D14" s="309"/>
      <c r="E14" s="309"/>
      <c r="F14" s="309"/>
      <c r="G14" s="309"/>
      <c r="H14" s="309"/>
      <c r="I14" s="309"/>
      <c r="J14" s="309"/>
      <c r="K14" s="309"/>
      <c r="L14" s="309"/>
      <c r="M14" s="309"/>
      <c r="N14" s="310"/>
      <c r="P14" s="195">
        <v>3</v>
      </c>
      <c r="Q14" s="308"/>
      <c r="R14" s="309"/>
      <c r="S14" s="309"/>
      <c r="T14" s="309"/>
      <c r="U14" s="309"/>
      <c r="V14" s="309"/>
      <c r="W14" s="309"/>
      <c r="X14" s="309"/>
      <c r="Y14" s="309"/>
      <c r="Z14" s="309"/>
      <c r="AA14" s="309"/>
      <c r="AB14" s="309"/>
      <c r="AC14" s="310"/>
      <c r="AE14" s="195">
        <v>3</v>
      </c>
      <c r="AF14" s="308"/>
      <c r="AG14" s="309"/>
      <c r="AH14" s="309"/>
      <c r="AI14" s="309"/>
      <c r="AJ14" s="309"/>
      <c r="AK14" s="309"/>
      <c r="AL14" s="309"/>
      <c r="AM14" s="309"/>
      <c r="AN14" s="309"/>
      <c r="AO14" s="309"/>
      <c r="AP14" s="309"/>
      <c r="AQ14" s="309"/>
      <c r="AR14" s="310"/>
      <c r="AT14" s="195">
        <v>3</v>
      </c>
      <c r="AU14" s="308"/>
      <c r="AV14" s="309"/>
      <c r="AW14" s="309"/>
      <c r="AX14" s="309"/>
      <c r="AY14" s="309"/>
      <c r="AZ14" s="309"/>
      <c r="BA14" s="309"/>
      <c r="BB14" s="309"/>
      <c r="BC14" s="309"/>
      <c r="BD14" s="309"/>
      <c r="BE14" s="309"/>
      <c r="BF14" s="309"/>
      <c r="BG14" s="310"/>
    </row>
    <row r="15" spans="1:59">
      <c r="A15" s="195">
        <v>4</v>
      </c>
      <c r="B15" s="308"/>
      <c r="C15" s="309"/>
      <c r="D15" s="309"/>
      <c r="E15" s="309"/>
      <c r="F15" s="309"/>
      <c r="G15" s="309"/>
      <c r="H15" s="309"/>
      <c r="I15" s="309"/>
      <c r="J15" s="309"/>
      <c r="K15" s="309"/>
      <c r="L15" s="309"/>
      <c r="M15" s="309"/>
      <c r="N15" s="310"/>
      <c r="P15" s="195">
        <v>4</v>
      </c>
      <c r="Q15" s="308"/>
      <c r="R15" s="309"/>
      <c r="S15" s="309"/>
      <c r="T15" s="309"/>
      <c r="U15" s="309"/>
      <c r="V15" s="309"/>
      <c r="W15" s="309"/>
      <c r="X15" s="309"/>
      <c r="Y15" s="309"/>
      <c r="Z15" s="309"/>
      <c r="AA15" s="309"/>
      <c r="AB15" s="309"/>
      <c r="AC15" s="310"/>
      <c r="AE15" s="195">
        <v>4</v>
      </c>
      <c r="AF15" s="308"/>
      <c r="AG15" s="309"/>
      <c r="AH15" s="309"/>
      <c r="AI15" s="309"/>
      <c r="AJ15" s="309"/>
      <c r="AK15" s="309"/>
      <c r="AL15" s="309"/>
      <c r="AM15" s="309"/>
      <c r="AN15" s="309"/>
      <c r="AO15" s="309"/>
      <c r="AP15" s="309"/>
      <c r="AQ15" s="309"/>
      <c r="AR15" s="310"/>
      <c r="AT15" s="195">
        <v>4</v>
      </c>
      <c r="AU15" s="308"/>
      <c r="AV15" s="309"/>
      <c r="AW15" s="309"/>
      <c r="AX15" s="309"/>
      <c r="AY15" s="309"/>
      <c r="AZ15" s="309"/>
      <c r="BA15" s="309"/>
      <c r="BB15" s="309"/>
      <c r="BC15" s="309"/>
      <c r="BD15" s="309"/>
      <c r="BE15" s="309"/>
      <c r="BF15" s="309"/>
      <c r="BG15" s="310"/>
    </row>
    <row r="16" spans="1:59">
      <c r="A16" s="195">
        <v>5</v>
      </c>
      <c r="B16" s="308"/>
      <c r="C16" s="309"/>
      <c r="D16" s="309"/>
      <c r="E16" s="309"/>
      <c r="F16" s="309"/>
      <c r="G16" s="309"/>
      <c r="H16" s="309"/>
      <c r="I16" s="309"/>
      <c r="J16" s="309"/>
      <c r="K16" s="309"/>
      <c r="L16" s="309"/>
      <c r="M16" s="309"/>
      <c r="N16" s="310"/>
      <c r="P16" s="195">
        <v>5</v>
      </c>
      <c r="Q16" s="308"/>
      <c r="R16" s="309"/>
      <c r="S16" s="309"/>
      <c r="T16" s="309"/>
      <c r="U16" s="309"/>
      <c r="V16" s="309"/>
      <c r="W16" s="309"/>
      <c r="X16" s="309"/>
      <c r="Y16" s="309"/>
      <c r="Z16" s="309"/>
      <c r="AA16" s="309"/>
      <c r="AB16" s="309"/>
      <c r="AC16" s="310"/>
      <c r="AE16" s="195">
        <v>5</v>
      </c>
      <c r="AF16" s="308"/>
      <c r="AG16" s="309"/>
      <c r="AH16" s="309"/>
      <c r="AI16" s="309"/>
      <c r="AJ16" s="309"/>
      <c r="AK16" s="309"/>
      <c r="AL16" s="309"/>
      <c r="AM16" s="309"/>
      <c r="AN16" s="309"/>
      <c r="AO16" s="309"/>
      <c r="AP16" s="309"/>
      <c r="AQ16" s="309"/>
      <c r="AR16" s="310"/>
      <c r="AT16" s="195">
        <v>5</v>
      </c>
      <c r="AU16" s="308"/>
      <c r="AV16" s="309"/>
      <c r="AW16" s="309"/>
      <c r="AX16" s="309"/>
      <c r="AY16" s="309"/>
      <c r="AZ16" s="309"/>
      <c r="BA16" s="309"/>
      <c r="BB16" s="309"/>
      <c r="BC16" s="309"/>
      <c r="BD16" s="309"/>
      <c r="BE16" s="309"/>
      <c r="BF16" s="309"/>
      <c r="BG16" s="310"/>
    </row>
    <row r="17" spans="1:59">
      <c r="A17" s="195">
        <v>6</v>
      </c>
      <c r="B17" s="308"/>
      <c r="C17" s="309"/>
      <c r="D17" s="309"/>
      <c r="E17" s="309"/>
      <c r="F17" s="309"/>
      <c r="G17" s="309"/>
      <c r="H17" s="309"/>
      <c r="I17" s="309"/>
      <c r="J17" s="309"/>
      <c r="K17" s="309"/>
      <c r="L17" s="309"/>
      <c r="M17" s="309"/>
      <c r="N17" s="310"/>
      <c r="P17" s="195">
        <v>6</v>
      </c>
      <c r="Q17" s="308"/>
      <c r="R17" s="309"/>
      <c r="S17" s="309"/>
      <c r="T17" s="309"/>
      <c r="U17" s="309"/>
      <c r="V17" s="309"/>
      <c r="W17" s="309"/>
      <c r="X17" s="309"/>
      <c r="Y17" s="309"/>
      <c r="Z17" s="309"/>
      <c r="AA17" s="309"/>
      <c r="AB17" s="309"/>
      <c r="AC17" s="310"/>
      <c r="AE17" s="195">
        <v>6</v>
      </c>
      <c r="AF17" s="308"/>
      <c r="AG17" s="309"/>
      <c r="AH17" s="309"/>
      <c r="AI17" s="309"/>
      <c r="AJ17" s="309"/>
      <c r="AK17" s="309"/>
      <c r="AL17" s="309"/>
      <c r="AM17" s="309"/>
      <c r="AN17" s="309"/>
      <c r="AO17" s="309"/>
      <c r="AP17" s="309"/>
      <c r="AQ17" s="309"/>
      <c r="AR17" s="310"/>
      <c r="AT17" s="195">
        <v>6</v>
      </c>
      <c r="AU17" s="308"/>
      <c r="AV17" s="309"/>
      <c r="AW17" s="309"/>
      <c r="AX17" s="309"/>
      <c r="AY17" s="309"/>
      <c r="AZ17" s="309"/>
      <c r="BA17" s="309"/>
      <c r="BB17" s="309"/>
      <c r="BC17" s="309"/>
      <c r="BD17" s="309"/>
      <c r="BE17" s="309"/>
      <c r="BF17" s="309"/>
      <c r="BG17" s="310"/>
    </row>
    <row r="18" spans="1:59">
      <c r="A18" s="195">
        <v>7</v>
      </c>
      <c r="B18" s="308"/>
      <c r="C18" s="309"/>
      <c r="D18" s="309"/>
      <c r="E18" s="309"/>
      <c r="F18" s="309"/>
      <c r="G18" s="309"/>
      <c r="H18" s="309"/>
      <c r="I18" s="309"/>
      <c r="J18" s="309"/>
      <c r="K18" s="309"/>
      <c r="L18" s="309"/>
      <c r="M18" s="309"/>
      <c r="N18" s="310"/>
      <c r="P18" s="195">
        <v>7</v>
      </c>
      <c r="Q18" s="308"/>
      <c r="R18" s="309"/>
      <c r="S18" s="309"/>
      <c r="T18" s="309"/>
      <c r="U18" s="309"/>
      <c r="V18" s="309"/>
      <c r="W18" s="309"/>
      <c r="X18" s="309"/>
      <c r="Y18" s="309"/>
      <c r="Z18" s="309"/>
      <c r="AA18" s="309"/>
      <c r="AB18" s="309"/>
      <c r="AC18" s="310"/>
      <c r="AE18" s="195">
        <v>7</v>
      </c>
      <c r="AF18" s="308"/>
      <c r="AG18" s="309"/>
      <c r="AH18" s="309"/>
      <c r="AI18" s="309"/>
      <c r="AJ18" s="309"/>
      <c r="AK18" s="309"/>
      <c r="AL18" s="309"/>
      <c r="AM18" s="309"/>
      <c r="AN18" s="309"/>
      <c r="AO18" s="309"/>
      <c r="AP18" s="309"/>
      <c r="AQ18" s="309"/>
      <c r="AR18" s="310"/>
      <c r="AT18" s="195">
        <v>7</v>
      </c>
      <c r="AU18" s="308"/>
      <c r="AV18" s="309"/>
      <c r="AW18" s="309"/>
      <c r="AX18" s="309"/>
      <c r="AY18" s="309"/>
      <c r="AZ18" s="309"/>
      <c r="BA18" s="309"/>
      <c r="BB18" s="309"/>
      <c r="BC18" s="309"/>
      <c r="BD18" s="309"/>
      <c r="BE18" s="309"/>
      <c r="BF18" s="309"/>
      <c r="BG18" s="310"/>
    </row>
    <row r="19" spans="1:59">
      <c r="A19" s="195">
        <v>8</v>
      </c>
      <c r="B19" s="308"/>
      <c r="C19" s="309"/>
      <c r="D19" s="309"/>
      <c r="E19" s="309"/>
      <c r="F19" s="309"/>
      <c r="G19" s="309"/>
      <c r="H19" s="309"/>
      <c r="I19" s="309"/>
      <c r="J19" s="309"/>
      <c r="K19" s="309"/>
      <c r="L19" s="309"/>
      <c r="M19" s="309"/>
      <c r="N19" s="310"/>
      <c r="P19" s="195">
        <v>8</v>
      </c>
      <c r="Q19" s="308"/>
      <c r="R19" s="309"/>
      <c r="S19" s="309"/>
      <c r="T19" s="309"/>
      <c r="U19" s="309"/>
      <c r="V19" s="309"/>
      <c r="W19" s="309"/>
      <c r="X19" s="309"/>
      <c r="Y19" s="309"/>
      <c r="Z19" s="309"/>
      <c r="AA19" s="309"/>
      <c r="AB19" s="309"/>
      <c r="AC19" s="310"/>
      <c r="AE19" s="195">
        <v>8</v>
      </c>
      <c r="AF19" s="308"/>
      <c r="AG19" s="309"/>
      <c r="AH19" s="309"/>
      <c r="AI19" s="309"/>
      <c r="AJ19" s="309"/>
      <c r="AK19" s="309"/>
      <c r="AL19" s="309"/>
      <c r="AM19" s="309"/>
      <c r="AN19" s="309"/>
      <c r="AO19" s="309"/>
      <c r="AP19" s="309"/>
      <c r="AQ19" s="309"/>
      <c r="AR19" s="310"/>
      <c r="AT19" s="195">
        <v>8</v>
      </c>
      <c r="AU19" s="308"/>
      <c r="AV19" s="309"/>
      <c r="AW19" s="309"/>
      <c r="AX19" s="309"/>
      <c r="AY19" s="309"/>
      <c r="AZ19" s="309"/>
      <c r="BA19" s="309"/>
      <c r="BB19" s="309"/>
      <c r="BC19" s="309"/>
      <c r="BD19" s="309"/>
      <c r="BE19" s="309"/>
      <c r="BF19" s="309"/>
      <c r="BG19" s="310"/>
    </row>
    <row r="20" spans="1:59">
      <c r="A20" s="195">
        <v>9</v>
      </c>
      <c r="B20" s="308"/>
      <c r="C20" s="309"/>
      <c r="D20" s="309"/>
      <c r="E20" s="309"/>
      <c r="F20" s="309"/>
      <c r="G20" s="309"/>
      <c r="H20" s="309"/>
      <c r="I20" s="309"/>
      <c r="J20" s="309"/>
      <c r="K20" s="309"/>
      <c r="L20" s="309"/>
      <c r="M20" s="309"/>
      <c r="N20" s="310"/>
      <c r="P20" s="195">
        <v>9</v>
      </c>
      <c r="Q20" s="308"/>
      <c r="R20" s="309"/>
      <c r="S20" s="309"/>
      <c r="T20" s="309"/>
      <c r="U20" s="309"/>
      <c r="V20" s="309"/>
      <c r="W20" s="309"/>
      <c r="X20" s="309"/>
      <c r="Y20" s="309"/>
      <c r="Z20" s="309"/>
      <c r="AA20" s="309"/>
      <c r="AB20" s="309"/>
      <c r="AC20" s="310"/>
      <c r="AE20" s="195">
        <v>9</v>
      </c>
      <c r="AF20" s="308"/>
      <c r="AG20" s="309"/>
      <c r="AH20" s="309"/>
      <c r="AI20" s="309"/>
      <c r="AJ20" s="309"/>
      <c r="AK20" s="309"/>
      <c r="AL20" s="309"/>
      <c r="AM20" s="309"/>
      <c r="AN20" s="309"/>
      <c r="AO20" s="309"/>
      <c r="AP20" s="309"/>
      <c r="AQ20" s="309"/>
      <c r="AR20" s="310"/>
      <c r="AT20" s="195">
        <v>9</v>
      </c>
      <c r="AU20" s="308"/>
      <c r="AV20" s="309"/>
      <c r="AW20" s="309"/>
      <c r="AX20" s="309"/>
      <c r="AY20" s="309"/>
      <c r="AZ20" s="309"/>
      <c r="BA20" s="309"/>
      <c r="BB20" s="309"/>
      <c r="BC20" s="309"/>
      <c r="BD20" s="309"/>
      <c r="BE20" s="309"/>
      <c r="BF20" s="309"/>
      <c r="BG20" s="310"/>
    </row>
    <row r="21" spans="1:59">
      <c r="A21" s="195">
        <v>10</v>
      </c>
      <c r="B21" s="308"/>
      <c r="C21" s="309"/>
      <c r="D21" s="309"/>
      <c r="E21" s="309"/>
      <c r="F21" s="309"/>
      <c r="G21" s="309"/>
      <c r="H21" s="309"/>
      <c r="I21" s="309"/>
      <c r="J21" s="309"/>
      <c r="K21" s="309"/>
      <c r="L21" s="309"/>
      <c r="M21" s="309"/>
      <c r="N21" s="310"/>
      <c r="P21" s="195">
        <v>10</v>
      </c>
      <c r="Q21" s="308"/>
      <c r="R21" s="309"/>
      <c r="S21" s="309"/>
      <c r="T21" s="309"/>
      <c r="U21" s="309"/>
      <c r="V21" s="309"/>
      <c r="W21" s="309"/>
      <c r="X21" s="309"/>
      <c r="Y21" s="309"/>
      <c r="Z21" s="309"/>
      <c r="AA21" s="309"/>
      <c r="AB21" s="309"/>
      <c r="AC21" s="310"/>
      <c r="AE21" s="195">
        <v>10</v>
      </c>
      <c r="AF21" s="308"/>
      <c r="AG21" s="309"/>
      <c r="AH21" s="309"/>
      <c r="AI21" s="309"/>
      <c r="AJ21" s="309"/>
      <c r="AK21" s="309"/>
      <c r="AL21" s="309"/>
      <c r="AM21" s="309"/>
      <c r="AN21" s="309"/>
      <c r="AO21" s="309"/>
      <c r="AP21" s="309"/>
      <c r="AQ21" s="309"/>
      <c r="AR21" s="310"/>
      <c r="AT21" s="195">
        <v>10</v>
      </c>
      <c r="AU21" s="308"/>
      <c r="AV21" s="309"/>
      <c r="AW21" s="309"/>
      <c r="AX21" s="309"/>
      <c r="AY21" s="309"/>
      <c r="AZ21" s="309"/>
      <c r="BA21" s="309"/>
      <c r="BB21" s="309"/>
      <c r="BC21" s="309"/>
      <c r="BD21" s="309"/>
      <c r="BE21" s="309"/>
      <c r="BF21" s="309"/>
      <c r="BG21" s="310"/>
    </row>
    <row r="22" spans="1:59">
      <c r="A22" s="195">
        <v>11</v>
      </c>
      <c r="B22" s="308"/>
      <c r="C22" s="309"/>
      <c r="D22" s="309"/>
      <c r="E22" s="309"/>
      <c r="F22" s="309"/>
      <c r="G22" s="309"/>
      <c r="H22" s="309"/>
      <c r="I22" s="309"/>
      <c r="J22" s="309"/>
      <c r="K22" s="309"/>
      <c r="L22" s="309"/>
      <c r="M22" s="309"/>
      <c r="N22" s="310"/>
      <c r="P22" s="195">
        <v>11</v>
      </c>
      <c r="Q22" s="308"/>
      <c r="R22" s="309"/>
      <c r="S22" s="309"/>
      <c r="T22" s="309"/>
      <c r="U22" s="309"/>
      <c r="V22" s="309"/>
      <c r="W22" s="309"/>
      <c r="X22" s="309"/>
      <c r="Y22" s="309"/>
      <c r="Z22" s="309"/>
      <c r="AA22" s="309"/>
      <c r="AB22" s="309"/>
      <c r="AC22" s="310"/>
      <c r="AE22" s="195">
        <v>11</v>
      </c>
      <c r="AF22" s="308"/>
      <c r="AG22" s="309"/>
      <c r="AH22" s="309"/>
      <c r="AI22" s="309"/>
      <c r="AJ22" s="309"/>
      <c r="AK22" s="309"/>
      <c r="AL22" s="309"/>
      <c r="AM22" s="309"/>
      <c r="AN22" s="309"/>
      <c r="AO22" s="309"/>
      <c r="AP22" s="309"/>
      <c r="AQ22" s="309"/>
      <c r="AR22" s="310"/>
      <c r="AT22" s="195">
        <v>11</v>
      </c>
      <c r="AU22" s="308"/>
      <c r="AV22" s="309"/>
      <c r="AW22" s="309"/>
      <c r="AX22" s="309"/>
      <c r="AY22" s="309"/>
      <c r="AZ22" s="309"/>
      <c r="BA22" s="309"/>
      <c r="BB22" s="309"/>
      <c r="BC22" s="309"/>
      <c r="BD22" s="309"/>
      <c r="BE22" s="309"/>
      <c r="BF22" s="309"/>
      <c r="BG22" s="310"/>
    </row>
    <row r="23" spans="1:59">
      <c r="A23" s="195">
        <v>12</v>
      </c>
      <c r="B23" s="308"/>
      <c r="C23" s="309"/>
      <c r="D23" s="309"/>
      <c r="E23" s="309"/>
      <c r="F23" s="309"/>
      <c r="G23" s="309"/>
      <c r="H23" s="309"/>
      <c r="I23" s="309"/>
      <c r="J23" s="309"/>
      <c r="K23" s="309"/>
      <c r="L23" s="309"/>
      <c r="M23" s="309"/>
      <c r="N23" s="310"/>
      <c r="P23" s="195">
        <v>12</v>
      </c>
      <c r="Q23" s="308"/>
      <c r="R23" s="309"/>
      <c r="S23" s="309"/>
      <c r="T23" s="309"/>
      <c r="U23" s="309"/>
      <c r="V23" s="309"/>
      <c r="W23" s="309"/>
      <c r="X23" s="309"/>
      <c r="Y23" s="309"/>
      <c r="Z23" s="309"/>
      <c r="AA23" s="309"/>
      <c r="AB23" s="309"/>
      <c r="AC23" s="310"/>
      <c r="AE23" s="195">
        <v>12</v>
      </c>
      <c r="AF23" s="308"/>
      <c r="AG23" s="309"/>
      <c r="AH23" s="309"/>
      <c r="AI23" s="309"/>
      <c r="AJ23" s="309"/>
      <c r="AK23" s="309"/>
      <c r="AL23" s="309"/>
      <c r="AM23" s="309"/>
      <c r="AN23" s="309"/>
      <c r="AO23" s="309"/>
      <c r="AP23" s="309"/>
      <c r="AQ23" s="309"/>
      <c r="AR23" s="310"/>
      <c r="AT23" s="195">
        <v>12</v>
      </c>
      <c r="AU23" s="308"/>
      <c r="AV23" s="309"/>
      <c r="AW23" s="309"/>
      <c r="AX23" s="309"/>
      <c r="AY23" s="309"/>
      <c r="AZ23" s="309"/>
      <c r="BA23" s="309"/>
      <c r="BB23" s="309"/>
      <c r="BC23" s="309"/>
      <c r="BD23" s="309"/>
      <c r="BE23" s="309"/>
      <c r="BF23" s="309"/>
      <c r="BG23" s="310"/>
    </row>
    <row r="24" spans="1:59">
      <c r="A24" s="195">
        <v>13</v>
      </c>
      <c r="B24" s="308"/>
      <c r="C24" s="309"/>
      <c r="D24" s="309"/>
      <c r="E24" s="309"/>
      <c r="F24" s="309"/>
      <c r="G24" s="309"/>
      <c r="H24" s="309"/>
      <c r="I24" s="309"/>
      <c r="J24" s="309"/>
      <c r="K24" s="309"/>
      <c r="L24" s="309"/>
      <c r="M24" s="309"/>
      <c r="N24" s="310"/>
      <c r="P24" s="195">
        <v>13</v>
      </c>
      <c r="Q24" s="308"/>
      <c r="R24" s="309"/>
      <c r="S24" s="309"/>
      <c r="T24" s="309"/>
      <c r="U24" s="309"/>
      <c r="V24" s="309"/>
      <c r="W24" s="309"/>
      <c r="X24" s="309"/>
      <c r="Y24" s="309"/>
      <c r="Z24" s="309"/>
      <c r="AA24" s="309"/>
      <c r="AB24" s="309"/>
      <c r="AC24" s="310"/>
      <c r="AE24" s="195">
        <v>13</v>
      </c>
      <c r="AF24" s="308"/>
      <c r="AG24" s="309"/>
      <c r="AH24" s="309"/>
      <c r="AI24" s="309"/>
      <c r="AJ24" s="309"/>
      <c r="AK24" s="309"/>
      <c r="AL24" s="309"/>
      <c r="AM24" s="309"/>
      <c r="AN24" s="309"/>
      <c r="AO24" s="309"/>
      <c r="AP24" s="309"/>
      <c r="AQ24" s="309"/>
      <c r="AR24" s="310"/>
      <c r="AT24" s="195">
        <v>13</v>
      </c>
      <c r="AU24" s="308"/>
      <c r="AV24" s="309"/>
      <c r="AW24" s="309"/>
      <c r="AX24" s="309"/>
      <c r="AY24" s="309"/>
      <c r="AZ24" s="309"/>
      <c r="BA24" s="309"/>
      <c r="BB24" s="309"/>
      <c r="BC24" s="309"/>
      <c r="BD24" s="309"/>
      <c r="BE24" s="309"/>
      <c r="BF24" s="309"/>
      <c r="BG24" s="310"/>
    </row>
    <row r="25" spans="1:59">
      <c r="A25" s="195">
        <v>14</v>
      </c>
      <c r="B25" s="308"/>
      <c r="C25" s="309"/>
      <c r="D25" s="309"/>
      <c r="E25" s="309"/>
      <c r="F25" s="309"/>
      <c r="G25" s="309"/>
      <c r="H25" s="309"/>
      <c r="I25" s="309"/>
      <c r="J25" s="309"/>
      <c r="K25" s="309"/>
      <c r="L25" s="309"/>
      <c r="M25" s="309"/>
      <c r="N25" s="310"/>
      <c r="P25" s="195">
        <v>14</v>
      </c>
      <c r="Q25" s="308"/>
      <c r="R25" s="309"/>
      <c r="S25" s="309"/>
      <c r="T25" s="309"/>
      <c r="U25" s="309"/>
      <c r="V25" s="309"/>
      <c r="W25" s="309"/>
      <c r="X25" s="309"/>
      <c r="Y25" s="309"/>
      <c r="Z25" s="309"/>
      <c r="AA25" s="309"/>
      <c r="AB25" s="309"/>
      <c r="AC25" s="310"/>
      <c r="AE25" s="195">
        <v>14</v>
      </c>
      <c r="AF25" s="308"/>
      <c r="AG25" s="309"/>
      <c r="AH25" s="309"/>
      <c r="AI25" s="309"/>
      <c r="AJ25" s="309"/>
      <c r="AK25" s="309"/>
      <c r="AL25" s="309"/>
      <c r="AM25" s="309"/>
      <c r="AN25" s="309"/>
      <c r="AO25" s="309"/>
      <c r="AP25" s="309"/>
      <c r="AQ25" s="309"/>
      <c r="AR25" s="310"/>
      <c r="AT25" s="195">
        <v>14</v>
      </c>
      <c r="AU25" s="308"/>
      <c r="AV25" s="309"/>
      <c r="AW25" s="309"/>
      <c r="AX25" s="309"/>
      <c r="AY25" s="309"/>
      <c r="AZ25" s="309"/>
      <c r="BA25" s="309"/>
      <c r="BB25" s="309"/>
      <c r="BC25" s="309"/>
      <c r="BD25" s="309"/>
      <c r="BE25" s="309"/>
      <c r="BF25" s="309"/>
      <c r="BG25" s="310"/>
    </row>
    <row r="26" spans="1:59">
      <c r="A26" s="195">
        <v>15</v>
      </c>
      <c r="B26" s="308"/>
      <c r="C26" s="309"/>
      <c r="D26" s="309"/>
      <c r="E26" s="309"/>
      <c r="F26" s="309"/>
      <c r="G26" s="309"/>
      <c r="H26" s="309"/>
      <c r="I26" s="309"/>
      <c r="J26" s="309"/>
      <c r="K26" s="309"/>
      <c r="L26" s="309"/>
      <c r="M26" s="309"/>
      <c r="N26" s="310"/>
      <c r="P26" s="195">
        <v>15</v>
      </c>
      <c r="Q26" s="308"/>
      <c r="R26" s="309"/>
      <c r="S26" s="309"/>
      <c r="T26" s="309"/>
      <c r="U26" s="309"/>
      <c r="V26" s="309"/>
      <c r="W26" s="309"/>
      <c r="X26" s="309"/>
      <c r="Y26" s="309"/>
      <c r="Z26" s="309"/>
      <c r="AA26" s="309"/>
      <c r="AB26" s="309"/>
      <c r="AC26" s="310"/>
      <c r="AE26" s="195">
        <v>15</v>
      </c>
      <c r="AF26" s="308"/>
      <c r="AG26" s="309"/>
      <c r="AH26" s="309"/>
      <c r="AI26" s="309"/>
      <c r="AJ26" s="309"/>
      <c r="AK26" s="309"/>
      <c r="AL26" s="309"/>
      <c r="AM26" s="309"/>
      <c r="AN26" s="309"/>
      <c r="AO26" s="309"/>
      <c r="AP26" s="309"/>
      <c r="AQ26" s="309"/>
      <c r="AR26" s="310"/>
      <c r="AT26" s="195">
        <v>15</v>
      </c>
      <c r="AU26" s="308"/>
      <c r="AV26" s="309"/>
      <c r="AW26" s="309"/>
      <c r="AX26" s="309"/>
      <c r="AY26" s="309"/>
      <c r="AZ26" s="309"/>
      <c r="BA26" s="309"/>
      <c r="BB26" s="309"/>
      <c r="BC26" s="309"/>
      <c r="BD26" s="309"/>
      <c r="BE26" s="309"/>
      <c r="BF26" s="309"/>
      <c r="BG26" s="310"/>
    </row>
    <row r="27" spans="1:59">
      <c r="A27" s="195">
        <v>16</v>
      </c>
      <c r="B27" s="308"/>
      <c r="C27" s="309"/>
      <c r="D27" s="309"/>
      <c r="E27" s="309"/>
      <c r="F27" s="309"/>
      <c r="G27" s="309"/>
      <c r="H27" s="309"/>
      <c r="I27" s="309"/>
      <c r="J27" s="309"/>
      <c r="K27" s="309"/>
      <c r="L27" s="309"/>
      <c r="M27" s="309"/>
      <c r="N27" s="310"/>
      <c r="P27" s="195">
        <v>16</v>
      </c>
      <c r="Q27" s="308"/>
      <c r="R27" s="309"/>
      <c r="S27" s="309"/>
      <c r="T27" s="309"/>
      <c r="U27" s="309"/>
      <c r="V27" s="309"/>
      <c r="W27" s="309"/>
      <c r="X27" s="309"/>
      <c r="Y27" s="309"/>
      <c r="Z27" s="309"/>
      <c r="AA27" s="309"/>
      <c r="AB27" s="309"/>
      <c r="AC27" s="310"/>
      <c r="AE27" s="195">
        <v>16</v>
      </c>
      <c r="AF27" s="308"/>
      <c r="AG27" s="309"/>
      <c r="AH27" s="309"/>
      <c r="AI27" s="309"/>
      <c r="AJ27" s="309"/>
      <c r="AK27" s="309"/>
      <c r="AL27" s="309"/>
      <c r="AM27" s="309"/>
      <c r="AN27" s="309"/>
      <c r="AO27" s="309"/>
      <c r="AP27" s="309"/>
      <c r="AQ27" s="309"/>
      <c r="AR27" s="310"/>
      <c r="AT27" s="195">
        <v>16</v>
      </c>
      <c r="AU27" s="308"/>
      <c r="AV27" s="309"/>
      <c r="AW27" s="309"/>
      <c r="AX27" s="309"/>
      <c r="AY27" s="309"/>
      <c r="AZ27" s="309"/>
      <c r="BA27" s="309"/>
      <c r="BB27" s="309"/>
      <c r="BC27" s="309"/>
      <c r="BD27" s="309"/>
      <c r="BE27" s="309"/>
      <c r="BF27" s="309"/>
      <c r="BG27" s="310"/>
    </row>
    <row r="28" spans="1:59">
      <c r="A28" s="195">
        <v>17</v>
      </c>
      <c r="B28" s="308"/>
      <c r="C28" s="309"/>
      <c r="D28" s="309"/>
      <c r="E28" s="309"/>
      <c r="F28" s="309"/>
      <c r="G28" s="309"/>
      <c r="H28" s="309"/>
      <c r="I28" s="309"/>
      <c r="J28" s="309"/>
      <c r="K28" s="309"/>
      <c r="L28" s="309"/>
      <c r="M28" s="309"/>
      <c r="N28" s="310"/>
      <c r="P28" s="195">
        <v>17</v>
      </c>
      <c r="Q28" s="308"/>
      <c r="R28" s="309"/>
      <c r="S28" s="309"/>
      <c r="T28" s="309"/>
      <c r="U28" s="309"/>
      <c r="V28" s="309"/>
      <c r="W28" s="309"/>
      <c r="X28" s="309"/>
      <c r="Y28" s="309"/>
      <c r="Z28" s="309"/>
      <c r="AA28" s="309"/>
      <c r="AB28" s="309"/>
      <c r="AC28" s="310"/>
      <c r="AE28" s="195">
        <v>17</v>
      </c>
      <c r="AF28" s="308"/>
      <c r="AG28" s="309"/>
      <c r="AH28" s="309"/>
      <c r="AI28" s="309"/>
      <c r="AJ28" s="309"/>
      <c r="AK28" s="309"/>
      <c r="AL28" s="309"/>
      <c r="AM28" s="309"/>
      <c r="AN28" s="309"/>
      <c r="AO28" s="309"/>
      <c r="AP28" s="309"/>
      <c r="AQ28" s="309"/>
      <c r="AR28" s="310"/>
      <c r="AT28" s="195">
        <v>17</v>
      </c>
      <c r="AU28" s="308"/>
      <c r="AV28" s="309"/>
      <c r="AW28" s="309"/>
      <c r="AX28" s="309"/>
      <c r="AY28" s="309"/>
      <c r="AZ28" s="309"/>
      <c r="BA28" s="309"/>
      <c r="BB28" s="309"/>
      <c r="BC28" s="309"/>
      <c r="BD28" s="309"/>
      <c r="BE28" s="309"/>
      <c r="BF28" s="309"/>
      <c r="BG28" s="310"/>
    </row>
    <row r="29" spans="1:59">
      <c r="A29" s="195">
        <v>18</v>
      </c>
      <c r="B29" s="308"/>
      <c r="C29" s="309"/>
      <c r="D29" s="309"/>
      <c r="E29" s="309"/>
      <c r="F29" s="309"/>
      <c r="G29" s="309"/>
      <c r="H29" s="309"/>
      <c r="I29" s="309"/>
      <c r="J29" s="309"/>
      <c r="K29" s="309"/>
      <c r="L29" s="309"/>
      <c r="M29" s="309"/>
      <c r="N29" s="310"/>
      <c r="P29" s="195">
        <v>18</v>
      </c>
      <c r="Q29" s="308"/>
      <c r="R29" s="309"/>
      <c r="S29" s="309"/>
      <c r="T29" s="309"/>
      <c r="U29" s="309"/>
      <c r="V29" s="309"/>
      <c r="W29" s="309"/>
      <c r="X29" s="309"/>
      <c r="Y29" s="309"/>
      <c r="Z29" s="309"/>
      <c r="AA29" s="309"/>
      <c r="AB29" s="309"/>
      <c r="AC29" s="310"/>
      <c r="AE29" s="195">
        <v>18</v>
      </c>
      <c r="AF29" s="308"/>
      <c r="AG29" s="309"/>
      <c r="AH29" s="309"/>
      <c r="AI29" s="309"/>
      <c r="AJ29" s="309"/>
      <c r="AK29" s="309"/>
      <c r="AL29" s="309"/>
      <c r="AM29" s="309"/>
      <c r="AN29" s="309"/>
      <c r="AO29" s="309"/>
      <c r="AP29" s="309"/>
      <c r="AQ29" s="309"/>
      <c r="AR29" s="310"/>
      <c r="AT29" s="195">
        <v>18</v>
      </c>
      <c r="AU29" s="308"/>
      <c r="AV29" s="309"/>
      <c r="AW29" s="309"/>
      <c r="AX29" s="309"/>
      <c r="AY29" s="309"/>
      <c r="AZ29" s="309"/>
      <c r="BA29" s="309"/>
      <c r="BB29" s="309"/>
      <c r="BC29" s="309"/>
      <c r="BD29" s="309"/>
      <c r="BE29" s="309"/>
      <c r="BF29" s="309"/>
      <c r="BG29" s="310"/>
    </row>
    <row r="30" spans="1:59">
      <c r="A30" s="195">
        <v>19</v>
      </c>
      <c r="B30" s="308"/>
      <c r="C30" s="309"/>
      <c r="D30" s="309"/>
      <c r="E30" s="309"/>
      <c r="F30" s="309"/>
      <c r="G30" s="309"/>
      <c r="H30" s="309"/>
      <c r="I30" s="309"/>
      <c r="J30" s="309"/>
      <c r="K30" s="309"/>
      <c r="L30" s="309"/>
      <c r="M30" s="309"/>
      <c r="N30" s="310"/>
      <c r="P30" s="195">
        <v>19</v>
      </c>
      <c r="Q30" s="308"/>
      <c r="R30" s="309"/>
      <c r="S30" s="309"/>
      <c r="T30" s="309"/>
      <c r="U30" s="309"/>
      <c r="V30" s="309"/>
      <c r="W30" s="309"/>
      <c r="X30" s="309"/>
      <c r="Y30" s="309"/>
      <c r="Z30" s="309"/>
      <c r="AA30" s="309"/>
      <c r="AB30" s="309"/>
      <c r="AC30" s="310"/>
      <c r="AE30" s="195">
        <v>19</v>
      </c>
      <c r="AF30" s="308"/>
      <c r="AG30" s="309"/>
      <c r="AH30" s="309"/>
      <c r="AI30" s="309"/>
      <c r="AJ30" s="309"/>
      <c r="AK30" s="309"/>
      <c r="AL30" s="309"/>
      <c r="AM30" s="309"/>
      <c r="AN30" s="309"/>
      <c r="AO30" s="309"/>
      <c r="AP30" s="309"/>
      <c r="AQ30" s="309"/>
      <c r="AR30" s="310"/>
      <c r="AT30" s="195">
        <v>19</v>
      </c>
      <c r="AU30" s="308"/>
      <c r="AV30" s="309"/>
      <c r="AW30" s="309"/>
      <c r="AX30" s="309"/>
      <c r="AY30" s="309"/>
      <c r="AZ30" s="309"/>
      <c r="BA30" s="309"/>
      <c r="BB30" s="309"/>
      <c r="BC30" s="309"/>
      <c r="BD30" s="309"/>
      <c r="BE30" s="309"/>
      <c r="BF30" s="309"/>
      <c r="BG30" s="310"/>
    </row>
    <row r="31" spans="1:59">
      <c r="A31" s="195">
        <v>20</v>
      </c>
      <c r="B31" s="308"/>
      <c r="C31" s="309"/>
      <c r="D31" s="309"/>
      <c r="E31" s="309"/>
      <c r="F31" s="309"/>
      <c r="G31" s="309"/>
      <c r="H31" s="309"/>
      <c r="I31" s="309"/>
      <c r="J31" s="309"/>
      <c r="K31" s="309"/>
      <c r="L31" s="309"/>
      <c r="M31" s="309"/>
      <c r="N31" s="310"/>
      <c r="P31" s="195">
        <v>20</v>
      </c>
      <c r="Q31" s="308"/>
      <c r="R31" s="309"/>
      <c r="S31" s="309"/>
      <c r="T31" s="309"/>
      <c r="U31" s="309"/>
      <c r="V31" s="309"/>
      <c r="W31" s="309"/>
      <c r="X31" s="309"/>
      <c r="Y31" s="309"/>
      <c r="Z31" s="309"/>
      <c r="AA31" s="309"/>
      <c r="AB31" s="309"/>
      <c r="AC31" s="310"/>
      <c r="AE31" s="195">
        <v>20</v>
      </c>
      <c r="AF31" s="308"/>
      <c r="AG31" s="309"/>
      <c r="AH31" s="309"/>
      <c r="AI31" s="309"/>
      <c r="AJ31" s="309"/>
      <c r="AK31" s="309"/>
      <c r="AL31" s="309"/>
      <c r="AM31" s="309"/>
      <c r="AN31" s="309"/>
      <c r="AO31" s="309"/>
      <c r="AP31" s="309"/>
      <c r="AQ31" s="309"/>
      <c r="AR31" s="310"/>
      <c r="AT31" s="195">
        <v>20</v>
      </c>
      <c r="AU31" s="308"/>
      <c r="AV31" s="309"/>
      <c r="AW31" s="309"/>
      <c r="AX31" s="309"/>
      <c r="AY31" s="309"/>
      <c r="AZ31" s="309"/>
      <c r="BA31" s="309"/>
      <c r="BB31" s="309"/>
      <c r="BC31" s="309"/>
      <c r="BD31" s="309"/>
      <c r="BE31" s="309"/>
      <c r="BF31" s="309"/>
      <c r="BG31" s="310"/>
    </row>
    <row r="32" spans="1:59">
      <c r="A32" s="195">
        <v>21</v>
      </c>
      <c r="B32" s="308"/>
      <c r="C32" s="309"/>
      <c r="D32" s="309"/>
      <c r="E32" s="309"/>
      <c r="F32" s="309"/>
      <c r="G32" s="309"/>
      <c r="H32" s="309"/>
      <c r="I32" s="309"/>
      <c r="J32" s="309"/>
      <c r="K32" s="309"/>
      <c r="L32" s="309"/>
      <c r="M32" s="309"/>
      <c r="N32" s="310"/>
      <c r="P32" s="195">
        <v>21</v>
      </c>
      <c r="Q32" s="308"/>
      <c r="R32" s="309"/>
      <c r="S32" s="309"/>
      <c r="T32" s="309"/>
      <c r="U32" s="309"/>
      <c r="V32" s="309"/>
      <c r="W32" s="309"/>
      <c r="X32" s="309"/>
      <c r="Y32" s="309"/>
      <c r="Z32" s="309"/>
      <c r="AA32" s="309"/>
      <c r="AB32" s="309"/>
      <c r="AC32" s="310"/>
      <c r="AE32" s="195">
        <v>21</v>
      </c>
      <c r="AF32" s="308"/>
      <c r="AG32" s="309"/>
      <c r="AH32" s="309"/>
      <c r="AI32" s="309"/>
      <c r="AJ32" s="309"/>
      <c r="AK32" s="309"/>
      <c r="AL32" s="309"/>
      <c r="AM32" s="309"/>
      <c r="AN32" s="309"/>
      <c r="AO32" s="309"/>
      <c r="AP32" s="309"/>
      <c r="AQ32" s="309"/>
      <c r="AR32" s="310"/>
      <c r="AT32" s="195">
        <v>21</v>
      </c>
      <c r="AU32" s="308"/>
      <c r="AV32" s="309"/>
      <c r="AW32" s="309"/>
      <c r="AX32" s="309"/>
      <c r="AY32" s="309"/>
      <c r="AZ32" s="309"/>
      <c r="BA32" s="309"/>
      <c r="BB32" s="309"/>
      <c r="BC32" s="309"/>
      <c r="BD32" s="309"/>
      <c r="BE32" s="309"/>
      <c r="BF32" s="309"/>
      <c r="BG32" s="310"/>
    </row>
    <row r="33" spans="1:59">
      <c r="A33" s="195">
        <v>22</v>
      </c>
      <c r="B33" s="308"/>
      <c r="C33" s="309"/>
      <c r="D33" s="309"/>
      <c r="E33" s="309"/>
      <c r="F33" s="309"/>
      <c r="G33" s="309"/>
      <c r="H33" s="309"/>
      <c r="I33" s="309"/>
      <c r="J33" s="309"/>
      <c r="K33" s="309"/>
      <c r="L33" s="309"/>
      <c r="M33" s="309"/>
      <c r="N33" s="310"/>
      <c r="P33" s="195">
        <v>22</v>
      </c>
      <c r="Q33" s="308"/>
      <c r="R33" s="309"/>
      <c r="S33" s="309"/>
      <c r="T33" s="309"/>
      <c r="U33" s="309"/>
      <c r="V33" s="309"/>
      <c r="W33" s="309"/>
      <c r="X33" s="309"/>
      <c r="Y33" s="309"/>
      <c r="Z33" s="309"/>
      <c r="AA33" s="309"/>
      <c r="AB33" s="309"/>
      <c r="AC33" s="310"/>
      <c r="AE33" s="195">
        <v>22</v>
      </c>
      <c r="AF33" s="308"/>
      <c r="AG33" s="309"/>
      <c r="AH33" s="309"/>
      <c r="AI33" s="309"/>
      <c r="AJ33" s="309"/>
      <c r="AK33" s="309"/>
      <c r="AL33" s="309"/>
      <c r="AM33" s="309"/>
      <c r="AN33" s="309"/>
      <c r="AO33" s="309"/>
      <c r="AP33" s="309"/>
      <c r="AQ33" s="309"/>
      <c r="AR33" s="310"/>
      <c r="AT33" s="195">
        <v>22</v>
      </c>
      <c r="AU33" s="308"/>
      <c r="AV33" s="309"/>
      <c r="AW33" s="309"/>
      <c r="AX33" s="309"/>
      <c r="AY33" s="309"/>
      <c r="AZ33" s="309"/>
      <c r="BA33" s="309"/>
      <c r="BB33" s="309"/>
      <c r="BC33" s="309"/>
      <c r="BD33" s="309"/>
      <c r="BE33" s="309"/>
      <c r="BF33" s="309"/>
      <c r="BG33" s="310"/>
    </row>
    <row r="34" spans="1:59">
      <c r="A34" s="195">
        <v>23</v>
      </c>
      <c r="B34" s="308"/>
      <c r="C34" s="309"/>
      <c r="D34" s="309"/>
      <c r="E34" s="309"/>
      <c r="F34" s="309"/>
      <c r="G34" s="309"/>
      <c r="H34" s="309"/>
      <c r="I34" s="309"/>
      <c r="J34" s="309"/>
      <c r="K34" s="309"/>
      <c r="L34" s="309"/>
      <c r="M34" s="309"/>
      <c r="N34" s="310"/>
      <c r="P34" s="195">
        <v>23</v>
      </c>
      <c r="Q34" s="308"/>
      <c r="R34" s="309"/>
      <c r="S34" s="309"/>
      <c r="T34" s="309"/>
      <c r="U34" s="309"/>
      <c r="V34" s="309"/>
      <c r="W34" s="309"/>
      <c r="X34" s="309"/>
      <c r="Y34" s="309"/>
      <c r="Z34" s="309"/>
      <c r="AA34" s="309"/>
      <c r="AB34" s="309"/>
      <c r="AC34" s="310"/>
      <c r="AE34" s="195">
        <v>23</v>
      </c>
      <c r="AF34" s="308"/>
      <c r="AG34" s="309"/>
      <c r="AH34" s="309"/>
      <c r="AI34" s="309"/>
      <c r="AJ34" s="309"/>
      <c r="AK34" s="309"/>
      <c r="AL34" s="309"/>
      <c r="AM34" s="309"/>
      <c r="AN34" s="309"/>
      <c r="AO34" s="309"/>
      <c r="AP34" s="309"/>
      <c r="AQ34" s="309"/>
      <c r="AR34" s="310"/>
      <c r="AT34" s="195">
        <v>23</v>
      </c>
      <c r="AU34" s="308"/>
      <c r="AV34" s="309"/>
      <c r="AW34" s="309"/>
      <c r="AX34" s="309"/>
      <c r="AY34" s="309"/>
      <c r="AZ34" s="309"/>
      <c r="BA34" s="309"/>
      <c r="BB34" s="309"/>
      <c r="BC34" s="309"/>
      <c r="BD34" s="309"/>
      <c r="BE34" s="309"/>
      <c r="BF34" s="309"/>
      <c r="BG34" s="310"/>
    </row>
    <row r="35" spans="1:59">
      <c r="A35" s="195">
        <v>24</v>
      </c>
      <c r="B35" s="308"/>
      <c r="C35" s="309"/>
      <c r="D35" s="309"/>
      <c r="E35" s="309"/>
      <c r="F35" s="309"/>
      <c r="G35" s="309"/>
      <c r="H35" s="309"/>
      <c r="I35" s="309"/>
      <c r="J35" s="309"/>
      <c r="K35" s="309"/>
      <c r="L35" s="309"/>
      <c r="M35" s="309"/>
      <c r="N35" s="310"/>
      <c r="P35" s="195">
        <v>24</v>
      </c>
      <c r="Q35" s="308"/>
      <c r="R35" s="309"/>
      <c r="S35" s="309"/>
      <c r="T35" s="309"/>
      <c r="U35" s="309"/>
      <c r="V35" s="309"/>
      <c r="W35" s="309"/>
      <c r="X35" s="309"/>
      <c r="Y35" s="309"/>
      <c r="Z35" s="309"/>
      <c r="AA35" s="309"/>
      <c r="AB35" s="309"/>
      <c r="AC35" s="310"/>
      <c r="AE35" s="195">
        <v>24</v>
      </c>
      <c r="AF35" s="308"/>
      <c r="AG35" s="309"/>
      <c r="AH35" s="309"/>
      <c r="AI35" s="309"/>
      <c r="AJ35" s="309"/>
      <c r="AK35" s="309"/>
      <c r="AL35" s="309"/>
      <c r="AM35" s="309"/>
      <c r="AN35" s="309"/>
      <c r="AO35" s="309"/>
      <c r="AP35" s="309"/>
      <c r="AQ35" s="309"/>
      <c r="AR35" s="310"/>
      <c r="AT35" s="195">
        <v>24</v>
      </c>
      <c r="AU35" s="308"/>
      <c r="AV35" s="309"/>
      <c r="AW35" s="309"/>
      <c r="AX35" s="309"/>
      <c r="AY35" s="309"/>
      <c r="AZ35" s="309"/>
      <c r="BA35" s="309"/>
      <c r="BB35" s="309"/>
      <c r="BC35" s="309"/>
      <c r="BD35" s="309"/>
      <c r="BE35" s="309"/>
      <c r="BF35" s="309"/>
      <c r="BG35" s="310"/>
    </row>
    <row r="36" spans="1:59">
      <c r="A36" s="195">
        <v>25</v>
      </c>
      <c r="B36" s="308"/>
      <c r="C36" s="309"/>
      <c r="D36" s="309"/>
      <c r="E36" s="309"/>
      <c r="F36" s="309"/>
      <c r="G36" s="309"/>
      <c r="H36" s="309"/>
      <c r="I36" s="309"/>
      <c r="J36" s="309"/>
      <c r="K36" s="309"/>
      <c r="L36" s="309"/>
      <c r="M36" s="309"/>
      <c r="N36" s="310"/>
      <c r="P36" s="195">
        <v>25</v>
      </c>
      <c r="Q36" s="308"/>
      <c r="R36" s="309"/>
      <c r="S36" s="309"/>
      <c r="T36" s="309"/>
      <c r="U36" s="309"/>
      <c r="V36" s="309"/>
      <c r="W36" s="309"/>
      <c r="X36" s="309"/>
      <c r="Y36" s="309"/>
      <c r="Z36" s="309"/>
      <c r="AA36" s="309"/>
      <c r="AB36" s="309"/>
      <c r="AC36" s="310"/>
      <c r="AE36" s="195">
        <v>25</v>
      </c>
      <c r="AF36" s="308"/>
      <c r="AG36" s="309"/>
      <c r="AH36" s="309"/>
      <c r="AI36" s="309"/>
      <c r="AJ36" s="309"/>
      <c r="AK36" s="309"/>
      <c r="AL36" s="309"/>
      <c r="AM36" s="309"/>
      <c r="AN36" s="309"/>
      <c r="AO36" s="309"/>
      <c r="AP36" s="309"/>
      <c r="AQ36" s="309"/>
      <c r="AR36" s="310"/>
      <c r="AT36" s="195">
        <v>25</v>
      </c>
      <c r="AU36" s="308"/>
      <c r="AV36" s="309"/>
      <c r="AW36" s="309"/>
      <c r="AX36" s="309"/>
      <c r="AY36" s="309"/>
      <c r="AZ36" s="309"/>
      <c r="BA36" s="309"/>
      <c r="BB36" s="309"/>
      <c r="BC36" s="309"/>
      <c r="BD36" s="309"/>
      <c r="BE36" s="309"/>
      <c r="BF36" s="309"/>
      <c r="BG36" s="310"/>
    </row>
    <row r="37" spans="1:59">
      <c r="A37" s="195">
        <v>26</v>
      </c>
      <c r="B37" s="308"/>
      <c r="C37" s="309"/>
      <c r="D37" s="309"/>
      <c r="E37" s="309"/>
      <c r="F37" s="309"/>
      <c r="G37" s="309"/>
      <c r="H37" s="309"/>
      <c r="I37" s="309"/>
      <c r="J37" s="309"/>
      <c r="K37" s="309"/>
      <c r="L37" s="309"/>
      <c r="M37" s="309"/>
      <c r="N37" s="310"/>
      <c r="P37" s="195">
        <v>26</v>
      </c>
      <c r="Q37" s="308"/>
      <c r="R37" s="309"/>
      <c r="S37" s="309"/>
      <c r="T37" s="309"/>
      <c r="U37" s="309"/>
      <c r="V37" s="309"/>
      <c r="W37" s="309"/>
      <c r="X37" s="309"/>
      <c r="Y37" s="309"/>
      <c r="Z37" s="309"/>
      <c r="AA37" s="309"/>
      <c r="AB37" s="309"/>
      <c r="AC37" s="310"/>
      <c r="AE37" s="195">
        <v>26</v>
      </c>
      <c r="AF37" s="308"/>
      <c r="AG37" s="309"/>
      <c r="AH37" s="309"/>
      <c r="AI37" s="309"/>
      <c r="AJ37" s="309"/>
      <c r="AK37" s="309"/>
      <c r="AL37" s="309"/>
      <c r="AM37" s="309"/>
      <c r="AN37" s="309"/>
      <c r="AO37" s="309"/>
      <c r="AP37" s="309"/>
      <c r="AQ37" s="309"/>
      <c r="AR37" s="310"/>
      <c r="AT37" s="195">
        <v>26</v>
      </c>
      <c r="AU37" s="308"/>
      <c r="AV37" s="309"/>
      <c r="AW37" s="309"/>
      <c r="AX37" s="309"/>
      <c r="AY37" s="309"/>
      <c r="AZ37" s="309"/>
      <c r="BA37" s="309"/>
      <c r="BB37" s="309"/>
      <c r="BC37" s="309"/>
      <c r="BD37" s="309"/>
      <c r="BE37" s="309"/>
      <c r="BF37" s="309"/>
      <c r="BG37" s="310"/>
    </row>
    <row r="38" spans="1:59">
      <c r="A38" s="195">
        <v>27</v>
      </c>
      <c r="B38" s="308"/>
      <c r="C38" s="309"/>
      <c r="D38" s="309"/>
      <c r="E38" s="309"/>
      <c r="F38" s="309"/>
      <c r="G38" s="309"/>
      <c r="H38" s="309"/>
      <c r="I38" s="309"/>
      <c r="J38" s="309"/>
      <c r="K38" s="309"/>
      <c r="L38" s="309"/>
      <c r="M38" s="309"/>
      <c r="N38" s="310"/>
      <c r="P38" s="195">
        <v>27</v>
      </c>
      <c r="Q38" s="308"/>
      <c r="R38" s="309"/>
      <c r="S38" s="309"/>
      <c r="T38" s="309"/>
      <c r="U38" s="309"/>
      <c r="V38" s="309"/>
      <c r="W38" s="309"/>
      <c r="X38" s="309"/>
      <c r="Y38" s="309"/>
      <c r="Z38" s="309"/>
      <c r="AA38" s="309"/>
      <c r="AB38" s="309"/>
      <c r="AC38" s="310"/>
      <c r="AE38" s="195">
        <v>27</v>
      </c>
      <c r="AF38" s="308"/>
      <c r="AG38" s="309"/>
      <c r="AH38" s="309"/>
      <c r="AI38" s="309"/>
      <c r="AJ38" s="309"/>
      <c r="AK38" s="309"/>
      <c r="AL38" s="309"/>
      <c r="AM38" s="309"/>
      <c r="AN38" s="309"/>
      <c r="AO38" s="309"/>
      <c r="AP38" s="309"/>
      <c r="AQ38" s="309"/>
      <c r="AR38" s="310"/>
      <c r="AT38" s="195">
        <v>27</v>
      </c>
      <c r="AU38" s="308"/>
      <c r="AV38" s="309"/>
      <c r="AW38" s="309"/>
      <c r="AX38" s="309"/>
      <c r="AY38" s="309"/>
      <c r="AZ38" s="309"/>
      <c r="BA38" s="309"/>
      <c r="BB38" s="309"/>
      <c r="BC38" s="309"/>
      <c r="BD38" s="309"/>
      <c r="BE38" s="309"/>
      <c r="BF38" s="309"/>
      <c r="BG38" s="310"/>
    </row>
    <row r="39" spans="1:59">
      <c r="A39" s="195">
        <v>28</v>
      </c>
      <c r="B39" s="308"/>
      <c r="C39" s="309"/>
      <c r="D39" s="309"/>
      <c r="E39" s="309"/>
      <c r="F39" s="309"/>
      <c r="G39" s="309"/>
      <c r="H39" s="309"/>
      <c r="I39" s="309"/>
      <c r="J39" s="309"/>
      <c r="K39" s="309"/>
      <c r="L39" s="309"/>
      <c r="M39" s="309"/>
      <c r="N39" s="310"/>
      <c r="P39" s="195">
        <v>28</v>
      </c>
      <c r="Q39" s="308"/>
      <c r="R39" s="309"/>
      <c r="S39" s="309"/>
      <c r="T39" s="309"/>
      <c r="U39" s="309"/>
      <c r="V39" s="309"/>
      <c r="W39" s="309"/>
      <c r="X39" s="309"/>
      <c r="Y39" s="309"/>
      <c r="Z39" s="309"/>
      <c r="AA39" s="309"/>
      <c r="AB39" s="309"/>
      <c r="AC39" s="310"/>
      <c r="AE39" s="195">
        <v>28</v>
      </c>
      <c r="AF39" s="308"/>
      <c r="AG39" s="309"/>
      <c r="AH39" s="309"/>
      <c r="AI39" s="309"/>
      <c r="AJ39" s="309"/>
      <c r="AK39" s="309"/>
      <c r="AL39" s="309"/>
      <c r="AM39" s="309"/>
      <c r="AN39" s="309"/>
      <c r="AO39" s="309"/>
      <c r="AP39" s="309"/>
      <c r="AQ39" s="309"/>
      <c r="AR39" s="310"/>
      <c r="AT39" s="195">
        <v>28</v>
      </c>
      <c r="AU39" s="308"/>
      <c r="AV39" s="309"/>
      <c r="AW39" s="309"/>
      <c r="AX39" s="309"/>
      <c r="AY39" s="309"/>
      <c r="AZ39" s="309"/>
      <c r="BA39" s="309"/>
      <c r="BB39" s="309"/>
      <c r="BC39" s="309"/>
      <c r="BD39" s="309"/>
      <c r="BE39" s="309"/>
      <c r="BF39" s="309"/>
      <c r="BG39" s="310"/>
    </row>
    <row r="40" spans="1:59">
      <c r="A40" s="195">
        <v>29</v>
      </c>
      <c r="B40" s="308"/>
      <c r="C40" s="309"/>
      <c r="D40" s="309"/>
      <c r="E40" s="309"/>
      <c r="F40" s="309"/>
      <c r="G40" s="309"/>
      <c r="H40" s="309"/>
      <c r="I40" s="309"/>
      <c r="J40" s="309"/>
      <c r="K40" s="309"/>
      <c r="L40" s="309"/>
      <c r="M40" s="309"/>
      <c r="N40" s="310"/>
      <c r="P40" s="195">
        <v>29</v>
      </c>
      <c r="Q40" s="308"/>
      <c r="R40" s="309"/>
      <c r="S40" s="309"/>
      <c r="T40" s="309"/>
      <c r="U40" s="309"/>
      <c r="V40" s="309"/>
      <c r="W40" s="309"/>
      <c r="X40" s="309"/>
      <c r="Y40" s="309"/>
      <c r="Z40" s="309"/>
      <c r="AA40" s="309"/>
      <c r="AB40" s="309"/>
      <c r="AC40" s="310"/>
      <c r="AE40" s="195">
        <v>29</v>
      </c>
      <c r="AF40" s="308"/>
      <c r="AG40" s="309"/>
      <c r="AH40" s="309"/>
      <c r="AI40" s="309"/>
      <c r="AJ40" s="309"/>
      <c r="AK40" s="309"/>
      <c r="AL40" s="309"/>
      <c r="AM40" s="309"/>
      <c r="AN40" s="309"/>
      <c r="AO40" s="309"/>
      <c r="AP40" s="309"/>
      <c r="AQ40" s="309"/>
      <c r="AR40" s="310"/>
      <c r="AT40" s="195">
        <v>29</v>
      </c>
      <c r="AU40" s="308"/>
      <c r="AV40" s="309"/>
      <c r="AW40" s="309"/>
      <c r="AX40" s="309"/>
      <c r="AY40" s="309"/>
      <c r="AZ40" s="309"/>
      <c r="BA40" s="309"/>
      <c r="BB40" s="309"/>
      <c r="BC40" s="309"/>
      <c r="BD40" s="309"/>
      <c r="BE40" s="309"/>
      <c r="BF40" s="309"/>
      <c r="BG40" s="310"/>
    </row>
    <row r="41" spans="1:59">
      <c r="A41" s="195">
        <v>30</v>
      </c>
      <c r="B41" s="308"/>
      <c r="C41" s="309"/>
      <c r="D41" s="309"/>
      <c r="E41" s="309"/>
      <c r="F41" s="309"/>
      <c r="G41" s="309"/>
      <c r="H41" s="309"/>
      <c r="I41" s="309"/>
      <c r="J41" s="309"/>
      <c r="K41" s="309"/>
      <c r="L41" s="309"/>
      <c r="M41" s="309"/>
      <c r="N41" s="310"/>
      <c r="P41" s="195">
        <v>30</v>
      </c>
      <c r="Q41" s="308"/>
      <c r="R41" s="309"/>
      <c r="S41" s="309"/>
      <c r="T41" s="309"/>
      <c r="U41" s="309"/>
      <c r="V41" s="309"/>
      <c r="W41" s="309"/>
      <c r="X41" s="309"/>
      <c r="Y41" s="309"/>
      <c r="Z41" s="309"/>
      <c r="AA41" s="309"/>
      <c r="AB41" s="309"/>
      <c r="AC41" s="310"/>
      <c r="AE41" s="195">
        <v>30</v>
      </c>
      <c r="AF41" s="308"/>
      <c r="AG41" s="309"/>
      <c r="AH41" s="309"/>
      <c r="AI41" s="309"/>
      <c r="AJ41" s="309"/>
      <c r="AK41" s="309"/>
      <c r="AL41" s="309"/>
      <c r="AM41" s="309"/>
      <c r="AN41" s="309"/>
      <c r="AO41" s="309"/>
      <c r="AP41" s="309"/>
      <c r="AQ41" s="309"/>
      <c r="AR41" s="310"/>
      <c r="AT41" s="195">
        <v>30</v>
      </c>
      <c r="AU41" s="308"/>
      <c r="AV41" s="309"/>
      <c r="AW41" s="309"/>
      <c r="AX41" s="309"/>
      <c r="AY41" s="309"/>
      <c r="AZ41" s="309"/>
      <c r="BA41" s="309"/>
      <c r="BB41" s="309"/>
      <c r="BC41" s="309"/>
      <c r="BD41" s="309"/>
      <c r="BE41" s="309"/>
      <c r="BF41" s="309"/>
      <c r="BG41" s="310"/>
    </row>
    <row r="42" spans="1:59">
      <c r="A42" s="195">
        <v>31</v>
      </c>
      <c r="B42" s="308"/>
      <c r="C42" s="309"/>
      <c r="D42" s="309"/>
      <c r="E42" s="309"/>
      <c r="F42" s="309"/>
      <c r="G42" s="309"/>
      <c r="H42" s="309"/>
      <c r="I42" s="309"/>
      <c r="J42" s="309"/>
      <c r="K42" s="309"/>
      <c r="L42" s="309"/>
      <c r="M42" s="309"/>
      <c r="N42" s="310"/>
      <c r="P42" s="195">
        <v>31</v>
      </c>
      <c r="Q42" s="308"/>
      <c r="R42" s="309"/>
      <c r="S42" s="309"/>
      <c r="T42" s="309"/>
      <c r="U42" s="309"/>
      <c r="V42" s="309"/>
      <c r="W42" s="309"/>
      <c r="X42" s="309"/>
      <c r="Y42" s="309"/>
      <c r="Z42" s="309"/>
      <c r="AA42" s="309"/>
      <c r="AB42" s="309"/>
      <c r="AC42" s="310"/>
      <c r="AE42" s="195">
        <v>31</v>
      </c>
      <c r="AF42" s="308"/>
      <c r="AG42" s="309"/>
      <c r="AH42" s="309"/>
      <c r="AI42" s="309"/>
      <c r="AJ42" s="309"/>
      <c r="AK42" s="309"/>
      <c r="AL42" s="309"/>
      <c r="AM42" s="309"/>
      <c r="AN42" s="309"/>
      <c r="AO42" s="309"/>
      <c r="AP42" s="309"/>
      <c r="AQ42" s="309"/>
      <c r="AR42" s="310"/>
      <c r="AT42" s="195">
        <v>31</v>
      </c>
      <c r="AU42" s="308"/>
      <c r="AV42" s="309"/>
      <c r="AW42" s="309"/>
      <c r="AX42" s="309"/>
      <c r="AY42" s="309"/>
      <c r="AZ42" s="309"/>
      <c r="BA42" s="309"/>
      <c r="BB42" s="309"/>
      <c r="BC42" s="309"/>
      <c r="BD42" s="309"/>
      <c r="BE42" s="309"/>
      <c r="BF42" s="309"/>
      <c r="BG42" s="310"/>
    </row>
    <row r="43" spans="1:59">
      <c r="A43" s="195">
        <v>32</v>
      </c>
      <c r="B43" s="308"/>
      <c r="C43" s="309"/>
      <c r="D43" s="309"/>
      <c r="E43" s="309"/>
      <c r="F43" s="309"/>
      <c r="G43" s="309"/>
      <c r="H43" s="309"/>
      <c r="I43" s="309"/>
      <c r="J43" s="309"/>
      <c r="K43" s="309"/>
      <c r="L43" s="309"/>
      <c r="M43" s="309"/>
      <c r="N43" s="310"/>
      <c r="P43" s="195">
        <v>32</v>
      </c>
      <c r="Q43" s="308"/>
      <c r="R43" s="309"/>
      <c r="S43" s="309"/>
      <c r="T43" s="309"/>
      <c r="U43" s="309"/>
      <c r="V43" s="309"/>
      <c r="W43" s="309"/>
      <c r="X43" s="309"/>
      <c r="Y43" s="309"/>
      <c r="Z43" s="309"/>
      <c r="AA43" s="309"/>
      <c r="AB43" s="309"/>
      <c r="AC43" s="310"/>
      <c r="AE43" s="195">
        <v>32</v>
      </c>
      <c r="AF43" s="308"/>
      <c r="AG43" s="309"/>
      <c r="AH43" s="309"/>
      <c r="AI43" s="309"/>
      <c r="AJ43" s="309"/>
      <c r="AK43" s="309"/>
      <c r="AL43" s="309"/>
      <c r="AM43" s="309"/>
      <c r="AN43" s="309"/>
      <c r="AO43" s="309"/>
      <c r="AP43" s="309"/>
      <c r="AQ43" s="309"/>
      <c r="AR43" s="310"/>
      <c r="AT43" s="195">
        <v>32</v>
      </c>
      <c r="AU43" s="308"/>
      <c r="AV43" s="309"/>
      <c r="AW43" s="309"/>
      <c r="AX43" s="309"/>
      <c r="AY43" s="309"/>
      <c r="AZ43" s="309"/>
      <c r="BA43" s="309"/>
      <c r="BB43" s="309"/>
      <c r="BC43" s="309"/>
      <c r="BD43" s="309"/>
      <c r="BE43" s="309"/>
      <c r="BF43" s="309"/>
      <c r="BG43" s="310"/>
    </row>
    <row r="44" spans="1:59">
      <c r="A44" s="195">
        <v>33</v>
      </c>
      <c r="B44" s="308"/>
      <c r="C44" s="309"/>
      <c r="D44" s="309"/>
      <c r="E44" s="309"/>
      <c r="F44" s="309"/>
      <c r="G44" s="309"/>
      <c r="H44" s="309"/>
      <c r="I44" s="309"/>
      <c r="J44" s="309"/>
      <c r="K44" s="309"/>
      <c r="L44" s="309"/>
      <c r="M44" s="309"/>
      <c r="N44" s="310"/>
      <c r="P44" s="195">
        <v>33</v>
      </c>
      <c r="Q44" s="308"/>
      <c r="R44" s="309"/>
      <c r="S44" s="309"/>
      <c r="T44" s="309"/>
      <c r="U44" s="309"/>
      <c r="V44" s="309"/>
      <c r="W44" s="309"/>
      <c r="X44" s="309"/>
      <c r="Y44" s="309"/>
      <c r="Z44" s="309"/>
      <c r="AA44" s="309"/>
      <c r="AB44" s="309"/>
      <c r="AC44" s="310"/>
      <c r="AE44" s="195">
        <v>33</v>
      </c>
      <c r="AF44" s="308"/>
      <c r="AG44" s="309"/>
      <c r="AH44" s="309"/>
      <c r="AI44" s="309"/>
      <c r="AJ44" s="309"/>
      <c r="AK44" s="309"/>
      <c r="AL44" s="309"/>
      <c r="AM44" s="309"/>
      <c r="AN44" s="309"/>
      <c r="AO44" s="309"/>
      <c r="AP44" s="309"/>
      <c r="AQ44" s="309"/>
      <c r="AR44" s="310"/>
      <c r="AT44" s="195">
        <v>33</v>
      </c>
      <c r="AU44" s="308"/>
      <c r="AV44" s="309"/>
      <c r="AW44" s="309"/>
      <c r="AX44" s="309"/>
      <c r="AY44" s="309"/>
      <c r="AZ44" s="309"/>
      <c r="BA44" s="309"/>
      <c r="BB44" s="309"/>
      <c r="BC44" s="309"/>
      <c r="BD44" s="309"/>
      <c r="BE44" s="309"/>
      <c r="BF44" s="309"/>
      <c r="BG44" s="310"/>
    </row>
    <row r="45" spans="1:59">
      <c r="A45" s="195">
        <v>34</v>
      </c>
      <c r="B45" s="308"/>
      <c r="C45" s="309"/>
      <c r="D45" s="309"/>
      <c r="E45" s="309"/>
      <c r="F45" s="309"/>
      <c r="G45" s="309"/>
      <c r="H45" s="309"/>
      <c r="I45" s="309"/>
      <c r="J45" s="309"/>
      <c r="K45" s="309"/>
      <c r="L45" s="309"/>
      <c r="M45" s="309"/>
      <c r="N45" s="310"/>
      <c r="P45" s="195">
        <v>34</v>
      </c>
      <c r="Q45" s="308"/>
      <c r="R45" s="309"/>
      <c r="S45" s="309"/>
      <c r="T45" s="309"/>
      <c r="U45" s="309"/>
      <c r="V45" s="309"/>
      <c r="W45" s="309"/>
      <c r="X45" s="309"/>
      <c r="Y45" s="309"/>
      <c r="Z45" s="309"/>
      <c r="AA45" s="309"/>
      <c r="AB45" s="309"/>
      <c r="AC45" s="310"/>
      <c r="AE45" s="195">
        <v>34</v>
      </c>
      <c r="AF45" s="308"/>
      <c r="AG45" s="309"/>
      <c r="AH45" s="309"/>
      <c r="AI45" s="309"/>
      <c r="AJ45" s="309"/>
      <c r="AK45" s="309"/>
      <c r="AL45" s="309"/>
      <c r="AM45" s="309"/>
      <c r="AN45" s="309"/>
      <c r="AO45" s="309"/>
      <c r="AP45" s="309"/>
      <c r="AQ45" s="309"/>
      <c r="AR45" s="310"/>
      <c r="AT45" s="195">
        <v>34</v>
      </c>
      <c r="AU45" s="308"/>
      <c r="AV45" s="309"/>
      <c r="AW45" s="309"/>
      <c r="AX45" s="309"/>
      <c r="AY45" s="309"/>
      <c r="AZ45" s="309"/>
      <c r="BA45" s="309"/>
      <c r="BB45" s="309"/>
      <c r="BC45" s="309"/>
      <c r="BD45" s="309"/>
      <c r="BE45" s="309"/>
      <c r="BF45" s="309"/>
      <c r="BG45" s="310"/>
    </row>
    <row r="46" spans="1:59">
      <c r="A46" s="195">
        <v>35</v>
      </c>
      <c r="B46" s="308"/>
      <c r="C46" s="309"/>
      <c r="D46" s="309"/>
      <c r="E46" s="309"/>
      <c r="F46" s="309"/>
      <c r="G46" s="309"/>
      <c r="H46" s="309"/>
      <c r="I46" s="309"/>
      <c r="J46" s="309"/>
      <c r="K46" s="309"/>
      <c r="L46" s="309"/>
      <c r="M46" s="309"/>
      <c r="N46" s="310"/>
      <c r="P46" s="195">
        <v>35</v>
      </c>
      <c r="Q46" s="308"/>
      <c r="R46" s="309"/>
      <c r="S46" s="309"/>
      <c r="T46" s="309"/>
      <c r="U46" s="309"/>
      <c r="V46" s="309"/>
      <c r="W46" s="309"/>
      <c r="X46" s="309"/>
      <c r="Y46" s="309"/>
      <c r="Z46" s="309"/>
      <c r="AA46" s="309"/>
      <c r="AB46" s="309"/>
      <c r="AC46" s="310"/>
      <c r="AE46" s="195">
        <v>35</v>
      </c>
      <c r="AF46" s="308"/>
      <c r="AG46" s="309"/>
      <c r="AH46" s="309"/>
      <c r="AI46" s="309"/>
      <c r="AJ46" s="309"/>
      <c r="AK46" s="309"/>
      <c r="AL46" s="309"/>
      <c r="AM46" s="309"/>
      <c r="AN46" s="309"/>
      <c r="AO46" s="309"/>
      <c r="AP46" s="309"/>
      <c r="AQ46" s="309"/>
      <c r="AR46" s="310"/>
      <c r="AT46" s="195">
        <v>35</v>
      </c>
      <c r="AU46" s="308"/>
      <c r="AV46" s="309"/>
      <c r="AW46" s="309"/>
      <c r="AX46" s="309"/>
      <c r="AY46" s="309"/>
      <c r="AZ46" s="309"/>
      <c r="BA46" s="309"/>
      <c r="BB46" s="309"/>
      <c r="BC46" s="309"/>
      <c r="BD46" s="309"/>
      <c r="BE46" s="309"/>
      <c r="BF46" s="309"/>
      <c r="BG46" s="310"/>
    </row>
    <row r="47" spans="1:59">
      <c r="A47" s="195">
        <v>36</v>
      </c>
      <c r="B47" s="308"/>
      <c r="C47" s="309"/>
      <c r="D47" s="309"/>
      <c r="E47" s="309"/>
      <c r="F47" s="309"/>
      <c r="G47" s="309"/>
      <c r="H47" s="309"/>
      <c r="I47" s="309"/>
      <c r="J47" s="309"/>
      <c r="K47" s="309"/>
      <c r="L47" s="309"/>
      <c r="M47" s="309"/>
      <c r="N47" s="310"/>
      <c r="P47" s="195">
        <v>36</v>
      </c>
      <c r="Q47" s="308"/>
      <c r="R47" s="309"/>
      <c r="S47" s="309"/>
      <c r="T47" s="309"/>
      <c r="U47" s="309"/>
      <c r="V47" s="309"/>
      <c r="W47" s="309"/>
      <c r="X47" s="309"/>
      <c r="Y47" s="309"/>
      <c r="Z47" s="309"/>
      <c r="AA47" s="309"/>
      <c r="AB47" s="309"/>
      <c r="AC47" s="310"/>
      <c r="AE47" s="195">
        <v>36</v>
      </c>
      <c r="AF47" s="308"/>
      <c r="AG47" s="309"/>
      <c r="AH47" s="309"/>
      <c r="AI47" s="309"/>
      <c r="AJ47" s="309"/>
      <c r="AK47" s="309"/>
      <c r="AL47" s="309"/>
      <c r="AM47" s="309"/>
      <c r="AN47" s="309"/>
      <c r="AO47" s="309"/>
      <c r="AP47" s="309"/>
      <c r="AQ47" s="309"/>
      <c r="AR47" s="310"/>
      <c r="AT47" s="195">
        <v>36</v>
      </c>
      <c r="AU47" s="308"/>
      <c r="AV47" s="309"/>
      <c r="AW47" s="309"/>
      <c r="AX47" s="309"/>
      <c r="AY47" s="309"/>
      <c r="AZ47" s="309"/>
      <c r="BA47" s="309"/>
      <c r="BB47" s="309"/>
      <c r="BC47" s="309"/>
      <c r="BD47" s="309"/>
      <c r="BE47" s="309"/>
      <c r="BF47" s="309"/>
      <c r="BG47" s="310"/>
    </row>
    <row r="48" spans="1:59">
      <c r="A48" s="195">
        <v>37</v>
      </c>
      <c r="B48" s="308"/>
      <c r="C48" s="309"/>
      <c r="D48" s="309"/>
      <c r="E48" s="309"/>
      <c r="F48" s="309"/>
      <c r="G48" s="309"/>
      <c r="H48" s="309"/>
      <c r="I48" s="309"/>
      <c r="J48" s="309"/>
      <c r="K48" s="309"/>
      <c r="L48" s="309"/>
      <c r="M48" s="309"/>
      <c r="N48" s="310"/>
      <c r="P48" s="195">
        <v>37</v>
      </c>
      <c r="Q48" s="308"/>
      <c r="R48" s="309"/>
      <c r="S48" s="309"/>
      <c r="T48" s="309"/>
      <c r="U48" s="309"/>
      <c r="V48" s="309"/>
      <c r="W48" s="309"/>
      <c r="X48" s="309"/>
      <c r="Y48" s="309"/>
      <c r="Z48" s="309"/>
      <c r="AA48" s="309"/>
      <c r="AB48" s="309"/>
      <c r="AC48" s="310"/>
      <c r="AE48" s="195">
        <v>37</v>
      </c>
      <c r="AF48" s="308"/>
      <c r="AG48" s="309"/>
      <c r="AH48" s="309"/>
      <c r="AI48" s="309"/>
      <c r="AJ48" s="309"/>
      <c r="AK48" s="309"/>
      <c r="AL48" s="309"/>
      <c r="AM48" s="309"/>
      <c r="AN48" s="309"/>
      <c r="AO48" s="309"/>
      <c r="AP48" s="309"/>
      <c r="AQ48" s="309"/>
      <c r="AR48" s="310"/>
      <c r="AT48" s="195">
        <v>37</v>
      </c>
      <c r="AU48" s="308"/>
      <c r="AV48" s="309"/>
      <c r="AW48" s="309"/>
      <c r="AX48" s="309"/>
      <c r="AY48" s="309"/>
      <c r="AZ48" s="309"/>
      <c r="BA48" s="309"/>
      <c r="BB48" s="309"/>
      <c r="BC48" s="309"/>
      <c r="BD48" s="309"/>
      <c r="BE48" s="309"/>
      <c r="BF48" s="309"/>
      <c r="BG48" s="310"/>
    </row>
    <row r="49" spans="1:59">
      <c r="A49" s="195">
        <v>38</v>
      </c>
      <c r="B49" s="308"/>
      <c r="C49" s="309"/>
      <c r="D49" s="309"/>
      <c r="E49" s="309"/>
      <c r="F49" s="309"/>
      <c r="G49" s="309"/>
      <c r="H49" s="309"/>
      <c r="I49" s="309"/>
      <c r="J49" s="309"/>
      <c r="K49" s="309"/>
      <c r="L49" s="309"/>
      <c r="M49" s="309"/>
      <c r="N49" s="310"/>
      <c r="P49" s="195">
        <v>38</v>
      </c>
      <c r="Q49" s="308"/>
      <c r="R49" s="309"/>
      <c r="S49" s="309"/>
      <c r="T49" s="309"/>
      <c r="U49" s="309"/>
      <c r="V49" s="309"/>
      <c r="W49" s="309"/>
      <c r="X49" s="309"/>
      <c r="Y49" s="309"/>
      <c r="Z49" s="309"/>
      <c r="AA49" s="309"/>
      <c r="AB49" s="309"/>
      <c r="AC49" s="310"/>
      <c r="AE49" s="195">
        <v>38</v>
      </c>
      <c r="AF49" s="308"/>
      <c r="AG49" s="309"/>
      <c r="AH49" s="309"/>
      <c r="AI49" s="309"/>
      <c r="AJ49" s="309"/>
      <c r="AK49" s="309"/>
      <c r="AL49" s="309"/>
      <c r="AM49" s="309"/>
      <c r="AN49" s="309"/>
      <c r="AO49" s="309"/>
      <c r="AP49" s="309"/>
      <c r="AQ49" s="309"/>
      <c r="AR49" s="310"/>
      <c r="AT49" s="195">
        <v>38</v>
      </c>
      <c r="AU49" s="308"/>
      <c r="AV49" s="309"/>
      <c r="AW49" s="309"/>
      <c r="AX49" s="309"/>
      <c r="AY49" s="309"/>
      <c r="AZ49" s="309"/>
      <c r="BA49" s="309"/>
      <c r="BB49" s="309"/>
      <c r="BC49" s="309"/>
      <c r="BD49" s="309"/>
      <c r="BE49" s="309"/>
      <c r="BF49" s="309"/>
      <c r="BG49" s="310"/>
    </row>
    <row r="50" spans="1:59">
      <c r="A50" s="195">
        <v>39</v>
      </c>
      <c r="B50" s="308"/>
      <c r="C50" s="309"/>
      <c r="D50" s="309"/>
      <c r="E50" s="309"/>
      <c r="F50" s="309"/>
      <c r="G50" s="309"/>
      <c r="H50" s="309"/>
      <c r="I50" s="309"/>
      <c r="J50" s="309"/>
      <c r="K50" s="309"/>
      <c r="L50" s="309"/>
      <c r="M50" s="309"/>
      <c r="N50" s="310"/>
      <c r="P50" s="195">
        <v>39</v>
      </c>
      <c r="Q50" s="308"/>
      <c r="R50" s="309"/>
      <c r="S50" s="309"/>
      <c r="T50" s="309"/>
      <c r="U50" s="309"/>
      <c r="V50" s="309"/>
      <c r="W50" s="309"/>
      <c r="X50" s="309"/>
      <c r="Y50" s="309"/>
      <c r="Z50" s="309"/>
      <c r="AA50" s="309"/>
      <c r="AB50" s="309"/>
      <c r="AC50" s="310"/>
      <c r="AE50" s="195">
        <v>39</v>
      </c>
      <c r="AF50" s="308"/>
      <c r="AG50" s="309"/>
      <c r="AH50" s="309"/>
      <c r="AI50" s="309"/>
      <c r="AJ50" s="309"/>
      <c r="AK50" s="309"/>
      <c r="AL50" s="309"/>
      <c r="AM50" s="309"/>
      <c r="AN50" s="309"/>
      <c r="AO50" s="309"/>
      <c r="AP50" s="309"/>
      <c r="AQ50" s="309"/>
      <c r="AR50" s="310"/>
      <c r="AT50" s="195">
        <v>39</v>
      </c>
      <c r="AU50" s="308"/>
      <c r="AV50" s="309"/>
      <c r="AW50" s="309"/>
      <c r="AX50" s="309"/>
      <c r="AY50" s="309"/>
      <c r="AZ50" s="309"/>
      <c r="BA50" s="309"/>
      <c r="BB50" s="309"/>
      <c r="BC50" s="309"/>
      <c r="BD50" s="309"/>
      <c r="BE50" s="309"/>
      <c r="BF50" s="309"/>
      <c r="BG50" s="310"/>
    </row>
    <row r="51" spans="1:59">
      <c r="A51" s="195">
        <v>40</v>
      </c>
      <c r="B51" s="308"/>
      <c r="C51" s="309"/>
      <c r="D51" s="309"/>
      <c r="E51" s="309"/>
      <c r="F51" s="309"/>
      <c r="G51" s="309"/>
      <c r="H51" s="309"/>
      <c r="I51" s="309"/>
      <c r="J51" s="309"/>
      <c r="K51" s="309"/>
      <c r="L51" s="309"/>
      <c r="M51" s="309"/>
      <c r="N51" s="310"/>
      <c r="P51" s="195">
        <v>40</v>
      </c>
      <c r="Q51" s="308"/>
      <c r="R51" s="309"/>
      <c r="S51" s="309"/>
      <c r="T51" s="309"/>
      <c r="U51" s="309"/>
      <c r="V51" s="309"/>
      <c r="W51" s="309"/>
      <c r="X51" s="309"/>
      <c r="Y51" s="309"/>
      <c r="Z51" s="309"/>
      <c r="AA51" s="309"/>
      <c r="AB51" s="309"/>
      <c r="AC51" s="310"/>
      <c r="AE51" s="195">
        <v>40</v>
      </c>
      <c r="AF51" s="308"/>
      <c r="AG51" s="309"/>
      <c r="AH51" s="309"/>
      <c r="AI51" s="309"/>
      <c r="AJ51" s="309"/>
      <c r="AK51" s="309"/>
      <c r="AL51" s="309"/>
      <c r="AM51" s="309"/>
      <c r="AN51" s="309"/>
      <c r="AO51" s="309"/>
      <c r="AP51" s="309"/>
      <c r="AQ51" s="309"/>
      <c r="AR51" s="310"/>
      <c r="AT51" s="195">
        <v>40</v>
      </c>
      <c r="AU51" s="308"/>
      <c r="AV51" s="309"/>
      <c r="AW51" s="309"/>
      <c r="AX51" s="309"/>
      <c r="AY51" s="309"/>
      <c r="AZ51" s="309"/>
      <c r="BA51" s="309"/>
      <c r="BB51" s="309"/>
      <c r="BC51" s="309"/>
      <c r="BD51" s="309"/>
      <c r="BE51" s="309"/>
      <c r="BF51" s="309"/>
      <c r="BG51" s="310"/>
    </row>
    <row r="52" spans="1:59">
      <c r="A52" s="195">
        <v>41</v>
      </c>
      <c r="B52" s="308"/>
      <c r="C52" s="309"/>
      <c r="D52" s="309"/>
      <c r="E52" s="309"/>
      <c r="F52" s="309"/>
      <c r="G52" s="309"/>
      <c r="H52" s="309"/>
      <c r="I52" s="309"/>
      <c r="J52" s="309"/>
      <c r="K52" s="309"/>
      <c r="L52" s="309"/>
      <c r="M52" s="309"/>
      <c r="N52" s="310"/>
      <c r="P52" s="195">
        <v>41</v>
      </c>
      <c r="Q52" s="308"/>
      <c r="R52" s="309"/>
      <c r="S52" s="309"/>
      <c r="T52" s="309"/>
      <c r="U52" s="309"/>
      <c r="V52" s="309"/>
      <c r="W52" s="309"/>
      <c r="X52" s="309"/>
      <c r="Y52" s="309"/>
      <c r="Z52" s="309"/>
      <c r="AA52" s="309"/>
      <c r="AB52" s="309"/>
      <c r="AC52" s="310"/>
      <c r="AE52" s="195">
        <v>41</v>
      </c>
      <c r="AF52" s="308"/>
      <c r="AG52" s="309"/>
      <c r="AH52" s="309"/>
      <c r="AI52" s="309"/>
      <c r="AJ52" s="309"/>
      <c r="AK52" s="309"/>
      <c r="AL52" s="309"/>
      <c r="AM52" s="309"/>
      <c r="AN52" s="309"/>
      <c r="AO52" s="309"/>
      <c r="AP52" s="309"/>
      <c r="AQ52" s="309"/>
      <c r="AR52" s="310"/>
      <c r="AT52" s="195">
        <v>41</v>
      </c>
      <c r="AU52" s="308"/>
      <c r="AV52" s="309"/>
      <c r="AW52" s="309"/>
      <c r="AX52" s="309"/>
      <c r="AY52" s="309"/>
      <c r="AZ52" s="309"/>
      <c r="BA52" s="309"/>
      <c r="BB52" s="309"/>
      <c r="BC52" s="309"/>
      <c r="BD52" s="309"/>
      <c r="BE52" s="309"/>
      <c r="BF52" s="309"/>
      <c r="BG52" s="310"/>
    </row>
    <row r="53" spans="1:59">
      <c r="A53" s="195">
        <v>42</v>
      </c>
      <c r="B53" s="308"/>
      <c r="C53" s="309"/>
      <c r="D53" s="309"/>
      <c r="E53" s="309"/>
      <c r="F53" s="309"/>
      <c r="G53" s="309"/>
      <c r="H53" s="309"/>
      <c r="I53" s="309"/>
      <c r="J53" s="309"/>
      <c r="K53" s="309"/>
      <c r="L53" s="309"/>
      <c r="M53" s="309"/>
      <c r="N53" s="310"/>
      <c r="P53" s="195">
        <v>42</v>
      </c>
      <c r="Q53" s="308"/>
      <c r="R53" s="309"/>
      <c r="S53" s="309"/>
      <c r="T53" s="309"/>
      <c r="U53" s="309"/>
      <c r="V53" s="309"/>
      <c r="W53" s="309"/>
      <c r="X53" s="309"/>
      <c r="Y53" s="309"/>
      <c r="Z53" s="309"/>
      <c r="AA53" s="309"/>
      <c r="AB53" s="309"/>
      <c r="AC53" s="310"/>
      <c r="AE53" s="195">
        <v>42</v>
      </c>
      <c r="AF53" s="308"/>
      <c r="AG53" s="309"/>
      <c r="AH53" s="309"/>
      <c r="AI53" s="309"/>
      <c r="AJ53" s="309"/>
      <c r="AK53" s="309"/>
      <c r="AL53" s="309"/>
      <c r="AM53" s="309"/>
      <c r="AN53" s="309"/>
      <c r="AO53" s="309"/>
      <c r="AP53" s="309"/>
      <c r="AQ53" s="309"/>
      <c r="AR53" s="310"/>
      <c r="AT53" s="195">
        <v>42</v>
      </c>
      <c r="AU53" s="308"/>
      <c r="AV53" s="309"/>
      <c r="AW53" s="309"/>
      <c r="AX53" s="309"/>
      <c r="AY53" s="309"/>
      <c r="AZ53" s="309"/>
      <c r="BA53" s="309"/>
      <c r="BB53" s="309"/>
      <c r="BC53" s="309"/>
      <c r="BD53" s="309"/>
      <c r="BE53" s="309"/>
      <c r="BF53" s="309"/>
      <c r="BG53" s="310"/>
    </row>
    <row r="54" spans="1:59">
      <c r="A54" s="195">
        <v>43</v>
      </c>
      <c r="B54" s="308"/>
      <c r="C54" s="309"/>
      <c r="D54" s="309"/>
      <c r="E54" s="309"/>
      <c r="F54" s="309"/>
      <c r="G54" s="309"/>
      <c r="H54" s="309"/>
      <c r="I54" s="309"/>
      <c r="J54" s="309"/>
      <c r="K54" s="309"/>
      <c r="L54" s="309"/>
      <c r="M54" s="309"/>
      <c r="N54" s="310"/>
      <c r="P54" s="195">
        <v>43</v>
      </c>
      <c r="Q54" s="308"/>
      <c r="R54" s="309"/>
      <c r="S54" s="309"/>
      <c r="T54" s="309"/>
      <c r="U54" s="309"/>
      <c r="V54" s="309"/>
      <c r="W54" s="309"/>
      <c r="X54" s="309"/>
      <c r="Y54" s="309"/>
      <c r="Z54" s="309"/>
      <c r="AA54" s="309"/>
      <c r="AB54" s="309"/>
      <c r="AC54" s="310"/>
      <c r="AE54" s="195">
        <v>43</v>
      </c>
      <c r="AF54" s="308"/>
      <c r="AG54" s="309"/>
      <c r="AH54" s="309"/>
      <c r="AI54" s="309"/>
      <c r="AJ54" s="309"/>
      <c r="AK54" s="309"/>
      <c r="AL54" s="309"/>
      <c r="AM54" s="309"/>
      <c r="AN54" s="309"/>
      <c r="AO54" s="309"/>
      <c r="AP54" s="309"/>
      <c r="AQ54" s="309"/>
      <c r="AR54" s="310"/>
      <c r="AT54" s="195">
        <v>43</v>
      </c>
      <c r="AU54" s="308"/>
      <c r="AV54" s="309"/>
      <c r="AW54" s="309"/>
      <c r="AX54" s="309"/>
      <c r="AY54" s="309"/>
      <c r="AZ54" s="309"/>
      <c r="BA54" s="309"/>
      <c r="BB54" s="309"/>
      <c r="BC54" s="309"/>
      <c r="BD54" s="309"/>
      <c r="BE54" s="309"/>
      <c r="BF54" s="309"/>
      <c r="BG54" s="310"/>
    </row>
    <row r="55" spans="1:59">
      <c r="A55" s="195">
        <v>44</v>
      </c>
      <c r="B55" s="308"/>
      <c r="C55" s="309"/>
      <c r="D55" s="309"/>
      <c r="E55" s="309"/>
      <c r="F55" s="309"/>
      <c r="G55" s="309"/>
      <c r="H55" s="309"/>
      <c r="I55" s="309"/>
      <c r="J55" s="309"/>
      <c r="K55" s="309"/>
      <c r="L55" s="309"/>
      <c r="M55" s="309"/>
      <c r="N55" s="310"/>
      <c r="P55" s="195">
        <v>44</v>
      </c>
      <c r="Q55" s="308"/>
      <c r="R55" s="309"/>
      <c r="S55" s="309"/>
      <c r="T55" s="309"/>
      <c r="U55" s="309"/>
      <c r="V55" s="309"/>
      <c r="W55" s="309"/>
      <c r="X55" s="309"/>
      <c r="Y55" s="309"/>
      <c r="Z55" s="309"/>
      <c r="AA55" s="309"/>
      <c r="AB55" s="309"/>
      <c r="AC55" s="310"/>
      <c r="AE55" s="195">
        <v>44</v>
      </c>
      <c r="AF55" s="308"/>
      <c r="AG55" s="309"/>
      <c r="AH55" s="309"/>
      <c r="AI55" s="309"/>
      <c r="AJ55" s="309"/>
      <c r="AK55" s="309"/>
      <c r="AL55" s="309"/>
      <c r="AM55" s="309"/>
      <c r="AN55" s="309"/>
      <c r="AO55" s="309"/>
      <c r="AP55" s="309"/>
      <c r="AQ55" s="309"/>
      <c r="AR55" s="310"/>
      <c r="AT55" s="195">
        <v>44</v>
      </c>
      <c r="AU55" s="308"/>
      <c r="AV55" s="309"/>
      <c r="AW55" s="309"/>
      <c r="AX55" s="309"/>
      <c r="AY55" s="309"/>
      <c r="AZ55" s="309"/>
      <c r="BA55" s="309"/>
      <c r="BB55" s="309"/>
      <c r="BC55" s="309"/>
      <c r="BD55" s="309"/>
      <c r="BE55" s="309"/>
      <c r="BF55" s="309"/>
      <c r="BG55" s="310"/>
    </row>
    <row r="56" spans="1:59">
      <c r="A56" s="195">
        <v>45</v>
      </c>
      <c r="B56" s="308"/>
      <c r="C56" s="309"/>
      <c r="D56" s="309"/>
      <c r="E56" s="309"/>
      <c r="F56" s="309"/>
      <c r="G56" s="309"/>
      <c r="H56" s="309"/>
      <c r="I56" s="309"/>
      <c r="J56" s="309"/>
      <c r="K56" s="309"/>
      <c r="L56" s="309"/>
      <c r="M56" s="309"/>
      <c r="N56" s="310"/>
      <c r="P56" s="195">
        <v>45</v>
      </c>
      <c r="Q56" s="308"/>
      <c r="R56" s="309"/>
      <c r="S56" s="309"/>
      <c r="T56" s="309"/>
      <c r="U56" s="309"/>
      <c r="V56" s="309"/>
      <c r="W56" s="309"/>
      <c r="X56" s="309"/>
      <c r="Y56" s="309"/>
      <c r="Z56" s="309"/>
      <c r="AA56" s="309"/>
      <c r="AB56" s="309"/>
      <c r="AC56" s="310"/>
      <c r="AE56" s="195">
        <v>45</v>
      </c>
      <c r="AF56" s="308"/>
      <c r="AG56" s="309"/>
      <c r="AH56" s="309"/>
      <c r="AI56" s="309"/>
      <c r="AJ56" s="309"/>
      <c r="AK56" s="309"/>
      <c r="AL56" s="309"/>
      <c r="AM56" s="309"/>
      <c r="AN56" s="309"/>
      <c r="AO56" s="309"/>
      <c r="AP56" s="309"/>
      <c r="AQ56" s="309"/>
      <c r="AR56" s="310"/>
      <c r="AT56" s="195">
        <v>45</v>
      </c>
      <c r="AU56" s="308"/>
      <c r="AV56" s="309"/>
      <c r="AW56" s="309"/>
      <c r="AX56" s="309"/>
      <c r="AY56" s="309"/>
      <c r="AZ56" s="309"/>
      <c r="BA56" s="309"/>
      <c r="BB56" s="309"/>
      <c r="BC56" s="309"/>
      <c r="BD56" s="309"/>
      <c r="BE56" s="309"/>
      <c r="BF56" s="309"/>
      <c r="BG56" s="310"/>
    </row>
    <row r="57" spans="1:59">
      <c r="A57" s="195">
        <v>46</v>
      </c>
      <c r="B57" s="308"/>
      <c r="C57" s="309"/>
      <c r="D57" s="309"/>
      <c r="E57" s="309"/>
      <c r="F57" s="309"/>
      <c r="G57" s="309"/>
      <c r="H57" s="309"/>
      <c r="I57" s="309"/>
      <c r="J57" s="309"/>
      <c r="K57" s="309"/>
      <c r="L57" s="309"/>
      <c r="M57" s="309"/>
      <c r="N57" s="310"/>
      <c r="P57" s="195">
        <v>46</v>
      </c>
      <c r="Q57" s="308"/>
      <c r="R57" s="309"/>
      <c r="S57" s="309"/>
      <c r="T57" s="309"/>
      <c r="U57" s="309"/>
      <c r="V57" s="309"/>
      <c r="W57" s="309"/>
      <c r="X57" s="309"/>
      <c r="Y57" s="309"/>
      <c r="Z57" s="309"/>
      <c r="AA57" s="309"/>
      <c r="AB57" s="309"/>
      <c r="AC57" s="310"/>
      <c r="AE57" s="195">
        <v>46</v>
      </c>
      <c r="AF57" s="308"/>
      <c r="AG57" s="309"/>
      <c r="AH57" s="309"/>
      <c r="AI57" s="309"/>
      <c r="AJ57" s="309"/>
      <c r="AK57" s="309"/>
      <c r="AL57" s="309"/>
      <c r="AM57" s="309"/>
      <c r="AN57" s="309"/>
      <c r="AO57" s="309"/>
      <c r="AP57" s="309"/>
      <c r="AQ57" s="309"/>
      <c r="AR57" s="310"/>
      <c r="AT57" s="195">
        <v>46</v>
      </c>
      <c r="AU57" s="308"/>
      <c r="AV57" s="309"/>
      <c r="AW57" s="309"/>
      <c r="AX57" s="309"/>
      <c r="AY57" s="309"/>
      <c r="AZ57" s="309"/>
      <c r="BA57" s="309"/>
      <c r="BB57" s="309"/>
      <c r="BC57" s="309"/>
      <c r="BD57" s="309"/>
      <c r="BE57" s="309"/>
      <c r="BF57" s="309"/>
      <c r="BG57" s="310"/>
    </row>
    <row r="58" spans="1:59">
      <c r="A58" s="195">
        <v>47</v>
      </c>
      <c r="B58" s="308"/>
      <c r="C58" s="309"/>
      <c r="D58" s="309"/>
      <c r="E58" s="309"/>
      <c r="F58" s="309"/>
      <c r="G58" s="309"/>
      <c r="H58" s="309"/>
      <c r="I58" s="309"/>
      <c r="J58" s="309"/>
      <c r="K58" s="309"/>
      <c r="L58" s="309"/>
      <c r="M58" s="309"/>
      <c r="N58" s="310"/>
      <c r="P58" s="195">
        <v>47</v>
      </c>
      <c r="Q58" s="308"/>
      <c r="R58" s="309"/>
      <c r="S58" s="309"/>
      <c r="T58" s="309"/>
      <c r="U58" s="309"/>
      <c r="V58" s="309"/>
      <c r="W58" s="309"/>
      <c r="X58" s="309"/>
      <c r="Y58" s="309"/>
      <c r="Z58" s="309"/>
      <c r="AA58" s="309"/>
      <c r="AB58" s="309"/>
      <c r="AC58" s="310"/>
      <c r="AE58" s="195">
        <v>47</v>
      </c>
      <c r="AF58" s="308"/>
      <c r="AG58" s="309"/>
      <c r="AH58" s="309"/>
      <c r="AI58" s="309"/>
      <c r="AJ58" s="309"/>
      <c r="AK58" s="309"/>
      <c r="AL58" s="309"/>
      <c r="AM58" s="309"/>
      <c r="AN58" s="309"/>
      <c r="AO58" s="309"/>
      <c r="AP58" s="309"/>
      <c r="AQ58" s="309"/>
      <c r="AR58" s="310"/>
      <c r="AT58" s="195">
        <v>47</v>
      </c>
      <c r="AU58" s="308"/>
      <c r="AV58" s="309"/>
      <c r="AW58" s="309"/>
      <c r="AX58" s="309"/>
      <c r="AY58" s="309"/>
      <c r="AZ58" s="309"/>
      <c r="BA58" s="309"/>
      <c r="BB58" s="309"/>
      <c r="BC58" s="309"/>
      <c r="BD58" s="309"/>
      <c r="BE58" s="309"/>
      <c r="BF58" s="309"/>
      <c r="BG58" s="310"/>
    </row>
    <row r="59" spans="1:59">
      <c r="A59" s="195">
        <v>48</v>
      </c>
      <c r="B59" s="308"/>
      <c r="C59" s="309"/>
      <c r="D59" s="309"/>
      <c r="E59" s="309"/>
      <c r="F59" s="309"/>
      <c r="G59" s="309"/>
      <c r="H59" s="309"/>
      <c r="I59" s="309"/>
      <c r="J59" s="309"/>
      <c r="K59" s="309"/>
      <c r="L59" s="309"/>
      <c r="M59" s="309"/>
      <c r="N59" s="310"/>
      <c r="P59" s="195">
        <v>48</v>
      </c>
      <c r="Q59" s="308"/>
      <c r="R59" s="309"/>
      <c r="S59" s="309"/>
      <c r="T59" s="309"/>
      <c r="U59" s="309"/>
      <c r="V59" s="309"/>
      <c r="W59" s="309"/>
      <c r="X59" s="309"/>
      <c r="Y59" s="309"/>
      <c r="Z59" s="309"/>
      <c r="AA59" s="309"/>
      <c r="AB59" s="309"/>
      <c r="AC59" s="310"/>
      <c r="AE59" s="195">
        <v>48</v>
      </c>
      <c r="AF59" s="308"/>
      <c r="AG59" s="309"/>
      <c r="AH59" s="309"/>
      <c r="AI59" s="309"/>
      <c r="AJ59" s="309"/>
      <c r="AK59" s="309"/>
      <c r="AL59" s="309"/>
      <c r="AM59" s="309"/>
      <c r="AN59" s="309"/>
      <c r="AO59" s="309"/>
      <c r="AP59" s="309"/>
      <c r="AQ59" s="309"/>
      <c r="AR59" s="310"/>
      <c r="AT59" s="195">
        <v>48</v>
      </c>
      <c r="AU59" s="308"/>
      <c r="AV59" s="309"/>
      <c r="AW59" s="309"/>
      <c r="AX59" s="309"/>
      <c r="AY59" s="309"/>
      <c r="AZ59" s="309"/>
      <c r="BA59" s="309"/>
      <c r="BB59" s="309"/>
      <c r="BC59" s="309"/>
      <c r="BD59" s="309"/>
      <c r="BE59" s="309"/>
      <c r="BF59" s="309"/>
      <c r="BG59" s="310"/>
    </row>
    <row r="60" spans="1:59">
      <c r="A60" s="195">
        <v>49</v>
      </c>
      <c r="B60" s="308"/>
      <c r="C60" s="309"/>
      <c r="D60" s="309"/>
      <c r="E60" s="309"/>
      <c r="F60" s="309"/>
      <c r="G60" s="309"/>
      <c r="H60" s="309"/>
      <c r="I60" s="309"/>
      <c r="J60" s="309"/>
      <c r="K60" s="309"/>
      <c r="L60" s="309"/>
      <c r="M60" s="309"/>
      <c r="N60" s="310"/>
      <c r="P60" s="195">
        <v>49</v>
      </c>
      <c r="Q60" s="308"/>
      <c r="R60" s="309"/>
      <c r="S60" s="309"/>
      <c r="T60" s="309"/>
      <c r="U60" s="309"/>
      <c r="V60" s="309"/>
      <c r="W60" s="309"/>
      <c r="X60" s="309"/>
      <c r="Y60" s="309"/>
      <c r="Z60" s="309"/>
      <c r="AA60" s="309"/>
      <c r="AB60" s="309"/>
      <c r="AC60" s="310"/>
      <c r="AE60" s="195">
        <v>49</v>
      </c>
      <c r="AF60" s="308"/>
      <c r="AG60" s="309"/>
      <c r="AH60" s="309"/>
      <c r="AI60" s="309"/>
      <c r="AJ60" s="309"/>
      <c r="AK60" s="309"/>
      <c r="AL60" s="309"/>
      <c r="AM60" s="309"/>
      <c r="AN60" s="309"/>
      <c r="AO60" s="309"/>
      <c r="AP60" s="309"/>
      <c r="AQ60" s="309"/>
      <c r="AR60" s="310"/>
      <c r="AT60" s="195">
        <v>49</v>
      </c>
      <c r="AU60" s="308"/>
      <c r="AV60" s="309"/>
      <c r="AW60" s="309"/>
      <c r="AX60" s="309"/>
      <c r="AY60" s="309"/>
      <c r="AZ60" s="309"/>
      <c r="BA60" s="309"/>
      <c r="BB60" s="309"/>
      <c r="BC60" s="309"/>
      <c r="BD60" s="309"/>
      <c r="BE60" s="309"/>
      <c r="BF60" s="309"/>
      <c r="BG60" s="310"/>
    </row>
    <row r="61" spans="1:59">
      <c r="A61" s="195">
        <v>50</v>
      </c>
      <c r="B61" s="308"/>
      <c r="C61" s="309"/>
      <c r="D61" s="309"/>
      <c r="E61" s="309"/>
      <c r="F61" s="309"/>
      <c r="G61" s="309"/>
      <c r="H61" s="309"/>
      <c r="I61" s="309"/>
      <c r="J61" s="309"/>
      <c r="K61" s="309"/>
      <c r="L61" s="309"/>
      <c r="M61" s="309"/>
      <c r="N61" s="310"/>
      <c r="P61" s="195">
        <v>50</v>
      </c>
      <c r="Q61" s="308"/>
      <c r="R61" s="309"/>
      <c r="S61" s="309"/>
      <c r="T61" s="309"/>
      <c r="U61" s="309"/>
      <c r="V61" s="309"/>
      <c r="W61" s="309"/>
      <c r="X61" s="309"/>
      <c r="Y61" s="309"/>
      <c r="Z61" s="309"/>
      <c r="AA61" s="309"/>
      <c r="AB61" s="309"/>
      <c r="AC61" s="310"/>
      <c r="AE61" s="195">
        <v>50</v>
      </c>
      <c r="AF61" s="308"/>
      <c r="AG61" s="309"/>
      <c r="AH61" s="309"/>
      <c r="AI61" s="309"/>
      <c r="AJ61" s="309"/>
      <c r="AK61" s="309"/>
      <c r="AL61" s="309"/>
      <c r="AM61" s="309"/>
      <c r="AN61" s="309"/>
      <c r="AO61" s="309"/>
      <c r="AP61" s="309"/>
      <c r="AQ61" s="309"/>
      <c r="AR61" s="310"/>
      <c r="AT61" s="195">
        <v>50</v>
      </c>
      <c r="AU61" s="308"/>
      <c r="AV61" s="309"/>
      <c r="AW61" s="309"/>
      <c r="AX61" s="309"/>
      <c r="AY61" s="309"/>
      <c r="AZ61" s="309"/>
      <c r="BA61" s="309"/>
      <c r="BB61" s="309"/>
      <c r="BC61" s="309"/>
      <c r="BD61" s="309"/>
      <c r="BE61" s="309"/>
      <c r="BF61" s="309"/>
      <c r="BG61" s="310"/>
    </row>
    <row r="62" spans="1:59">
      <c r="A62" s="195">
        <v>51</v>
      </c>
      <c r="B62" s="308"/>
      <c r="C62" s="309"/>
      <c r="D62" s="309"/>
      <c r="E62" s="309"/>
      <c r="F62" s="309"/>
      <c r="G62" s="309"/>
      <c r="H62" s="309"/>
      <c r="I62" s="309"/>
      <c r="J62" s="309"/>
      <c r="K62" s="309"/>
      <c r="L62" s="309"/>
      <c r="M62" s="309"/>
      <c r="N62" s="310"/>
      <c r="P62" s="195">
        <v>51</v>
      </c>
      <c r="Q62" s="308"/>
      <c r="R62" s="309"/>
      <c r="S62" s="309"/>
      <c r="T62" s="309"/>
      <c r="U62" s="309"/>
      <c r="V62" s="309"/>
      <c r="W62" s="309"/>
      <c r="X62" s="309"/>
      <c r="Y62" s="309"/>
      <c r="Z62" s="309"/>
      <c r="AA62" s="309"/>
      <c r="AB62" s="309"/>
      <c r="AC62" s="310"/>
      <c r="AE62" s="195">
        <v>51</v>
      </c>
      <c r="AF62" s="308"/>
      <c r="AG62" s="309"/>
      <c r="AH62" s="309"/>
      <c r="AI62" s="309"/>
      <c r="AJ62" s="309"/>
      <c r="AK62" s="309"/>
      <c r="AL62" s="309"/>
      <c r="AM62" s="309"/>
      <c r="AN62" s="309"/>
      <c r="AO62" s="309"/>
      <c r="AP62" s="309"/>
      <c r="AQ62" s="309"/>
      <c r="AR62" s="310"/>
      <c r="AT62" s="195">
        <v>51</v>
      </c>
      <c r="AU62" s="308"/>
      <c r="AV62" s="309"/>
      <c r="AW62" s="309"/>
      <c r="AX62" s="309"/>
      <c r="AY62" s="309"/>
      <c r="AZ62" s="309"/>
      <c r="BA62" s="309"/>
      <c r="BB62" s="309"/>
      <c r="BC62" s="309"/>
      <c r="BD62" s="309"/>
      <c r="BE62" s="309"/>
      <c r="BF62" s="309"/>
      <c r="BG62" s="310"/>
    </row>
    <row r="63" spans="1:59">
      <c r="A63" s="195">
        <v>52</v>
      </c>
      <c r="B63" s="308"/>
      <c r="C63" s="309"/>
      <c r="D63" s="309"/>
      <c r="E63" s="309"/>
      <c r="F63" s="309"/>
      <c r="G63" s="309"/>
      <c r="H63" s="309"/>
      <c r="I63" s="309"/>
      <c r="J63" s="309"/>
      <c r="K63" s="309"/>
      <c r="L63" s="309"/>
      <c r="M63" s="309"/>
      <c r="N63" s="310"/>
      <c r="P63" s="195">
        <v>52</v>
      </c>
      <c r="Q63" s="308"/>
      <c r="R63" s="309"/>
      <c r="S63" s="309"/>
      <c r="T63" s="309"/>
      <c r="U63" s="309"/>
      <c r="V63" s="309"/>
      <c r="W63" s="309"/>
      <c r="X63" s="309"/>
      <c r="Y63" s="309"/>
      <c r="Z63" s="309"/>
      <c r="AA63" s="309"/>
      <c r="AB63" s="309"/>
      <c r="AC63" s="310"/>
      <c r="AE63" s="195">
        <v>52</v>
      </c>
      <c r="AF63" s="308"/>
      <c r="AG63" s="309"/>
      <c r="AH63" s="309"/>
      <c r="AI63" s="309"/>
      <c r="AJ63" s="309"/>
      <c r="AK63" s="309"/>
      <c r="AL63" s="309"/>
      <c r="AM63" s="309"/>
      <c r="AN63" s="309"/>
      <c r="AO63" s="309"/>
      <c r="AP63" s="309"/>
      <c r="AQ63" s="309"/>
      <c r="AR63" s="310"/>
      <c r="AT63" s="195">
        <v>52</v>
      </c>
      <c r="AU63" s="308"/>
      <c r="AV63" s="309"/>
      <c r="AW63" s="309"/>
      <c r="AX63" s="309"/>
      <c r="AY63" s="309"/>
      <c r="AZ63" s="309"/>
      <c r="BA63" s="309"/>
      <c r="BB63" s="309"/>
      <c r="BC63" s="309"/>
      <c r="BD63" s="309"/>
      <c r="BE63" s="309"/>
      <c r="BF63" s="309"/>
      <c r="BG63" s="310"/>
    </row>
    <row r="64" spans="1:59">
      <c r="A64" s="195">
        <v>53</v>
      </c>
      <c r="B64" s="308"/>
      <c r="C64" s="309"/>
      <c r="D64" s="309"/>
      <c r="E64" s="309"/>
      <c r="F64" s="309"/>
      <c r="G64" s="309"/>
      <c r="H64" s="309"/>
      <c r="I64" s="309"/>
      <c r="J64" s="309"/>
      <c r="K64" s="309"/>
      <c r="L64" s="309"/>
      <c r="M64" s="309"/>
      <c r="N64" s="310"/>
      <c r="P64" s="195">
        <v>53</v>
      </c>
      <c r="Q64" s="308"/>
      <c r="R64" s="309"/>
      <c r="S64" s="309"/>
      <c r="T64" s="309"/>
      <c r="U64" s="309"/>
      <c r="V64" s="309"/>
      <c r="W64" s="309"/>
      <c r="X64" s="309"/>
      <c r="Y64" s="309"/>
      <c r="Z64" s="309"/>
      <c r="AA64" s="309"/>
      <c r="AB64" s="309"/>
      <c r="AC64" s="310"/>
      <c r="AE64" s="195">
        <v>53</v>
      </c>
      <c r="AF64" s="308"/>
      <c r="AG64" s="309"/>
      <c r="AH64" s="309"/>
      <c r="AI64" s="309"/>
      <c r="AJ64" s="309"/>
      <c r="AK64" s="309"/>
      <c r="AL64" s="309"/>
      <c r="AM64" s="309"/>
      <c r="AN64" s="309"/>
      <c r="AO64" s="309"/>
      <c r="AP64" s="309"/>
      <c r="AQ64" s="309"/>
      <c r="AR64" s="310"/>
      <c r="AT64" s="195">
        <v>53</v>
      </c>
      <c r="AU64" s="308"/>
      <c r="AV64" s="309"/>
      <c r="AW64" s="309"/>
      <c r="AX64" s="309"/>
      <c r="AY64" s="309"/>
      <c r="AZ64" s="309"/>
      <c r="BA64" s="309"/>
      <c r="BB64" s="309"/>
      <c r="BC64" s="309"/>
      <c r="BD64" s="309"/>
      <c r="BE64" s="309"/>
      <c r="BF64" s="309"/>
      <c r="BG64" s="310"/>
    </row>
    <row r="65" spans="1:59">
      <c r="A65" s="195">
        <v>54</v>
      </c>
      <c r="B65" s="308"/>
      <c r="C65" s="309"/>
      <c r="D65" s="309"/>
      <c r="E65" s="309"/>
      <c r="F65" s="309"/>
      <c r="G65" s="309"/>
      <c r="H65" s="309"/>
      <c r="I65" s="309"/>
      <c r="J65" s="309"/>
      <c r="K65" s="309"/>
      <c r="L65" s="309"/>
      <c r="M65" s="309"/>
      <c r="N65" s="310"/>
      <c r="P65" s="195">
        <v>54</v>
      </c>
      <c r="Q65" s="308"/>
      <c r="R65" s="309"/>
      <c r="S65" s="309"/>
      <c r="T65" s="309"/>
      <c r="U65" s="309"/>
      <c r="V65" s="309"/>
      <c r="W65" s="309"/>
      <c r="X65" s="309"/>
      <c r="Y65" s="309"/>
      <c r="Z65" s="309"/>
      <c r="AA65" s="309"/>
      <c r="AB65" s="309"/>
      <c r="AC65" s="310"/>
      <c r="AE65" s="195">
        <v>54</v>
      </c>
      <c r="AF65" s="308"/>
      <c r="AG65" s="309"/>
      <c r="AH65" s="309"/>
      <c r="AI65" s="309"/>
      <c r="AJ65" s="309"/>
      <c r="AK65" s="309"/>
      <c r="AL65" s="309"/>
      <c r="AM65" s="309"/>
      <c r="AN65" s="309"/>
      <c r="AO65" s="309"/>
      <c r="AP65" s="309"/>
      <c r="AQ65" s="309"/>
      <c r="AR65" s="310"/>
      <c r="AT65" s="195">
        <v>54</v>
      </c>
      <c r="AU65" s="308"/>
      <c r="AV65" s="309"/>
      <c r="AW65" s="309"/>
      <c r="AX65" s="309"/>
      <c r="AY65" s="309"/>
      <c r="AZ65" s="309"/>
      <c r="BA65" s="309"/>
      <c r="BB65" s="309"/>
      <c r="BC65" s="309"/>
      <c r="BD65" s="309"/>
      <c r="BE65" s="309"/>
      <c r="BF65" s="309"/>
      <c r="BG65" s="310"/>
    </row>
    <row r="66" spans="1:59">
      <c r="A66" s="195">
        <v>55</v>
      </c>
      <c r="B66" s="308"/>
      <c r="C66" s="309"/>
      <c r="D66" s="309"/>
      <c r="E66" s="309"/>
      <c r="F66" s="309"/>
      <c r="G66" s="309"/>
      <c r="H66" s="309"/>
      <c r="I66" s="309"/>
      <c r="J66" s="309"/>
      <c r="K66" s="309"/>
      <c r="L66" s="309"/>
      <c r="M66" s="309"/>
      <c r="N66" s="310"/>
      <c r="P66" s="195">
        <v>55</v>
      </c>
      <c r="Q66" s="308"/>
      <c r="R66" s="309"/>
      <c r="S66" s="309"/>
      <c r="T66" s="309"/>
      <c r="U66" s="309"/>
      <c r="V66" s="309"/>
      <c r="W66" s="309"/>
      <c r="X66" s="309"/>
      <c r="Y66" s="309"/>
      <c r="Z66" s="309"/>
      <c r="AA66" s="309"/>
      <c r="AB66" s="309"/>
      <c r="AC66" s="310"/>
      <c r="AE66" s="195">
        <v>55</v>
      </c>
      <c r="AF66" s="308"/>
      <c r="AG66" s="309"/>
      <c r="AH66" s="309"/>
      <c r="AI66" s="309"/>
      <c r="AJ66" s="309"/>
      <c r="AK66" s="309"/>
      <c r="AL66" s="309"/>
      <c r="AM66" s="309"/>
      <c r="AN66" s="309"/>
      <c r="AO66" s="309"/>
      <c r="AP66" s="309"/>
      <c r="AQ66" s="309"/>
      <c r="AR66" s="310"/>
      <c r="AT66" s="195">
        <v>55</v>
      </c>
      <c r="AU66" s="308"/>
      <c r="AV66" s="309"/>
      <c r="AW66" s="309"/>
      <c r="AX66" s="309"/>
      <c r="AY66" s="309"/>
      <c r="AZ66" s="309"/>
      <c r="BA66" s="309"/>
      <c r="BB66" s="309"/>
      <c r="BC66" s="309"/>
      <c r="BD66" s="309"/>
      <c r="BE66" s="309"/>
      <c r="BF66" s="309"/>
      <c r="BG66" s="310"/>
    </row>
    <row r="67" spans="1:59">
      <c r="A67" s="195">
        <v>56</v>
      </c>
      <c r="B67" s="308"/>
      <c r="C67" s="309"/>
      <c r="D67" s="309"/>
      <c r="E67" s="309"/>
      <c r="F67" s="309"/>
      <c r="G67" s="309"/>
      <c r="H67" s="309"/>
      <c r="I67" s="309"/>
      <c r="J67" s="309"/>
      <c r="K67" s="309"/>
      <c r="L67" s="309"/>
      <c r="M67" s="309"/>
      <c r="N67" s="310"/>
      <c r="P67" s="195">
        <v>56</v>
      </c>
      <c r="Q67" s="308"/>
      <c r="R67" s="309"/>
      <c r="S67" s="309"/>
      <c r="T67" s="309"/>
      <c r="U67" s="309"/>
      <c r="V67" s="309"/>
      <c r="W67" s="309"/>
      <c r="X67" s="309"/>
      <c r="Y67" s="309"/>
      <c r="Z67" s="309"/>
      <c r="AA67" s="309"/>
      <c r="AB67" s="309"/>
      <c r="AC67" s="310"/>
      <c r="AE67" s="195">
        <v>56</v>
      </c>
      <c r="AF67" s="308"/>
      <c r="AG67" s="309"/>
      <c r="AH67" s="309"/>
      <c r="AI67" s="309"/>
      <c r="AJ67" s="309"/>
      <c r="AK67" s="309"/>
      <c r="AL67" s="309"/>
      <c r="AM67" s="309"/>
      <c r="AN67" s="309"/>
      <c r="AO67" s="309"/>
      <c r="AP67" s="309"/>
      <c r="AQ67" s="309"/>
      <c r="AR67" s="310"/>
      <c r="AT67" s="195">
        <v>56</v>
      </c>
      <c r="AU67" s="308"/>
      <c r="AV67" s="309"/>
      <c r="AW67" s="309"/>
      <c r="AX67" s="309"/>
      <c r="AY67" s="309"/>
      <c r="AZ67" s="309"/>
      <c r="BA67" s="309"/>
      <c r="BB67" s="309"/>
      <c r="BC67" s="309"/>
      <c r="BD67" s="309"/>
      <c r="BE67" s="309"/>
      <c r="BF67" s="309"/>
      <c r="BG67" s="310"/>
    </row>
    <row r="68" spans="1:59">
      <c r="A68" s="195">
        <v>57</v>
      </c>
      <c r="B68" s="308"/>
      <c r="C68" s="309"/>
      <c r="D68" s="309"/>
      <c r="E68" s="309"/>
      <c r="F68" s="309"/>
      <c r="G68" s="309"/>
      <c r="H68" s="309"/>
      <c r="I68" s="309"/>
      <c r="J68" s="309"/>
      <c r="K68" s="309"/>
      <c r="L68" s="309"/>
      <c r="M68" s="309"/>
      <c r="N68" s="310"/>
      <c r="P68" s="195">
        <v>57</v>
      </c>
      <c r="Q68" s="308"/>
      <c r="R68" s="309"/>
      <c r="S68" s="309"/>
      <c r="T68" s="309"/>
      <c r="U68" s="309"/>
      <c r="V68" s="309"/>
      <c r="W68" s="309"/>
      <c r="X68" s="309"/>
      <c r="Y68" s="309"/>
      <c r="Z68" s="309"/>
      <c r="AA68" s="309"/>
      <c r="AB68" s="309"/>
      <c r="AC68" s="310"/>
      <c r="AE68" s="195">
        <v>57</v>
      </c>
      <c r="AF68" s="308"/>
      <c r="AG68" s="309"/>
      <c r="AH68" s="309"/>
      <c r="AI68" s="309"/>
      <c r="AJ68" s="309"/>
      <c r="AK68" s="309"/>
      <c r="AL68" s="309"/>
      <c r="AM68" s="309"/>
      <c r="AN68" s="309"/>
      <c r="AO68" s="309"/>
      <c r="AP68" s="309"/>
      <c r="AQ68" s="309"/>
      <c r="AR68" s="310"/>
      <c r="AT68" s="195">
        <v>57</v>
      </c>
      <c r="AU68" s="308"/>
      <c r="AV68" s="309"/>
      <c r="AW68" s="309"/>
      <c r="AX68" s="309"/>
      <c r="AY68" s="309"/>
      <c r="AZ68" s="309"/>
      <c r="BA68" s="309"/>
      <c r="BB68" s="309"/>
      <c r="BC68" s="309"/>
      <c r="BD68" s="309"/>
      <c r="BE68" s="309"/>
      <c r="BF68" s="309"/>
      <c r="BG68" s="310"/>
    </row>
    <row r="69" spans="1:59">
      <c r="A69" s="195">
        <v>58</v>
      </c>
      <c r="B69" s="308"/>
      <c r="C69" s="309"/>
      <c r="D69" s="309"/>
      <c r="E69" s="309"/>
      <c r="F69" s="309"/>
      <c r="G69" s="309"/>
      <c r="H69" s="309"/>
      <c r="I69" s="309"/>
      <c r="J69" s="309"/>
      <c r="K69" s="309"/>
      <c r="L69" s="309"/>
      <c r="M69" s="309"/>
      <c r="N69" s="310"/>
      <c r="P69" s="195">
        <v>58</v>
      </c>
      <c r="Q69" s="308"/>
      <c r="R69" s="309"/>
      <c r="S69" s="309"/>
      <c r="T69" s="309"/>
      <c r="U69" s="309"/>
      <c r="V69" s="309"/>
      <c r="W69" s="309"/>
      <c r="X69" s="309"/>
      <c r="Y69" s="309"/>
      <c r="Z69" s="309"/>
      <c r="AA69" s="309"/>
      <c r="AB69" s="309"/>
      <c r="AC69" s="310"/>
      <c r="AE69" s="195">
        <v>58</v>
      </c>
      <c r="AF69" s="308"/>
      <c r="AG69" s="309"/>
      <c r="AH69" s="309"/>
      <c r="AI69" s="309"/>
      <c r="AJ69" s="309"/>
      <c r="AK69" s="309"/>
      <c r="AL69" s="309"/>
      <c r="AM69" s="309"/>
      <c r="AN69" s="309"/>
      <c r="AO69" s="309"/>
      <c r="AP69" s="309"/>
      <c r="AQ69" s="309"/>
      <c r="AR69" s="310"/>
      <c r="AT69" s="195">
        <v>58</v>
      </c>
      <c r="AU69" s="308"/>
      <c r="AV69" s="309"/>
      <c r="AW69" s="309"/>
      <c r="AX69" s="309"/>
      <c r="AY69" s="309"/>
      <c r="AZ69" s="309"/>
      <c r="BA69" s="309"/>
      <c r="BB69" s="309"/>
      <c r="BC69" s="309"/>
      <c r="BD69" s="309"/>
      <c r="BE69" s="309"/>
      <c r="BF69" s="309"/>
      <c r="BG69" s="310"/>
    </row>
    <row r="70" spans="1:59">
      <c r="A70" s="195">
        <v>59</v>
      </c>
      <c r="B70" s="308"/>
      <c r="C70" s="309"/>
      <c r="D70" s="309"/>
      <c r="E70" s="309"/>
      <c r="F70" s="309"/>
      <c r="G70" s="309"/>
      <c r="H70" s="309"/>
      <c r="I70" s="309"/>
      <c r="J70" s="309"/>
      <c r="K70" s="309"/>
      <c r="L70" s="309"/>
      <c r="M70" s="309"/>
      <c r="N70" s="310"/>
      <c r="P70" s="195">
        <v>59</v>
      </c>
      <c r="Q70" s="308"/>
      <c r="R70" s="309"/>
      <c r="S70" s="309"/>
      <c r="T70" s="309"/>
      <c r="U70" s="309"/>
      <c r="V70" s="309"/>
      <c r="W70" s="309"/>
      <c r="X70" s="309"/>
      <c r="Y70" s="309"/>
      <c r="Z70" s="309"/>
      <c r="AA70" s="309"/>
      <c r="AB70" s="309"/>
      <c r="AC70" s="310"/>
      <c r="AE70" s="195">
        <v>59</v>
      </c>
      <c r="AF70" s="308"/>
      <c r="AG70" s="309"/>
      <c r="AH70" s="309"/>
      <c r="AI70" s="309"/>
      <c r="AJ70" s="309"/>
      <c r="AK70" s="309"/>
      <c r="AL70" s="309"/>
      <c r="AM70" s="309"/>
      <c r="AN70" s="309"/>
      <c r="AO70" s="309"/>
      <c r="AP70" s="309"/>
      <c r="AQ70" s="309"/>
      <c r="AR70" s="310"/>
      <c r="AT70" s="195">
        <v>59</v>
      </c>
      <c r="AU70" s="308"/>
      <c r="AV70" s="309"/>
      <c r="AW70" s="309"/>
      <c r="AX70" s="309"/>
      <c r="AY70" s="309"/>
      <c r="AZ70" s="309"/>
      <c r="BA70" s="309"/>
      <c r="BB70" s="309"/>
      <c r="BC70" s="309"/>
      <c r="BD70" s="309"/>
      <c r="BE70" s="309"/>
      <c r="BF70" s="309"/>
      <c r="BG70" s="310"/>
    </row>
    <row r="71" spans="1:59">
      <c r="A71" s="195">
        <v>60</v>
      </c>
      <c r="B71" s="308"/>
      <c r="C71" s="309"/>
      <c r="D71" s="309"/>
      <c r="E71" s="309"/>
      <c r="F71" s="309"/>
      <c r="G71" s="309"/>
      <c r="H71" s="309"/>
      <c r="I71" s="309"/>
      <c r="J71" s="309"/>
      <c r="K71" s="309"/>
      <c r="L71" s="309"/>
      <c r="M71" s="309"/>
      <c r="N71" s="310"/>
      <c r="P71" s="195">
        <v>60</v>
      </c>
      <c r="Q71" s="308"/>
      <c r="R71" s="309"/>
      <c r="S71" s="309"/>
      <c r="T71" s="309"/>
      <c r="U71" s="309"/>
      <c r="V71" s="309"/>
      <c r="W71" s="309"/>
      <c r="X71" s="309"/>
      <c r="Y71" s="309"/>
      <c r="Z71" s="309"/>
      <c r="AA71" s="309"/>
      <c r="AB71" s="309"/>
      <c r="AC71" s="310"/>
      <c r="AE71" s="195">
        <v>60</v>
      </c>
      <c r="AF71" s="308"/>
      <c r="AG71" s="309"/>
      <c r="AH71" s="309"/>
      <c r="AI71" s="309"/>
      <c r="AJ71" s="309"/>
      <c r="AK71" s="309"/>
      <c r="AL71" s="309"/>
      <c r="AM71" s="309"/>
      <c r="AN71" s="309"/>
      <c r="AO71" s="309"/>
      <c r="AP71" s="309"/>
      <c r="AQ71" s="309"/>
      <c r="AR71" s="310"/>
      <c r="AT71" s="195">
        <v>60</v>
      </c>
      <c r="AU71" s="308"/>
      <c r="AV71" s="309"/>
      <c r="AW71" s="309"/>
      <c r="AX71" s="309"/>
      <c r="AY71" s="309"/>
      <c r="AZ71" s="309"/>
      <c r="BA71" s="309"/>
      <c r="BB71" s="309"/>
      <c r="BC71" s="309"/>
      <c r="BD71" s="309"/>
      <c r="BE71" s="309"/>
      <c r="BF71" s="309"/>
      <c r="BG71" s="310"/>
    </row>
    <row r="72" spans="1:59">
      <c r="A72" s="195">
        <v>61</v>
      </c>
      <c r="B72" s="308"/>
      <c r="C72" s="309"/>
      <c r="D72" s="309"/>
      <c r="E72" s="309"/>
      <c r="F72" s="309"/>
      <c r="G72" s="309"/>
      <c r="H72" s="309"/>
      <c r="I72" s="309"/>
      <c r="J72" s="309"/>
      <c r="K72" s="309"/>
      <c r="L72" s="309"/>
      <c r="M72" s="309"/>
      <c r="N72" s="310"/>
      <c r="P72" s="195">
        <v>61</v>
      </c>
      <c r="Q72" s="308"/>
      <c r="R72" s="309"/>
      <c r="S72" s="309"/>
      <c r="T72" s="309"/>
      <c r="U72" s="309"/>
      <c r="V72" s="309"/>
      <c r="W72" s="309"/>
      <c r="X72" s="309"/>
      <c r="Y72" s="309"/>
      <c r="Z72" s="309"/>
      <c r="AA72" s="309"/>
      <c r="AB72" s="309"/>
      <c r="AC72" s="310"/>
      <c r="AE72" s="195">
        <v>61</v>
      </c>
      <c r="AF72" s="308"/>
      <c r="AG72" s="309"/>
      <c r="AH72" s="309"/>
      <c r="AI72" s="309"/>
      <c r="AJ72" s="309"/>
      <c r="AK72" s="309"/>
      <c r="AL72" s="309"/>
      <c r="AM72" s="309"/>
      <c r="AN72" s="309"/>
      <c r="AO72" s="309"/>
      <c r="AP72" s="309"/>
      <c r="AQ72" s="309"/>
      <c r="AR72" s="310"/>
      <c r="AT72" s="195">
        <v>61</v>
      </c>
      <c r="AU72" s="308"/>
      <c r="AV72" s="309"/>
      <c r="AW72" s="309"/>
      <c r="AX72" s="309"/>
      <c r="AY72" s="309"/>
      <c r="AZ72" s="309"/>
      <c r="BA72" s="309"/>
      <c r="BB72" s="309"/>
      <c r="BC72" s="309"/>
      <c r="BD72" s="309"/>
      <c r="BE72" s="309"/>
      <c r="BF72" s="309"/>
      <c r="BG72" s="310"/>
    </row>
    <row r="73" spans="1:59">
      <c r="A73" s="195">
        <v>62</v>
      </c>
      <c r="B73" s="308"/>
      <c r="C73" s="309"/>
      <c r="D73" s="309"/>
      <c r="E73" s="309"/>
      <c r="F73" s="309"/>
      <c r="G73" s="309"/>
      <c r="H73" s="309"/>
      <c r="I73" s="309"/>
      <c r="J73" s="309"/>
      <c r="K73" s="309"/>
      <c r="L73" s="309"/>
      <c r="M73" s="309"/>
      <c r="N73" s="310"/>
      <c r="P73" s="195">
        <v>62</v>
      </c>
      <c r="Q73" s="308"/>
      <c r="R73" s="309"/>
      <c r="S73" s="309"/>
      <c r="T73" s="309"/>
      <c r="U73" s="309"/>
      <c r="V73" s="309"/>
      <c r="W73" s="309"/>
      <c r="X73" s="309"/>
      <c r="Y73" s="309"/>
      <c r="Z73" s="309"/>
      <c r="AA73" s="309"/>
      <c r="AB73" s="309"/>
      <c r="AC73" s="310"/>
      <c r="AE73" s="195">
        <v>62</v>
      </c>
      <c r="AF73" s="308"/>
      <c r="AG73" s="309"/>
      <c r="AH73" s="309"/>
      <c r="AI73" s="309"/>
      <c r="AJ73" s="309"/>
      <c r="AK73" s="309"/>
      <c r="AL73" s="309"/>
      <c r="AM73" s="309"/>
      <c r="AN73" s="309"/>
      <c r="AO73" s="309"/>
      <c r="AP73" s="309"/>
      <c r="AQ73" s="309"/>
      <c r="AR73" s="310"/>
      <c r="AT73" s="195">
        <v>62</v>
      </c>
      <c r="AU73" s="308"/>
      <c r="AV73" s="309"/>
      <c r="AW73" s="309"/>
      <c r="AX73" s="309"/>
      <c r="AY73" s="309"/>
      <c r="AZ73" s="309"/>
      <c r="BA73" s="309"/>
      <c r="BB73" s="309"/>
      <c r="BC73" s="309"/>
      <c r="BD73" s="309"/>
      <c r="BE73" s="309"/>
      <c r="BF73" s="309"/>
      <c r="BG73" s="310"/>
    </row>
    <row r="74" spans="1:59">
      <c r="A74" s="195">
        <v>63</v>
      </c>
      <c r="B74" s="308"/>
      <c r="C74" s="309"/>
      <c r="D74" s="309"/>
      <c r="E74" s="309"/>
      <c r="F74" s="309"/>
      <c r="G74" s="309"/>
      <c r="H74" s="309"/>
      <c r="I74" s="309"/>
      <c r="J74" s="309"/>
      <c r="K74" s="309"/>
      <c r="L74" s="309"/>
      <c r="M74" s="309"/>
      <c r="N74" s="310"/>
      <c r="P74" s="195">
        <v>63</v>
      </c>
      <c r="Q74" s="308"/>
      <c r="R74" s="309"/>
      <c r="S74" s="309"/>
      <c r="T74" s="309"/>
      <c r="U74" s="309"/>
      <c r="V74" s="309"/>
      <c r="W74" s="309"/>
      <c r="X74" s="309"/>
      <c r="Y74" s="309"/>
      <c r="Z74" s="309"/>
      <c r="AA74" s="309"/>
      <c r="AB74" s="309"/>
      <c r="AC74" s="310"/>
      <c r="AE74" s="195">
        <v>63</v>
      </c>
      <c r="AF74" s="308"/>
      <c r="AG74" s="309"/>
      <c r="AH74" s="309"/>
      <c r="AI74" s="309"/>
      <c r="AJ74" s="309"/>
      <c r="AK74" s="309"/>
      <c r="AL74" s="309"/>
      <c r="AM74" s="309"/>
      <c r="AN74" s="309"/>
      <c r="AO74" s="309"/>
      <c r="AP74" s="309"/>
      <c r="AQ74" s="309"/>
      <c r="AR74" s="310"/>
      <c r="AT74" s="195">
        <v>63</v>
      </c>
      <c r="AU74" s="308"/>
      <c r="AV74" s="309"/>
      <c r="AW74" s="309"/>
      <c r="AX74" s="309"/>
      <c r="AY74" s="309"/>
      <c r="AZ74" s="309"/>
      <c r="BA74" s="309"/>
      <c r="BB74" s="309"/>
      <c r="BC74" s="309"/>
      <c r="BD74" s="309"/>
      <c r="BE74" s="309"/>
      <c r="BF74" s="309"/>
      <c r="BG74" s="310"/>
    </row>
    <row r="75" spans="1:59">
      <c r="A75" s="195">
        <v>64</v>
      </c>
      <c r="B75" s="308"/>
      <c r="C75" s="309"/>
      <c r="D75" s="309"/>
      <c r="E75" s="309"/>
      <c r="F75" s="309"/>
      <c r="G75" s="309"/>
      <c r="H75" s="309"/>
      <c r="I75" s="309"/>
      <c r="J75" s="309"/>
      <c r="K75" s="309"/>
      <c r="L75" s="309"/>
      <c r="M75" s="309"/>
      <c r="N75" s="310"/>
      <c r="P75" s="195">
        <v>64</v>
      </c>
      <c r="Q75" s="308"/>
      <c r="R75" s="309"/>
      <c r="S75" s="309"/>
      <c r="T75" s="309"/>
      <c r="U75" s="309"/>
      <c r="V75" s="309"/>
      <c r="W75" s="309"/>
      <c r="X75" s="309"/>
      <c r="Y75" s="309"/>
      <c r="Z75" s="309"/>
      <c r="AA75" s="309"/>
      <c r="AB75" s="309"/>
      <c r="AC75" s="310"/>
      <c r="AE75" s="195">
        <v>64</v>
      </c>
      <c r="AF75" s="308"/>
      <c r="AG75" s="309"/>
      <c r="AH75" s="309"/>
      <c r="AI75" s="309"/>
      <c r="AJ75" s="309"/>
      <c r="AK75" s="309"/>
      <c r="AL75" s="309"/>
      <c r="AM75" s="309"/>
      <c r="AN75" s="309"/>
      <c r="AO75" s="309"/>
      <c r="AP75" s="309"/>
      <c r="AQ75" s="309"/>
      <c r="AR75" s="310"/>
      <c r="AT75" s="195">
        <v>64</v>
      </c>
      <c r="AU75" s="308"/>
      <c r="AV75" s="309"/>
      <c r="AW75" s="309"/>
      <c r="AX75" s="309"/>
      <c r="AY75" s="309"/>
      <c r="AZ75" s="309"/>
      <c r="BA75" s="309"/>
      <c r="BB75" s="309"/>
      <c r="BC75" s="309"/>
      <c r="BD75" s="309"/>
      <c r="BE75" s="309"/>
      <c r="BF75" s="309"/>
      <c r="BG75" s="310"/>
    </row>
    <row r="76" spans="1:59">
      <c r="A76" s="195">
        <v>65</v>
      </c>
      <c r="B76" s="308"/>
      <c r="C76" s="309"/>
      <c r="D76" s="309"/>
      <c r="E76" s="309"/>
      <c r="F76" s="309"/>
      <c r="G76" s="309"/>
      <c r="H76" s="309"/>
      <c r="I76" s="309"/>
      <c r="J76" s="309"/>
      <c r="K76" s="309"/>
      <c r="L76" s="309"/>
      <c r="M76" s="309"/>
      <c r="N76" s="310"/>
      <c r="P76" s="195">
        <v>65</v>
      </c>
      <c r="Q76" s="308"/>
      <c r="R76" s="309"/>
      <c r="S76" s="309"/>
      <c r="T76" s="309"/>
      <c r="U76" s="309"/>
      <c r="V76" s="309"/>
      <c r="W76" s="309"/>
      <c r="X76" s="309"/>
      <c r="Y76" s="309"/>
      <c r="Z76" s="309"/>
      <c r="AA76" s="309"/>
      <c r="AB76" s="309"/>
      <c r="AC76" s="310"/>
      <c r="AE76" s="195">
        <v>65</v>
      </c>
      <c r="AF76" s="308"/>
      <c r="AG76" s="309"/>
      <c r="AH76" s="309"/>
      <c r="AI76" s="309"/>
      <c r="AJ76" s="309"/>
      <c r="AK76" s="309"/>
      <c r="AL76" s="309"/>
      <c r="AM76" s="309"/>
      <c r="AN76" s="309"/>
      <c r="AO76" s="309"/>
      <c r="AP76" s="309"/>
      <c r="AQ76" s="309"/>
      <c r="AR76" s="310"/>
      <c r="AT76" s="195">
        <v>65</v>
      </c>
      <c r="AU76" s="308"/>
      <c r="AV76" s="309"/>
      <c r="AW76" s="309"/>
      <c r="AX76" s="309"/>
      <c r="AY76" s="309"/>
      <c r="AZ76" s="309"/>
      <c r="BA76" s="309"/>
      <c r="BB76" s="309"/>
      <c r="BC76" s="309"/>
      <c r="BD76" s="309"/>
      <c r="BE76" s="309"/>
      <c r="BF76" s="309"/>
      <c r="BG76" s="310"/>
    </row>
    <row r="77" spans="1:59">
      <c r="A77" s="195">
        <v>66</v>
      </c>
      <c r="B77" s="308"/>
      <c r="C77" s="309"/>
      <c r="D77" s="309"/>
      <c r="E77" s="309"/>
      <c r="F77" s="309"/>
      <c r="G77" s="309"/>
      <c r="H77" s="309"/>
      <c r="I77" s="309"/>
      <c r="J77" s="309"/>
      <c r="K77" s="309"/>
      <c r="L77" s="309"/>
      <c r="M77" s="309"/>
      <c r="N77" s="310"/>
      <c r="P77" s="195">
        <v>66</v>
      </c>
      <c r="Q77" s="308"/>
      <c r="R77" s="309"/>
      <c r="S77" s="309"/>
      <c r="T77" s="309"/>
      <c r="U77" s="309"/>
      <c r="V77" s="309"/>
      <c r="W77" s="309"/>
      <c r="X77" s="309"/>
      <c r="Y77" s="309"/>
      <c r="Z77" s="309"/>
      <c r="AA77" s="309"/>
      <c r="AB77" s="309"/>
      <c r="AC77" s="310"/>
      <c r="AE77" s="195">
        <v>66</v>
      </c>
      <c r="AF77" s="308"/>
      <c r="AG77" s="309"/>
      <c r="AH77" s="309"/>
      <c r="AI77" s="309"/>
      <c r="AJ77" s="309"/>
      <c r="AK77" s="309"/>
      <c r="AL77" s="309"/>
      <c r="AM77" s="309"/>
      <c r="AN77" s="309"/>
      <c r="AO77" s="309"/>
      <c r="AP77" s="309"/>
      <c r="AQ77" s="309"/>
      <c r="AR77" s="310"/>
      <c r="AT77" s="195">
        <v>66</v>
      </c>
      <c r="AU77" s="308"/>
      <c r="AV77" s="309"/>
      <c r="AW77" s="309"/>
      <c r="AX77" s="309"/>
      <c r="AY77" s="309"/>
      <c r="AZ77" s="309"/>
      <c r="BA77" s="309"/>
      <c r="BB77" s="309"/>
      <c r="BC77" s="309"/>
      <c r="BD77" s="309"/>
      <c r="BE77" s="309"/>
      <c r="BF77" s="309"/>
      <c r="BG77" s="310"/>
    </row>
    <row r="78" spans="1:59">
      <c r="A78" s="195">
        <v>67</v>
      </c>
      <c r="B78" s="308"/>
      <c r="C78" s="309"/>
      <c r="D78" s="309"/>
      <c r="E78" s="309"/>
      <c r="F78" s="309"/>
      <c r="G78" s="309"/>
      <c r="H78" s="309"/>
      <c r="I78" s="309"/>
      <c r="J78" s="309"/>
      <c r="K78" s="309"/>
      <c r="L78" s="309"/>
      <c r="M78" s="309"/>
      <c r="N78" s="310"/>
      <c r="P78" s="195">
        <v>67</v>
      </c>
      <c r="Q78" s="308"/>
      <c r="R78" s="309"/>
      <c r="S78" s="309"/>
      <c r="T78" s="309"/>
      <c r="U78" s="309"/>
      <c r="V78" s="309"/>
      <c r="W78" s="309"/>
      <c r="X78" s="309"/>
      <c r="Y78" s="309"/>
      <c r="Z78" s="309"/>
      <c r="AA78" s="309"/>
      <c r="AB78" s="309"/>
      <c r="AC78" s="310"/>
      <c r="AE78" s="195">
        <v>67</v>
      </c>
      <c r="AF78" s="308"/>
      <c r="AG78" s="309"/>
      <c r="AH78" s="309"/>
      <c r="AI78" s="309"/>
      <c r="AJ78" s="309"/>
      <c r="AK78" s="309"/>
      <c r="AL78" s="309"/>
      <c r="AM78" s="309"/>
      <c r="AN78" s="309"/>
      <c r="AO78" s="309"/>
      <c r="AP78" s="309"/>
      <c r="AQ78" s="309"/>
      <c r="AR78" s="310"/>
      <c r="AT78" s="195">
        <v>67</v>
      </c>
      <c r="AU78" s="308"/>
      <c r="AV78" s="309"/>
      <c r="AW78" s="309"/>
      <c r="AX78" s="309"/>
      <c r="AY78" s="309"/>
      <c r="AZ78" s="309"/>
      <c r="BA78" s="309"/>
      <c r="BB78" s="309"/>
      <c r="BC78" s="309"/>
      <c r="BD78" s="309"/>
      <c r="BE78" s="309"/>
      <c r="BF78" s="309"/>
      <c r="BG78" s="310"/>
    </row>
    <row r="79" spans="1:59">
      <c r="A79" s="195">
        <v>68</v>
      </c>
      <c r="B79" s="308"/>
      <c r="C79" s="309"/>
      <c r="D79" s="309"/>
      <c r="E79" s="309"/>
      <c r="F79" s="309"/>
      <c r="G79" s="309"/>
      <c r="H79" s="309"/>
      <c r="I79" s="309"/>
      <c r="J79" s="309"/>
      <c r="K79" s="309"/>
      <c r="L79" s="309"/>
      <c r="M79" s="309"/>
      <c r="N79" s="310"/>
      <c r="P79" s="195">
        <v>68</v>
      </c>
      <c r="Q79" s="308"/>
      <c r="R79" s="309"/>
      <c r="S79" s="309"/>
      <c r="T79" s="309"/>
      <c r="U79" s="309"/>
      <c r="V79" s="309"/>
      <c r="W79" s="309"/>
      <c r="X79" s="309"/>
      <c r="Y79" s="309"/>
      <c r="Z79" s="309"/>
      <c r="AA79" s="309"/>
      <c r="AB79" s="309"/>
      <c r="AC79" s="310"/>
      <c r="AE79" s="195">
        <v>68</v>
      </c>
      <c r="AF79" s="308"/>
      <c r="AG79" s="309"/>
      <c r="AH79" s="309"/>
      <c r="AI79" s="309"/>
      <c r="AJ79" s="309"/>
      <c r="AK79" s="309"/>
      <c r="AL79" s="309"/>
      <c r="AM79" s="309"/>
      <c r="AN79" s="309"/>
      <c r="AO79" s="309"/>
      <c r="AP79" s="309"/>
      <c r="AQ79" s="309"/>
      <c r="AR79" s="310"/>
      <c r="AT79" s="195">
        <v>68</v>
      </c>
      <c r="AU79" s="308"/>
      <c r="AV79" s="309"/>
      <c r="AW79" s="309"/>
      <c r="AX79" s="309"/>
      <c r="AY79" s="309"/>
      <c r="AZ79" s="309"/>
      <c r="BA79" s="309"/>
      <c r="BB79" s="309"/>
      <c r="BC79" s="309"/>
      <c r="BD79" s="309"/>
      <c r="BE79" s="309"/>
      <c r="BF79" s="309"/>
      <c r="BG79" s="310"/>
    </row>
    <row r="80" spans="1:59">
      <c r="A80" s="195">
        <v>69</v>
      </c>
      <c r="B80" s="308"/>
      <c r="C80" s="309"/>
      <c r="D80" s="309"/>
      <c r="E80" s="309"/>
      <c r="F80" s="309"/>
      <c r="G80" s="309"/>
      <c r="H80" s="309"/>
      <c r="I80" s="309"/>
      <c r="J80" s="309"/>
      <c r="K80" s="309"/>
      <c r="L80" s="309"/>
      <c r="M80" s="309"/>
      <c r="N80" s="310"/>
      <c r="P80" s="195">
        <v>69</v>
      </c>
      <c r="Q80" s="308"/>
      <c r="R80" s="309"/>
      <c r="S80" s="309"/>
      <c r="T80" s="309"/>
      <c r="U80" s="309"/>
      <c r="V80" s="309"/>
      <c r="W80" s="309"/>
      <c r="X80" s="309"/>
      <c r="Y80" s="309"/>
      <c r="Z80" s="309"/>
      <c r="AA80" s="309"/>
      <c r="AB80" s="309"/>
      <c r="AC80" s="310"/>
      <c r="AE80" s="195">
        <v>69</v>
      </c>
      <c r="AF80" s="308"/>
      <c r="AG80" s="309"/>
      <c r="AH80" s="309"/>
      <c r="AI80" s="309"/>
      <c r="AJ80" s="309"/>
      <c r="AK80" s="309"/>
      <c r="AL80" s="309"/>
      <c r="AM80" s="309"/>
      <c r="AN80" s="309"/>
      <c r="AO80" s="309"/>
      <c r="AP80" s="309"/>
      <c r="AQ80" s="309"/>
      <c r="AR80" s="310"/>
      <c r="AT80" s="195">
        <v>69</v>
      </c>
      <c r="AU80" s="308"/>
      <c r="AV80" s="309"/>
      <c r="AW80" s="309"/>
      <c r="AX80" s="309"/>
      <c r="AY80" s="309"/>
      <c r="AZ80" s="309"/>
      <c r="BA80" s="309"/>
      <c r="BB80" s="309"/>
      <c r="BC80" s="309"/>
      <c r="BD80" s="309"/>
      <c r="BE80" s="309"/>
      <c r="BF80" s="309"/>
      <c r="BG80" s="310"/>
    </row>
    <row r="81" spans="1:59">
      <c r="A81" s="195">
        <v>70</v>
      </c>
      <c r="B81" s="308"/>
      <c r="C81" s="309"/>
      <c r="D81" s="309"/>
      <c r="E81" s="309"/>
      <c r="F81" s="309"/>
      <c r="G81" s="309"/>
      <c r="H81" s="309"/>
      <c r="I81" s="309"/>
      <c r="J81" s="309"/>
      <c r="K81" s="309"/>
      <c r="L81" s="309"/>
      <c r="M81" s="309"/>
      <c r="N81" s="310"/>
      <c r="P81" s="195">
        <v>70</v>
      </c>
      <c r="Q81" s="308"/>
      <c r="R81" s="309"/>
      <c r="S81" s="309"/>
      <c r="T81" s="309"/>
      <c r="U81" s="309"/>
      <c r="V81" s="309"/>
      <c r="W81" s="309"/>
      <c r="X81" s="309"/>
      <c r="Y81" s="309"/>
      <c r="Z81" s="309"/>
      <c r="AA81" s="309"/>
      <c r="AB81" s="309"/>
      <c r="AC81" s="310"/>
      <c r="AE81" s="195">
        <v>70</v>
      </c>
      <c r="AF81" s="308"/>
      <c r="AG81" s="309"/>
      <c r="AH81" s="309"/>
      <c r="AI81" s="309"/>
      <c r="AJ81" s="309"/>
      <c r="AK81" s="309"/>
      <c r="AL81" s="309"/>
      <c r="AM81" s="309"/>
      <c r="AN81" s="309"/>
      <c r="AO81" s="309"/>
      <c r="AP81" s="309"/>
      <c r="AQ81" s="309"/>
      <c r="AR81" s="310"/>
      <c r="AT81" s="195">
        <v>70</v>
      </c>
      <c r="AU81" s="308"/>
      <c r="AV81" s="309"/>
      <c r="AW81" s="309"/>
      <c r="AX81" s="309"/>
      <c r="AY81" s="309"/>
      <c r="AZ81" s="309"/>
      <c r="BA81" s="309"/>
      <c r="BB81" s="309"/>
      <c r="BC81" s="309"/>
      <c r="BD81" s="309"/>
      <c r="BE81" s="309"/>
      <c r="BF81" s="309"/>
      <c r="BG81" s="310"/>
    </row>
    <row r="82" spans="1:59">
      <c r="A82" s="195">
        <v>71</v>
      </c>
      <c r="B82" s="308"/>
      <c r="C82" s="309"/>
      <c r="D82" s="309"/>
      <c r="E82" s="309"/>
      <c r="F82" s="309"/>
      <c r="G82" s="309"/>
      <c r="H82" s="309"/>
      <c r="I82" s="309"/>
      <c r="J82" s="309"/>
      <c r="K82" s="309"/>
      <c r="L82" s="309"/>
      <c r="M82" s="309"/>
      <c r="N82" s="310"/>
      <c r="P82" s="195">
        <v>71</v>
      </c>
      <c r="Q82" s="308"/>
      <c r="R82" s="309"/>
      <c r="S82" s="309"/>
      <c r="T82" s="309"/>
      <c r="U82" s="309"/>
      <c r="V82" s="309"/>
      <c r="W82" s="309"/>
      <c r="X82" s="309"/>
      <c r="Y82" s="309"/>
      <c r="Z82" s="309"/>
      <c r="AA82" s="309"/>
      <c r="AB82" s="309"/>
      <c r="AC82" s="310"/>
      <c r="AE82" s="195">
        <v>71</v>
      </c>
      <c r="AF82" s="308"/>
      <c r="AG82" s="309"/>
      <c r="AH82" s="309"/>
      <c r="AI82" s="309"/>
      <c r="AJ82" s="309"/>
      <c r="AK82" s="309"/>
      <c r="AL82" s="309"/>
      <c r="AM82" s="309"/>
      <c r="AN82" s="309"/>
      <c r="AO82" s="309"/>
      <c r="AP82" s="309"/>
      <c r="AQ82" s="309"/>
      <c r="AR82" s="310"/>
      <c r="AT82" s="195">
        <v>71</v>
      </c>
      <c r="AU82" s="308"/>
      <c r="AV82" s="309"/>
      <c r="AW82" s="309"/>
      <c r="AX82" s="309"/>
      <c r="AY82" s="309"/>
      <c r="AZ82" s="309"/>
      <c r="BA82" s="309"/>
      <c r="BB82" s="309"/>
      <c r="BC82" s="309"/>
      <c r="BD82" s="309"/>
      <c r="BE82" s="309"/>
      <c r="BF82" s="309"/>
      <c r="BG82" s="310"/>
    </row>
    <row r="83" spans="1:59">
      <c r="A83" s="195">
        <v>72</v>
      </c>
      <c r="B83" s="308"/>
      <c r="C83" s="309"/>
      <c r="D83" s="309"/>
      <c r="E83" s="309"/>
      <c r="F83" s="309"/>
      <c r="G83" s="309"/>
      <c r="H83" s="309"/>
      <c r="I83" s="309"/>
      <c r="J83" s="309"/>
      <c r="K83" s="309"/>
      <c r="L83" s="309"/>
      <c r="M83" s="309"/>
      <c r="N83" s="310"/>
      <c r="P83" s="195">
        <v>72</v>
      </c>
      <c r="Q83" s="308"/>
      <c r="R83" s="309"/>
      <c r="S83" s="309"/>
      <c r="T83" s="309"/>
      <c r="U83" s="309"/>
      <c r="V83" s="309"/>
      <c r="W83" s="309"/>
      <c r="X83" s="309"/>
      <c r="Y83" s="309"/>
      <c r="Z83" s="309"/>
      <c r="AA83" s="309"/>
      <c r="AB83" s="309"/>
      <c r="AC83" s="310"/>
      <c r="AE83" s="195">
        <v>72</v>
      </c>
      <c r="AF83" s="308"/>
      <c r="AG83" s="309"/>
      <c r="AH83" s="309"/>
      <c r="AI83" s="309"/>
      <c r="AJ83" s="309"/>
      <c r="AK83" s="309"/>
      <c r="AL83" s="309"/>
      <c r="AM83" s="309"/>
      <c r="AN83" s="309"/>
      <c r="AO83" s="309"/>
      <c r="AP83" s="309"/>
      <c r="AQ83" s="309"/>
      <c r="AR83" s="310"/>
      <c r="AT83" s="195">
        <v>72</v>
      </c>
      <c r="AU83" s="308"/>
      <c r="AV83" s="309"/>
      <c r="AW83" s="309"/>
      <c r="AX83" s="309"/>
      <c r="AY83" s="309"/>
      <c r="AZ83" s="309"/>
      <c r="BA83" s="309"/>
      <c r="BB83" s="309"/>
      <c r="BC83" s="309"/>
      <c r="BD83" s="309"/>
      <c r="BE83" s="309"/>
      <c r="BF83" s="309"/>
      <c r="BG83" s="310"/>
    </row>
    <row r="84" spans="1:59">
      <c r="A84" s="195">
        <v>73</v>
      </c>
      <c r="B84" s="308"/>
      <c r="C84" s="309"/>
      <c r="D84" s="309"/>
      <c r="E84" s="309"/>
      <c r="F84" s="309"/>
      <c r="G84" s="309"/>
      <c r="H84" s="309"/>
      <c r="I84" s="309"/>
      <c r="J84" s="309"/>
      <c r="K84" s="309"/>
      <c r="L84" s="309"/>
      <c r="M84" s="309"/>
      <c r="N84" s="310"/>
      <c r="P84" s="195">
        <v>73</v>
      </c>
      <c r="Q84" s="308"/>
      <c r="R84" s="309"/>
      <c r="S84" s="309"/>
      <c r="T84" s="309"/>
      <c r="U84" s="309"/>
      <c r="V84" s="309"/>
      <c r="W84" s="309"/>
      <c r="X84" s="309"/>
      <c r="Y84" s="309"/>
      <c r="Z84" s="309"/>
      <c r="AA84" s="309"/>
      <c r="AB84" s="309"/>
      <c r="AC84" s="310"/>
      <c r="AE84" s="195">
        <v>73</v>
      </c>
      <c r="AF84" s="308"/>
      <c r="AG84" s="309"/>
      <c r="AH84" s="309"/>
      <c r="AI84" s="309"/>
      <c r="AJ84" s="309"/>
      <c r="AK84" s="309"/>
      <c r="AL84" s="309"/>
      <c r="AM84" s="309"/>
      <c r="AN84" s="309"/>
      <c r="AO84" s="309"/>
      <c r="AP84" s="309"/>
      <c r="AQ84" s="309"/>
      <c r="AR84" s="310"/>
      <c r="AT84" s="195">
        <v>73</v>
      </c>
      <c r="AU84" s="308"/>
      <c r="AV84" s="309"/>
      <c r="AW84" s="309"/>
      <c r="AX84" s="309"/>
      <c r="AY84" s="309"/>
      <c r="AZ84" s="309"/>
      <c r="BA84" s="309"/>
      <c r="BB84" s="309"/>
      <c r="BC84" s="309"/>
      <c r="BD84" s="309"/>
      <c r="BE84" s="309"/>
      <c r="BF84" s="309"/>
      <c r="BG84" s="310"/>
    </row>
    <row r="85" spans="1:59">
      <c r="A85" s="195">
        <v>74</v>
      </c>
      <c r="B85" s="308"/>
      <c r="C85" s="309"/>
      <c r="D85" s="309"/>
      <c r="E85" s="309"/>
      <c r="F85" s="309"/>
      <c r="G85" s="309"/>
      <c r="H85" s="309"/>
      <c r="I85" s="309"/>
      <c r="J85" s="309"/>
      <c r="K85" s="309"/>
      <c r="L85" s="309"/>
      <c r="M85" s="309"/>
      <c r="N85" s="310"/>
      <c r="P85" s="195">
        <v>74</v>
      </c>
      <c r="Q85" s="308"/>
      <c r="R85" s="309"/>
      <c r="S85" s="309"/>
      <c r="T85" s="309"/>
      <c r="U85" s="309"/>
      <c r="V85" s="309"/>
      <c r="W85" s="309"/>
      <c r="X85" s="309"/>
      <c r="Y85" s="309"/>
      <c r="Z85" s="309"/>
      <c r="AA85" s="309"/>
      <c r="AB85" s="309"/>
      <c r="AC85" s="310"/>
      <c r="AE85" s="195">
        <v>74</v>
      </c>
      <c r="AF85" s="308"/>
      <c r="AG85" s="309"/>
      <c r="AH85" s="309"/>
      <c r="AI85" s="309"/>
      <c r="AJ85" s="309"/>
      <c r="AK85" s="309"/>
      <c r="AL85" s="309"/>
      <c r="AM85" s="309"/>
      <c r="AN85" s="309"/>
      <c r="AO85" s="309"/>
      <c r="AP85" s="309"/>
      <c r="AQ85" s="309"/>
      <c r="AR85" s="310"/>
      <c r="AT85" s="195">
        <v>74</v>
      </c>
      <c r="AU85" s="308"/>
      <c r="AV85" s="309"/>
      <c r="AW85" s="309"/>
      <c r="AX85" s="309"/>
      <c r="AY85" s="309"/>
      <c r="AZ85" s="309"/>
      <c r="BA85" s="309"/>
      <c r="BB85" s="309"/>
      <c r="BC85" s="309"/>
      <c r="BD85" s="309"/>
      <c r="BE85" s="309"/>
      <c r="BF85" s="309"/>
      <c r="BG85" s="310"/>
    </row>
    <row r="86" spans="1:59">
      <c r="A86" s="195">
        <v>75</v>
      </c>
      <c r="B86" s="308"/>
      <c r="C86" s="309"/>
      <c r="D86" s="309"/>
      <c r="E86" s="309"/>
      <c r="F86" s="309"/>
      <c r="G86" s="309"/>
      <c r="H86" s="309"/>
      <c r="I86" s="309"/>
      <c r="J86" s="309"/>
      <c r="K86" s="309"/>
      <c r="L86" s="309"/>
      <c r="M86" s="309"/>
      <c r="N86" s="310"/>
      <c r="P86" s="195">
        <v>75</v>
      </c>
      <c r="Q86" s="308"/>
      <c r="R86" s="309"/>
      <c r="S86" s="309"/>
      <c r="T86" s="309"/>
      <c r="U86" s="309"/>
      <c r="V86" s="309"/>
      <c r="W86" s="309"/>
      <c r="X86" s="309"/>
      <c r="Y86" s="309"/>
      <c r="Z86" s="309"/>
      <c r="AA86" s="309"/>
      <c r="AB86" s="309"/>
      <c r="AC86" s="310"/>
      <c r="AE86" s="195">
        <v>75</v>
      </c>
      <c r="AF86" s="308"/>
      <c r="AG86" s="309"/>
      <c r="AH86" s="309"/>
      <c r="AI86" s="309"/>
      <c r="AJ86" s="309"/>
      <c r="AK86" s="309"/>
      <c r="AL86" s="309"/>
      <c r="AM86" s="309"/>
      <c r="AN86" s="309"/>
      <c r="AO86" s="309"/>
      <c r="AP86" s="309"/>
      <c r="AQ86" s="309"/>
      <c r="AR86" s="310"/>
      <c r="AT86" s="195">
        <v>75</v>
      </c>
      <c r="AU86" s="308"/>
      <c r="AV86" s="309"/>
      <c r="AW86" s="309"/>
      <c r="AX86" s="309"/>
      <c r="AY86" s="309"/>
      <c r="AZ86" s="309"/>
      <c r="BA86" s="309"/>
      <c r="BB86" s="309"/>
      <c r="BC86" s="309"/>
      <c r="BD86" s="309"/>
      <c r="BE86" s="309"/>
      <c r="BF86" s="309"/>
      <c r="BG86" s="310"/>
    </row>
    <row r="87" spans="1:59">
      <c r="A87" s="195">
        <v>76</v>
      </c>
      <c r="B87" s="308"/>
      <c r="C87" s="309"/>
      <c r="D87" s="309"/>
      <c r="E87" s="309"/>
      <c r="F87" s="309"/>
      <c r="G87" s="309"/>
      <c r="H87" s="309"/>
      <c r="I87" s="309"/>
      <c r="J87" s="309"/>
      <c r="K87" s="309"/>
      <c r="L87" s="309"/>
      <c r="M87" s="309"/>
      <c r="N87" s="310"/>
      <c r="P87" s="195">
        <v>76</v>
      </c>
      <c r="Q87" s="308"/>
      <c r="R87" s="309"/>
      <c r="S87" s="309"/>
      <c r="T87" s="309"/>
      <c r="U87" s="309"/>
      <c r="V87" s="309"/>
      <c r="W87" s="309"/>
      <c r="X87" s="309"/>
      <c r="Y87" s="309"/>
      <c r="Z87" s="309"/>
      <c r="AA87" s="309"/>
      <c r="AB87" s="309"/>
      <c r="AC87" s="310"/>
      <c r="AE87" s="195">
        <v>76</v>
      </c>
      <c r="AF87" s="308"/>
      <c r="AG87" s="309"/>
      <c r="AH87" s="309"/>
      <c r="AI87" s="309"/>
      <c r="AJ87" s="309"/>
      <c r="AK87" s="309"/>
      <c r="AL87" s="309"/>
      <c r="AM87" s="309"/>
      <c r="AN87" s="309"/>
      <c r="AO87" s="309"/>
      <c r="AP87" s="309"/>
      <c r="AQ87" s="309"/>
      <c r="AR87" s="310"/>
      <c r="AT87" s="195">
        <v>76</v>
      </c>
      <c r="AU87" s="308"/>
      <c r="AV87" s="309"/>
      <c r="AW87" s="309"/>
      <c r="AX87" s="309"/>
      <c r="AY87" s="309"/>
      <c r="AZ87" s="309"/>
      <c r="BA87" s="309"/>
      <c r="BB87" s="309"/>
      <c r="BC87" s="309"/>
      <c r="BD87" s="309"/>
      <c r="BE87" s="309"/>
      <c r="BF87" s="309"/>
      <c r="BG87" s="310"/>
    </row>
    <row r="88" spans="1:59">
      <c r="A88" s="195">
        <v>77</v>
      </c>
      <c r="B88" s="308"/>
      <c r="C88" s="309"/>
      <c r="D88" s="309"/>
      <c r="E88" s="309"/>
      <c r="F88" s="309"/>
      <c r="G88" s="309"/>
      <c r="H88" s="309"/>
      <c r="I88" s="309"/>
      <c r="J88" s="309"/>
      <c r="K88" s="309"/>
      <c r="L88" s="309"/>
      <c r="M88" s="309"/>
      <c r="N88" s="310"/>
      <c r="P88" s="195">
        <v>77</v>
      </c>
      <c r="Q88" s="308"/>
      <c r="R88" s="309"/>
      <c r="S88" s="309"/>
      <c r="T88" s="309"/>
      <c r="U88" s="309"/>
      <c r="V88" s="309"/>
      <c r="W88" s="309"/>
      <c r="X88" s="309"/>
      <c r="Y88" s="309"/>
      <c r="Z88" s="309"/>
      <c r="AA88" s="309"/>
      <c r="AB88" s="309"/>
      <c r="AC88" s="310"/>
      <c r="AE88" s="195">
        <v>77</v>
      </c>
      <c r="AF88" s="308"/>
      <c r="AG88" s="309"/>
      <c r="AH88" s="309"/>
      <c r="AI88" s="309"/>
      <c r="AJ88" s="309"/>
      <c r="AK88" s="309"/>
      <c r="AL88" s="309"/>
      <c r="AM88" s="309"/>
      <c r="AN88" s="309"/>
      <c r="AO88" s="309"/>
      <c r="AP88" s="309"/>
      <c r="AQ88" s="309"/>
      <c r="AR88" s="310"/>
      <c r="AT88" s="195">
        <v>77</v>
      </c>
      <c r="AU88" s="308"/>
      <c r="AV88" s="309"/>
      <c r="AW88" s="309"/>
      <c r="AX88" s="309"/>
      <c r="AY88" s="309"/>
      <c r="AZ88" s="309"/>
      <c r="BA88" s="309"/>
      <c r="BB88" s="309"/>
      <c r="BC88" s="309"/>
      <c r="BD88" s="309"/>
      <c r="BE88" s="309"/>
      <c r="BF88" s="309"/>
      <c r="BG88" s="310"/>
    </row>
    <row r="89" spans="1:59">
      <c r="A89" s="195">
        <v>78</v>
      </c>
      <c r="B89" s="308"/>
      <c r="C89" s="309"/>
      <c r="D89" s="309"/>
      <c r="E89" s="309"/>
      <c r="F89" s="309"/>
      <c r="G89" s="309"/>
      <c r="H89" s="309"/>
      <c r="I89" s="309"/>
      <c r="J89" s="309"/>
      <c r="K89" s="309"/>
      <c r="L89" s="309"/>
      <c r="M89" s="309"/>
      <c r="N89" s="310"/>
      <c r="P89" s="195">
        <v>78</v>
      </c>
      <c r="Q89" s="308"/>
      <c r="R89" s="309"/>
      <c r="S89" s="309"/>
      <c r="T89" s="309"/>
      <c r="U89" s="309"/>
      <c r="V89" s="309"/>
      <c r="W89" s="309"/>
      <c r="X89" s="309"/>
      <c r="Y89" s="309"/>
      <c r="Z89" s="309"/>
      <c r="AA89" s="309"/>
      <c r="AB89" s="309"/>
      <c r="AC89" s="310"/>
      <c r="AE89" s="195">
        <v>78</v>
      </c>
      <c r="AF89" s="308"/>
      <c r="AG89" s="309"/>
      <c r="AH89" s="309"/>
      <c r="AI89" s="309"/>
      <c r="AJ89" s="309"/>
      <c r="AK89" s="309"/>
      <c r="AL89" s="309"/>
      <c r="AM89" s="309"/>
      <c r="AN89" s="309"/>
      <c r="AO89" s="309"/>
      <c r="AP89" s="309"/>
      <c r="AQ89" s="309"/>
      <c r="AR89" s="310"/>
      <c r="AT89" s="195">
        <v>78</v>
      </c>
      <c r="AU89" s="308"/>
      <c r="AV89" s="309"/>
      <c r="AW89" s="309"/>
      <c r="AX89" s="309"/>
      <c r="AY89" s="309"/>
      <c r="AZ89" s="309"/>
      <c r="BA89" s="309"/>
      <c r="BB89" s="309"/>
      <c r="BC89" s="309"/>
      <c r="BD89" s="309"/>
      <c r="BE89" s="309"/>
      <c r="BF89" s="309"/>
      <c r="BG89" s="310"/>
    </row>
    <row r="90" spans="1:59">
      <c r="A90" s="195">
        <v>79</v>
      </c>
      <c r="B90" s="308"/>
      <c r="C90" s="309"/>
      <c r="D90" s="309"/>
      <c r="E90" s="309"/>
      <c r="F90" s="309"/>
      <c r="G90" s="309"/>
      <c r="H90" s="309"/>
      <c r="I90" s="309"/>
      <c r="J90" s="309"/>
      <c r="K90" s="309"/>
      <c r="L90" s="309"/>
      <c r="M90" s="309"/>
      <c r="N90" s="310"/>
      <c r="P90" s="195">
        <v>79</v>
      </c>
      <c r="Q90" s="308"/>
      <c r="R90" s="309"/>
      <c r="S90" s="309"/>
      <c r="T90" s="309"/>
      <c r="U90" s="309"/>
      <c r="V90" s="309"/>
      <c r="W90" s="309"/>
      <c r="X90" s="309"/>
      <c r="Y90" s="309"/>
      <c r="Z90" s="309"/>
      <c r="AA90" s="309"/>
      <c r="AB90" s="309"/>
      <c r="AC90" s="310"/>
      <c r="AE90" s="195">
        <v>79</v>
      </c>
      <c r="AF90" s="308"/>
      <c r="AG90" s="309"/>
      <c r="AH90" s="309"/>
      <c r="AI90" s="309"/>
      <c r="AJ90" s="309"/>
      <c r="AK90" s="309"/>
      <c r="AL90" s="309"/>
      <c r="AM90" s="309"/>
      <c r="AN90" s="309"/>
      <c r="AO90" s="309"/>
      <c r="AP90" s="309"/>
      <c r="AQ90" s="309"/>
      <c r="AR90" s="310"/>
      <c r="AT90" s="195">
        <v>79</v>
      </c>
      <c r="AU90" s="308"/>
      <c r="AV90" s="309"/>
      <c r="AW90" s="309"/>
      <c r="AX90" s="309"/>
      <c r="AY90" s="309"/>
      <c r="AZ90" s="309"/>
      <c r="BA90" s="309"/>
      <c r="BB90" s="309"/>
      <c r="BC90" s="309"/>
      <c r="BD90" s="309"/>
      <c r="BE90" s="309"/>
      <c r="BF90" s="309"/>
      <c r="BG90" s="310"/>
    </row>
    <row r="91" spans="1:59">
      <c r="A91" s="195">
        <v>80</v>
      </c>
      <c r="B91" s="308"/>
      <c r="C91" s="309"/>
      <c r="D91" s="309"/>
      <c r="E91" s="309"/>
      <c r="F91" s="309"/>
      <c r="G91" s="309"/>
      <c r="H91" s="309"/>
      <c r="I91" s="309"/>
      <c r="J91" s="309"/>
      <c r="K91" s="309"/>
      <c r="L91" s="309"/>
      <c r="M91" s="309"/>
      <c r="N91" s="310"/>
      <c r="P91" s="195">
        <v>80</v>
      </c>
      <c r="Q91" s="308"/>
      <c r="R91" s="309"/>
      <c r="S91" s="309"/>
      <c r="T91" s="309"/>
      <c r="U91" s="309"/>
      <c r="V91" s="309"/>
      <c r="W91" s="309"/>
      <c r="X91" s="309"/>
      <c r="Y91" s="309"/>
      <c r="Z91" s="309"/>
      <c r="AA91" s="309"/>
      <c r="AB91" s="309"/>
      <c r="AC91" s="310"/>
      <c r="AE91" s="195">
        <v>80</v>
      </c>
      <c r="AF91" s="308"/>
      <c r="AG91" s="309"/>
      <c r="AH91" s="309"/>
      <c r="AI91" s="309"/>
      <c r="AJ91" s="309"/>
      <c r="AK91" s="309"/>
      <c r="AL91" s="309"/>
      <c r="AM91" s="309"/>
      <c r="AN91" s="309"/>
      <c r="AO91" s="309"/>
      <c r="AP91" s="309"/>
      <c r="AQ91" s="309"/>
      <c r="AR91" s="310"/>
      <c r="AT91" s="195">
        <v>80</v>
      </c>
      <c r="AU91" s="308"/>
      <c r="AV91" s="309"/>
      <c r="AW91" s="309"/>
      <c r="AX91" s="309"/>
      <c r="AY91" s="309"/>
      <c r="AZ91" s="309"/>
      <c r="BA91" s="309"/>
      <c r="BB91" s="309"/>
      <c r="BC91" s="309"/>
      <c r="BD91" s="309"/>
      <c r="BE91" s="309"/>
      <c r="BF91" s="309"/>
      <c r="BG91" s="310"/>
    </row>
    <row r="92" spans="1:59">
      <c r="A92" s="195">
        <v>81</v>
      </c>
      <c r="B92" s="308"/>
      <c r="C92" s="309"/>
      <c r="D92" s="309"/>
      <c r="E92" s="309"/>
      <c r="F92" s="309"/>
      <c r="G92" s="309"/>
      <c r="H92" s="309"/>
      <c r="I92" s="309"/>
      <c r="J92" s="309"/>
      <c r="K92" s="309"/>
      <c r="L92" s="309"/>
      <c r="M92" s="309"/>
      <c r="N92" s="310"/>
      <c r="P92" s="195">
        <v>81</v>
      </c>
      <c r="Q92" s="308"/>
      <c r="R92" s="309"/>
      <c r="S92" s="309"/>
      <c r="T92" s="309"/>
      <c r="U92" s="309"/>
      <c r="V92" s="309"/>
      <c r="W92" s="309"/>
      <c r="X92" s="309"/>
      <c r="Y92" s="309"/>
      <c r="Z92" s="309"/>
      <c r="AA92" s="309"/>
      <c r="AB92" s="309"/>
      <c r="AC92" s="310"/>
      <c r="AE92" s="195">
        <v>81</v>
      </c>
      <c r="AF92" s="308"/>
      <c r="AG92" s="309"/>
      <c r="AH92" s="309"/>
      <c r="AI92" s="309"/>
      <c r="AJ92" s="309"/>
      <c r="AK92" s="309"/>
      <c r="AL92" s="309"/>
      <c r="AM92" s="309"/>
      <c r="AN92" s="309"/>
      <c r="AO92" s="309"/>
      <c r="AP92" s="309"/>
      <c r="AQ92" s="309"/>
      <c r="AR92" s="310"/>
      <c r="AT92" s="195">
        <v>81</v>
      </c>
      <c r="AU92" s="308"/>
      <c r="AV92" s="309"/>
      <c r="AW92" s="309"/>
      <c r="AX92" s="309"/>
      <c r="AY92" s="309"/>
      <c r="AZ92" s="309"/>
      <c r="BA92" s="309"/>
      <c r="BB92" s="309"/>
      <c r="BC92" s="309"/>
      <c r="BD92" s="309"/>
      <c r="BE92" s="309"/>
      <c r="BF92" s="309"/>
      <c r="BG92" s="310"/>
    </row>
    <row r="93" spans="1:59">
      <c r="A93" s="195">
        <v>82</v>
      </c>
      <c r="B93" s="308"/>
      <c r="C93" s="309"/>
      <c r="D93" s="309"/>
      <c r="E93" s="309"/>
      <c r="F93" s="309"/>
      <c r="G93" s="309"/>
      <c r="H93" s="309"/>
      <c r="I93" s="309"/>
      <c r="J93" s="309"/>
      <c r="K93" s="309"/>
      <c r="L93" s="309"/>
      <c r="M93" s="309"/>
      <c r="N93" s="310"/>
      <c r="P93" s="195">
        <v>82</v>
      </c>
      <c r="Q93" s="308"/>
      <c r="R93" s="309"/>
      <c r="S93" s="309"/>
      <c r="T93" s="309"/>
      <c r="U93" s="309"/>
      <c r="V93" s="309"/>
      <c r="W93" s="309"/>
      <c r="X93" s="309"/>
      <c r="Y93" s="309"/>
      <c r="Z93" s="309"/>
      <c r="AA93" s="309"/>
      <c r="AB93" s="309"/>
      <c r="AC93" s="310"/>
      <c r="AE93" s="195">
        <v>82</v>
      </c>
      <c r="AF93" s="308"/>
      <c r="AG93" s="309"/>
      <c r="AH93" s="309"/>
      <c r="AI93" s="309"/>
      <c r="AJ93" s="309"/>
      <c r="AK93" s="309"/>
      <c r="AL93" s="309"/>
      <c r="AM93" s="309"/>
      <c r="AN93" s="309"/>
      <c r="AO93" s="309"/>
      <c r="AP93" s="309"/>
      <c r="AQ93" s="309"/>
      <c r="AR93" s="310"/>
      <c r="AT93" s="195">
        <v>82</v>
      </c>
      <c r="AU93" s="308"/>
      <c r="AV93" s="309"/>
      <c r="AW93" s="309"/>
      <c r="AX93" s="309"/>
      <c r="AY93" s="309"/>
      <c r="AZ93" s="309"/>
      <c r="BA93" s="309"/>
      <c r="BB93" s="309"/>
      <c r="BC93" s="309"/>
      <c r="BD93" s="309"/>
      <c r="BE93" s="309"/>
      <c r="BF93" s="309"/>
      <c r="BG93" s="310"/>
    </row>
    <row r="94" spans="1:59">
      <c r="A94" s="195">
        <v>83</v>
      </c>
      <c r="B94" s="308"/>
      <c r="C94" s="309"/>
      <c r="D94" s="309"/>
      <c r="E94" s="309"/>
      <c r="F94" s="309"/>
      <c r="G94" s="309"/>
      <c r="H94" s="309"/>
      <c r="I94" s="309"/>
      <c r="J94" s="309"/>
      <c r="K94" s="309"/>
      <c r="L94" s="309"/>
      <c r="M94" s="309"/>
      <c r="N94" s="310"/>
      <c r="P94" s="195">
        <v>83</v>
      </c>
      <c r="Q94" s="308"/>
      <c r="R94" s="309"/>
      <c r="S94" s="309"/>
      <c r="T94" s="309"/>
      <c r="U94" s="309"/>
      <c r="V94" s="309"/>
      <c r="W94" s="309"/>
      <c r="X94" s="309"/>
      <c r="Y94" s="309"/>
      <c r="Z94" s="309"/>
      <c r="AA94" s="309"/>
      <c r="AB94" s="309"/>
      <c r="AC94" s="310"/>
      <c r="AE94" s="195">
        <v>83</v>
      </c>
      <c r="AF94" s="308"/>
      <c r="AG94" s="309"/>
      <c r="AH94" s="309"/>
      <c r="AI94" s="309"/>
      <c r="AJ94" s="309"/>
      <c r="AK94" s="309"/>
      <c r="AL94" s="309"/>
      <c r="AM94" s="309"/>
      <c r="AN94" s="309"/>
      <c r="AO94" s="309"/>
      <c r="AP94" s="309"/>
      <c r="AQ94" s="309"/>
      <c r="AR94" s="310"/>
      <c r="AT94" s="195">
        <v>83</v>
      </c>
      <c r="AU94" s="308"/>
      <c r="AV94" s="309"/>
      <c r="AW94" s="309"/>
      <c r="AX94" s="309"/>
      <c r="AY94" s="309"/>
      <c r="AZ94" s="309"/>
      <c r="BA94" s="309"/>
      <c r="BB94" s="309"/>
      <c r="BC94" s="309"/>
      <c r="BD94" s="309"/>
      <c r="BE94" s="309"/>
      <c r="BF94" s="309"/>
      <c r="BG94" s="310"/>
    </row>
    <row r="95" spans="1:59">
      <c r="A95" s="195">
        <v>84</v>
      </c>
      <c r="B95" s="308"/>
      <c r="C95" s="309"/>
      <c r="D95" s="309"/>
      <c r="E95" s="309"/>
      <c r="F95" s="309"/>
      <c r="G95" s="309"/>
      <c r="H95" s="309"/>
      <c r="I95" s="309"/>
      <c r="J95" s="309"/>
      <c r="K95" s="309"/>
      <c r="L95" s="309"/>
      <c r="M95" s="309"/>
      <c r="N95" s="310"/>
      <c r="P95" s="195">
        <v>84</v>
      </c>
      <c r="Q95" s="308"/>
      <c r="R95" s="309"/>
      <c r="S95" s="309"/>
      <c r="T95" s="309"/>
      <c r="U95" s="309"/>
      <c r="V95" s="309"/>
      <c r="W95" s="309"/>
      <c r="X95" s="309"/>
      <c r="Y95" s="309"/>
      <c r="Z95" s="309"/>
      <c r="AA95" s="309"/>
      <c r="AB95" s="309"/>
      <c r="AC95" s="310"/>
      <c r="AE95" s="195">
        <v>84</v>
      </c>
      <c r="AF95" s="308"/>
      <c r="AG95" s="309"/>
      <c r="AH95" s="309"/>
      <c r="AI95" s="309"/>
      <c r="AJ95" s="309"/>
      <c r="AK95" s="309"/>
      <c r="AL95" s="309"/>
      <c r="AM95" s="309"/>
      <c r="AN95" s="309"/>
      <c r="AO95" s="309"/>
      <c r="AP95" s="309"/>
      <c r="AQ95" s="309"/>
      <c r="AR95" s="310"/>
      <c r="AT95" s="195">
        <v>84</v>
      </c>
      <c r="AU95" s="308"/>
      <c r="AV95" s="309"/>
      <c r="AW95" s="309"/>
      <c r="AX95" s="309"/>
      <c r="AY95" s="309"/>
      <c r="AZ95" s="309"/>
      <c r="BA95" s="309"/>
      <c r="BB95" s="309"/>
      <c r="BC95" s="309"/>
      <c r="BD95" s="309"/>
      <c r="BE95" s="309"/>
      <c r="BF95" s="309"/>
      <c r="BG95" s="310"/>
    </row>
    <row r="96" spans="1:59">
      <c r="A96" s="195">
        <v>85</v>
      </c>
      <c r="B96" s="308"/>
      <c r="C96" s="309"/>
      <c r="D96" s="309"/>
      <c r="E96" s="309"/>
      <c r="F96" s="309"/>
      <c r="G96" s="309"/>
      <c r="H96" s="309"/>
      <c r="I96" s="309"/>
      <c r="J96" s="309"/>
      <c r="K96" s="309"/>
      <c r="L96" s="309"/>
      <c r="M96" s="309"/>
      <c r="N96" s="310"/>
      <c r="P96" s="195">
        <v>85</v>
      </c>
      <c r="Q96" s="308"/>
      <c r="R96" s="309"/>
      <c r="S96" s="309"/>
      <c r="T96" s="309"/>
      <c r="U96" s="309"/>
      <c r="V96" s="309"/>
      <c r="W96" s="309"/>
      <c r="X96" s="309"/>
      <c r="Y96" s="309"/>
      <c r="Z96" s="309"/>
      <c r="AA96" s="309"/>
      <c r="AB96" s="309"/>
      <c r="AC96" s="310"/>
      <c r="AE96" s="195">
        <v>85</v>
      </c>
      <c r="AF96" s="308"/>
      <c r="AG96" s="309"/>
      <c r="AH96" s="309"/>
      <c r="AI96" s="309"/>
      <c r="AJ96" s="309"/>
      <c r="AK96" s="309"/>
      <c r="AL96" s="309"/>
      <c r="AM96" s="309"/>
      <c r="AN96" s="309"/>
      <c r="AO96" s="309"/>
      <c r="AP96" s="309"/>
      <c r="AQ96" s="309"/>
      <c r="AR96" s="310"/>
      <c r="AT96" s="195">
        <v>85</v>
      </c>
      <c r="AU96" s="308"/>
      <c r="AV96" s="309"/>
      <c r="AW96" s="309"/>
      <c r="AX96" s="309"/>
      <c r="AY96" s="309"/>
      <c r="AZ96" s="309"/>
      <c r="BA96" s="309"/>
      <c r="BB96" s="309"/>
      <c r="BC96" s="309"/>
      <c r="BD96" s="309"/>
      <c r="BE96" s="309"/>
      <c r="BF96" s="309"/>
      <c r="BG96" s="310"/>
    </row>
    <row r="97" spans="1:59">
      <c r="A97" s="195">
        <v>86</v>
      </c>
      <c r="B97" s="308"/>
      <c r="C97" s="309"/>
      <c r="D97" s="309"/>
      <c r="E97" s="309"/>
      <c r="F97" s="309"/>
      <c r="G97" s="309"/>
      <c r="H97" s="309"/>
      <c r="I97" s="309"/>
      <c r="J97" s="309"/>
      <c r="K97" s="309"/>
      <c r="L97" s="309"/>
      <c r="M97" s="309"/>
      <c r="N97" s="310"/>
      <c r="P97" s="195">
        <v>86</v>
      </c>
      <c r="Q97" s="308"/>
      <c r="R97" s="309"/>
      <c r="S97" s="309"/>
      <c r="T97" s="309"/>
      <c r="U97" s="309"/>
      <c r="V97" s="309"/>
      <c r="W97" s="309"/>
      <c r="X97" s="309"/>
      <c r="Y97" s="309"/>
      <c r="Z97" s="309"/>
      <c r="AA97" s="309"/>
      <c r="AB97" s="309"/>
      <c r="AC97" s="310"/>
      <c r="AE97" s="195">
        <v>86</v>
      </c>
      <c r="AF97" s="308"/>
      <c r="AG97" s="309"/>
      <c r="AH97" s="309"/>
      <c r="AI97" s="309"/>
      <c r="AJ97" s="309"/>
      <c r="AK97" s="309"/>
      <c r="AL97" s="309"/>
      <c r="AM97" s="309"/>
      <c r="AN97" s="309"/>
      <c r="AO97" s="309"/>
      <c r="AP97" s="309"/>
      <c r="AQ97" s="309"/>
      <c r="AR97" s="310"/>
      <c r="AT97" s="195">
        <v>86</v>
      </c>
      <c r="AU97" s="308"/>
      <c r="AV97" s="309"/>
      <c r="AW97" s="309"/>
      <c r="AX97" s="309"/>
      <c r="AY97" s="309"/>
      <c r="AZ97" s="309"/>
      <c r="BA97" s="309"/>
      <c r="BB97" s="309"/>
      <c r="BC97" s="309"/>
      <c r="BD97" s="309"/>
      <c r="BE97" s="309"/>
      <c r="BF97" s="309"/>
      <c r="BG97" s="310"/>
    </row>
    <row r="98" spans="1:59">
      <c r="A98" s="195">
        <v>87</v>
      </c>
      <c r="B98" s="308"/>
      <c r="C98" s="309"/>
      <c r="D98" s="309"/>
      <c r="E98" s="309"/>
      <c r="F98" s="309"/>
      <c r="G98" s="309"/>
      <c r="H98" s="309"/>
      <c r="I98" s="309"/>
      <c r="J98" s="309"/>
      <c r="K98" s="309"/>
      <c r="L98" s="309"/>
      <c r="M98" s="309"/>
      <c r="N98" s="310"/>
      <c r="P98" s="195">
        <v>87</v>
      </c>
      <c r="Q98" s="308"/>
      <c r="R98" s="309"/>
      <c r="S98" s="309"/>
      <c r="T98" s="309"/>
      <c r="U98" s="309"/>
      <c r="V98" s="309"/>
      <c r="W98" s="309"/>
      <c r="X98" s="309"/>
      <c r="Y98" s="309"/>
      <c r="Z98" s="309"/>
      <c r="AA98" s="309"/>
      <c r="AB98" s="309"/>
      <c r="AC98" s="310"/>
      <c r="AE98" s="195">
        <v>87</v>
      </c>
      <c r="AF98" s="308"/>
      <c r="AG98" s="309"/>
      <c r="AH98" s="309"/>
      <c r="AI98" s="309"/>
      <c r="AJ98" s="309"/>
      <c r="AK98" s="309"/>
      <c r="AL98" s="309"/>
      <c r="AM98" s="309"/>
      <c r="AN98" s="309"/>
      <c r="AO98" s="309"/>
      <c r="AP98" s="309"/>
      <c r="AQ98" s="309"/>
      <c r="AR98" s="310"/>
      <c r="AT98" s="195">
        <v>87</v>
      </c>
      <c r="AU98" s="308"/>
      <c r="AV98" s="309"/>
      <c r="AW98" s="309"/>
      <c r="AX98" s="309"/>
      <c r="AY98" s="309"/>
      <c r="AZ98" s="309"/>
      <c r="BA98" s="309"/>
      <c r="BB98" s="309"/>
      <c r="BC98" s="309"/>
      <c r="BD98" s="309"/>
      <c r="BE98" s="309"/>
      <c r="BF98" s="309"/>
      <c r="BG98" s="310"/>
    </row>
    <row r="99" spans="1:59">
      <c r="A99" s="195">
        <v>88</v>
      </c>
      <c r="B99" s="308"/>
      <c r="C99" s="309"/>
      <c r="D99" s="309"/>
      <c r="E99" s="309"/>
      <c r="F99" s="309"/>
      <c r="G99" s="309"/>
      <c r="H99" s="309"/>
      <c r="I99" s="309"/>
      <c r="J99" s="309"/>
      <c r="K99" s="309"/>
      <c r="L99" s="309"/>
      <c r="M99" s="309"/>
      <c r="N99" s="310"/>
      <c r="P99" s="195">
        <v>88</v>
      </c>
      <c r="Q99" s="308"/>
      <c r="R99" s="309"/>
      <c r="S99" s="309"/>
      <c r="T99" s="309"/>
      <c r="U99" s="309"/>
      <c r="V99" s="309"/>
      <c r="W99" s="309"/>
      <c r="X99" s="309"/>
      <c r="Y99" s="309"/>
      <c r="Z99" s="309"/>
      <c r="AA99" s="309"/>
      <c r="AB99" s="309"/>
      <c r="AC99" s="310"/>
      <c r="AE99" s="195">
        <v>88</v>
      </c>
      <c r="AF99" s="308"/>
      <c r="AG99" s="309"/>
      <c r="AH99" s="309"/>
      <c r="AI99" s="309"/>
      <c r="AJ99" s="309"/>
      <c r="AK99" s="309"/>
      <c r="AL99" s="309"/>
      <c r="AM99" s="309"/>
      <c r="AN99" s="309"/>
      <c r="AO99" s="309"/>
      <c r="AP99" s="309"/>
      <c r="AQ99" s="309"/>
      <c r="AR99" s="310"/>
      <c r="AT99" s="195">
        <v>88</v>
      </c>
      <c r="AU99" s="308"/>
      <c r="AV99" s="309"/>
      <c r="AW99" s="309"/>
      <c r="AX99" s="309"/>
      <c r="AY99" s="309"/>
      <c r="AZ99" s="309"/>
      <c r="BA99" s="309"/>
      <c r="BB99" s="309"/>
      <c r="BC99" s="309"/>
      <c r="BD99" s="309"/>
      <c r="BE99" s="309"/>
      <c r="BF99" s="309"/>
      <c r="BG99" s="310"/>
    </row>
    <row r="100" spans="1:59">
      <c r="A100" s="195">
        <v>89</v>
      </c>
      <c r="B100" s="308"/>
      <c r="C100" s="309"/>
      <c r="D100" s="309"/>
      <c r="E100" s="309"/>
      <c r="F100" s="309"/>
      <c r="G100" s="309"/>
      <c r="H100" s="309"/>
      <c r="I100" s="309"/>
      <c r="J100" s="309"/>
      <c r="K100" s="309"/>
      <c r="L100" s="309"/>
      <c r="M100" s="309"/>
      <c r="N100" s="310"/>
      <c r="P100" s="195">
        <v>89</v>
      </c>
      <c r="Q100" s="308"/>
      <c r="R100" s="309"/>
      <c r="S100" s="309"/>
      <c r="T100" s="309"/>
      <c r="U100" s="309"/>
      <c r="V100" s="309"/>
      <c r="W100" s="309"/>
      <c r="X100" s="309"/>
      <c r="Y100" s="309"/>
      <c r="Z100" s="309"/>
      <c r="AA100" s="309"/>
      <c r="AB100" s="309"/>
      <c r="AC100" s="310"/>
      <c r="AE100" s="195">
        <v>89</v>
      </c>
      <c r="AF100" s="308"/>
      <c r="AG100" s="309"/>
      <c r="AH100" s="309"/>
      <c r="AI100" s="309"/>
      <c r="AJ100" s="309"/>
      <c r="AK100" s="309"/>
      <c r="AL100" s="309"/>
      <c r="AM100" s="309"/>
      <c r="AN100" s="309"/>
      <c r="AO100" s="309"/>
      <c r="AP100" s="309"/>
      <c r="AQ100" s="309"/>
      <c r="AR100" s="310"/>
      <c r="AT100" s="195">
        <v>89</v>
      </c>
      <c r="AU100" s="308"/>
      <c r="AV100" s="309"/>
      <c r="AW100" s="309"/>
      <c r="AX100" s="309"/>
      <c r="AY100" s="309"/>
      <c r="AZ100" s="309"/>
      <c r="BA100" s="309"/>
      <c r="BB100" s="309"/>
      <c r="BC100" s="309"/>
      <c r="BD100" s="309"/>
      <c r="BE100" s="309"/>
      <c r="BF100" s="309"/>
      <c r="BG100" s="310"/>
    </row>
    <row r="101" spans="1:59">
      <c r="A101" s="195">
        <v>90</v>
      </c>
      <c r="B101" s="308"/>
      <c r="C101" s="309"/>
      <c r="D101" s="309"/>
      <c r="E101" s="309"/>
      <c r="F101" s="309"/>
      <c r="G101" s="309"/>
      <c r="H101" s="309"/>
      <c r="I101" s="309"/>
      <c r="J101" s="309"/>
      <c r="K101" s="309"/>
      <c r="L101" s="309"/>
      <c r="M101" s="309"/>
      <c r="N101" s="310"/>
      <c r="P101" s="195">
        <v>90</v>
      </c>
      <c r="Q101" s="308"/>
      <c r="R101" s="309"/>
      <c r="S101" s="309"/>
      <c r="T101" s="309"/>
      <c r="U101" s="309"/>
      <c r="V101" s="309"/>
      <c r="W101" s="309"/>
      <c r="X101" s="309"/>
      <c r="Y101" s="309"/>
      <c r="Z101" s="309"/>
      <c r="AA101" s="309"/>
      <c r="AB101" s="309"/>
      <c r="AC101" s="310"/>
      <c r="AE101" s="195">
        <v>90</v>
      </c>
      <c r="AF101" s="308"/>
      <c r="AG101" s="309"/>
      <c r="AH101" s="309"/>
      <c r="AI101" s="309"/>
      <c r="AJ101" s="309"/>
      <c r="AK101" s="309"/>
      <c r="AL101" s="309"/>
      <c r="AM101" s="309"/>
      <c r="AN101" s="309"/>
      <c r="AO101" s="309"/>
      <c r="AP101" s="309"/>
      <c r="AQ101" s="309"/>
      <c r="AR101" s="310"/>
      <c r="AT101" s="195">
        <v>90</v>
      </c>
      <c r="AU101" s="308"/>
      <c r="AV101" s="309"/>
      <c r="AW101" s="309"/>
      <c r="AX101" s="309"/>
      <c r="AY101" s="309"/>
      <c r="AZ101" s="309"/>
      <c r="BA101" s="309"/>
      <c r="BB101" s="309"/>
      <c r="BC101" s="309"/>
      <c r="BD101" s="309"/>
      <c r="BE101" s="309"/>
      <c r="BF101" s="309"/>
      <c r="BG101" s="310"/>
    </row>
    <row r="102" spans="1:59">
      <c r="A102" s="195">
        <v>91</v>
      </c>
      <c r="B102" s="308"/>
      <c r="C102" s="309"/>
      <c r="D102" s="309"/>
      <c r="E102" s="309"/>
      <c r="F102" s="309"/>
      <c r="G102" s="309"/>
      <c r="H102" s="309"/>
      <c r="I102" s="309"/>
      <c r="J102" s="309"/>
      <c r="K102" s="309"/>
      <c r="L102" s="309"/>
      <c r="M102" s="309"/>
      <c r="N102" s="310"/>
      <c r="P102" s="195">
        <v>91</v>
      </c>
      <c r="Q102" s="308"/>
      <c r="R102" s="309"/>
      <c r="S102" s="309"/>
      <c r="T102" s="309"/>
      <c r="U102" s="309"/>
      <c r="V102" s="309"/>
      <c r="W102" s="309"/>
      <c r="X102" s="309"/>
      <c r="Y102" s="309"/>
      <c r="Z102" s="309"/>
      <c r="AA102" s="309"/>
      <c r="AB102" s="309"/>
      <c r="AC102" s="310"/>
      <c r="AE102" s="195">
        <v>91</v>
      </c>
      <c r="AF102" s="308"/>
      <c r="AG102" s="309"/>
      <c r="AH102" s="309"/>
      <c r="AI102" s="309"/>
      <c r="AJ102" s="309"/>
      <c r="AK102" s="309"/>
      <c r="AL102" s="309"/>
      <c r="AM102" s="309"/>
      <c r="AN102" s="309"/>
      <c r="AO102" s="309"/>
      <c r="AP102" s="309"/>
      <c r="AQ102" s="309"/>
      <c r="AR102" s="310"/>
      <c r="AT102" s="195">
        <v>91</v>
      </c>
      <c r="AU102" s="308"/>
      <c r="AV102" s="309"/>
      <c r="AW102" s="309"/>
      <c r="AX102" s="309"/>
      <c r="AY102" s="309"/>
      <c r="AZ102" s="309"/>
      <c r="BA102" s="309"/>
      <c r="BB102" s="309"/>
      <c r="BC102" s="309"/>
      <c r="BD102" s="309"/>
      <c r="BE102" s="309"/>
      <c r="BF102" s="309"/>
      <c r="BG102" s="310"/>
    </row>
    <row r="103" spans="1:59">
      <c r="A103" s="195">
        <v>92</v>
      </c>
      <c r="B103" s="308"/>
      <c r="C103" s="309"/>
      <c r="D103" s="309"/>
      <c r="E103" s="309"/>
      <c r="F103" s="309"/>
      <c r="G103" s="309"/>
      <c r="H103" s="309"/>
      <c r="I103" s="309"/>
      <c r="J103" s="309"/>
      <c r="K103" s="309"/>
      <c r="L103" s="309"/>
      <c r="M103" s="309"/>
      <c r="N103" s="310"/>
      <c r="P103" s="195">
        <v>92</v>
      </c>
      <c r="Q103" s="308"/>
      <c r="R103" s="309"/>
      <c r="S103" s="309"/>
      <c r="T103" s="309"/>
      <c r="U103" s="309"/>
      <c r="V103" s="309"/>
      <c r="W103" s="309"/>
      <c r="X103" s="309"/>
      <c r="Y103" s="309"/>
      <c r="Z103" s="309"/>
      <c r="AA103" s="309"/>
      <c r="AB103" s="309"/>
      <c r="AC103" s="310"/>
      <c r="AE103" s="195">
        <v>92</v>
      </c>
      <c r="AF103" s="308"/>
      <c r="AG103" s="309"/>
      <c r="AH103" s="309"/>
      <c r="AI103" s="309"/>
      <c r="AJ103" s="309"/>
      <c r="AK103" s="309"/>
      <c r="AL103" s="309"/>
      <c r="AM103" s="309"/>
      <c r="AN103" s="309"/>
      <c r="AO103" s="309"/>
      <c r="AP103" s="309"/>
      <c r="AQ103" s="309"/>
      <c r="AR103" s="310"/>
      <c r="AT103" s="195">
        <v>92</v>
      </c>
      <c r="AU103" s="308"/>
      <c r="AV103" s="309"/>
      <c r="AW103" s="309"/>
      <c r="AX103" s="309"/>
      <c r="AY103" s="309"/>
      <c r="AZ103" s="309"/>
      <c r="BA103" s="309"/>
      <c r="BB103" s="309"/>
      <c r="BC103" s="309"/>
      <c r="BD103" s="309"/>
      <c r="BE103" s="309"/>
      <c r="BF103" s="309"/>
      <c r="BG103" s="310"/>
    </row>
    <row r="104" spans="1:59">
      <c r="A104" s="195">
        <v>93</v>
      </c>
      <c r="B104" s="308"/>
      <c r="C104" s="309"/>
      <c r="D104" s="309"/>
      <c r="E104" s="309"/>
      <c r="F104" s="309"/>
      <c r="G104" s="309"/>
      <c r="H104" s="309"/>
      <c r="I104" s="309"/>
      <c r="J104" s="309"/>
      <c r="K104" s="309"/>
      <c r="L104" s="309"/>
      <c r="M104" s="309"/>
      <c r="N104" s="310"/>
      <c r="P104" s="195">
        <v>93</v>
      </c>
      <c r="Q104" s="308"/>
      <c r="R104" s="309"/>
      <c r="S104" s="309"/>
      <c r="T104" s="309"/>
      <c r="U104" s="309"/>
      <c r="V104" s="309"/>
      <c r="W104" s="309"/>
      <c r="X104" s="309"/>
      <c r="Y104" s="309"/>
      <c r="Z104" s="309"/>
      <c r="AA104" s="309"/>
      <c r="AB104" s="309"/>
      <c r="AC104" s="310"/>
      <c r="AE104" s="195">
        <v>93</v>
      </c>
      <c r="AF104" s="308"/>
      <c r="AG104" s="309"/>
      <c r="AH104" s="309"/>
      <c r="AI104" s="309"/>
      <c r="AJ104" s="309"/>
      <c r="AK104" s="309"/>
      <c r="AL104" s="309"/>
      <c r="AM104" s="309"/>
      <c r="AN104" s="309"/>
      <c r="AO104" s="309"/>
      <c r="AP104" s="309"/>
      <c r="AQ104" s="309"/>
      <c r="AR104" s="310"/>
      <c r="AT104" s="195">
        <v>93</v>
      </c>
      <c r="AU104" s="308"/>
      <c r="AV104" s="309"/>
      <c r="AW104" s="309"/>
      <c r="AX104" s="309"/>
      <c r="AY104" s="309"/>
      <c r="AZ104" s="309"/>
      <c r="BA104" s="309"/>
      <c r="BB104" s="309"/>
      <c r="BC104" s="309"/>
      <c r="BD104" s="309"/>
      <c r="BE104" s="309"/>
      <c r="BF104" s="309"/>
      <c r="BG104" s="310"/>
    </row>
    <row r="105" spans="1:59">
      <c r="A105" s="195">
        <v>94</v>
      </c>
      <c r="B105" s="308"/>
      <c r="C105" s="309"/>
      <c r="D105" s="309"/>
      <c r="E105" s="309"/>
      <c r="F105" s="309"/>
      <c r="G105" s="309"/>
      <c r="H105" s="309"/>
      <c r="I105" s="309"/>
      <c r="J105" s="309"/>
      <c r="K105" s="309"/>
      <c r="L105" s="309"/>
      <c r="M105" s="309"/>
      <c r="N105" s="310"/>
      <c r="P105" s="195">
        <v>94</v>
      </c>
      <c r="Q105" s="308"/>
      <c r="R105" s="309"/>
      <c r="S105" s="309"/>
      <c r="T105" s="309"/>
      <c r="U105" s="309"/>
      <c r="V105" s="309"/>
      <c r="W105" s="309"/>
      <c r="X105" s="309"/>
      <c r="Y105" s="309"/>
      <c r="Z105" s="309"/>
      <c r="AA105" s="309"/>
      <c r="AB105" s="309"/>
      <c r="AC105" s="310"/>
      <c r="AE105" s="195">
        <v>94</v>
      </c>
      <c r="AF105" s="308"/>
      <c r="AG105" s="309"/>
      <c r="AH105" s="309"/>
      <c r="AI105" s="309"/>
      <c r="AJ105" s="309"/>
      <c r="AK105" s="309"/>
      <c r="AL105" s="309"/>
      <c r="AM105" s="309"/>
      <c r="AN105" s="309"/>
      <c r="AO105" s="309"/>
      <c r="AP105" s="309"/>
      <c r="AQ105" s="309"/>
      <c r="AR105" s="310"/>
      <c r="AT105" s="195">
        <v>94</v>
      </c>
      <c r="AU105" s="308"/>
      <c r="AV105" s="309"/>
      <c r="AW105" s="309"/>
      <c r="AX105" s="309"/>
      <c r="AY105" s="309"/>
      <c r="AZ105" s="309"/>
      <c r="BA105" s="309"/>
      <c r="BB105" s="309"/>
      <c r="BC105" s="309"/>
      <c r="BD105" s="309"/>
      <c r="BE105" s="309"/>
      <c r="BF105" s="309"/>
      <c r="BG105" s="310"/>
    </row>
    <row r="106" spans="1:59">
      <c r="A106" s="195">
        <v>95</v>
      </c>
      <c r="B106" s="308"/>
      <c r="C106" s="309"/>
      <c r="D106" s="309"/>
      <c r="E106" s="309"/>
      <c r="F106" s="309"/>
      <c r="G106" s="309"/>
      <c r="H106" s="309"/>
      <c r="I106" s="309"/>
      <c r="J106" s="309"/>
      <c r="K106" s="309"/>
      <c r="L106" s="309"/>
      <c r="M106" s="309"/>
      <c r="N106" s="310"/>
      <c r="P106" s="195">
        <v>95</v>
      </c>
      <c r="Q106" s="308"/>
      <c r="R106" s="309"/>
      <c r="S106" s="309"/>
      <c r="T106" s="309"/>
      <c r="U106" s="309"/>
      <c r="V106" s="309"/>
      <c r="W106" s="309"/>
      <c r="X106" s="309"/>
      <c r="Y106" s="309"/>
      <c r="Z106" s="309"/>
      <c r="AA106" s="309"/>
      <c r="AB106" s="309"/>
      <c r="AC106" s="310"/>
      <c r="AE106" s="195">
        <v>95</v>
      </c>
      <c r="AF106" s="308"/>
      <c r="AG106" s="309"/>
      <c r="AH106" s="309"/>
      <c r="AI106" s="309"/>
      <c r="AJ106" s="309"/>
      <c r="AK106" s="309"/>
      <c r="AL106" s="309"/>
      <c r="AM106" s="309"/>
      <c r="AN106" s="309"/>
      <c r="AO106" s="309"/>
      <c r="AP106" s="309"/>
      <c r="AQ106" s="309"/>
      <c r="AR106" s="310"/>
      <c r="AT106" s="195">
        <v>95</v>
      </c>
      <c r="AU106" s="308"/>
      <c r="AV106" s="309"/>
      <c r="AW106" s="309"/>
      <c r="AX106" s="309"/>
      <c r="AY106" s="309"/>
      <c r="AZ106" s="309"/>
      <c r="BA106" s="309"/>
      <c r="BB106" s="309"/>
      <c r="BC106" s="309"/>
      <c r="BD106" s="309"/>
      <c r="BE106" s="309"/>
      <c r="BF106" s="309"/>
      <c r="BG106" s="310"/>
    </row>
    <row r="107" spans="1:59">
      <c r="A107" s="195">
        <v>96</v>
      </c>
      <c r="B107" s="308"/>
      <c r="C107" s="309"/>
      <c r="D107" s="309"/>
      <c r="E107" s="309"/>
      <c r="F107" s="309"/>
      <c r="G107" s="309"/>
      <c r="H107" s="309"/>
      <c r="I107" s="309"/>
      <c r="J107" s="309"/>
      <c r="K107" s="309"/>
      <c r="L107" s="309"/>
      <c r="M107" s="309"/>
      <c r="N107" s="310"/>
      <c r="P107" s="195">
        <v>96</v>
      </c>
      <c r="Q107" s="308"/>
      <c r="R107" s="309"/>
      <c r="S107" s="309"/>
      <c r="T107" s="309"/>
      <c r="U107" s="309"/>
      <c r="V107" s="309"/>
      <c r="W107" s="309"/>
      <c r="X107" s="309"/>
      <c r="Y107" s="309"/>
      <c r="Z107" s="309"/>
      <c r="AA107" s="309"/>
      <c r="AB107" s="309"/>
      <c r="AC107" s="310"/>
      <c r="AE107" s="195">
        <v>96</v>
      </c>
      <c r="AF107" s="308"/>
      <c r="AG107" s="309"/>
      <c r="AH107" s="309"/>
      <c r="AI107" s="309"/>
      <c r="AJ107" s="309"/>
      <c r="AK107" s="309"/>
      <c r="AL107" s="309"/>
      <c r="AM107" s="309"/>
      <c r="AN107" s="309"/>
      <c r="AO107" s="309"/>
      <c r="AP107" s="309"/>
      <c r="AQ107" s="309"/>
      <c r="AR107" s="310"/>
      <c r="AT107" s="195">
        <v>96</v>
      </c>
      <c r="AU107" s="308"/>
      <c r="AV107" s="309"/>
      <c r="AW107" s="309"/>
      <c r="AX107" s="309"/>
      <c r="AY107" s="309"/>
      <c r="AZ107" s="309"/>
      <c r="BA107" s="309"/>
      <c r="BB107" s="309"/>
      <c r="BC107" s="309"/>
      <c r="BD107" s="309"/>
      <c r="BE107" s="309"/>
      <c r="BF107" s="309"/>
      <c r="BG107" s="310"/>
    </row>
    <row r="108" spans="1:59">
      <c r="A108" s="195">
        <v>97</v>
      </c>
      <c r="B108" s="308"/>
      <c r="C108" s="309"/>
      <c r="D108" s="309"/>
      <c r="E108" s="309"/>
      <c r="F108" s="309"/>
      <c r="G108" s="309"/>
      <c r="H108" s="309"/>
      <c r="I108" s="309"/>
      <c r="J108" s="309"/>
      <c r="K108" s="309"/>
      <c r="L108" s="309"/>
      <c r="M108" s="309"/>
      <c r="N108" s="310"/>
      <c r="P108" s="195">
        <v>97</v>
      </c>
      <c r="Q108" s="308"/>
      <c r="R108" s="309"/>
      <c r="S108" s="309"/>
      <c r="T108" s="309"/>
      <c r="U108" s="309"/>
      <c r="V108" s="309"/>
      <c r="W108" s="309"/>
      <c r="X108" s="309"/>
      <c r="Y108" s="309"/>
      <c r="Z108" s="309"/>
      <c r="AA108" s="309"/>
      <c r="AB108" s="309"/>
      <c r="AC108" s="310"/>
      <c r="AE108" s="195">
        <v>97</v>
      </c>
      <c r="AF108" s="308"/>
      <c r="AG108" s="309"/>
      <c r="AH108" s="309"/>
      <c r="AI108" s="309"/>
      <c r="AJ108" s="309"/>
      <c r="AK108" s="309"/>
      <c r="AL108" s="309"/>
      <c r="AM108" s="309"/>
      <c r="AN108" s="309"/>
      <c r="AO108" s="309"/>
      <c r="AP108" s="309"/>
      <c r="AQ108" s="309"/>
      <c r="AR108" s="310"/>
      <c r="AT108" s="195">
        <v>97</v>
      </c>
      <c r="AU108" s="308"/>
      <c r="AV108" s="309"/>
      <c r="AW108" s="309"/>
      <c r="AX108" s="309"/>
      <c r="AY108" s="309"/>
      <c r="AZ108" s="309"/>
      <c r="BA108" s="309"/>
      <c r="BB108" s="309"/>
      <c r="BC108" s="309"/>
      <c r="BD108" s="309"/>
      <c r="BE108" s="309"/>
      <c r="BF108" s="309"/>
      <c r="BG108" s="310"/>
    </row>
    <row r="109" spans="1:59">
      <c r="A109" s="195">
        <v>98</v>
      </c>
      <c r="B109" s="308"/>
      <c r="C109" s="309"/>
      <c r="D109" s="309"/>
      <c r="E109" s="309"/>
      <c r="F109" s="309"/>
      <c r="G109" s="309"/>
      <c r="H109" s="309"/>
      <c r="I109" s="309"/>
      <c r="J109" s="309"/>
      <c r="K109" s="309"/>
      <c r="L109" s="309"/>
      <c r="M109" s="309"/>
      <c r="N109" s="310"/>
      <c r="P109" s="195">
        <v>98</v>
      </c>
      <c r="Q109" s="308"/>
      <c r="R109" s="309"/>
      <c r="S109" s="309"/>
      <c r="T109" s="309"/>
      <c r="U109" s="309"/>
      <c r="V109" s="309"/>
      <c r="W109" s="309"/>
      <c r="X109" s="309"/>
      <c r="Y109" s="309"/>
      <c r="Z109" s="309"/>
      <c r="AA109" s="309"/>
      <c r="AB109" s="309"/>
      <c r="AC109" s="310"/>
      <c r="AE109" s="195">
        <v>98</v>
      </c>
      <c r="AF109" s="308"/>
      <c r="AG109" s="309"/>
      <c r="AH109" s="309"/>
      <c r="AI109" s="309"/>
      <c r="AJ109" s="309"/>
      <c r="AK109" s="309"/>
      <c r="AL109" s="309"/>
      <c r="AM109" s="309"/>
      <c r="AN109" s="309"/>
      <c r="AO109" s="309"/>
      <c r="AP109" s="309"/>
      <c r="AQ109" s="309"/>
      <c r="AR109" s="310"/>
      <c r="AT109" s="195">
        <v>98</v>
      </c>
      <c r="AU109" s="308"/>
      <c r="AV109" s="309"/>
      <c r="AW109" s="309"/>
      <c r="AX109" s="309"/>
      <c r="AY109" s="309"/>
      <c r="AZ109" s="309"/>
      <c r="BA109" s="309"/>
      <c r="BB109" s="309"/>
      <c r="BC109" s="309"/>
      <c r="BD109" s="309"/>
      <c r="BE109" s="309"/>
      <c r="BF109" s="309"/>
      <c r="BG109" s="310"/>
    </row>
    <row r="110" spans="1:59">
      <c r="A110" s="195">
        <v>99</v>
      </c>
      <c r="B110" s="308"/>
      <c r="C110" s="309"/>
      <c r="D110" s="309"/>
      <c r="E110" s="309"/>
      <c r="F110" s="309"/>
      <c r="G110" s="309"/>
      <c r="H110" s="309"/>
      <c r="I110" s="309"/>
      <c r="J110" s="309"/>
      <c r="K110" s="309"/>
      <c r="L110" s="309"/>
      <c r="M110" s="309"/>
      <c r="N110" s="310"/>
      <c r="P110" s="195">
        <v>99</v>
      </c>
      <c r="Q110" s="308"/>
      <c r="R110" s="309"/>
      <c r="S110" s="309"/>
      <c r="T110" s="309"/>
      <c r="U110" s="309"/>
      <c r="V110" s="309"/>
      <c r="W110" s="309"/>
      <c r="X110" s="309"/>
      <c r="Y110" s="309"/>
      <c r="Z110" s="309"/>
      <c r="AA110" s="309"/>
      <c r="AB110" s="309"/>
      <c r="AC110" s="310"/>
      <c r="AE110" s="195">
        <v>99</v>
      </c>
      <c r="AF110" s="308"/>
      <c r="AG110" s="309"/>
      <c r="AH110" s="309"/>
      <c r="AI110" s="309"/>
      <c r="AJ110" s="309"/>
      <c r="AK110" s="309"/>
      <c r="AL110" s="309"/>
      <c r="AM110" s="309"/>
      <c r="AN110" s="309"/>
      <c r="AO110" s="309"/>
      <c r="AP110" s="309"/>
      <c r="AQ110" s="309"/>
      <c r="AR110" s="310"/>
      <c r="AT110" s="195">
        <v>99</v>
      </c>
      <c r="AU110" s="308"/>
      <c r="AV110" s="309"/>
      <c r="AW110" s="309"/>
      <c r="AX110" s="309"/>
      <c r="AY110" s="309"/>
      <c r="AZ110" s="309"/>
      <c r="BA110" s="309"/>
      <c r="BB110" s="309"/>
      <c r="BC110" s="309"/>
      <c r="BD110" s="309"/>
      <c r="BE110" s="309"/>
      <c r="BF110" s="309"/>
      <c r="BG110" s="310"/>
    </row>
    <row r="111" spans="1:59">
      <c r="A111" s="196">
        <v>100</v>
      </c>
      <c r="B111" s="311"/>
      <c r="C111" s="312"/>
      <c r="D111" s="312"/>
      <c r="E111" s="312"/>
      <c r="F111" s="312"/>
      <c r="G111" s="312"/>
      <c r="H111" s="312"/>
      <c r="I111" s="312"/>
      <c r="J111" s="312"/>
      <c r="K111" s="312"/>
      <c r="L111" s="312"/>
      <c r="M111" s="312"/>
      <c r="N111" s="313"/>
      <c r="P111" s="196">
        <v>100</v>
      </c>
      <c r="Q111" s="311"/>
      <c r="R111" s="312"/>
      <c r="S111" s="312"/>
      <c r="T111" s="312"/>
      <c r="U111" s="312"/>
      <c r="V111" s="312"/>
      <c r="W111" s="312"/>
      <c r="X111" s="312"/>
      <c r="Y111" s="312"/>
      <c r="Z111" s="312"/>
      <c r="AA111" s="312"/>
      <c r="AB111" s="312"/>
      <c r="AC111" s="313"/>
      <c r="AE111" s="196">
        <v>100</v>
      </c>
      <c r="AF111" s="311"/>
      <c r="AG111" s="312"/>
      <c r="AH111" s="312"/>
      <c r="AI111" s="312"/>
      <c r="AJ111" s="312"/>
      <c r="AK111" s="312"/>
      <c r="AL111" s="312"/>
      <c r="AM111" s="312"/>
      <c r="AN111" s="312"/>
      <c r="AO111" s="312"/>
      <c r="AP111" s="312"/>
      <c r="AQ111" s="312"/>
      <c r="AR111" s="313"/>
      <c r="AT111" s="196">
        <v>100</v>
      </c>
      <c r="AU111" s="311"/>
      <c r="AV111" s="312"/>
      <c r="AW111" s="312"/>
      <c r="AX111" s="312"/>
      <c r="AY111" s="312"/>
      <c r="AZ111" s="312"/>
      <c r="BA111" s="312"/>
      <c r="BB111" s="312"/>
      <c r="BC111" s="312"/>
      <c r="BD111" s="312"/>
      <c r="BE111" s="312"/>
      <c r="BF111" s="312"/>
      <c r="BG111" s="313"/>
    </row>
    <row r="112" spans="1:59" ht="13.5" thickBot="1">
      <c r="A112" s="197" t="s">
        <v>30</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30</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30</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30</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B9:N9"/>
    <mergeCell ref="Q9:AC9"/>
    <mergeCell ref="AF9:AR9"/>
    <mergeCell ref="AU9:BG9"/>
    <mergeCell ref="B10:N10"/>
    <mergeCell ref="Q10:AC10"/>
    <mergeCell ref="AF10:AR10"/>
    <mergeCell ref="AU10:BG10"/>
    <mergeCell ref="G6:J6"/>
    <mergeCell ref="B3:D3"/>
    <mergeCell ref="G3:J3"/>
    <mergeCell ref="B4:D4"/>
    <mergeCell ref="B5:D5"/>
    <mergeCell ref="G5:J5"/>
  </mergeCells>
  <conditionalFormatting sqref="A1:BH2 A7:BH113 A5:G6 K5:BH6 A4:BH4 A3:G3 K3:BH3">
    <cfRule type="expression" dxfId="10" priority="1" stopIfTrue="1">
      <formula>CELL("Protect",A1)=1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election activeCell="O11" sqref="C11:O11"/>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9" t="str">
        <f>'LEN F1'!F3</f>
        <v>Fleet 1 Northern Chile</v>
      </c>
      <c r="J4" s="400"/>
      <c r="K4" s="401"/>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18"/>
      <c r="J5" s="319"/>
      <c r="K5" s="320"/>
      <c r="L5" s="6"/>
      <c r="M5" s="82"/>
      <c r="N5" s="82"/>
      <c r="O5" s="6"/>
      <c r="P5" s="82"/>
      <c r="Q5" s="82"/>
      <c r="R5" s="82"/>
      <c r="S5" s="82"/>
      <c r="T5" s="255"/>
      <c r="U5" s="254"/>
      <c r="V5" s="254"/>
    </row>
    <row r="6" spans="1:22" s="7" customFormat="1" ht="18.75" customHeight="1" thickBot="1">
      <c r="A6" s="8"/>
      <c r="B6" s="13" t="s">
        <v>1</v>
      </c>
      <c r="C6" s="119">
        <f>'START HERE'!$K$3</f>
        <v>2019</v>
      </c>
      <c r="D6" s="120"/>
      <c r="E6" s="121"/>
      <c r="F6" s="6"/>
      <c r="G6" s="6"/>
      <c r="H6" s="13" t="s">
        <v>14</v>
      </c>
      <c r="I6" s="402">
        <f>'START HERE'!$F8</f>
        <v>42615</v>
      </c>
      <c r="J6" s="403"/>
      <c r="K6" s="404"/>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7" t="s">
        <v>53</v>
      </c>
      <c r="D8" s="398"/>
      <c r="E8" s="99"/>
      <c r="F8" s="159" t="s">
        <v>31</v>
      </c>
      <c r="G8" s="98"/>
      <c r="H8" s="99"/>
      <c r="I8" s="159" t="s">
        <v>32</v>
      </c>
      <c r="J8" s="98"/>
      <c r="K8" s="99"/>
      <c r="L8" s="159"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F1'!F5</f>
        <v>individuals</v>
      </c>
      <c r="D11" s="83" t="s">
        <v>43</v>
      </c>
      <c r="E11" s="84" t="s">
        <v>51</v>
      </c>
      <c r="F11" s="85" t="str">
        <f>C11</f>
        <v>individuals</v>
      </c>
      <c r="G11" s="83" t="s">
        <v>43</v>
      </c>
      <c r="H11" s="84" t="s">
        <v>51</v>
      </c>
      <c r="I11" s="85" t="str">
        <f>C11</f>
        <v>individuals</v>
      </c>
      <c r="J11" s="83" t="s">
        <v>43</v>
      </c>
      <c r="K11" s="84" t="s">
        <v>51</v>
      </c>
      <c r="L11" s="85" t="str">
        <f>C11</f>
        <v>individuals</v>
      </c>
      <c r="M11" s="83" t="s">
        <v>43</v>
      </c>
      <c r="N11" s="84" t="s">
        <v>51</v>
      </c>
      <c r="O11" s="85" t="str">
        <f>C11</f>
        <v>individuals</v>
      </c>
      <c r="P11" s="83" t="s">
        <v>43</v>
      </c>
      <c r="Q11" s="84" t="s">
        <v>6</v>
      </c>
      <c r="R11" s="6"/>
      <c r="S11" s="6"/>
    </row>
    <row r="12" spans="1:22" s="7" customFormat="1" ht="15" customHeight="1">
      <c r="A12" s="127"/>
      <c r="B12" s="86" t="s">
        <v>7</v>
      </c>
      <c r="C12" s="87">
        <v>181100.88949999999</v>
      </c>
      <c r="D12" s="88">
        <v>8</v>
      </c>
      <c r="E12" s="167">
        <v>5.9850619600658002E-3</v>
      </c>
      <c r="F12" s="87"/>
      <c r="G12" s="88"/>
      <c r="H12" s="167"/>
      <c r="I12" s="87">
        <v>0</v>
      </c>
      <c r="J12" s="88"/>
      <c r="K12" s="167"/>
      <c r="L12" s="87"/>
      <c r="M12" s="88"/>
      <c r="N12" s="167"/>
      <c r="O12" s="89">
        <f t="shared" ref="O12:O20" si="0">SUM(C12+F12+I12+L12)</f>
        <v>181100.88949999999</v>
      </c>
      <c r="P12" s="90">
        <f t="shared" ref="P12:P20" si="1">IF(SUM(D12+G12+J12+M12)&gt;0,(C12*D12+F12*G12+I12*J12+L12*M12)/SUM(C12+F12+I12+L12),"")</f>
        <v>8</v>
      </c>
      <c r="Q12" s="169">
        <f t="shared" ref="Q12:Q20" si="2">IF(SUM(E12,H12,K12,N12)&gt;0,SUM(C12*E12+F12*H12+I12*K12+L12*N12)/SUM(C12+F12+I12+L12),"")</f>
        <v>5.9850619600658002E-3</v>
      </c>
      <c r="R12" s="6"/>
      <c r="S12" s="6"/>
    </row>
    <row r="13" spans="1:22" s="7" customFormat="1" ht="15" customHeight="1">
      <c r="A13" s="127"/>
      <c r="B13" s="86" t="s">
        <v>44</v>
      </c>
      <c r="C13" s="91">
        <v>271651.33426999999</v>
      </c>
      <c r="D13" s="92">
        <v>9.6666666667648293</v>
      </c>
      <c r="E13" s="168">
        <v>1.07823694604382E-2</v>
      </c>
      <c r="F13" s="91">
        <v>3496814.1283100001</v>
      </c>
      <c r="G13" s="92">
        <v>11.5501984979624</v>
      </c>
      <c r="H13" s="168">
        <v>1.9062239167267198E-2</v>
      </c>
      <c r="I13" s="91"/>
      <c r="J13" s="92"/>
      <c r="K13" s="168"/>
      <c r="L13" s="91"/>
      <c r="M13" s="92"/>
      <c r="N13" s="168"/>
      <c r="O13" s="89">
        <f t="shared" si="0"/>
        <v>3768465.4625800001</v>
      </c>
      <c r="P13" s="90">
        <f t="shared" si="1"/>
        <v>11.414423355489809</v>
      </c>
      <c r="Q13" s="169">
        <f t="shared" si="2"/>
        <v>1.846538146065525E-2</v>
      </c>
      <c r="R13" s="6"/>
      <c r="S13" s="6"/>
    </row>
    <row r="14" spans="1:22" s="7" customFormat="1" ht="15" customHeight="1">
      <c r="A14" s="127"/>
      <c r="B14" s="86" t="s">
        <v>45</v>
      </c>
      <c r="C14" s="91"/>
      <c r="D14" s="92"/>
      <c r="E14" s="168"/>
      <c r="F14" s="91">
        <v>2462940.6329800002</v>
      </c>
      <c r="G14" s="92">
        <v>13.703179741922799</v>
      </c>
      <c r="H14" s="168">
        <v>3.09811132085893E-2</v>
      </c>
      <c r="I14" s="91"/>
      <c r="J14" s="92"/>
      <c r="K14" s="168"/>
      <c r="L14" s="91">
        <v>143366</v>
      </c>
      <c r="M14" s="92">
        <v>16.5</v>
      </c>
      <c r="N14" s="168">
        <v>6.7496774182004907E-2</v>
      </c>
      <c r="O14" s="89">
        <f t="shared" si="0"/>
        <v>2606306.6329800002</v>
      </c>
      <c r="P14" s="90">
        <f t="shared" si="1"/>
        <v>13.857025390030994</v>
      </c>
      <c r="Q14" s="169">
        <f t="shared" si="2"/>
        <v>3.2989742655665906E-2</v>
      </c>
      <c r="R14" s="6"/>
      <c r="S14" s="6"/>
    </row>
    <row r="15" spans="1:22" s="7" customFormat="1" ht="15" customHeight="1">
      <c r="A15" s="127"/>
      <c r="B15" s="86" t="s">
        <v>46</v>
      </c>
      <c r="C15" s="91"/>
      <c r="D15" s="92"/>
      <c r="E15" s="168"/>
      <c r="F15" s="91"/>
      <c r="G15" s="92"/>
      <c r="H15" s="168"/>
      <c r="I15" s="91"/>
      <c r="J15" s="92"/>
      <c r="K15" s="168"/>
      <c r="L15" s="91">
        <v>143366</v>
      </c>
      <c r="M15" s="92">
        <v>21</v>
      </c>
      <c r="N15" s="168">
        <v>0.12808796934404301</v>
      </c>
      <c r="O15" s="89">
        <f t="shared" si="0"/>
        <v>143366</v>
      </c>
      <c r="P15" s="90">
        <f t="shared" si="1"/>
        <v>21</v>
      </c>
      <c r="Q15" s="169">
        <f t="shared" si="2"/>
        <v>0.12808796934404301</v>
      </c>
      <c r="R15" s="6"/>
      <c r="S15" s="6"/>
    </row>
    <row r="16" spans="1:22" s="7" customFormat="1" ht="15" customHeight="1">
      <c r="A16" s="127"/>
      <c r="B16" s="86" t="s">
        <v>47</v>
      </c>
      <c r="C16" s="91"/>
      <c r="D16" s="92"/>
      <c r="E16" s="168"/>
      <c r="F16" s="91">
        <v>5529557</v>
      </c>
      <c r="G16" s="92">
        <v>25.8211835052971</v>
      </c>
      <c r="H16" s="168">
        <v>0.17862164889448401</v>
      </c>
      <c r="I16" s="91"/>
      <c r="J16" s="92"/>
      <c r="K16" s="168"/>
      <c r="L16" s="91">
        <v>215049</v>
      </c>
      <c r="M16" s="92">
        <v>25.6666666666667</v>
      </c>
      <c r="N16" s="168">
        <v>0.22032533150101999</v>
      </c>
      <c r="O16" s="89">
        <f t="shared" si="0"/>
        <v>5744606</v>
      </c>
      <c r="P16" s="90">
        <f t="shared" si="1"/>
        <v>25.81539917620114</v>
      </c>
      <c r="Q16" s="169">
        <f t="shared" si="2"/>
        <v>0.18018282388905335</v>
      </c>
      <c r="R16" s="6"/>
      <c r="S16" s="6"/>
    </row>
    <row r="17" spans="1:33" s="7" customFormat="1" ht="15" customHeight="1">
      <c r="A17" s="127"/>
      <c r="B17" s="86" t="s">
        <v>8</v>
      </c>
      <c r="C17" s="91"/>
      <c r="D17" s="92"/>
      <c r="E17" s="168"/>
      <c r="F17" s="91">
        <v>1454239</v>
      </c>
      <c r="G17" s="92">
        <v>28.527050918040299</v>
      </c>
      <c r="H17" s="168">
        <v>0.23530949539816101</v>
      </c>
      <c r="I17" s="91"/>
      <c r="J17" s="92"/>
      <c r="K17" s="168"/>
      <c r="L17" s="91">
        <v>385333.07922857098</v>
      </c>
      <c r="M17" s="92">
        <v>32.340020124169001</v>
      </c>
      <c r="N17" s="168">
        <v>0.42064442274355701</v>
      </c>
      <c r="O17" s="89">
        <f t="shared" si="0"/>
        <v>1839572.0792285709</v>
      </c>
      <c r="P17" s="90">
        <f t="shared" si="1"/>
        <v>29.325749257611442</v>
      </c>
      <c r="Q17" s="169">
        <f t="shared" si="2"/>
        <v>0.27413139264752201</v>
      </c>
      <c r="R17" s="6"/>
      <c r="S17" s="6"/>
    </row>
    <row r="18" spans="1:33" s="7" customFormat="1" ht="15" customHeight="1">
      <c r="A18" s="127"/>
      <c r="B18" s="86" t="s">
        <v>9</v>
      </c>
      <c r="C18" s="91"/>
      <c r="D18" s="92"/>
      <c r="E18" s="168"/>
      <c r="F18" s="91">
        <v>491561</v>
      </c>
      <c r="G18" s="92">
        <v>30.080165025296999</v>
      </c>
      <c r="H18" s="168">
        <v>0.27263154046000398</v>
      </c>
      <c r="I18" s="91"/>
      <c r="J18" s="92"/>
      <c r="K18" s="168"/>
      <c r="L18" s="91">
        <v>4755423.8029561397</v>
      </c>
      <c r="M18" s="92">
        <v>33.563479358370898</v>
      </c>
      <c r="N18" s="168">
        <v>0.45881192880931199</v>
      </c>
      <c r="O18" s="89">
        <f t="shared" si="0"/>
        <v>5246984.8029561397</v>
      </c>
      <c r="P18" s="90">
        <f t="shared" si="1"/>
        <v>33.23714689483576</v>
      </c>
      <c r="Q18" s="169">
        <f t="shared" si="2"/>
        <v>0.44136971746046028</v>
      </c>
      <c r="R18" s="6"/>
      <c r="S18" s="6"/>
    </row>
    <row r="19" spans="1:33" s="7" customFormat="1" ht="15" customHeight="1">
      <c r="A19" s="127"/>
      <c r="B19" s="86" t="s">
        <v>10</v>
      </c>
      <c r="C19" s="91"/>
      <c r="D19" s="92"/>
      <c r="E19" s="168"/>
      <c r="F19" s="91"/>
      <c r="G19" s="92"/>
      <c r="H19" s="168"/>
      <c r="I19" s="91"/>
      <c r="J19" s="92"/>
      <c r="K19" s="168"/>
      <c r="L19" s="91">
        <v>3930983.4339372101</v>
      </c>
      <c r="M19" s="92">
        <v>34.566556745318103</v>
      </c>
      <c r="N19" s="168">
        <v>0.50106874174840998</v>
      </c>
      <c r="O19" s="89">
        <f t="shared" si="0"/>
        <v>3930983.4339372101</v>
      </c>
      <c r="P19" s="90">
        <f t="shared" si="1"/>
        <v>34.566556745318103</v>
      </c>
      <c r="Q19" s="169">
        <f t="shared" si="2"/>
        <v>0.50106874174840998</v>
      </c>
      <c r="R19" s="6"/>
      <c r="S19" s="6"/>
    </row>
    <row r="20" spans="1:33" s="7" customFormat="1" ht="15" customHeight="1">
      <c r="A20" s="127"/>
      <c r="B20" s="86" t="s">
        <v>11</v>
      </c>
      <c r="C20" s="91"/>
      <c r="D20" s="92"/>
      <c r="E20" s="168"/>
      <c r="F20" s="91"/>
      <c r="G20" s="92"/>
      <c r="H20" s="168"/>
      <c r="I20" s="91"/>
      <c r="J20" s="92"/>
      <c r="K20" s="168"/>
      <c r="L20" s="91">
        <v>1991608.9794385701</v>
      </c>
      <c r="M20" s="92">
        <v>35.2407694779601</v>
      </c>
      <c r="N20" s="168">
        <v>0.52761858666195705</v>
      </c>
      <c r="O20" s="89">
        <f t="shared" si="0"/>
        <v>1991608.9794385701</v>
      </c>
      <c r="P20" s="90">
        <f t="shared" si="1"/>
        <v>35.2407694779601</v>
      </c>
      <c r="Q20" s="169">
        <f t="shared" si="2"/>
        <v>0.52761858666195705</v>
      </c>
      <c r="R20" s="6"/>
      <c r="S20" s="6"/>
    </row>
    <row r="21" spans="1:33" s="7" customFormat="1" ht="15" customHeight="1">
      <c r="A21" s="127"/>
      <c r="B21" s="86">
        <v>9</v>
      </c>
      <c r="C21" s="91"/>
      <c r="D21" s="92"/>
      <c r="E21" s="168"/>
      <c r="F21" s="91"/>
      <c r="G21" s="92"/>
      <c r="H21" s="168"/>
      <c r="I21" s="91"/>
      <c r="J21" s="92"/>
      <c r="K21" s="168"/>
      <c r="L21" s="91">
        <v>2063906.1046849999</v>
      </c>
      <c r="M21" s="92">
        <v>39.649610731850402</v>
      </c>
      <c r="N21" s="168">
        <v>0.73243501727895099</v>
      </c>
      <c r="O21" s="89">
        <f t="shared" ref="O21:O24" si="3">SUM(C21+F21+I21+L21)</f>
        <v>2063906.1046849999</v>
      </c>
      <c r="P21" s="90">
        <f t="shared" ref="P21:P24" si="4">IF(SUM(D21+G21+J21+M21)&gt;0,(C21*D21+F21*G21+I21*J21+L21*M21)/SUM(C21+F21+I21+L21),"")</f>
        <v>39.649610731850402</v>
      </c>
      <c r="Q21" s="169">
        <f t="shared" ref="Q21:Q24" si="5">IF(SUM(E21,H21,K21,N21)&gt;0,SUM(C21*E21+F21*H21+I21*K21+L21*N21)/SUM(C21+F21+I21+L21),"")</f>
        <v>0.73243501727895099</v>
      </c>
      <c r="R21" s="6"/>
      <c r="S21" s="6"/>
    </row>
    <row r="22" spans="1:33" s="7" customFormat="1" ht="15" customHeight="1">
      <c r="A22" s="127"/>
      <c r="B22" s="86">
        <v>10</v>
      </c>
      <c r="C22" s="91"/>
      <c r="D22" s="92"/>
      <c r="E22" s="168"/>
      <c r="F22" s="91"/>
      <c r="G22" s="92"/>
      <c r="H22" s="168"/>
      <c r="I22" s="91"/>
      <c r="J22" s="92"/>
      <c r="K22" s="168"/>
      <c r="L22" s="91">
        <v>1247142.9297833301</v>
      </c>
      <c r="M22" s="92">
        <v>41.9430699281979</v>
      </c>
      <c r="N22" s="168">
        <v>0.85293416085124396</v>
      </c>
      <c r="O22" s="89">
        <f t="shared" si="3"/>
        <v>1247142.9297833301</v>
      </c>
      <c r="P22" s="90">
        <f t="shared" si="4"/>
        <v>41.9430699281979</v>
      </c>
      <c r="Q22" s="169">
        <f t="shared" si="5"/>
        <v>0.85293416085124407</v>
      </c>
      <c r="R22" s="6"/>
      <c r="S22" s="6"/>
    </row>
    <row r="23" spans="1:33" s="7" customFormat="1" ht="15" customHeight="1">
      <c r="A23" s="127"/>
      <c r="B23" s="86">
        <v>11</v>
      </c>
      <c r="C23" s="91"/>
      <c r="D23" s="92"/>
      <c r="E23" s="168"/>
      <c r="F23" s="91"/>
      <c r="G23" s="92"/>
      <c r="H23" s="168"/>
      <c r="I23" s="91"/>
      <c r="J23" s="92"/>
      <c r="K23" s="168"/>
      <c r="L23" s="91">
        <v>843048.82778050005</v>
      </c>
      <c r="M23" s="92">
        <v>42.689073799092299</v>
      </c>
      <c r="N23" s="168">
        <v>0.88798438299768001</v>
      </c>
      <c r="O23" s="89">
        <f t="shared" si="3"/>
        <v>843048.82778050005</v>
      </c>
      <c r="P23" s="90">
        <f t="shared" si="4"/>
        <v>42.689073799092299</v>
      </c>
      <c r="Q23" s="169">
        <f t="shared" si="5"/>
        <v>0.88798438299768001</v>
      </c>
      <c r="R23" s="6"/>
      <c r="S23" s="6"/>
    </row>
    <row r="24" spans="1:33" s="7" customFormat="1" ht="15" customHeight="1" thickBot="1">
      <c r="A24" s="160" t="s">
        <v>12</v>
      </c>
      <c r="B24" s="86" t="s">
        <v>80</v>
      </c>
      <c r="C24" s="91"/>
      <c r="D24" s="92"/>
      <c r="E24" s="168"/>
      <c r="F24" s="91"/>
      <c r="G24" s="92"/>
      <c r="H24" s="168"/>
      <c r="I24" s="91"/>
      <c r="J24" s="92"/>
      <c r="K24" s="168"/>
      <c r="L24" s="91">
        <v>1506890.9257636699</v>
      </c>
      <c r="M24" s="92">
        <v>51.847598805103097</v>
      </c>
      <c r="N24" s="168">
        <v>1.5122206594022101</v>
      </c>
      <c r="O24" s="89">
        <f t="shared" si="3"/>
        <v>1506890.9257636699</v>
      </c>
      <c r="P24" s="90">
        <f t="shared" si="4"/>
        <v>51.847598805103097</v>
      </c>
      <c r="Q24" s="169">
        <f t="shared" si="5"/>
        <v>1.5122206594022101</v>
      </c>
      <c r="R24" s="6"/>
      <c r="S24" s="6"/>
    </row>
    <row r="25" spans="1:33" s="7" customFormat="1" ht="15" customHeight="1" thickBot="1">
      <c r="A25" s="5"/>
      <c r="B25" s="136" t="s">
        <v>20</v>
      </c>
      <c r="C25" s="70">
        <f>IF(SUM(C12:C24)&gt;0,SUM(C12:C24),"na")</f>
        <v>452752.22376999998</v>
      </c>
      <c r="D25" s="23">
        <f>IF(SUM(D12:D24)&gt;0,SUMPRODUCT(C12:C24,D12:D24)/C25,"na")</f>
        <v>9.0000000000883471</v>
      </c>
      <c r="E25" s="171">
        <f>IF(SUM(E12:E24)&gt;0,SUMPRODUCT(C12:C24,E12:E24)/C25,"na")</f>
        <v>8.8634464603740068E-3</v>
      </c>
      <c r="F25" s="70">
        <f>IF(SUM(F12:F24)&gt;0,SUM(F12:F24),"na")</f>
        <v>13435111.761290001</v>
      </c>
      <c r="G25" s="23">
        <f>IF(SUM(G12:G24)&gt;0,SUMPRODUCT(F12:F24,G12:G24)/F25,"na")</f>
        <v>20.334040559826285</v>
      </c>
      <c r="H25" s="24">
        <f>IF(SUM(H12:H24)&gt;0,SUMPRODUCT(F12:F24,H12:H24)/F25,"na")</f>
        <v>0.11960240043390957</v>
      </c>
      <c r="I25" s="70" t="str">
        <f>IF(SUM(I12:I24)&gt;0,SUM(I12:I24),"na")</f>
        <v>na</v>
      </c>
      <c r="J25" s="23" t="str">
        <f>IF(SUM(J12:J24)&gt;0,SUMPRODUCT(I12:I24,J12:J24)/I25,"na")</f>
        <v>na</v>
      </c>
      <c r="K25" s="171" t="str">
        <f>IF(SUM(K12:K24)&gt;0,SUMPRODUCT(I12:I24,K12:K24)/I25,"na")</f>
        <v>na</v>
      </c>
      <c r="L25" s="70">
        <f>IF(SUM(L12:L24)&gt;0,SUM(L12:L24),"na")</f>
        <v>17226119.083572987</v>
      </c>
      <c r="M25" s="23">
        <f>IF(SUM(M12:M24)&gt;0,SUMPRODUCT(L12:L24,M12:M24)/L25,"na")</f>
        <v>36.995691397701627</v>
      </c>
      <c r="N25" s="24">
        <f>IF(SUM(N12:N24)&gt;0,SUMPRODUCT(L12:L24,N12:N24)/L25,"na")</f>
        <v>0.64103996966993804</v>
      </c>
      <c r="O25" s="70">
        <f>IF(SUM(O12:O24)&gt;0,SUM(O12:O24),"na")</f>
        <v>31113983.068632994</v>
      </c>
      <c r="P25" s="23">
        <f>IF(SUM(P12:P24)&gt;0,SUMPRODUCT(O12:O24,P12:P24)/O25,"na")</f>
        <v>29.393763603727081</v>
      </c>
      <c r="Q25" s="25">
        <f>IF(SUM(Q12:Q24)&gt;0,SUMPRODUCT(O12:O24,Q12:Q24)/O25,"na")</f>
        <v>0.40668259633605441</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f>IF(SUM(E12:E24)&gt;0,(C25*E25),"na")</f>
        <v>4012.9450952006664</v>
      </c>
      <c r="E28" s="110" t="s">
        <v>21</v>
      </c>
      <c r="F28" s="109" t="s">
        <v>22</v>
      </c>
      <c r="G28" s="94">
        <f>IF(SUM(H12:H24)&gt;0,(F25*H25),"na")</f>
        <v>1606871.6167481348</v>
      </c>
      <c r="H28" s="110" t="s">
        <v>21</v>
      </c>
      <c r="I28" s="109" t="s">
        <v>22</v>
      </c>
      <c r="J28" s="94" t="str">
        <f>IF(SUM(K12:K24)&gt;0,(I25*K25),"na")</f>
        <v>na</v>
      </c>
      <c r="K28" s="110" t="s">
        <v>21</v>
      </c>
      <c r="L28" s="109" t="s">
        <v>22</v>
      </c>
      <c r="M28" s="94">
        <f>IF(SUM(N12:N24)&gt;0,(L25*N25),"na")</f>
        <v>11042630.854864368</v>
      </c>
      <c r="N28" s="110" t="s">
        <v>21</v>
      </c>
      <c r="O28" s="109" t="s">
        <v>22</v>
      </c>
      <c r="P28" s="94">
        <f>IF(SUM(Q12:Q24)&gt;0,(O25*Q25),"na")</f>
        <v>12653515.416707704</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e">
        <f>IF(SUM(E12:E24)&gt;0,D28/D27,"na")</f>
        <v>#DIV/0!</v>
      </c>
      <c r="E29" s="111" t="s">
        <v>23</v>
      </c>
      <c r="F29" s="109" t="s">
        <v>22</v>
      </c>
      <c r="G29" s="95" t="e">
        <f>IF(SUM(H12:H24)&gt;0,G28/G27,"na")</f>
        <v>#DIV/0!</v>
      </c>
      <c r="H29" s="111" t="s">
        <v>23</v>
      </c>
      <c r="I29" s="109" t="s">
        <v>22</v>
      </c>
      <c r="J29" s="95" t="str">
        <f>IF(SUM(K12:K24)&gt;0,J28/J27,"na")</f>
        <v>na</v>
      </c>
      <c r="K29" s="111" t="s">
        <v>23</v>
      </c>
      <c r="L29" s="109" t="s">
        <v>22</v>
      </c>
      <c r="M29" s="95" t="e">
        <f>IF(SUM(N12:N24)&gt;0,M28/M27,"na")</f>
        <v>#DIV/0!</v>
      </c>
      <c r="N29" s="111" t="s">
        <v>23</v>
      </c>
      <c r="O29" s="109" t="s">
        <v>22</v>
      </c>
      <c r="P29" s="95" t="e">
        <f>IF(SUM(Q12:Q24)&gt;0,P28/P27,"na")</f>
        <v>#DIV/0!</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C8:D8"/>
    <mergeCell ref="I4:K4"/>
    <mergeCell ref="I6:K6"/>
  </mergeCells>
  <conditionalFormatting sqref="A1:R3 A5:R5 A4:I4 L4:R4 A6:I6 L6:R6 A7:R34">
    <cfRule type="expression" dxfId="9"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election activeCell="D11" sqref="C11:O11"/>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9" t="str">
        <f>'LEN F2'!F3</f>
        <v>Fleet 2 South-Central Chile</v>
      </c>
      <c r="J4" s="400"/>
      <c r="K4" s="401"/>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18"/>
      <c r="J5" s="319"/>
      <c r="K5" s="320"/>
      <c r="L5" s="6"/>
      <c r="M5" s="82"/>
      <c r="N5" s="82"/>
      <c r="O5" s="6"/>
      <c r="P5" s="82"/>
      <c r="Q5" s="82"/>
      <c r="R5" s="82"/>
      <c r="S5" s="82"/>
      <c r="T5" s="255"/>
      <c r="U5" s="254"/>
      <c r="V5" s="254"/>
    </row>
    <row r="6" spans="1:22" s="7" customFormat="1" ht="18.75" customHeight="1" thickBot="1">
      <c r="A6" s="8"/>
      <c r="B6" s="13" t="s">
        <v>1</v>
      </c>
      <c r="C6" s="119">
        <f>'START HERE'!$K$3</f>
        <v>2019</v>
      </c>
      <c r="D6" s="120"/>
      <c r="E6" s="121"/>
      <c r="F6" s="6"/>
      <c r="G6" s="6"/>
      <c r="H6" s="13" t="s">
        <v>14</v>
      </c>
      <c r="I6" s="402">
        <f>'START HERE'!$F8</f>
        <v>42615</v>
      </c>
      <c r="J6" s="403"/>
      <c r="K6" s="404"/>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7" t="s">
        <v>53</v>
      </c>
      <c r="D8" s="398"/>
      <c r="E8" s="99"/>
      <c r="F8" s="261" t="s">
        <v>31</v>
      </c>
      <c r="G8" s="98"/>
      <c r="H8" s="99"/>
      <c r="I8" s="261" t="s">
        <v>32</v>
      </c>
      <c r="J8" s="98"/>
      <c r="K8" s="99"/>
      <c r="L8" s="261"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F2'!F5</f>
        <v>individuals</v>
      </c>
      <c r="D11" s="83" t="s">
        <v>43</v>
      </c>
      <c r="E11" s="84" t="s">
        <v>51</v>
      </c>
      <c r="F11" s="85" t="str">
        <f>C11</f>
        <v>individuals</v>
      </c>
      <c r="G11" s="83" t="s">
        <v>43</v>
      </c>
      <c r="H11" s="84" t="s">
        <v>51</v>
      </c>
      <c r="I11" s="85" t="str">
        <f>C11</f>
        <v>individuals</v>
      </c>
      <c r="J11" s="83" t="s">
        <v>43</v>
      </c>
      <c r="K11" s="84" t="s">
        <v>51</v>
      </c>
      <c r="L11" s="85" t="str">
        <f>C11</f>
        <v>individuals</v>
      </c>
      <c r="M11" s="83" t="s">
        <v>43</v>
      </c>
      <c r="N11" s="84" t="s">
        <v>51</v>
      </c>
      <c r="O11" s="85" t="str">
        <f>C11</f>
        <v>individuals</v>
      </c>
      <c r="P11" s="83" t="s">
        <v>43</v>
      </c>
      <c r="Q11" s="84" t="s">
        <v>6</v>
      </c>
      <c r="R11" s="6"/>
      <c r="S11" s="6"/>
    </row>
    <row r="12" spans="1:22" s="7" customFormat="1" ht="15" customHeight="1">
      <c r="A12" s="127"/>
      <c r="B12" s="86" t="s">
        <v>7</v>
      </c>
      <c r="C12" s="87">
        <v>20516.599429999998</v>
      </c>
      <c r="D12" s="88">
        <v>8</v>
      </c>
      <c r="E12" s="167">
        <v>4.9762842581219302E-3</v>
      </c>
      <c r="F12" s="87"/>
      <c r="G12" s="88"/>
      <c r="H12" s="167"/>
      <c r="I12" s="87"/>
      <c r="J12" s="88"/>
      <c r="K12" s="167"/>
      <c r="L12" s="87"/>
      <c r="M12" s="88"/>
      <c r="N12" s="167"/>
      <c r="O12" s="89">
        <f t="shared" ref="O12:O20" si="0">SUM(C12+F12+I12+L12)</f>
        <v>20516.599429999998</v>
      </c>
      <c r="P12" s="90">
        <f t="shared" ref="P12:P20" si="1">IF(SUM(D12+G12+J12+M12)&gt;0,(C12*D12+F12*G12+I12*J12+L12*M12)/SUM(C12+F12+I12+L12),"")</f>
        <v>8</v>
      </c>
      <c r="Q12" s="169">
        <f t="shared" ref="Q12:Q20" si="2">IF(SUM(E12,H12,K12,N12)&gt;0,SUM(C12*E12+F12*H12+I12*K12+L12*N12)/SUM(C12+F12+I12+L12),"")</f>
        <v>4.9762842581219302E-3</v>
      </c>
      <c r="R12" s="6"/>
      <c r="S12" s="6"/>
    </row>
    <row r="13" spans="1:22" s="7" customFormat="1" ht="15" customHeight="1">
      <c r="A13" s="127"/>
      <c r="B13" s="86" t="s">
        <v>44</v>
      </c>
      <c r="C13" s="91">
        <v>492378.66755200003</v>
      </c>
      <c r="D13" s="92">
        <v>11.203769184466999</v>
      </c>
      <c r="E13" s="168">
        <v>1.45961735594826E-2</v>
      </c>
      <c r="F13" s="91"/>
      <c r="G13" s="92"/>
      <c r="H13" s="168"/>
      <c r="I13" s="91"/>
      <c r="J13" s="92"/>
      <c r="K13" s="168"/>
      <c r="L13" s="91"/>
      <c r="M13" s="92"/>
      <c r="N13" s="168"/>
      <c r="O13" s="89">
        <f t="shared" si="0"/>
        <v>492378.66755200003</v>
      </c>
      <c r="P13" s="90">
        <f t="shared" si="1"/>
        <v>11.203769184466999</v>
      </c>
      <c r="Q13" s="169">
        <f t="shared" si="2"/>
        <v>1.4596173559482601E-2</v>
      </c>
      <c r="R13" s="6"/>
      <c r="S13" s="6"/>
    </row>
    <row r="14" spans="1:22" s="7" customFormat="1" ht="15" customHeight="1">
      <c r="A14" s="127"/>
      <c r="B14" s="86" t="s">
        <v>45</v>
      </c>
      <c r="C14" s="91">
        <v>286768.6213</v>
      </c>
      <c r="D14" s="92">
        <v>13.2655520665224</v>
      </c>
      <c r="E14" s="168">
        <v>2.4990086995289498E-2</v>
      </c>
      <c r="F14" s="91"/>
      <c r="G14" s="92"/>
      <c r="H14" s="168"/>
      <c r="I14" s="91"/>
      <c r="J14" s="92"/>
      <c r="K14" s="168"/>
      <c r="L14" s="91"/>
      <c r="M14" s="92"/>
      <c r="N14" s="168"/>
      <c r="O14" s="89">
        <f t="shared" si="0"/>
        <v>286768.6213</v>
      </c>
      <c r="P14" s="90">
        <f t="shared" si="1"/>
        <v>13.2655520665224</v>
      </c>
      <c r="Q14" s="169">
        <f t="shared" si="2"/>
        <v>2.4990086995289498E-2</v>
      </c>
      <c r="R14" s="6"/>
      <c r="S14" s="6"/>
    </row>
    <row r="15" spans="1:22" s="7" customFormat="1" ht="15" customHeight="1">
      <c r="A15" s="127"/>
      <c r="B15" s="86" t="s">
        <v>46</v>
      </c>
      <c r="C15" s="91">
        <v>1967113.8886611499</v>
      </c>
      <c r="D15" s="92">
        <v>25.422773356001201</v>
      </c>
      <c r="E15" s="168">
        <v>0.190250875376547</v>
      </c>
      <c r="F15" s="91">
        <v>86890.03</v>
      </c>
      <c r="G15" s="92">
        <v>22.9809874619677</v>
      </c>
      <c r="H15" s="168">
        <v>0.13183597273738601</v>
      </c>
      <c r="I15" s="91">
        <v>24084.998666666699</v>
      </c>
      <c r="J15" s="92">
        <v>23.515030739189299</v>
      </c>
      <c r="K15" s="168">
        <v>0.13181739554574201</v>
      </c>
      <c r="L15" s="91"/>
      <c r="M15" s="92"/>
      <c r="N15" s="168"/>
      <c r="O15" s="89">
        <f t="shared" si="0"/>
        <v>2078088.9173278166</v>
      </c>
      <c r="P15" s="90">
        <f t="shared" si="1"/>
        <v>25.298565567866557</v>
      </c>
      <c r="Q15" s="169">
        <f t="shared" si="2"/>
        <v>0.18713116145452971</v>
      </c>
      <c r="R15" s="6"/>
      <c r="S15" s="6"/>
    </row>
    <row r="16" spans="1:22" s="7" customFormat="1" ht="15" customHeight="1">
      <c r="A16" s="127"/>
      <c r="B16" s="86" t="s">
        <v>47</v>
      </c>
      <c r="C16" s="91">
        <v>77198712.7331267</v>
      </c>
      <c r="D16" s="92">
        <v>28.444582557127799</v>
      </c>
      <c r="E16" s="168">
        <v>0.26948805535492298</v>
      </c>
      <c r="F16" s="91">
        <v>5041538.9456106201</v>
      </c>
      <c r="G16" s="92">
        <v>29.1017326421678</v>
      </c>
      <c r="H16" s="168">
        <v>0.28083566041117097</v>
      </c>
      <c r="I16" s="91">
        <v>170122.413833333</v>
      </c>
      <c r="J16" s="92">
        <v>27.912991953853702</v>
      </c>
      <c r="K16" s="168">
        <v>0.229859496542275</v>
      </c>
      <c r="L16" s="91">
        <v>238407.34166666699</v>
      </c>
      <c r="M16" s="92">
        <v>26.369280231547702</v>
      </c>
      <c r="N16" s="168">
        <v>0.20762621964966099</v>
      </c>
      <c r="O16" s="89">
        <f t="shared" si="0"/>
        <v>82648781.434237316</v>
      </c>
      <c r="P16" s="90">
        <f t="shared" si="1"/>
        <v>28.477587822448196</v>
      </c>
      <c r="Q16" s="169">
        <f t="shared" si="2"/>
        <v>0.2699202380238937</v>
      </c>
      <c r="R16" s="6"/>
      <c r="S16" s="6"/>
    </row>
    <row r="17" spans="1:33" s="7" customFormat="1" ht="15" customHeight="1">
      <c r="A17" s="127"/>
      <c r="B17" s="86" t="s">
        <v>8</v>
      </c>
      <c r="C17" s="91">
        <v>132682637.561011</v>
      </c>
      <c r="D17" s="92">
        <v>29.2717730223345</v>
      </c>
      <c r="E17" s="168">
        <v>0.29343945123883403</v>
      </c>
      <c r="F17" s="91">
        <v>26517987.264678199</v>
      </c>
      <c r="G17" s="92">
        <v>31.413734931636402</v>
      </c>
      <c r="H17" s="168">
        <v>0.35741639970803002</v>
      </c>
      <c r="I17" s="91">
        <v>1909957.5358178599</v>
      </c>
      <c r="J17" s="92">
        <v>32.281705445118099</v>
      </c>
      <c r="K17" s="168">
        <v>0.37609634318694801</v>
      </c>
      <c r="L17" s="91">
        <v>1179092.3227733399</v>
      </c>
      <c r="M17" s="92">
        <v>32.010740888588401</v>
      </c>
      <c r="N17" s="168">
        <v>0.39322227050751102</v>
      </c>
      <c r="O17" s="89">
        <f t="shared" si="0"/>
        <v>162289674.6842804</v>
      </c>
      <c r="P17" s="90">
        <f t="shared" si="1"/>
        <v>29.677090599419312</v>
      </c>
      <c r="Q17" s="169">
        <f t="shared" si="2"/>
        <v>0.30559095883402487</v>
      </c>
      <c r="R17" s="6"/>
      <c r="S17" s="6"/>
    </row>
    <row r="18" spans="1:33" s="7" customFormat="1" ht="15" customHeight="1">
      <c r="A18" s="127"/>
      <c r="B18" s="86" t="s">
        <v>9</v>
      </c>
      <c r="C18" s="91">
        <v>129110834.399601</v>
      </c>
      <c r="D18" s="92">
        <v>31.168426018787699</v>
      </c>
      <c r="E18" s="168">
        <v>0.36003646274995899</v>
      </c>
      <c r="F18" s="91">
        <v>64125167.013152704</v>
      </c>
      <c r="G18" s="92">
        <v>33.712833933278901</v>
      </c>
      <c r="H18" s="168">
        <v>0.451093443120273</v>
      </c>
      <c r="I18" s="91">
        <v>5707699.9893717496</v>
      </c>
      <c r="J18" s="92">
        <v>33.340848394489498</v>
      </c>
      <c r="K18" s="168">
        <v>0.41743234435198401</v>
      </c>
      <c r="L18" s="91">
        <v>4242705.1935116397</v>
      </c>
      <c r="M18" s="92">
        <v>34.110694702792202</v>
      </c>
      <c r="N18" s="168">
        <v>0.47018120009566899</v>
      </c>
      <c r="O18" s="89">
        <f t="shared" si="0"/>
        <v>203186406.59563708</v>
      </c>
      <c r="P18" s="90">
        <f t="shared" si="1"/>
        <v>32.093897852332148</v>
      </c>
      <c r="Q18" s="169">
        <f t="shared" si="2"/>
        <v>0.39268605928102285</v>
      </c>
      <c r="R18" s="6"/>
      <c r="S18" s="6"/>
    </row>
    <row r="19" spans="1:33" s="7" customFormat="1" ht="15" customHeight="1">
      <c r="A19" s="127"/>
      <c r="B19" s="86" t="s">
        <v>10</v>
      </c>
      <c r="C19" s="91">
        <v>84350161.638425395</v>
      </c>
      <c r="D19" s="92">
        <v>33.418750871028102</v>
      </c>
      <c r="E19" s="168">
        <v>0.45087253718058401</v>
      </c>
      <c r="F19" s="91">
        <v>114572899.026932</v>
      </c>
      <c r="G19" s="92">
        <v>34.787509821932197</v>
      </c>
      <c r="H19" s="168">
        <v>0.494195954816391</v>
      </c>
      <c r="I19" s="91">
        <v>15551058.375542199</v>
      </c>
      <c r="J19" s="92">
        <v>35.784061594283799</v>
      </c>
      <c r="K19" s="168">
        <v>0.53066023208681101</v>
      </c>
      <c r="L19" s="91">
        <v>8236844.5367942397</v>
      </c>
      <c r="M19" s="92">
        <v>35.5132672690943</v>
      </c>
      <c r="N19" s="168">
        <v>0.53415406788009401</v>
      </c>
      <c r="O19" s="89">
        <f t="shared" si="0"/>
        <v>222710963.57769385</v>
      </c>
      <c r="P19" s="90">
        <f t="shared" si="1"/>
        <v>34.365529461408848</v>
      </c>
      <c r="Q19" s="169">
        <f t="shared" si="2"/>
        <v>0.48181151551327828</v>
      </c>
      <c r="R19" s="6"/>
      <c r="S19" s="6"/>
    </row>
    <row r="20" spans="1:33" s="7" customFormat="1" ht="15" customHeight="1">
      <c r="A20" s="127"/>
      <c r="B20" s="86" t="s">
        <v>11</v>
      </c>
      <c r="C20" s="91">
        <v>48320778.7530706</v>
      </c>
      <c r="D20" s="92">
        <v>36.256687558533898</v>
      </c>
      <c r="E20" s="168">
        <v>0.57783811373882099</v>
      </c>
      <c r="F20" s="91">
        <v>58383219.763194099</v>
      </c>
      <c r="G20" s="92">
        <v>36.098055400400703</v>
      </c>
      <c r="H20" s="168">
        <v>0.55772463007803896</v>
      </c>
      <c r="I20" s="91">
        <v>17345626.318634901</v>
      </c>
      <c r="J20" s="92">
        <v>37.3025408285217</v>
      </c>
      <c r="K20" s="168">
        <v>0.60996471356424198</v>
      </c>
      <c r="L20" s="91">
        <v>8237027.1595614003</v>
      </c>
      <c r="M20" s="92">
        <v>37.943828547247598</v>
      </c>
      <c r="N20" s="168">
        <v>0.65681094846161003</v>
      </c>
      <c r="O20" s="89">
        <f t="shared" si="0"/>
        <v>132286651.994461</v>
      </c>
      <c r="P20" s="90">
        <f t="shared" si="1"/>
        <v>36.428863281920776</v>
      </c>
      <c r="Q20" s="169">
        <f t="shared" si="2"/>
        <v>0.57809110557634813</v>
      </c>
      <c r="R20" s="6"/>
      <c r="S20" s="6"/>
    </row>
    <row r="21" spans="1:33" s="7" customFormat="1" ht="15" customHeight="1">
      <c r="A21" s="127"/>
      <c r="B21" s="86">
        <v>9</v>
      </c>
      <c r="C21" s="91">
        <v>16005720.429347901</v>
      </c>
      <c r="D21" s="92">
        <v>39.849348500301097</v>
      </c>
      <c r="E21" s="168">
        <v>0.78004801845073002</v>
      </c>
      <c r="F21" s="91">
        <v>43487553.617781296</v>
      </c>
      <c r="G21" s="92">
        <v>37.489008235247802</v>
      </c>
      <c r="H21" s="168">
        <v>0.62880249465607096</v>
      </c>
      <c r="I21" s="91">
        <v>15082368.38792</v>
      </c>
      <c r="J21" s="92">
        <v>38.985714098090703</v>
      </c>
      <c r="K21" s="168">
        <v>0.70508508323790398</v>
      </c>
      <c r="L21" s="91">
        <v>4448457.12662517</v>
      </c>
      <c r="M21" s="92">
        <v>40.111255486414599</v>
      </c>
      <c r="N21" s="168">
        <v>0.78102261382645999</v>
      </c>
      <c r="O21" s="89">
        <f t="shared" ref="O21:O24" si="3">SUM(C21+F21+I21+L21)</f>
        <v>79024099.561674371</v>
      </c>
      <c r="P21" s="90">
        <f t="shared" ref="P21:P24" si="4">IF(SUM(D21+G21+J21+M21)&gt;0,(C21*D21+F21*G21+I21*J21+L21*M21)/SUM(C21+F21+I21+L21),"")</f>
        <v>38.400347566717848</v>
      </c>
      <c r="Q21" s="169">
        <f t="shared" ref="Q21:Q24" si="5">IF(SUM(E21,H21,K21,N21)&gt;0,SUM(C21*E21+F21*H21+I21*K21+L21*N21)/SUM(C21+F21+I21+L21),"")</f>
        <v>0.68256407334064018</v>
      </c>
      <c r="R21" s="6"/>
      <c r="S21" s="6"/>
    </row>
    <row r="22" spans="1:33" s="7" customFormat="1" ht="15" customHeight="1">
      <c r="A22" s="127"/>
      <c r="B22" s="86">
        <v>10</v>
      </c>
      <c r="C22" s="91">
        <v>6530012.0640793601</v>
      </c>
      <c r="D22" s="92">
        <v>41.470757995436202</v>
      </c>
      <c r="E22" s="168">
        <v>0.88476021745768996</v>
      </c>
      <c r="F22" s="91">
        <v>25171791.779641598</v>
      </c>
      <c r="G22" s="92">
        <v>38.679084823130403</v>
      </c>
      <c r="H22" s="168">
        <v>0.69637381376413998</v>
      </c>
      <c r="I22" s="91">
        <v>6851820.1234755702</v>
      </c>
      <c r="J22" s="92">
        <v>41.411286498188801</v>
      </c>
      <c r="K22" s="168">
        <v>0.85314631819155395</v>
      </c>
      <c r="L22" s="91">
        <v>2302262.3878818098</v>
      </c>
      <c r="M22" s="92">
        <v>40.534758454053097</v>
      </c>
      <c r="N22" s="168">
        <v>0.80748687113925399</v>
      </c>
      <c r="O22" s="89">
        <f t="shared" si="3"/>
        <v>40855886.355078332</v>
      </c>
      <c r="P22" s="90">
        <f t="shared" si="4"/>
        <v>39.688057218419431</v>
      </c>
      <c r="Q22" s="169">
        <f t="shared" si="5"/>
        <v>0.75903685037085611</v>
      </c>
      <c r="R22" s="6"/>
      <c r="S22" s="6"/>
    </row>
    <row r="23" spans="1:33" s="7" customFormat="1" ht="15" customHeight="1">
      <c r="A23" s="127"/>
      <c r="B23" s="86">
        <v>11</v>
      </c>
      <c r="C23" s="91">
        <v>3093060.5741874999</v>
      </c>
      <c r="D23" s="92">
        <v>45.083997668981397</v>
      </c>
      <c r="E23" s="168">
        <v>1.13921967834687</v>
      </c>
      <c r="F23" s="91">
        <v>3781508.6990095498</v>
      </c>
      <c r="G23" s="92">
        <v>39.180805569046697</v>
      </c>
      <c r="H23" s="168">
        <v>0.71615666293264402</v>
      </c>
      <c r="I23" s="91">
        <v>2672414.0110234399</v>
      </c>
      <c r="J23" s="92">
        <v>41.031179160633201</v>
      </c>
      <c r="K23" s="168">
        <v>0.81782278028605904</v>
      </c>
      <c r="L23" s="91">
        <v>1298738.44201907</v>
      </c>
      <c r="M23" s="92">
        <v>42.3696196433268</v>
      </c>
      <c r="N23" s="168">
        <v>0.93681621353760103</v>
      </c>
      <c r="O23" s="89">
        <f t="shared" si="3"/>
        <v>10845721.726239558</v>
      </c>
      <c r="P23" s="90">
        <f t="shared" si="4"/>
        <v>41.702106702424288</v>
      </c>
      <c r="Q23" s="169">
        <f t="shared" si="5"/>
        <v>0.88828283193521362</v>
      </c>
      <c r="R23" s="6"/>
      <c r="S23" s="6"/>
    </row>
    <row r="24" spans="1:33" s="7" customFormat="1" ht="15" customHeight="1" thickBot="1">
      <c r="A24" s="160" t="s">
        <v>12</v>
      </c>
      <c r="B24" s="86" t="s">
        <v>80</v>
      </c>
      <c r="C24" s="91">
        <v>1620454.6</v>
      </c>
      <c r="D24" s="92">
        <v>51.188879453950797</v>
      </c>
      <c r="E24" s="168">
        <v>1.74626885820674</v>
      </c>
      <c r="F24" s="91"/>
      <c r="G24" s="92"/>
      <c r="H24" s="168"/>
      <c r="I24" s="91">
        <v>436454.315714286</v>
      </c>
      <c r="J24" s="92">
        <v>46.219886430201797</v>
      </c>
      <c r="K24" s="168">
        <v>1.2643490390709899</v>
      </c>
      <c r="L24" s="91">
        <v>285203.63916666701</v>
      </c>
      <c r="M24" s="92">
        <v>48.817288688932599</v>
      </c>
      <c r="N24" s="168">
        <v>1.44271049110076</v>
      </c>
      <c r="O24" s="89">
        <f t="shared" si="3"/>
        <v>2342112.5548809529</v>
      </c>
      <c r="P24" s="90">
        <f t="shared" si="4"/>
        <v>49.974110863586759</v>
      </c>
      <c r="Q24" s="169">
        <f t="shared" si="5"/>
        <v>1.6194978645286611</v>
      </c>
      <c r="R24" s="6"/>
      <c r="S24" s="6"/>
    </row>
    <row r="25" spans="1:33" s="7" customFormat="1" ht="15" customHeight="1" thickBot="1">
      <c r="A25" s="5"/>
      <c r="B25" s="136" t="s">
        <v>20</v>
      </c>
      <c r="C25" s="70">
        <f>IF(SUM(C12:C24)&gt;0,SUM(C12:C24),"na")</f>
        <v>501679150.52979261</v>
      </c>
      <c r="D25" s="23">
        <f>IF(SUM(D12:D24)&gt;0,SUMPRODUCT(C12:C24,D12:D24)/C25,"na")</f>
        <v>31.624324499072561</v>
      </c>
      <c r="E25" s="171">
        <f>IF(SUM(E12:E24)&gt;0,SUMPRODUCT(C12:C24,E12:E24)/C25,"na")</f>
        <v>0.39304138711685099</v>
      </c>
      <c r="F25" s="70">
        <f>IF(SUM(F12:F24)&gt;0,SUM(F12:F24),"na")</f>
        <v>341168556.13999999</v>
      </c>
      <c r="G25" s="23">
        <f>IF(SUM(G12:G24)&gt;0,SUMPRODUCT(F12:F24,G12:G24)/F25,"na")</f>
        <v>35.140696540247113</v>
      </c>
      <c r="H25" s="24">
        <f>IF(SUM(H12:H24)&gt;0,SUMPRODUCT(F12:F24,H12:H24)/F25,"na")</f>
        <v>0.51762431283833499</v>
      </c>
      <c r="I25" s="70">
        <f>IF(SUM(I12:I24)&gt;0,SUM(I12:I24),"na")</f>
        <v>65751606.470000006</v>
      </c>
      <c r="J25" s="23">
        <f>IF(SUM(J12:J24)&gt;0,SUMPRODUCT(I12:I24,J12:J24)/I25,"na")</f>
        <v>37.449304794453639</v>
      </c>
      <c r="K25" s="171">
        <f>IF(SUM(K12:K24)&gt;0,SUMPRODUCT(I12:I24,K12:K24)/I25,"na")</f>
        <v>0.62649547116064352</v>
      </c>
      <c r="L25" s="70">
        <f>IF(SUM(L12:L24)&gt;0,SUM(L12:L24),"na")</f>
        <v>30468738.150000002</v>
      </c>
      <c r="M25" s="23">
        <f>IF(SUM(M12:M24)&gt;0,SUMPRODUCT(L12:L24,M12:M24)/L25,"na")</f>
        <v>37.235485266724112</v>
      </c>
      <c r="N25" s="24">
        <f>IF(SUM(N12:N24)&gt;0,SUMPRODUCT(L12:L24,N12:N24)/L25,"na")</f>
        <v>0.63276124247834498</v>
      </c>
      <c r="O25" s="70">
        <f>IF(SUM(O12:O24)&gt;0,SUM(O12:O24),"na")</f>
        <v>939068051.28979266</v>
      </c>
      <c r="P25" s="23">
        <f>IF(SUM(P12:P24)&gt;0,SUMPRODUCT(O12:O24,P12:P24)/O25,"na")</f>
        <v>33.491752924472102</v>
      </c>
      <c r="Q25" s="25">
        <f>IF(SUM(Q12:Q24)&gt;0,SUMPRODUCT(O12:O24,Q12:Q24)/O25,"na")</f>
        <v>0.46242690115263313</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f>IF(SUM(E12:E24)&gt;0,(C25*E25),"na")</f>
        <v>197180669.21183318</v>
      </c>
      <c r="E28" s="110" t="s">
        <v>21</v>
      </c>
      <c r="F28" s="109" t="s">
        <v>22</v>
      </c>
      <c r="G28" s="94">
        <f>IF(SUM(H12:H24)&gt;0,(F25*H25),"na")</f>
        <v>176597139.43401441</v>
      </c>
      <c r="H28" s="110" t="s">
        <v>21</v>
      </c>
      <c r="I28" s="109" t="s">
        <v>22</v>
      </c>
      <c r="J28" s="94">
        <f>IF(SUM(K12:K24)&gt;0,(I25*K25),"na")</f>
        <v>41193083.674991868</v>
      </c>
      <c r="K28" s="110" t="s">
        <v>21</v>
      </c>
      <c r="L28" s="109" t="s">
        <v>22</v>
      </c>
      <c r="M28" s="94">
        <f>IF(SUM(N12:N24)&gt;0,(L25*N25),"na")</f>
        <v>19279436.608541351</v>
      </c>
      <c r="N28" s="110" t="s">
        <v>21</v>
      </c>
      <c r="O28" s="109" t="s">
        <v>22</v>
      </c>
      <c r="P28" s="94">
        <f>IF(SUM(Q12:Q24)&gt;0,(O25*Q25),"na")</f>
        <v>434250328.92938077</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e">
        <f>IF(SUM(E12:E24)&gt;0,D28/D27,"na")</f>
        <v>#DIV/0!</v>
      </c>
      <c r="E29" s="111" t="s">
        <v>23</v>
      </c>
      <c r="F29" s="109" t="s">
        <v>22</v>
      </c>
      <c r="G29" s="95" t="e">
        <f>IF(SUM(H12:H24)&gt;0,G28/G27,"na")</f>
        <v>#DIV/0!</v>
      </c>
      <c r="H29" s="111" t="s">
        <v>23</v>
      </c>
      <c r="I29" s="109" t="s">
        <v>22</v>
      </c>
      <c r="J29" s="95" t="e">
        <f>IF(SUM(K12:K24)&gt;0,J28/J27,"na")</f>
        <v>#DIV/0!</v>
      </c>
      <c r="K29" s="111" t="s">
        <v>23</v>
      </c>
      <c r="L29" s="109" t="s">
        <v>22</v>
      </c>
      <c r="M29" s="95" t="e">
        <f>IF(SUM(N12:N24)&gt;0,M28/M27,"na")</f>
        <v>#DIV/0!</v>
      </c>
      <c r="N29" s="111" t="s">
        <v>23</v>
      </c>
      <c r="O29" s="109" t="s">
        <v>22</v>
      </c>
      <c r="P29" s="95" t="e">
        <f>IF(SUM(Q12:Q24)&gt;0,P28/P27,"na")</f>
        <v>#DIV/0!</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I4:K4"/>
    <mergeCell ref="I6:K6"/>
    <mergeCell ref="C8:D8"/>
  </mergeCells>
  <conditionalFormatting sqref="A1:R3 A5:R5 A4:I4 L4:R4 A6:I6 L6:R6 A7:R34">
    <cfRule type="expression" dxfId="8"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election activeCell="C11" sqref="C11:O11"/>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9" t="str">
        <f>'LEN F3'!F3</f>
        <v>Fleet 3 Peru &amp; Equador</v>
      </c>
      <c r="J4" s="400"/>
      <c r="K4" s="401"/>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18"/>
      <c r="J5" s="319"/>
      <c r="K5" s="320"/>
      <c r="L5" s="6"/>
      <c r="M5" s="82"/>
      <c r="N5" s="82"/>
      <c r="O5" s="6"/>
      <c r="P5" s="82"/>
      <c r="Q5" s="82"/>
      <c r="R5" s="82"/>
      <c r="S5" s="82"/>
      <c r="T5" s="255"/>
      <c r="U5" s="254"/>
      <c r="V5" s="254"/>
    </row>
    <row r="6" spans="1:22" s="7" customFormat="1" ht="18.75" customHeight="1" thickBot="1">
      <c r="A6" s="8"/>
      <c r="B6" s="13" t="s">
        <v>1</v>
      </c>
      <c r="C6" s="119">
        <f>'START HERE'!$K$3</f>
        <v>2019</v>
      </c>
      <c r="D6" s="120"/>
      <c r="E6" s="121"/>
      <c r="F6" s="6"/>
      <c r="G6" s="6"/>
      <c r="H6" s="13" t="s">
        <v>14</v>
      </c>
      <c r="I6" s="402">
        <f>'START HERE'!$F8</f>
        <v>42615</v>
      </c>
      <c r="J6" s="403"/>
      <c r="K6" s="404"/>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7" t="s">
        <v>53</v>
      </c>
      <c r="D8" s="398"/>
      <c r="E8" s="99"/>
      <c r="F8" s="261" t="s">
        <v>31</v>
      </c>
      <c r="G8" s="98"/>
      <c r="H8" s="99"/>
      <c r="I8" s="261" t="s">
        <v>32</v>
      </c>
      <c r="J8" s="98"/>
      <c r="K8" s="99"/>
      <c r="L8" s="261"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F3'!F5</f>
        <v>thousands</v>
      </c>
      <c r="D11" s="83" t="s">
        <v>43</v>
      </c>
      <c r="E11" s="84" t="s">
        <v>51</v>
      </c>
      <c r="F11" s="85" t="str">
        <f>C11</f>
        <v>thousands</v>
      </c>
      <c r="G11" s="83" t="s">
        <v>43</v>
      </c>
      <c r="H11" s="84" t="s">
        <v>51</v>
      </c>
      <c r="I11" s="85" t="str">
        <f>C11</f>
        <v>thousands</v>
      </c>
      <c r="J11" s="83" t="s">
        <v>43</v>
      </c>
      <c r="K11" s="84" t="s">
        <v>51</v>
      </c>
      <c r="L11" s="85" t="str">
        <f>C11</f>
        <v>thousands</v>
      </c>
      <c r="M11" s="83" t="s">
        <v>43</v>
      </c>
      <c r="N11" s="84" t="s">
        <v>51</v>
      </c>
      <c r="O11" s="85" t="str">
        <f>C11</f>
        <v>thousands</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I4:K4"/>
    <mergeCell ref="I6:K6"/>
    <mergeCell ref="C8:D8"/>
  </mergeCells>
  <conditionalFormatting sqref="A1:R3 A5:R5 A4:I4 L4:R4 A6:I6 L6:R6 A7:R34">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election activeCell="C11" sqref="C11"/>
    </sheetView>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3" t="s">
        <v>54</v>
      </c>
      <c r="B1" s="9"/>
      <c r="C1" s="6"/>
      <c r="D1" s="6"/>
      <c r="E1" s="6"/>
      <c r="F1" s="6"/>
      <c r="G1" s="6"/>
      <c r="H1" s="80" t="s">
        <v>121</v>
      </c>
      <c r="I1" s="6"/>
      <c r="J1" s="6"/>
      <c r="K1" s="6"/>
      <c r="L1" s="6"/>
      <c r="M1" s="6"/>
      <c r="N1" s="6"/>
      <c r="O1" s="6"/>
      <c r="P1" s="6"/>
      <c r="Q1" s="6"/>
      <c r="R1" s="6"/>
      <c r="S1" s="6"/>
      <c r="T1" s="254"/>
      <c r="U1" s="254"/>
      <c r="V1" s="254"/>
    </row>
    <row r="2" spans="1:22" s="7" customFormat="1" ht="19.5" customHeight="1">
      <c r="A2" s="260" t="s">
        <v>112</v>
      </c>
      <c r="B2" s="9"/>
      <c r="C2" s="6"/>
      <c r="D2" s="6"/>
      <c r="E2" s="6"/>
      <c r="F2" s="6"/>
      <c r="G2" s="6"/>
      <c r="H2" s="81"/>
      <c r="I2" s="6"/>
      <c r="J2" s="6"/>
      <c r="K2" s="6"/>
      <c r="L2" s="6"/>
      <c r="M2" s="6"/>
      <c r="N2" s="6"/>
      <c r="O2" s="6"/>
      <c r="P2" s="6"/>
      <c r="Q2" s="6"/>
      <c r="R2" s="6"/>
      <c r="S2" s="6"/>
      <c r="T2" s="254"/>
      <c r="U2" s="254"/>
      <c r="V2" s="254"/>
    </row>
    <row r="3" spans="1:22" s="7" customFormat="1" ht="13.5" customHeight="1" thickBot="1">
      <c r="A3" s="75"/>
      <c r="B3" s="9"/>
      <c r="C3" s="6"/>
      <c r="D3" s="6"/>
      <c r="E3" s="6"/>
      <c r="F3" s="6"/>
      <c r="G3" s="6"/>
      <c r="H3" s="76"/>
      <c r="I3" s="6"/>
      <c r="J3" s="6"/>
      <c r="K3" s="6"/>
      <c r="L3" s="6"/>
      <c r="M3" s="82"/>
      <c r="N3" s="82"/>
      <c r="O3" s="6"/>
      <c r="P3" s="82"/>
      <c r="Q3" s="82"/>
      <c r="R3" s="82"/>
      <c r="S3" s="82"/>
      <c r="T3" s="255"/>
      <c r="U3" s="254"/>
      <c r="V3" s="254"/>
    </row>
    <row r="4" spans="1:22" s="7" customFormat="1" ht="19.5" customHeight="1">
      <c r="A4" s="8"/>
      <c r="B4" s="258" t="s">
        <v>106</v>
      </c>
      <c r="C4" s="122" t="str">
        <f>'START HERE'!F6</f>
        <v>Chile</v>
      </c>
      <c r="D4" s="137"/>
      <c r="E4" s="21"/>
      <c r="F4" s="6"/>
      <c r="G4" s="6"/>
      <c r="H4" s="173" t="s">
        <v>39</v>
      </c>
      <c r="I4" s="399" t="str">
        <f>'LEN F4'!F3</f>
        <v>Fleet 4 Offshore</v>
      </c>
      <c r="J4" s="400"/>
      <c r="K4" s="401"/>
      <c r="L4" s="6"/>
      <c r="M4" s="82"/>
      <c r="N4" s="82"/>
      <c r="O4" s="6"/>
      <c r="P4" s="82"/>
      <c r="Q4" s="82"/>
      <c r="R4" s="82"/>
      <c r="S4" s="82"/>
      <c r="T4" s="255"/>
      <c r="U4" s="254"/>
      <c r="V4" s="254"/>
    </row>
    <row r="5" spans="1:22" s="7" customFormat="1" ht="19.5" customHeight="1">
      <c r="A5" s="8"/>
      <c r="B5" s="13" t="s">
        <v>0</v>
      </c>
      <c r="C5" s="123" t="str">
        <f>'START HERE'!F5</f>
        <v>Jack mackerel</v>
      </c>
      <c r="D5" s="139"/>
      <c r="E5" s="22"/>
      <c r="F5" s="138"/>
      <c r="G5" s="138"/>
      <c r="H5" s="13"/>
      <c r="I5" s="318"/>
      <c r="J5" s="319"/>
      <c r="K5" s="320"/>
      <c r="L5" s="6"/>
      <c r="M5" s="82"/>
      <c r="N5" s="82"/>
      <c r="O5" s="6"/>
      <c r="P5" s="82"/>
      <c r="Q5" s="82"/>
      <c r="R5" s="82"/>
      <c r="S5" s="82"/>
      <c r="T5" s="255"/>
      <c r="U5" s="254"/>
      <c r="V5" s="254"/>
    </row>
    <row r="6" spans="1:22" s="7" customFormat="1" ht="18.75" customHeight="1" thickBot="1">
      <c r="A6" s="8"/>
      <c r="B6" s="13" t="s">
        <v>1</v>
      </c>
      <c r="C6" s="119">
        <f>'START HERE'!$K$3</f>
        <v>2019</v>
      </c>
      <c r="D6" s="120"/>
      <c r="E6" s="121"/>
      <c r="F6" s="6"/>
      <c r="G6" s="6"/>
      <c r="H6" s="13" t="s">
        <v>14</v>
      </c>
      <c r="I6" s="402">
        <f>'START HERE'!$F8</f>
        <v>42615</v>
      </c>
      <c r="J6" s="403"/>
      <c r="K6" s="404"/>
      <c r="L6" s="6"/>
      <c r="M6" s="82"/>
      <c r="N6" s="82"/>
      <c r="O6" s="6"/>
      <c r="P6" s="82"/>
      <c r="Q6" s="82"/>
      <c r="R6" s="82"/>
      <c r="S6" s="82"/>
      <c r="T6" s="255"/>
      <c r="U6" s="254"/>
      <c r="V6" s="254"/>
    </row>
    <row r="7" spans="1:22" s="7" customFormat="1" ht="13.5" customHeight="1" thickBot="1">
      <c r="A7" s="8"/>
      <c r="B7" s="9"/>
      <c r="C7" s="6"/>
      <c r="D7" s="6"/>
      <c r="E7" s="6"/>
      <c r="F7" s="6"/>
      <c r="G7" s="6"/>
      <c r="H7" s="6"/>
      <c r="I7" s="6"/>
      <c r="J7" s="6"/>
      <c r="K7" s="6"/>
      <c r="L7" s="6"/>
      <c r="M7" s="6"/>
      <c r="N7" s="6"/>
      <c r="O7" s="6"/>
      <c r="P7" s="6"/>
      <c r="Q7" s="6"/>
      <c r="R7" s="6"/>
      <c r="S7" s="6"/>
      <c r="T7" s="254"/>
      <c r="U7" s="254"/>
      <c r="V7" s="254"/>
    </row>
    <row r="8" spans="1:22" s="77" customFormat="1" ht="18" customHeight="1" thickBot="1">
      <c r="A8" s="100"/>
      <c r="B8" s="101"/>
      <c r="C8" s="397" t="s">
        <v>53</v>
      </c>
      <c r="D8" s="398"/>
      <c r="E8" s="99"/>
      <c r="F8" s="261" t="s">
        <v>31</v>
      </c>
      <c r="G8" s="98"/>
      <c r="H8" s="99"/>
      <c r="I8" s="261" t="s">
        <v>32</v>
      </c>
      <c r="J8" s="98"/>
      <c r="K8" s="99"/>
      <c r="L8" s="261" t="s">
        <v>33</v>
      </c>
      <c r="M8" s="98"/>
      <c r="N8" s="99"/>
      <c r="O8" s="97" t="s">
        <v>42</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79</v>
      </c>
      <c r="C10" s="20" t="s">
        <v>4</v>
      </c>
      <c r="D10" s="18" t="s">
        <v>41</v>
      </c>
      <c r="E10" s="19" t="s">
        <v>5</v>
      </c>
      <c r="F10" s="20" t="s">
        <v>4</v>
      </c>
      <c r="G10" s="18" t="s">
        <v>41</v>
      </c>
      <c r="H10" s="19" t="s">
        <v>5</v>
      </c>
      <c r="I10" s="20" t="s">
        <v>4</v>
      </c>
      <c r="J10" s="18" t="s">
        <v>41</v>
      </c>
      <c r="K10" s="19" t="s">
        <v>5</v>
      </c>
      <c r="L10" s="20" t="s">
        <v>4</v>
      </c>
      <c r="M10" s="18" t="s">
        <v>41</v>
      </c>
      <c r="N10" s="19" t="s">
        <v>5</v>
      </c>
      <c r="O10" s="20" t="s">
        <v>4</v>
      </c>
      <c r="P10" s="18" t="s">
        <v>41</v>
      </c>
      <c r="Q10" s="19" t="s">
        <v>5</v>
      </c>
      <c r="R10" s="6"/>
      <c r="S10" s="6"/>
    </row>
    <row r="11" spans="1:22" s="7" customFormat="1" ht="15" customHeight="1" thickBot="1">
      <c r="A11" s="124"/>
      <c r="B11" s="84"/>
      <c r="C11" s="85" t="str">
        <f>'LEN F4'!F5</f>
        <v>thousands</v>
      </c>
      <c r="D11" s="83" t="s">
        <v>43</v>
      </c>
      <c r="E11" s="84" t="s">
        <v>51</v>
      </c>
      <c r="F11" s="85" t="str">
        <f>C11</f>
        <v>thousands</v>
      </c>
      <c r="G11" s="83" t="s">
        <v>43</v>
      </c>
      <c r="H11" s="84" t="s">
        <v>51</v>
      </c>
      <c r="I11" s="85" t="str">
        <f>C11</f>
        <v>thousands</v>
      </c>
      <c r="J11" s="83" t="s">
        <v>43</v>
      </c>
      <c r="K11" s="84" t="s">
        <v>51</v>
      </c>
      <c r="L11" s="85" t="str">
        <f>C11</f>
        <v>thousands</v>
      </c>
      <c r="M11" s="83" t="s">
        <v>43</v>
      </c>
      <c r="N11" s="84" t="s">
        <v>51</v>
      </c>
      <c r="O11" s="85" t="str">
        <f>C11</f>
        <v>thousands</v>
      </c>
      <c r="P11" s="83" t="s">
        <v>43</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44</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45</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46</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47</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80</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20</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135</v>
      </c>
      <c r="D27" s="164"/>
      <c r="E27" s="110" t="s">
        <v>21</v>
      </c>
      <c r="F27" s="109" t="s">
        <v>135</v>
      </c>
      <c r="G27" s="164"/>
      <c r="H27" s="110" t="s">
        <v>21</v>
      </c>
      <c r="I27" s="109" t="s">
        <v>135</v>
      </c>
      <c r="J27" s="164"/>
      <c r="K27" s="110" t="s">
        <v>21</v>
      </c>
      <c r="L27" s="109" t="s">
        <v>135</v>
      </c>
      <c r="M27" s="164"/>
      <c r="N27" s="110" t="s">
        <v>21</v>
      </c>
      <c r="O27" s="109" t="s">
        <v>135</v>
      </c>
      <c r="P27" s="93">
        <f>SUM(M27,J27,G27,D27)</f>
        <v>0</v>
      </c>
      <c r="Q27" s="110" t="s">
        <v>21</v>
      </c>
      <c r="R27" s="6"/>
      <c r="S27" s="6"/>
    </row>
    <row r="28" spans="1:33" s="7" customFormat="1" ht="13.5" customHeight="1">
      <c r="A28" s="8"/>
      <c r="B28" s="4"/>
      <c r="C28" s="109" t="s">
        <v>22</v>
      </c>
      <c r="D28" s="94" t="str">
        <f>IF(SUM(E12:E24)&gt;0,(C25*E25),"na")</f>
        <v>na</v>
      </c>
      <c r="E28" s="110" t="s">
        <v>21</v>
      </c>
      <c r="F28" s="109" t="s">
        <v>22</v>
      </c>
      <c r="G28" s="94" t="str">
        <f>IF(SUM(H12:H24)&gt;0,(F25*H25),"na")</f>
        <v>na</v>
      </c>
      <c r="H28" s="110" t="s">
        <v>21</v>
      </c>
      <c r="I28" s="109" t="s">
        <v>22</v>
      </c>
      <c r="J28" s="94" t="str">
        <f>IF(SUM(K12:K24)&gt;0,(I25*K25),"na")</f>
        <v>na</v>
      </c>
      <c r="K28" s="110" t="s">
        <v>21</v>
      </c>
      <c r="L28" s="109" t="s">
        <v>22</v>
      </c>
      <c r="M28" s="94" t="str">
        <f>IF(SUM(N12:N24)&gt;0,(L25*N25),"na")</f>
        <v>na</v>
      </c>
      <c r="N28" s="110" t="s">
        <v>21</v>
      </c>
      <c r="O28" s="109" t="s">
        <v>22</v>
      </c>
      <c r="P28" s="94" t="str">
        <f>IF(SUM(Q12:Q24)&gt;0,(O25*Q25),"na")</f>
        <v>na</v>
      </c>
      <c r="Q28" s="110" t="s">
        <v>21</v>
      </c>
      <c r="R28" s="6"/>
      <c r="S28" s="6"/>
      <c r="T28" s="254"/>
      <c r="U28" s="254"/>
      <c r="V28" s="254"/>
      <c r="W28" s="254"/>
      <c r="X28" s="254"/>
      <c r="Y28" s="254"/>
      <c r="Z28" s="254"/>
      <c r="AA28" s="254"/>
      <c r="AB28" s="254"/>
      <c r="AC28" s="254"/>
      <c r="AD28" s="254"/>
      <c r="AE28" s="254"/>
      <c r="AF28" s="254"/>
      <c r="AG28" s="254"/>
    </row>
    <row r="29" spans="1:33" s="7" customFormat="1" ht="13.5" customHeight="1" thickBot="1">
      <c r="A29" s="8"/>
      <c r="B29" s="4"/>
      <c r="C29" s="109" t="s">
        <v>22</v>
      </c>
      <c r="D29" s="95" t="str">
        <f>IF(SUM(E12:E24)&gt;0,D28/D27,"na")</f>
        <v>na</v>
      </c>
      <c r="E29" s="111" t="s">
        <v>23</v>
      </c>
      <c r="F29" s="109" t="s">
        <v>22</v>
      </c>
      <c r="G29" s="95" t="str">
        <f>IF(SUM(H12:H24)&gt;0,G28/G27,"na")</f>
        <v>na</v>
      </c>
      <c r="H29" s="111" t="s">
        <v>23</v>
      </c>
      <c r="I29" s="109" t="s">
        <v>22</v>
      </c>
      <c r="J29" s="95" t="str">
        <f>IF(SUM(K12:K24)&gt;0,J28/J27,"na")</f>
        <v>na</v>
      </c>
      <c r="K29" s="111" t="s">
        <v>23</v>
      </c>
      <c r="L29" s="109" t="s">
        <v>22</v>
      </c>
      <c r="M29" s="95" t="str">
        <f>IF(SUM(N12:N24)&gt;0,M28/M27,"na")</f>
        <v>na</v>
      </c>
      <c r="N29" s="111" t="s">
        <v>23</v>
      </c>
      <c r="O29" s="109" t="s">
        <v>22</v>
      </c>
      <c r="P29" s="95" t="str">
        <f>IF(SUM(Q12:Q24)&gt;0,P28/P27,"na")</f>
        <v>na</v>
      </c>
      <c r="Q29" s="111" t="s">
        <v>23</v>
      </c>
      <c r="R29" s="6"/>
      <c r="S29" s="6"/>
      <c r="T29" s="254"/>
      <c r="U29" s="254"/>
      <c r="V29" s="254"/>
      <c r="W29" s="254"/>
      <c r="X29" s="254"/>
      <c r="Y29" s="254"/>
      <c r="Z29" s="254"/>
      <c r="AA29" s="254"/>
      <c r="AB29" s="254"/>
      <c r="AC29" s="254"/>
      <c r="AD29" s="254"/>
      <c r="AE29" s="254"/>
      <c r="AF29" s="254"/>
      <c r="AG29" s="254"/>
    </row>
    <row r="30" spans="1:33" s="6" customFormat="1" ht="6" customHeight="1" thickBot="1">
      <c r="A30" s="8"/>
      <c r="B30" s="4"/>
      <c r="C30" s="112"/>
      <c r="D30" s="35"/>
      <c r="E30" s="111"/>
      <c r="F30" s="112"/>
      <c r="G30" s="35"/>
      <c r="H30" s="111"/>
      <c r="I30" s="112"/>
      <c r="J30" s="35"/>
      <c r="K30" s="111"/>
      <c r="L30" s="112"/>
      <c r="M30" s="35"/>
      <c r="N30" s="111"/>
      <c r="O30" s="112"/>
      <c r="P30" s="35"/>
      <c r="Q30" s="111"/>
      <c r="T30" s="254"/>
      <c r="U30" s="254"/>
      <c r="V30" s="254"/>
      <c r="W30" s="254"/>
      <c r="X30" s="254"/>
      <c r="Y30" s="254"/>
      <c r="Z30" s="254"/>
      <c r="AA30" s="254"/>
      <c r="AB30" s="254"/>
      <c r="AC30" s="254"/>
      <c r="AD30" s="254"/>
      <c r="AE30" s="254"/>
      <c r="AF30" s="254"/>
      <c r="AG30" s="254"/>
    </row>
    <row r="31" spans="1:33" s="6" customFormat="1" ht="13.5" customHeight="1" thickBot="1">
      <c r="A31" s="8"/>
      <c r="B31" s="4"/>
      <c r="C31" s="109" t="s">
        <v>24</v>
      </c>
      <c r="D31" s="165"/>
      <c r="E31" s="111" t="s">
        <v>25</v>
      </c>
      <c r="F31" s="109" t="s">
        <v>24</v>
      </c>
      <c r="G31" s="165"/>
      <c r="H31" s="111" t="s">
        <v>25</v>
      </c>
      <c r="I31" s="109" t="s">
        <v>24</v>
      </c>
      <c r="J31" s="165"/>
      <c r="K31" s="111" t="s">
        <v>25</v>
      </c>
      <c r="L31" s="109" t="s">
        <v>24</v>
      </c>
      <c r="M31" s="166"/>
      <c r="N31" s="111" t="s">
        <v>25</v>
      </c>
      <c r="O31" s="109" t="s">
        <v>24</v>
      </c>
      <c r="P31" s="96"/>
      <c r="Q31" s="111" t="s">
        <v>25</v>
      </c>
      <c r="T31" s="254"/>
      <c r="U31" s="254"/>
      <c r="V31" s="254"/>
      <c r="W31" s="254"/>
      <c r="X31" s="254"/>
      <c r="Y31" s="254"/>
      <c r="Z31" s="254"/>
      <c r="AA31" s="254"/>
      <c r="AB31" s="254"/>
      <c r="AC31" s="254"/>
      <c r="AD31" s="254"/>
      <c r="AE31" s="254"/>
      <c r="AF31" s="254"/>
      <c r="AG31" s="254"/>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4"/>
      <c r="U32" s="254"/>
      <c r="V32" s="254"/>
      <c r="W32" s="254"/>
      <c r="X32" s="254"/>
      <c r="Y32" s="254"/>
      <c r="Z32" s="254"/>
      <c r="AA32" s="254"/>
      <c r="AB32" s="254"/>
      <c r="AC32" s="254"/>
      <c r="AD32" s="254"/>
      <c r="AE32" s="254"/>
      <c r="AF32" s="254"/>
      <c r="AG32" s="254"/>
    </row>
    <row r="33" spans="1:22" s="7" customFormat="1">
      <c r="A33" s="8"/>
      <c r="B33" s="9"/>
      <c r="C33" s="6"/>
      <c r="D33" s="6"/>
      <c r="E33" s="6"/>
      <c r="F33" s="6"/>
      <c r="G33" s="6"/>
      <c r="H33" s="6"/>
      <c r="I33" s="6"/>
      <c r="J33" s="6"/>
      <c r="K33" s="6"/>
      <c r="L33" s="6"/>
      <c r="M33" s="6"/>
      <c r="N33" s="6"/>
      <c r="O33" s="6"/>
      <c r="P33" s="6"/>
      <c r="Q33" s="6"/>
      <c r="R33" s="6"/>
      <c r="S33" s="6"/>
      <c r="T33" s="254"/>
      <c r="U33" s="254"/>
      <c r="V33" s="254"/>
    </row>
    <row r="34" spans="1:22">
      <c r="T34" s="178"/>
      <c r="U34" s="178"/>
      <c r="V34" s="178"/>
    </row>
  </sheetData>
  <sheetProtection scenarios="1"/>
  <mergeCells count="3">
    <mergeCell ref="I4:K4"/>
    <mergeCell ref="I6:K6"/>
    <mergeCell ref="C8:D8"/>
  </mergeCells>
  <conditionalFormatting sqref="A1:R3 A5:R5 A4:I4 L4:R4 A6:I6 L6:R6 A7:R34">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activeCell="G6" sqref="G6:I6"/>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2" t="s">
        <v>106</v>
      </c>
      <c r="B3" s="377" t="str">
        <f>'START HERE'!F6</f>
        <v>Chile</v>
      </c>
      <c r="C3" s="388"/>
      <c r="D3" s="378"/>
      <c r="E3" s="177"/>
      <c r="F3" s="30" t="s">
        <v>39</v>
      </c>
      <c r="G3" s="374" t="str">
        <f>'LEN F1'!F3</f>
        <v>Fleet 1 Northern Chile</v>
      </c>
      <c r="H3" s="375"/>
      <c r="I3" s="376"/>
      <c r="J3" s="177"/>
      <c r="K3" s="178"/>
    </row>
    <row r="4" spans="1:59" ht="15.75">
      <c r="A4" s="12" t="s">
        <v>19</v>
      </c>
      <c r="B4" s="377" t="str">
        <f>'START HERE'!F5</f>
        <v>Jack mackerel</v>
      </c>
      <c r="C4" s="388"/>
      <c r="D4" s="378"/>
      <c r="E4" s="177"/>
      <c r="F4" s="323"/>
      <c r="G4" s="314"/>
      <c r="H4" s="315"/>
      <c r="I4" s="333"/>
      <c r="J4" s="177"/>
      <c r="K4" s="178"/>
    </row>
    <row r="5" spans="1:59" ht="18">
      <c r="A5" s="12" t="s">
        <v>13</v>
      </c>
      <c r="B5" s="389">
        <f>'START HERE'!$K$3</f>
        <v>2019</v>
      </c>
      <c r="C5" s="390"/>
      <c r="D5" s="391"/>
      <c r="E5" s="177"/>
      <c r="F5" s="12" t="s">
        <v>40</v>
      </c>
      <c r="G5" s="321" t="s">
        <v>144</v>
      </c>
      <c r="H5" s="331"/>
      <c r="I5" s="332"/>
      <c r="J5" s="177"/>
      <c r="K5" s="178"/>
    </row>
    <row r="6" spans="1:59" ht="16.5" thickBot="1">
      <c r="A6" s="12"/>
      <c r="B6" s="11"/>
      <c r="C6" s="103"/>
      <c r="D6" s="6"/>
      <c r="F6" s="12" t="s">
        <v>14</v>
      </c>
      <c r="G6" s="382">
        <f>'START HERE'!$F8</f>
        <v>42615</v>
      </c>
      <c r="H6" s="383"/>
      <c r="I6" s="384"/>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5" t="str">
        <f>'START HERE'!$F$13</f>
        <v>fork length</v>
      </c>
      <c r="B9" s="27" t="s">
        <v>52</v>
      </c>
      <c r="C9" s="27" t="s">
        <v>31</v>
      </c>
      <c r="D9" s="27" t="s">
        <v>32</v>
      </c>
      <c r="E9" s="27" t="s">
        <v>33</v>
      </c>
      <c r="F9" s="2"/>
      <c r="G9" s="149"/>
      <c r="H9" s="149"/>
      <c r="I9" s="149"/>
      <c r="J9" s="149"/>
      <c r="K9" s="334"/>
      <c r="L9" s="149"/>
      <c r="M9" s="149"/>
      <c r="N9" s="149"/>
      <c r="P9" s="2"/>
      <c r="Q9" s="405"/>
      <c r="R9" s="405"/>
      <c r="S9" s="405"/>
      <c r="T9" s="405"/>
      <c r="U9" s="405"/>
      <c r="V9" s="405"/>
      <c r="W9" s="405"/>
      <c r="X9" s="405"/>
      <c r="Y9" s="405"/>
      <c r="Z9" s="405"/>
      <c r="AA9" s="405"/>
      <c r="AB9" s="405"/>
      <c r="AC9" s="405"/>
      <c r="AE9" s="2"/>
      <c r="AF9" s="405"/>
      <c r="AG9" s="405"/>
      <c r="AH9" s="405"/>
      <c r="AI9" s="405"/>
      <c r="AJ9" s="405"/>
      <c r="AK9" s="405"/>
      <c r="AL9" s="405"/>
      <c r="AM9" s="405"/>
      <c r="AN9" s="405"/>
      <c r="AO9" s="405"/>
      <c r="AP9" s="405"/>
      <c r="AQ9" s="405"/>
      <c r="AR9" s="405"/>
      <c r="AT9" s="2"/>
      <c r="AU9" s="405"/>
      <c r="AV9" s="405"/>
      <c r="AW9" s="405"/>
      <c r="AX9" s="405"/>
      <c r="AY9" s="405"/>
      <c r="AZ9" s="405"/>
      <c r="BA9" s="405"/>
      <c r="BB9" s="405"/>
      <c r="BC9" s="405"/>
      <c r="BD9" s="405"/>
      <c r="BE9" s="405"/>
      <c r="BF9" s="405"/>
      <c r="BG9" s="405"/>
    </row>
    <row r="10" spans="1:59" ht="18">
      <c r="A10" s="28" t="s">
        <v>43</v>
      </c>
      <c r="B10" s="181">
        <f>'START HERE'!$K$3</f>
        <v>2019</v>
      </c>
      <c r="C10" s="181">
        <f>'START HERE'!$K$3</f>
        <v>2019</v>
      </c>
      <c r="D10" s="181">
        <f>'START HERE'!$K$3</f>
        <v>2019</v>
      </c>
      <c r="E10" s="180">
        <f>'START HERE'!$K$3</f>
        <v>2019</v>
      </c>
      <c r="F10" s="324"/>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38">
        <v>1.25456645147272E-2</v>
      </c>
      <c r="C11" s="339">
        <v>2.06366378156536E-2</v>
      </c>
      <c r="D11" s="339"/>
      <c r="E11" s="340">
        <v>3.2919971119437702E-2</v>
      </c>
      <c r="P11" s="1"/>
      <c r="AE11" s="1"/>
      <c r="AT11" s="1"/>
    </row>
    <row r="12" spans="1:59">
      <c r="A12" s="195">
        <v>2</v>
      </c>
      <c r="B12" s="341">
        <v>9.8028418641041296E-2</v>
      </c>
      <c r="C12" s="342">
        <v>0.14249156339101199</v>
      </c>
      <c r="D12" s="342"/>
      <c r="E12" s="343">
        <v>0.21591760781253799</v>
      </c>
      <c r="P12" s="1"/>
      <c r="AE12" s="1"/>
      <c r="AT12" s="1"/>
    </row>
    <row r="13" spans="1:59">
      <c r="A13" s="195">
        <v>3</v>
      </c>
      <c r="B13" s="341">
        <v>0.32631770397662302</v>
      </c>
      <c r="C13" s="342">
        <v>0.44122545176195299</v>
      </c>
      <c r="D13" s="342"/>
      <c r="E13" s="343">
        <v>0.64878704443268398</v>
      </c>
      <c r="P13" s="1"/>
      <c r="AE13" s="1"/>
      <c r="AT13" s="1"/>
    </row>
    <row r="14" spans="1:59">
      <c r="A14" s="195">
        <v>4</v>
      </c>
      <c r="B14" s="341">
        <v>0.76596746628946399</v>
      </c>
      <c r="C14" s="342">
        <v>0.98387372104837501</v>
      </c>
      <c r="D14" s="342"/>
      <c r="E14" s="343">
        <v>1.4161741878309699</v>
      </c>
      <c r="P14" s="1"/>
      <c r="AE14" s="1"/>
      <c r="AT14" s="1"/>
    </row>
    <row r="15" spans="1:59">
      <c r="A15" s="195">
        <v>5</v>
      </c>
      <c r="B15" s="341">
        <v>1.4847266502241601</v>
      </c>
      <c r="C15" s="342">
        <v>1.8326747194489099</v>
      </c>
      <c r="D15" s="342"/>
      <c r="E15" s="343">
        <v>2.5946378791031099</v>
      </c>
      <c r="P15" s="1"/>
      <c r="AE15" s="1"/>
      <c r="AT15" s="1"/>
    </row>
    <row r="16" spans="1:59">
      <c r="A16" s="195">
        <v>6</v>
      </c>
      <c r="B16" s="341">
        <v>2.5497580026831499</v>
      </c>
      <c r="C16" s="342">
        <v>3.0465672262647501</v>
      </c>
      <c r="D16" s="342"/>
      <c r="E16" s="343">
        <v>4.2553058781682402</v>
      </c>
      <c r="P16" s="1"/>
      <c r="AE16" s="1"/>
      <c r="AT16" s="1"/>
    </row>
    <row r="17" spans="1:46">
      <c r="A17" s="195">
        <v>7</v>
      </c>
      <c r="B17" s="341">
        <v>4.0277628213038001</v>
      </c>
      <c r="C17" s="342">
        <v>4.6820000363833802</v>
      </c>
      <c r="D17" s="342"/>
      <c r="E17" s="343">
        <v>6.4652790850426696</v>
      </c>
      <c r="P17" s="1"/>
      <c r="AE17" s="1"/>
      <c r="AT17" s="1"/>
    </row>
    <row r="18" spans="1:46">
      <c r="A18" s="195">
        <v>8</v>
      </c>
      <c r="B18" s="341">
        <v>5.9850619600658002</v>
      </c>
      <c r="C18" s="342">
        <v>6.7934372810077397</v>
      </c>
      <c r="D18" s="342"/>
      <c r="E18" s="343">
        <v>9.2884936555056896</v>
      </c>
      <c r="P18" s="1"/>
      <c r="AE18" s="1"/>
      <c r="AT18" s="1"/>
    </row>
    <row r="19" spans="1:46">
      <c r="A19" s="195">
        <v>9</v>
      </c>
      <c r="B19" s="341">
        <v>8.4876527507630293</v>
      </c>
      <c r="C19" s="342">
        <v>9.4337023802815505</v>
      </c>
      <c r="D19" s="342"/>
      <c r="E19" s="343">
        <v>12.786300069843101</v>
      </c>
      <c r="P19" s="1"/>
      <c r="AE19" s="1"/>
      <c r="AT19" s="1"/>
    </row>
    <row r="20" spans="1:46">
      <c r="A20" s="195">
        <v>10</v>
      </c>
      <c r="B20" s="341">
        <v>11.601251210315001</v>
      </c>
      <c r="C20" s="342">
        <v>12.6542263470542</v>
      </c>
      <c r="D20" s="342"/>
      <c r="E20" s="343">
        <v>17.017876533462399</v>
      </c>
      <c r="P20" s="1"/>
      <c r="AE20" s="1"/>
      <c r="AT20" s="1"/>
    </row>
    <row r="21" spans="1:46">
      <c r="A21" s="195">
        <v>11</v>
      </c>
      <c r="B21" s="341">
        <v>15.391324589262</v>
      </c>
      <c r="C21" s="342">
        <v>16.505234887413302</v>
      </c>
      <c r="D21" s="342"/>
      <c r="E21" s="343">
        <v>22.040537493073298</v>
      </c>
      <c r="P21" s="1"/>
      <c r="AE21" s="1"/>
      <c r="AT21" s="1"/>
    </row>
    <row r="22" spans="1:46">
      <c r="A22" s="195">
        <v>12</v>
      </c>
      <c r="B22" s="341">
        <v>19.923117235197601</v>
      </c>
      <c r="C22" s="342">
        <v>21.035894069769299</v>
      </c>
      <c r="D22" s="342"/>
      <c r="E22" s="343">
        <v>27.909971803778699</v>
      </c>
      <c r="P22" s="1"/>
      <c r="AE22" s="1"/>
      <c r="AT22" s="1"/>
    </row>
    <row r="23" spans="1:46">
      <c r="A23" s="195">
        <v>13</v>
      </c>
      <c r="B23" s="341">
        <v>25.2616716365904</v>
      </c>
      <c r="C23" s="342">
        <v>26.294426703793899</v>
      </c>
      <c r="D23" s="342"/>
      <c r="E23" s="343">
        <v>34.680431566789203</v>
      </c>
      <c r="P23" s="1"/>
      <c r="AE23" s="1"/>
      <c r="AT23" s="1"/>
    </row>
    <row r="24" spans="1:46">
      <c r="A24" s="195">
        <v>14</v>
      </c>
      <c r="B24" s="341">
        <v>31.4718458771234</v>
      </c>
      <c r="C24" s="342">
        <v>32.328207285539001</v>
      </c>
      <c r="D24" s="342"/>
      <c r="E24" s="343">
        <v>42.404885132435403</v>
      </c>
      <c r="P24" s="1"/>
      <c r="AE24" s="1"/>
      <c r="AT24" s="1"/>
    </row>
    <row r="25" spans="1:46">
      <c r="A25" s="195">
        <v>15</v>
      </c>
      <c r="B25" s="341">
        <v>38.6183283448484</v>
      </c>
      <c r="C25" s="342">
        <v>39.183840809968899</v>
      </c>
      <c r="D25" s="342"/>
      <c r="E25" s="343">
        <v>51.135143310087699</v>
      </c>
      <c r="P25" s="1"/>
      <c r="AE25" s="1"/>
      <c r="AT25" s="1"/>
    </row>
    <row r="26" spans="1:46">
      <c r="A26" s="195">
        <v>16</v>
      </c>
      <c r="B26" s="341">
        <v>46.765650294982201</v>
      </c>
      <c r="C26" s="342">
        <v>46.907229153157502</v>
      </c>
      <c r="D26" s="342"/>
      <c r="E26" s="343">
        <v>60.921965058910402</v>
      </c>
      <c r="P26" s="1"/>
      <c r="AE26" s="1"/>
      <c r="AT26" s="1"/>
    </row>
    <row r="27" spans="1:46">
      <c r="A27" s="195">
        <v>17</v>
      </c>
      <c r="B27" s="341">
        <v>55.978196702898003</v>
      </c>
      <c r="C27" s="342">
        <v>55.5436276851106</v>
      </c>
      <c r="D27" s="342"/>
      <c r="E27" s="343">
        <v>71.815147142240093</v>
      </c>
      <c r="P27" s="1"/>
      <c r="AE27" s="1"/>
      <c r="AT27" s="1"/>
    </row>
    <row r="28" spans="1:46">
      <c r="A28" s="195">
        <v>18</v>
      </c>
      <c r="B28" s="341">
        <v>66.320215733082307</v>
      </c>
      <c r="C28" s="342">
        <v>65.137694073023297</v>
      </c>
      <c r="D28" s="342"/>
      <c r="E28" s="343">
        <v>83.863601029214905</v>
      </c>
      <c r="P28" s="1"/>
      <c r="AE28" s="1"/>
      <c r="AT28" s="1"/>
    </row>
    <row r="29" spans="1:46">
      <c r="A29" s="195">
        <v>19</v>
      </c>
      <c r="B29" s="341">
        <v>77.855827072084494</v>
      </c>
      <c r="C29" s="342">
        <v>75.733530749012104</v>
      </c>
      <c r="D29" s="342"/>
      <c r="E29" s="343">
        <v>97.115419500896195</v>
      </c>
      <c r="P29" s="1"/>
      <c r="AE29" s="1"/>
      <c r="AT29" s="1"/>
    </row>
    <row r="30" spans="1:46">
      <c r="A30" s="195">
        <v>20</v>
      </c>
      <c r="B30" s="341">
        <v>90.649029317628703</v>
      </c>
      <c r="C30" s="342">
        <v>87.374722171445796</v>
      </c>
      <c r="D30" s="342"/>
      <c r="E30" s="343">
        <v>111.617934834236</v>
      </c>
      <c r="P30" s="1"/>
      <c r="AE30" s="1"/>
      <c r="AT30" s="1"/>
    </row>
    <row r="31" spans="1:46">
      <c r="A31" s="195">
        <v>21</v>
      </c>
      <c r="B31" s="341">
        <v>104.763706575079</v>
      </c>
      <c r="C31" s="342">
        <v>100.10436775877101</v>
      </c>
      <c r="D31" s="342"/>
      <c r="E31" s="343">
        <v>127.417770015618</v>
      </c>
      <c r="P31" s="1"/>
      <c r="AE31" s="1"/>
      <c r="AT31" s="1"/>
    </row>
    <row r="32" spans="1:46">
      <c r="A32" s="195">
        <v>22</v>
      </c>
      <c r="B32" s="341">
        <v>120.263634381836</v>
      </c>
      <c r="C32" s="342">
        <v>113.965111189742</v>
      </c>
      <c r="D32" s="342"/>
      <c r="E32" s="343">
        <v>144.56088412535101</v>
      </c>
      <c r="P32" s="1"/>
      <c r="AE32" s="1"/>
      <c r="AT32" s="1"/>
    </row>
    <row r="33" spans="1:46">
      <c r="A33" s="195">
        <v>23</v>
      </c>
      <c r="B33" s="341">
        <v>137.21248505700501</v>
      </c>
      <c r="C33" s="342">
        <v>128.99916662490699</v>
      </c>
      <c r="D33" s="342"/>
      <c r="E33" s="343">
        <v>163.092612802145</v>
      </c>
      <c r="P33" s="1"/>
      <c r="AE33" s="1"/>
      <c r="AT33" s="1"/>
    </row>
    <row r="34" spans="1:46">
      <c r="A34" s="195">
        <v>24</v>
      </c>
      <c r="B34" s="341">
        <v>155.673832555769</v>
      </c>
      <c r="C34" s="342">
        <v>145.24834229806001</v>
      </c>
      <c r="D34" s="342"/>
      <c r="E34" s="343">
        <v>183.057704519949</v>
      </c>
      <c r="P34" s="1"/>
      <c r="AE34" s="1"/>
      <c r="AT34" s="1"/>
    </row>
    <row r="35" spans="1:46">
      <c r="A35" s="195">
        <v>25</v>
      </c>
      <c r="B35" s="341">
        <v>175.71115689393099</v>
      </c>
      <c r="C35" s="342">
        <v>162.75406184429201</v>
      </c>
      <c r="D35" s="342"/>
      <c r="E35" s="343">
        <v>204.50035327344699</v>
      </c>
      <c r="P35" s="1"/>
      <c r="AE35" s="1"/>
      <c r="AT35" s="1"/>
    </row>
    <row r="36" spans="1:46">
      <c r="A36" s="195">
        <v>26</v>
      </c>
      <c r="B36" s="341">
        <v>197.38784819705799</v>
      </c>
      <c r="C36" s="342">
        <v>181.55738366702101</v>
      </c>
      <c r="D36" s="342"/>
      <c r="E36" s="343">
        <v>227.46422816228301</v>
      </c>
      <c r="P36" s="1"/>
      <c r="AE36" s="1"/>
      <c r="AT36" s="1"/>
    </row>
    <row r="37" spans="1:46">
      <c r="A37" s="195">
        <v>27</v>
      </c>
      <c r="B37" s="341">
        <v>220.76721041986801</v>
      </c>
      <c r="C37" s="342">
        <v>201.69901859547201</v>
      </c>
      <c r="D37" s="342"/>
      <c r="E37" s="343">
        <v>251.99250028031699</v>
      </c>
      <c r="P37" s="1"/>
      <c r="AE37" s="1"/>
      <c r="AT37" s="1"/>
    </row>
    <row r="38" spans="1:46">
      <c r="A38" s="195">
        <v>28</v>
      </c>
      <c r="B38" s="341">
        <v>245.912464774375</v>
      </c>
      <c r="C38" s="342">
        <v>223.21934604342201</v>
      </c>
      <c r="D38" s="342"/>
      <c r="E38" s="343">
        <v>278.12786724939502</v>
      </c>
      <c r="P38" s="1"/>
      <c r="AE38" s="1"/>
      <c r="AT38" s="1"/>
    </row>
    <row r="39" spans="1:46">
      <c r="A39" s="195">
        <v>29</v>
      </c>
      <c r="B39" s="341">
        <v>272.886752899584</v>
      </c>
      <c r="C39" s="342">
        <v>246.15842884715801</v>
      </c>
      <c r="D39" s="342"/>
      <c r="E39" s="343">
        <v>305.91257568341598</v>
      </c>
      <c r="P39" s="1"/>
      <c r="AE39" s="1"/>
      <c r="AT39" s="1"/>
    </row>
    <row r="40" spans="1:46">
      <c r="A40" s="195">
        <v>30</v>
      </c>
      <c r="B40" s="341">
        <v>301.75313980076601</v>
      </c>
      <c r="C40" s="342">
        <v>270.55602693389397</v>
      </c>
      <c r="D40" s="342"/>
      <c r="E40" s="343">
        <v>335.38844182479397</v>
      </c>
      <c r="P40" s="1"/>
      <c r="AE40" s="1"/>
      <c r="AT40" s="1"/>
    </row>
    <row r="41" spans="1:46">
      <c r="A41" s="195">
        <v>31</v>
      </c>
      <c r="B41" s="341">
        <v>332.57461658243699</v>
      </c>
      <c r="C41" s="342">
        <v>296.451609949935</v>
      </c>
      <c r="D41" s="342"/>
      <c r="E41" s="343">
        <v>366.59687055978799</v>
      </c>
      <c r="P41" s="1"/>
      <c r="AE41" s="1"/>
      <c r="AT41" s="1"/>
    </row>
    <row r="42" spans="1:46">
      <c r="A42" s="195">
        <v>32</v>
      </c>
      <c r="B42" s="341">
        <v>365.41410299594099</v>
      </c>
      <c r="C42" s="342">
        <v>323.884368959749</v>
      </c>
      <c r="D42" s="342"/>
      <c r="E42" s="343">
        <v>399.57887298971701</v>
      </c>
      <c r="P42" s="1"/>
      <c r="AE42" s="1"/>
      <c r="AT42" s="1"/>
    </row>
    <row r="43" spans="1:46">
      <c r="A43" s="195">
        <v>33</v>
      </c>
      <c r="B43" s="341">
        <v>400.334449819783</v>
      </c>
      <c r="C43" s="342">
        <v>352.89322731205903</v>
      </c>
      <c r="D43" s="342"/>
      <c r="E43" s="343">
        <v>434.375082710676</v>
      </c>
      <c r="P43" s="1"/>
      <c r="AE43" s="1"/>
      <c r="AT43" s="1"/>
    </row>
    <row r="44" spans="1:46">
      <c r="A44" s="195">
        <v>34</v>
      </c>
      <c r="B44" s="341">
        <v>437.39844108859899</v>
      </c>
      <c r="C44" s="342">
        <v>383.51685075639102</v>
      </c>
      <c r="D44" s="342"/>
      <c r="E44" s="343">
        <v>471.02577093399202</v>
      </c>
      <c r="P44" s="1"/>
      <c r="AE44" s="1"/>
      <c r="AT44" s="1"/>
    </row>
    <row r="45" spans="1:46">
      <c r="A45" s="195">
        <v>35</v>
      </c>
      <c r="B45" s="341">
        <v>476.66879618467402</v>
      </c>
      <c r="C45" s="342">
        <v>415.79365688290699</v>
      </c>
      <c r="D45" s="342"/>
      <c r="E45" s="343">
        <v>509.57086056250898</v>
      </c>
      <c r="P45" s="1"/>
      <c r="AE45" s="1"/>
      <c r="AT45" s="1"/>
    </row>
    <row r="46" spans="1:46">
      <c r="A46" s="195">
        <v>36</v>
      </c>
      <c r="B46" s="341">
        <v>518.20817180429106</v>
      </c>
      <c r="C46" s="342">
        <v>449.76182394935199</v>
      </c>
      <c r="D46" s="342"/>
      <c r="E46" s="343">
        <v>550.04993932335105</v>
      </c>
      <c r="P46" s="1"/>
      <c r="AE46" s="1"/>
      <c r="AT46" s="1"/>
    </row>
    <row r="47" spans="1:46">
      <c r="A47" s="195">
        <v>37</v>
      </c>
      <c r="B47" s="341">
        <v>562.07916380976906</v>
      </c>
      <c r="C47" s="342">
        <v>485.45929915124299</v>
      </c>
      <c r="D47" s="342"/>
      <c r="E47" s="343">
        <v>592.50227204548003</v>
      </c>
      <c r="P47" s="1"/>
      <c r="AE47" s="1"/>
      <c r="AT47" s="1"/>
    </row>
    <row r="48" spans="1:46">
      <c r="A48" s="195">
        <v>38</v>
      </c>
      <c r="B48" s="341">
        <v>608.344308976825</v>
      </c>
      <c r="C48" s="342">
        <v>522.92380638489306</v>
      </c>
      <c r="D48" s="342"/>
      <c r="E48" s="343">
        <v>636.96681215991202</v>
      </c>
      <c r="P48" s="1"/>
      <c r="AE48" s="1"/>
      <c r="AT48" s="1"/>
    </row>
    <row r="49" spans="1:46">
      <c r="A49" s="195">
        <v>39</v>
      </c>
      <c r="B49" s="341">
        <v>657.06608664585201</v>
      </c>
      <c r="C49" s="342">
        <v>562.19285354723297</v>
      </c>
      <c r="D49" s="342"/>
      <c r="E49" s="343">
        <v>683.48221249142705</v>
      </c>
      <c r="P49" s="1"/>
      <c r="AE49" s="1"/>
      <c r="AT49" s="1"/>
    </row>
    <row r="50" spans="1:46">
      <c r="A50" s="195">
        <v>40</v>
      </c>
      <c r="B50" s="341">
        <v>708.30692028478302</v>
      </c>
      <c r="C50" s="342">
        <v>603.30373941150197</v>
      </c>
      <c r="D50" s="342"/>
      <c r="E50" s="343">
        <v>732.08683540289803</v>
      </c>
      <c r="P50" s="1"/>
      <c r="AE50" s="1"/>
      <c r="AT50" s="1"/>
    </row>
    <row r="51" spans="1:46">
      <c r="A51" s="195">
        <v>41</v>
      </c>
      <c r="B51" s="341">
        <v>762.12917897043701</v>
      </c>
      <c r="C51" s="342">
        <v>646.29356011368395</v>
      </c>
      <c r="D51" s="342"/>
      <c r="E51" s="343">
        <v>782.81876234662695</v>
      </c>
      <c r="P51" s="1"/>
      <c r="AE51" s="1"/>
      <c r="AT51" s="1"/>
    </row>
    <row r="52" spans="1:46">
      <c r="A52" s="195">
        <v>42</v>
      </c>
      <c r="B52" s="341">
        <v>818.59517879450698</v>
      </c>
      <c r="C52" s="342">
        <v>691.19921528090504</v>
      </c>
      <c r="D52" s="342"/>
      <c r="E52" s="343">
        <v>835.71580287128097</v>
      </c>
      <c r="P52" s="1"/>
      <c r="AE52" s="1"/>
      <c r="AT52" s="1"/>
    </row>
    <row r="53" spans="1:46">
      <c r="A53" s="195">
        <v>43</v>
      </c>
      <c r="B53" s="341">
        <v>877.76718419979795</v>
      </c>
      <c r="C53" s="342">
        <v>738.05741382977499</v>
      </c>
      <c r="D53" s="342"/>
      <c r="E53" s="343">
        <v>890.81550312796503</v>
      </c>
      <c r="P53" s="1"/>
      <c r="AE53" s="1"/>
      <c r="AT53" s="1"/>
    </row>
    <row r="54" spans="1:46">
      <c r="A54" s="195">
        <v>44</v>
      </c>
      <c r="B54" s="341">
        <v>939.70740925173197</v>
      </c>
      <c r="C54" s="342">
        <v>786.90467945989303</v>
      </c>
      <c r="D54" s="342"/>
      <c r="E54" s="343">
        <v>948.15515391449901</v>
      </c>
      <c r="P54" s="1"/>
      <c r="AE54" s="1"/>
      <c r="AT54" s="1"/>
    </row>
    <row r="55" spans="1:46">
      <c r="A55" s="195">
        <v>45</v>
      </c>
      <c r="B55" s="341">
        <v>1004.47801884971</v>
      </c>
      <c r="C55" s="342">
        <v>837.777355865245</v>
      </c>
      <c r="D55" s="342"/>
      <c r="E55" s="343">
        <v>1007.77179829313</v>
      </c>
      <c r="P55" s="1"/>
      <c r="AE55" s="1"/>
      <c r="AT55" s="1"/>
    </row>
    <row r="56" spans="1:46">
      <c r="A56" s="195">
        <v>46</v>
      </c>
      <c r="B56" s="341">
        <v>1072.1411298824401</v>
      </c>
      <c r="C56" s="342">
        <v>890.71161168404296</v>
      </c>
      <c r="D56" s="342"/>
      <c r="E56" s="343">
        <v>1069.7022388134201</v>
      </c>
      <c r="P56" s="1"/>
      <c r="AE56" s="1"/>
      <c r="AT56" s="1"/>
    </row>
    <row r="57" spans="1:46">
      <c r="A57" s="195">
        <v>47</v>
      </c>
      <c r="B57" s="341">
        <v>1142.75881233109</v>
      </c>
      <c r="C57" s="342">
        <v>945.74344520567001</v>
      </c>
      <c r="D57" s="342"/>
      <c r="E57" s="343">
        <v>1133.9830443691501</v>
      </c>
      <c r="P57" s="1"/>
      <c r="AE57" s="1"/>
      <c r="AT57" s="1"/>
    </row>
    <row r="58" spans="1:46">
      <c r="A58" s="195">
        <v>48</v>
      </c>
      <c r="B58" s="341">
        <v>1216.3930903236101</v>
      </c>
      <c r="C58" s="342">
        <v>1002.90868885164</v>
      </c>
      <c r="D58" s="342"/>
      <c r="E58" s="343">
        <v>1200.6505567152201</v>
      </c>
      <c r="P58" s="1"/>
      <c r="AE58" s="1"/>
      <c r="AT58" s="1"/>
    </row>
    <row r="59" spans="1:46">
      <c r="A59" s="195">
        <v>49</v>
      </c>
      <c r="B59" s="341">
        <v>1293.1059431434101</v>
      </c>
      <c r="C59" s="342">
        <v>1062.2430134460201</v>
      </c>
      <c r="D59" s="342"/>
      <c r="E59" s="343">
        <v>1269.7408966683299</v>
      </c>
      <c r="P59" s="1"/>
      <c r="AE59" s="1"/>
      <c r="AT59" s="1"/>
    </row>
    <row r="60" spans="1:46">
      <c r="A60" s="195">
        <v>50</v>
      </c>
      <c r="B60" s="341">
        <v>1372.9593061953799</v>
      </c>
      <c r="C60" s="342">
        <v>1123.7819322893399</v>
      </c>
      <c r="D60" s="342"/>
      <c r="E60" s="343">
        <v>1341.2899700130599</v>
      </c>
      <c r="P60" s="1"/>
      <c r="AE60" s="1"/>
      <c r="AT60" s="1"/>
    </row>
    <row r="61" spans="1:46">
      <c r="A61" s="195">
        <v>51</v>
      </c>
      <c r="B61" s="341">
        <v>1456.01507193169</v>
      </c>
      <c r="C61" s="342">
        <v>1187.56080504893</v>
      </c>
      <c r="D61" s="342"/>
      <c r="E61" s="343">
        <v>1415.3334731330201</v>
      </c>
      <c r="P61" s="1"/>
      <c r="AE61" s="1"/>
      <c r="AT61" s="1"/>
    </row>
    <row r="62" spans="1:46">
      <c r="A62" s="195">
        <v>52</v>
      </c>
      <c r="B62" s="341">
        <v>1542.3350907400099</v>
      </c>
      <c r="C62" s="342">
        <v>1253.6148414773199</v>
      </c>
      <c r="D62" s="342"/>
      <c r="E62" s="343">
        <v>1491.90689838504</v>
      </c>
      <c r="P62" s="1"/>
      <c r="AE62" s="1"/>
      <c r="AT62" s="1"/>
    </row>
    <row r="63" spans="1:46">
      <c r="A63" s="195">
        <v>53</v>
      </c>
      <c r="B63" s="341">
        <v>1631.98117179627</v>
      </c>
      <c r="C63" s="342">
        <v>1321.9791049697501</v>
      </c>
      <c r="D63" s="342"/>
      <c r="E63" s="343">
        <v>1571.0455392331401</v>
      </c>
      <c r="P63" s="1"/>
      <c r="AE63" s="1"/>
      <c r="AT63" s="1"/>
    </row>
    <row r="64" spans="1:46">
      <c r="A64" s="195">
        <v>54</v>
      </c>
      <c r="B64" s="341">
        <v>1725.01508388408</v>
      </c>
      <c r="C64" s="342">
        <v>1392.68851597042</v>
      </c>
      <c r="D64" s="342"/>
      <c r="E64" s="343">
        <v>1652.7844951571001</v>
      </c>
      <c r="P64" s="1"/>
      <c r="AE64" s="1"/>
      <c r="AT64" s="1"/>
    </row>
    <row r="65" spans="1:46">
      <c r="A65" s="195">
        <v>55</v>
      </c>
      <c r="B65" s="341">
        <v>1821.49855618266</v>
      </c>
      <c r="C65" s="342">
        <v>1465.77785523685</v>
      </c>
      <c r="D65" s="342"/>
      <c r="E65" s="343">
        <v>1737.1586763499299</v>
      </c>
      <c r="P65" s="1"/>
      <c r="AE65" s="1"/>
      <c r="AT65" s="1"/>
    </row>
    <row r="66" spans="1:46">
      <c r="A66" s="195">
        <v>56</v>
      </c>
      <c r="B66" s="341">
        <v>1921.4932790251501</v>
      </c>
      <c r="C66" s="342">
        <v>1541.2817669707799</v>
      </c>
      <c r="D66" s="342"/>
      <c r="E66" s="343">
        <v>1824.2028082167501</v>
      </c>
      <c r="P66" s="1"/>
      <c r="AE66" s="1"/>
      <c r="AT66" s="1"/>
    </row>
    <row r="67" spans="1:46">
      <c r="A67" s="195">
        <v>57</v>
      </c>
      <c r="B67" s="341">
        <v>2025.06090462885</v>
      </c>
      <c r="C67" s="342">
        <v>1619.2347618231599</v>
      </c>
      <c r="D67" s="342"/>
      <c r="E67" s="343">
        <v>1913.95143568713</v>
      </c>
      <c r="P67" s="1"/>
      <c r="AE67" s="1"/>
      <c r="AT67" s="1"/>
    </row>
    <row r="68" spans="1:46">
      <c r="A68" s="195">
        <v>58</v>
      </c>
      <c r="B68" s="341">
        <v>2132.2630477989001</v>
      </c>
      <c r="C68" s="342">
        <v>1699.6712197808099</v>
      </c>
      <c r="D68" s="342"/>
      <c r="E68" s="343">
        <v>2006.43892735175</v>
      </c>
      <c r="P68" s="1"/>
      <c r="AE68" s="1"/>
      <c r="AT68" s="1"/>
    </row>
    <row r="69" spans="1:46">
      <c r="A69" s="195">
        <v>59</v>
      </c>
      <c r="B69" s="341">
        <v>2243.1612866069199</v>
      </c>
      <c r="C69" s="342">
        <v>1782.62539294103</v>
      </c>
      <c r="D69" s="342"/>
      <c r="E69" s="343">
        <v>2101.69947943341</v>
      </c>
      <c r="P69" s="1"/>
      <c r="AE69" s="1"/>
      <c r="AT69" s="1"/>
    </row>
    <row r="70" spans="1:46">
      <c r="A70" s="195">
        <v>60</v>
      </c>
      <c r="B70" s="341">
        <v>2357.81716304577</v>
      </c>
      <c r="C70" s="342">
        <v>1868.13140818067</v>
      </c>
      <c r="D70" s="342"/>
      <c r="E70" s="343">
        <v>2199.7671196019201</v>
      </c>
      <c r="P70" s="1"/>
      <c r="AE70" s="1"/>
      <c r="AT70" s="1"/>
    </row>
    <row r="71" spans="1:46">
      <c r="A71" s="195">
        <v>61</v>
      </c>
      <c r="B71" s="341">
        <v>2476.2921836618402</v>
      </c>
      <c r="C71" s="342">
        <v>1956.22326972515</v>
      </c>
      <c r="D71" s="342"/>
      <c r="E71" s="343">
        <v>2300.6757106413902</v>
      </c>
      <c r="P71" s="1"/>
      <c r="AE71" s="1"/>
      <c r="AT71" s="1"/>
    </row>
    <row r="72" spans="1:46">
      <c r="A72" s="195">
        <v>62</v>
      </c>
      <c r="B72" s="341">
        <v>2598.6478201657701</v>
      </c>
      <c r="C72" s="342">
        <v>2046.93486162299</v>
      </c>
      <c r="D72" s="342"/>
      <c r="E72" s="343">
        <v>2404.45895397808</v>
      </c>
      <c r="P72" s="1"/>
      <c r="AE72" s="1"/>
      <c r="AT72" s="1"/>
    </row>
    <row r="73" spans="1:46">
      <c r="A73" s="195">
        <v>63</v>
      </c>
      <c r="B73" s="341">
        <v>2724.9455100229602</v>
      </c>
      <c r="C73" s="342">
        <v>2140.2999501306799</v>
      </c>
      <c r="D73" s="342"/>
      <c r="E73" s="343">
        <v>2511.1503930762901</v>
      </c>
      <c r="P73" s="1"/>
      <c r="AE73" s="1"/>
      <c r="AT73" s="1"/>
    </row>
    <row r="74" spans="1:46">
      <c r="A74" s="195">
        <v>64</v>
      </c>
      <c r="B74" s="341">
        <v>2855.2466570245701</v>
      </c>
      <c r="C74" s="342">
        <v>2236.3521860125402</v>
      </c>
      <c r="D74" s="342"/>
      <c r="E74" s="343">
        <v>2620.7834167092401</v>
      </c>
      <c r="P74" s="1"/>
      <c r="AE74" s="1"/>
      <c r="AT74" s="1"/>
    </row>
    <row r="75" spans="1:46">
      <c r="A75" s="195">
        <v>65</v>
      </c>
      <c r="B75" s="341">
        <v>2989.6126318401698</v>
      </c>
      <c r="C75" s="342">
        <v>2335.1251067599901</v>
      </c>
      <c r="D75" s="342"/>
      <c r="E75" s="343">
        <v>2733.3912621115101</v>
      </c>
      <c r="P75" s="1"/>
      <c r="AE75" s="1"/>
      <c r="AT75" s="1"/>
    </row>
    <row r="76" spans="1:46">
      <c r="A76" s="195">
        <v>66</v>
      </c>
      <c r="B76" s="341">
        <v>3128.1047725528101</v>
      </c>
      <c r="C76" s="342">
        <v>2436.65213873418</v>
      </c>
      <c r="D76" s="342"/>
      <c r="E76" s="343">
        <v>2849.0070180190501</v>
      </c>
      <c r="P76" s="1"/>
      <c r="AE76" s="1"/>
      <c r="AT76" s="1"/>
    </row>
    <row r="77" spans="1:46">
      <c r="A77" s="195">
        <v>67</v>
      </c>
      <c r="B77" s="341">
        <v>3270.7843851773</v>
      </c>
      <c r="C77" s="342">
        <v>2540.96659923579</v>
      </c>
      <c r="D77" s="342"/>
      <c r="E77" s="343">
        <v>2967.6636276024501</v>
      </c>
      <c r="P77" s="1"/>
      <c r="AE77" s="1"/>
      <c r="AT77" s="1"/>
    </row>
    <row r="78" spans="1:46">
      <c r="A78" s="195">
        <v>68</v>
      </c>
      <c r="B78" s="341">
        <v>3417.7127441626199</v>
      </c>
      <c r="C78" s="342">
        <v>2648.1016985055198</v>
      </c>
      <c r="D78" s="342"/>
      <c r="E78" s="343">
        <v>3089.3938912988001</v>
      </c>
      <c r="P78" s="1"/>
      <c r="AE78" s="1"/>
      <c r="AT78" s="1"/>
    </row>
    <row r="79" spans="1:46">
      <c r="A79" s="195">
        <v>69</v>
      </c>
      <c r="B79" s="341">
        <v>3568.95109287895</v>
      </c>
      <c r="C79" s="342">
        <v>2758.0905416586902</v>
      </c>
      <c r="D79" s="342"/>
      <c r="E79" s="343">
        <v>3214.2304695471298</v>
      </c>
      <c r="P79" s="1"/>
      <c r="AE79" s="1"/>
      <c r="AT79" s="1"/>
    </row>
    <row r="80" spans="1:46">
      <c r="A80" s="195">
        <v>70</v>
      </c>
      <c r="B80" s="341">
        <v>3724.5606440902302</v>
      </c>
      <c r="C80" s="342">
        <v>2870.9661305569098</v>
      </c>
      <c r="D80" s="342"/>
      <c r="E80" s="343">
        <v>3342.2058854319098</v>
      </c>
      <c r="P80" s="1"/>
      <c r="AE80" s="1"/>
      <c r="AT80" s="1"/>
    </row>
    <row r="81" spans="1:46">
      <c r="A81" s="195">
        <v>71</v>
      </c>
      <c r="B81" s="341">
        <v>3884.6025804127598</v>
      </c>
      <c r="C81" s="342">
        <v>2986.7613656198</v>
      </c>
      <c r="D81" s="342"/>
      <c r="E81" s="343">
        <v>3473.3525272392899</v>
      </c>
      <c r="P81" s="1"/>
      <c r="AE81" s="1"/>
      <c r="AT81" s="1"/>
    </row>
    <row r="82" spans="1:46">
      <c r="A82" s="195">
        <v>72</v>
      </c>
      <c r="B82" s="341">
        <v>4049.1380547604399</v>
      </c>
      <c r="C82" s="342">
        <v>3105.5090475796301</v>
      </c>
      <c r="D82" s="342"/>
      <c r="E82" s="343">
        <v>3607.7026509298498</v>
      </c>
      <c r="P82" s="1"/>
      <c r="AE82" s="1"/>
      <c r="AT82" s="1"/>
    </row>
    <row r="83" spans="1:46">
      <c r="A83" s="195">
        <v>73</v>
      </c>
      <c r="B83" s="341">
        <v>4218.2281907773404</v>
      </c>
      <c r="C83" s="342">
        <v>3227.2418791812302</v>
      </c>
      <c r="D83" s="342"/>
      <c r="E83" s="343">
        <v>3745.28838253192</v>
      </c>
      <c r="P83" s="1"/>
      <c r="AE83" s="1"/>
      <c r="AT83" s="1"/>
    </row>
    <row r="84" spans="1:46">
      <c r="A84" s="195">
        <v>74</v>
      </c>
      <c r="B84" s="341">
        <v>4391.9340832579601</v>
      </c>
      <c r="C84" s="342">
        <v>3351.9924668297899</v>
      </c>
      <c r="D84" s="342"/>
      <c r="E84" s="343">
        <v>3886.1417204590398</v>
      </c>
      <c r="P84" s="1"/>
      <c r="AE84" s="1"/>
      <c r="AT84" s="1"/>
    </row>
    <row r="85" spans="1:46">
      <c r="A85" s="195">
        <v>75</v>
      </c>
      <c r="B85" s="341">
        <v>4570.3167985558202</v>
      </c>
      <c r="C85" s="342">
        <v>3479.7933221888102</v>
      </c>
      <c r="D85" s="342"/>
      <c r="E85" s="343">
        <v>4030.2945377549099</v>
      </c>
      <c r="P85" s="1"/>
      <c r="AE85" s="1"/>
      <c r="AT85" s="1"/>
    </row>
    <row r="86" spans="1:46">
      <c r="A86" s="195">
        <v>76</v>
      </c>
      <c r="B86" s="341">
        <v>4753.4373749808401</v>
      </c>
      <c r="C86" s="342">
        <v>3610.6768637302998</v>
      </c>
      <c r="D86" s="342"/>
      <c r="E86" s="343">
        <v>4177.7785842691601</v>
      </c>
      <c r="P86" s="1"/>
      <c r="AE86" s="1"/>
      <c r="AT86" s="1"/>
    </row>
    <row r="87" spans="1:46">
      <c r="A87" s="195">
        <v>77</v>
      </c>
      <c r="B87" s="341">
        <v>4941.3568231858799</v>
      </c>
      <c r="C87" s="342">
        <v>3744.6754182392901</v>
      </c>
      <c r="D87" s="342"/>
      <c r="E87" s="343">
        <v>4328.6254887668301</v>
      </c>
      <c r="P87" s="1"/>
      <c r="AE87" s="1"/>
      <c r="AT87" s="1"/>
    </row>
    <row r="88" spans="1:46">
      <c r="A88" s="195">
        <v>78</v>
      </c>
      <c r="B88" s="341">
        <v>5134.1361265430496</v>
      </c>
      <c r="C88" s="342">
        <v>3881.8212222746401</v>
      </c>
      <c r="D88" s="342"/>
      <c r="E88" s="343">
        <v>4482.8667609745498</v>
      </c>
      <c r="P88" s="1"/>
      <c r="AE88" s="1"/>
      <c r="AT88" s="1"/>
    </row>
    <row r="89" spans="1:46">
      <c r="A89" s="195">
        <v>79</v>
      </c>
      <c r="B89" s="341">
        <v>5331.83624150994</v>
      </c>
      <c r="C89" s="342">
        <v>4022.1464235878898</v>
      </c>
      <c r="D89" s="342"/>
      <c r="E89" s="343">
        <v>4640.53379356603</v>
      </c>
      <c r="P89" s="1"/>
      <c r="AE89" s="1"/>
      <c r="AT89" s="1"/>
    </row>
    <row r="90" spans="1:46">
      <c r="A90" s="195">
        <v>80</v>
      </c>
      <c r="B90" s="341">
        <v>5534.5180979863899</v>
      </c>
      <c r="C90" s="342">
        <v>4165.6830825019697</v>
      </c>
      <c r="D90" s="342"/>
      <c r="E90" s="343">
        <v>4801.6578640894304</v>
      </c>
      <c r="P90" s="1"/>
      <c r="AE90" s="1"/>
      <c r="AT90" s="1"/>
    </row>
    <row r="91" spans="1:46">
      <c r="A91" s="195">
        <v>81</v>
      </c>
      <c r="B91" s="341">
        <v>5742.2425996620595</v>
      </c>
      <c r="C91" s="342">
        <v>4312.4631732512298</v>
      </c>
      <c r="D91" s="342"/>
      <c r="E91" s="343">
        <v>4966.2701368390999</v>
      </c>
      <c r="P91" s="1"/>
      <c r="AE91" s="1"/>
      <c r="AT91" s="1"/>
    </row>
    <row r="92" spans="1:46">
      <c r="A92" s="195">
        <v>82</v>
      </c>
      <c r="B92" s="341">
        <v>5955.0706243551704</v>
      </c>
      <c r="C92" s="342">
        <v>4462.5185852846298</v>
      </c>
      <c r="D92" s="342"/>
      <c r="E92" s="343">
        <v>5134.4016646738301</v>
      </c>
      <c r="P92" s="1"/>
      <c r="AE92" s="1"/>
      <c r="AT92" s="1"/>
    </row>
    <row r="93" spans="1:46">
      <c r="A93" s="195">
        <v>83</v>
      </c>
      <c r="B93" s="341">
        <v>6173.0630243426704</v>
      </c>
      <c r="C93" s="342">
        <v>4615.8811245331799</v>
      </c>
      <c r="D93" s="342"/>
      <c r="E93" s="343">
        <v>5306.0833907838796</v>
      </c>
      <c r="P93" s="1"/>
      <c r="AE93" s="1"/>
      <c r="AT93" s="1"/>
    </row>
    <row r="94" spans="1:46">
      <c r="A94" s="195">
        <v>84</v>
      </c>
      <c r="B94" s="341">
        <v>6396.28062668235</v>
      </c>
      <c r="C94" s="342">
        <v>4772.5825146433799</v>
      </c>
      <c r="D94" s="342"/>
      <c r="E94" s="343">
        <v>5481.34615040888</v>
      </c>
      <c r="P94" s="1"/>
      <c r="AE94" s="1"/>
      <c r="AT94" s="1"/>
    </row>
    <row r="95" spans="1:46">
      <c r="A95" s="195">
        <v>85</v>
      </c>
      <c r="B95" s="341">
        <v>6624.7842335268997</v>
      </c>
      <c r="C95" s="342">
        <v>4932.6543981777404</v>
      </c>
      <c r="D95" s="342"/>
      <c r="E95" s="343">
        <v>5660.2206725083597</v>
      </c>
      <c r="P95" s="1"/>
      <c r="AE95" s="1"/>
      <c r="AT95" s="1"/>
    </row>
    <row r="96" spans="1:46">
      <c r="A96" s="195">
        <v>86</v>
      </c>
      <c r="B96" s="341">
        <v>6858.6346224304898</v>
      </c>
      <c r="C96" s="342">
        <v>5096.1283377837299</v>
      </c>
      <c r="D96" s="342"/>
      <c r="E96" s="343">
        <v>5842.7375813869703</v>
      </c>
      <c r="P96" s="1"/>
      <c r="AE96" s="1"/>
      <c r="AT96" s="1"/>
    </row>
    <row r="97" spans="1:46">
      <c r="A97" s="195">
        <v>87</v>
      </c>
      <c r="B97" s="341">
        <v>7097.8925466479604</v>
      </c>
      <c r="C97" s="342">
        <v>5263.0358173323402</v>
      </c>
      <c r="D97" s="342"/>
      <c r="E97" s="343">
        <v>6028.9273982760296</v>
      </c>
      <c r="P97" s="1"/>
      <c r="AE97" s="1"/>
      <c r="AT97" s="1"/>
    </row>
    <row r="98" spans="1:46">
      <c r="A98" s="195">
        <v>88</v>
      </c>
      <c r="B98" s="341">
        <v>7342.6187354269496</v>
      </c>
      <c r="C98" s="342">
        <v>5433.4082430274002</v>
      </c>
      <c r="D98" s="342"/>
      <c r="E98" s="343">
        <v>6218.8205428730698</v>
      </c>
      <c r="P98" s="1"/>
      <c r="AE98" s="1"/>
      <c r="AT98" s="1"/>
    </row>
    <row r="99" spans="1:46">
      <c r="A99" s="195">
        <v>89</v>
      </c>
      <c r="B99" s="341">
        <v>7592.8738942931504</v>
      </c>
      <c r="C99" s="342">
        <v>5607.2769444866899</v>
      </c>
      <c r="D99" s="342"/>
      <c r="E99" s="343">
        <v>6412.4473348409601</v>
      </c>
      <c r="P99" s="1"/>
      <c r="AE99" s="1"/>
      <c r="AT99" s="1"/>
    </row>
    <row r="100" spans="1:46">
      <c r="A100" s="195">
        <v>90</v>
      </c>
      <c r="B100" s="341">
        <v>7848.71870532908</v>
      </c>
      <c r="C100" s="342">
        <v>5784.6731757959096</v>
      </c>
      <c r="D100" s="342"/>
      <c r="E100" s="343">
        <v>6609.8379952682099</v>
      </c>
      <c r="P100" s="1"/>
      <c r="AE100" s="1"/>
      <c r="AT100" s="1"/>
    </row>
    <row r="101" spans="1:46">
      <c r="A101" s="195">
        <v>91</v>
      </c>
      <c r="B101" s="341">
        <v>8110.2138274463396</v>
      </c>
      <c r="C101" s="342">
        <v>5965.6281165364899</v>
      </c>
      <c r="D101" s="342"/>
      <c r="E101" s="343">
        <v>6811.0226480917399</v>
      </c>
      <c r="P101" s="1"/>
      <c r="AE101" s="1"/>
      <c r="AT101" s="1"/>
    </row>
    <row r="102" spans="1:46">
      <c r="A102" s="195">
        <v>92</v>
      </c>
      <c r="B102" s="341">
        <v>8377.4198966518397</v>
      </c>
      <c r="C102" s="342">
        <v>6150.17287278817</v>
      </c>
      <c r="D102" s="342"/>
      <c r="E102" s="343">
        <v>7016.0313214835796</v>
      </c>
      <c r="P102" s="1"/>
      <c r="AE102" s="1"/>
      <c r="AT102" s="1"/>
    </row>
    <row r="103" spans="1:46">
      <c r="A103" s="195">
        <v>93</v>
      </c>
      <c r="B103" s="341">
        <v>8650.3975263080101</v>
      </c>
      <c r="C103" s="342">
        <v>6338.33847810715</v>
      </c>
      <c r="D103" s="342"/>
      <c r="E103" s="343">
        <v>7224.8939492027903</v>
      </c>
      <c r="P103" s="1"/>
      <c r="AE103" s="1"/>
      <c r="AT103" s="1"/>
    </row>
    <row r="104" spans="1:46">
      <c r="A104" s="195">
        <v>94</v>
      </c>
      <c r="B104" s="341">
        <v>8929.2073073872707</v>
      </c>
      <c r="C104" s="342">
        <v>6530.1558944809003</v>
      </c>
      <c r="D104" s="342"/>
      <c r="E104" s="343">
        <v>7437.6403719137998</v>
      </c>
      <c r="P104" s="1"/>
      <c r="AE104" s="1"/>
      <c r="AT104" s="1"/>
    </row>
    <row r="105" spans="1:46">
      <c r="A105" s="195">
        <v>95</v>
      </c>
      <c r="B105" s="341">
        <v>9213.9098087209404</v>
      </c>
      <c r="C105" s="342">
        <v>6725.6560132600898</v>
      </c>
      <c r="D105" s="342"/>
      <c r="E105" s="343">
        <v>7654.3003384724097</v>
      </c>
      <c r="P105" s="1"/>
      <c r="AE105" s="1"/>
      <c r="AT105" s="1"/>
    </row>
    <row r="106" spans="1:46">
      <c r="A106" s="195">
        <v>96</v>
      </c>
      <c r="B106" s="341">
        <v>9504.5655772427708</v>
      </c>
      <c r="C106" s="342">
        <v>6924.8696560687504</v>
      </c>
      <c r="D106" s="342"/>
      <c r="E106" s="343">
        <v>7874.9035071805201</v>
      </c>
      <c r="P106" s="1"/>
      <c r="AE106" s="1"/>
      <c r="AT106" s="1"/>
    </row>
    <row r="107" spans="1:46">
      <c r="A107" s="195">
        <v>97</v>
      </c>
      <c r="B107" s="341">
        <v>9801.2351382272609</v>
      </c>
      <c r="C107" s="342">
        <v>7127.8275756932098</v>
      </c>
      <c r="D107" s="342"/>
      <c r="E107" s="343">
        <v>8099.4794470107699</v>
      </c>
      <c r="P107" s="1"/>
      <c r="AE107" s="1"/>
      <c r="AT107" s="1"/>
    </row>
    <row r="108" spans="1:46">
      <c r="A108" s="195">
        <v>98</v>
      </c>
      <c r="B108" s="341">
        <v>10103.978995522901</v>
      </c>
      <c r="C108" s="342">
        <v>7334.5604569505504</v>
      </c>
      <c r="D108" s="342"/>
      <c r="E108" s="343">
        <v>8328.0576388019308</v>
      </c>
      <c r="P108" s="1"/>
      <c r="AE108" s="1"/>
      <c r="AT108" s="1"/>
    </row>
    <row r="109" spans="1:46">
      <c r="A109" s="195">
        <v>99</v>
      </c>
      <c r="B109" s="341">
        <v>10412.8576317806</v>
      </c>
      <c r="C109" s="342">
        <v>7545.0989175372897</v>
      </c>
      <c r="D109" s="342"/>
      <c r="E109" s="343">
        <v>8560.6674764262807</v>
      </c>
      <c r="P109" s="1"/>
      <c r="AE109" s="1"/>
      <c r="AT109" s="1"/>
    </row>
    <row r="110" spans="1:46">
      <c r="A110" s="325">
        <v>100</v>
      </c>
      <c r="B110" s="344">
        <v>10727.9315086771</v>
      </c>
      <c r="C110" s="345">
        <v>7759.4735088589496</v>
      </c>
      <c r="D110" s="345"/>
      <c r="E110" s="346">
        <v>8797.3382679297301</v>
      </c>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1:J5 A111:J111 A11:A110 F11:J110 A7:J10 A6:F6 J6">
    <cfRule type="expression" dxfId="5" priority="3">
      <formula>CELL("Protect",A1)=1</formula>
    </cfRule>
  </conditionalFormatting>
  <conditionalFormatting sqref="B11:E110">
    <cfRule type="expression" dxfId="4" priority="2">
      <formula>CELL("Protect",B11)=1</formula>
    </cfRule>
  </conditionalFormatting>
  <conditionalFormatting sqref="G6:I6">
    <cfRule type="expression" dxfId="0" priority="1">
      <formula>CELL("Protect",G6)=1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topLeftCell="A82" workbookViewId="0">
      <selection activeCell="G6" sqref="G6:I6"/>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2" t="s">
        <v>106</v>
      </c>
      <c r="B3" s="377" t="str">
        <f>'START HERE'!F6</f>
        <v>Chile</v>
      </c>
      <c r="C3" s="388"/>
      <c r="D3" s="378"/>
      <c r="E3" s="177"/>
      <c r="F3" s="30" t="s">
        <v>39</v>
      </c>
      <c r="G3" s="374" t="str">
        <f>'LEN F2'!F3</f>
        <v>Fleet 2 South-Central Chile</v>
      </c>
      <c r="H3" s="375"/>
      <c r="I3" s="376"/>
      <c r="J3" s="177"/>
      <c r="K3" s="178"/>
    </row>
    <row r="4" spans="1:59" ht="15.75">
      <c r="A4" s="12" t="s">
        <v>19</v>
      </c>
      <c r="B4" s="377" t="str">
        <f>'START HERE'!F5</f>
        <v>Jack mackerel</v>
      </c>
      <c r="C4" s="388"/>
      <c r="D4" s="378"/>
      <c r="E4" s="177"/>
      <c r="F4" s="323"/>
      <c r="G4" s="314"/>
      <c r="H4" s="315"/>
      <c r="I4" s="333"/>
      <c r="J4" s="177"/>
      <c r="K4" s="178"/>
    </row>
    <row r="5" spans="1:59" ht="18">
      <c r="A5" s="12" t="s">
        <v>13</v>
      </c>
      <c r="B5" s="389">
        <f>'START HERE'!$K$3</f>
        <v>2019</v>
      </c>
      <c r="C5" s="390"/>
      <c r="D5" s="391"/>
      <c r="E5" s="177"/>
      <c r="F5" s="12" t="s">
        <v>40</v>
      </c>
      <c r="G5" s="321" t="s">
        <v>144</v>
      </c>
      <c r="H5" s="331"/>
      <c r="I5" s="332"/>
      <c r="J5" s="177"/>
      <c r="K5" s="178"/>
    </row>
    <row r="6" spans="1:59" ht="16.5" thickBot="1">
      <c r="A6" s="12"/>
      <c r="B6" s="11"/>
      <c r="C6" s="103"/>
      <c r="D6" s="6"/>
      <c r="F6" s="12" t="s">
        <v>14</v>
      </c>
      <c r="G6" s="382">
        <f>'START HERE'!$F8</f>
        <v>42615</v>
      </c>
      <c r="H6" s="383"/>
      <c r="I6" s="384"/>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5" t="str">
        <f>'START HERE'!$F$13</f>
        <v>fork length</v>
      </c>
      <c r="B9" s="27" t="s">
        <v>52</v>
      </c>
      <c r="C9" s="27" t="s">
        <v>31</v>
      </c>
      <c r="D9" s="27" t="s">
        <v>32</v>
      </c>
      <c r="E9" s="27" t="s">
        <v>33</v>
      </c>
      <c r="F9" s="2"/>
      <c r="G9" s="149"/>
      <c r="H9" s="149"/>
      <c r="I9" s="149"/>
      <c r="J9" s="149"/>
      <c r="K9" s="334"/>
      <c r="L9" s="149"/>
      <c r="M9" s="149"/>
      <c r="N9" s="149"/>
      <c r="P9" s="2"/>
      <c r="Q9" s="405"/>
      <c r="R9" s="405"/>
      <c r="S9" s="405"/>
      <c r="T9" s="405"/>
      <c r="U9" s="405"/>
      <c r="V9" s="405"/>
      <c r="W9" s="405"/>
      <c r="X9" s="405"/>
      <c r="Y9" s="405"/>
      <c r="Z9" s="405"/>
      <c r="AA9" s="405"/>
      <c r="AB9" s="405"/>
      <c r="AC9" s="405"/>
      <c r="AE9" s="2"/>
      <c r="AF9" s="405"/>
      <c r="AG9" s="405"/>
      <c r="AH9" s="405"/>
      <c r="AI9" s="405"/>
      <c r="AJ9" s="405"/>
      <c r="AK9" s="405"/>
      <c r="AL9" s="405"/>
      <c r="AM9" s="405"/>
      <c r="AN9" s="405"/>
      <c r="AO9" s="405"/>
      <c r="AP9" s="405"/>
      <c r="AQ9" s="405"/>
      <c r="AR9" s="405"/>
      <c r="AT9" s="2"/>
      <c r="AU9" s="405"/>
      <c r="AV9" s="405"/>
      <c r="AW9" s="405"/>
      <c r="AX9" s="405"/>
      <c r="AY9" s="405"/>
      <c r="AZ9" s="405"/>
      <c r="BA9" s="405"/>
      <c r="BB9" s="405"/>
      <c r="BC9" s="405"/>
      <c r="BD9" s="405"/>
      <c r="BE9" s="405"/>
      <c r="BF9" s="405"/>
      <c r="BG9" s="405"/>
    </row>
    <row r="10" spans="1:59" ht="18">
      <c r="A10" s="28" t="s">
        <v>43</v>
      </c>
      <c r="B10" s="181">
        <f>'START HERE'!$K$3</f>
        <v>2019</v>
      </c>
      <c r="C10" s="181">
        <f>'START HERE'!$K$3</f>
        <v>2019</v>
      </c>
      <c r="D10" s="181">
        <f>'START HERE'!$K$3</f>
        <v>2019</v>
      </c>
      <c r="E10" s="180">
        <f>'START HERE'!$K$3</f>
        <v>2019</v>
      </c>
      <c r="F10" s="324"/>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38">
        <v>7.3449041855893904E-3</v>
      </c>
      <c r="C11" s="339">
        <v>6.9100163001471898E-3</v>
      </c>
      <c r="D11" s="339">
        <v>4.1989348697627103E-3</v>
      </c>
      <c r="E11" s="340">
        <v>7.2757555849516601E-3</v>
      </c>
      <c r="P11" s="1"/>
      <c r="AE11" s="1"/>
      <c r="AT11" s="1"/>
    </row>
    <row r="12" spans="1:59">
      <c r="A12" s="195">
        <v>2</v>
      </c>
      <c r="B12" s="341">
        <v>6.4509818003962299E-2</v>
      </c>
      <c r="C12" s="342">
        <v>6.1093783189075997E-2</v>
      </c>
      <c r="D12" s="342">
        <v>4.0655377457450501E-2</v>
      </c>
      <c r="E12" s="343">
        <v>6.3822150041019404E-2</v>
      </c>
      <c r="P12" s="1"/>
      <c r="AE12" s="1"/>
      <c r="AT12" s="1"/>
    </row>
    <row r="13" spans="1:59">
      <c r="A13" s="195">
        <v>3</v>
      </c>
      <c r="B13" s="341">
        <v>0.22994270962663199</v>
      </c>
      <c r="C13" s="342">
        <v>0.21861226549322699</v>
      </c>
      <c r="D13" s="342">
        <v>0.153418826574301</v>
      </c>
      <c r="E13" s="343">
        <v>0.22732419556786099</v>
      </c>
      <c r="P13" s="1"/>
      <c r="AE13" s="1"/>
      <c r="AT13" s="1"/>
    </row>
    <row r="14" spans="1:59">
      <c r="A14" s="195">
        <v>4</v>
      </c>
      <c r="B14" s="341">
        <v>0.56658555561135504</v>
      </c>
      <c r="C14" s="342">
        <v>0.54015072935129305</v>
      </c>
      <c r="D14" s="342">
        <v>0.39363785518806599</v>
      </c>
      <c r="E14" s="343">
        <v>0.55984107606405398</v>
      </c>
      <c r="P14" s="1"/>
      <c r="AE14" s="1"/>
      <c r="AT14" s="1"/>
    </row>
    <row r="15" spans="1:59">
      <c r="A15" s="195">
        <v>5</v>
      </c>
      <c r="B15" s="341">
        <v>1.14038008280853</v>
      </c>
      <c r="C15" s="342">
        <v>1.089496116284</v>
      </c>
      <c r="D15" s="342">
        <v>0.81754403198136405</v>
      </c>
      <c r="E15" s="343">
        <v>1.1263490541505501</v>
      </c>
      <c r="P15" s="1"/>
      <c r="AE15" s="1"/>
      <c r="AT15" s="1"/>
    </row>
    <row r="16" spans="1:59">
      <c r="A16" s="195">
        <v>6</v>
      </c>
      <c r="B16" s="341">
        <v>2.01957193375718</v>
      </c>
      <c r="C16" s="342">
        <v>1.93282472433986</v>
      </c>
      <c r="D16" s="342">
        <v>1.4854482141109899</v>
      </c>
      <c r="E16" s="343">
        <v>1.9940635371937701</v>
      </c>
      <c r="P16" s="1"/>
      <c r="AE16" s="1"/>
      <c r="AT16" s="1"/>
    </row>
    <row r="17" spans="1:46">
      <c r="A17" s="195">
        <v>7</v>
      </c>
      <c r="B17" s="341">
        <v>3.2742937592108299</v>
      </c>
      <c r="C17" s="342">
        <v>3.1382742297333102</v>
      </c>
      <c r="D17" s="342">
        <v>2.4611140621585199</v>
      </c>
      <c r="E17" s="343">
        <v>3.23203311045053</v>
      </c>
      <c r="P17" s="1"/>
      <c r="AE17" s="1"/>
      <c r="AT17" s="1"/>
    </row>
    <row r="18" spans="1:46">
      <c r="A18" s="195">
        <v>8</v>
      </c>
      <c r="B18" s="341">
        <v>4.9762842581219298</v>
      </c>
      <c r="C18" s="342">
        <v>4.7756546605694998</v>
      </c>
      <c r="D18" s="342">
        <v>3.8113226521935699</v>
      </c>
      <c r="E18" s="343">
        <v>4.9108660589954702</v>
      </c>
      <c r="P18" s="1"/>
      <c r="AE18" s="1"/>
      <c r="AT18" s="1"/>
    </row>
    <row r="19" spans="1:46">
      <c r="A19" s="195">
        <v>9</v>
      </c>
      <c r="B19" s="341">
        <v>7.1986847444756599</v>
      </c>
      <c r="C19" s="342">
        <v>6.9162387682158197</v>
      </c>
      <c r="D19" s="342">
        <v>5.6055492827317197</v>
      </c>
      <c r="E19" s="343">
        <v>7.10253241566501</v>
      </c>
      <c r="P19" s="1"/>
      <c r="AE19" s="1"/>
      <c r="AT19" s="1"/>
    </row>
    <row r="20" spans="1:46">
      <c r="A20" s="195">
        <v>10</v>
      </c>
      <c r="B20" s="341">
        <v>10.015884447023399</v>
      </c>
      <c r="C20" s="342">
        <v>9.6326023879534493</v>
      </c>
      <c r="D20" s="342">
        <v>7.9157124935749801</v>
      </c>
      <c r="E20" s="343">
        <v>9.8802134696824204</v>
      </c>
      <c r="P20" s="1"/>
      <c r="AE20" s="1"/>
      <c r="AT20" s="1"/>
    </row>
    <row r="21" spans="1:46">
      <c r="A21" s="195">
        <v>11</v>
      </c>
      <c r="B21" s="341">
        <v>13.503398578026999</v>
      </c>
      <c r="C21" s="342">
        <v>12.998498459260301</v>
      </c>
      <c r="D21" s="342">
        <v>10.815972622563899</v>
      </c>
      <c r="E21" s="343">
        <v>13.318183180578499</v>
      </c>
      <c r="P21" s="1"/>
      <c r="AE21" s="1"/>
      <c r="AT21" s="1"/>
    </row>
    <row r="22" spans="1:46">
      <c r="A22" s="195">
        <v>12</v>
      </c>
      <c r="B22" s="341">
        <v>17.737769561133</v>
      </c>
      <c r="C22" s="342">
        <v>17.088754862819901</v>
      </c>
      <c r="D22" s="342">
        <v>14.3825659866905</v>
      </c>
      <c r="E22" s="343">
        <v>17.491712135757801</v>
      </c>
      <c r="P22" s="1"/>
      <c r="AE22" s="1"/>
      <c r="AT22" s="1"/>
    </row>
    <row r="23" spans="1:46">
      <c r="A23" s="195">
        <v>13</v>
      </c>
      <c r="B23" s="341">
        <v>22.796485267629901</v>
      </c>
      <c r="C23" s="342">
        <v>21.9791897671921</v>
      </c>
      <c r="D23" s="342">
        <v>18.693665632148299</v>
      </c>
      <c r="E23" s="343">
        <v>22.476988061135401</v>
      </c>
      <c r="P23" s="1"/>
      <c r="AE23" s="1"/>
      <c r="AT23" s="1"/>
    </row>
    <row r="24" spans="1:46">
      <c r="A24" s="195">
        <v>14</v>
      </c>
      <c r="B24" s="341">
        <v>28.757910132118401</v>
      </c>
      <c r="C24" s="342">
        <v>27.7465402469611</v>
      </c>
      <c r="D24" s="342">
        <v>23.829262483547001</v>
      </c>
      <c r="E24" s="343">
        <v>28.351048864169201</v>
      </c>
      <c r="P24" s="1"/>
      <c r="AE24" s="1"/>
      <c r="AT24" s="1"/>
    </row>
    <row r="25" spans="1:46">
      <c r="A25" s="195">
        <v>15</v>
      </c>
      <c r="B25" s="341">
        <v>35.701226267827103</v>
      </c>
      <c r="C25" s="342">
        <v>34.468401213734403</v>
      </c>
      <c r="D25" s="342">
        <v>29.871062531268102</v>
      </c>
      <c r="E25" s="343">
        <v>35.191725405533198</v>
      </c>
      <c r="P25" s="1"/>
      <c r="AE25" s="1"/>
      <c r="AT25" s="1"/>
    </row>
    <row r="26" spans="1:46">
      <c r="A26" s="195">
        <v>16</v>
      </c>
      <c r="B26" s="341">
        <v>43.706382509013999</v>
      </c>
      <c r="C26" s="342">
        <v>42.223172528915597</v>
      </c>
      <c r="D26" s="342">
        <v>36.902396879953798</v>
      </c>
      <c r="E26" s="343">
        <v>43.077591981897299</v>
      </c>
      <c r="P26" s="1"/>
      <c r="AE26" s="1"/>
      <c r="AT26" s="1"/>
    </row>
    <row r="27" spans="1:46">
      <c r="A27" s="195">
        <v>17</v>
      </c>
      <c r="B27" s="341">
        <v>52.854049849144197</v>
      </c>
      <c r="C27" s="342">
        <v>51.090012722509798</v>
      </c>
      <c r="D27" s="342">
        <v>45.008142284446798</v>
      </c>
      <c r="E27" s="343">
        <v>52.087923029370501</v>
      </c>
      <c r="P27" s="1"/>
      <c r="AE27" s="1"/>
      <c r="AT27" s="1"/>
    </row>
    <row r="28" spans="1:46">
      <c r="A28" s="195">
        <v>18</v>
      </c>
      <c r="B28" s="341">
        <v>63.225582117891101</v>
      </c>
      <c r="C28" s="342">
        <v>61.148798126606302</v>
      </c>
      <c r="D28" s="342">
        <v>54.274650361194603</v>
      </c>
      <c r="E28" s="343">
        <v>62.302654921686397</v>
      </c>
      <c r="P28" s="1"/>
      <c r="AE28" s="1"/>
      <c r="AT28" s="1"/>
    </row>
    <row r="29" spans="1:46">
      <c r="A29" s="195">
        <v>19</v>
      </c>
      <c r="B29" s="341">
        <v>74.902981005896706</v>
      </c>
      <c r="C29" s="342">
        <v>72.480086505374302</v>
      </c>
      <c r="D29" s="342">
        <v>64.789684066094594</v>
      </c>
      <c r="E29" s="343">
        <v>73.802351996068595</v>
      </c>
      <c r="P29" s="1"/>
      <c r="AE29" s="1"/>
      <c r="AT29" s="1"/>
    </row>
    <row r="30" spans="1:46">
      <c r="A30" s="195">
        <v>20</v>
      </c>
      <c r="B30" s="341">
        <v>87.968864739431098</v>
      </c>
      <c r="C30" s="342">
        <v>85.165084462053798</v>
      </c>
      <c r="D30" s="342">
        <v>76.642360325330401</v>
      </c>
      <c r="E30" s="343">
        <v>86.668176127794098</v>
      </c>
      <c r="P30" s="1"/>
      <c r="AE30" s="1"/>
      <c r="AT30" s="1"/>
    </row>
    <row r="31" spans="1:46">
      <c r="A31" s="195">
        <v>21</v>
      </c>
      <c r="B31" s="341">
        <v>102.506439850324</v>
      </c>
      <c r="C31" s="342">
        <v>99.285618050770296</v>
      </c>
      <c r="D31" s="342">
        <v>89.923097926786994</v>
      </c>
      <c r="E31" s="343">
        <v>100.981859313892</v>
      </c>
      <c r="P31" s="1"/>
      <c r="AE31" s="1"/>
      <c r="AT31" s="1"/>
    </row>
    <row r="32" spans="1:46">
      <c r="A32" s="195">
        <v>22</v>
      </c>
      <c r="B32" s="341">
        <v>118.59947559459999</v>
      </c>
      <c r="C32" s="342">
        <v>114.924106132234</v>
      </c>
      <c r="D32" s="342">
        <v>104.723569947784</v>
      </c>
      <c r="E32" s="343">
        <v>116.82567883158301</v>
      </c>
      <c r="P32" s="1"/>
      <c r="AE32" s="1"/>
      <c r="AT32" s="1"/>
    </row>
    <row r="33" spans="1:46">
      <c r="A33" s="195">
        <v>23</v>
      </c>
      <c r="B33" s="341">
        <v>136.33228065606801</v>
      </c>
      <c r="C33" s="342">
        <v>132.16353609767199</v>
      </c>
      <c r="D33" s="342">
        <v>121.136660124727</v>
      </c>
      <c r="E33" s="343">
        <v>134.28243461765001</v>
      </c>
      <c r="P33" s="1"/>
      <c r="AE33" s="1"/>
      <c r="AT33" s="1"/>
    </row>
    <row r="34" spans="1:46">
      <c r="A34" s="195">
        <v>24</v>
      </c>
      <c r="B34" s="341">
        <v>155.78968183545999</v>
      </c>
      <c r="C34" s="342">
        <v>151.08744165164299</v>
      </c>
      <c r="D34" s="342">
        <v>139.256422671932</v>
      </c>
      <c r="E34" s="343">
        <v>153.43542857756299</v>
      </c>
      <c r="P34" s="1"/>
      <c r="AE34" s="1"/>
      <c r="AT34" s="1"/>
    </row>
    <row r="35" spans="1:46">
      <c r="A35" s="195">
        <v>25</v>
      </c>
      <c r="B35" s="341">
        <v>177.05700447636801</v>
      </c>
      <c r="C35" s="342">
        <v>171.77988239660701</v>
      </c>
      <c r="D35" s="342">
        <v>159.178045137461</v>
      </c>
      <c r="E35" s="343">
        <v>174.36844558244701</v>
      </c>
      <c r="P35" s="1"/>
      <c r="AE35" s="1"/>
      <c r="AT35" s="1"/>
    </row>
    <row r="36" spans="1:46">
      <c r="A36" s="195">
        <v>26</v>
      </c>
      <c r="B36" s="341">
        <v>200.220054419512</v>
      </c>
      <c r="C36" s="342">
        <v>194.32542500367001</v>
      </c>
      <c r="D36" s="342">
        <v>180.99781394830501</v>
      </c>
      <c r="E36" s="343">
        <v>197.16573595119101</v>
      </c>
      <c r="P36" s="1"/>
      <c r="AE36" s="1"/>
      <c r="AT36" s="1"/>
    </row>
    <row r="37" spans="1:46">
      <c r="A37" s="195">
        <v>27</v>
      </c>
      <c r="B37" s="341">
        <v>225.36510130932399</v>
      </c>
      <c r="C37" s="342">
        <v>218.809125787379</v>
      </c>
      <c r="D37" s="342">
        <v>204.81308234955301</v>
      </c>
      <c r="E37" s="343">
        <v>221.91199924652599</v>
      </c>
      <c r="P37" s="1"/>
      <c r="AE37" s="1"/>
      <c r="AT37" s="1"/>
    </row>
    <row r="38" spans="1:46">
      <c r="A38" s="195">
        <v>28</v>
      </c>
      <c r="B38" s="341">
        <v>252.57886310308501</v>
      </c>
      <c r="C38" s="342">
        <v>245.31651452959699</v>
      </c>
      <c r="D38" s="342">
        <v>230.72224048476801</v>
      </c>
      <c r="E38" s="343">
        <v>248.69236923951701</v>
      </c>
      <c r="P38" s="1"/>
      <c r="AE38" s="1"/>
      <c r="AT38" s="1"/>
    </row>
    <row r="39" spans="1:46">
      <c r="A39" s="195">
        <v>29</v>
      </c>
      <c r="B39" s="341">
        <v>281.94849165445402</v>
      </c>
      <c r="C39" s="342">
        <v>273.93357941973301</v>
      </c>
      <c r="D39" s="342">
        <v>258.824687399992</v>
      </c>
      <c r="E39" s="343">
        <v>277.59239991782198</v>
      </c>
      <c r="P39" s="1"/>
      <c r="AE39" s="1"/>
      <c r="AT39" s="1"/>
    </row>
    <row r="40" spans="1:46">
      <c r="A40" s="195">
        <v>30</v>
      </c>
      <c r="B40" s="341">
        <v>313.561559260965</v>
      </c>
      <c r="C40" s="342">
        <v>304.74675299696702</v>
      </c>
      <c r="D40" s="342">
        <v>289.220804782914</v>
      </c>
      <c r="E40" s="343">
        <v>308.69805243041498</v>
      </c>
      <c r="P40" s="1"/>
      <c r="AE40" s="1"/>
      <c r="AT40" s="1"/>
    </row>
    <row r="41" spans="1:46">
      <c r="A41" s="195">
        <v>31</v>
      </c>
      <c r="B41" s="341">
        <v>347.50604607987702</v>
      </c>
      <c r="C41" s="342">
        <v>337.84289899539499</v>
      </c>
      <c r="D41" s="342">
        <v>322.01193227312501</v>
      </c>
      <c r="E41" s="343">
        <v>342.09568287580299</v>
      </c>
      <c r="P41" s="1"/>
      <c r="AE41" s="1"/>
      <c r="AT41" s="1"/>
    </row>
    <row r="42" spans="1:46">
      <c r="A42" s="195">
        <v>32</v>
      </c>
      <c r="B42" s="341">
        <v>383.87032832911001</v>
      </c>
      <c r="C42" s="342">
        <v>373.30930000578599</v>
      </c>
      <c r="D42" s="342">
        <v>357.30034419989698</v>
      </c>
      <c r="E42" s="343">
        <v>377.87203085282403</v>
      </c>
      <c r="P42" s="1"/>
      <c r="AE42" s="1"/>
      <c r="AT42" s="1"/>
    </row>
    <row r="43" spans="1:46">
      <c r="A43" s="195">
        <v>33</v>
      </c>
      <c r="B43" s="341">
        <v>422.74316720045499</v>
      </c>
      <c r="C43" s="342">
        <v>411.23364587845901</v>
      </c>
      <c r="D43" s="342">
        <v>395.18922762126499</v>
      </c>
      <c r="E43" s="343">
        <v>416.11420870325099</v>
      </c>
      <c r="P43" s="1"/>
      <c r="AE43" s="1"/>
      <c r="AT43" s="1"/>
    </row>
    <row r="44" spans="1:46">
      <c r="A44" s="195">
        <v>34</v>
      </c>
      <c r="B44" s="341">
        <v>464.21369842104201</v>
      </c>
      <c r="C44" s="342">
        <v>451.70402280088098</v>
      </c>
      <c r="D44" s="342">
        <v>435.782661552984</v>
      </c>
      <c r="E44" s="343">
        <v>456.90969138398202</v>
      </c>
      <c r="P44" s="1"/>
      <c r="AE44" s="1"/>
      <c r="AT44" s="1"/>
    </row>
    <row r="45" spans="1:46">
      <c r="A45" s="195">
        <v>35</v>
      </c>
      <c r="B45" s="341">
        <v>508.37142240660501</v>
      </c>
      <c r="C45" s="342">
        <v>494.808902991411</v>
      </c>
      <c r="D45" s="342">
        <v>479.18559728858497</v>
      </c>
      <c r="E45" s="343">
        <v>500.34630691396302</v>
      </c>
      <c r="P45" s="1"/>
      <c r="AE45" s="1"/>
      <c r="AT45" s="1"/>
    </row>
    <row r="46" spans="1:46">
      <c r="A46" s="195">
        <v>36</v>
      </c>
      <c r="B46" s="341">
        <v>555.30619495650103</v>
      </c>
      <c r="C46" s="342">
        <v>540.63713495724801</v>
      </c>
      <c r="D46" s="342">
        <v>525.50383972262296</v>
      </c>
      <c r="E46" s="343">
        <v>546.51222734719499</v>
      </c>
      <c r="P46" s="1"/>
      <c r="AE46" s="1"/>
      <c r="AT46" s="1"/>
    </row>
    <row r="47" spans="1:46">
      <c r="A47" s="195">
        <v>37</v>
      </c>
      <c r="B47" s="341">
        <v>605.10821844600605</v>
      </c>
      <c r="C47" s="342">
        <v>589.27793427042195</v>
      </c>
      <c r="D47" s="342">
        <v>574.84402959862803</v>
      </c>
      <c r="E47" s="343">
        <v>595.49596022863</v>
      </c>
      <c r="P47" s="1"/>
      <c r="AE47" s="1"/>
      <c r="AT47" s="1"/>
    </row>
    <row r="48" spans="1:46">
      <c r="A48" s="195">
        <v>38</v>
      </c>
      <c r="B48" s="341">
        <v>657.86803347617797</v>
      </c>
      <c r="C48" s="342">
        <v>640.82087482058296</v>
      </c>
      <c r="D48" s="342">
        <v>627.313626611431</v>
      </c>
      <c r="E48" s="343">
        <v>647.38634049435404</v>
      </c>
      <c r="P48" s="1"/>
      <c r="AE48" s="1"/>
      <c r="AT48" s="1"/>
    </row>
    <row r="49" spans="1:46">
      <c r="A49" s="195">
        <v>39</v>
      </c>
      <c r="B49" s="341">
        <v>713.67651094577002</v>
      </c>
      <c r="C49" s="342">
        <v>695.35588050770104</v>
      </c>
      <c r="D49" s="342">
        <v>683.02089330064302</v>
      </c>
      <c r="E49" s="343">
        <v>702.27252278155595</v>
      </c>
      <c r="P49" s="1"/>
      <c r="AE49" s="1"/>
      <c r="AT49" s="1"/>
    </row>
    <row r="50" spans="1:46">
      <c r="A50" s="195">
        <v>40</v>
      </c>
      <c r="B50" s="341">
        <v>772.624844513271</v>
      </c>
      <c r="C50" s="342">
        <v>752.97321734150296</v>
      </c>
      <c r="D50" s="342">
        <v>742.07487967831298</v>
      </c>
      <c r="E50" s="343">
        <v>760.24397411726898</v>
      </c>
      <c r="P50" s="1"/>
      <c r="AE50" s="1"/>
      <c r="AT50" s="1"/>
    </row>
    <row r="51" spans="1:46">
      <c r="A51" s="195">
        <v>41</v>
      </c>
      <c r="B51" s="341">
        <v>834.80454342032897</v>
      </c>
      <c r="C51" s="342">
        <v>813.76348591779799</v>
      </c>
      <c r="D51" s="342">
        <v>804.58540853922295</v>
      </c>
      <c r="E51" s="343">
        <v>821.39046695796696</v>
      </c>
      <c r="P51" s="1"/>
      <c r="AE51" s="1"/>
      <c r="AT51" s="1"/>
    </row>
    <row r="52" spans="1:46">
      <c r="A52" s="195">
        <v>42</v>
      </c>
      <c r="B52" s="341">
        <v>900.30742565062599</v>
      </c>
      <c r="C52" s="342">
        <v>877.81761424469698</v>
      </c>
      <c r="D52" s="342">
        <v>870.66306140714403</v>
      </c>
      <c r="E52" s="343">
        <v>885.80207255480195</v>
      </c>
      <c r="P52" s="1"/>
      <c r="AE52" s="1"/>
      <c r="AT52" s="1"/>
    </row>
    <row r="53" spans="1:46">
      <c r="A53" s="195">
        <v>43</v>
      </c>
      <c r="B53" s="341">
        <v>969.22561140068296</v>
      </c>
      <c r="C53" s="342">
        <v>945.22685089430104</v>
      </c>
      <c r="D53" s="342">
        <v>940.41916507459803</v>
      </c>
      <c r="E53" s="343">
        <v>953.56915462166603</v>
      </c>
      <c r="P53" s="1"/>
      <c r="AE53" s="1"/>
      <c r="AT53" s="1"/>
    </row>
    <row r="54" spans="1:46">
      <c r="A54" s="195">
        <v>44</v>
      </c>
      <c r="B54" s="341">
        <v>1041.65151684127</v>
      </c>
      <c r="C54" s="342">
        <v>1016.08275845768</v>
      </c>
      <c r="D54" s="342">
        <v>1013.96577869747</v>
      </c>
      <c r="E54" s="343">
        <v>1024.7823632853399</v>
      </c>
      <c r="P54" s="1"/>
      <c r="AE54" s="1"/>
      <c r="AT54" s="1"/>
    </row>
    <row r="55" spans="1:46">
      <c r="A55" s="195">
        <v>45</v>
      </c>
      <c r="B55" s="341">
        <v>1117.6778481500201</v>
      </c>
      <c r="C55" s="342">
        <v>1090.4772072829201</v>
      </c>
      <c r="D55" s="342">
        <v>1091.41568140916</v>
      </c>
      <c r="E55" s="343">
        <v>1099.53262929888</v>
      </c>
      <c r="P55" s="1"/>
      <c r="AE55" s="1"/>
      <c r="AT55" s="1"/>
    </row>
    <row r="56" spans="1:46">
      <c r="A56" s="195">
        <v>46</v>
      </c>
      <c r="B56" s="341">
        <v>1197.3975957975399</v>
      </c>
      <c r="C56" s="342">
        <v>1168.5023694778799</v>
      </c>
      <c r="D56" s="342">
        <v>1172.8823604220299</v>
      </c>
      <c r="E56" s="343">
        <v>1177.9111585010701</v>
      </c>
      <c r="P56" s="1"/>
      <c r="AE56" s="1"/>
      <c r="AT56" s="1"/>
    </row>
    <row r="57" spans="1:46">
      <c r="A57" s="195">
        <v>47</v>
      </c>
      <c r="B57" s="341">
        <v>1280.9040290708199</v>
      </c>
      <c r="C57" s="342">
        <v>1250.2507131607499</v>
      </c>
      <c r="D57" s="342">
        <v>1258.4799995864601</v>
      </c>
      <c r="E57" s="343">
        <v>1260.00942650621</v>
      </c>
      <c r="P57" s="1"/>
      <c r="AE57" s="1"/>
      <c r="AT57" s="1"/>
    </row>
    <row r="58" spans="1:46">
      <c r="A58" s="195">
        <v>48</v>
      </c>
      <c r="B58" s="341">
        <v>1368.2906908191701</v>
      </c>
      <c r="C58" s="342">
        <v>1335.8149969430599</v>
      </c>
      <c r="D58" s="342">
        <v>1348.3234683803601</v>
      </c>
      <c r="E58" s="343">
        <v>1345.9191736098401</v>
      </c>
      <c r="P58" s="1"/>
      <c r="AE58" s="1"/>
      <c r="AT58" s="1"/>
    </row>
    <row r="59" spans="1:46">
      <c r="A59" s="195">
        <v>49</v>
      </c>
      <c r="B59" s="341">
        <v>1459.6513924091</v>
      </c>
      <c r="C59" s="342">
        <v>1425.2882646309199</v>
      </c>
      <c r="D59" s="342">
        <v>1442.52831130403</v>
      </c>
      <c r="E59" s="343">
        <v>1435.7323998972599</v>
      </c>
      <c r="P59" s="1"/>
      <c r="AE59" s="1"/>
      <c r="AT59" s="1"/>
    </row>
    <row r="60" spans="1:46">
      <c r="A60" s="195">
        <v>50</v>
      </c>
      <c r="B60" s="341">
        <v>1555.0802088755399</v>
      </c>
      <c r="C60" s="342">
        <v>1518.7638401315701</v>
      </c>
      <c r="D60" s="342">
        <v>1541.2107376574399</v>
      </c>
      <c r="E60" s="343">
        <v>1529.5413605425899</v>
      </c>
      <c r="P60" s="1"/>
      <c r="AE60" s="1"/>
      <c r="AT60" s="1"/>
    </row>
    <row r="61" spans="1:46">
      <c r="A61" s="195">
        <v>51</v>
      </c>
      <c r="B61" s="341">
        <v>1654.67147425805</v>
      </c>
      <c r="C61" s="342">
        <v>1616.33532255311</v>
      </c>
      <c r="D61" s="342">
        <v>1644.48761167835</v>
      </c>
      <c r="E61" s="343">
        <v>1627.43856128737</v>
      </c>
      <c r="P61" s="1"/>
      <c r="AE61" s="1"/>
      <c r="AT61" s="1"/>
    </row>
    <row r="62" spans="1:46">
      <c r="A62" s="195">
        <v>52</v>
      </c>
      <c r="B62" s="341">
        <v>1758.5197771112501</v>
      </c>
      <c r="C62" s="342">
        <v>1718.0965814865599</v>
      </c>
      <c r="D62" s="342">
        <v>1752.4764430217499</v>
      </c>
      <c r="E62" s="343">
        <v>1729.5167540882301</v>
      </c>
      <c r="P62" s="1"/>
      <c r="AE62" s="1"/>
      <c r="AT62" s="1"/>
    </row>
    <row r="63" spans="1:46">
      <c r="A63" s="195">
        <v>53</v>
      </c>
      <c r="B63" s="341">
        <v>1866.71995617982</v>
      </c>
      <c r="C63" s="342">
        <v>1824.14175245975</v>
      </c>
      <c r="D63" s="342">
        <v>1865.29537756221</v>
      </c>
      <c r="E63" s="343">
        <v>1835.8689329241799</v>
      </c>
      <c r="P63" s="1"/>
      <c r="AE63" s="1"/>
      <c r="AT63" s="1"/>
    </row>
    <row r="64" spans="1:46">
      <c r="A64" s="195">
        <v>54</v>
      </c>
      <c r="B64" s="341">
        <v>1979.36709622883</v>
      </c>
      <c r="C64" s="342">
        <v>1934.5652325538899</v>
      </c>
      <c r="D64" s="342">
        <v>1983.0631885022599</v>
      </c>
      <c r="E64" s="343">
        <v>1946.58832975469</v>
      </c>
      <c r="P64" s="1"/>
      <c r="AE64" s="1"/>
      <c r="AT64" s="1"/>
    </row>
    <row r="65" spans="1:46">
      <c r="A65" s="195">
        <v>55</v>
      </c>
      <c r="B65" s="341">
        <v>2096.5565240210599</v>
      </c>
      <c r="C65" s="342">
        <v>2049.4616761737502</v>
      </c>
      <c r="D65" s="342">
        <v>2105.8992677708802</v>
      </c>
      <c r="E65" s="343">
        <v>2061.7684106204101</v>
      </c>
      <c r="P65" s="1"/>
      <c r="AE65" s="1"/>
      <c r="AT65" s="1"/>
    </row>
    <row r="66" spans="1:46">
      <c r="A66" s="195">
        <v>56</v>
      </c>
      <c r="B66" s="341">
        <v>2218.3838044335498</v>
      </c>
      <c r="C66" s="342">
        <v>2168.9259909635498</v>
      </c>
      <c r="D66" s="342">
        <v>2233.9236176976001</v>
      </c>
      <c r="E66" s="343">
        <v>2181.5028718789099</v>
      </c>
      <c r="P66" s="1"/>
      <c r="AE66" s="1"/>
      <c r="AT66" s="1"/>
    </row>
    <row r="67" spans="1:46">
      <c r="A67" s="195">
        <v>57</v>
      </c>
      <c r="B67" s="341">
        <v>2344.9447367060502</v>
      </c>
      <c r="C67" s="342">
        <v>2293.0533338608002</v>
      </c>
      <c r="D67" s="342">
        <v>2367.2568429482899</v>
      </c>
      <c r="E67" s="343">
        <v>2305.8856365684001</v>
      </c>
      <c r="P67" s="1"/>
      <c r="AE67" s="1"/>
      <c r="AT67" s="1"/>
    </row>
    <row r="68" spans="1:46">
      <c r="A68" s="195">
        <v>58</v>
      </c>
      <c r="B68" s="341">
        <v>2476.3353508145201</v>
      </c>
      <c r="C68" s="342">
        <v>2421.93910728115</v>
      </c>
      <c r="D68" s="342">
        <v>2506.0201427101401</v>
      </c>
      <c r="E68" s="343">
        <v>2435.0108508929002</v>
      </c>
      <c r="P68" s="1"/>
      <c r="AE68" s="1"/>
      <c r="AT68" s="1"/>
    </row>
    <row r="69" spans="1:46">
      <c r="A69" s="195">
        <v>59</v>
      </c>
      <c r="B69" s="341">
        <v>2612.65190396363</v>
      </c>
      <c r="C69" s="342">
        <v>2555.6789554276902</v>
      </c>
      <c r="D69" s="342">
        <v>2650.3353031136498</v>
      </c>
      <c r="E69" s="343">
        <v>2568.97288082264</v>
      </c>
      <c r="P69" s="1"/>
      <c r="AE69" s="1"/>
      <c r="AT69" s="1"/>
    </row>
    <row r="70" spans="1:46">
      <c r="A70" s="195">
        <v>60</v>
      </c>
      <c r="B70" s="341">
        <v>2753.99087719213</v>
      </c>
      <c r="C70" s="342">
        <v>2694.3687607184102</v>
      </c>
      <c r="D70" s="342">
        <v>2800.3246898805701</v>
      </c>
      <c r="E70" s="343">
        <v>2707.8663088041799</v>
      </c>
      <c r="P70" s="1"/>
      <c r="AE70" s="1"/>
      <c r="AT70" s="1"/>
    </row>
    <row r="71" spans="1:46">
      <c r="A71" s="195">
        <v>61</v>
      </c>
      <c r="B71" s="341">
        <v>2900.44897208576</v>
      </c>
      <c r="C71" s="342">
        <v>2838.1046403263199</v>
      </c>
      <c r="D71" s="342">
        <v>2956.1112411873601</v>
      </c>
      <c r="E71" s="343">
        <v>2851.7859305746401</v>
      </c>
      <c r="P71" s="1"/>
      <c r="AE71" s="1"/>
      <c r="AT71" s="1"/>
    </row>
    <row r="72" spans="1:46">
      <c r="A72" s="195">
        <v>62</v>
      </c>
      <c r="B72" s="341">
        <v>3052.1231075923802</v>
      </c>
      <c r="C72" s="342">
        <v>2986.9829428266198</v>
      </c>
      <c r="D72" s="342">
        <v>3117.81846073424</v>
      </c>
      <c r="E72" s="343">
        <v>3000.8267520753402</v>
      </c>
      <c r="P72" s="1"/>
      <c r="AE72" s="1"/>
      <c r="AT72" s="1"/>
    </row>
    <row r="73" spans="1:46">
      <c r="A73" s="195">
        <v>63</v>
      </c>
      <c r="B73" s="341">
        <v>3209.11041693479</v>
      </c>
      <c r="C73" s="342">
        <v>3141.1002449461398</v>
      </c>
      <c r="D73" s="342">
        <v>3285.5704110107599</v>
      </c>
      <c r="E73" s="343">
        <v>3155.0839864599402</v>
      </c>
      <c r="P73" s="1"/>
      <c r="AE73" s="1"/>
      <c r="AT73" s="1"/>
    </row>
    <row r="74" spans="1:46">
      <c r="A74" s="195">
        <v>64</v>
      </c>
      <c r="B74" s="341">
        <v>3371.5082446164001</v>
      </c>
      <c r="C74" s="342">
        <v>3300.5533484101102</v>
      </c>
      <c r="D74" s="342">
        <v>3459.4917067491201</v>
      </c>
      <c r="E74" s="343">
        <v>3314.65305119288</v>
      </c>
      <c r="P74" s="1"/>
      <c r="AE74" s="1"/>
      <c r="AT74" s="1"/>
    </row>
    <row r="75" spans="1:46">
      <c r="A75" s="195">
        <v>65</v>
      </c>
      <c r="B75" s="341">
        <v>3539.4141435157699</v>
      </c>
      <c r="C75" s="342">
        <v>3465.4392768819798</v>
      </c>
      <c r="D75" s="342">
        <v>3639.7075085572101</v>
      </c>
      <c r="E75" s="343">
        <v>3479.6295652338299</v>
      </c>
      <c r="P75" s="1"/>
      <c r="AE75" s="1"/>
      <c r="AT75" s="1"/>
    </row>
    <row r="76" spans="1:46">
      <c r="A76" s="195">
        <v>66</v>
      </c>
      <c r="B76" s="341">
        <v>3712.92587206589</v>
      </c>
      <c r="C76" s="342">
        <v>3635.8552729921398</v>
      </c>
      <c r="D76" s="342">
        <v>3826.3435167235102</v>
      </c>
      <c r="E76" s="343">
        <v>3650.1093463044599</v>
      </c>
      <c r="P76" s="1"/>
      <c r="AE76" s="1"/>
      <c r="AT76" s="1"/>
    </row>
    <row r="77" spans="1:46">
      <c r="A77" s="195">
        <v>67</v>
      </c>
      <c r="B77" s="341">
        <v>3892.1413915145599</v>
      </c>
      <c r="C77" s="342">
        <v>3811.8987954514901</v>
      </c>
      <c r="D77" s="342">
        <v>4019.5259651869301</v>
      </c>
      <c r="E77" s="343">
        <v>3826.1884082338202</v>
      </c>
      <c r="P77" s="1"/>
      <c r="AE77" s="1"/>
      <c r="AT77" s="1"/>
    </row>
    <row r="78" spans="1:46">
      <c r="A78" s="195">
        <v>68</v>
      </c>
      <c r="B78" s="341">
        <v>4077.1588632622302</v>
      </c>
      <c r="C78" s="342">
        <v>3993.6675162463298</v>
      </c>
      <c r="D78" s="342">
        <v>4219.3816156643998</v>
      </c>
      <c r="E78" s="343">
        <v>4007.9629583788601</v>
      </c>
      <c r="P78" s="1"/>
      <c r="AE78" s="1"/>
      <c r="AT78" s="1"/>
    </row>
    <row r="79" spans="1:46">
      <c r="A79" s="195">
        <v>69</v>
      </c>
      <c r="B79" s="341">
        <v>4268.0766462740703</v>
      </c>
      <c r="C79" s="342">
        <v>4181.25931791109</v>
      </c>
      <c r="D79" s="342">
        <v>4426.0377519301201</v>
      </c>
      <c r="E79" s="343">
        <v>4195.5293951169597</v>
      </c>
      <c r="P79" s="1"/>
      <c r="AE79" s="1"/>
      <c r="AT79" s="1"/>
    </row>
    <row r="80" spans="1:46">
      <c r="A80" s="195">
        <v>70</v>
      </c>
      <c r="B80" s="341">
        <v>4464.9932945631599</v>
      </c>
      <c r="C80" s="342">
        <v>4374.7722908754804</v>
      </c>
      <c r="D80" s="342">
        <v>4639.6221742401603</v>
      </c>
      <c r="E80" s="343">
        <v>4388.9843054073699</v>
      </c>
      <c r="P80" s="1"/>
      <c r="AE80" s="1"/>
      <c r="AT80" s="1"/>
    </row>
    <row r="81" spans="1:46">
      <c r="A81" s="195">
        <v>71</v>
      </c>
      <c r="B81" s="341">
        <v>4668.00755474173</v>
      </c>
      <c r="C81" s="342">
        <v>4574.3047308831501</v>
      </c>
      <c r="D81" s="342">
        <v>4860.2631938967097</v>
      </c>
      <c r="E81" s="343">
        <v>4588.4244624187504</v>
      </c>
      <c r="P81" s="1"/>
      <c r="AE81" s="1"/>
      <c r="AT81" s="1"/>
    </row>
    <row r="82" spans="1:46">
      <c r="A82" s="195">
        <v>72</v>
      </c>
      <c r="B82" s="341">
        <v>4877.2183636378004</v>
      </c>
      <c r="C82" s="342">
        <v>4779.9551364788804</v>
      </c>
      <c r="D82" s="342">
        <v>5088.0896279465696</v>
      </c>
      <c r="E82" s="343">
        <v>4793.9468232200297</v>
      </c>
      <c r="P82" s="1"/>
      <c r="AE82" s="1"/>
      <c r="AT82" s="1"/>
    </row>
    <row r="83" spans="1:46">
      <c r="A83" s="195">
        <v>73</v>
      </c>
      <c r="B83" s="341">
        <v>5092.7248459743896</v>
      </c>
      <c r="C83" s="342">
        <v>4991.82220656145</v>
      </c>
      <c r="D83" s="342">
        <v>5323.2307940087103</v>
      </c>
      <c r="E83" s="343">
        <v>5005.6485265320398</v>
      </c>
      <c r="P83" s="1"/>
      <c r="AE83" s="1"/>
      <c r="AT83" s="1"/>
    </row>
    <row r="84" spans="1:46">
      <c r="A84" s="195">
        <v>74</v>
      </c>
      <c r="B84" s="341">
        <v>5314.6263121090997</v>
      </c>
      <c r="C84" s="342">
        <v>5210.0048379997197</v>
      </c>
      <c r="D84" s="342">
        <v>5565.8165052259501</v>
      </c>
      <c r="E84" s="343">
        <v>5223.62689053759</v>
      </c>
      <c r="P84" s="1"/>
      <c r="AE84" s="1"/>
      <c r="AT84" s="1"/>
    </row>
    <row r="85" spans="1:46">
      <c r="A85" s="195">
        <v>75</v>
      </c>
      <c r="B85" s="341">
        <v>5543.0222558313399</v>
      </c>
      <c r="C85" s="342">
        <v>5434.6021233093797</v>
      </c>
      <c r="D85" s="342">
        <v>5815.9770653362002</v>
      </c>
      <c r="E85" s="343">
        <v>5447.97941074755</v>
      </c>
      <c r="P85" s="1"/>
      <c r="AE85" s="1"/>
      <c r="AT85" s="1"/>
    </row>
    <row r="86" spans="1:46">
      <c r="A86" s="195">
        <v>76</v>
      </c>
      <c r="B86" s="341">
        <v>5778.0123522152198</v>
      </c>
      <c r="C86" s="342">
        <v>5665.7133483880198</v>
      </c>
      <c r="D86" s="342">
        <v>6073.8432638587601</v>
      </c>
      <c r="E86" s="343">
        <v>5678.8037579208503</v>
      </c>
      <c r="P86" s="1"/>
      <c r="AE86" s="1"/>
      <c r="AT86" s="1"/>
    </row>
    <row r="87" spans="1:46">
      <c r="A87" s="195">
        <v>77</v>
      </c>
      <c r="B87" s="341">
        <v>6019.6964555259401</v>
      </c>
      <c r="C87" s="342">
        <v>5903.43799030628</v>
      </c>
      <c r="D87" s="342">
        <v>6339.5463713915296</v>
      </c>
      <c r="E87" s="343">
        <v>5916.1977760363498</v>
      </c>
      <c r="P87" s="1"/>
      <c r="AE87" s="1"/>
      <c r="AT87" s="1"/>
    </row>
    <row r="88" spans="1:46">
      <c r="A88" s="195">
        <v>78</v>
      </c>
      <c r="B88" s="341">
        <v>6268.1745971775399</v>
      </c>
      <c r="C88" s="342">
        <v>6147.8757151530299</v>
      </c>
      <c r="D88" s="342">
        <v>6613.2181350152596</v>
      </c>
      <c r="E88" s="343">
        <v>6160.2594803145003</v>
      </c>
      <c r="P88" s="1"/>
      <c r="AE88" s="1"/>
      <c r="AT88" s="1"/>
    </row>
    <row r="89" spans="1:46">
      <c r="A89" s="195">
        <v>79</v>
      </c>
      <c r="B89" s="341">
        <v>6523.5469837402097</v>
      </c>
      <c r="C89" s="342">
        <v>6399.1263759325402</v>
      </c>
      <c r="D89" s="342">
        <v>6894.9907738007496</v>
      </c>
      <c r="E89" s="343">
        <v>6411.0870552871702</v>
      </c>
      <c r="P89" s="1"/>
      <c r="AE89" s="1"/>
      <c r="AT89" s="1"/>
    </row>
    <row r="90" spans="1:46">
      <c r="A90" s="195">
        <v>80</v>
      </c>
      <c r="B90" s="341">
        <v>6785.9139949953196</v>
      </c>
      <c r="C90" s="342">
        <v>6657.2900105116896</v>
      </c>
      <c r="D90" s="342">
        <v>7184.9969744157697</v>
      </c>
      <c r="E90" s="343">
        <v>6668.7788529135396</v>
      </c>
      <c r="P90" s="1"/>
      <c r="AE90" s="1"/>
      <c r="AT90" s="1"/>
    </row>
    <row r="91" spans="1:46">
      <c r="A91" s="195">
        <v>81</v>
      </c>
      <c r="B91" s="341">
        <v>7055.3761820363598</v>
      </c>
      <c r="C91" s="342">
        <v>6922.4668396155002</v>
      </c>
      <c r="D91" s="342">
        <v>7483.3698868279598</v>
      </c>
      <c r="E91" s="343">
        <v>6933.4333907407399</v>
      </c>
      <c r="P91" s="1"/>
      <c r="AE91" s="1"/>
      <c r="AT91" s="1"/>
    </row>
    <row r="92" spans="1:46">
      <c r="A92" s="195">
        <v>82</v>
      </c>
      <c r="B92" s="341">
        <v>7332.0342654142796</v>
      </c>
      <c r="C92" s="342">
        <v>7194.7572648692103</v>
      </c>
      <c r="D92" s="342">
        <v>7790.2431201005202</v>
      </c>
      <c r="E92" s="343">
        <v>7205.1493501073401</v>
      </c>
      <c r="P92" s="1"/>
      <c r="AE92" s="1"/>
      <c r="AT92" s="1"/>
    </row>
    <row r="93" spans="1:46">
      <c r="A93" s="195">
        <v>83</v>
      </c>
      <c r="B93" s="341">
        <v>7615.98913332556</v>
      </c>
      <c r="C93" s="342">
        <v>7474.2618668852201</v>
      </c>
      <c r="D93" s="342">
        <v>8105.7507382776903</v>
      </c>
      <c r="E93" s="343">
        <v>7484.0255743883699</v>
      </c>
      <c r="P93" s="1"/>
      <c r="AE93" s="1"/>
      <c r="AT93" s="1"/>
    </row>
    <row r="94" spans="1:46">
      <c r="A94" s="195">
        <v>84</v>
      </c>
      <c r="B94" s="341">
        <v>7907.3418398414597</v>
      </c>
      <c r="C94" s="342">
        <v>7761.0814033933802</v>
      </c>
      <c r="D94" s="342">
        <v>8430.0272563568506</v>
      </c>
      <c r="E94" s="343">
        <v>7770.1610672802899</v>
      </c>
      <c r="P94" s="1"/>
      <c r="AE94" s="1"/>
      <c r="AT94" s="1"/>
    </row>
    <row r="95" spans="1:46">
      <c r="A95" s="195">
        <v>85</v>
      </c>
      <c r="B95" s="341">
        <v>8206.1936031772202</v>
      </c>
      <c r="C95" s="342">
        <v>8055.3168074131599</v>
      </c>
      <c r="D95" s="342">
        <v>8763.2076363444594</v>
      </c>
      <c r="E95" s="343">
        <v>8063.6549911245702</v>
      </c>
      <c r="P95" s="1"/>
      <c r="AE95" s="1"/>
      <c r="AT95" s="1"/>
    </row>
    <row r="96" spans="1:46">
      <c r="A96" s="195">
        <v>86</v>
      </c>
      <c r="B96" s="341">
        <v>8512.6458039996705</v>
      </c>
      <c r="C96" s="342">
        <v>8357.06918546624</v>
      </c>
      <c r="D96" s="342">
        <v>9105.42728339315</v>
      </c>
      <c r="E96" s="343">
        <v>8364.6066652686095</v>
      </c>
      <c r="P96" s="1"/>
      <c r="AE96" s="1"/>
      <c r="AT96" s="1"/>
    </row>
    <row r="97" spans="1:46">
      <c r="A97" s="195">
        <v>87</v>
      </c>
      <c r="B97" s="341">
        <v>8826.7999837719708</v>
      </c>
      <c r="C97" s="342">
        <v>8666.4398158280892</v>
      </c>
      <c r="D97" s="342">
        <v>9456.8220420173402</v>
      </c>
      <c r="E97" s="343">
        <v>8673.1155644627106</v>
      </c>
      <c r="P97" s="1"/>
      <c r="AE97" s="1"/>
      <c r="AT97" s="1"/>
    </row>
    <row r="98" spans="1:46">
      <c r="A98" s="195">
        <v>88</v>
      </c>
      <c r="B98" s="341">
        <v>9148.7578431344009</v>
      </c>
      <c r="C98" s="342">
        <v>8983.5301468173802</v>
      </c>
      <c r="D98" s="342">
        <v>9817.5281923848397</v>
      </c>
      <c r="E98" s="343">
        <v>8989.2813172917795</v>
      </c>
      <c r="P98" s="1"/>
      <c r="AE98" s="1"/>
      <c r="AT98" s="1"/>
    </row>
    <row r="99" spans="1:46">
      <c r="A99" s="195">
        <v>89</v>
      </c>
      <c r="B99" s="341">
        <v>9478.6212403198097</v>
      </c>
      <c r="C99" s="342">
        <v>9308.4417951219293</v>
      </c>
      <c r="D99" s="342">
        <v>10187.6824466821</v>
      </c>
      <c r="E99" s="343">
        <v>9313.2037046408095</v>
      </c>
      <c r="P99" s="1"/>
      <c r="AE99" s="1"/>
      <c r="AT99" s="1"/>
    </row>
    <row r="100" spans="1:46">
      <c r="A100" s="195">
        <v>90</v>
      </c>
      <c r="B100" s="341">
        <v>9816.4921896026699</v>
      </c>
      <c r="C100" s="342">
        <v>9641.2765441599404</v>
      </c>
      <c r="D100" s="342">
        <v>10567.421945550999</v>
      </c>
      <c r="E100" s="343">
        <v>9644.9826581929701</v>
      </c>
      <c r="P100" s="1"/>
      <c r="AE100" s="1"/>
      <c r="AT100" s="1"/>
    </row>
    <row r="101" spans="1:46">
      <c r="A101" s="195">
        <v>91</v>
      </c>
      <c r="B101" s="341">
        <v>10162.472859780701</v>
      </c>
      <c r="C101" s="342">
        <v>9982.1363424754309</v>
      </c>
      <c r="D101" s="342">
        <v>10956.884254594201</v>
      </c>
      <c r="E101" s="343">
        <v>9984.7182589591193</v>
      </c>
      <c r="P101" s="1"/>
      <c r="AE101" s="1"/>
      <c r="AT101" s="1"/>
    </row>
    <row r="102" spans="1:46">
      <c r="A102" s="195">
        <v>92</v>
      </c>
      <c r="B102" s="341">
        <v>10516.6655726882</v>
      </c>
      <c r="C102" s="342">
        <v>10331.123302166799</v>
      </c>
      <c r="D102" s="342">
        <v>11356.2073609486</v>
      </c>
      <c r="E102" s="343">
        <v>10332.510735837999</v>
      </c>
      <c r="P102" s="1"/>
      <c r="AE102" s="1"/>
      <c r="AT102" s="1"/>
    </row>
    <row r="103" spans="1:46">
      <c r="A103" s="195">
        <v>93</v>
      </c>
      <c r="B103" s="341">
        <v>10879.1728017392</v>
      </c>
      <c r="C103" s="342">
        <v>10688.339697347699</v>
      </c>
      <c r="D103" s="342">
        <v>11765.5296699227</v>
      </c>
      <c r="E103" s="343">
        <v>10688.4604642057</v>
      </c>
      <c r="P103" s="1"/>
      <c r="AE103" s="1"/>
      <c r="AT103" s="1"/>
    </row>
    <row r="104" spans="1:46">
      <c r="A104" s="195">
        <v>94</v>
      </c>
      <c r="B104" s="341">
        <v>11250.097170501</v>
      </c>
      <c r="C104" s="342">
        <v>11053.8879626382</v>
      </c>
      <c r="D104" s="342">
        <v>12184.990001697999</v>
      </c>
      <c r="E104" s="343">
        <v>11052.667964534499</v>
      </c>
      <c r="P104" s="1"/>
      <c r="AE104" s="1"/>
      <c r="AT104" s="1"/>
    </row>
    <row r="105" spans="1:46">
      <c r="A105" s="195">
        <v>95</v>
      </c>
      <c r="B105" s="341">
        <v>11629.5414512961</v>
      </c>
      <c r="C105" s="342">
        <v>11427.8706916873</v>
      </c>
      <c r="D105" s="342">
        <v>12614.7275880912</v>
      </c>
      <c r="E105" s="343">
        <v>11425.2339010382</v>
      </c>
      <c r="P105" s="1"/>
      <c r="AE105" s="1"/>
      <c r="AT105" s="1"/>
    </row>
    <row r="106" spans="1:46">
      <c r="A106" s="195">
        <v>96</v>
      </c>
      <c r="B106" s="341">
        <v>12017.6085638315</v>
      </c>
      <c r="C106" s="342">
        <v>11810.390635723599</v>
      </c>
      <c r="D106" s="342">
        <v>13054.882069375801</v>
      </c>
      <c r="E106" s="343">
        <v>11806.259080345801</v>
      </c>
      <c r="P106" s="1"/>
      <c r="AE106" s="1"/>
      <c r="AT106" s="1"/>
    </row>
    <row r="107" spans="1:46">
      <c r="A107" s="195">
        <v>97</v>
      </c>
      <c r="B107" s="341">
        <v>12414.401573855001</v>
      </c>
      <c r="C107" s="342">
        <v>12201.5507021346</v>
      </c>
      <c r="D107" s="342">
        <v>13505.593491162301</v>
      </c>
      <c r="E107" s="343">
        <v>12195.8444502003</v>
      </c>
      <c r="P107" s="1"/>
      <c r="AE107" s="1"/>
      <c r="AT107" s="1"/>
    </row>
    <row r="108" spans="1:46">
      <c r="A108" s="195">
        <v>98</v>
      </c>
      <c r="B108" s="341">
        <v>12820.0236918387</v>
      </c>
      <c r="C108" s="342">
        <v>12601.4539530741</v>
      </c>
      <c r="D108" s="342">
        <v>13967.002301333199</v>
      </c>
      <c r="E108" s="343">
        <v>12594.0910981831</v>
      </c>
      <c r="P108" s="1"/>
      <c r="AE108" s="1"/>
      <c r="AT108" s="1"/>
    </row>
    <row r="109" spans="1:46">
      <c r="A109" s="195">
        <v>99</v>
      </c>
      <c r="B109" s="341">
        <v>13234.578271685999</v>
      </c>
      <c r="C109" s="342">
        <v>13010.203604094901</v>
      </c>
      <c r="D109" s="342">
        <v>14439.2493470339</v>
      </c>
      <c r="E109" s="343">
        <v>13001.1002504631</v>
      </c>
      <c r="P109" s="1"/>
      <c r="AE109" s="1"/>
      <c r="AT109" s="1"/>
    </row>
    <row r="110" spans="1:46">
      <c r="A110" s="325">
        <v>100</v>
      </c>
      <c r="B110" s="344">
        <v>13658.1688094649</v>
      </c>
      <c r="C110" s="345">
        <v>13427.9030228091</v>
      </c>
      <c r="D110" s="345">
        <v>14922.4758717156</v>
      </c>
      <c r="E110" s="346">
        <v>13416.973270569601</v>
      </c>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1:J111">
    <cfRule type="expression" dxfId="3" priority="1">
      <formula>CELL("Protect",A1)=1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G4" sqref="G4"/>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2" t="s">
        <v>106</v>
      </c>
      <c r="B3" s="377" t="str">
        <f>'START HERE'!F6</f>
        <v>Chile</v>
      </c>
      <c r="C3" s="388"/>
      <c r="D3" s="378"/>
      <c r="E3" s="177"/>
      <c r="F3" s="30" t="s">
        <v>39</v>
      </c>
      <c r="G3" s="374" t="str">
        <f>'LEN F3'!F3</f>
        <v>Fleet 3 Peru &amp; Equador</v>
      </c>
      <c r="H3" s="375"/>
      <c r="I3" s="376"/>
      <c r="J3" s="177"/>
      <c r="K3" s="178"/>
    </row>
    <row r="4" spans="1:59" ht="15.75">
      <c r="A4" s="12" t="s">
        <v>19</v>
      </c>
      <c r="B4" s="377" t="str">
        <f>'START HERE'!F5</f>
        <v>Jack mackerel</v>
      </c>
      <c r="C4" s="388"/>
      <c r="D4" s="378"/>
      <c r="E4" s="177"/>
      <c r="F4" s="323"/>
      <c r="G4" s="314"/>
      <c r="H4" s="315"/>
      <c r="I4" s="333"/>
      <c r="J4" s="177"/>
      <c r="K4" s="178"/>
    </row>
    <row r="5" spans="1:59" ht="18">
      <c r="A5" s="12" t="s">
        <v>13</v>
      </c>
      <c r="B5" s="389">
        <f>'START HERE'!$K$3</f>
        <v>2019</v>
      </c>
      <c r="C5" s="390"/>
      <c r="D5" s="391"/>
      <c r="E5" s="177"/>
      <c r="F5" s="12" t="s">
        <v>40</v>
      </c>
      <c r="G5" s="321" t="s">
        <v>138</v>
      </c>
      <c r="H5" s="331"/>
      <c r="I5" s="332"/>
      <c r="J5" s="177"/>
      <c r="K5" s="178"/>
    </row>
    <row r="6" spans="1:59" ht="16.5" thickBot="1">
      <c r="A6" s="12"/>
      <c r="B6" s="11"/>
      <c r="C6" s="103"/>
      <c r="D6" s="6"/>
      <c r="F6" s="12" t="s">
        <v>14</v>
      </c>
      <c r="G6" s="382">
        <f>'START HERE'!$F8</f>
        <v>42615</v>
      </c>
      <c r="H6" s="383"/>
      <c r="I6" s="384"/>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5" t="str">
        <f>'START HERE'!$F$13</f>
        <v>fork length</v>
      </c>
      <c r="B9" s="27" t="s">
        <v>52</v>
      </c>
      <c r="C9" s="27" t="s">
        <v>31</v>
      </c>
      <c r="D9" s="27" t="s">
        <v>32</v>
      </c>
      <c r="E9" s="27" t="s">
        <v>33</v>
      </c>
      <c r="F9" s="2"/>
      <c r="G9" s="149"/>
      <c r="H9" s="149"/>
      <c r="I9" s="149"/>
      <c r="J9" s="149"/>
      <c r="K9" s="334"/>
      <c r="L9" s="149"/>
      <c r="M9" s="149"/>
      <c r="N9" s="149"/>
      <c r="P9" s="2"/>
      <c r="Q9" s="405"/>
      <c r="R9" s="405"/>
      <c r="S9" s="405"/>
      <c r="T9" s="405"/>
      <c r="U9" s="405"/>
      <c r="V9" s="405"/>
      <c r="W9" s="405"/>
      <c r="X9" s="405"/>
      <c r="Y9" s="405"/>
      <c r="Z9" s="405"/>
      <c r="AA9" s="405"/>
      <c r="AB9" s="405"/>
      <c r="AC9" s="405"/>
      <c r="AE9" s="2"/>
      <c r="AF9" s="405"/>
      <c r="AG9" s="405"/>
      <c r="AH9" s="405"/>
      <c r="AI9" s="405"/>
      <c r="AJ9" s="405"/>
      <c r="AK9" s="405"/>
      <c r="AL9" s="405"/>
      <c r="AM9" s="405"/>
      <c r="AN9" s="405"/>
      <c r="AO9" s="405"/>
      <c r="AP9" s="405"/>
      <c r="AQ9" s="405"/>
      <c r="AR9" s="405"/>
      <c r="AT9" s="2"/>
      <c r="AU9" s="405"/>
      <c r="AV9" s="405"/>
      <c r="AW9" s="405"/>
      <c r="AX9" s="405"/>
      <c r="AY9" s="405"/>
      <c r="AZ9" s="405"/>
      <c r="BA9" s="405"/>
      <c r="BB9" s="405"/>
      <c r="BC9" s="405"/>
      <c r="BD9" s="405"/>
      <c r="BE9" s="405"/>
      <c r="BF9" s="405"/>
      <c r="BG9" s="405"/>
    </row>
    <row r="10" spans="1:59" ht="18">
      <c r="A10" s="28" t="s">
        <v>43</v>
      </c>
      <c r="B10" s="181">
        <f>'START HERE'!$K$3</f>
        <v>2019</v>
      </c>
      <c r="C10" s="181">
        <f>'START HERE'!$K$3</f>
        <v>2019</v>
      </c>
      <c r="D10" s="181">
        <f>'START HERE'!$K$3</f>
        <v>2019</v>
      </c>
      <c r="E10" s="180">
        <f>'START HERE'!$K$3</f>
        <v>2019</v>
      </c>
      <c r="F10" s="324"/>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5"/>
      <c r="C11" s="306"/>
      <c r="D11" s="306"/>
      <c r="E11" s="326"/>
      <c r="P11" s="1"/>
      <c r="AE11" s="1"/>
      <c r="AT11" s="1"/>
    </row>
    <row r="12" spans="1:59">
      <c r="A12" s="195">
        <v>2</v>
      </c>
      <c r="B12" s="308"/>
      <c r="C12" s="309"/>
      <c r="D12" s="309"/>
      <c r="E12" s="327"/>
      <c r="P12" s="1"/>
      <c r="AE12" s="1"/>
      <c r="AT12" s="1"/>
    </row>
    <row r="13" spans="1:59">
      <c r="A13" s="195">
        <v>3</v>
      </c>
      <c r="B13" s="308"/>
      <c r="C13" s="309"/>
      <c r="D13" s="309"/>
      <c r="E13" s="327"/>
      <c r="P13" s="1"/>
      <c r="AE13" s="1"/>
      <c r="AT13" s="1"/>
    </row>
    <row r="14" spans="1:59">
      <c r="A14" s="195">
        <v>4</v>
      </c>
      <c r="B14" s="308"/>
      <c r="C14" s="309"/>
      <c r="D14" s="309"/>
      <c r="E14" s="327"/>
      <c r="P14" s="1"/>
      <c r="AE14" s="1"/>
      <c r="AT14" s="1"/>
    </row>
    <row r="15" spans="1:59">
      <c r="A15" s="195">
        <v>5</v>
      </c>
      <c r="B15" s="308"/>
      <c r="C15" s="309"/>
      <c r="D15" s="309"/>
      <c r="E15" s="327"/>
      <c r="P15" s="1"/>
      <c r="AE15" s="1"/>
      <c r="AT15" s="1"/>
    </row>
    <row r="16" spans="1:59">
      <c r="A16" s="195">
        <v>6</v>
      </c>
      <c r="B16" s="308"/>
      <c r="C16" s="309"/>
      <c r="D16" s="309"/>
      <c r="E16" s="327"/>
      <c r="P16" s="1"/>
      <c r="AE16" s="1"/>
      <c r="AT16" s="1"/>
    </row>
    <row r="17" spans="1:46">
      <c r="A17" s="195">
        <v>7</v>
      </c>
      <c r="B17" s="308"/>
      <c r="C17" s="309"/>
      <c r="D17" s="309"/>
      <c r="E17" s="327"/>
      <c r="P17" s="1"/>
      <c r="AE17" s="1"/>
      <c r="AT17" s="1"/>
    </row>
    <row r="18" spans="1:46">
      <c r="A18" s="195">
        <v>8</v>
      </c>
      <c r="B18" s="308"/>
      <c r="C18" s="309"/>
      <c r="D18" s="309"/>
      <c r="E18" s="327"/>
      <c r="P18" s="1"/>
      <c r="AE18" s="1"/>
      <c r="AT18" s="1"/>
    </row>
    <row r="19" spans="1:46">
      <c r="A19" s="195">
        <v>9</v>
      </c>
      <c r="B19" s="308"/>
      <c r="C19" s="309"/>
      <c r="D19" s="309"/>
      <c r="E19" s="327"/>
      <c r="P19" s="1"/>
      <c r="AE19" s="1"/>
      <c r="AT19" s="1"/>
    </row>
    <row r="20" spans="1:46">
      <c r="A20" s="195">
        <v>10</v>
      </c>
      <c r="B20" s="308"/>
      <c r="C20" s="309"/>
      <c r="D20" s="309"/>
      <c r="E20" s="327"/>
      <c r="P20" s="1"/>
      <c r="AE20" s="1"/>
      <c r="AT20" s="1"/>
    </row>
    <row r="21" spans="1:46">
      <c r="A21" s="195">
        <v>11</v>
      </c>
      <c r="B21" s="308"/>
      <c r="C21" s="309"/>
      <c r="D21" s="309"/>
      <c r="E21" s="327"/>
      <c r="P21" s="1"/>
      <c r="AE21" s="1"/>
      <c r="AT21" s="1"/>
    </row>
    <row r="22" spans="1:46">
      <c r="A22" s="195">
        <v>12</v>
      </c>
      <c r="B22" s="308"/>
      <c r="C22" s="309"/>
      <c r="D22" s="309"/>
      <c r="E22" s="327"/>
      <c r="P22" s="1"/>
      <c r="AE22" s="1"/>
      <c r="AT22" s="1"/>
    </row>
    <row r="23" spans="1:46">
      <c r="A23" s="195">
        <v>13</v>
      </c>
      <c r="B23" s="308"/>
      <c r="C23" s="309"/>
      <c r="D23" s="309"/>
      <c r="E23" s="327"/>
      <c r="P23" s="1"/>
      <c r="AE23" s="1"/>
      <c r="AT23" s="1"/>
    </row>
    <row r="24" spans="1:46">
      <c r="A24" s="195">
        <v>14</v>
      </c>
      <c r="B24" s="308"/>
      <c r="C24" s="309"/>
      <c r="D24" s="309"/>
      <c r="E24" s="327"/>
      <c r="P24" s="1"/>
      <c r="AE24" s="1"/>
      <c r="AT24" s="1"/>
    </row>
    <row r="25" spans="1:46">
      <c r="A25" s="195">
        <v>15</v>
      </c>
      <c r="B25" s="308"/>
      <c r="C25" s="309"/>
      <c r="D25" s="309"/>
      <c r="E25" s="327"/>
      <c r="P25" s="1"/>
      <c r="AE25" s="1"/>
      <c r="AT25" s="1"/>
    </row>
    <row r="26" spans="1:46">
      <c r="A26" s="195">
        <v>16</v>
      </c>
      <c r="B26" s="308"/>
      <c r="C26" s="309"/>
      <c r="D26" s="309"/>
      <c r="E26" s="327"/>
      <c r="P26" s="1"/>
      <c r="AE26" s="1"/>
      <c r="AT26" s="1"/>
    </row>
    <row r="27" spans="1:46">
      <c r="A27" s="195">
        <v>17</v>
      </c>
      <c r="B27" s="308"/>
      <c r="C27" s="309"/>
      <c r="D27" s="309"/>
      <c r="E27" s="327"/>
      <c r="P27" s="1"/>
      <c r="AE27" s="1"/>
      <c r="AT27" s="1"/>
    </row>
    <row r="28" spans="1:46">
      <c r="A28" s="195">
        <v>18</v>
      </c>
      <c r="B28" s="308"/>
      <c r="C28" s="309"/>
      <c r="D28" s="309"/>
      <c r="E28" s="327"/>
      <c r="P28" s="1"/>
      <c r="AE28" s="1"/>
      <c r="AT28" s="1"/>
    </row>
    <row r="29" spans="1:46">
      <c r="A29" s="195">
        <v>19</v>
      </c>
      <c r="B29" s="308"/>
      <c r="C29" s="309"/>
      <c r="D29" s="309"/>
      <c r="E29" s="327"/>
      <c r="P29" s="1"/>
      <c r="AE29" s="1"/>
      <c r="AT29" s="1"/>
    </row>
    <row r="30" spans="1:46">
      <c r="A30" s="195">
        <v>20</v>
      </c>
      <c r="B30" s="308"/>
      <c r="C30" s="309"/>
      <c r="D30" s="309"/>
      <c r="E30" s="327"/>
      <c r="P30" s="1"/>
      <c r="AE30" s="1"/>
      <c r="AT30" s="1"/>
    </row>
    <row r="31" spans="1:46">
      <c r="A31" s="195">
        <v>21</v>
      </c>
      <c r="B31" s="308"/>
      <c r="C31" s="309"/>
      <c r="D31" s="309"/>
      <c r="E31" s="327"/>
      <c r="P31" s="1"/>
      <c r="AE31" s="1"/>
      <c r="AT31" s="1"/>
    </row>
    <row r="32" spans="1:46">
      <c r="A32" s="195">
        <v>22</v>
      </c>
      <c r="B32" s="308"/>
      <c r="C32" s="309"/>
      <c r="D32" s="309"/>
      <c r="E32" s="327"/>
      <c r="P32" s="1"/>
      <c r="AE32" s="1"/>
      <c r="AT32" s="1"/>
    </row>
    <row r="33" spans="1:46">
      <c r="A33" s="195">
        <v>23</v>
      </c>
      <c r="B33" s="308"/>
      <c r="C33" s="309"/>
      <c r="D33" s="309"/>
      <c r="E33" s="327"/>
      <c r="P33" s="1"/>
      <c r="AE33" s="1"/>
      <c r="AT33" s="1"/>
    </row>
    <row r="34" spans="1:46">
      <c r="A34" s="195">
        <v>24</v>
      </c>
      <c r="B34" s="308"/>
      <c r="C34" s="309"/>
      <c r="D34" s="309"/>
      <c r="E34" s="327"/>
      <c r="P34" s="1"/>
      <c r="AE34" s="1"/>
      <c r="AT34" s="1"/>
    </row>
    <row r="35" spans="1:46">
      <c r="A35" s="195">
        <v>25</v>
      </c>
      <c r="B35" s="308"/>
      <c r="C35" s="309"/>
      <c r="D35" s="309"/>
      <c r="E35" s="327"/>
      <c r="P35" s="1"/>
      <c r="AE35" s="1"/>
      <c r="AT35" s="1"/>
    </row>
    <row r="36" spans="1:46">
      <c r="A36" s="195">
        <v>26</v>
      </c>
      <c r="B36" s="308"/>
      <c r="C36" s="309"/>
      <c r="D36" s="309"/>
      <c r="E36" s="327"/>
      <c r="P36" s="1"/>
      <c r="AE36" s="1"/>
      <c r="AT36" s="1"/>
    </row>
    <row r="37" spans="1:46">
      <c r="A37" s="195">
        <v>27</v>
      </c>
      <c r="B37" s="308"/>
      <c r="C37" s="309"/>
      <c r="D37" s="309"/>
      <c r="E37" s="327"/>
      <c r="P37" s="1"/>
      <c r="AE37" s="1"/>
      <c r="AT37" s="1"/>
    </row>
    <row r="38" spans="1:46">
      <c r="A38" s="195">
        <v>28</v>
      </c>
      <c r="B38" s="308"/>
      <c r="C38" s="309"/>
      <c r="D38" s="309"/>
      <c r="E38" s="327"/>
      <c r="P38" s="1"/>
      <c r="AE38" s="1"/>
      <c r="AT38" s="1"/>
    </row>
    <row r="39" spans="1:46">
      <c r="A39" s="195">
        <v>29</v>
      </c>
      <c r="B39" s="308"/>
      <c r="C39" s="309"/>
      <c r="D39" s="309"/>
      <c r="E39" s="327"/>
      <c r="P39" s="1"/>
      <c r="AE39" s="1"/>
      <c r="AT39" s="1"/>
    </row>
    <row r="40" spans="1:46">
      <c r="A40" s="195">
        <v>30</v>
      </c>
      <c r="B40" s="308"/>
      <c r="C40" s="309"/>
      <c r="D40" s="309"/>
      <c r="E40" s="327"/>
      <c r="P40" s="1"/>
      <c r="AE40" s="1"/>
      <c r="AT40" s="1"/>
    </row>
    <row r="41" spans="1:46">
      <c r="A41" s="195">
        <v>31</v>
      </c>
      <c r="B41" s="308"/>
      <c r="C41" s="309"/>
      <c r="D41" s="309"/>
      <c r="E41" s="327"/>
      <c r="P41" s="1"/>
      <c r="AE41" s="1"/>
      <c r="AT41" s="1"/>
    </row>
    <row r="42" spans="1:46">
      <c r="A42" s="195">
        <v>32</v>
      </c>
      <c r="B42" s="308"/>
      <c r="C42" s="309"/>
      <c r="D42" s="309"/>
      <c r="E42" s="327"/>
      <c r="P42" s="1"/>
      <c r="AE42" s="1"/>
      <c r="AT42" s="1"/>
    </row>
    <row r="43" spans="1:46">
      <c r="A43" s="195">
        <v>33</v>
      </c>
      <c r="B43" s="308"/>
      <c r="C43" s="309"/>
      <c r="D43" s="309"/>
      <c r="E43" s="327"/>
      <c r="P43" s="1"/>
      <c r="AE43" s="1"/>
      <c r="AT43" s="1"/>
    </row>
    <row r="44" spans="1:46">
      <c r="A44" s="195">
        <v>34</v>
      </c>
      <c r="B44" s="308"/>
      <c r="C44" s="309"/>
      <c r="D44" s="309"/>
      <c r="E44" s="327"/>
      <c r="P44" s="1"/>
      <c r="AE44" s="1"/>
      <c r="AT44" s="1"/>
    </row>
    <row r="45" spans="1:46">
      <c r="A45" s="195">
        <v>35</v>
      </c>
      <c r="B45" s="308"/>
      <c r="C45" s="309"/>
      <c r="D45" s="309"/>
      <c r="E45" s="327"/>
      <c r="P45" s="1"/>
      <c r="AE45" s="1"/>
      <c r="AT45" s="1"/>
    </row>
    <row r="46" spans="1:46">
      <c r="A46" s="195">
        <v>36</v>
      </c>
      <c r="B46" s="308"/>
      <c r="C46" s="309"/>
      <c r="D46" s="309"/>
      <c r="E46" s="327"/>
      <c r="P46" s="1"/>
      <c r="AE46" s="1"/>
      <c r="AT46" s="1"/>
    </row>
    <row r="47" spans="1:46">
      <c r="A47" s="195">
        <v>37</v>
      </c>
      <c r="B47" s="308"/>
      <c r="C47" s="309"/>
      <c r="D47" s="309"/>
      <c r="E47" s="327"/>
      <c r="P47" s="1"/>
      <c r="AE47" s="1"/>
      <c r="AT47" s="1"/>
    </row>
    <row r="48" spans="1:46">
      <c r="A48" s="195">
        <v>38</v>
      </c>
      <c r="B48" s="308"/>
      <c r="C48" s="309"/>
      <c r="D48" s="309"/>
      <c r="E48" s="327"/>
      <c r="P48" s="1"/>
      <c r="AE48" s="1"/>
      <c r="AT48" s="1"/>
    </row>
    <row r="49" spans="1:46">
      <c r="A49" s="195">
        <v>39</v>
      </c>
      <c r="B49" s="308"/>
      <c r="C49" s="309"/>
      <c r="D49" s="309"/>
      <c r="E49" s="327"/>
      <c r="P49" s="1"/>
      <c r="AE49" s="1"/>
      <c r="AT49" s="1"/>
    </row>
    <row r="50" spans="1:46">
      <c r="A50" s="195">
        <v>40</v>
      </c>
      <c r="B50" s="308"/>
      <c r="C50" s="309"/>
      <c r="D50" s="309"/>
      <c r="E50" s="327"/>
      <c r="P50" s="1"/>
      <c r="AE50" s="1"/>
      <c r="AT50" s="1"/>
    </row>
    <row r="51" spans="1:46">
      <c r="A51" s="195">
        <v>41</v>
      </c>
      <c r="B51" s="308"/>
      <c r="C51" s="309"/>
      <c r="D51" s="309"/>
      <c r="E51" s="327"/>
      <c r="P51" s="1"/>
      <c r="AE51" s="1"/>
      <c r="AT51" s="1"/>
    </row>
    <row r="52" spans="1:46">
      <c r="A52" s="195">
        <v>42</v>
      </c>
      <c r="B52" s="308"/>
      <c r="C52" s="309"/>
      <c r="D52" s="309"/>
      <c r="E52" s="327"/>
      <c r="P52" s="1"/>
      <c r="AE52" s="1"/>
      <c r="AT52" s="1"/>
    </row>
    <row r="53" spans="1:46">
      <c r="A53" s="195">
        <v>43</v>
      </c>
      <c r="B53" s="308"/>
      <c r="C53" s="309"/>
      <c r="D53" s="309"/>
      <c r="E53" s="327"/>
      <c r="P53" s="1"/>
      <c r="AE53" s="1"/>
      <c r="AT53" s="1"/>
    </row>
    <row r="54" spans="1:46">
      <c r="A54" s="195">
        <v>44</v>
      </c>
      <c r="B54" s="308"/>
      <c r="C54" s="309"/>
      <c r="D54" s="309"/>
      <c r="E54" s="327"/>
      <c r="P54" s="1"/>
      <c r="AE54" s="1"/>
      <c r="AT54" s="1"/>
    </row>
    <row r="55" spans="1:46">
      <c r="A55" s="195">
        <v>45</v>
      </c>
      <c r="B55" s="308"/>
      <c r="C55" s="309"/>
      <c r="D55" s="309"/>
      <c r="E55" s="327"/>
      <c r="P55" s="1"/>
      <c r="AE55" s="1"/>
      <c r="AT55" s="1"/>
    </row>
    <row r="56" spans="1:46">
      <c r="A56" s="195">
        <v>46</v>
      </c>
      <c r="B56" s="308"/>
      <c r="C56" s="309"/>
      <c r="D56" s="309"/>
      <c r="E56" s="327"/>
      <c r="P56" s="1"/>
      <c r="AE56" s="1"/>
      <c r="AT56" s="1"/>
    </row>
    <row r="57" spans="1:46">
      <c r="A57" s="195">
        <v>47</v>
      </c>
      <c r="B57" s="308"/>
      <c r="C57" s="309"/>
      <c r="D57" s="309"/>
      <c r="E57" s="327"/>
      <c r="P57" s="1"/>
      <c r="AE57" s="1"/>
      <c r="AT57" s="1"/>
    </row>
    <row r="58" spans="1:46">
      <c r="A58" s="195">
        <v>48</v>
      </c>
      <c r="B58" s="308"/>
      <c r="C58" s="309"/>
      <c r="D58" s="309"/>
      <c r="E58" s="327"/>
      <c r="P58" s="1"/>
      <c r="AE58" s="1"/>
      <c r="AT58" s="1"/>
    </row>
    <row r="59" spans="1:46">
      <c r="A59" s="195">
        <v>49</v>
      </c>
      <c r="B59" s="308"/>
      <c r="C59" s="309"/>
      <c r="D59" s="309"/>
      <c r="E59" s="327"/>
      <c r="P59" s="1"/>
      <c r="AE59" s="1"/>
      <c r="AT59" s="1"/>
    </row>
    <row r="60" spans="1:46">
      <c r="A60" s="195">
        <v>50</v>
      </c>
      <c r="B60" s="308"/>
      <c r="C60" s="309"/>
      <c r="D60" s="309"/>
      <c r="E60" s="327"/>
      <c r="P60" s="1"/>
      <c r="AE60" s="1"/>
      <c r="AT60" s="1"/>
    </row>
    <row r="61" spans="1:46">
      <c r="A61" s="195">
        <v>51</v>
      </c>
      <c r="B61" s="308"/>
      <c r="C61" s="309"/>
      <c r="D61" s="309"/>
      <c r="E61" s="327"/>
      <c r="P61" s="1"/>
      <c r="AE61" s="1"/>
      <c r="AT61" s="1"/>
    </row>
    <row r="62" spans="1:46">
      <c r="A62" s="195">
        <v>52</v>
      </c>
      <c r="B62" s="308"/>
      <c r="C62" s="309"/>
      <c r="D62" s="309"/>
      <c r="E62" s="327"/>
      <c r="P62" s="1"/>
      <c r="AE62" s="1"/>
      <c r="AT62" s="1"/>
    </row>
    <row r="63" spans="1:46">
      <c r="A63" s="195">
        <v>53</v>
      </c>
      <c r="B63" s="308"/>
      <c r="C63" s="309"/>
      <c r="D63" s="309"/>
      <c r="E63" s="327"/>
      <c r="P63" s="1"/>
      <c r="AE63" s="1"/>
      <c r="AT63" s="1"/>
    </row>
    <row r="64" spans="1:46">
      <c r="A64" s="195">
        <v>54</v>
      </c>
      <c r="B64" s="308"/>
      <c r="C64" s="309"/>
      <c r="D64" s="309"/>
      <c r="E64" s="327"/>
      <c r="P64" s="1"/>
      <c r="AE64" s="1"/>
      <c r="AT64" s="1"/>
    </row>
    <row r="65" spans="1:46">
      <c r="A65" s="195">
        <v>55</v>
      </c>
      <c r="B65" s="308"/>
      <c r="C65" s="309"/>
      <c r="D65" s="309"/>
      <c r="E65" s="327"/>
      <c r="P65" s="1"/>
      <c r="AE65" s="1"/>
      <c r="AT65" s="1"/>
    </row>
    <row r="66" spans="1:46">
      <c r="A66" s="195">
        <v>56</v>
      </c>
      <c r="B66" s="308"/>
      <c r="C66" s="309"/>
      <c r="D66" s="309"/>
      <c r="E66" s="327"/>
      <c r="P66" s="1"/>
      <c r="AE66" s="1"/>
      <c r="AT66" s="1"/>
    </row>
    <row r="67" spans="1:46">
      <c r="A67" s="195">
        <v>57</v>
      </c>
      <c r="B67" s="308"/>
      <c r="C67" s="309"/>
      <c r="D67" s="309"/>
      <c r="E67" s="327"/>
      <c r="P67" s="1"/>
      <c r="AE67" s="1"/>
      <c r="AT67" s="1"/>
    </row>
    <row r="68" spans="1:46">
      <c r="A68" s="195">
        <v>58</v>
      </c>
      <c r="B68" s="308"/>
      <c r="C68" s="309"/>
      <c r="D68" s="309"/>
      <c r="E68" s="327"/>
      <c r="P68" s="1"/>
      <c r="AE68" s="1"/>
      <c r="AT68" s="1"/>
    </row>
    <row r="69" spans="1:46">
      <c r="A69" s="195">
        <v>59</v>
      </c>
      <c r="B69" s="308"/>
      <c r="C69" s="309"/>
      <c r="D69" s="309"/>
      <c r="E69" s="327"/>
      <c r="P69" s="1"/>
      <c r="AE69" s="1"/>
      <c r="AT69" s="1"/>
    </row>
    <row r="70" spans="1:46">
      <c r="A70" s="195">
        <v>60</v>
      </c>
      <c r="B70" s="308"/>
      <c r="C70" s="309"/>
      <c r="D70" s="309"/>
      <c r="E70" s="327"/>
      <c r="P70" s="1"/>
      <c r="AE70" s="1"/>
      <c r="AT70" s="1"/>
    </row>
    <row r="71" spans="1:46">
      <c r="A71" s="195">
        <v>61</v>
      </c>
      <c r="B71" s="308"/>
      <c r="C71" s="309"/>
      <c r="D71" s="309"/>
      <c r="E71" s="327"/>
      <c r="P71" s="1"/>
      <c r="AE71" s="1"/>
      <c r="AT71" s="1"/>
    </row>
    <row r="72" spans="1:46">
      <c r="A72" s="195">
        <v>62</v>
      </c>
      <c r="B72" s="308"/>
      <c r="C72" s="309"/>
      <c r="D72" s="309"/>
      <c r="E72" s="327"/>
      <c r="P72" s="1"/>
      <c r="AE72" s="1"/>
      <c r="AT72" s="1"/>
    </row>
    <row r="73" spans="1:46">
      <c r="A73" s="195">
        <v>63</v>
      </c>
      <c r="B73" s="308"/>
      <c r="C73" s="309"/>
      <c r="D73" s="309"/>
      <c r="E73" s="327"/>
      <c r="P73" s="1"/>
      <c r="AE73" s="1"/>
      <c r="AT73" s="1"/>
    </row>
    <row r="74" spans="1:46">
      <c r="A74" s="195">
        <v>64</v>
      </c>
      <c r="B74" s="308"/>
      <c r="C74" s="309"/>
      <c r="D74" s="309"/>
      <c r="E74" s="327"/>
      <c r="P74" s="1"/>
      <c r="AE74" s="1"/>
      <c r="AT74" s="1"/>
    </row>
    <row r="75" spans="1:46">
      <c r="A75" s="195">
        <v>65</v>
      </c>
      <c r="B75" s="308"/>
      <c r="C75" s="309"/>
      <c r="D75" s="309"/>
      <c r="E75" s="327"/>
      <c r="P75" s="1"/>
      <c r="AE75" s="1"/>
      <c r="AT75" s="1"/>
    </row>
    <row r="76" spans="1:46">
      <c r="A76" s="195">
        <v>66</v>
      </c>
      <c r="B76" s="308"/>
      <c r="C76" s="309"/>
      <c r="D76" s="309"/>
      <c r="E76" s="327"/>
      <c r="P76" s="1"/>
      <c r="AE76" s="1"/>
      <c r="AT76" s="1"/>
    </row>
    <row r="77" spans="1:46">
      <c r="A77" s="195">
        <v>67</v>
      </c>
      <c r="B77" s="308"/>
      <c r="C77" s="309"/>
      <c r="D77" s="309"/>
      <c r="E77" s="327"/>
      <c r="P77" s="1"/>
      <c r="AE77" s="1"/>
      <c r="AT77" s="1"/>
    </row>
    <row r="78" spans="1:46">
      <c r="A78" s="195">
        <v>68</v>
      </c>
      <c r="B78" s="308"/>
      <c r="C78" s="309"/>
      <c r="D78" s="309"/>
      <c r="E78" s="327"/>
      <c r="P78" s="1"/>
      <c r="AE78" s="1"/>
      <c r="AT78" s="1"/>
    </row>
    <row r="79" spans="1:46">
      <c r="A79" s="195">
        <v>69</v>
      </c>
      <c r="B79" s="308"/>
      <c r="C79" s="309"/>
      <c r="D79" s="309"/>
      <c r="E79" s="327"/>
      <c r="P79" s="1"/>
      <c r="AE79" s="1"/>
      <c r="AT79" s="1"/>
    </row>
    <row r="80" spans="1:46">
      <c r="A80" s="195">
        <v>70</v>
      </c>
      <c r="B80" s="308"/>
      <c r="C80" s="309"/>
      <c r="D80" s="309"/>
      <c r="E80" s="327"/>
      <c r="P80" s="1"/>
      <c r="AE80" s="1"/>
      <c r="AT80" s="1"/>
    </row>
    <row r="81" spans="1:46">
      <c r="A81" s="195">
        <v>71</v>
      </c>
      <c r="B81" s="308"/>
      <c r="C81" s="309"/>
      <c r="D81" s="309"/>
      <c r="E81" s="327"/>
      <c r="P81" s="1"/>
      <c r="AE81" s="1"/>
      <c r="AT81" s="1"/>
    </row>
    <row r="82" spans="1:46">
      <c r="A82" s="195">
        <v>72</v>
      </c>
      <c r="B82" s="308"/>
      <c r="C82" s="309"/>
      <c r="D82" s="309"/>
      <c r="E82" s="327"/>
      <c r="P82" s="1"/>
      <c r="AE82" s="1"/>
      <c r="AT82" s="1"/>
    </row>
    <row r="83" spans="1:46">
      <c r="A83" s="195">
        <v>73</v>
      </c>
      <c r="B83" s="308"/>
      <c r="C83" s="309"/>
      <c r="D83" s="309"/>
      <c r="E83" s="327"/>
      <c r="P83" s="1"/>
      <c r="AE83" s="1"/>
      <c r="AT83" s="1"/>
    </row>
    <row r="84" spans="1:46">
      <c r="A84" s="195">
        <v>74</v>
      </c>
      <c r="B84" s="308"/>
      <c r="C84" s="309"/>
      <c r="D84" s="309"/>
      <c r="E84" s="327"/>
      <c r="P84" s="1"/>
      <c r="AE84" s="1"/>
      <c r="AT84" s="1"/>
    </row>
    <row r="85" spans="1:46">
      <c r="A85" s="195">
        <v>75</v>
      </c>
      <c r="B85" s="308"/>
      <c r="C85" s="309"/>
      <c r="D85" s="309"/>
      <c r="E85" s="327"/>
      <c r="P85" s="1"/>
      <c r="AE85" s="1"/>
      <c r="AT85" s="1"/>
    </row>
    <row r="86" spans="1:46">
      <c r="A86" s="195">
        <v>76</v>
      </c>
      <c r="B86" s="308"/>
      <c r="C86" s="309"/>
      <c r="D86" s="309"/>
      <c r="E86" s="327"/>
      <c r="P86" s="1"/>
      <c r="AE86" s="1"/>
      <c r="AT86" s="1"/>
    </row>
    <row r="87" spans="1:46">
      <c r="A87" s="195">
        <v>77</v>
      </c>
      <c r="B87" s="308"/>
      <c r="C87" s="309"/>
      <c r="D87" s="309"/>
      <c r="E87" s="327"/>
      <c r="P87" s="1"/>
      <c r="AE87" s="1"/>
      <c r="AT87" s="1"/>
    </row>
    <row r="88" spans="1:46">
      <c r="A88" s="195">
        <v>78</v>
      </c>
      <c r="B88" s="308"/>
      <c r="C88" s="309"/>
      <c r="D88" s="309"/>
      <c r="E88" s="327"/>
      <c r="P88" s="1"/>
      <c r="AE88" s="1"/>
      <c r="AT88" s="1"/>
    </row>
    <row r="89" spans="1:46">
      <c r="A89" s="195">
        <v>79</v>
      </c>
      <c r="B89" s="308"/>
      <c r="C89" s="309"/>
      <c r="D89" s="309"/>
      <c r="E89" s="327"/>
      <c r="P89" s="1"/>
      <c r="AE89" s="1"/>
      <c r="AT89" s="1"/>
    </row>
    <row r="90" spans="1:46">
      <c r="A90" s="195">
        <v>80</v>
      </c>
      <c r="B90" s="308"/>
      <c r="C90" s="309"/>
      <c r="D90" s="309"/>
      <c r="E90" s="327"/>
      <c r="P90" s="1"/>
      <c r="AE90" s="1"/>
      <c r="AT90" s="1"/>
    </row>
    <row r="91" spans="1:46">
      <c r="A91" s="195">
        <v>81</v>
      </c>
      <c r="B91" s="308"/>
      <c r="C91" s="309"/>
      <c r="D91" s="309"/>
      <c r="E91" s="327"/>
      <c r="P91" s="1"/>
      <c r="AE91" s="1"/>
      <c r="AT91" s="1"/>
    </row>
    <row r="92" spans="1:46">
      <c r="A92" s="195">
        <v>82</v>
      </c>
      <c r="B92" s="308"/>
      <c r="C92" s="309"/>
      <c r="D92" s="309"/>
      <c r="E92" s="327"/>
      <c r="P92" s="1"/>
      <c r="AE92" s="1"/>
      <c r="AT92" s="1"/>
    </row>
    <row r="93" spans="1:46">
      <c r="A93" s="195">
        <v>83</v>
      </c>
      <c r="B93" s="308"/>
      <c r="C93" s="309"/>
      <c r="D93" s="309"/>
      <c r="E93" s="327"/>
      <c r="P93" s="1"/>
      <c r="AE93" s="1"/>
      <c r="AT93" s="1"/>
    </row>
    <row r="94" spans="1:46">
      <c r="A94" s="195">
        <v>84</v>
      </c>
      <c r="B94" s="308"/>
      <c r="C94" s="309"/>
      <c r="D94" s="309"/>
      <c r="E94" s="327"/>
      <c r="P94" s="1"/>
      <c r="AE94" s="1"/>
      <c r="AT94" s="1"/>
    </row>
    <row r="95" spans="1:46">
      <c r="A95" s="195">
        <v>85</v>
      </c>
      <c r="B95" s="308"/>
      <c r="C95" s="309"/>
      <c r="D95" s="309"/>
      <c r="E95" s="327"/>
      <c r="P95" s="1"/>
      <c r="AE95" s="1"/>
      <c r="AT95" s="1"/>
    </row>
    <row r="96" spans="1:46">
      <c r="A96" s="195">
        <v>86</v>
      </c>
      <c r="B96" s="308"/>
      <c r="C96" s="309"/>
      <c r="D96" s="309"/>
      <c r="E96" s="327"/>
      <c r="P96" s="1"/>
      <c r="AE96" s="1"/>
      <c r="AT96" s="1"/>
    </row>
    <row r="97" spans="1:46">
      <c r="A97" s="195">
        <v>87</v>
      </c>
      <c r="B97" s="308"/>
      <c r="C97" s="309"/>
      <c r="D97" s="309"/>
      <c r="E97" s="327"/>
      <c r="P97" s="1"/>
      <c r="AE97" s="1"/>
      <c r="AT97" s="1"/>
    </row>
    <row r="98" spans="1:46">
      <c r="A98" s="195">
        <v>88</v>
      </c>
      <c r="B98" s="308"/>
      <c r="C98" s="309"/>
      <c r="D98" s="309"/>
      <c r="E98" s="327"/>
      <c r="P98" s="1"/>
      <c r="AE98" s="1"/>
      <c r="AT98" s="1"/>
    </row>
    <row r="99" spans="1:46">
      <c r="A99" s="195">
        <v>89</v>
      </c>
      <c r="B99" s="308"/>
      <c r="C99" s="309"/>
      <c r="D99" s="309"/>
      <c r="E99" s="327"/>
      <c r="P99" s="1"/>
      <c r="AE99" s="1"/>
      <c r="AT99" s="1"/>
    </row>
    <row r="100" spans="1:46">
      <c r="A100" s="195">
        <v>90</v>
      </c>
      <c r="B100" s="308"/>
      <c r="C100" s="309"/>
      <c r="D100" s="309"/>
      <c r="E100" s="327"/>
      <c r="P100" s="1"/>
      <c r="AE100" s="1"/>
      <c r="AT100" s="1"/>
    </row>
    <row r="101" spans="1:46">
      <c r="A101" s="195">
        <v>91</v>
      </c>
      <c r="B101" s="308"/>
      <c r="C101" s="309"/>
      <c r="D101" s="309"/>
      <c r="E101" s="327"/>
      <c r="P101" s="1"/>
      <c r="AE101" s="1"/>
      <c r="AT101" s="1"/>
    </row>
    <row r="102" spans="1:46">
      <c r="A102" s="195">
        <v>92</v>
      </c>
      <c r="B102" s="308"/>
      <c r="C102" s="309"/>
      <c r="D102" s="309"/>
      <c r="E102" s="327"/>
      <c r="P102" s="1"/>
      <c r="AE102" s="1"/>
      <c r="AT102" s="1"/>
    </row>
    <row r="103" spans="1:46">
      <c r="A103" s="195">
        <v>93</v>
      </c>
      <c r="B103" s="308"/>
      <c r="C103" s="309"/>
      <c r="D103" s="309"/>
      <c r="E103" s="327"/>
      <c r="P103" s="1"/>
      <c r="AE103" s="1"/>
      <c r="AT103" s="1"/>
    </row>
    <row r="104" spans="1:46">
      <c r="A104" s="195">
        <v>94</v>
      </c>
      <c r="B104" s="308"/>
      <c r="C104" s="309"/>
      <c r="D104" s="309"/>
      <c r="E104" s="327"/>
      <c r="P104" s="1"/>
      <c r="AE104" s="1"/>
      <c r="AT104" s="1"/>
    </row>
    <row r="105" spans="1:46">
      <c r="A105" s="195">
        <v>95</v>
      </c>
      <c r="B105" s="308"/>
      <c r="C105" s="309"/>
      <c r="D105" s="309"/>
      <c r="E105" s="327"/>
      <c r="P105" s="1"/>
      <c r="AE105" s="1"/>
      <c r="AT105" s="1"/>
    </row>
    <row r="106" spans="1:46">
      <c r="A106" s="195">
        <v>96</v>
      </c>
      <c r="B106" s="308"/>
      <c r="C106" s="309"/>
      <c r="D106" s="309"/>
      <c r="E106" s="327"/>
      <c r="P106" s="1"/>
      <c r="AE106" s="1"/>
      <c r="AT106" s="1"/>
    </row>
    <row r="107" spans="1:46">
      <c r="A107" s="195">
        <v>97</v>
      </c>
      <c r="B107" s="308"/>
      <c r="C107" s="309"/>
      <c r="D107" s="309"/>
      <c r="E107" s="327"/>
      <c r="P107" s="1"/>
      <c r="AE107" s="1"/>
      <c r="AT107" s="1"/>
    </row>
    <row r="108" spans="1:46">
      <c r="A108" s="195">
        <v>98</v>
      </c>
      <c r="B108" s="308"/>
      <c r="C108" s="309"/>
      <c r="D108" s="309"/>
      <c r="E108" s="327"/>
      <c r="P108" s="1"/>
      <c r="AE108" s="1"/>
      <c r="AT108" s="1"/>
    </row>
    <row r="109" spans="1:46">
      <c r="A109" s="195">
        <v>99</v>
      </c>
      <c r="B109" s="308"/>
      <c r="C109" s="309"/>
      <c r="D109" s="309"/>
      <c r="E109" s="327"/>
      <c r="P109" s="1"/>
      <c r="AE109" s="1"/>
      <c r="AT109" s="1"/>
    </row>
    <row r="110" spans="1:46">
      <c r="A110" s="325">
        <v>100</v>
      </c>
      <c r="B110" s="328"/>
      <c r="C110" s="329"/>
      <c r="D110" s="329"/>
      <c r="E110" s="330"/>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1:J111">
    <cfRule type="expression" dxfId="2" priority="1">
      <formula>CELL("Protect",A1)=1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election activeCell="V34" sqref="V34"/>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8">
      <c r="A1" s="33" t="s">
        <v>136</v>
      </c>
      <c r="B1" s="6"/>
      <c r="C1" s="4"/>
      <c r="D1" s="6"/>
      <c r="E1" s="6"/>
      <c r="F1" s="6"/>
      <c r="G1" s="6"/>
      <c r="H1" s="6"/>
      <c r="I1" s="6"/>
      <c r="J1" s="177"/>
      <c r="K1" s="178"/>
    </row>
    <row r="2" spans="1:59" ht="16.5" thickBot="1">
      <c r="A2" s="260" t="s">
        <v>137</v>
      </c>
      <c r="B2" s="6"/>
      <c r="C2" s="11"/>
      <c r="D2" s="6"/>
      <c r="E2" s="6"/>
      <c r="F2" s="6"/>
      <c r="G2" s="6"/>
      <c r="H2" s="6"/>
      <c r="I2" s="6"/>
      <c r="J2" s="177"/>
      <c r="K2" s="178"/>
    </row>
    <row r="3" spans="1:59" ht="16.5" thickBot="1">
      <c r="A3" s="322" t="s">
        <v>106</v>
      </c>
      <c r="B3" s="377" t="str">
        <f>'START HERE'!F6</f>
        <v>Chile</v>
      </c>
      <c r="C3" s="388"/>
      <c r="D3" s="378"/>
      <c r="E3" s="177"/>
      <c r="F3" s="30" t="s">
        <v>39</v>
      </c>
      <c r="G3" s="374" t="str">
        <f>'LEN F4'!F3</f>
        <v>Fleet 4 Offshore</v>
      </c>
      <c r="H3" s="375"/>
      <c r="I3" s="376"/>
      <c r="J3" s="177"/>
      <c r="K3" s="178"/>
    </row>
    <row r="4" spans="1:59" ht="15.75">
      <c r="A4" s="12" t="s">
        <v>19</v>
      </c>
      <c r="B4" s="377" t="str">
        <f>'START HERE'!F5</f>
        <v>Jack mackerel</v>
      </c>
      <c r="C4" s="388"/>
      <c r="D4" s="378"/>
      <c r="E4" s="177"/>
      <c r="F4" s="323"/>
      <c r="G4" s="314"/>
      <c r="H4" s="315"/>
      <c r="I4" s="333"/>
      <c r="J4" s="177"/>
      <c r="K4" s="178"/>
    </row>
    <row r="5" spans="1:59" ht="18">
      <c r="A5" s="12" t="s">
        <v>13</v>
      </c>
      <c r="B5" s="389">
        <f>'START HERE'!$K$3</f>
        <v>2019</v>
      </c>
      <c r="C5" s="390"/>
      <c r="D5" s="391"/>
      <c r="E5" s="177"/>
      <c r="F5" s="12" t="s">
        <v>40</v>
      </c>
      <c r="G5" s="321" t="s">
        <v>138</v>
      </c>
      <c r="H5" s="331"/>
      <c r="I5" s="332"/>
      <c r="J5" s="177"/>
      <c r="K5" s="178"/>
    </row>
    <row r="6" spans="1:59" ht="16.5" thickBot="1">
      <c r="A6" s="12"/>
      <c r="B6" s="11"/>
      <c r="C6" s="103"/>
      <c r="D6" s="6"/>
      <c r="F6" s="12" t="s">
        <v>14</v>
      </c>
      <c r="G6" s="382">
        <f>'START HERE'!$F8</f>
        <v>42615</v>
      </c>
      <c r="H6" s="383"/>
      <c r="I6" s="384"/>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5" t="str">
        <f>'START HERE'!$F$13</f>
        <v>fork length</v>
      </c>
      <c r="B9" s="27" t="s">
        <v>52</v>
      </c>
      <c r="C9" s="27" t="s">
        <v>31</v>
      </c>
      <c r="D9" s="27" t="s">
        <v>32</v>
      </c>
      <c r="E9" s="27" t="s">
        <v>33</v>
      </c>
      <c r="F9" s="2"/>
      <c r="G9" s="149"/>
      <c r="H9" s="149"/>
      <c r="I9" s="149"/>
      <c r="J9" s="149"/>
      <c r="K9" s="334"/>
      <c r="L9" s="149"/>
      <c r="M9" s="149"/>
      <c r="N9" s="149"/>
      <c r="P9" s="2"/>
      <c r="Q9" s="405"/>
      <c r="R9" s="405"/>
      <c r="S9" s="405"/>
      <c r="T9" s="405"/>
      <c r="U9" s="405"/>
      <c r="V9" s="405"/>
      <c r="W9" s="405"/>
      <c r="X9" s="405"/>
      <c r="Y9" s="405"/>
      <c r="Z9" s="405"/>
      <c r="AA9" s="405"/>
      <c r="AB9" s="405"/>
      <c r="AC9" s="405"/>
      <c r="AE9" s="2"/>
      <c r="AF9" s="405"/>
      <c r="AG9" s="405"/>
      <c r="AH9" s="405"/>
      <c r="AI9" s="405"/>
      <c r="AJ9" s="405"/>
      <c r="AK9" s="405"/>
      <c r="AL9" s="405"/>
      <c r="AM9" s="405"/>
      <c r="AN9" s="405"/>
      <c r="AO9" s="405"/>
      <c r="AP9" s="405"/>
      <c r="AQ9" s="405"/>
      <c r="AR9" s="405"/>
      <c r="AT9" s="2"/>
      <c r="AU9" s="405"/>
      <c r="AV9" s="405"/>
      <c r="AW9" s="405"/>
      <c r="AX9" s="405"/>
      <c r="AY9" s="405"/>
      <c r="AZ9" s="405"/>
      <c r="BA9" s="405"/>
      <c r="BB9" s="405"/>
      <c r="BC9" s="405"/>
      <c r="BD9" s="405"/>
      <c r="BE9" s="405"/>
      <c r="BF9" s="405"/>
      <c r="BG9" s="405"/>
    </row>
    <row r="10" spans="1:59" ht="18">
      <c r="A10" s="28" t="s">
        <v>43</v>
      </c>
      <c r="B10" s="181">
        <f>'START HERE'!$K$3</f>
        <v>2019</v>
      </c>
      <c r="C10" s="181">
        <f>'START HERE'!$K$3</f>
        <v>2019</v>
      </c>
      <c r="D10" s="181">
        <f>'START HERE'!$K$3</f>
        <v>2019</v>
      </c>
      <c r="E10" s="180">
        <f>'START HERE'!$K$3</f>
        <v>2019</v>
      </c>
      <c r="F10" s="324"/>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5"/>
      <c r="C11" s="306"/>
      <c r="D11" s="306"/>
      <c r="E11" s="326"/>
      <c r="P11" s="1"/>
      <c r="AE11" s="1"/>
      <c r="AT11" s="1"/>
    </row>
    <row r="12" spans="1:59">
      <c r="A12" s="195">
        <v>2</v>
      </c>
      <c r="B12" s="308"/>
      <c r="C12" s="309"/>
      <c r="D12" s="309"/>
      <c r="E12" s="327"/>
      <c r="P12" s="1"/>
      <c r="AE12" s="1"/>
      <c r="AT12" s="1"/>
    </row>
    <row r="13" spans="1:59">
      <c r="A13" s="195">
        <v>3</v>
      </c>
      <c r="B13" s="308"/>
      <c r="C13" s="309"/>
      <c r="D13" s="309"/>
      <c r="E13" s="327"/>
      <c r="P13" s="1"/>
      <c r="AE13" s="1"/>
      <c r="AT13" s="1"/>
    </row>
    <row r="14" spans="1:59">
      <c r="A14" s="195">
        <v>4</v>
      </c>
      <c r="B14" s="308"/>
      <c r="C14" s="309"/>
      <c r="D14" s="309"/>
      <c r="E14" s="327"/>
      <c r="P14" s="1"/>
      <c r="AE14" s="1"/>
      <c r="AT14" s="1"/>
    </row>
    <row r="15" spans="1:59">
      <c r="A15" s="195">
        <v>5</v>
      </c>
      <c r="B15" s="308"/>
      <c r="C15" s="309"/>
      <c r="D15" s="309"/>
      <c r="E15" s="327"/>
      <c r="P15" s="1"/>
      <c r="AE15" s="1"/>
      <c r="AT15" s="1"/>
    </row>
    <row r="16" spans="1:59">
      <c r="A16" s="195">
        <v>6</v>
      </c>
      <c r="B16" s="308"/>
      <c r="C16" s="309"/>
      <c r="D16" s="309"/>
      <c r="E16" s="327"/>
      <c r="P16" s="1"/>
      <c r="AE16" s="1"/>
      <c r="AT16" s="1"/>
    </row>
    <row r="17" spans="1:46">
      <c r="A17" s="195">
        <v>7</v>
      </c>
      <c r="B17" s="308"/>
      <c r="C17" s="309"/>
      <c r="D17" s="309"/>
      <c r="E17" s="327"/>
      <c r="P17" s="1"/>
      <c r="AE17" s="1"/>
      <c r="AT17" s="1"/>
    </row>
    <row r="18" spans="1:46">
      <c r="A18" s="195">
        <v>8</v>
      </c>
      <c r="B18" s="308"/>
      <c r="C18" s="309"/>
      <c r="D18" s="309"/>
      <c r="E18" s="327"/>
      <c r="P18" s="1"/>
      <c r="AE18" s="1"/>
      <c r="AT18" s="1"/>
    </row>
    <row r="19" spans="1:46">
      <c r="A19" s="195">
        <v>9</v>
      </c>
      <c r="B19" s="308"/>
      <c r="C19" s="309"/>
      <c r="D19" s="309"/>
      <c r="E19" s="327"/>
      <c r="P19" s="1"/>
      <c r="AE19" s="1"/>
      <c r="AT19" s="1"/>
    </row>
    <row r="20" spans="1:46">
      <c r="A20" s="195">
        <v>10</v>
      </c>
      <c r="B20" s="308"/>
      <c r="C20" s="309"/>
      <c r="D20" s="309"/>
      <c r="E20" s="327"/>
      <c r="P20" s="1"/>
      <c r="AE20" s="1"/>
      <c r="AT20" s="1"/>
    </row>
    <row r="21" spans="1:46">
      <c r="A21" s="195">
        <v>11</v>
      </c>
      <c r="B21" s="308"/>
      <c r="C21" s="309"/>
      <c r="D21" s="309"/>
      <c r="E21" s="327"/>
      <c r="P21" s="1"/>
      <c r="AE21" s="1"/>
      <c r="AT21" s="1"/>
    </row>
    <row r="22" spans="1:46">
      <c r="A22" s="195">
        <v>12</v>
      </c>
      <c r="B22" s="308"/>
      <c r="C22" s="309"/>
      <c r="D22" s="309"/>
      <c r="E22" s="327"/>
      <c r="P22" s="1"/>
      <c r="AE22" s="1"/>
      <c r="AT22" s="1"/>
    </row>
    <row r="23" spans="1:46">
      <c r="A23" s="195">
        <v>13</v>
      </c>
      <c r="B23" s="308"/>
      <c r="C23" s="309"/>
      <c r="D23" s="309"/>
      <c r="E23" s="327"/>
      <c r="P23" s="1"/>
      <c r="AE23" s="1"/>
      <c r="AT23" s="1"/>
    </row>
    <row r="24" spans="1:46">
      <c r="A24" s="195">
        <v>14</v>
      </c>
      <c r="B24" s="308"/>
      <c r="C24" s="309"/>
      <c r="D24" s="309"/>
      <c r="E24" s="327"/>
      <c r="P24" s="1"/>
      <c r="AE24" s="1"/>
      <c r="AT24" s="1"/>
    </row>
    <row r="25" spans="1:46">
      <c r="A25" s="195">
        <v>15</v>
      </c>
      <c r="B25" s="308"/>
      <c r="C25" s="309"/>
      <c r="D25" s="309"/>
      <c r="E25" s="327"/>
      <c r="P25" s="1"/>
      <c r="AE25" s="1"/>
      <c r="AT25" s="1"/>
    </row>
    <row r="26" spans="1:46">
      <c r="A26" s="195">
        <v>16</v>
      </c>
      <c r="B26" s="308"/>
      <c r="C26" s="309"/>
      <c r="D26" s="309"/>
      <c r="E26" s="327"/>
      <c r="P26" s="1"/>
      <c r="AE26" s="1"/>
      <c r="AT26" s="1"/>
    </row>
    <row r="27" spans="1:46">
      <c r="A27" s="195">
        <v>17</v>
      </c>
      <c r="B27" s="308"/>
      <c r="C27" s="309"/>
      <c r="D27" s="309"/>
      <c r="E27" s="327"/>
      <c r="P27" s="1"/>
      <c r="AE27" s="1"/>
      <c r="AT27" s="1"/>
    </row>
    <row r="28" spans="1:46">
      <c r="A28" s="195">
        <v>18</v>
      </c>
      <c r="B28" s="308"/>
      <c r="C28" s="309"/>
      <c r="D28" s="309"/>
      <c r="E28" s="327"/>
      <c r="P28" s="1"/>
      <c r="AE28" s="1"/>
      <c r="AT28" s="1"/>
    </row>
    <row r="29" spans="1:46">
      <c r="A29" s="195">
        <v>19</v>
      </c>
      <c r="B29" s="308"/>
      <c r="C29" s="309"/>
      <c r="D29" s="309"/>
      <c r="E29" s="327"/>
      <c r="P29" s="1"/>
      <c r="AE29" s="1"/>
      <c r="AT29" s="1"/>
    </row>
    <row r="30" spans="1:46">
      <c r="A30" s="195">
        <v>20</v>
      </c>
      <c r="B30" s="308"/>
      <c r="C30" s="309"/>
      <c r="D30" s="309"/>
      <c r="E30" s="327"/>
      <c r="P30" s="1"/>
      <c r="AE30" s="1"/>
      <c r="AT30" s="1"/>
    </row>
    <row r="31" spans="1:46">
      <c r="A31" s="195">
        <v>21</v>
      </c>
      <c r="B31" s="308"/>
      <c r="C31" s="309"/>
      <c r="D31" s="309"/>
      <c r="E31" s="327"/>
      <c r="P31" s="1"/>
      <c r="AE31" s="1"/>
      <c r="AT31" s="1"/>
    </row>
    <row r="32" spans="1:46">
      <c r="A32" s="195">
        <v>22</v>
      </c>
      <c r="B32" s="308"/>
      <c r="C32" s="309"/>
      <c r="D32" s="309"/>
      <c r="E32" s="327"/>
      <c r="P32" s="1"/>
      <c r="AE32" s="1"/>
      <c r="AT32" s="1"/>
    </row>
    <row r="33" spans="1:46">
      <c r="A33" s="195">
        <v>23</v>
      </c>
      <c r="B33" s="308"/>
      <c r="C33" s="309"/>
      <c r="D33" s="309"/>
      <c r="E33" s="327"/>
      <c r="P33" s="1"/>
      <c r="AE33" s="1"/>
      <c r="AT33" s="1"/>
    </row>
    <row r="34" spans="1:46">
      <c r="A34" s="195">
        <v>24</v>
      </c>
      <c r="B34" s="308"/>
      <c r="C34" s="309"/>
      <c r="D34" s="309"/>
      <c r="E34" s="327"/>
      <c r="P34" s="1"/>
      <c r="AE34" s="1"/>
      <c r="AT34" s="1"/>
    </row>
    <row r="35" spans="1:46">
      <c r="A35" s="195">
        <v>25</v>
      </c>
      <c r="B35" s="308"/>
      <c r="C35" s="309"/>
      <c r="D35" s="309"/>
      <c r="E35" s="327"/>
      <c r="P35" s="1"/>
      <c r="AE35" s="1"/>
      <c r="AT35" s="1"/>
    </row>
    <row r="36" spans="1:46">
      <c r="A36" s="195">
        <v>26</v>
      </c>
      <c r="B36" s="308"/>
      <c r="C36" s="309"/>
      <c r="D36" s="309"/>
      <c r="E36" s="327"/>
      <c r="P36" s="1"/>
      <c r="AE36" s="1"/>
      <c r="AT36" s="1"/>
    </row>
    <row r="37" spans="1:46">
      <c r="A37" s="195">
        <v>27</v>
      </c>
      <c r="B37" s="308"/>
      <c r="C37" s="309"/>
      <c r="D37" s="309"/>
      <c r="E37" s="327"/>
      <c r="P37" s="1"/>
      <c r="AE37" s="1"/>
      <c r="AT37" s="1"/>
    </row>
    <row r="38" spans="1:46">
      <c r="A38" s="195">
        <v>28</v>
      </c>
      <c r="B38" s="308"/>
      <c r="C38" s="309"/>
      <c r="D38" s="309"/>
      <c r="E38" s="327"/>
      <c r="P38" s="1"/>
      <c r="AE38" s="1"/>
      <c r="AT38" s="1"/>
    </row>
    <row r="39" spans="1:46">
      <c r="A39" s="195">
        <v>29</v>
      </c>
      <c r="B39" s="308"/>
      <c r="C39" s="309"/>
      <c r="D39" s="309"/>
      <c r="E39" s="327"/>
      <c r="P39" s="1"/>
      <c r="AE39" s="1"/>
      <c r="AT39" s="1"/>
    </row>
    <row r="40" spans="1:46">
      <c r="A40" s="195">
        <v>30</v>
      </c>
      <c r="B40" s="308"/>
      <c r="C40" s="309"/>
      <c r="D40" s="309"/>
      <c r="E40" s="327"/>
      <c r="P40" s="1"/>
      <c r="AE40" s="1"/>
      <c r="AT40" s="1"/>
    </row>
    <row r="41" spans="1:46">
      <c r="A41" s="195">
        <v>31</v>
      </c>
      <c r="B41" s="308"/>
      <c r="C41" s="309"/>
      <c r="D41" s="309"/>
      <c r="E41" s="327"/>
      <c r="P41" s="1"/>
      <c r="AE41" s="1"/>
      <c r="AT41" s="1"/>
    </row>
    <row r="42" spans="1:46">
      <c r="A42" s="195">
        <v>32</v>
      </c>
      <c r="B42" s="308"/>
      <c r="C42" s="309"/>
      <c r="D42" s="309"/>
      <c r="E42" s="327"/>
      <c r="P42" s="1"/>
      <c r="AE42" s="1"/>
      <c r="AT42" s="1"/>
    </row>
    <row r="43" spans="1:46">
      <c r="A43" s="195">
        <v>33</v>
      </c>
      <c r="B43" s="308"/>
      <c r="C43" s="309"/>
      <c r="D43" s="309"/>
      <c r="E43" s="327"/>
      <c r="P43" s="1"/>
      <c r="AE43" s="1"/>
      <c r="AT43" s="1"/>
    </row>
    <row r="44" spans="1:46">
      <c r="A44" s="195">
        <v>34</v>
      </c>
      <c r="B44" s="308"/>
      <c r="C44" s="309"/>
      <c r="D44" s="309"/>
      <c r="E44" s="327"/>
      <c r="P44" s="1"/>
      <c r="AE44" s="1"/>
      <c r="AT44" s="1"/>
    </row>
    <row r="45" spans="1:46">
      <c r="A45" s="195">
        <v>35</v>
      </c>
      <c r="B45" s="308"/>
      <c r="C45" s="309"/>
      <c r="D45" s="309"/>
      <c r="E45" s="327"/>
      <c r="P45" s="1"/>
      <c r="AE45" s="1"/>
      <c r="AT45" s="1"/>
    </row>
    <row r="46" spans="1:46">
      <c r="A46" s="195">
        <v>36</v>
      </c>
      <c r="B46" s="308"/>
      <c r="C46" s="309"/>
      <c r="D46" s="309"/>
      <c r="E46" s="327"/>
      <c r="P46" s="1"/>
      <c r="AE46" s="1"/>
      <c r="AT46" s="1"/>
    </row>
    <row r="47" spans="1:46">
      <c r="A47" s="195">
        <v>37</v>
      </c>
      <c r="B47" s="308"/>
      <c r="C47" s="309"/>
      <c r="D47" s="309"/>
      <c r="E47" s="327"/>
      <c r="P47" s="1"/>
      <c r="AE47" s="1"/>
      <c r="AT47" s="1"/>
    </row>
    <row r="48" spans="1:46">
      <c r="A48" s="195">
        <v>38</v>
      </c>
      <c r="B48" s="308"/>
      <c r="C48" s="309"/>
      <c r="D48" s="309"/>
      <c r="E48" s="327"/>
      <c r="P48" s="1"/>
      <c r="AE48" s="1"/>
      <c r="AT48" s="1"/>
    </row>
    <row r="49" spans="1:46">
      <c r="A49" s="195">
        <v>39</v>
      </c>
      <c r="B49" s="308"/>
      <c r="C49" s="309"/>
      <c r="D49" s="309"/>
      <c r="E49" s="327"/>
      <c r="P49" s="1"/>
      <c r="AE49" s="1"/>
      <c r="AT49" s="1"/>
    </row>
    <row r="50" spans="1:46">
      <c r="A50" s="195">
        <v>40</v>
      </c>
      <c r="B50" s="308"/>
      <c r="C50" s="309"/>
      <c r="D50" s="309"/>
      <c r="E50" s="327"/>
      <c r="P50" s="1"/>
      <c r="AE50" s="1"/>
      <c r="AT50" s="1"/>
    </row>
    <row r="51" spans="1:46">
      <c r="A51" s="195">
        <v>41</v>
      </c>
      <c r="B51" s="308"/>
      <c r="C51" s="309"/>
      <c r="D51" s="309"/>
      <c r="E51" s="327"/>
      <c r="P51" s="1"/>
      <c r="AE51" s="1"/>
      <c r="AT51" s="1"/>
    </row>
    <row r="52" spans="1:46">
      <c r="A52" s="195">
        <v>42</v>
      </c>
      <c r="B52" s="308"/>
      <c r="C52" s="309"/>
      <c r="D52" s="309"/>
      <c r="E52" s="327"/>
      <c r="P52" s="1"/>
      <c r="AE52" s="1"/>
      <c r="AT52" s="1"/>
    </row>
    <row r="53" spans="1:46">
      <c r="A53" s="195">
        <v>43</v>
      </c>
      <c r="B53" s="308"/>
      <c r="C53" s="309"/>
      <c r="D53" s="309"/>
      <c r="E53" s="327"/>
      <c r="P53" s="1"/>
      <c r="AE53" s="1"/>
      <c r="AT53" s="1"/>
    </row>
    <row r="54" spans="1:46">
      <c r="A54" s="195">
        <v>44</v>
      </c>
      <c r="B54" s="308"/>
      <c r="C54" s="309"/>
      <c r="D54" s="309"/>
      <c r="E54" s="327"/>
      <c r="P54" s="1"/>
      <c r="AE54" s="1"/>
      <c r="AT54" s="1"/>
    </row>
    <row r="55" spans="1:46">
      <c r="A55" s="195">
        <v>45</v>
      </c>
      <c r="B55" s="308"/>
      <c r="C55" s="309"/>
      <c r="D55" s="309"/>
      <c r="E55" s="327"/>
      <c r="P55" s="1"/>
      <c r="AE55" s="1"/>
      <c r="AT55" s="1"/>
    </row>
    <row r="56" spans="1:46">
      <c r="A56" s="195">
        <v>46</v>
      </c>
      <c r="B56" s="308"/>
      <c r="C56" s="309"/>
      <c r="D56" s="309"/>
      <c r="E56" s="327"/>
      <c r="P56" s="1"/>
      <c r="AE56" s="1"/>
      <c r="AT56" s="1"/>
    </row>
    <row r="57" spans="1:46">
      <c r="A57" s="195">
        <v>47</v>
      </c>
      <c r="B57" s="308"/>
      <c r="C57" s="309"/>
      <c r="D57" s="309"/>
      <c r="E57" s="327"/>
      <c r="P57" s="1"/>
      <c r="AE57" s="1"/>
      <c r="AT57" s="1"/>
    </row>
    <row r="58" spans="1:46">
      <c r="A58" s="195">
        <v>48</v>
      </c>
      <c r="B58" s="308"/>
      <c r="C58" s="309"/>
      <c r="D58" s="309"/>
      <c r="E58" s="327"/>
      <c r="P58" s="1"/>
      <c r="AE58" s="1"/>
      <c r="AT58" s="1"/>
    </row>
    <row r="59" spans="1:46">
      <c r="A59" s="195">
        <v>49</v>
      </c>
      <c r="B59" s="308"/>
      <c r="C59" s="309"/>
      <c r="D59" s="309"/>
      <c r="E59" s="327"/>
      <c r="P59" s="1"/>
      <c r="AE59" s="1"/>
      <c r="AT59" s="1"/>
    </row>
    <row r="60" spans="1:46">
      <c r="A60" s="195">
        <v>50</v>
      </c>
      <c r="B60" s="308"/>
      <c r="C60" s="309"/>
      <c r="D60" s="309"/>
      <c r="E60" s="327"/>
      <c r="P60" s="1"/>
      <c r="AE60" s="1"/>
      <c r="AT60" s="1"/>
    </row>
    <row r="61" spans="1:46">
      <c r="A61" s="195">
        <v>51</v>
      </c>
      <c r="B61" s="308"/>
      <c r="C61" s="309"/>
      <c r="D61" s="309"/>
      <c r="E61" s="327"/>
      <c r="P61" s="1"/>
      <c r="AE61" s="1"/>
      <c r="AT61" s="1"/>
    </row>
    <row r="62" spans="1:46">
      <c r="A62" s="195">
        <v>52</v>
      </c>
      <c r="B62" s="308"/>
      <c r="C62" s="309"/>
      <c r="D62" s="309"/>
      <c r="E62" s="327"/>
      <c r="P62" s="1"/>
      <c r="AE62" s="1"/>
      <c r="AT62" s="1"/>
    </row>
    <row r="63" spans="1:46">
      <c r="A63" s="195">
        <v>53</v>
      </c>
      <c r="B63" s="308"/>
      <c r="C63" s="309"/>
      <c r="D63" s="309"/>
      <c r="E63" s="327"/>
      <c r="P63" s="1"/>
      <c r="AE63" s="1"/>
      <c r="AT63" s="1"/>
    </row>
    <row r="64" spans="1:46">
      <c r="A64" s="195">
        <v>54</v>
      </c>
      <c r="B64" s="308"/>
      <c r="C64" s="309"/>
      <c r="D64" s="309"/>
      <c r="E64" s="327"/>
      <c r="P64" s="1"/>
      <c r="AE64" s="1"/>
      <c r="AT64" s="1"/>
    </row>
    <row r="65" spans="1:46">
      <c r="A65" s="195">
        <v>55</v>
      </c>
      <c r="B65" s="308"/>
      <c r="C65" s="309"/>
      <c r="D65" s="309"/>
      <c r="E65" s="327"/>
      <c r="P65" s="1"/>
      <c r="AE65" s="1"/>
      <c r="AT65" s="1"/>
    </row>
    <row r="66" spans="1:46">
      <c r="A66" s="195">
        <v>56</v>
      </c>
      <c r="B66" s="308"/>
      <c r="C66" s="309"/>
      <c r="D66" s="309"/>
      <c r="E66" s="327"/>
      <c r="P66" s="1"/>
      <c r="AE66" s="1"/>
      <c r="AT66" s="1"/>
    </row>
    <row r="67" spans="1:46">
      <c r="A67" s="195">
        <v>57</v>
      </c>
      <c r="B67" s="308"/>
      <c r="C67" s="309"/>
      <c r="D67" s="309"/>
      <c r="E67" s="327"/>
      <c r="P67" s="1"/>
      <c r="AE67" s="1"/>
      <c r="AT67" s="1"/>
    </row>
    <row r="68" spans="1:46">
      <c r="A68" s="195">
        <v>58</v>
      </c>
      <c r="B68" s="308"/>
      <c r="C68" s="309"/>
      <c r="D68" s="309"/>
      <c r="E68" s="327"/>
      <c r="P68" s="1"/>
      <c r="AE68" s="1"/>
      <c r="AT68" s="1"/>
    </row>
    <row r="69" spans="1:46">
      <c r="A69" s="195">
        <v>59</v>
      </c>
      <c r="B69" s="308"/>
      <c r="C69" s="309"/>
      <c r="D69" s="309"/>
      <c r="E69" s="327"/>
      <c r="P69" s="1"/>
      <c r="AE69" s="1"/>
      <c r="AT69" s="1"/>
    </row>
    <row r="70" spans="1:46">
      <c r="A70" s="195">
        <v>60</v>
      </c>
      <c r="B70" s="308"/>
      <c r="C70" s="309"/>
      <c r="D70" s="309"/>
      <c r="E70" s="327"/>
      <c r="P70" s="1"/>
      <c r="AE70" s="1"/>
      <c r="AT70" s="1"/>
    </row>
    <row r="71" spans="1:46">
      <c r="A71" s="195">
        <v>61</v>
      </c>
      <c r="B71" s="308"/>
      <c r="C71" s="309"/>
      <c r="D71" s="309"/>
      <c r="E71" s="327"/>
      <c r="P71" s="1"/>
      <c r="AE71" s="1"/>
      <c r="AT71" s="1"/>
    </row>
    <row r="72" spans="1:46">
      <c r="A72" s="195">
        <v>62</v>
      </c>
      <c r="B72" s="308"/>
      <c r="C72" s="309"/>
      <c r="D72" s="309"/>
      <c r="E72" s="327"/>
      <c r="P72" s="1"/>
      <c r="AE72" s="1"/>
      <c r="AT72" s="1"/>
    </row>
    <row r="73" spans="1:46">
      <c r="A73" s="195">
        <v>63</v>
      </c>
      <c r="B73" s="308"/>
      <c r="C73" s="309"/>
      <c r="D73" s="309"/>
      <c r="E73" s="327"/>
      <c r="P73" s="1"/>
      <c r="AE73" s="1"/>
      <c r="AT73" s="1"/>
    </row>
    <row r="74" spans="1:46">
      <c r="A74" s="195">
        <v>64</v>
      </c>
      <c r="B74" s="308"/>
      <c r="C74" s="309"/>
      <c r="D74" s="309"/>
      <c r="E74" s="327"/>
      <c r="P74" s="1"/>
      <c r="AE74" s="1"/>
      <c r="AT74" s="1"/>
    </row>
    <row r="75" spans="1:46">
      <c r="A75" s="195">
        <v>65</v>
      </c>
      <c r="B75" s="308"/>
      <c r="C75" s="309"/>
      <c r="D75" s="309"/>
      <c r="E75" s="327"/>
      <c r="P75" s="1"/>
      <c r="AE75" s="1"/>
      <c r="AT75" s="1"/>
    </row>
    <row r="76" spans="1:46">
      <c r="A76" s="195">
        <v>66</v>
      </c>
      <c r="B76" s="308"/>
      <c r="C76" s="309"/>
      <c r="D76" s="309"/>
      <c r="E76" s="327"/>
      <c r="P76" s="1"/>
      <c r="AE76" s="1"/>
      <c r="AT76" s="1"/>
    </row>
    <row r="77" spans="1:46">
      <c r="A77" s="195">
        <v>67</v>
      </c>
      <c r="B77" s="308"/>
      <c r="C77" s="309"/>
      <c r="D77" s="309"/>
      <c r="E77" s="327"/>
      <c r="P77" s="1"/>
      <c r="AE77" s="1"/>
      <c r="AT77" s="1"/>
    </row>
    <row r="78" spans="1:46">
      <c r="A78" s="195">
        <v>68</v>
      </c>
      <c r="B78" s="308"/>
      <c r="C78" s="309"/>
      <c r="D78" s="309"/>
      <c r="E78" s="327"/>
      <c r="P78" s="1"/>
      <c r="AE78" s="1"/>
      <c r="AT78" s="1"/>
    </row>
    <row r="79" spans="1:46">
      <c r="A79" s="195">
        <v>69</v>
      </c>
      <c r="B79" s="308"/>
      <c r="C79" s="309"/>
      <c r="D79" s="309"/>
      <c r="E79" s="327"/>
      <c r="P79" s="1"/>
      <c r="AE79" s="1"/>
      <c r="AT79" s="1"/>
    </row>
    <row r="80" spans="1:46">
      <c r="A80" s="195">
        <v>70</v>
      </c>
      <c r="B80" s="308"/>
      <c r="C80" s="309"/>
      <c r="D80" s="309"/>
      <c r="E80" s="327"/>
      <c r="P80" s="1"/>
      <c r="AE80" s="1"/>
      <c r="AT80" s="1"/>
    </row>
    <row r="81" spans="1:46">
      <c r="A81" s="195">
        <v>71</v>
      </c>
      <c r="B81" s="308"/>
      <c r="C81" s="309"/>
      <c r="D81" s="309"/>
      <c r="E81" s="327"/>
      <c r="P81" s="1"/>
      <c r="AE81" s="1"/>
      <c r="AT81" s="1"/>
    </row>
    <row r="82" spans="1:46">
      <c r="A82" s="195">
        <v>72</v>
      </c>
      <c r="B82" s="308"/>
      <c r="C82" s="309"/>
      <c r="D82" s="309"/>
      <c r="E82" s="327"/>
      <c r="P82" s="1"/>
      <c r="AE82" s="1"/>
      <c r="AT82" s="1"/>
    </row>
    <row r="83" spans="1:46">
      <c r="A83" s="195">
        <v>73</v>
      </c>
      <c r="B83" s="308"/>
      <c r="C83" s="309"/>
      <c r="D83" s="309"/>
      <c r="E83" s="327"/>
      <c r="P83" s="1"/>
      <c r="AE83" s="1"/>
      <c r="AT83" s="1"/>
    </row>
    <row r="84" spans="1:46">
      <c r="A84" s="195">
        <v>74</v>
      </c>
      <c r="B84" s="308"/>
      <c r="C84" s="309"/>
      <c r="D84" s="309"/>
      <c r="E84" s="327"/>
      <c r="P84" s="1"/>
      <c r="AE84" s="1"/>
      <c r="AT84" s="1"/>
    </row>
    <row r="85" spans="1:46">
      <c r="A85" s="195">
        <v>75</v>
      </c>
      <c r="B85" s="308"/>
      <c r="C85" s="309"/>
      <c r="D85" s="309"/>
      <c r="E85" s="327"/>
      <c r="P85" s="1"/>
      <c r="AE85" s="1"/>
      <c r="AT85" s="1"/>
    </row>
    <row r="86" spans="1:46">
      <c r="A86" s="195">
        <v>76</v>
      </c>
      <c r="B86" s="308"/>
      <c r="C86" s="309"/>
      <c r="D86" s="309"/>
      <c r="E86" s="327"/>
      <c r="P86" s="1"/>
      <c r="AE86" s="1"/>
      <c r="AT86" s="1"/>
    </row>
    <row r="87" spans="1:46">
      <c r="A87" s="195">
        <v>77</v>
      </c>
      <c r="B87" s="308"/>
      <c r="C87" s="309"/>
      <c r="D87" s="309"/>
      <c r="E87" s="327"/>
      <c r="P87" s="1"/>
      <c r="AE87" s="1"/>
      <c r="AT87" s="1"/>
    </row>
    <row r="88" spans="1:46">
      <c r="A88" s="195">
        <v>78</v>
      </c>
      <c r="B88" s="308"/>
      <c r="C88" s="309"/>
      <c r="D88" s="309"/>
      <c r="E88" s="327"/>
      <c r="P88" s="1"/>
      <c r="AE88" s="1"/>
      <c r="AT88" s="1"/>
    </row>
    <row r="89" spans="1:46">
      <c r="A89" s="195">
        <v>79</v>
      </c>
      <c r="B89" s="308"/>
      <c r="C89" s="309"/>
      <c r="D89" s="309"/>
      <c r="E89" s="327"/>
      <c r="P89" s="1"/>
      <c r="AE89" s="1"/>
      <c r="AT89" s="1"/>
    </row>
    <row r="90" spans="1:46">
      <c r="A90" s="195">
        <v>80</v>
      </c>
      <c r="B90" s="308"/>
      <c r="C90" s="309"/>
      <c r="D90" s="309"/>
      <c r="E90" s="327"/>
      <c r="P90" s="1"/>
      <c r="AE90" s="1"/>
      <c r="AT90" s="1"/>
    </row>
    <row r="91" spans="1:46">
      <c r="A91" s="195">
        <v>81</v>
      </c>
      <c r="B91" s="308"/>
      <c r="C91" s="309"/>
      <c r="D91" s="309"/>
      <c r="E91" s="327"/>
      <c r="P91" s="1"/>
      <c r="AE91" s="1"/>
      <c r="AT91" s="1"/>
    </row>
    <row r="92" spans="1:46">
      <c r="A92" s="195">
        <v>82</v>
      </c>
      <c r="B92" s="308"/>
      <c r="C92" s="309"/>
      <c r="D92" s="309"/>
      <c r="E92" s="327"/>
      <c r="P92" s="1"/>
      <c r="AE92" s="1"/>
      <c r="AT92" s="1"/>
    </row>
    <row r="93" spans="1:46">
      <c r="A93" s="195">
        <v>83</v>
      </c>
      <c r="B93" s="308"/>
      <c r="C93" s="309"/>
      <c r="D93" s="309"/>
      <c r="E93" s="327"/>
      <c r="P93" s="1"/>
      <c r="AE93" s="1"/>
      <c r="AT93" s="1"/>
    </row>
    <row r="94" spans="1:46">
      <c r="A94" s="195">
        <v>84</v>
      </c>
      <c r="B94" s="308"/>
      <c r="C94" s="309"/>
      <c r="D94" s="309"/>
      <c r="E94" s="327"/>
      <c r="P94" s="1"/>
      <c r="AE94" s="1"/>
      <c r="AT94" s="1"/>
    </row>
    <row r="95" spans="1:46">
      <c r="A95" s="195">
        <v>85</v>
      </c>
      <c r="B95" s="308"/>
      <c r="C95" s="309"/>
      <c r="D95" s="309"/>
      <c r="E95" s="327"/>
      <c r="P95" s="1"/>
      <c r="AE95" s="1"/>
      <c r="AT95" s="1"/>
    </row>
    <row r="96" spans="1:46">
      <c r="A96" s="195">
        <v>86</v>
      </c>
      <c r="B96" s="308"/>
      <c r="C96" s="309"/>
      <c r="D96" s="309"/>
      <c r="E96" s="327"/>
      <c r="P96" s="1"/>
      <c r="AE96" s="1"/>
      <c r="AT96" s="1"/>
    </row>
    <row r="97" spans="1:46">
      <c r="A97" s="195">
        <v>87</v>
      </c>
      <c r="B97" s="308"/>
      <c r="C97" s="309"/>
      <c r="D97" s="309"/>
      <c r="E97" s="327"/>
      <c r="P97" s="1"/>
      <c r="AE97" s="1"/>
      <c r="AT97" s="1"/>
    </row>
    <row r="98" spans="1:46">
      <c r="A98" s="195">
        <v>88</v>
      </c>
      <c r="B98" s="308"/>
      <c r="C98" s="309"/>
      <c r="D98" s="309"/>
      <c r="E98" s="327"/>
      <c r="P98" s="1"/>
      <c r="AE98" s="1"/>
      <c r="AT98" s="1"/>
    </row>
    <row r="99" spans="1:46">
      <c r="A99" s="195">
        <v>89</v>
      </c>
      <c r="B99" s="308"/>
      <c r="C99" s="309"/>
      <c r="D99" s="309"/>
      <c r="E99" s="327"/>
      <c r="P99" s="1"/>
      <c r="AE99" s="1"/>
      <c r="AT99" s="1"/>
    </row>
    <row r="100" spans="1:46">
      <c r="A100" s="195">
        <v>90</v>
      </c>
      <c r="B100" s="308"/>
      <c r="C100" s="309"/>
      <c r="D100" s="309"/>
      <c r="E100" s="327"/>
      <c r="P100" s="1"/>
      <c r="AE100" s="1"/>
      <c r="AT100" s="1"/>
    </row>
    <row r="101" spans="1:46">
      <c r="A101" s="195">
        <v>91</v>
      </c>
      <c r="B101" s="308"/>
      <c r="C101" s="309"/>
      <c r="D101" s="309"/>
      <c r="E101" s="327"/>
      <c r="P101" s="1"/>
      <c r="AE101" s="1"/>
      <c r="AT101" s="1"/>
    </row>
    <row r="102" spans="1:46">
      <c r="A102" s="195">
        <v>92</v>
      </c>
      <c r="B102" s="308"/>
      <c r="C102" s="309"/>
      <c r="D102" s="309"/>
      <c r="E102" s="327"/>
      <c r="P102" s="1"/>
      <c r="AE102" s="1"/>
      <c r="AT102" s="1"/>
    </row>
    <row r="103" spans="1:46">
      <c r="A103" s="195">
        <v>93</v>
      </c>
      <c r="B103" s="308"/>
      <c r="C103" s="309"/>
      <c r="D103" s="309"/>
      <c r="E103" s="327"/>
      <c r="P103" s="1"/>
      <c r="AE103" s="1"/>
      <c r="AT103" s="1"/>
    </row>
    <row r="104" spans="1:46">
      <c r="A104" s="195">
        <v>94</v>
      </c>
      <c r="B104" s="308"/>
      <c r="C104" s="309"/>
      <c r="D104" s="309"/>
      <c r="E104" s="327"/>
      <c r="P104" s="1"/>
      <c r="AE104" s="1"/>
      <c r="AT104" s="1"/>
    </row>
    <row r="105" spans="1:46">
      <c r="A105" s="195">
        <v>95</v>
      </c>
      <c r="B105" s="308"/>
      <c r="C105" s="309"/>
      <c r="D105" s="309"/>
      <c r="E105" s="327"/>
      <c r="P105" s="1"/>
      <c r="AE105" s="1"/>
      <c r="AT105" s="1"/>
    </row>
    <row r="106" spans="1:46">
      <c r="A106" s="195">
        <v>96</v>
      </c>
      <c r="B106" s="308"/>
      <c r="C106" s="309"/>
      <c r="D106" s="309"/>
      <c r="E106" s="327"/>
      <c r="P106" s="1"/>
      <c r="AE106" s="1"/>
      <c r="AT106" s="1"/>
    </row>
    <row r="107" spans="1:46">
      <c r="A107" s="195">
        <v>97</v>
      </c>
      <c r="B107" s="308"/>
      <c r="C107" s="309"/>
      <c r="D107" s="309"/>
      <c r="E107" s="327"/>
      <c r="P107" s="1"/>
      <c r="AE107" s="1"/>
      <c r="AT107" s="1"/>
    </row>
    <row r="108" spans="1:46">
      <c r="A108" s="195">
        <v>98</v>
      </c>
      <c r="B108" s="308"/>
      <c r="C108" s="309"/>
      <c r="D108" s="309"/>
      <c r="E108" s="327"/>
      <c r="P108" s="1"/>
      <c r="AE108" s="1"/>
      <c r="AT108" s="1"/>
    </row>
    <row r="109" spans="1:46">
      <c r="A109" s="195">
        <v>99</v>
      </c>
      <c r="B109" s="308"/>
      <c r="C109" s="309"/>
      <c r="D109" s="309"/>
      <c r="E109" s="327"/>
      <c r="P109" s="1"/>
      <c r="AE109" s="1"/>
      <c r="AT109" s="1"/>
    </row>
    <row r="110" spans="1:46">
      <c r="A110" s="325">
        <v>100</v>
      </c>
      <c r="B110" s="328"/>
      <c r="C110" s="329"/>
      <c r="D110" s="329"/>
      <c r="E110" s="330"/>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1:J111">
    <cfRule type="expression" dxfId="1" priority="1">
      <formula>CELL("Protect",A1)=1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3" sqref="A3"/>
    </sheetView>
  </sheetViews>
  <sheetFormatPr defaultColWidth="8.7109375" defaultRowHeight="12.75"/>
  <cols>
    <col min="1" max="1" width="10.85546875" customWidth="1"/>
    <col min="2" max="2" width="11.140625" customWidth="1"/>
    <col min="3" max="3" width="14.28515625" customWidth="1"/>
  </cols>
  <sheetData>
    <row r="1" spans="1:4">
      <c r="A1" s="149" t="s">
        <v>122</v>
      </c>
      <c r="B1" s="149" t="s">
        <v>124</v>
      </c>
      <c r="C1" s="149" t="s">
        <v>134</v>
      </c>
      <c r="D1" s="149" t="s">
        <v>139</v>
      </c>
    </row>
    <row r="2" spans="1:4">
      <c r="A2" t="s">
        <v>143</v>
      </c>
      <c r="B2" t="s">
        <v>126</v>
      </c>
      <c r="C2" t="s">
        <v>73</v>
      </c>
      <c r="D2" t="s">
        <v>140</v>
      </c>
    </row>
    <row r="3" spans="1:4">
      <c r="A3" t="s">
        <v>104</v>
      </c>
      <c r="B3" t="s">
        <v>127</v>
      </c>
      <c r="D3" t="s">
        <v>141</v>
      </c>
    </row>
    <row r="4" spans="1:4">
      <c r="A4" t="s">
        <v>123</v>
      </c>
      <c r="B4" t="s">
        <v>130</v>
      </c>
    </row>
    <row r="5" spans="1:4">
      <c r="B5" t="s">
        <v>128</v>
      </c>
    </row>
    <row r="6" spans="1:4">
      <c r="B6" t="s">
        <v>129</v>
      </c>
    </row>
    <row r="7" spans="1:4">
      <c r="B7" t="s">
        <v>125</v>
      </c>
    </row>
    <row r="8" spans="1:4">
      <c r="B8" t="s">
        <v>131</v>
      </c>
    </row>
    <row r="9" spans="1:4">
      <c r="B9" t="s">
        <v>133</v>
      </c>
    </row>
    <row r="10" spans="1:4">
      <c r="B10" t="s">
        <v>132</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786D242-6271-4700-9F25-ACD73046EA0F}"/>
</file>

<file path=customXml/itemProps2.xml><?xml version="1.0" encoding="utf-8"?>
<ds:datastoreItem xmlns:ds="http://schemas.openxmlformats.org/officeDocument/2006/customXml" ds:itemID="{2B6DCC3B-FF86-406B-82D1-7E4B50735A1A}">
  <ds:schemaRefs>
    <ds:schemaRef ds:uri="http://schemas.microsoft.com/sharepoint/v3/contenttype/forms"/>
  </ds:schemaRefs>
</ds:datastoreItem>
</file>

<file path=customXml/itemProps3.xml><?xml version="1.0" encoding="utf-8"?>
<ds:datastoreItem xmlns:ds="http://schemas.openxmlformats.org/officeDocument/2006/customXml" ds:itemID="{B691F288-5D69-47A4-BC85-E79FABF1E80A}">
  <ds:schemaRefs>
    <ds:schemaRef ds:uri="http://schemas.microsoft.com/office/2006/metadata/properties"/>
    <ds:schemaRef ds:uri="http://schemas.microsoft.com/office/infopath/2007/PartnerControls"/>
    <ds:schemaRef ds:uri="1665dcf5-7797-42e7-8c25-7864148475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WG input forms</dc:title>
  <dc:creator>PowerMacintosh User</dc:creator>
  <cp:lastModifiedBy>Martin Pastoors</cp:lastModifiedBy>
  <cp:lastPrinted>2005-03-01T15:40:24Z</cp:lastPrinted>
  <dcterms:created xsi:type="dcterms:W3CDTF">1998-05-02T10:10:47Z</dcterms:created>
  <dcterms:modified xsi:type="dcterms:W3CDTF">2020-10-03T08:58:41Z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