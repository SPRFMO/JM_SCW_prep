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calcChain.xml" ContentType="application/vnd.openxmlformats-officedocument.spreadsheetml.calcChain+xml"/>
  <Override PartName="/xl/ctrlProps/ctrlProp2.xml" ContentType="application/vnd.ms-excel.controlproperties+xml"/>
  <Override PartName="/docProps/core.xml" ContentType="application/vnd.openxmlformats-package.core-properties+xml"/>
  <Override PartName="/xl/ctrlProps/ctrlProp3.xml" ContentType="application/vnd.ms-excel.controlproperties+xml"/>
  <Override PartName="/xl/ctrlProps/ctrlProp4.xml" ContentType="application/vnd.ms-excel.controlproperties+xml"/>
  <Override PartName="/xl/ctrlProps/ctrlProp1.xml" ContentType="application/vnd.ms-excel.control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R:\05-Fisheries and Science\02-Scientific Committee\Jack mackerel activities 2021\"/>
    </mc:Choice>
  </mc:AlternateContent>
  <xr:revisionPtr revIDLastSave="0" documentId="13_ncr:1_{04F27B13-239F-4482-994C-7A6F15D668B8}" xr6:coauthVersionLast="47" xr6:coauthVersionMax="47" xr10:uidLastSave="{00000000-0000-0000-0000-000000000000}"/>
  <bookViews>
    <workbookView xWindow="36225" yWindow="1815" windowWidth="18555" windowHeight="10950" tabRatio="892"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3" i="91" l="1"/>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109" i="94"/>
  <c r="F108" i="94"/>
  <c r="F107" i="94"/>
  <c r="F106" i="94"/>
  <c r="F105" i="94"/>
  <c r="F104" i="94"/>
  <c r="F103" i="94"/>
  <c r="F102" i="94"/>
  <c r="F101" i="94"/>
  <c r="F100" i="94"/>
  <c r="F99" i="94"/>
  <c r="F98" i="94"/>
  <c r="F97" i="94"/>
  <c r="F96" i="94"/>
  <c r="F95" i="94"/>
  <c r="F94" i="94"/>
  <c r="F93" i="94"/>
  <c r="F92" i="94"/>
  <c r="F91" i="94"/>
  <c r="F90" i="94"/>
  <c r="F89" i="94"/>
  <c r="F88" i="94"/>
  <c r="F87" i="94"/>
  <c r="F86" i="94"/>
  <c r="F85" i="94"/>
  <c r="F84" i="94"/>
  <c r="F83" i="94"/>
  <c r="F82" i="94"/>
  <c r="F81" i="94"/>
  <c r="F80" i="94"/>
  <c r="F79" i="94"/>
  <c r="F78" i="94"/>
  <c r="F77" i="94"/>
  <c r="F76" i="94"/>
  <c r="F75" i="94"/>
  <c r="F74" i="94"/>
  <c r="F73" i="94"/>
  <c r="F72" i="94"/>
  <c r="F71" i="94"/>
  <c r="F70" i="94"/>
  <c r="F69" i="94"/>
  <c r="F68" i="94"/>
  <c r="F67" i="94"/>
  <c r="F66" i="94"/>
  <c r="F65" i="94"/>
  <c r="F64" i="94"/>
  <c r="F63" i="94"/>
  <c r="F62" i="94"/>
  <c r="F61" i="94"/>
  <c r="F60" i="94"/>
  <c r="F59" i="94"/>
  <c r="F58" i="94"/>
  <c r="F57" i="94"/>
  <c r="F56" i="94"/>
  <c r="F55" i="94"/>
  <c r="F54" i="94"/>
  <c r="F53" i="94"/>
  <c r="F52" i="94"/>
  <c r="F51" i="94"/>
  <c r="F50" i="94"/>
  <c r="F49" i="94"/>
  <c r="F48" i="94"/>
  <c r="F47" i="94"/>
  <c r="F46" i="94"/>
  <c r="F45" i="94"/>
  <c r="F44" i="94"/>
  <c r="F43" i="94"/>
  <c r="F42" i="94"/>
  <c r="F41" i="94"/>
  <c r="F40" i="94"/>
  <c r="F39" i="94"/>
  <c r="F38" i="94"/>
  <c r="F37" i="94"/>
  <c r="F36" i="94"/>
  <c r="F35" i="94"/>
  <c r="F34" i="94"/>
  <c r="F33" i="94"/>
  <c r="F32" i="94"/>
  <c r="F31" i="94"/>
  <c r="F30" i="94"/>
  <c r="F29" i="94"/>
  <c r="F28" i="94"/>
  <c r="F27" i="94"/>
  <c r="F26" i="94"/>
  <c r="F25" i="94"/>
  <c r="F24"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4" l="1"/>
  <c r="F110" i="93"/>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U11" i="2"/>
  <c r="R12" i="2"/>
  <c r="S12" i="2"/>
  <c r="T12" i="2"/>
  <c r="U12" i="2"/>
  <c r="R13" i="2"/>
  <c r="S13" i="2"/>
  <c r="T13" i="2"/>
  <c r="U13" i="2"/>
  <c r="S14" i="2"/>
  <c r="T14" i="2"/>
  <c r="T15" i="2"/>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alcChain>
</file>

<file path=xl/sharedStrings.xml><?xml version="1.0" encoding="utf-8"?>
<sst xmlns="http://schemas.openxmlformats.org/spreadsheetml/2006/main" count="842" uniqueCount="145">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</sst>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NZ"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12700</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NZ"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279400</xdr:colOff>
          <xdr:row>6</xdr:row>
          <xdr:rowOff>88900</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NZ"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127000</xdr:rowOff>
        </xdr:from>
        <xdr:to>
          <xdr:col>16</xdr:col>
          <xdr:colOff>279400</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NZ"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endParaRPr lang="de-DE" sz="1000" b="0" i="0" u="none" strike="noStrike" baseline="0">
            <a:solidFill>
              <a:srgbClr val="000000"/>
            </a:solidFill>
            <a:latin typeface="Geneva"/>
          </a:endParaRP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abSelected="1" workbookViewId="0">
      <selection activeCell="F9" sqref="F9:K9"/>
    </sheetView>
  </sheetViews>
  <sheetFormatPr defaultColWidth="8.7265625" defaultRowHeight="12.5"/>
  <cols>
    <col min="1" max="5" width="8.7265625" customWidth="1"/>
    <col min="6" max="6" width="11.7265625" customWidth="1"/>
  </cols>
  <sheetData>
    <row r="1" spans="1:12" ht="23.5">
      <c r="A1" s="341" t="s">
        <v>71</v>
      </c>
      <c r="B1" s="341"/>
      <c r="C1" s="341"/>
      <c r="D1" s="341"/>
      <c r="E1" s="341"/>
      <c r="F1" s="341"/>
      <c r="G1" s="341"/>
      <c r="H1" s="341"/>
      <c r="I1" s="341"/>
      <c r="J1" s="341"/>
      <c r="K1" s="341"/>
      <c r="L1" s="341"/>
    </row>
    <row r="2" spans="1:12" ht="13" thickBot="1"/>
    <row r="3" spans="1:12" ht="20.5" thickBot="1">
      <c r="B3" s="142" t="s">
        <v>143</v>
      </c>
      <c r="J3" s="153" t="s">
        <v>60</v>
      </c>
      <c r="K3" s="158">
        <v>2020</v>
      </c>
    </row>
    <row r="5" spans="1:12" ht="13">
      <c r="B5" s="143" t="s">
        <v>66</v>
      </c>
      <c r="C5" s="144"/>
      <c r="D5" s="144"/>
      <c r="E5" s="144"/>
      <c r="F5" s="344" t="s">
        <v>72</v>
      </c>
      <c r="G5" s="345"/>
      <c r="H5" s="345"/>
      <c r="I5" s="345"/>
      <c r="J5" s="345"/>
      <c r="K5" s="346"/>
    </row>
    <row r="6" spans="1:12" ht="13">
      <c r="B6" s="145" t="s">
        <v>105</v>
      </c>
      <c r="C6" s="146"/>
      <c r="D6" s="146"/>
      <c r="E6" s="146"/>
      <c r="F6" s="344" t="s">
        <v>125</v>
      </c>
      <c r="G6" s="345"/>
      <c r="H6" s="345"/>
      <c r="I6" s="345"/>
      <c r="J6" s="345"/>
      <c r="K6" s="346"/>
    </row>
    <row r="7" spans="1:12" ht="13">
      <c r="B7" s="145" t="s">
        <v>67</v>
      </c>
      <c r="C7" s="146"/>
      <c r="D7" s="146"/>
      <c r="E7" s="146"/>
      <c r="F7" s="344"/>
      <c r="G7" s="345"/>
      <c r="H7" s="345"/>
      <c r="I7" s="345"/>
      <c r="J7" s="345"/>
      <c r="K7" s="346"/>
    </row>
    <row r="8" spans="1:12" ht="13">
      <c r="B8" s="145" t="s">
        <v>68</v>
      </c>
      <c r="C8" s="146"/>
      <c r="D8" s="146"/>
      <c r="E8" s="146"/>
      <c r="F8" s="349">
        <v>42950</v>
      </c>
      <c r="G8" s="350"/>
      <c r="H8" s="350"/>
      <c r="I8" s="350"/>
      <c r="J8" s="350"/>
      <c r="K8" s="351"/>
    </row>
    <row r="9" spans="1:12" ht="13">
      <c r="B9" s="145" t="s">
        <v>69</v>
      </c>
      <c r="C9" s="146"/>
      <c r="D9" s="146"/>
      <c r="E9" s="146"/>
      <c r="F9" s="352"/>
      <c r="G9" s="353"/>
      <c r="H9" s="353"/>
      <c r="I9" s="353"/>
      <c r="J9" s="353"/>
      <c r="K9" s="354"/>
    </row>
    <row r="10" spans="1:12" ht="13">
      <c r="B10" s="145" t="s">
        <v>73</v>
      </c>
      <c r="C10" s="146"/>
      <c r="D10" s="146"/>
      <c r="E10" s="146"/>
      <c r="F10" s="355"/>
      <c r="G10" s="356"/>
      <c r="H10" s="356"/>
      <c r="I10" s="356"/>
      <c r="J10" s="356"/>
      <c r="K10" s="357"/>
    </row>
    <row r="11" spans="1:12" ht="13">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ht="13">
      <c r="B13" s="147" t="s">
        <v>141</v>
      </c>
      <c r="C13" s="148"/>
      <c r="D13" s="148"/>
      <c r="E13" s="148"/>
      <c r="F13" s="344" t="s">
        <v>139</v>
      </c>
      <c r="G13" s="345"/>
      <c r="H13" s="345"/>
      <c r="I13" s="345"/>
      <c r="J13" s="345"/>
      <c r="K13" s="346"/>
    </row>
    <row r="14" spans="1:12" ht="13">
      <c r="B14" s="149" t="s">
        <v>47</v>
      </c>
    </row>
    <row r="15" spans="1:12" ht="13">
      <c r="B15" s="149" t="s">
        <v>74</v>
      </c>
    </row>
    <row r="16" spans="1:12" ht="13">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107950</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12700</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279400</xdr:colOff>
                    <xdr:row>6</xdr:row>
                    <xdr:rowOff>88900</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127000</xdr:rowOff>
                  </from>
                  <to>
                    <xdr:col>16</xdr:col>
                    <xdr:colOff>279400</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G7" sqref="G7"/>
    </sheetView>
  </sheetViews>
  <sheetFormatPr defaultColWidth="11.54296875" defaultRowHeight="12.5"/>
  <cols>
    <col min="1" max="1" width="11.54296875" customWidth="1"/>
    <col min="2" max="2" width="22.1796875" customWidth="1"/>
    <col min="3" max="3" width="26" customWidth="1"/>
    <col min="4" max="4" width="46" customWidth="1"/>
    <col min="5" max="10" width="11.54296875" customWidth="1"/>
    <col min="11" max="11" width="24.81640625" customWidth="1"/>
  </cols>
  <sheetData>
    <row r="1" spans="1:5" ht="23.5">
      <c r="A1" s="339" t="s">
        <v>71</v>
      </c>
      <c r="B1" s="341"/>
      <c r="C1" s="341"/>
      <c r="D1" s="341"/>
      <c r="E1" s="341"/>
    </row>
    <row r="2" spans="1:5" ht="23" thickBot="1">
      <c r="A2" s="152"/>
      <c r="D2" s="178"/>
      <c r="E2" s="178"/>
    </row>
    <row r="3" spans="1:5" ht="22.5">
      <c r="A3" s="152"/>
      <c r="B3" s="259" t="s">
        <v>106</v>
      </c>
      <c r="C3" s="155" t="str">
        <f>'START HERE'!F6</f>
        <v>Chile</v>
      </c>
      <c r="D3" s="274"/>
      <c r="E3" s="275"/>
    </row>
    <row r="4" spans="1:5" ht="22.5">
      <c r="A4" s="152"/>
      <c r="B4" s="170" t="s">
        <v>0</v>
      </c>
      <c r="C4" s="156" t="str">
        <f>'START HERE'!F5</f>
        <v>Jack mackerel</v>
      </c>
      <c r="D4" s="276"/>
      <c r="E4" s="275"/>
    </row>
    <row r="5" spans="1:5" ht="23" thickBot="1">
      <c r="A5" s="152"/>
      <c r="B5" s="170" t="s">
        <v>1</v>
      </c>
      <c r="C5" s="157">
        <f>'START HERE'!K3</f>
        <v>2020</v>
      </c>
      <c r="D5" s="277"/>
      <c r="E5" s="277"/>
    </row>
    <row r="6" spans="1:5">
      <c r="D6" s="178"/>
      <c r="E6" s="178"/>
    </row>
    <row r="8" spans="1:5" ht="13">
      <c r="B8" t="s">
        <v>107</v>
      </c>
    </row>
    <row r="42" spans="2:4" ht="13">
      <c r="B42" s="149" t="s">
        <v>119</v>
      </c>
    </row>
    <row r="44" spans="2:4" ht="13"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
      <c r="B55" s="40" t="s">
        <v>57</v>
      </c>
      <c r="C55" s="298"/>
      <c r="D55" s="299"/>
    </row>
    <row r="56" spans="2:4" ht="50">
      <c r="B56" s="260" t="s">
        <v>111</v>
      </c>
      <c r="C56" s="300"/>
      <c r="D56" s="301"/>
    </row>
    <row r="57" spans="2:4" ht="25.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zoomScale="75" zoomScaleNormal="75" workbookViewId="0"/>
  </sheetViews>
  <sheetFormatPr defaultColWidth="8.7265625" defaultRowHeight="24.75" customHeight="1"/>
  <cols>
    <col min="1" max="1" width="41.54296875" customWidth="1"/>
    <col min="2" max="17" width="18" customWidth="1"/>
    <col min="18" max="18" width="51.1796875" customWidth="1"/>
    <col min="19" max="19" width="18" customWidth="1"/>
    <col min="20" max="20" width="13.81640625" customWidth="1"/>
    <col min="21" max="21" width="12.7265625" customWidth="1"/>
    <col min="22" max="22" width="12.54296875" bestFit="1" customWidth="1"/>
    <col min="23" max="23" width="10.54296875" customWidth="1"/>
    <col min="24" max="24" width="13.81640625" customWidth="1"/>
    <col min="25" max="25" width="12.7265625" customWidth="1"/>
    <col min="26" max="26" width="12.54296875" customWidth="1"/>
    <col min="27" max="27" width="22.453125" bestFit="1" customWidth="1"/>
    <col min="28" max="28" width="19" bestFit="1" customWidth="1"/>
    <col min="29" max="29" width="15.54296875" bestFit="1" customWidth="1"/>
    <col min="30" max="30" width="20.7265625" bestFit="1" customWidth="1"/>
    <col min="31" max="31" width="51.5429687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Chile</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2020</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2020</v>
      </c>
      <c r="C13" s="365"/>
      <c r="D13" s="366"/>
      <c r="E13" s="364">
        <f>'START HERE'!$K$3</f>
        <v>2020</v>
      </c>
      <c r="F13" s="365"/>
      <c r="G13" s="366"/>
      <c r="H13" s="364">
        <f>'START HERE'!$K$3</f>
        <v>2020</v>
      </c>
      <c r="I13" s="365"/>
      <c r="J13" s="366"/>
      <c r="K13" s="364">
        <f>'START HERE'!$K$3</f>
        <v>2020</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c r="F20" s="238"/>
      <c r="G20" s="239"/>
      <c r="H20" s="232"/>
      <c r="I20" s="238"/>
      <c r="J20" s="239"/>
      <c r="K20" s="232"/>
      <c r="L20" s="238"/>
      <c r="M20" s="240"/>
      <c r="N20" s="290">
        <f t="shared" si="0"/>
        <v>0</v>
      </c>
      <c r="O20" s="291">
        <f t="shared" si="0"/>
        <v>0</v>
      </c>
      <c r="P20" s="292">
        <f t="shared" si="0"/>
        <v>0</v>
      </c>
      <c r="Q20" s="241">
        <f t="shared" si="1"/>
        <v>0</v>
      </c>
      <c r="R20" s="285"/>
      <c r="S20" s="162" t="s">
        <v>85</v>
      </c>
    </row>
    <row r="21" spans="1:19" ht="24.75" customHeight="1" thickBot="1">
      <c r="A21" s="264" t="s">
        <v>49</v>
      </c>
      <c r="B21" s="242">
        <f t="shared" ref="B21:M21" si="2">SUM(B17:B20)</f>
        <v>0</v>
      </c>
      <c r="C21" s="243">
        <f t="shared" si="2"/>
        <v>0</v>
      </c>
      <c r="D21" s="244">
        <f t="shared" si="2"/>
        <v>0</v>
      </c>
      <c r="E21" s="242">
        <f t="shared" si="2"/>
        <v>0</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0</v>
      </c>
      <c r="O21" s="294">
        <f t="shared" si="0"/>
        <v>0</v>
      </c>
      <c r="P21" s="295">
        <f t="shared" si="0"/>
        <v>0</v>
      </c>
      <c r="Q21" s="249">
        <f>SUM(Q17:Q20)</f>
        <v>0</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0)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zoomScale="75" workbookViewId="0"/>
  </sheetViews>
  <sheetFormatPr defaultColWidth="8.7265625" defaultRowHeight="24.75" customHeight="1"/>
  <cols>
    <col min="1" max="1" width="43.81640625" customWidth="1"/>
    <col min="2" max="21" width="9.26953125" customWidth="1"/>
    <col min="22" max="22" width="11.7265625" customWidth="1"/>
    <col min="23" max="23" width="6.7265625" customWidth="1"/>
    <col min="24" max="24" width="8.7265625" customWidth="1"/>
    <col min="25" max="25" width="6.7265625" customWidth="1"/>
    <col min="26" max="26" width="8.7265625" customWidth="1"/>
    <col min="27" max="27" width="12.26953125" customWidth="1"/>
    <col min="28" max="29" width="8.726562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Chile</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2020</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f>'START HERE'!F8</f>
        <v>42950</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2020</v>
      </c>
      <c r="F8" s="370" t="s">
        <v>30</v>
      </c>
      <c r="G8" s="371"/>
      <c r="H8" s="371"/>
      <c r="I8" s="188">
        <f>'START HERE'!K3</f>
        <v>2020</v>
      </c>
      <c r="J8" s="370" t="s">
        <v>31</v>
      </c>
      <c r="K8" s="371"/>
      <c r="L8" s="371"/>
      <c r="M8" s="188">
        <f>'START HERE'!K3</f>
        <v>2020</v>
      </c>
      <c r="N8" s="186" t="s">
        <v>32</v>
      </c>
      <c r="O8" s="187"/>
      <c r="P8" s="187"/>
      <c r="Q8" s="188">
        <f>'START HERE'!K3</f>
        <v>2020</v>
      </c>
      <c r="R8" s="370" t="s">
        <v>33</v>
      </c>
      <c r="S8" s="371"/>
      <c r="T8" s="371"/>
      <c r="U8" s="188">
        <f>'START HERE'!K3</f>
        <v>2020</v>
      </c>
      <c r="V8" s="279"/>
      <c r="W8" s="282"/>
      <c r="X8" s="282"/>
      <c r="Y8" s="282"/>
      <c r="Z8" s="279"/>
    </row>
    <row r="9" spans="1:28" s="45" customFormat="1" ht="23">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10" activePane="bottomLeft" state="frozen"/>
      <selection activeCell="G5" sqref="G5:J5"/>
      <selection pane="bottomLeft" sqref="A1:I1"/>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Chile</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2020</v>
      </c>
      <c r="C5" s="258"/>
      <c r="D5" s="6"/>
      <c r="E5" s="34" t="s">
        <v>39</v>
      </c>
      <c r="F5" s="377" t="s">
        <v>104</v>
      </c>
      <c r="G5" s="378"/>
      <c r="H5" s="379"/>
      <c r="I5" s="35"/>
    </row>
    <row r="6" spans="1:9" s="7" customFormat="1" ht="18" customHeight="1" thickBot="1">
      <c r="A6" s="12"/>
      <c r="B6" s="71"/>
      <c r="C6" s="72"/>
      <c r="D6" s="6"/>
      <c r="E6" s="34" t="s">
        <v>14</v>
      </c>
      <c r="F6" s="380">
        <f>'START HERE'!$F8</f>
        <v>42950</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2020</v>
      </c>
      <c r="C9" s="181">
        <f>'START HERE'!$K$3</f>
        <v>2020</v>
      </c>
      <c r="D9" s="181">
        <f>'START HERE'!$K$3</f>
        <v>2020</v>
      </c>
      <c r="E9" s="181">
        <f>'START HERE'!$K$3</f>
        <v>2020</v>
      </c>
      <c r="F9" s="180">
        <f>'START HERE'!$K$3</f>
        <v>2020</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10" activePane="bottomLeft" state="frozen"/>
      <selection activeCell="G5" sqref="G5:J5"/>
      <selection pane="bottomLeft" sqref="A1:I1"/>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Chile</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2020</v>
      </c>
      <c r="C5" s="258"/>
      <c r="D5" s="6"/>
      <c r="E5" s="34" t="s">
        <v>39</v>
      </c>
      <c r="F5" s="377" t="s">
        <v>104</v>
      </c>
      <c r="G5" s="378"/>
      <c r="H5" s="379"/>
      <c r="I5" s="35"/>
    </row>
    <row r="6" spans="1:9" s="7" customFormat="1" ht="18" customHeight="1" thickBot="1">
      <c r="A6" s="12"/>
      <c r="B6" s="71"/>
      <c r="C6" s="72"/>
      <c r="D6" s="6"/>
      <c r="E6" s="34" t="s">
        <v>14</v>
      </c>
      <c r="F6" s="380">
        <f>'START HERE'!$F8</f>
        <v>42950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2020</v>
      </c>
      <c r="C9" s="181">
        <f>'START HERE'!$K$3</f>
        <v>2020</v>
      </c>
      <c r="D9" s="181">
        <f>'START HERE'!$K$3</f>
        <v>2020</v>
      </c>
      <c r="E9" s="181">
        <f>'START HERE'!$K$3</f>
        <v>2020</v>
      </c>
      <c r="F9" s="180">
        <f>'START HERE'!$K$3</f>
        <v>2020</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10" activePane="bottomLeft" state="frozen"/>
      <selection activeCell="G5" sqref="G5:J5"/>
      <selection pane="bottomLeft" sqref="A1:I1"/>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Chile</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2020</v>
      </c>
      <c r="C5" s="258"/>
      <c r="D5" s="6"/>
      <c r="E5" s="34" t="s">
        <v>39</v>
      </c>
      <c r="F5" s="377" t="s">
        <v>104</v>
      </c>
      <c r="G5" s="378"/>
      <c r="H5" s="379"/>
      <c r="I5" s="35"/>
    </row>
    <row r="6" spans="1:9" s="7" customFormat="1" ht="18" customHeight="1" thickBot="1">
      <c r="A6" s="12"/>
      <c r="B6" s="71"/>
      <c r="C6" s="72"/>
      <c r="D6" s="6"/>
      <c r="E6" s="34" t="s">
        <v>14</v>
      </c>
      <c r="F6" s="380">
        <f>'START HERE'!$F8</f>
        <v>42950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2020</v>
      </c>
      <c r="C9" s="181">
        <f>'START HERE'!$K$3</f>
        <v>2020</v>
      </c>
      <c r="D9" s="181">
        <f>'START HERE'!$K$3</f>
        <v>2020</v>
      </c>
      <c r="E9" s="181">
        <f>'START HERE'!$K$3</f>
        <v>2020</v>
      </c>
      <c r="F9" s="180">
        <f>'START HERE'!$K$3</f>
        <v>2020</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10" activePane="bottomLeft" state="frozen"/>
      <selection activeCell="G5" sqref="G5:J5"/>
      <selection pane="bottomLeft" activeCell="I14" sqref="I14"/>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Chile</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2020</v>
      </c>
      <c r="C5" s="258"/>
      <c r="D5" s="6"/>
      <c r="E5" s="34" t="s">
        <v>39</v>
      </c>
      <c r="F5" s="377" t="s">
        <v>104</v>
      </c>
      <c r="G5" s="378"/>
      <c r="H5" s="379"/>
      <c r="I5" s="35"/>
    </row>
    <row r="6" spans="1:9" s="7" customFormat="1" ht="18" customHeight="1" thickBot="1">
      <c r="A6" s="12"/>
      <c r="B6" s="71"/>
      <c r="C6" s="72"/>
      <c r="D6" s="6"/>
      <c r="E6" s="34" t="s">
        <v>14</v>
      </c>
      <c r="F6" s="380">
        <f>'START HERE'!$F8</f>
        <v>42950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2020</v>
      </c>
      <c r="C9" s="181">
        <f>'START HERE'!$K$3</f>
        <v>2020</v>
      </c>
      <c r="D9" s="181">
        <f>'START HERE'!$K$3</f>
        <v>2020</v>
      </c>
      <c r="E9" s="181">
        <f>'START HERE'!$K$3</f>
        <v>2020</v>
      </c>
      <c r="F9" s="180">
        <f>'START HERE'!$K$3</f>
        <v>2020</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Chile</v>
      </c>
      <c r="C3" s="386"/>
      <c r="D3" s="376"/>
      <c r="E3" s="177"/>
      <c r="F3" s="30" t="s">
        <v>38</v>
      </c>
      <c r="G3" s="392" t="str">
        <f>'LEN F1'!F3</f>
        <v>Fleet 1 Northern Chile</v>
      </c>
      <c r="H3" s="393"/>
      <c r="I3" s="393"/>
      <c r="J3" s="39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2020</v>
      </c>
      <c r="C5" s="388"/>
      <c r="D5" s="389"/>
      <c r="E5" s="177"/>
      <c r="F5" s="34" t="s">
        <v>39</v>
      </c>
      <c r="G5" s="377" t="s">
        <v>116</v>
      </c>
      <c r="H5" s="378"/>
      <c r="I5" s="378"/>
      <c r="J5" s="379"/>
      <c r="K5" s="177"/>
    </row>
    <row r="6" spans="1:60" ht="16" thickBot="1">
      <c r="A6" s="12"/>
      <c r="B6" s="71"/>
      <c r="C6" s="72"/>
      <c r="D6" s="6"/>
      <c r="F6" s="34" t="s">
        <v>14</v>
      </c>
      <c r="G6" s="380">
        <f>'START HERE'!$F8</f>
        <v>42950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Chile</v>
      </c>
      <c r="C3" s="386"/>
      <c r="D3" s="376"/>
      <c r="E3" s="177"/>
      <c r="F3" s="30" t="s">
        <v>38</v>
      </c>
      <c r="G3" s="372" t="str">
        <f>'LEN F2'!F3</f>
        <v>Fleet 2 South-Central Chile</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2020</v>
      </c>
      <c r="C5" s="388"/>
      <c r="D5" s="389"/>
      <c r="E5" s="177"/>
      <c r="F5" s="34" t="s">
        <v>39</v>
      </c>
      <c r="G5" s="377" t="s">
        <v>116</v>
      </c>
      <c r="H5" s="378"/>
      <c r="I5" s="378"/>
      <c r="J5" s="379"/>
      <c r="K5" s="177"/>
    </row>
    <row r="6" spans="1:60" ht="16" thickBot="1">
      <c r="A6" s="12"/>
      <c r="B6" s="71"/>
      <c r="C6" s="72"/>
      <c r="D6" s="6"/>
      <c r="F6" s="34" t="s">
        <v>14</v>
      </c>
      <c r="G6" s="380">
        <f>'START HERE'!$F8</f>
        <v>42950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Chile</v>
      </c>
      <c r="C3" s="386"/>
      <c r="D3" s="376"/>
      <c r="E3" s="177"/>
      <c r="F3" s="30" t="s">
        <v>38</v>
      </c>
      <c r="G3" s="372" t="str">
        <f>'LEN F3'!F3</f>
        <v>Fleet 3 Peru &amp; Equador</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2020</v>
      </c>
      <c r="C5" s="388"/>
      <c r="D5" s="389"/>
      <c r="E5" s="177"/>
      <c r="F5" s="34" t="s">
        <v>39</v>
      </c>
      <c r="G5" s="377" t="s">
        <v>116</v>
      </c>
      <c r="H5" s="378"/>
      <c r="I5" s="378"/>
      <c r="J5" s="379"/>
      <c r="K5" s="177"/>
    </row>
    <row r="6" spans="1:60" ht="16" thickBot="1">
      <c r="A6" s="12"/>
      <c r="B6" s="71"/>
      <c r="C6" s="72"/>
      <c r="D6" s="6"/>
      <c r="F6" s="34" t="s">
        <v>14</v>
      </c>
      <c r="G6" s="380">
        <f>'START HERE'!$F8</f>
        <v>42950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workbookViewId="0"/>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s="149" customFormat="1"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Chile</v>
      </c>
      <c r="C3" s="386"/>
      <c r="D3" s="376"/>
      <c r="E3" s="177"/>
      <c r="F3" s="30" t="s">
        <v>38</v>
      </c>
      <c r="G3" s="372" t="str">
        <f>'LEN F4'!F3</f>
        <v>Fleet 4 Offshore</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2020</v>
      </c>
      <c r="C5" s="388"/>
      <c r="D5" s="389"/>
      <c r="E5" s="177"/>
      <c r="F5" s="34" t="s">
        <v>39</v>
      </c>
      <c r="G5" s="377" t="s">
        <v>116</v>
      </c>
      <c r="H5" s="378"/>
      <c r="I5" s="378"/>
      <c r="J5" s="379"/>
      <c r="K5" s="177"/>
    </row>
    <row r="6" spans="1:60" ht="16" thickBot="1">
      <c r="A6" s="12"/>
      <c r="B6" s="71"/>
      <c r="C6" s="72"/>
      <c r="D6" s="6"/>
      <c r="F6" s="34" t="s">
        <v>14</v>
      </c>
      <c r="G6" s="380">
        <f>'START HERE'!$F8</f>
        <v>42950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Chile</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2020</v>
      </c>
      <c r="D6" s="120"/>
      <c r="E6" s="121"/>
      <c r="F6" s="6"/>
      <c r="G6" s="6"/>
      <c r="H6" s="13" t="s">
        <v>14</v>
      </c>
      <c r="I6" s="400">
        <f>'START HERE'!$F8</f>
        <v>42950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Chile</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2020</v>
      </c>
      <c r="D6" s="120"/>
      <c r="E6" s="121"/>
      <c r="F6" s="6"/>
      <c r="G6" s="6"/>
      <c r="H6" s="13" t="s">
        <v>14</v>
      </c>
      <c r="I6" s="400">
        <f>'START HERE'!$F8</f>
        <v>42950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Chile</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2020</v>
      </c>
      <c r="D6" s="120"/>
      <c r="E6" s="121"/>
      <c r="F6" s="6"/>
      <c r="G6" s="6"/>
      <c r="H6" s="13" t="s">
        <v>14</v>
      </c>
      <c r="I6" s="400">
        <f>'START HERE'!$F8</f>
        <v>42950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Chile</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2020</v>
      </c>
      <c r="D6" s="120"/>
      <c r="E6" s="121"/>
      <c r="F6" s="6"/>
      <c r="G6" s="6"/>
      <c r="H6" s="13" t="s">
        <v>14</v>
      </c>
      <c r="I6" s="400">
        <f>'START HERE'!$F8</f>
        <v>42950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Chile</v>
      </c>
      <c r="C3" s="386"/>
      <c r="D3" s="376"/>
      <c r="E3" s="177"/>
      <c r="F3" s="30" t="s">
        <v>38</v>
      </c>
      <c r="G3" s="372" t="str">
        <f>'LEN F1'!F3</f>
        <v>Fleet 1 Northern Chile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2020</v>
      </c>
      <c r="C5" s="388"/>
      <c r="D5" s="389"/>
      <c r="E5" s="177"/>
      <c r="F5" s="12" t="s">
        <v>39</v>
      </c>
      <c r="G5" s="324" t="s">
        <v>137</v>
      </c>
      <c r="H5" s="334"/>
      <c r="I5" s="335"/>
      <c r="J5" s="177"/>
      <c r="K5" s="178"/>
    </row>
    <row r="6" spans="1:59" ht="16" thickBot="1">
      <c r="A6" s="12"/>
      <c r="B6" s="11"/>
      <c r="C6" s="103"/>
      <c r="D6" s="6"/>
      <c r="F6" s="12" t="s">
        <v>14</v>
      </c>
      <c r="G6" s="380">
        <f>'START HERE'!$F8</f>
        <v>42950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2020</v>
      </c>
      <c r="C10" s="181">
        <f>'START HERE'!$K$3</f>
        <v>2020</v>
      </c>
      <c r="D10" s="181">
        <f>'START HERE'!$K$3</f>
        <v>2020</v>
      </c>
      <c r="E10" s="180">
        <f>'START HERE'!$K$3</f>
        <v>2020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Chile</v>
      </c>
      <c r="C3" s="386"/>
      <c r="D3" s="376"/>
      <c r="E3" s="177"/>
      <c r="F3" s="30" t="s">
        <v>38</v>
      </c>
      <c r="G3" s="372" t="str">
        <f>'LEN F2'!F3</f>
        <v>Fleet 2 South-Central Chile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2020</v>
      </c>
      <c r="C5" s="388"/>
      <c r="D5" s="389"/>
      <c r="E5" s="177"/>
      <c r="F5" s="12" t="s">
        <v>39</v>
      </c>
      <c r="G5" s="324" t="s">
        <v>137</v>
      </c>
      <c r="H5" s="334"/>
      <c r="I5" s="335"/>
      <c r="J5" s="177"/>
      <c r="K5" s="178"/>
    </row>
    <row r="6" spans="1:59" ht="16" thickBot="1">
      <c r="A6" s="12"/>
      <c r="B6" s="11"/>
      <c r="C6" s="103"/>
      <c r="D6" s="6"/>
      <c r="F6" s="12" t="s">
        <v>14</v>
      </c>
      <c r="G6" s="380">
        <f>'START HERE'!$F8</f>
        <v>42950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2020</v>
      </c>
      <c r="C10" s="181">
        <f>'START HERE'!$K$3</f>
        <v>2020</v>
      </c>
      <c r="D10" s="181">
        <f>'START HERE'!$K$3</f>
        <v>2020</v>
      </c>
      <c r="E10" s="180">
        <f>'START HERE'!$K$3</f>
        <v>2020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Chile</v>
      </c>
      <c r="C3" s="386"/>
      <c r="D3" s="376"/>
      <c r="E3" s="177"/>
      <c r="F3" s="30" t="s">
        <v>38</v>
      </c>
      <c r="G3" s="372" t="str">
        <f>'LEN F3'!F3</f>
        <v>Fleet 3 Peru &amp; Equador</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2020</v>
      </c>
      <c r="C5" s="388"/>
      <c r="D5" s="389"/>
      <c r="E5" s="177"/>
      <c r="F5" s="12" t="s">
        <v>39</v>
      </c>
      <c r="G5" s="324" t="s">
        <v>137</v>
      </c>
      <c r="H5" s="334"/>
      <c r="I5" s="335"/>
      <c r="J5" s="177"/>
      <c r="K5" s="178"/>
    </row>
    <row r="6" spans="1:59" ht="16" thickBot="1">
      <c r="A6" s="12"/>
      <c r="B6" s="11"/>
      <c r="C6" s="103"/>
      <c r="D6" s="6"/>
      <c r="F6" s="12" t="s">
        <v>14</v>
      </c>
      <c r="G6" s="380">
        <f>'START HERE'!$F8</f>
        <v>42950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2020</v>
      </c>
      <c r="C10" s="181">
        <f>'START HERE'!$K$3</f>
        <v>2020</v>
      </c>
      <c r="D10" s="181">
        <f>'START HERE'!$K$3</f>
        <v>2020</v>
      </c>
      <c r="E10" s="180">
        <f>'START HERE'!$K$3</f>
        <v>2020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Chile</v>
      </c>
      <c r="C3" s="386"/>
      <c r="D3" s="376"/>
      <c r="E3" s="177"/>
      <c r="F3" s="30" t="s">
        <v>38</v>
      </c>
      <c r="G3" s="372" t="str">
        <f>'LEN F4'!F3</f>
        <v>Fleet 4 Offshore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2020</v>
      </c>
      <c r="C5" s="388"/>
      <c r="D5" s="389"/>
      <c r="E5" s="177"/>
      <c r="F5" s="12" t="s">
        <v>39</v>
      </c>
      <c r="G5" s="324" t="s">
        <v>137</v>
      </c>
      <c r="H5" s="334"/>
      <c r="I5" s="335"/>
      <c r="J5" s="177"/>
      <c r="K5" s="178"/>
      <c r="L5" s="149"/>
    </row>
    <row r="6" spans="1:59" ht="16" thickBot="1">
      <c r="A6" s="12"/>
      <c r="B6" s="11"/>
      <c r="C6" s="103"/>
      <c r="D6" s="6"/>
      <c r="F6" s="12" t="s">
        <v>14</v>
      </c>
      <c r="G6" s="380">
        <f>'START HERE'!$F8</f>
        <v>42950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2020</v>
      </c>
      <c r="C10" s="181">
        <f>'START HERE'!$K$3</f>
        <v>2020</v>
      </c>
      <c r="D10" s="181">
        <f>'START HERE'!$K$3</f>
        <v>2020</v>
      </c>
      <c r="E10" s="180">
        <f>'START HERE'!$K$3</f>
        <v>2020</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5"/>
  <cols>
    <col min="1" max="1" width="10.81640625" customWidth="1"/>
    <col min="2" max="2" width="11.1796875" customWidth="1"/>
    <col min="3" max="3" width="14.26953125" customWidth="1"/>
  </cols>
  <sheetData>
    <row r="1" spans="1:4" ht="13">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A6250E-9C79-4192-9E66-BA34F7AF0C71}"/>
</file>

<file path=customXml/itemProps2.xml><?xml version="1.0" encoding="utf-8"?>
<ds:datastoreItem xmlns:ds="http://schemas.openxmlformats.org/officeDocument/2006/customXml" ds:itemID="{C9716590-82CA-410C-B118-E787241F3D8D}"/>
</file>

<file path=customXml/itemProps3.xml><?xml version="1.0" encoding="utf-8"?>
<ds:datastoreItem xmlns:ds="http://schemas.openxmlformats.org/officeDocument/2006/customXml" ds:itemID="{2B953EBD-4DA9-4568-AC7D-08DBC262796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Marianne</cp:lastModifiedBy>
  <cp:lastPrinted>2005-03-01T15:40:24Z</cp:lastPrinted>
  <dcterms:created xsi:type="dcterms:W3CDTF">1998-05-02T10:10:47Z</dcterms:created>
  <dcterms:modified xsi:type="dcterms:W3CDTF">2021-07-01T03:08:29Z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